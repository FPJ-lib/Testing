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3" codeName="{801CCD77-7B78-1753-DF39-40050F3742D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8f0790acd64ff69/X002 - Python_Developing/GitHub/Economic_data/Economic_data/Quant/Strat_Backtest/Pair_trading/Output_pair/"/>
    </mc:Choice>
  </mc:AlternateContent>
  <xr:revisionPtr revIDLastSave="56676" documentId="8_{226B7262-ABCB-7E4D-AB47-8CB2CC890284}" xr6:coauthVersionLast="45" xr6:coauthVersionMax="45" xr10:uidLastSave="{DBBD5AFD-CB44-EE4F-B62C-E4938E291B4D}"/>
  <bookViews>
    <workbookView xWindow="10020" yWindow="460" windowWidth="15580" windowHeight="14660" activeTab="2" xr2:uid="{00000000-000D-0000-FFFF-FFFF00000000}"/>
  </bookViews>
  <sheets>
    <sheet name="Get_Data" sheetId="1" r:id="rId1"/>
    <sheet name="Ratio Analysis" sheetId="2" r:id="rId2"/>
    <sheet name="Since 2016" sheetId="4" r:id="rId3"/>
  </sheets>
  <definedNames>
    <definedName name="_xlchart.v1.0" hidden="1">'Ratio Analysis'!$D$2</definedName>
    <definedName name="_xlchart.v1.1" hidden="1">'Ratio Analysis'!$D$3:$D$3574</definedName>
    <definedName name="stocks">'Since 2016'!$G$2353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Y2373" i="4" l="1"/>
  <c r="A3167" i="4" l="1"/>
  <c r="B3167" i="4"/>
  <c r="C3167" i="4"/>
  <c r="D3167" i="4" l="1"/>
  <c r="F2371" i="4"/>
  <c r="E2371" i="4"/>
  <c r="C3574" i="4" l="1"/>
  <c r="B3574" i="4"/>
  <c r="A3574" i="4"/>
  <c r="C3573" i="4"/>
  <c r="B3573" i="4"/>
  <c r="A3573" i="4"/>
  <c r="C3572" i="4"/>
  <c r="B3572" i="4"/>
  <c r="A3572" i="4"/>
  <c r="C3571" i="4"/>
  <c r="B3571" i="4"/>
  <c r="A3571" i="4"/>
  <c r="C3570" i="4"/>
  <c r="B3570" i="4"/>
  <c r="A3570" i="4"/>
  <c r="C3569" i="4"/>
  <c r="B3569" i="4"/>
  <c r="A3569" i="4"/>
  <c r="C3568" i="4"/>
  <c r="B3568" i="4"/>
  <c r="A3568" i="4"/>
  <c r="C3567" i="4"/>
  <c r="B3567" i="4"/>
  <c r="A3567" i="4"/>
  <c r="C3566" i="4"/>
  <c r="B3566" i="4"/>
  <c r="A3566" i="4"/>
  <c r="C3565" i="4"/>
  <c r="B3565" i="4"/>
  <c r="A3565" i="4"/>
  <c r="C3564" i="4"/>
  <c r="B3564" i="4"/>
  <c r="A3564" i="4"/>
  <c r="C3563" i="4"/>
  <c r="B3563" i="4"/>
  <c r="A3563" i="4"/>
  <c r="C3562" i="4"/>
  <c r="B3562" i="4"/>
  <c r="A3562" i="4"/>
  <c r="C3561" i="4"/>
  <c r="B3561" i="4"/>
  <c r="A3561" i="4"/>
  <c r="C3560" i="4"/>
  <c r="B3560" i="4"/>
  <c r="A3560" i="4"/>
  <c r="C3559" i="4"/>
  <c r="B3559" i="4"/>
  <c r="A3559" i="4"/>
  <c r="C3558" i="4"/>
  <c r="B3558" i="4"/>
  <c r="A3558" i="4"/>
  <c r="C3557" i="4"/>
  <c r="B3557" i="4"/>
  <c r="A3557" i="4"/>
  <c r="C3556" i="4"/>
  <c r="B3556" i="4"/>
  <c r="A3556" i="4"/>
  <c r="C3555" i="4"/>
  <c r="B3555" i="4"/>
  <c r="A3555" i="4"/>
  <c r="C3554" i="4"/>
  <c r="B3554" i="4"/>
  <c r="A3554" i="4"/>
  <c r="C3553" i="4"/>
  <c r="B3553" i="4"/>
  <c r="A3553" i="4"/>
  <c r="C3552" i="4"/>
  <c r="B3552" i="4"/>
  <c r="A3552" i="4"/>
  <c r="C3551" i="4"/>
  <c r="B3551" i="4"/>
  <c r="A3551" i="4"/>
  <c r="C3550" i="4"/>
  <c r="B3550" i="4"/>
  <c r="A3550" i="4"/>
  <c r="C3549" i="4"/>
  <c r="B3549" i="4"/>
  <c r="A3549" i="4"/>
  <c r="C3548" i="4"/>
  <c r="B3548" i="4"/>
  <c r="A3548" i="4"/>
  <c r="C3547" i="4"/>
  <c r="B3547" i="4"/>
  <c r="A3547" i="4"/>
  <c r="C3546" i="4"/>
  <c r="B3546" i="4"/>
  <c r="A3546" i="4"/>
  <c r="C3545" i="4"/>
  <c r="B3545" i="4"/>
  <c r="A3545" i="4"/>
  <c r="C3544" i="4"/>
  <c r="B3544" i="4"/>
  <c r="A3544" i="4"/>
  <c r="C3543" i="4"/>
  <c r="B3543" i="4"/>
  <c r="A3543" i="4"/>
  <c r="C3542" i="4"/>
  <c r="B3542" i="4"/>
  <c r="A3542" i="4"/>
  <c r="C3541" i="4"/>
  <c r="B3541" i="4"/>
  <c r="A3541" i="4"/>
  <c r="C3540" i="4"/>
  <c r="B3540" i="4"/>
  <c r="A3540" i="4"/>
  <c r="C3539" i="4"/>
  <c r="B3539" i="4"/>
  <c r="A3539" i="4"/>
  <c r="C3538" i="4"/>
  <c r="B3538" i="4"/>
  <c r="A3538" i="4"/>
  <c r="C3537" i="4"/>
  <c r="B3537" i="4"/>
  <c r="A3537" i="4"/>
  <c r="C3536" i="4"/>
  <c r="B3536" i="4"/>
  <c r="A3536" i="4"/>
  <c r="C3535" i="4"/>
  <c r="B3535" i="4"/>
  <c r="A3535" i="4"/>
  <c r="C3534" i="4"/>
  <c r="B3534" i="4"/>
  <c r="A3534" i="4"/>
  <c r="C3533" i="4"/>
  <c r="B3533" i="4"/>
  <c r="A3533" i="4"/>
  <c r="C3532" i="4"/>
  <c r="B3532" i="4"/>
  <c r="A3532" i="4"/>
  <c r="C3531" i="4"/>
  <c r="B3531" i="4"/>
  <c r="A3531" i="4"/>
  <c r="C3530" i="4"/>
  <c r="B3530" i="4"/>
  <c r="A3530" i="4"/>
  <c r="C3529" i="4"/>
  <c r="B3529" i="4"/>
  <c r="A3529" i="4"/>
  <c r="C3528" i="4"/>
  <c r="B3528" i="4"/>
  <c r="A3528" i="4"/>
  <c r="C3527" i="4"/>
  <c r="B3527" i="4"/>
  <c r="A3527" i="4"/>
  <c r="C3526" i="4"/>
  <c r="B3526" i="4"/>
  <c r="A3526" i="4"/>
  <c r="C3525" i="4"/>
  <c r="B3525" i="4"/>
  <c r="A3525" i="4"/>
  <c r="C3524" i="4"/>
  <c r="B3524" i="4"/>
  <c r="A3524" i="4"/>
  <c r="C3523" i="4"/>
  <c r="B3523" i="4"/>
  <c r="A3523" i="4"/>
  <c r="C3522" i="4"/>
  <c r="B3522" i="4"/>
  <c r="A3522" i="4"/>
  <c r="C3521" i="4"/>
  <c r="B3521" i="4"/>
  <c r="A3521" i="4"/>
  <c r="C3520" i="4"/>
  <c r="B3520" i="4"/>
  <c r="A3520" i="4"/>
  <c r="C3519" i="4"/>
  <c r="B3519" i="4"/>
  <c r="A3519" i="4"/>
  <c r="C3518" i="4"/>
  <c r="B3518" i="4"/>
  <c r="A3518" i="4"/>
  <c r="C3517" i="4"/>
  <c r="B3517" i="4"/>
  <c r="A3517" i="4"/>
  <c r="C3516" i="4"/>
  <c r="B3516" i="4"/>
  <c r="A3516" i="4"/>
  <c r="C3515" i="4"/>
  <c r="B3515" i="4"/>
  <c r="A3515" i="4"/>
  <c r="C3514" i="4"/>
  <c r="B3514" i="4"/>
  <c r="A3514" i="4"/>
  <c r="C3513" i="4"/>
  <c r="B3513" i="4"/>
  <c r="A3513" i="4"/>
  <c r="C3512" i="4"/>
  <c r="B3512" i="4"/>
  <c r="A3512" i="4"/>
  <c r="C3511" i="4"/>
  <c r="B3511" i="4"/>
  <c r="A3511" i="4"/>
  <c r="C3510" i="4"/>
  <c r="B3510" i="4"/>
  <c r="A3510" i="4"/>
  <c r="C3509" i="4"/>
  <c r="B3509" i="4"/>
  <c r="A3509" i="4"/>
  <c r="C3508" i="4"/>
  <c r="B3508" i="4"/>
  <c r="A3508" i="4"/>
  <c r="C3507" i="4"/>
  <c r="B3507" i="4"/>
  <c r="A3507" i="4"/>
  <c r="C3506" i="4"/>
  <c r="B3506" i="4"/>
  <c r="A3506" i="4"/>
  <c r="C3505" i="4"/>
  <c r="B3505" i="4"/>
  <c r="A3505" i="4"/>
  <c r="C3504" i="4"/>
  <c r="B3504" i="4"/>
  <c r="A3504" i="4"/>
  <c r="C3503" i="4"/>
  <c r="B3503" i="4"/>
  <c r="A3503" i="4"/>
  <c r="C3502" i="4"/>
  <c r="B3502" i="4"/>
  <c r="A3502" i="4"/>
  <c r="C3501" i="4"/>
  <c r="B3501" i="4"/>
  <c r="A3501" i="4"/>
  <c r="C3500" i="4"/>
  <c r="B3500" i="4"/>
  <c r="A3500" i="4"/>
  <c r="C3499" i="4"/>
  <c r="B3499" i="4"/>
  <c r="A3499" i="4"/>
  <c r="C3498" i="4"/>
  <c r="B3498" i="4"/>
  <c r="A3498" i="4"/>
  <c r="C3497" i="4"/>
  <c r="B3497" i="4"/>
  <c r="A3497" i="4"/>
  <c r="C3496" i="4"/>
  <c r="B3496" i="4"/>
  <c r="A3496" i="4"/>
  <c r="C3495" i="4"/>
  <c r="B3495" i="4"/>
  <c r="A3495" i="4"/>
  <c r="C3494" i="4"/>
  <c r="B3494" i="4"/>
  <c r="A3494" i="4"/>
  <c r="C3493" i="4"/>
  <c r="B3493" i="4"/>
  <c r="A3493" i="4"/>
  <c r="C3492" i="4"/>
  <c r="B3492" i="4"/>
  <c r="A3492" i="4"/>
  <c r="C3491" i="4"/>
  <c r="B3491" i="4"/>
  <c r="A3491" i="4"/>
  <c r="C3490" i="4"/>
  <c r="B3490" i="4"/>
  <c r="A3490" i="4"/>
  <c r="C3489" i="4"/>
  <c r="B3489" i="4"/>
  <c r="A3489" i="4"/>
  <c r="C3488" i="4"/>
  <c r="B3488" i="4"/>
  <c r="A3488" i="4"/>
  <c r="C3487" i="4"/>
  <c r="B3487" i="4"/>
  <c r="A3487" i="4"/>
  <c r="C3486" i="4"/>
  <c r="B3486" i="4"/>
  <c r="A3486" i="4"/>
  <c r="C3485" i="4"/>
  <c r="B3485" i="4"/>
  <c r="A3485" i="4"/>
  <c r="C3484" i="4"/>
  <c r="B3484" i="4"/>
  <c r="A3484" i="4"/>
  <c r="C3483" i="4"/>
  <c r="B3483" i="4"/>
  <c r="A3483" i="4"/>
  <c r="C3482" i="4"/>
  <c r="B3482" i="4"/>
  <c r="A3482" i="4"/>
  <c r="C3481" i="4"/>
  <c r="B3481" i="4"/>
  <c r="A3481" i="4"/>
  <c r="C3480" i="4"/>
  <c r="B3480" i="4"/>
  <c r="A3480" i="4"/>
  <c r="C3479" i="4"/>
  <c r="B3479" i="4"/>
  <c r="A3479" i="4"/>
  <c r="C3478" i="4"/>
  <c r="B3478" i="4"/>
  <c r="A3478" i="4"/>
  <c r="C3477" i="4"/>
  <c r="B3477" i="4"/>
  <c r="A3477" i="4"/>
  <c r="C3476" i="4"/>
  <c r="B3476" i="4"/>
  <c r="A3476" i="4"/>
  <c r="C3475" i="4"/>
  <c r="B3475" i="4"/>
  <c r="A3475" i="4"/>
  <c r="C3474" i="4"/>
  <c r="B3474" i="4"/>
  <c r="A3474" i="4"/>
  <c r="C3473" i="4"/>
  <c r="B3473" i="4"/>
  <c r="A3473" i="4"/>
  <c r="C3472" i="4"/>
  <c r="B3472" i="4"/>
  <c r="A3472" i="4"/>
  <c r="C3471" i="4"/>
  <c r="B3471" i="4"/>
  <c r="A3471" i="4"/>
  <c r="C3470" i="4"/>
  <c r="B3470" i="4"/>
  <c r="A3470" i="4"/>
  <c r="C3469" i="4"/>
  <c r="B3469" i="4"/>
  <c r="A3469" i="4"/>
  <c r="C3468" i="4"/>
  <c r="B3468" i="4"/>
  <c r="A3468" i="4"/>
  <c r="C3467" i="4"/>
  <c r="B3467" i="4"/>
  <c r="A3467" i="4"/>
  <c r="C3466" i="4"/>
  <c r="B3466" i="4"/>
  <c r="A3466" i="4"/>
  <c r="C3465" i="4"/>
  <c r="B3465" i="4"/>
  <c r="A3465" i="4"/>
  <c r="C3464" i="4"/>
  <c r="B3464" i="4"/>
  <c r="A3464" i="4"/>
  <c r="C3463" i="4"/>
  <c r="B3463" i="4"/>
  <c r="A3463" i="4"/>
  <c r="C3462" i="4"/>
  <c r="B3462" i="4"/>
  <c r="A3462" i="4"/>
  <c r="C3461" i="4"/>
  <c r="B3461" i="4"/>
  <c r="A3461" i="4"/>
  <c r="C3460" i="4"/>
  <c r="B3460" i="4"/>
  <c r="A3460" i="4"/>
  <c r="C3459" i="4"/>
  <c r="B3459" i="4"/>
  <c r="A3459" i="4"/>
  <c r="C3458" i="4"/>
  <c r="B3458" i="4"/>
  <c r="A3458" i="4"/>
  <c r="C3457" i="4"/>
  <c r="B3457" i="4"/>
  <c r="A3457" i="4"/>
  <c r="C3456" i="4"/>
  <c r="B3456" i="4"/>
  <c r="A3456" i="4"/>
  <c r="C3455" i="4"/>
  <c r="B3455" i="4"/>
  <c r="A3455" i="4"/>
  <c r="C3454" i="4"/>
  <c r="B3454" i="4"/>
  <c r="A3454" i="4"/>
  <c r="C3453" i="4"/>
  <c r="B3453" i="4"/>
  <c r="A3453" i="4"/>
  <c r="C3452" i="4"/>
  <c r="B3452" i="4"/>
  <c r="A3452" i="4"/>
  <c r="C3451" i="4"/>
  <c r="B3451" i="4"/>
  <c r="A3451" i="4"/>
  <c r="C3450" i="4"/>
  <c r="B3450" i="4"/>
  <c r="A3450" i="4"/>
  <c r="C3449" i="4"/>
  <c r="B3449" i="4"/>
  <c r="A3449" i="4"/>
  <c r="C3448" i="4"/>
  <c r="B3448" i="4"/>
  <c r="A3448" i="4"/>
  <c r="C3447" i="4"/>
  <c r="B3447" i="4"/>
  <c r="A3447" i="4"/>
  <c r="C3446" i="4"/>
  <c r="B3446" i="4"/>
  <c r="A3446" i="4"/>
  <c r="C3445" i="4"/>
  <c r="B3445" i="4"/>
  <c r="A3445" i="4"/>
  <c r="C3444" i="4"/>
  <c r="B3444" i="4"/>
  <c r="A3444" i="4"/>
  <c r="C3443" i="4"/>
  <c r="B3443" i="4"/>
  <c r="A3443" i="4"/>
  <c r="C3442" i="4"/>
  <c r="B3442" i="4"/>
  <c r="A3442" i="4"/>
  <c r="C3441" i="4"/>
  <c r="B3441" i="4"/>
  <c r="A3441" i="4"/>
  <c r="C3440" i="4"/>
  <c r="B3440" i="4"/>
  <c r="A3440" i="4"/>
  <c r="C3439" i="4"/>
  <c r="B3439" i="4"/>
  <c r="A3439" i="4"/>
  <c r="C3438" i="4"/>
  <c r="B3438" i="4"/>
  <c r="A3438" i="4"/>
  <c r="C3437" i="4"/>
  <c r="B3437" i="4"/>
  <c r="A3437" i="4"/>
  <c r="C3436" i="4"/>
  <c r="B3436" i="4"/>
  <c r="A3436" i="4"/>
  <c r="C3435" i="4"/>
  <c r="B3435" i="4"/>
  <c r="A3435" i="4"/>
  <c r="C3434" i="4"/>
  <c r="B3434" i="4"/>
  <c r="A3434" i="4"/>
  <c r="C3433" i="4"/>
  <c r="B3433" i="4"/>
  <c r="A3433" i="4"/>
  <c r="C3432" i="4"/>
  <c r="B3432" i="4"/>
  <c r="A3432" i="4"/>
  <c r="C3431" i="4"/>
  <c r="B3431" i="4"/>
  <c r="A3431" i="4"/>
  <c r="C3430" i="4"/>
  <c r="B3430" i="4"/>
  <c r="A3430" i="4"/>
  <c r="C3429" i="4"/>
  <c r="B3429" i="4"/>
  <c r="A3429" i="4"/>
  <c r="C3428" i="4"/>
  <c r="B3428" i="4"/>
  <c r="A3428" i="4"/>
  <c r="C3427" i="4"/>
  <c r="B3427" i="4"/>
  <c r="A3427" i="4"/>
  <c r="C3426" i="4"/>
  <c r="B3426" i="4"/>
  <c r="A3426" i="4"/>
  <c r="C3425" i="4"/>
  <c r="B3425" i="4"/>
  <c r="A3425" i="4"/>
  <c r="C3424" i="4"/>
  <c r="B3424" i="4"/>
  <c r="A3424" i="4"/>
  <c r="C3423" i="4"/>
  <c r="B3423" i="4"/>
  <c r="A3423" i="4"/>
  <c r="C3422" i="4"/>
  <c r="B3422" i="4"/>
  <c r="A3422" i="4"/>
  <c r="C3421" i="4"/>
  <c r="B3421" i="4"/>
  <c r="A3421" i="4"/>
  <c r="C3420" i="4"/>
  <c r="B3420" i="4"/>
  <c r="A3420" i="4"/>
  <c r="C3419" i="4"/>
  <c r="B3419" i="4"/>
  <c r="A3419" i="4"/>
  <c r="C3418" i="4"/>
  <c r="B3418" i="4"/>
  <c r="A3418" i="4"/>
  <c r="C3417" i="4"/>
  <c r="B3417" i="4"/>
  <c r="A3417" i="4"/>
  <c r="C3416" i="4"/>
  <c r="B3416" i="4"/>
  <c r="A3416" i="4"/>
  <c r="C3415" i="4"/>
  <c r="B3415" i="4"/>
  <c r="A3415" i="4"/>
  <c r="C3414" i="4"/>
  <c r="B3414" i="4"/>
  <c r="A3414" i="4"/>
  <c r="C3413" i="4"/>
  <c r="B3413" i="4"/>
  <c r="A3413" i="4"/>
  <c r="C3412" i="4"/>
  <c r="B3412" i="4"/>
  <c r="A3412" i="4"/>
  <c r="C3411" i="4"/>
  <c r="B3411" i="4"/>
  <c r="A3411" i="4"/>
  <c r="C3410" i="4"/>
  <c r="B3410" i="4"/>
  <c r="A3410" i="4"/>
  <c r="C3409" i="4"/>
  <c r="B3409" i="4"/>
  <c r="A3409" i="4"/>
  <c r="C3408" i="4"/>
  <c r="B3408" i="4"/>
  <c r="A3408" i="4"/>
  <c r="C3407" i="4"/>
  <c r="B3407" i="4"/>
  <c r="A3407" i="4"/>
  <c r="C3406" i="4"/>
  <c r="B3406" i="4"/>
  <c r="A3406" i="4"/>
  <c r="C3405" i="4"/>
  <c r="B3405" i="4"/>
  <c r="A3405" i="4"/>
  <c r="C3404" i="4"/>
  <c r="B3404" i="4"/>
  <c r="A3404" i="4"/>
  <c r="C3403" i="4"/>
  <c r="B3403" i="4"/>
  <c r="A3403" i="4"/>
  <c r="C3402" i="4"/>
  <c r="B3402" i="4"/>
  <c r="A3402" i="4"/>
  <c r="C3401" i="4"/>
  <c r="B3401" i="4"/>
  <c r="A3401" i="4"/>
  <c r="C3400" i="4"/>
  <c r="B3400" i="4"/>
  <c r="A3400" i="4"/>
  <c r="C3399" i="4"/>
  <c r="B3399" i="4"/>
  <c r="A3399" i="4"/>
  <c r="C3398" i="4"/>
  <c r="B3398" i="4"/>
  <c r="A3398" i="4"/>
  <c r="C3397" i="4"/>
  <c r="B3397" i="4"/>
  <c r="A3397" i="4"/>
  <c r="C3396" i="4"/>
  <c r="B3396" i="4"/>
  <c r="A3396" i="4"/>
  <c r="C3395" i="4"/>
  <c r="B3395" i="4"/>
  <c r="A3395" i="4"/>
  <c r="C3394" i="4"/>
  <c r="B3394" i="4"/>
  <c r="A3394" i="4"/>
  <c r="C3393" i="4"/>
  <c r="B3393" i="4"/>
  <c r="A3393" i="4"/>
  <c r="C3392" i="4"/>
  <c r="B3392" i="4"/>
  <c r="A3392" i="4"/>
  <c r="C3391" i="4"/>
  <c r="B3391" i="4"/>
  <c r="A3391" i="4"/>
  <c r="C3390" i="4"/>
  <c r="B3390" i="4"/>
  <c r="A3390" i="4"/>
  <c r="C3389" i="4"/>
  <c r="B3389" i="4"/>
  <c r="A3389" i="4"/>
  <c r="C3388" i="4"/>
  <c r="B3388" i="4"/>
  <c r="A3388" i="4"/>
  <c r="C3387" i="4"/>
  <c r="B3387" i="4"/>
  <c r="A3387" i="4"/>
  <c r="C3386" i="4"/>
  <c r="B3386" i="4"/>
  <c r="A3386" i="4"/>
  <c r="C3385" i="4"/>
  <c r="B3385" i="4"/>
  <c r="A3385" i="4"/>
  <c r="C3384" i="4"/>
  <c r="B3384" i="4"/>
  <c r="A3384" i="4"/>
  <c r="C3383" i="4"/>
  <c r="B3383" i="4"/>
  <c r="A3383" i="4"/>
  <c r="C3382" i="4"/>
  <c r="B3382" i="4"/>
  <c r="A3382" i="4"/>
  <c r="C3381" i="4"/>
  <c r="B3381" i="4"/>
  <c r="A3381" i="4"/>
  <c r="C3380" i="4"/>
  <c r="B3380" i="4"/>
  <c r="A3380" i="4"/>
  <c r="C3379" i="4"/>
  <c r="B3379" i="4"/>
  <c r="A3379" i="4"/>
  <c r="C3378" i="4"/>
  <c r="B3378" i="4"/>
  <c r="A3378" i="4"/>
  <c r="C3377" i="4"/>
  <c r="B3377" i="4"/>
  <c r="A3377" i="4"/>
  <c r="C3376" i="4"/>
  <c r="B3376" i="4"/>
  <c r="A3376" i="4"/>
  <c r="C3375" i="4"/>
  <c r="B3375" i="4"/>
  <c r="A3375" i="4"/>
  <c r="C3374" i="4"/>
  <c r="B3374" i="4"/>
  <c r="A3374" i="4"/>
  <c r="C3373" i="4"/>
  <c r="B3373" i="4"/>
  <c r="A3373" i="4"/>
  <c r="C3372" i="4"/>
  <c r="B3372" i="4"/>
  <c r="A3372" i="4"/>
  <c r="C3371" i="4"/>
  <c r="B3371" i="4"/>
  <c r="A3371" i="4"/>
  <c r="C3370" i="4"/>
  <c r="B3370" i="4"/>
  <c r="A3370" i="4"/>
  <c r="C3369" i="4"/>
  <c r="B3369" i="4"/>
  <c r="A3369" i="4"/>
  <c r="C3368" i="4"/>
  <c r="B3368" i="4"/>
  <c r="A3368" i="4"/>
  <c r="C3367" i="4"/>
  <c r="B3367" i="4"/>
  <c r="A3367" i="4"/>
  <c r="C3366" i="4"/>
  <c r="B3366" i="4"/>
  <c r="A3366" i="4"/>
  <c r="C3365" i="4"/>
  <c r="B3365" i="4"/>
  <c r="A3365" i="4"/>
  <c r="C3364" i="4"/>
  <c r="B3364" i="4"/>
  <c r="A3364" i="4"/>
  <c r="C3363" i="4"/>
  <c r="B3363" i="4"/>
  <c r="A3363" i="4"/>
  <c r="C3362" i="4"/>
  <c r="B3362" i="4"/>
  <c r="A3362" i="4"/>
  <c r="C3361" i="4"/>
  <c r="B3361" i="4"/>
  <c r="A3361" i="4"/>
  <c r="C3360" i="4"/>
  <c r="B3360" i="4"/>
  <c r="A3360" i="4"/>
  <c r="C3359" i="4"/>
  <c r="B3359" i="4"/>
  <c r="A3359" i="4"/>
  <c r="C3358" i="4"/>
  <c r="B3358" i="4"/>
  <c r="A3358" i="4"/>
  <c r="C3357" i="4"/>
  <c r="B3357" i="4"/>
  <c r="A3357" i="4"/>
  <c r="C3356" i="4"/>
  <c r="B3356" i="4"/>
  <c r="A3356" i="4"/>
  <c r="C3355" i="4"/>
  <c r="B3355" i="4"/>
  <c r="A3355" i="4"/>
  <c r="C3354" i="4"/>
  <c r="B3354" i="4"/>
  <c r="A3354" i="4"/>
  <c r="C3353" i="4"/>
  <c r="B3353" i="4"/>
  <c r="A3353" i="4"/>
  <c r="C3352" i="4"/>
  <c r="B3352" i="4"/>
  <c r="A3352" i="4"/>
  <c r="C3351" i="4"/>
  <c r="B3351" i="4"/>
  <c r="A3351" i="4"/>
  <c r="C3350" i="4"/>
  <c r="B3350" i="4"/>
  <c r="A3350" i="4"/>
  <c r="C3349" i="4"/>
  <c r="B3349" i="4"/>
  <c r="A3349" i="4"/>
  <c r="C3348" i="4"/>
  <c r="B3348" i="4"/>
  <c r="A3348" i="4"/>
  <c r="C3347" i="4"/>
  <c r="B3347" i="4"/>
  <c r="A3347" i="4"/>
  <c r="C3346" i="4"/>
  <c r="B3346" i="4"/>
  <c r="A3346" i="4"/>
  <c r="C3345" i="4"/>
  <c r="B3345" i="4"/>
  <c r="A3345" i="4"/>
  <c r="C3344" i="4"/>
  <c r="B3344" i="4"/>
  <c r="A3344" i="4"/>
  <c r="C3343" i="4"/>
  <c r="B3343" i="4"/>
  <c r="A3343" i="4"/>
  <c r="C3342" i="4"/>
  <c r="B3342" i="4"/>
  <c r="A3342" i="4"/>
  <c r="C3341" i="4"/>
  <c r="B3341" i="4"/>
  <c r="A3341" i="4"/>
  <c r="C3340" i="4"/>
  <c r="B3340" i="4"/>
  <c r="A3340" i="4"/>
  <c r="C3339" i="4"/>
  <c r="B3339" i="4"/>
  <c r="A3339" i="4"/>
  <c r="C3338" i="4"/>
  <c r="B3338" i="4"/>
  <c r="A3338" i="4"/>
  <c r="C3337" i="4"/>
  <c r="B3337" i="4"/>
  <c r="A3337" i="4"/>
  <c r="C3336" i="4"/>
  <c r="B3336" i="4"/>
  <c r="A3336" i="4"/>
  <c r="C3335" i="4"/>
  <c r="B3335" i="4"/>
  <c r="A3335" i="4"/>
  <c r="C3334" i="4"/>
  <c r="B3334" i="4"/>
  <c r="A3334" i="4"/>
  <c r="C3333" i="4"/>
  <c r="B3333" i="4"/>
  <c r="A3333" i="4"/>
  <c r="C3332" i="4"/>
  <c r="B3332" i="4"/>
  <c r="A3332" i="4"/>
  <c r="C3331" i="4"/>
  <c r="B3331" i="4"/>
  <c r="A3331" i="4"/>
  <c r="C3330" i="4"/>
  <c r="B3330" i="4"/>
  <c r="A3330" i="4"/>
  <c r="C3329" i="4"/>
  <c r="B3329" i="4"/>
  <c r="A3329" i="4"/>
  <c r="C3328" i="4"/>
  <c r="B3328" i="4"/>
  <c r="A3328" i="4"/>
  <c r="C3327" i="4"/>
  <c r="B3327" i="4"/>
  <c r="A3327" i="4"/>
  <c r="C3326" i="4"/>
  <c r="B3326" i="4"/>
  <c r="A3326" i="4"/>
  <c r="C3325" i="4"/>
  <c r="B3325" i="4"/>
  <c r="A3325" i="4"/>
  <c r="C3324" i="4"/>
  <c r="B3324" i="4"/>
  <c r="A3324" i="4"/>
  <c r="C3323" i="4"/>
  <c r="B3323" i="4"/>
  <c r="A3323" i="4"/>
  <c r="C3322" i="4"/>
  <c r="B3322" i="4"/>
  <c r="A3322" i="4"/>
  <c r="C3321" i="4"/>
  <c r="B3321" i="4"/>
  <c r="A3321" i="4"/>
  <c r="C3320" i="4"/>
  <c r="B3320" i="4"/>
  <c r="A3320" i="4"/>
  <c r="C3319" i="4"/>
  <c r="B3319" i="4"/>
  <c r="A3319" i="4"/>
  <c r="C3318" i="4"/>
  <c r="B3318" i="4"/>
  <c r="A3318" i="4"/>
  <c r="C3317" i="4"/>
  <c r="B3317" i="4"/>
  <c r="A3317" i="4"/>
  <c r="C3316" i="4"/>
  <c r="B3316" i="4"/>
  <c r="A3316" i="4"/>
  <c r="C3315" i="4"/>
  <c r="B3315" i="4"/>
  <c r="A3315" i="4"/>
  <c r="C3314" i="4"/>
  <c r="B3314" i="4"/>
  <c r="A3314" i="4"/>
  <c r="C3313" i="4"/>
  <c r="B3313" i="4"/>
  <c r="A3313" i="4"/>
  <c r="C3312" i="4"/>
  <c r="B3312" i="4"/>
  <c r="A3312" i="4"/>
  <c r="C3311" i="4"/>
  <c r="B3311" i="4"/>
  <c r="A3311" i="4"/>
  <c r="C3310" i="4"/>
  <c r="B3310" i="4"/>
  <c r="A3310" i="4"/>
  <c r="C3309" i="4"/>
  <c r="B3309" i="4"/>
  <c r="A3309" i="4"/>
  <c r="C3308" i="4"/>
  <c r="B3308" i="4"/>
  <c r="A3308" i="4"/>
  <c r="C3307" i="4"/>
  <c r="B3307" i="4"/>
  <c r="A3307" i="4"/>
  <c r="C3306" i="4"/>
  <c r="B3306" i="4"/>
  <c r="A3306" i="4"/>
  <c r="C3305" i="4"/>
  <c r="B3305" i="4"/>
  <c r="A3305" i="4"/>
  <c r="C3304" i="4"/>
  <c r="B3304" i="4"/>
  <c r="A3304" i="4"/>
  <c r="C3303" i="4"/>
  <c r="B3303" i="4"/>
  <c r="A3303" i="4"/>
  <c r="C3302" i="4"/>
  <c r="B3302" i="4"/>
  <c r="A3302" i="4"/>
  <c r="C3301" i="4"/>
  <c r="B3301" i="4"/>
  <c r="A3301" i="4"/>
  <c r="C3300" i="4"/>
  <c r="B3300" i="4"/>
  <c r="A3300" i="4"/>
  <c r="C3299" i="4"/>
  <c r="B3299" i="4"/>
  <c r="A3299" i="4"/>
  <c r="C3298" i="4"/>
  <c r="B3298" i="4"/>
  <c r="A3298" i="4"/>
  <c r="C3297" i="4"/>
  <c r="B3297" i="4"/>
  <c r="A3297" i="4"/>
  <c r="C3296" i="4"/>
  <c r="B3296" i="4"/>
  <c r="A3296" i="4"/>
  <c r="C3295" i="4"/>
  <c r="B3295" i="4"/>
  <c r="A3295" i="4"/>
  <c r="C3294" i="4"/>
  <c r="B3294" i="4"/>
  <c r="A3294" i="4"/>
  <c r="C3293" i="4"/>
  <c r="B3293" i="4"/>
  <c r="A3293" i="4"/>
  <c r="C3292" i="4"/>
  <c r="B3292" i="4"/>
  <c r="A3292" i="4"/>
  <c r="C3291" i="4"/>
  <c r="B3291" i="4"/>
  <c r="A3291" i="4"/>
  <c r="C3290" i="4"/>
  <c r="B3290" i="4"/>
  <c r="A3290" i="4"/>
  <c r="C3289" i="4"/>
  <c r="B3289" i="4"/>
  <c r="A3289" i="4"/>
  <c r="C3288" i="4"/>
  <c r="B3288" i="4"/>
  <c r="A3288" i="4"/>
  <c r="C3287" i="4"/>
  <c r="B3287" i="4"/>
  <c r="A3287" i="4"/>
  <c r="C3286" i="4"/>
  <c r="B3286" i="4"/>
  <c r="A3286" i="4"/>
  <c r="C3285" i="4"/>
  <c r="B3285" i="4"/>
  <c r="A3285" i="4"/>
  <c r="C3284" i="4"/>
  <c r="B3284" i="4"/>
  <c r="A3284" i="4"/>
  <c r="C3283" i="4"/>
  <c r="B3283" i="4"/>
  <c r="A3283" i="4"/>
  <c r="C3282" i="4"/>
  <c r="B3282" i="4"/>
  <c r="A3282" i="4"/>
  <c r="C3281" i="4"/>
  <c r="B3281" i="4"/>
  <c r="A3281" i="4"/>
  <c r="C3280" i="4"/>
  <c r="B3280" i="4"/>
  <c r="A3280" i="4"/>
  <c r="C3279" i="4"/>
  <c r="B3279" i="4"/>
  <c r="A3279" i="4"/>
  <c r="C3278" i="4"/>
  <c r="B3278" i="4"/>
  <c r="A3278" i="4"/>
  <c r="C3277" i="4"/>
  <c r="B3277" i="4"/>
  <c r="A3277" i="4"/>
  <c r="C3276" i="4"/>
  <c r="B3276" i="4"/>
  <c r="A3276" i="4"/>
  <c r="C3275" i="4"/>
  <c r="B3275" i="4"/>
  <c r="A3275" i="4"/>
  <c r="C3274" i="4"/>
  <c r="B3274" i="4"/>
  <c r="A3274" i="4"/>
  <c r="C3273" i="4"/>
  <c r="B3273" i="4"/>
  <c r="A3273" i="4"/>
  <c r="C3272" i="4"/>
  <c r="B3272" i="4"/>
  <c r="A3272" i="4"/>
  <c r="C3271" i="4"/>
  <c r="B3271" i="4"/>
  <c r="A3271" i="4"/>
  <c r="C3270" i="4"/>
  <c r="B3270" i="4"/>
  <c r="A3270" i="4"/>
  <c r="C3269" i="4"/>
  <c r="B3269" i="4"/>
  <c r="A3269" i="4"/>
  <c r="C3268" i="4"/>
  <c r="B3268" i="4"/>
  <c r="A3268" i="4"/>
  <c r="C3267" i="4"/>
  <c r="B3267" i="4"/>
  <c r="A3267" i="4"/>
  <c r="C3266" i="4"/>
  <c r="B3266" i="4"/>
  <c r="A3266" i="4"/>
  <c r="C3265" i="4"/>
  <c r="B3265" i="4"/>
  <c r="A3265" i="4"/>
  <c r="C3264" i="4"/>
  <c r="B3264" i="4"/>
  <c r="A3264" i="4"/>
  <c r="C3263" i="4"/>
  <c r="B3263" i="4"/>
  <c r="A3263" i="4"/>
  <c r="C3262" i="4"/>
  <c r="B3262" i="4"/>
  <c r="A3262" i="4"/>
  <c r="C3261" i="4"/>
  <c r="B3261" i="4"/>
  <c r="A3261" i="4"/>
  <c r="C3260" i="4"/>
  <c r="B3260" i="4"/>
  <c r="A3260" i="4"/>
  <c r="C3259" i="4"/>
  <c r="B3259" i="4"/>
  <c r="A3259" i="4"/>
  <c r="C3258" i="4"/>
  <c r="B3258" i="4"/>
  <c r="A3258" i="4"/>
  <c r="C3257" i="4"/>
  <c r="B3257" i="4"/>
  <c r="A3257" i="4"/>
  <c r="C3256" i="4"/>
  <c r="B3256" i="4"/>
  <c r="A3256" i="4"/>
  <c r="C3255" i="4"/>
  <c r="B3255" i="4"/>
  <c r="A3255" i="4"/>
  <c r="C3254" i="4"/>
  <c r="B3254" i="4"/>
  <c r="A3254" i="4"/>
  <c r="C3253" i="4"/>
  <c r="B3253" i="4"/>
  <c r="A3253" i="4"/>
  <c r="C3252" i="4"/>
  <c r="B3252" i="4"/>
  <c r="A3252" i="4"/>
  <c r="C3251" i="4"/>
  <c r="B3251" i="4"/>
  <c r="A3251" i="4"/>
  <c r="C3250" i="4"/>
  <c r="B3250" i="4"/>
  <c r="A3250" i="4"/>
  <c r="C3249" i="4"/>
  <c r="B3249" i="4"/>
  <c r="A3249" i="4"/>
  <c r="C3248" i="4"/>
  <c r="B3248" i="4"/>
  <c r="A3248" i="4"/>
  <c r="C3247" i="4"/>
  <c r="B3247" i="4"/>
  <c r="A3247" i="4"/>
  <c r="C3246" i="4"/>
  <c r="B3246" i="4"/>
  <c r="A3246" i="4"/>
  <c r="C3245" i="4"/>
  <c r="B3245" i="4"/>
  <c r="A3245" i="4"/>
  <c r="C3244" i="4"/>
  <c r="B3244" i="4"/>
  <c r="A3244" i="4"/>
  <c r="C3243" i="4"/>
  <c r="B3243" i="4"/>
  <c r="A3243" i="4"/>
  <c r="C3242" i="4"/>
  <c r="B3242" i="4"/>
  <c r="A3242" i="4"/>
  <c r="C3241" i="4"/>
  <c r="B3241" i="4"/>
  <c r="A3241" i="4"/>
  <c r="C3240" i="4"/>
  <c r="B3240" i="4"/>
  <c r="A3240" i="4"/>
  <c r="C3239" i="4"/>
  <c r="B3239" i="4"/>
  <c r="A3239" i="4"/>
  <c r="C3238" i="4"/>
  <c r="B3238" i="4"/>
  <c r="A3238" i="4"/>
  <c r="C3237" i="4"/>
  <c r="B3237" i="4"/>
  <c r="A3237" i="4"/>
  <c r="C3236" i="4"/>
  <c r="B3236" i="4"/>
  <c r="A3236" i="4"/>
  <c r="C3235" i="4"/>
  <c r="B3235" i="4"/>
  <c r="A3235" i="4"/>
  <c r="C3234" i="4"/>
  <c r="B3234" i="4"/>
  <c r="A3234" i="4"/>
  <c r="C3233" i="4"/>
  <c r="B3233" i="4"/>
  <c r="A3233" i="4"/>
  <c r="C3232" i="4"/>
  <c r="B3232" i="4"/>
  <c r="A3232" i="4"/>
  <c r="C3231" i="4"/>
  <c r="B3231" i="4"/>
  <c r="A3231" i="4"/>
  <c r="C3230" i="4"/>
  <c r="B3230" i="4"/>
  <c r="A3230" i="4"/>
  <c r="C3229" i="4"/>
  <c r="B3229" i="4"/>
  <c r="A3229" i="4"/>
  <c r="C3228" i="4"/>
  <c r="B3228" i="4"/>
  <c r="A3228" i="4"/>
  <c r="C3227" i="4"/>
  <c r="B3227" i="4"/>
  <c r="A3227" i="4"/>
  <c r="C3226" i="4"/>
  <c r="B3226" i="4"/>
  <c r="A3226" i="4"/>
  <c r="C3225" i="4"/>
  <c r="B3225" i="4"/>
  <c r="A3225" i="4"/>
  <c r="C3224" i="4"/>
  <c r="B3224" i="4"/>
  <c r="A3224" i="4"/>
  <c r="C3223" i="4"/>
  <c r="B3223" i="4"/>
  <c r="A3223" i="4"/>
  <c r="C3222" i="4"/>
  <c r="B3222" i="4"/>
  <c r="A3222" i="4"/>
  <c r="C3221" i="4"/>
  <c r="B3221" i="4"/>
  <c r="A3221" i="4"/>
  <c r="C3220" i="4"/>
  <c r="B3220" i="4"/>
  <c r="A3220" i="4"/>
  <c r="C3219" i="4"/>
  <c r="B3219" i="4"/>
  <c r="A3219" i="4"/>
  <c r="C3218" i="4"/>
  <c r="B3218" i="4"/>
  <c r="A3218" i="4"/>
  <c r="C3217" i="4"/>
  <c r="B3217" i="4"/>
  <c r="A3217" i="4"/>
  <c r="C3216" i="4"/>
  <c r="B3216" i="4"/>
  <c r="A3216" i="4"/>
  <c r="C3215" i="4"/>
  <c r="B3215" i="4"/>
  <c r="A3215" i="4"/>
  <c r="C3214" i="4"/>
  <c r="B3214" i="4"/>
  <c r="A3214" i="4"/>
  <c r="C3213" i="4"/>
  <c r="B3213" i="4"/>
  <c r="A3213" i="4"/>
  <c r="C3212" i="4"/>
  <c r="B3212" i="4"/>
  <c r="A3212" i="4"/>
  <c r="C3211" i="4"/>
  <c r="B3211" i="4"/>
  <c r="A3211" i="4"/>
  <c r="C3210" i="4"/>
  <c r="B3210" i="4"/>
  <c r="A3210" i="4"/>
  <c r="C3209" i="4"/>
  <c r="B3209" i="4"/>
  <c r="A3209" i="4"/>
  <c r="C3208" i="4"/>
  <c r="B3208" i="4"/>
  <c r="A3208" i="4"/>
  <c r="C3207" i="4"/>
  <c r="B3207" i="4"/>
  <c r="A3207" i="4"/>
  <c r="C3206" i="4"/>
  <c r="B3206" i="4"/>
  <c r="A3206" i="4"/>
  <c r="C3205" i="4"/>
  <c r="B3205" i="4"/>
  <c r="A3205" i="4"/>
  <c r="C3204" i="4"/>
  <c r="B3204" i="4"/>
  <c r="A3204" i="4"/>
  <c r="C3203" i="4"/>
  <c r="B3203" i="4"/>
  <c r="A3203" i="4"/>
  <c r="C3202" i="4"/>
  <c r="B3202" i="4"/>
  <c r="A3202" i="4"/>
  <c r="C3201" i="4"/>
  <c r="B3201" i="4"/>
  <c r="A3201" i="4"/>
  <c r="C3200" i="4"/>
  <c r="B3200" i="4"/>
  <c r="A3200" i="4"/>
  <c r="C3199" i="4"/>
  <c r="B3199" i="4"/>
  <c r="A3199" i="4"/>
  <c r="C3198" i="4"/>
  <c r="B3198" i="4"/>
  <c r="A3198" i="4"/>
  <c r="C3197" i="4"/>
  <c r="B3197" i="4"/>
  <c r="A3197" i="4"/>
  <c r="C3196" i="4"/>
  <c r="B3196" i="4"/>
  <c r="A3196" i="4"/>
  <c r="C3195" i="4"/>
  <c r="B3195" i="4"/>
  <c r="A3195" i="4"/>
  <c r="C3194" i="4"/>
  <c r="B3194" i="4"/>
  <c r="A3194" i="4"/>
  <c r="C3193" i="4"/>
  <c r="B3193" i="4"/>
  <c r="A3193" i="4"/>
  <c r="C3192" i="4"/>
  <c r="B3192" i="4"/>
  <c r="A3192" i="4"/>
  <c r="C3191" i="4"/>
  <c r="B3191" i="4"/>
  <c r="A3191" i="4"/>
  <c r="C3190" i="4"/>
  <c r="B3190" i="4"/>
  <c r="A3190" i="4"/>
  <c r="C3189" i="4"/>
  <c r="B3189" i="4"/>
  <c r="A3189" i="4"/>
  <c r="C3188" i="4"/>
  <c r="B3188" i="4"/>
  <c r="A3188" i="4"/>
  <c r="C3187" i="4"/>
  <c r="B3187" i="4"/>
  <c r="A3187" i="4"/>
  <c r="C3186" i="4"/>
  <c r="B3186" i="4"/>
  <c r="A3186" i="4"/>
  <c r="C3185" i="4"/>
  <c r="B3185" i="4"/>
  <c r="A3185" i="4"/>
  <c r="C3184" i="4"/>
  <c r="B3184" i="4"/>
  <c r="A3184" i="4"/>
  <c r="C3183" i="4"/>
  <c r="B3183" i="4"/>
  <c r="A3183" i="4"/>
  <c r="C3182" i="4"/>
  <c r="B3182" i="4"/>
  <c r="A3182" i="4"/>
  <c r="C3181" i="4"/>
  <c r="B3181" i="4"/>
  <c r="A3181" i="4"/>
  <c r="C3180" i="4"/>
  <c r="B3180" i="4"/>
  <c r="A3180" i="4"/>
  <c r="C3179" i="4"/>
  <c r="B3179" i="4"/>
  <c r="A3179" i="4"/>
  <c r="C3178" i="4"/>
  <c r="B3178" i="4"/>
  <c r="A3178" i="4"/>
  <c r="C3177" i="4"/>
  <c r="B3177" i="4"/>
  <c r="A3177" i="4"/>
  <c r="C3176" i="4"/>
  <c r="B3176" i="4"/>
  <c r="A3176" i="4"/>
  <c r="C3175" i="4"/>
  <c r="B3175" i="4"/>
  <c r="A3175" i="4"/>
  <c r="C3174" i="4"/>
  <c r="B3174" i="4"/>
  <c r="A3174" i="4"/>
  <c r="C3173" i="4"/>
  <c r="B3173" i="4"/>
  <c r="A3173" i="4"/>
  <c r="C3172" i="4"/>
  <c r="B3172" i="4"/>
  <c r="A3172" i="4"/>
  <c r="C3171" i="4"/>
  <c r="B3171" i="4"/>
  <c r="A3171" i="4"/>
  <c r="C3170" i="4"/>
  <c r="B3170" i="4"/>
  <c r="A3170" i="4"/>
  <c r="C3169" i="4"/>
  <c r="B3169" i="4"/>
  <c r="A3169" i="4"/>
  <c r="C3168" i="4"/>
  <c r="B3168" i="4"/>
  <c r="A3168" i="4"/>
  <c r="C3166" i="4"/>
  <c r="B3166" i="4"/>
  <c r="A3166" i="4"/>
  <c r="C3165" i="4"/>
  <c r="B3165" i="4"/>
  <c r="A3165" i="4"/>
  <c r="C3164" i="4"/>
  <c r="B3164" i="4"/>
  <c r="A3164" i="4"/>
  <c r="C3163" i="4"/>
  <c r="B3163" i="4"/>
  <c r="A3163" i="4"/>
  <c r="C3162" i="4"/>
  <c r="B3162" i="4"/>
  <c r="A3162" i="4"/>
  <c r="C3161" i="4"/>
  <c r="B3161" i="4"/>
  <c r="A3161" i="4"/>
  <c r="C3160" i="4"/>
  <c r="B3160" i="4"/>
  <c r="A3160" i="4"/>
  <c r="C3159" i="4"/>
  <c r="B3159" i="4"/>
  <c r="A3159" i="4"/>
  <c r="C3158" i="4"/>
  <c r="B3158" i="4"/>
  <c r="A3158" i="4"/>
  <c r="C3157" i="4"/>
  <c r="B3157" i="4"/>
  <c r="A3157" i="4"/>
  <c r="C3156" i="4"/>
  <c r="B3156" i="4"/>
  <c r="A3156" i="4"/>
  <c r="C3155" i="4"/>
  <c r="B3155" i="4"/>
  <c r="A3155" i="4"/>
  <c r="C3154" i="4"/>
  <c r="B3154" i="4"/>
  <c r="A3154" i="4"/>
  <c r="C3153" i="4"/>
  <c r="B3153" i="4"/>
  <c r="A3153" i="4"/>
  <c r="C3152" i="4"/>
  <c r="B3152" i="4"/>
  <c r="A3152" i="4"/>
  <c r="C3151" i="4"/>
  <c r="B3151" i="4"/>
  <c r="A3151" i="4"/>
  <c r="C3150" i="4"/>
  <c r="B3150" i="4"/>
  <c r="A3150" i="4"/>
  <c r="C3149" i="4"/>
  <c r="B3149" i="4"/>
  <c r="A3149" i="4"/>
  <c r="C3148" i="4"/>
  <c r="B3148" i="4"/>
  <c r="A3148" i="4"/>
  <c r="C3147" i="4"/>
  <c r="B3147" i="4"/>
  <c r="A3147" i="4"/>
  <c r="C3146" i="4"/>
  <c r="B3146" i="4"/>
  <c r="A3146" i="4"/>
  <c r="C3145" i="4"/>
  <c r="B3145" i="4"/>
  <c r="A3145" i="4"/>
  <c r="C3144" i="4"/>
  <c r="B3144" i="4"/>
  <c r="A3144" i="4"/>
  <c r="C3143" i="4"/>
  <c r="B3143" i="4"/>
  <c r="A3143" i="4"/>
  <c r="C3142" i="4"/>
  <c r="B3142" i="4"/>
  <c r="A3142" i="4"/>
  <c r="C3141" i="4"/>
  <c r="B3141" i="4"/>
  <c r="A3141" i="4"/>
  <c r="C3140" i="4"/>
  <c r="B3140" i="4"/>
  <c r="A3140" i="4"/>
  <c r="C3139" i="4"/>
  <c r="B3139" i="4"/>
  <c r="A3139" i="4"/>
  <c r="C3138" i="4"/>
  <c r="B3138" i="4"/>
  <c r="A3138" i="4"/>
  <c r="C3137" i="4"/>
  <c r="B3137" i="4"/>
  <c r="A3137" i="4"/>
  <c r="C3136" i="4"/>
  <c r="B3136" i="4"/>
  <c r="A3136" i="4"/>
  <c r="C3135" i="4"/>
  <c r="B3135" i="4"/>
  <c r="A3135" i="4"/>
  <c r="C3134" i="4"/>
  <c r="B3134" i="4"/>
  <c r="A3134" i="4"/>
  <c r="C3133" i="4"/>
  <c r="B3133" i="4"/>
  <c r="A3133" i="4"/>
  <c r="C3132" i="4"/>
  <c r="B3132" i="4"/>
  <c r="A3132" i="4"/>
  <c r="C3131" i="4"/>
  <c r="B3131" i="4"/>
  <c r="A3131" i="4"/>
  <c r="C3130" i="4"/>
  <c r="B3130" i="4"/>
  <c r="A3130" i="4"/>
  <c r="C3129" i="4"/>
  <c r="B3129" i="4"/>
  <c r="A3129" i="4"/>
  <c r="C3128" i="4"/>
  <c r="B3128" i="4"/>
  <c r="A3128" i="4"/>
  <c r="C3127" i="4"/>
  <c r="B3127" i="4"/>
  <c r="A3127" i="4"/>
  <c r="C3126" i="4"/>
  <c r="B3126" i="4"/>
  <c r="A3126" i="4"/>
  <c r="C3125" i="4"/>
  <c r="B3125" i="4"/>
  <c r="A3125" i="4"/>
  <c r="C3124" i="4"/>
  <c r="B3124" i="4"/>
  <c r="A3124" i="4"/>
  <c r="C3123" i="4"/>
  <c r="B3123" i="4"/>
  <c r="A3123" i="4"/>
  <c r="C3122" i="4"/>
  <c r="B3122" i="4"/>
  <c r="A3122" i="4"/>
  <c r="C3121" i="4"/>
  <c r="B3121" i="4"/>
  <c r="A3121" i="4"/>
  <c r="C3120" i="4"/>
  <c r="B3120" i="4"/>
  <c r="A3120" i="4"/>
  <c r="C3119" i="4"/>
  <c r="B3119" i="4"/>
  <c r="A3119" i="4"/>
  <c r="C3118" i="4"/>
  <c r="B3118" i="4"/>
  <c r="A3118" i="4"/>
  <c r="C3117" i="4"/>
  <c r="B3117" i="4"/>
  <c r="A3117" i="4"/>
  <c r="C3116" i="4"/>
  <c r="B3116" i="4"/>
  <c r="A3116" i="4"/>
  <c r="C3115" i="4"/>
  <c r="B3115" i="4"/>
  <c r="A3115" i="4"/>
  <c r="C3114" i="4"/>
  <c r="B3114" i="4"/>
  <c r="A3114" i="4"/>
  <c r="C3113" i="4"/>
  <c r="B3113" i="4"/>
  <c r="A3113" i="4"/>
  <c r="C3112" i="4"/>
  <c r="B3112" i="4"/>
  <c r="A3112" i="4"/>
  <c r="C3111" i="4"/>
  <c r="B3111" i="4"/>
  <c r="A3111" i="4"/>
  <c r="C3110" i="4"/>
  <c r="B3110" i="4"/>
  <c r="A3110" i="4"/>
  <c r="C3109" i="4"/>
  <c r="B3109" i="4"/>
  <c r="A3109" i="4"/>
  <c r="C3108" i="4"/>
  <c r="B3108" i="4"/>
  <c r="A3108" i="4"/>
  <c r="C3107" i="4"/>
  <c r="B3107" i="4"/>
  <c r="A3107" i="4"/>
  <c r="C3106" i="4"/>
  <c r="B3106" i="4"/>
  <c r="A3106" i="4"/>
  <c r="C3105" i="4"/>
  <c r="B3105" i="4"/>
  <c r="A3105" i="4"/>
  <c r="C3104" i="4"/>
  <c r="B3104" i="4"/>
  <c r="A3104" i="4"/>
  <c r="C3103" i="4"/>
  <c r="B3103" i="4"/>
  <c r="A3103" i="4"/>
  <c r="C3102" i="4"/>
  <c r="B3102" i="4"/>
  <c r="A3102" i="4"/>
  <c r="C3101" i="4"/>
  <c r="B3101" i="4"/>
  <c r="A3101" i="4"/>
  <c r="C3100" i="4"/>
  <c r="B3100" i="4"/>
  <c r="A3100" i="4"/>
  <c r="C3099" i="4"/>
  <c r="B3099" i="4"/>
  <c r="A3099" i="4"/>
  <c r="C3098" i="4"/>
  <c r="B3098" i="4"/>
  <c r="A3098" i="4"/>
  <c r="C3097" i="4"/>
  <c r="B3097" i="4"/>
  <c r="A3097" i="4"/>
  <c r="C3096" i="4"/>
  <c r="B3096" i="4"/>
  <c r="A3096" i="4"/>
  <c r="C3095" i="4"/>
  <c r="B3095" i="4"/>
  <c r="A3095" i="4"/>
  <c r="C3094" i="4"/>
  <c r="B3094" i="4"/>
  <c r="A3094" i="4"/>
  <c r="C3093" i="4"/>
  <c r="B3093" i="4"/>
  <c r="A3093" i="4"/>
  <c r="C3092" i="4"/>
  <c r="B3092" i="4"/>
  <c r="A3092" i="4"/>
  <c r="C3091" i="4"/>
  <c r="B3091" i="4"/>
  <c r="A3091" i="4"/>
  <c r="C3090" i="4"/>
  <c r="B3090" i="4"/>
  <c r="A3090" i="4"/>
  <c r="C3089" i="4"/>
  <c r="B3089" i="4"/>
  <c r="A3089" i="4"/>
  <c r="C3088" i="4"/>
  <c r="B3088" i="4"/>
  <c r="A3088" i="4"/>
  <c r="C3087" i="4"/>
  <c r="B3087" i="4"/>
  <c r="A3087" i="4"/>
  <c r="C3086" i="4"/>
  <c r="B3086" i="4"/>
  <c r="A3086" i="4"/>
  <c r="C3085" i="4"/>
  <c r="B3085" i="4"/>
  <c r="A3085" i="4"/>
  <c r="C3084" i="4"/>
  <c r="B3084" i="4"/>
  <c r="A3084" i="4"/>
  <c r="C3083" i="4"/>
  <c r="B3083" i="4"/>
  <c r="A3083" i="4"/>
  <c r="C3082" i="4"/>
  <c r="B3082" i="4"/>
  <c r="A3082" i="4"/>
  <c r="C3081" i="4"/>
  <c r="B3081" i="4"/>
  <c r="A3081" i="4"/>
  <c r="C3080" i="4"/>
  <c r="B3080" i="4"/>
  <c r="A3080" i="4"/>
  <c r="C3079" i="4"/>
  <c r="B3079" i="4"/>
  <c r="A3079" i="4"/>
  <c r="C3078" i="4"/>
  <c r="B3078" i="4"/>
  <c r="A3078" i="4"/>
  <c r="C3077" i="4"/>
  <c r="B3077" i="4"/>
  <c r="A3077" i="4"/>
  <c r="C3076" i="4"/>
  <c r="B3076" i="4"/>
  <c r="A3076" i="4"/>
  <c r="C3075" i="4"/>
  <c r="B3075" i="4"/>
  <c r="A3075" i="4"/>
  <c r="C3074" i="4"/>
  <c r="B3074" i="4"/>
  <c r="A3074" i="4"/>
  <c r="C3073" i="4"/>
  <c r="B3073" i="4"/>
  <c r="A3073" i="4"/>
  <c r="C3072" i="4"/>
  <c r="B3072" i="4"/>
  <c r="A3072" i="4"/>
  <c r="C3071" i="4"/>
  <c r="B3071" i="4"/>
  <c r="A3071" i="4"/>
  <c r="C3070" i="4"/>
  <c r="B3070" i="4"/>
  <c r="A3070" i="4"/>
  <c r="C3069" i="4"/>
  <c r="B3069" i="4"/>
  <c r="A3069" i="4"/>
  <c r="C3068" i="4"/>
  <c r="B3068" i="4"/>
  <c r="A3068" i="4"/>
  <c r="C3067" i="4"/>
  <c r="B3067" i="4"/>
  <c r="A3067" i="4"/>
  <c r="C3066" i="4"/>
  <c r="B3066" i="4"/>
  <c r="A3066" i="4"/>
  <c r="C3065" i="4"/>
  <c r="B3065" i="4"/>
  <c r="A3065" i="4"/>
  <c r="C3064" i="4"/>
  <c r="B3064" i="4"/>
  <c r="A3064" i="4"/>
  <c r="C3063" i="4"/>
  <c r="B3063" i="4"/>
  <c r="A3063" i="4"/>
  <c r="C3062" i="4"/>
  <c r="B3062" i="4"/>
  <c r="A3062" i="4"/>
  <c r="C3061" i="4"/>
  <c r="B3061" i="4"/>
  <c r="A3061" i="4"/>
  <c r="C3060" i="4"/>
  <c r="B3060" i="4"/>
  <c r="A3060" i="4"/>
  <c r="C3059" i="4"/>
  <c r="B3059" i="4"/>
  <c r="A3059" i="4"/>
  <c r="C3058" i="4"/>
  <c r="B3058" i="4"/>
  <c r="A3058" i="4"/>
  <c r="C3057" i="4"/>
  <c r="B3057" i="4"/>
  <c r="A3057" i="4"/>
  <c r="C3056" i="4"/>
  <c r="B3056" i="4"/>
  <c r="A3056" i="4"/>
  <c r="C3055" i="4"/>
  <c r="B3055" i="4"/>
  <c r="A3055" i="4"/>
  <c r="C3054" i="4"/>
  <c r="B3054" i="4"/>
  <c r="A3054" i="4"/>
  <c r="C3053" i="4"/>
  <c r="B3053" i="4"/>
  <c r="A3053" i="4"/>
  <c r="C3052" i="4"/>
  <c r="B3052" i="4"/>
  <c r="A3052" i="4"/>
  <c r="C3051" i="4"/>
  <c r="B3051" i="4"/>
  <c r="A3051" i="4"/>
  <c r="C3050" i="4"/>
  <c r="B3050" i="4"/>
  <c r="A3050" i="4"/>
  <c r="C3049" i="4"/>
  <c r="B3049" i="4"/>
  <c r="A3049" i="4"/>
  <c r="C3048" i="4"/>
  <c r="B3048" i="4"/>
  <c r="A3048" i="4"/>
  <c r="C3047" i="4"/>
  <c r="B3047" i="4"/>
  <c r="A3047" i="4"/>
  <c r="C3046" i="4"/>
  <c r="B3046" i="4"/>
  <c r="A3046" i="4"/>
  <c r="C3045" i="4"/>
  <c r="B3045" i="4"/>
  <c r="A3045" i="4"/>
  <c r="C3044" i="4"/>
  <c r="B3044" i="4"/>
  <c r="A3044" i="4"/>
  <c r="C3043" i="4"/>
  <c r="B3043" i="4"/>
  <c r="A3043" i="4"/>
  <c r="C3042" i="4"/>
  <c r="B3042" i="4"/>
  <c r="A3042" i="4"/>
  <c r="C3041" i="4"/>
  <c r="B3041" i="4"/>
  <c r="A3041" i="4"/>
  <c r="C3040" i="4"/>
  <c r="B3040" i="4"/>
  <c r="A3040" i="4"/>
  <c r="C3039" i="4"/>
  <c r="B3039" i="4"/>
  <c r="A3039" i="4"/>
  <c r="C3038" i="4"/>
  <c r="B3038" i="4"/>
  <c r="A3038" i="4"/>
  <c r="C3037" i="4"/>
  <c r="B3037" i="4"/>
  <c r="A3037" i="4"/>
  <c r="C3036" i="4"/>
  <c r="B3036" i="4"/>
  <c r="A3036" i="4"/>
  <c r="C3035" i="4"/>
  <c r="B3035" i="4"/>
  <c r="A3035" i="4"/>
  <c r="C3034" i="4"/>
  <c r="B3034" i="4"/>
  <c r="A3034" i="4"/>
  <c r="C3033" i="4"/>
  <c r="B3033" i="4"/>
  <c r="A3033" i="4"/>
  <c r="C3032" i="4"/>
  <c r="B3032" i="4"/>
  <c r="A3032" i="4"/>
  <c r="C3031" i="4"/>
  <c r="B3031" i="4"/>
  <c r="A3031" i="4"/>
  <c r="C3030" i="4"/>
  <c r="B3030" i="4"/>
  <c r="A3030" i="4"/>
  <c r="C3029" i="4"/>
  <c r="B3029" i="4"/>
  <c r="A3029" i="4"/>
  <c r="C3028" i="4"/>
  <c r="B3028" i="4"/>
  <c r="A3028" i="4"/>
  <c r="C3027" i="4"/>
  <c r="B3027" i="4"/>
  <c r="A3027" i="4"/>
  <c r="C3026" i="4"/>
  <c r="B3026" i="4"/>
  <c r="A3026" i="4"/>
  <c r="C3025" i="4"/>
  <c r="B3025" i="4"/>
  <c r="A3025" i="4"/>
  <c r="C3024" i="4"/>
  <c r="B3024" i="4"/>
  <c r="A3024" i="4"/>
  <c r="C3023" i="4"/>
  <c r="B3023" i="4"/>
  <c r="A3023" i="4"/>
  <c r="C3022" i="4"/>
  <c r="B3022" i="4"/>
  <c r="A3022" i="4"/>
  <c r="C3021" i="4"/>
  <c r="B3021" i="4"/>
  <c r="A3021" i="4"/>
  <c r="C3020" i="4"/>
  <c r="B3020" i="4"/>
  <c r="A3020" i="4"/>
  <c r="C3019" i="4"/>
  <c r="B3019" i="4"/>
  <c r="A3019" i="4"/>
  <c r="C3018" i="4"/>
  <c r="B3018" i="4"/>
  <c r="A3018" i="4"/>
  <c r="C3017" i="4"/>
  <c r="B3017" i="4"/>
  <c r="A3017" i="4"/>
  <c r="C3016" i="4"/>
  <c r="B3016" i="4"/>
  <c r="A3016" i="4"/>
  <c r="C3015" i="4"/>
  <c r="B3015" i="4"/>
  <c r="A3015" i="4"/>
  <c r="C3014" i="4"/>
  <c r="B3014" i="4"/>
  <c r="A3014" i="4"/>
  <c r="C3013" i="4"/>
  <c r="B3013" i="4"/>
  <c r="A3013" i="4"/>
  <c r="C3012" i="4"/>
  <c r="B3012" i="4"/>
  <c r="A3012" i="4"/>
  <c r="C3011" i="4"/>
  <c r="B3011" i="4"/>
  <c r="A3011" i="4"/>
  <c r="C3010" i="4"/>
  <c r="B3010" i="4"/>
  <c r="A3010" i="4"/>
  <c r="C3009" i="4"/>
  <c r="B3009" i="4"/>
  <c r="A3009" i="4"/>
  <c r="C3008" i="4"/>
  <c r="B3008" i="4"/>
  <c r="A3008" i="4"/>
  <c r="C3007" i="4"/>
  <c r="B3007" i="4"/>
  <c r="A3007" i="4"/>
  <c r="C3006" i="4"/>
  <c r="B3006" i="4"/>
  <c r="A3006" i="4"/>
  <c r="C3005" i="4"/>
  <c r="B3005" i="4"/>
  <c r="A3005" i="4"/>
  <c r="C3004" i="4"/>
  <c r="B3004" i="4"/>
  <c r="A3004" i="4"/>
  <c r="C3003" i="4"/>
  <c r="B3003" i="4"/>
  <c r="A3003" i="4"/>
  <c r="C3002" i="4"/>
  <c r="B3002" i="4"/>
  <c r="A3002" i="4"/>
  <c r="C3001" i="4"/>
  <c r="B3001" i="4"/>
  <c r="A3001" i="4"/>
  <c r="C3000" i="4"/>
  <c r="B3000" i="4"/>
  <c r="A3000" i="4"/>
  <c r="C2999" i="4"/>
  <c r="B2999" i="4"/>
  <c r="A2999" i="4"/>
  <c r="C2998" i="4"/>
  <c r="B2998" i="4"/>
  <c r="A2998" i="4"/>
  <c r="C2997" i="4"/>
  <c r="B2997" i="4"/>
  <c r="A2997" i="4"/>
  <c r="C2996" i="4"/>
  <c r="B2996" i="4"/>
  <c r="A2996" i="4"/>
  <c r="C2995" i="4"/>
  <c r="B2995" i="4"/>
  <c r="A2995" i="4"/>
  <c r="C2994" i="4"/>
  <c r="B2994" i="4"/>
  <c r="A2994" i="4"/>
  <c r="C2993" i="4"/>
  <c r="B2993" i="4"/>
  <c r="A2993" i="4"/>
  <c r="C2992" i="4"/>
  <c r="B2992" i="4"/>
  <c r="A2992" i="4"/>
  <c r="C2991" i="4"/>
  <c r="B2991" i="4"/>
  <c r="A2991" i="4"/>
  <c r="C2990" i="4"/>
  <c r="B2990" i="4"/>
  <c r="A2990" i="4"/>
  <c r="C2989" i="4"/>
  <c r="B2989" i="4"/>
  <c r="A2989" i="4"/>
  <c r="C2988" i="4"/>
  <c r="B2988" i="4"/>
  <c r="A2988" i="4"/>
  <c r="C2987" i="4"/>
  <c r="B2987" i="4"/>
  <c r="A2987" i="4"/>
  <c r="C2986" i="4"/>
  <c r="B2986" i="4"/>
  <c r="A2986" i="4"/>
  <c r="C2985" i="4"/>
  <c r="B2985" i="4"/>
  <c r="A2985" i="4"/>
  <c r="C2984" i="4"/>
  <c r="B2984" i="4"/>
  <c r="A2984" i="4"/>
  <c r="C2983" i="4"/>
  <c r="B2983" i="4"/>
  <c r="A2983" i="4"/>
  <c r="C2982" i="4"/>
  <c r="B2982" i="4"/>
  <c r="A2982" i="4"/>
  <c r="C2981" i="4"/>
  <c r="B2981" i="4"/>
  <c r="A2981" i="4"/>
  <c r="C2980" i="4"/>
  <c r="B2980" i="4"/>
  <c r="A2980" i="4"/>
  <c r="C2979" i="4"/>
  <c r="B2979" i="4"/>
  <c r="A2979" i="4"/>
  <c r="C2978" i="4"/>
  <c r="B2978" i="4"/>
  <c r="A2978" i="4"/>
  <c r="C2977" i="4"/>
  <c r="B2977" i="4"/>
  <c r="A2977" i="4"/>
  <c r="C2976" i="4"/>
  <c r="B2976" i="4"/>
  <c r="A2976" i="4"/>
  <c r="C2975" i="4"/>
  <c r="B2975" i="4"/>
  <c r="A2975" i="4"/>
  <c r="C2974" i="4"/>
  <c r="B2974" i="4"/>
  <c r="A2974" i="4"/>
  <c r="C2973" i="4"/>
  <c r="B2973" i="4"/>
  <c r="A2973" i="4"/>
  <c r="C2972" i="4"/>
  <c r="B2972" i="4"/>
  <c r="A2972" i="4"/>
  <c r="C2971" i="4"/>
  <c r="B2971" i="4"/>
  <c r="A2971" i="4"/>
  <c r="C2970" i="4"/>
  <c r="B2970" i="4"/>
  <c r="A2970" i="4"/>
  <c r="C2969" i="4"/>
  <c r="B2969" i="4"/>
  <c r="A2969" i="4"/>
  <c r="C2968" i="4"/>
  <c r="B2968" i="4"/>
  <c r="A2968" i="4"/>
  <c r="C2967" i="4"/>
  <c r="B2967" i="4"/>
  <c r="A2967" i="4"/>
  <c r="C2966" i="4"/>
  <c r="B2966" i="4"/>
  <c r="A2966" i="4"/>
  <c r="C2965" i="4"/>
  <c r="B2965" i="4"/>
  <c r="A2965" i="4"/>
  <c r="C2964" i="4"/>
  <c r="B2964" i="4"/>
  <c r="A2964" i="4"/>
  <c r="C2963" i="4"/>
  <c r="B2963" i="4"/>
  <c r="A2963" i="4"/>
  <c r="C2962" i="4"/>
  <c r="B2962" i="4"/>
  <c r="A2962" i="4"/>
  <c r="C2961" i="4"/>
  <c r="B2961" i="4"/>
  <c r="A2961" i="4"/>
  <c r="C2960" i="4"/>
  <c r="B2960" i="4"/>
  <c r="A2960" i="4"/>
  <c r="C2959" i="4"/>
  <c r="B2959" i="4"/>
  <c r="A2959" i="4"/>
  <c r="C2958" i="4"/>
  <c r="B2958" i="4"/>
  <c r="A2958" i="4"/>
  <c r="C2957" i="4"/>
  <c r="B2957" i="4"/>
  <c r="A2957" i="4"/>
  <c r="C2956" i="4"/>
  <c r="B2956" i="4"/>
  <c r="A2956" i="4"/>
  <c r="C2955" i="4"/>
  <c r="B2955" i="4"/>
  <c r="A2955" i="4"/>
  <c r="C2954" i="4"/>
  <c r="B2954" i="4"/>
  <c r="A2954" i="4"/>
  <c r="C2953" i="4"/>
  <c r="B2953" i="4"/>
  <c r="A2953" i="4"/>
  <c r="C2952" i="4"/>
  <c r="B2952" i="4"/>
  <c r="A2952" i="4"/>
  <c r="C2951" i="4"/>
  <c r="B2951" i="4"/>
  <c r="A2951" i="4"/>
  <c r="C2950" i="4"/>
  <c r="B2950" i="4"/>
  <c r="A2950" i="4"/>
  <c r="C2949" i="4"/>
  <c r="B2949" i="4"/>
  <c r="A2949" i="4"/>
  <c r="C2948" i="4"/>
  <c r="B2948" i="4"/>
  <c r="A2948" i="4"/>
  <c r="C2947" i="4"/>
  <c r="B2947" i="4"/>
  <c r="A2947" i="4"/>
  <c r="C2946" i="4"/>
  <c r="B2946" i="4"/>
  <c r="A2946" i="4"/>
  <c r="C2945" i="4"/>
  <c r="B2945" i="4"/>
  <c r="A2945" i="4"/>
  <c r="C2944" i="4"/>
  <c r="B2944" i="4"/>
  <c r="A2944" i="4"/>
  <c r="C2943" i="4"/>
  <c r="B2943" i="4"/>
  <c r="A2943" i="4"/>
  <c r="C2942" i="4"/>
  <c r="B2942" i="4"/>
  <c r="A2942" i="4"/>
  <c r="C2941" i="4"/>
  <c r="B2941" i="4"/>
  <c r="A2941" i="4"/>
  <c r="C2940" i="4"/>
  <c r="B2940" i="4"/>
  <c r="A2940" i="4"/>
  <c r="C2939" i="4"/>
  <c r="B2939" i="4"/>
  <c r="A2939" i="4"/>
  <c r="C2938" i="4"/>
  <c r="B2938" i="4"/>
  <c r="A2938" i="4"/>
  <c r="C2937" i="4"/>
  <c r="B2937" i="4"/>
  <c r="A2937" i="4"/>
  <c r="C2936" i="4"/>
  <c r="B2936" i="4"/>
  <c r="A2936" i="4"/>
  <c r="C2935" i="4"/>
  <c r="B2935" i="4"/>
  <c r="A2935" i="4"/>
  <c r="C2934" i="4"/>
  <c r="B2934" i="4"/>
  <c r="A2934" i="4"/>
  <c r="C2933" i="4"/>
  <c r="B2933" i="4"/>
  <c r="A2933" i="4"/>
  <c r="C2932" i="4"/>
  <c r="B2932" i="4"/>
  <c r="A2932" i="4"/>
  <c r="C2931" i="4"/>
  <c r="B2931" i="4"/>
  <c r="A2931" i="4"/>
  <c r="C2930" i="4"/>
  <c r="B2930" i="4"/>
  <c r="A2930" i="4"/>
  <c r="C2929" i="4"/>
  <c r="B2929" i="4"/>
  <c r="A2929" i="4"/>
  <c r="C2928" i="4"/>
  <c r="B2928" i="4"/>
  <c r="A2928" i="4"/>
  <c r="C2927" i="4"/>
  <c r="B2927" i="4"/>
  <c r="A2927" i="4"/>
  <c r="C2926" i="4"/>
  <c r="B2926" i="4"/>
  <c r="A2926" i="4"/>
  <c r="C2925" i="4"/>
  <c r="B2925" i="4"/>
  <c r="A2925" i="4"/>
  <c r="C2924" i="4"/>
  <c r="B2924" i="4"/>
  <c r="A2924" i="4"/>
  <c r="C2923" i="4"/>
  <c r="B2923" i="4"/>
  <c r="A2923" i="4"/>
  <c r="C2922" i="4"/>
  <c r="B2922" i="4"/>
  <c r="A2922" i="4"/>
  <c r="C2921" i="4"/>
  <c r="B2921" i="4"/>
  <c r="A2921" i="4"/>
  <c r="C2920" i="4"/>
  <c r="B2920" i="4"/>
  <c r="A2920" i="4"/>
  <c r="C2919" i="4"/>
  <c r="B2919" i="4"/>
  <c r="A2919" i="4"/>
  <c r="C2918" i="4"/>
  <c r="B2918" i="4"/>
  <c r="A2918" i="4"/>
  <c r="C2917" i="4"/>
  <c r="B2917" i="4"/>
  <c r="A2917" i="4"/>
  <c r="C2916" i="4"/>
  <c r="B2916" i="4"/>
  <c r="A2916" i="4"/>
  <c r="C2915" i="4"/>
  <c r="B2915" i="4"/>
  <c r="A2915" i="4"/>
  <c r="C2914" i="4"/>
  <c r="B2914" i="4"/>
  <c r="A2914" i="4"/>
  <c r="C2913" i="4"/>
  <c r="B2913" i="4"/>
  <c r="A2913" i="4"/>
  <c r="C2912" i="4"/>
  <c r="B2912" i="4"/>
  <c r="A2912" i="4"/>
  <c r="C2911" i="4"/>
  <c r="B2911" i="4"/>
  <c r="A2911" i="4"/>
  <c r="C2910" i="4"/>
  <c r="B2910" i="4"/>
  <c r="A2910" i="4"/>
  <c r="C2909" i="4"/>
  <c r="B2909" i="4"/>
  <c r="A2909" i="4"/>
  <c r="C2908" i="4"/>
  <c r="B2908" i="4"/>
  <c r="A2908" i="4"/>
  <c r="C2907" i="4"/>
  <c r="B2907" i="4"/>
  <c r="A2907" i="4"/>
  <c r="C2906" i="4"/>
  <c r="B2906" i="4"/>
  <c r="A2906" i="4"/>
  <c r="C2905" i="4"/>
  <c r="B2905" i="4"/>
  <c r="A2905" i="4"/>
  <c r="C2904" i="4"/>
  <c r="B2904" i="4"/>
  <c r="A2904" i="4"/>
  <c r="C2903" i="4"/>
  <c r="B2903" i="4"/>
  <c r="A2903" i="4"/>
  <c r="C2902" i="4"/>
  <c r="B2902" i="4"/>
  <c r="A2902" i="4"/>
  <c r="C2901" i="4"/>
  <c r="B2901" i="4"/>
  <c r="A2901" i="4"/>
  <c r="C2900" i="4"/>
  <c r="B2900" i="4"/>
  <c r="A2900" i="4"/>
  <c r="C2899" i="4"/>
  <c r="B2899" i="4"/>
  <c r="A2899" i="4"/>
  <c r="C2898" i="4"/>
  <c r="B2898" i="4"/>
  <c r="A2898" i="4"/>
  <c r="C2897" i="4"/>
  <c r="B2897" i="4"/>
  <c r="A2897" i="4"/>
  <c r="C2896" i="4"/>
  <c r="B2896" i="4"/>
  <c r="A2896" i="4"/>
  <c r="C2895" i="4"/>
  <c r="B2895" i="4"/>
  <c r="A2895" i="4"/>
  <c r="C2894" i="4"/>
  <c r="B2894" i="4"/>
  <c r="A2894" i="4"/>
  <c r="C2893" i="4"/>
  <c r="B2893" i="4"/>
  <c r="A2893" i="4"/>
  <c r="C2892" i="4"/>
  <c r="B2892" i="4"/>
  <c r="A2892" i="4"/>
  <c r="C2891" i="4"/>
  <c r="B2891" i="4"/>
  <c r="A2891" i="4"/>
  <c r="C2890" i="4"/>
  <c r="B2890" i="4"/>
  <c r="A2890" i="4"/>
  <c r="C2889" i="4"/>
  <c r="B2889" i="4"/>
  <c r="A2889" i="4"/>
  <c r="C2888" i="4"/>
  <c r="B2888" i="4"/>
  <c r="A2888" i="4"/>
  <c r="C2887" i="4"/>
  <c r="B2887" i="4"/>
  <c r="A2887" i="4"/>
  <c r="C2886" i="4"/>
  <c r="B2886" i="4"/>
  <c r="A2886" i="4"/>
  <c r="C2885" i="4"/>
  <c r="B2885" i="4"/>
  <c r="A2885" i="4"/>
  <c r="C2884" i="4"/>
  <c r="B2884" i="4"/>
  <c r="A2884" i="4"/>
  <c r="C2883" i="4"/>
  <c r="B2883" i="4"/>
  <c r="A2883" i="4"/>
  <c r="C2882" i="4"/>
  <c r="B2882" i="4"/>
  <c r="A2882" i="4"/>
  <c r="C2881" i="4"/>
  <c r="B2881" i="4"/>
  <c r="A2881" i="4"/>
  <c r="C2880" i="4"/>
  <c r="B2880" i="4"/>
  <c r="A2880" i="4"/>
  <c r="C2879" i="4"/>
  <c r="B2879" i="4"/>
  <c r="A2879" i="4"/>
  <c r="C2878" i="4"/>
  <c r="B2878" i="4"/>
  <c r="A2878" i="4"/>
  <c r="C2877" i="4"/>
  <c r="B2877" i="4"/>
  <c r="A2877" i="4"/>
  <c r="C2876" i="4"/>
  <c r="B2876" i="4"/>
  <c r="A2876" i="4"/>
  <c r="C2875" i="4"/>
  <c r="B2875" i="4"/>
  <c r="A2875" i="4"/>
  <c r="C2874" i="4"/>
  <c r="B2874" i="4"/>
  <c r="A2874" i="4"/>
  <c r="C2873" i="4"/>
  <c r="B2873" i="4"/>
  <c r="A2873" i="4"/>
  <c r="C2872" i="4"/>
  <c r="B2872" i="4"/>
  <c r="A2872" i="4"/>
  <c r="C2871" i="4"/>
  <c r="B2871" i="4"/>
  <c r="A2871" i="4"/>
  <c r="C2870" i="4"/>
  <c r="B2870" i="4"/>
  <c r="A2870" i="4"/>
  <c r="C2869" i="4"/>
  <c r="B2869" i="4"/>
  <c r="A2869" i="4"/>
  <c r="C2868" i="4"/>
  <c r="B2868" i="4"/>
  <c r="A2868" i="4"/>
  <c r="C2867" i="4"/>
  <c r="B2867" i="4"/>
  <c r="A2867" i="4"/>
  <c r="C2866" i="4"/>
  <c r="B2866" i="4"/>
  <c r="A2866" i="4"/>
  <c r="C2865" i="4"/>
  <c r="B2865" i="4"/>
  <c r="A2865" i="4"/>
  <c r="C2864" i="4"/>
  <c r="B2864" i="4"/>
  <c r="A2864" i="4"/>
  <c r="C2863" i="4"/>
  <c r="B2863" i="4"/>
  <c r="A2863" i="4"/>
  <c r="C2862" i="4"/>
  <c r="B2862" i="4"/>
  <c r="A2862" i="4"/>
  <c r="C2861" i="4"/>
  <c r="B2861" i="4"/>
  <c r="A2861" i="4"/>
  <c r="C2860" i="4"/>
  <c r="B2860" i="4"/>
  <c r="A2860" i="4"/>
  <c r="C2859" i="4"/>
  <c r="B2859" i="4"/>
  <c r="A2859" i="4"/>
  <c r="C2858" i="4"/>
  <c r="B2858" i="4"/>
  <c r="A2858" i="4"/>
  <c r="C2857" i="4"/>
  <c r="B2857" i="4"/>
  <c r="A2857" i="4"/>
  <c r="C2856" i="4"/>
  <c r="B2856" i="4"/>
  <c r="A2856" i="4"/>
  <c r="C2855" i="4"/>
  <c r="B2855" i="4"/>
  <c r="A2855" i="4"/>
  <c r="C2854" i="4"/>
  <c r="B2854" i="4"/>
  <c r="A2854" i="4"/>
  <c r="C2853" i="4"/>
  <c r="B2853" i="4"/>
  <c r="A2853" i="4"/>
  <c r="C2852" i="4"/>
  <c r="B2852" i="4"/>
  <c r="A2852" i="4"/>
  <c r="C2851" i="4"/>
  <c r="B2851" i="4"/>
  <c r="A2851" i="4"/>
  <c r="C2850" i="4"/>
  <c r="B2850" i="4"/>
  <c r="A2850" i="4"/>
  <c r="C2849" i="4"/>
  <c r="B2849" i="4"/>
  <c r="A2849" i="4"/>
  <c r="C2848" i="4"/>
  <c r="B2848" i="4"/>
  <c r="A2848" i="4"/>
  <c r="C2847" i="4"/>
  <c r="B2847" i="4"/>
  <c r="A2847" i="4"/>
  <c r="C2846" i="4"/>
  <c r="B2846" i="4"/>
  <c r="A2846" i="4"/>
  <c r="C2845" i="4"/>
  <c r="B2845" i="4"/>
  <c r="A2845" i="4"/>
  <c r="C2844" i="4"/>
  <c r="B2844" i="4"/>
  <c r="A2844" i="4"/>
  <c r="C2843" i="4"/>
  <c r="B2843" i="4"/>
  <c r="A2843" i="4"/>
  <c r="C2842" i="4"/>
  <c r="B2842" i="4"/>
  <c r="A2842" i="4"/>
  <c r="C2841" i="4"/>
  <c r="B2841" i="4"/>
  <c r="A2841" i="4"/>
  <c r="C2840" i="4"/>
  <c r="B2840" i="4"/>
  <c r="A2840" i="4"/>
  <c r="C2839" i="4"/>
  <c r="B2839" i="4"/>
  <c r="A2839" i="4"/>
  <c r="C2838" i="4"/>
  <c r="B2838" i="4"/>
  <c r="A2838" i="4"/>
  <c r="C2837" i="4"/>
  <c r="B2837" i="4"/>
  <c r="A2837" i="4"/>
  <c r="C2836" i="4"/>
  <c r="B2836" i="4"/>
  <c r="A2836" i="4"/>
  <c r="C2835" i="4"/>
  <c r="B2835" i="4"/>
  <c r="A2835" i="4"/>
  <c r="C2834" i="4"/>
  <c r="B2834" i="4"/>
  <c r="A2834" i="4"/>
  <c r="C2833" i="4"/>
  <c r="B2833" i="4"/>
  <c r="A2833" i="4"/>
  <c r="C2832" i="4"/>
  <c r="B2832" i="4"/>
  <c r="A2832" i="4"/>
  <c r="C2831" i="4"/>
  <c r="B2831" i="4"/>
  <c r="A2831" i="4"/>
  <c r="C2830" i="4"/>
  <c r="B2830" i="4"/>
  <c r="A2830" i="4"/>
  <c r="C2829" i="4"/>
  <c r="B2829" i="4"/>
  <c r="A2829" i="4"/>
  <c r="C2828" i="4"/>
  <c r="B2828" i="4"/>
  <c r="A2828" i="4"/>
  <c r="C2827" i="4"/>
  <c r="B2827" i="4"/>
  <c r="A2827" i="4"/>
  <c r="C2826" i="4"/>
  <c r="B2826" i="4"/>
  <c r="A2826" i="4"/>
  <c r="C2825" i="4"/>
  <c r="B2825" i="4"/>
  <c r="A2825" i="4"/>
  <c r="C2824" i="4"/>
  <c r="B2824" i="4"/>
  <c r="A2824" i="4"/>
  <c r="C2823" i="4"/>
  <c r="B2823" i="4"/>
  <c r="A2823" i="4"/>
  <c r="C2822" i="4"/>
  <c r="B2822" i="4"/>
  <c r="A2822" i="4"/>
  <c r="C2821" i="4"/>
  <c r="B2821" i="4"/>
  <c r="A2821" i="4"/>
  <c r="C2820" i="4"/>
  <c r="B2820" i="4"/>
  <c r="A2820" i="4"/>
  <c r="C2819" i="4"/>
  <c r="B2819" i="4"/>
  <c r="A2819" i="4"/>
  <c r="C2818" i="4"/>
  <c r="B2818" i="4"/>
  <c r="A2818" i="4"/>
  <c r="C2817" i="4"/>
  <c r="B2817" i="4"/>
  <c r="A2817" i="4"/>
  <c r="C2816" i="4"/>
  <c r="B2816" i="4"/>
  <c r="A2816" i="4"/>
  <c r="C2815" i="4"/>
  <c r="B2815" i="4"/>
  <c r="A2815" i="4"/>
  <c r="C2814" i="4"/>
  <c r="B2814" i="4"/>
  <c r="A2814" i="4"/>
  <c r="C2813" i="4"/>
  <c r="B2813" i="4"/>
  <c r="A2813" i="4"/>
  <c r="C2812" i="4"/>
  <c r="B2812" i="4"/>
  <c r="A2812" i="4"/>
  <c r="C2811" i="4"/>
  <c r="B2811" i="4"/>
  <c r="A2811" i="4"/>
  <c r="C2810" i="4"/>
  <c r="B2810" i="4"/>
  <c r="A2810" i="4"/>
  <c r="C2809" i="4"/>
  <c r="B2809" i="4"/>
  <c r="A2809" i="4"/>
  <c r="C2808" i="4"/>
  <c r="B2808" i="4"/>
  <c r="A2808" i="4"/>
  <c r="C2807" i="4"/>
  <c r="B2807" i="4"/>
  <c r="A2807" i="4"/>
  <c r="C2806" i="4"/>
  <c r="B2806" i="4"/>
  <c r="A2806" i="4"/>
  <c r="C2805" i="4"/>
  <c r="B2805" i="4"/>
  <c r="A2805" i="4"/>
  <c r="C2804" i="4"/>
  <c r="B2804" i="4"/>
  <c r="A2804" i="4"/>
  <c r="C2803" i="4"/>
  <c r="B2803" i="4"/>
  <c r="A2803" i="4"/>
  <c r="C2802" i="4"/>
  <c r="B2802" i="4"/>
  <c r="A2802" i="4"/>
  <c r="C2801" i="4"/>
  <c r="B2801" i="4"/>
  <c r="A2801" i="4"/>
  <c r="C2800" i="4"/>
  <c r="B2800" i="4"/>
  <c r="A2800" i="4"/>
  <c r="C2799" i="4"/>
  <c r="B2799" i="4"/>
  <c r="A2799" i="4"/>
  <c r="C2798" i="4"/>
  <c r="B2798" i="4"/>
  <c r="A2798" i="4"/>
  <c r="C2797" i="4"/>
  <c r="B2797" i="4"/>
  <c r="A2797" i="4"/>
  <c r="C2796" i="4"/>
  <c r="B2796" i="4"/>
  <c r="A2796" i="4"/>
  <c r="C2795" i="4"/>
  <c r="B2795" i="4"/>
  <c r="A2795" i="4"/>
  <c r="C2794" i="4"/>
  <c r="B2794" i="4"/>
  <c r="A2794" i="4"/>
  <c r="C2793" i="4"/>
  <c r="B2793" i="4"/>
  <c r="A2793" i="4"/>
  <c r="C2792" i="4"/>
  <c r="B2792" i="4"/>
  <c r="A2792" i="4"/>
  <c r="C2791" i="4"/>
  <c r="B2791" i="4"/>
  <c r="A2791" i="4"/>
  <c r="C2790" i="4"/>
  <c r="B2790" i="4"/>
  <c r="A2790" i="4"/>
  <c r="C2789" i="4"/>
  <c r="B2789" i="4"/>
  <c r="A2789" i="4"/>
  <c r="C2788" i="4"/>
  <c r="B2788" i="4"/>
  <c r="A2788" i="4"/>
  <c r="C2787" i="4"/>
  <c r="B2787" i="4"/>
  <c r="A2787" i="4"/>
  <c r="C2786" i="4"/>
  <c r="B2786" i="4"/>
  <c r="A2786" i="4"/>
  <c r="C2785" i="4"/>
  <c r="B2785" i="4"/>
  <c r="A2785" i="4"/>
  <c r="C2784" i="4"/>
  <c r="B2784" i="4"/>
  <c r="A2784" i="4"/>
  <c r="C2783" i="4"/>
  <c r="B2783" i="4"/>
  <c r="A2783" i="4"/>
  <c r="C2782" i="4"/>
  <c r="B2782" i="4"/>
  <c r="A2782" i="4"/>
  <c r="C2781" i="4"/>
  <c r="B2781" i="4"/>
  <c r="A2781" i="4"/>
  <c r="C2780" i="4"/>
  <c r="B2780" i="4"/>
  <c r="A2780" i="4"/>
  <c r="C2779" i="4"/>
  <c r="B2779" i="4"/>
  <c r="A2779" i="4"/>
  <c r="C2778" i="4"/>
  <c r="B2778" i="4"/>
  <c r="A2778" i="4"/>
  <c r="C2777" i="4"/>
  <c r="B2777" i="4"/>
  <c r="A2777" i="4"/>
  <c r="C2776" i="4"/>
  <c r="B2776" i="4"/>
  <c r="A2776" i="4"/>
  <c r="C2775" i="4"/>
  <c r="B2775" i="4"/>
  <c r="A2775" i="4"/>
  <c r="C2774" i="4"/>
  <c r="B2774" i="4"/>
  <c r="A2774" i="4"/>
  <c r="C2773" i="4"/>
  <c r="B2773" i="4"/>
  <c r="A2773" i="4"/>
  <c r="C2772" i="4"/>
  <c r="B2772" i="4"/>
  <c r="A2772" i="4"/>
  <c r="C2771" i="4"/>
  <c r="B2771" i="4"/>
  <c r="A2771" i="4"/>
  <c r="C2770" i="4"/>
  <c r="B2770" i="4"/>
  <c r="A2770" i="4"/>
  <c r="C2769" i="4"/>
  <c r="B2769" i="4"/>
  <c r="A2769" i="4"/>
  <c r="C2768" i="4"/>
  <c r="B2768" i="4"/>
  <c r="A2768" i="4"/>
  <c r="C2767" i="4"/>
  <c r="B2767" i="4"/>
  <c r="A2767" i="4"/>
  <c r="C2766" i="4"/>
  <c r="B2766" i="4"/>
  <c r="A2766" i="4"/>
  <c r="C2765" i="4"/>
  <c r="B2765" i="4"/>
  <c r="A2765" i="4"/>
  <c r="C2764" i="4"/>
  <c r="B2764" i="4"/>
  <c r="A2764" i="4"/>
  <c r="C2763" i="4"/>
  <c r="B2763" i="4"/>
  <c r="A2763" i="4"/>
  <c r="C2762" i="4"/>
  <c r="B2762" i="4"/>
  <c r="A2762" i="4"/>
  <c r="C2761" i="4"/>
  <c r="B2761" i="4"/>
  <c r="A2761" i="4"/>
  <c r="C2760" i="4"/>
  <c r="B2760" i="4"/>
  <c r="A2760" i="4"/>
  <c r="C2759" i="4"/>
  <c r="B2759" i="4"/>
  <c r="A2759" i="4"/>
  <c r="C2758" i="4"/>
  <c r="B2758" i="4"/>
  <c r="A2758" i="4"/>
  <c r="C2757" i="4"/>
  <c r="B2757" i="4"/>
  <c r="A2757" i="4"/>
  <c r="C2756" i="4"/>
  <c r="B2756" i="4"/>
  <c r="A2756" i="4"/>
  <c r="C2755" i="4"/>
  <c r="B2755" i="4"/>
  <c r="A2755" i="4"/>
  <c r="C2754" i="4"/>
  <c r="B2754" i="4"/>
  <c r="A2754" i="4"/>
  <c r="C2753" i="4"/>
  <c r="B2753" i="4"/>
  <c r="A2753" i="4"/>
  <c r="C2752" i="4"/>
  <c r="B2752" i="4"/>
  <c r="A2752" i="4"/>
  <c r="C2751" i="4"/>
  <c r="B2751" i="4"/>
  <c r="A2751" i="4"/>
  <c r="C2750" i="4"/>
  <c r="B2750" i="4"/>
  <c r="A2750" i="4"/>
  <c r="C2749" i="4"/>
  <c r="B2749" i="4"/>
  <c r="A2749" i="4"/>
  <c r="C2748" i="4"/>
  <c r="B2748" i="4"/>
  <c r="A2748" i="4"/>
  <c r="C2747" i="4"/>
  <c r="B2747" i="4"/>
  <c r="A2747" i="4"/>
  <c r="C2746" i="4"/>
  <c r="B2746" i="4"/>
  <c r="A2746" i="4"/>
  <c r="C2745" i="4"/>
  <c r="B2745" i="4"/>
  <c r="A2745" i="4"/>
  <c r="C2744" i="4"/>
  <c r="B2744" i="4"/>
  <c r="A2744" i="4"/>
  <c r="C2743" i="4"/>
  <c r="B2743" i="4"/>
  <c r="A2743" i="4"/>
  <c r="C2742" i="4"/>
  <c r="B2742" i="4"/>
  <c r="A2742" i="4"/>
  <c r="C2741" i="4"/>
  <c r="B2741" i="4"/>
  <c r="A2741" i="4"/>
  <c r="C2740" i="4"/>
  <c r="B2740" i="4"/>
  <c r="A2740" i="4"/>
  <c r="C2739" i="4"/>
  <c r="B2739" i="4"/>
  <c r="A2739" i="4"/>
  <c r="C2738" i="4"/>
  <c r="B2738" i="4"/>
  <c r="A2738" i="4"/>
  <c r="C2737" i="4"/>
  <c r="B2737" i="4"/>
  <c r="A2737" i="4"/>
  <c r="C2736" i="4"/>
  <c r="B2736" i="4"/>
  <c r="A2736" i="4"/>
  <c r="C2735" i="4"/>
  <c r="B2735" i="4"/>
  <c r="A2735" i="4"/>
  <c r="C2734" i="4"/>
  <c r="B2734" i="4"/>
  <c r="A2734" i="4"/>
  <c r="C2733" i="4"/>
  <c r="B2733" i="4"/>
  <c r="A2733" i="4"/>
  <c r="C2732" i="4"/>
  <c r="B2732" i="4"/>
  <c r="A2732" i="4"/>
  <c r="C2731" i="4"/>
  <c r="B2731" i="4"/>
  <c r="A2731" i="4"/>
  <c r="C2730" i="4"/>
  <c r="B2730" i="4"/>
  <c r="A2730" i="4"/>
  <c r="C2729" i="4"/>
  <c r="B2729" i="4"/>
  <c r="A2729" i="4"/>
  <c r="C2728" i="4"/>
  <c r="B2728" i="4"/>
  <c r="A2728" i="4"/>
  <c r="C2727" i="4"/>
  <c r="B2727" i="4"/>
  <c r="A2727" i="4"/>
  <c r="C2726" i="4"/>
  <c r="B2726" i="4"/>
  <c r="A2726" i="4"/>
  <c r="C2725" i="4"/>
  <c r="B2725" i="4"/>
  <c r="A2725" i="4"/>
  <c r="C2724" i="4"/>
  <c r="B2724" i="4"/>
  <c r="A2724" i="4"/>
  <c r="C2723" i="4"/>
  <c r="B2723" i="4"/>
  <c r="A2723" i="4"/>
  <c r="C2722" i="4"/>
  <c r="B2722" i="4"/>
  <c r="A2722" i="4"/>
  <c r="C2721" i="4"/>
  <c r="B2721" i="4"/>
  <c r="A2721" i="4"/>
  <c r="C2720" i="4"/>
  <c r="B2720" i="4"/>
  <c r="A2720" i="4"/>
  <c r="C2719" i="4"/>
  <c r="B2719" i="4"/>
  <c r="A2719" i="4"/>
  <c r="C2718" i="4"/>
  <c r="B2718" i="4"/>
  <c r="A2718" i="4"/>
  <c r="C2717" i="4"/>
  <c r="B2717" i="4"/>
  <c r="A2717" i="4"/>
  <c r="C2716" i="4"/>
  <c r="B2716" i="4"/>
  <c r="A2716" i="4"/>
  <c r="C2715" i="4"/>
  <c r="B2715" i="4"/>
  <c r="A2715" i="4"/>
  <c r="C2714" i="4"/>
  <c r="B2714" i="4"/>
  <c r="A2714" i="4"/>
  <c r="C2713" i="4"/>
  <c r="B2713" i="4"/>
  <c r="A2713" i="4"/>
  <c r="C2712" i="4"/>
  <c r="B2712" i="4"/>
  <c r="A2712" i="4"/>
  <c r="C2711" i="4"/>
  <c r="B2711" i="4"/>
  <c r="A2711" i="4"/>
  <c r="C2710" i="4"/>
  <c r="B2710" i="4"/>
  <c r="A2710" i="4"/>
  <c r="C2709" i="4"/>
  <c r="B2709" i="4"/>
  <c r="A2709" i="4"/>
  <c r="C2708" i="4"/>
  <c r="B2708" i="4"/>
  <c r="A2708" i="4"/>
  <c r="C2707" i="4"/>
  <c r="B2707" i="4"/>
  <c r="A2707" i="4"/>
  <c r="C2706" i="4"/>
  <c r="B2706" i="4"/>
  <c r="A2706" i="4"/>
  <c r="C2705" i="4"/>
  <c r="B2705" i="4"/>
  <c r="A2705" i="4"/>
  <c r="C2704" i="4"/>
  <c r="B2704" i="4"/>
  <c r="A2704" i="4"/>
  <c r="C2703" i="4"/>
  <c r="B2703" i="4"/>
  <c r="A2703" i="4"/>
  <c r="C2702" i="4"/>
  <c r="B2702" i="4"/>
  <c r="A2702" i="4"/>
  <c r="C2701" i="4"/>
  <c r="B2701" i="4"/>
  <c r="A2701" i="4"/>
  <c r="C2700" i="4"/>
  <c r="B2700" i="4"/>
  <c r="A2700" i="4"/>
  <c r="C2699" i="4"/>
  <c r="B2699" i="4"/>
  <c r="A2699" i="4"/>
  <c r="C2698" i="4"/>
  <c r="B2698" i="4"/>
  <c r="A2698" i="4"/>
  <c r="C2697" i="4"/>
  <c r="B2697" i="4"/>
  <c r="A2697" i="4"/>
  <c r="C2696" i="4"/>
  <c r="B2696" i="4"/>
  <c r="A2696" i="4"/>
  <c r="C2695" i="4"/>
  <c r="B2695" i="4"/>
  <c r="A2695" i="4"/>
  <c r="C2694" i="4"/>
  <c r="B2694" i="4"/>
  <c r="A2694" i="4"/>
  <c r="C2693" i="4"/>
  <c r="B2693" i="4"/>
  <c r="A2693" i="4"/>
  <c r="C2692" i="4"/>
  <c r="B2692" i="4"/>
  <c r="A2692" i="4"/>
  <c r="C2691" i="4"/>
  <c r="B2691" i="4"/>
  <c r="A2691" i="4"/>
  <c r="C2690" i="4"/>
  <c r="B2690" i="4"/>
  <c r="A2690" i="4"/>
  <c r="C2689" i="4"/>
  <c r="B2689" i="4"/>
  <c r="A2689" i="4"/>
  <c r="C2688" i="4"/>
  <c r="B2688" i="4"/>
  <c r="A2688" i="4"/>
  <c r="C2687" i="4"/>
  <c r="B2687" i="4"/>
  <c r="A2687" i="4"/>
  <c r="C2686" i="4"/>
  <c r="B2686" i="4"/>
  <c r="A2686" i="4"/>
  <c r="C2685" i="4"/>
  <c r="B2685" i="4"/>
  <c r="A2685" i="4"/>
  <c r="C2684" i="4"/>
  <c r="B2684" i="4"/>
  <c r="A2684" i="4"/>
  <c r="C2683" i="4"/>
  <c r="B2683" i="4"/>
  <c r="A2683" i="4"/>
  <c r="C2682" i="4"/>
  <c r="B2682" i="4"/>
  <c r="A2682" i="4"/>
  <c r="C2681" i="4"/>
  <c r="B2681" i="4"/>
  <c r="A2681" i="4"/>
  <c r="C2680" i="4"/>
  <c r="B2680" i="4"/>
  <c r="A2680" i="4"/>
  <c r="C2679" i="4"/>
  <c r="B2679" i="4"/>
  <c r="A2679" i="4"/>
  <c r="C2678" i="4"/>
  <c r="B2678" i="4"/>
  <c r="A2678" i="4"/>
  <c r="C2677" i="4"/>
  <c r="B2677" i="4"/>
  <c r="A2677" i="4"/>
  <c r="C2676" i="4"/>
  <c r="B2676" i="4"/>
  <c r="A2676" i="4"/>
  <c r="C2675" i="4"/>
  <c r="B2675" i="4"/>
  <c r="A2675" i="4"/>
  <c r="C2674" i="4"/>
  <c r="B2674" i="4"/>
  <c r="A2674" i="4"/>
  <c r="C2673" i="4"/>
  <c r="B2673" i="4"/>
  <c r="A2673" i="4"/>
  <c r="C2672" i="4"/>
  <c r="B2672" i="4"/>
  <c r="A2672" i="4"/>
  <c r="C2671" i="4"/>
  <c r="B2671" i="4"/>
  <c r="A2671" i="4"/>
  <c r="C2670" i="4"/>
  <c r="B2670" i="4"/>
  <c r="A2670" i="4"/>
  <c r="C2669" i="4"/>
  <c r="B2669" i="4"/>
  <c r="A2669" i="4"/>
  <c r="C2668" i="4"/>
  <c r="B2668" i="4"/>
  <c r="A2668" i="4"/>
  <c r="C2667" i="4"/>
  <c r="B2667" i="4"/>
  <c r="A2667" i="4"/>
  <c r="C2666" i="4"/>
  <c r="B2666" i="4"/>
  <c r="A2666" i="4"/>
  <c r="C2665" i="4"/>
  <c r="B2665" i="4"/>
  <c r="A2665" i="4"/>
  <c r="C2664" i="4"/>
  <c r="B2664" i="4"/>
  <c r="A2664" i="4"/>
  <c r="C2663" i="4"/>
  <c r="B2663" i="4"/>
  <c r="A2663" i="4"/>
  <c r="C2662" i="4"/>
  <c r="B2662" i="4"/>
  <c r="A2662" i="4"/>
  <c r="C2661" i="4"/>
  <c r="B2661" i="4"/>
  <c r="A2661" i="4"/>
  <c r="C2660" i="4"/>
  <c r="B2660" i="4"/>
  <c r="A2660" i="4"/>
  <c r="C2659" i="4"/>
  <c r="B2659" i="4"/>
  <c r="A2659" i="4"/>
  <c r="C2658" i="4"/>
  <c r="B2658" i="4"/>
  <c r="A2658" i="4"/>
  <c r="C2657" i="4"/>
  <c r="B2657" i="4"/>
  <c r="A2657" i="4"/>
  <c r="C2656" i="4"/>
  <c r="B2656" i="4"/>
  <c r="A2656" i="4"/>
  <c r="C2655" i="4"/>
  <c r="B2655" i="4"/>
  <c r="A2655" i="4"/>
  <c r="C2654" i="4"/>
  <c r="B2654" i="4"/>
  <c r="A2654" i="4"/>
  <c r="C2653" i="4"/>
  <c r="B2653" i="4"/>
  <c r="A2653" i="4"/>
  <c r="C2652" i="4"/>
  <c r="B2652" i="4"/>
  <c r="A2652" i="4"/>
  <c r="C2651" i="4"/>
  <c r="B2651" i="4"/>
  <c r="A2651" i="4"/>
  <c r="C2650" i="4"/>
  <c r="B2650" i="4"/>
  <c r="A2650" i="4"/>
  <c r="C2649" i="4"/>
  <c r="B2649" i="4"/>
  <c r="A2649" i="4"/>
  <c r="C2648" i="4"/>
  <c r="B2648" i="4"/>
  <c r="A2648" i="4"/>
  <c r="C2647" i="4"/>
  <c r="B2647" i="4"/>
  <c r="A2647" i="4"/>
  <c r="C2646" i="4"/>
  <c r="B2646" i="4"/>
  <c r="A2646" i="4"/>
  <c r="C2645" i="4"/>
  <c r="B2645" i="4"/>
  <c r="A2645" i="4"/>
  <c r="C2644" i="4"/>
  <c r="B2644" i="4"/>
  <c r="A2644" i="4"/>
  <c r="C2643" i="4"/>
  <c r="B2643" i="4"/>
  <c r="A2643" i="4"/>
  <c r="C2642" i="4"/>
  <c r="B2642" i="4"/>
  <c r="A2642" i="4"/>
  <c r="C2641" i="4"/>
  <c r="B2641" i="4"/>
  <c r="A2641" i="4"/>
  <c r="C2640" i="4"/>
  <c r="B2640" i="4"/>
  <c r="A2640" i="4"/>
  <c r="C2639" i="4"/>
  <c r="B2639" i="4"/>
  <c r="A2639" i="4"/>
  <c r="C2638" i="4"/>
  <c r="B2638" i="4"/>
  <c r="A2638" i="4"/>
  <c r="C2637" i="4"/>
  <c r="B2637" i="4"/>
  <c r="A2637" i="4"/>
  <c r="C2636" i="4"/>
  <c r="B2636" i="4"/>
  <c r="A2636" i="4"/>
  <c r="C2635" i="4"/>
  <c r="B2635" i="4"/>
  <c r="A2635" i="4"/>
  <c r="C2634" i="4"/>
  <c r="B2634" i="4"/>
  <c r="A2634" i="4"/>
  <c r="C2633" i="4"/>
  <c r="B2633" i="4"/>
  <c r="A2633" i="4"/>
  <c r="C2632" i="4"/>
  <c r="B2632" i="4"/>
  <c r="A2632" i="4"/>
  <c r="C2631" i="4"/>
  <c r="B2631" i="4"/>
  <c r="A2631" i="4"/>
  <c r="C2630" i="4"/>
  <c r="B2630" i="4"/>
  <c r="A2630" i="4"/>
  <c r="C2629" i="4"/>
  <c r="B2629" i="4"/>
  <c r="A2629" i="4"/>
  <c r="C2628" i="4"/>
  <c r="B2628" i="4"/>
  <c r="A2628" i="4"/>
  <c r="C2627" i="4"/>
  <c r="B2627" i="4"/>
  <c r="A2627" i="4"/>
  <c r="C2626" i="4"/>
  <c r="B2626" i="4"/>
  <c r="A2626" i="4"/>
  <c r="C2625" i="4"/>
  <c r="B2625" i="4"/>
  <c r="A2625" i="4"/>
  <c r="C2624" i="4"/>
  <c r="B2624" i="4"/>
  <c r="A2624" i="4"/>
  <c r="C2623" i="4"/>
  <c r="B2623" i="4"/>
  <c r="A2623" i="4"/>
  <c r="C2622" i="4"/>
  <c r="B2622" i="4"/>
  <c r="A2622" i="4"/>
  <c r="C2621" i="4"/>
  <c r="B2621" i="4"/>
  <c r="A2621" i="4"/>
  <c r="C2620" i="4"/>
  <c r="B2620" i="4"/>
  <c r="A2620" i="4"/>
  <c r="C2619" i="4"/>
  <c r="B2619" i="4"/>
  <c r="A2619" i="4"/>
  <c r="C2618" i="4"/>
  <c r="B2618" i="4"/>
  <c r="A2618" i="4"/>
  <c r="C2617" i="4"/>
  <c r="B2617" i="4"/>
  <c r="A2617" i="4"/>
  <c r="C2616" i="4"/>
  <c r="B2616" i="4"/>
  <c r="A2616" i="4"/>
  <c r="C2615" i="4"/>
  <c r="B2615" i="4"/>
  <c r="A2615" i="4"/>
  <c r="C2614" i="4"/>
  <c r="B2614" i="4"/>
  <c r="A2614" i="4"/>
  <c r="C2613" i="4"/>
  <c r="B2613" i="4"/>
  <c r="A2613" i="4"/>
  <c r="C2612" i="4"/>
  <c r="B2612" i="4"/>
  <c r="A2612" i="4"/>
  <c r="C2611" i="4"/>
  <c r="B2611" i="4"/>
  <c r="A2611" i="4"/>
  <c r="C2610" i="4"/>
  <c r="B2610" i="4"/>
  <c r="A2610" i="4"/>
  <c r="C2609" i="4"/>
  <c r="B2609" i="4"/>
  <c r="A2609" i="4"/>
  <c r="C2608" i="4"/>
  <c r="B2608" i="4"/>
  <c r="A2608" i="4"/>
  <c r="C2607" i="4"/>
  <c r="B2607" i="4"/>
  <c r="A2607" i="4"/>
  <c r="C2606" i="4"/>
  <c r="B2606" i="4"/>
  <c r="A2606" i="4"/>
  <c r="C2605" i="4"/>
  <c r="B2605" i="4"/>
  <c r="A2605" i="4"/>
  <c r="C2604" i="4"/>
  <c r="B2604" i="4"/>
  <c r="A2604" i="4"/>
  <c r="C2603" i="4"/>
  <c r="B2603" i="4"/>
  <c r="A2603" i="4"/>
  <c r="C2602" i="4"/>
  <c r="B2602" i="4"/>
  <c r="A2602" i="4"/>
  <c r="C2601" i="4"/>
  <c r="B2601" i="4"/>
  <c r="A2601" i="4"/>
  <c r="C2600" i="4"/>
  <c r="B2600" i="4"/>
  <c r="A2600" i="4"/>
  <c r="C2599" i="4"/>
  <c r="B2599" i="4"/>
  <c r="A2599" i="4"/>
  <c r="C2598" i="4"/>
  <c r="B2598" i="4"/>
  <c r="A2598" i="4"/>
  <c r="C2597" i="4"/>
  <c r="B2597" i="4"/>
  <c r="A2597" i="4"/>
  <c r="C2596" i="4"/>
  <c r="B2596" i="4"/>
  <c r="A2596" i="4"/>
  <c r="C2595" i="4"/>
  <c r="B2595" i="4"/>
  <c r="A2595" i="4"/>
  <c r="C2594" i="4"/>
  <c r="B2594" i="4"/>
  <c r="A2594" i="4"/>
  <c r="C2593" i="4"/>
  <c r="B2593" i="4"/>
  <c r="A2593" i="4"/>
  <c r="C2592" i="4"/>
  <c r="B2592" i="4"/>
  <c r="A2592" i="4"/>
  <c r="C2591" i="4"/>
  <c r="B2591" i="4"/>
  <c r="A2591" i="4"/>
  <c r="C2590" i="4"/>
  <c r="B2590" i="4"/>
  <c r="A2590" i="4"/>
  <c r="C2589" i="4"/>
  <c r="B2589" i="4"/>
  <c r="A2589" i="4"/>
  <c r="C2588" i="4"/>
  <c r="B2588" i="4"/>
  <c r="A2588" i="4"/>
  <c r="C2587" i="4"/>
  <c r="B2587" i="4"/>
  <c r="A2587" i="4"/>
  <c r="C2586" i="4"/>
  <c r="B2586" i="4"/>
  <c r="A2586" i="4"/>
  <c r="C2585" i="4"/>
  <c r="B2585" i="4"/>
  <c r="A2585" i="4"/>
  <c r="C2584" i="4"/>
  <c r="B2584" i="4"/>
  <c r="A2584" i="4"/>
  <c r="C2583" i="4"/>
  <c r="B2583" i="4"/>
  <c r="A2583" i="4"/>
  <c r="C2582" i="4"/>
  <c r="B2582" i="4"/>
  <c r="A2582" i="4"/>
  <c r="C2581" i="4"/>
  <c r="B2581" i="4"/>
  <c r="A2581" i="4"/>
  <c r="C2580" i="4"/>
  <c r="B2580" i="4"/>
  <c r="A2580" i="4"/>
  <c r="C2579" i="4"/>
  <c r="B2579" i="4"/>
  <c r="A2579" i="4"/>
  <c r="C2578" i="4"/>
  <c r="B2578" i="4"/>
  <c r="A2578" i="4"/>
  <c r="C2577" i="4"/>
  <c r="B2577" i="4"/>
  <c r="A2577" i="4"/>
  <c r="C2576" i="4"/>
  <c r="B2576" i="4"/>
  <c r="A2576" i="4"/>
  <c r="C2575" i="4"/>
  <c r="B2575" i="4"/>
  <c r="A2575" i="4"/>
  <c r="C2574" i="4"/>
  <c r="B2574" i="4"/>
  <c r="A2574" i="4"/>
  <c r="C2573" i="4"/>
  <c r="B2573" i="4"/>
  <c r="A2573" i="4"/>
  <c r="C2572" i="4"/>
  <c r="B2572" i="4"/>
  <c r="A2572" i="4"/>
  <c r="C2571" i="4"/>
  <c r="B2571" i="4"/>
  <c r="A2571" i="4"/>
  <c r="C2570" i="4"/>
  <c r="B2570" i="4"/>
  <c r="A2570" i="4"/>
  <c r="C2569" i="4"/>
  <c r="B2569" i="4"/>
  <c r="A2569" i="4"/>
  <c r="C2568" i="4"/>
  <c r="B2568" i="4"/>
  <c r="A2568" i="4"/>
  <c r="C2567" i="4"/>
  <c r="B2567" i="4"/>
  <c r="A2567" i="4"/>
  <c r="C2566" i="4"/>
  <c r="B2566" i="4"/>
  <c r="A2566" i="4"/>
  <c r="C2565" i="4"/>
  <c r="B2565" i="4"/>
  <c r="A2565" i="4"/>
  <c r="C2564" i="4"/>
  <c r="B2564" i="4"/>
  <c r="A2564" i="4"/>
  <c r="C2563" i="4"/>
  <c r="B2563" i="4"/>
  <c r="A2563" i="4"/>
  <c r="C2562" i="4"/>
  <c r="B2562" i="4"/>
  <c r="A2562" i="4"/>
  <c r="C2561" i="4"/>
  <c r="B2561" i="4"/>
  <c r="A2561" i="4"/>
  <c r="C2560" i="4"/>
  <c r="B2560" i="4"/>
  <c r="A2560" i="4"/>
  <c r="C2559" i="4"/>
  <c r="B2559" i="4"/>
  <c r="A2559" i="4"/>
  <c r="C2558" i="4"/>
  <c r="B2558" i="4"/>
  <c r="A2558" i="4"/>
  <c r="C2557" i="4"/>
  <c r="B2557" i="4"/>
  <c r="A2557" i="4"/>
  <c r="C2556" i="4"/>
  <c r="B2556" i="4"/>
  <c r="A2556" i="4"/>
  <c r="C2555" i="4"/>
  <c r="B2555" i="4"/>
  <c r="A2555" i="4"/>
  <c r="C2554" i="4"/>
  <c r="B2554" i="4"/>
  <c r="A2554" i="4"/>
  <c r="C2553" i="4"/>
  <c r="B2553" i="4"/>
  <c r="A2553" i="4"/>
  <c r="C2552" i="4"/>
  <c r="B2552" i="4"/>
  <c r="A2552" i="4"/>
  <c r="C2551" i="4"/>
  <c r="B2551" i="4"/>
  <c r="A2551" i="4"/>
  <c r="C2550" i="4"/>
  <c r="B2550" i="4"/>
  <c r="A2550" i="4"/>
  <c r="C2549" i="4"/>
  <c r="B2549" i="4"/>
  <c r="A2549" i="4"/>
  <c r="C2548" i="4"/>
  <c r="B2548" i="4"/>
  <c r="A2548" i="4"/>
  <c r="C2547" i="4"/>
  <c r="B2547" i="4"/>
  <c r="A2547" i="4"/>
  <c r="C2546" i="4"/>
  <c r="B2546" i="4"/>
  <c r="A2546" i="4"/>
  <c r="C2545" i="4"/>
  <c r="B2545" i="4"/>
  <c r="A2545" i="4"/>
  <c r="C2544" i="4"/>
  <c r="B2544" i="4"/>
  <c r="A2544" i="4"/>
  <c r="C2543" i="4"/>
  <c r="B2543" i="4"/>
  <c r="A2543" i="4"/>
  <c r="C2542" i="4"/>
  <c r="B2542" i="4"/>
  <c r="A2542" i="4"/>
  <c r="C2541" i="4"/>
  <c r="B2541" i="4"/>
  <c r="A2541" i="4"/>
  <c r="C2540" i="4"/>
  <c r="B2540" i="4"/>
  <c r="A2540" i="4"/>
  <c r="C2539" i="4"/>
  <c r="B2539" i="4"/>
  <c r="A2539" i="4"/>
  <c r="C2538" i="4"/>
  <c r="B2538" i="4"/>
  <c r="A2538" i="4"/>
  <c r="C2537" i="4"/>
  <c r="B2537" i="4"/>
  <c r="A2537" i="4"/>
  <c r="C2536" i="4"/>
  <c r="B2536" i="4"/>
  <c r="A2536" i="4"/>
  <c r="C2535" i="4"/>
  <c r="B2535" i="4"/>
  <c r="A2535" i="4"/>
  <c r="C2534" i="4"/>
  <c r="B2534" i="4"/>
  <c r="A2534" i="4"/>
  <c r="C2533" i="4"/>
  <c r="B2533" i="4"/>
  <c r="A2533" i="4"/>
  <c r="C2532" i="4"/>
  <c r="B2532" i="4"/>
  <c r="A2532" i="4"/>
  <c r="C2531" i="4"/>
  <c r="B2531" i="4"/>
  <c r="A2531" i="4"/>
  <c r="C2530" i="4"/>
  <c r="B2530" i="4"/>
  <c r="A2530" i="4"/>
  <c r="C2529" i="4"/>
  <c r="B2529" i="4"/>
  <c r="A2529" i="4"/>
  <c r="C2528" i="4"/>
  <c r="B2528" i="4"/>
  <c r="A2528" i="4"/>
  <c r="C2527" i="4"/>
  <c r="B2527" i="4"/>
  <c r="A2527" i="4"/>
  <c r="C2526" i="4"/>
  <c r="B2526" i="4"/>
  <c r="A2526" i="4"/>
  <c r="C2525" i="4"/>
  <c r="B2525" i="4"/>
  <c r="A2525" i="4"/>
  <c r="C2524" i="4"/>
  <c r="B2524" i="4"/>
  <c r="A2524" i="4"/>
  <c r="C2523" i="4"/>
  <c r="B2523" i="4"/>
  <c r="A2523" i="4"/>
  <c r="C2522" i="4"/>
  <c r="B2522" i="4"/>
  <c r="A2522" i="4"/>
  <c r="C2521" i="4"/>
  <c r="B2521" i="4"/>
  <c r="A2521" i="4"/>
  <c r="C2520" i="4"/>
  <c r="B2520" i="4"/>
  <c r="A2520" i="4"/>
  <c r="C2519" i="4"/>
  <c r="B2519" i="4"/>
  <c r="A2519" i="4"/>
  <c r="C2518" i="4"/>
  <c r="B2518" i="4"/>
  <c r="A2518" i="4"/>
  <c r="C2517" i="4"/>
  <c r="B2517" i="4"/>
  <c r="A2517" i="4"/>
  <c r="C2516" i="4"/>
  <c r="B2516" i="4"/>
  <c r="A2516" i="4"/>
  <c r="C2515" i="4"/>
  <c r="B2515" i="4"/>
  <c r="A2515" i="4"/>
  <c r="C2514" i="4"/>
  <c r="B2514" i="4"/>
  <c r="A2514" i="4"/>
  <c r="C2513" i="4"/>
  <c r="B2513" i="4"/>
  <c r="A2513" i="4"/>
  <c r="C2512" i="4"/>
  <c r="B2512" i="4"/>
  <c r="A2512" i="4"/>
  <c r="C2511" i="4"/>
  <c r="B2511" i="4"/>
  <c r="A2511" i="4"/>
  <c r="C2510" i="4"/>
  <c r="B2510" i="4"/>
  <c r="A2510" i="4"/>
  <c r="C2509" i="4"/>
  <c r="B2509" i="4"/>
  <c r="A2509" i="4"/>
  <c r="C2508" i="4"/>
  <c r="B2508" i="4"/>
  <c r="A2508" i="4"/>
  <c r="C2507" i="4"/>
  <c r="B2507" i="4"/>
  <c r="A2507" i="4"/>
  <c r="C2506" i="4"/>
  <c r="B2506" i="4"/>
  <c r="A2506" i="4"/>
  <c r="C2505" i="4"/>
  <c r="B2505" i="4"/>
  <c r="A2505" i="4"/>
  <c r="C2504" i="4"/>
  <c r="B2504" i="4"/>
  <c r="A2504" i="4"/>
  <c r="C2503" i="4"/>
  <c r="B2503" i="4"/>
  <c r="A2503" i="4"/>
  <c r="C2502" i="4"/>
  <c r="B2502" i="4"/>
  <c r="A2502" i="4"/>
  <c r="C2501" i="4"/>
  <c r="B2501" i="4"/>
  <c r="A2501" i="4"/>
  <c r="C2500" i="4"/>
  <c r="B2500" i="4"/>
  <c r="A2500" i="4"/>
  <c r="C2499" i="4"/>
  <c r="B2499" i="4"/>
  <c r="A2499" i="4"/>
  <c r="C2498" i="4"/>
  <c r="B2498" i="4"/>
  <c r="A2498" i="4"/>
  <c r="C2497" i="4"/>
  <c r="B2497" i="4"/>
  <c r="A2497" i="4"/>
  <c r="C2496" i="4"/>
  <c r="B2496" i="4"/>
  <c r="A2496" i="4"/>
  <c r="C2495" i="4"/>
  <c r="B2495" i="4"/>
  <c r="A2495" i="4"/>
  <c r="C2494" i="4"/>
  <c r="B2494" i="4"/>
  <c r="A2494" i="4"/>
  <c r="C2493" i="4"/>
  <c r="B2493" i="4"/>
  <c r="A2493" i="4"/>
  <c r="C2492" i="4"/>
  <c r="B2492" i="4"/>
  <c r="A2492" i="4"/>
  <c r="C2491" i="4"/>
  <c r="B2491" i="4"/>
  <c r="A2491" i="4"/>
  <c r="C2490" i="4"/>
  <c r="B2490" i="4"/>
  <c r="A2490" i="4"/>
  <c r="C2489" i="4"/>
  <c r="B2489" i="4"/>
  <c r="A2489" i="4"/>
  <c r="C2488" i="4"/>
  <c r="B2488" i="4"/>
  <c r="A2488" i="4"/>
  <c r="C2487" i="4"/>
  <c r="B2487" i="4"/>
  <c r="A2487" i="4"/>
  <c r="C2486" i="4"/>
  <c r="B2486" i="4"/>
  <c r="A2486" i="4"/>
  <c r="C2485" i="4"/>
  <c r="B2485" i="4"/>
  <c r="A2485" i="4"/>
  <c r="C2484" i="4"/>
  <c r="B2484" i="4"/>
  <c r="A2484" i="4"/>
  <c r="C2483" i="4"/>
  <c r="B2483" i="4"/>
  <c r="A2483" i="4"/>
  <c r="C2482" i="4"/>
  <c r="B2482" i="4"/>
  <c r="A2482" i="4"/>
  <c r="C2481" i="4"/>
  <c r="B2481" i="4"/>
  <c r="A2481" i="4"/>
  <c r="C2480" i="4"/>
  <c r="B2480" i="4"/>
  <c r="A2480" i="4"/>
  <c r="C2479" i="4"/>
  <c r="B2479" i="4"/>
  <c r="A2479" i="4"/>
  <c r="C2478" i="4"/>
  <c r="B2478" i="4"/>
  <c r="A2478" i="4"/>
  <c r="C2477" i="4"/>
  <c r="B2477" i="4"/>
  <c r="A2477" i="4"/>
  <c r="C2476" i="4"/>
  <c r="B2476" i="4"/>
  <c r="A2476" i="4"/>
  <c r="C2475" i="4"/>
  <c r="B2475" i="4"/>
  <c r="A2475" i="4"/>
  <c r="C2474" i="4"/>
  <c r="B2474" i="4"/>
  <c r="A2474" i="4"/>
  <c r="C2473" i="4"/>
  <c r="B2473" i="4"/>
  <c r="A2473" i="4"/>
  <c r="C2472" i="4"/>
  <c r="B2472" i="4"/>
  <c r="A2472" i="4"/>
  <c r="C2471" i="4"/>
  <c r="B2471" i="4"/>
  <c r="A2471" i="4"/>
  <c r="C2470" i="4"/>
  <c r="B2470" i="4"/>
  <c r="A2470" i="4"/>
  <c r="C2469" i="4"/>
  <c r="B2469" i="4"/>
  <c r="A2469" i="4"/>
  <c r="C2468" i="4"/>
  <c r="B2468" i="4"/>
  <c r="A2468" i="4"/>
  <c r="C2467" i="4"/>
  <c r="B2467" i="4"/>
  <c r="A2467" i="4"/>
  <c r="C2466" i="4"/>
  <c r="B2466" i="4"/>
  <c r="A2466" i="4"/>
  <c r="C2465" i="4"/>
  <c r="B2465" i="4"/>
  <c r="A2465" i="4"/>
  <c r="C2464" i="4"/>
  <c r="B2464" i="4"/>
  <c r="A2464" i="4"/>
  <c r="C2463" i="4"/>
  <c r="B2463" i="4"/>
  <c r="A2463" i="4"/>
  <c r="C2462" i="4"/>
  <c r="B2462" i="4"/>
  <c r="A2462" i="4"/>
  <c r="C2461" i="4"/>
  <c r="B2461" i="4"/>
  <c r="A2461" i="4"/>
  <c r="C2460" i="4"/>
  <c r="B2460" i="4"/>
  <c r="A2460" i="4"/>
  <c r="C2459" i="4"/>
  <c r="B2459" i="4"/>
  <c r="A2459" i="4"/>
  <c r="C2458" i="4"/>
  <c r="B2458" i="4"/>
  <c r="A2458" i="4"/>
  <c r="C2457" i="4"/>
  <c r="B2457" i="4"/>
  <c r="A2457" i="4"/>
  <c r="C2456" i="4"/>
  <c r="B2456" i="4"/>
  <c r="A2456" i="4"/>
  <c r="C2455" i="4"/>
  <c r="B2455" i="4"/>
  <c r="A2455" i="4"/>
  <c r="C2454" i="4"/>
  <c r="B2454" i="4"/>
  <c r="A2454" i="4"/>
  <c r="C2453" i="4"/>
  <c r="B2453" i="4"/>
  <c r="A2453" i="4"/>
  <c r="C2452" i="4"/>
  <c r="B2452" i="4"/>
  <c r="A2452" i="4"/>
  <c r="C2451" i="4"/>
  <c r="B2451" i="4"/>
  <c r="A2451" i="4"/>
  <c r="C2450" i="4"/>
  <c r="B2450" i="4"/>
  <c r="A2450" i="4"/>
  <c r="C2449" i="4"/>
  <c r="B2449" i="4"/>
  <c r="A2449" i="4"/>
  <c r="C2448" i="4"/>
  <c r="B2448" i="4"/>
  <c r="A2448" i="4"/>
  <c r="C2447" i="4"/>
  <c r="B2447" i="4"/>
  <c r="A2447" i="4"/>
  <c r="C2446" i="4"/>
  <c r="B2446" i="4"/>
  <c r="A2446" i="4"/>
  <c r="C2445" i="4"/>
  <c r="B2445" i="4"/>
  <c r="A2445" i="4"/>
  <c r="C2444" i="4"/>
  <c r="B2444" i="4"/>
  <c r="A2444" i="4"/>
  <c r="C2443" i="4"/>
  <c r="B2443" i="4"/>
  <c r="A2443" i="4"/>
  <c r="C2442" i="4"/>
  <c r="B2442" i="4"/>
  <c r="A2442" i="4"/>
  <c r="C2441" i="4"/>
  <c r="B2441" i="4"/>
  <c r="A2441" i="4"/>
  <c r="C2440" i="4"/>
  <c r="B2440" i="4"/>
  <c r="A2440" i="4"/>
  <c r="C2439" i="4"/>
  <c r="B2439" i="4"/>
  <c r="A2439" i="4"/>
  <c r="C2438" i="4"/>
  <c r="B2438" i="4"/>
  <c r="A2438" i="4"/>
  <c r="C2437" i="4"/>
  <c r="B2437" i="4"/>
  <c r="A2437" i="4"/>
  <c r="C2436" i="4"/>
  <c r="B2436" i="4"/>
  <c r="A2436" i="4"/>
  <c r="C2435" i="4"/>
  <c r="B2435" i="4"/>
  <c r="A2435" i="4"/>
  <c r="C2434" i="4"/>
  <c r="B2434" i="4"/>
  <c r="A2434" i="4"/>
  <c r="C2433" i="4"/>
  <c r="B2433" i="4"/>
  <c r="A2433" i="4"/>
  <c r="C2432" i="4"/>
  <c r="B2432" i="4"/>
  <c r="A2432" i="4"/>
  <c r="C2431" i="4"/>
  <c r="B2431" i="4"/>
  <c r="A2431" i="4"/>
  <c r="C2430" i="4"/>
  <c r="B2430" i="4"/>
  <c r="A2430" i="4"/>
  <c r="C2429" i="4"/>
  <c r="B2429" i="4"/>
  <c r="A2429" i="4"/>
  <c r="C2428" i="4"/>
  <c r="B2428" i="4"/>
  <c r="A2428" i="4"/>
  <c r="C2427" i="4"/>
  <c r="B2427" i="4"/>
  <c r="A2427" i="4"/>
  <c r="C2426" i="4"/>
  <c r="B2426" i="4"/>
  <c r="A2426" i="4"/>
  <c r="C2425" i="4"/>
  <c r="B2425" i="4"/>
  <c r="A2425" i="4"/>
  <c r="C2424" i="4"/>
  <c r="B2424" i="4"/>
  <c r="A2424" i="4"/>
  <c r="C2423" i="4"/>
  <c r="B2423" i="4"/>
  <c r="A2423" i="4"/>
  <c r="C2422" i="4"/>
  <c r="B2422" i="4"/>
  <c r="A2422" i="4"/>
  <c r="C2421" i="4"/>
  <c r="B2421" i="4"/>
  <c r="A2421" i="4"/>
  <c r="C2420" i="4"/>
  <c r="B2420" i="4"/>
  <c r="A2420" i="4"/>
  <c r="C2419" i="4"/>
  <c r="B2419" i="4"/>
  <c r="A2419" i="4"/>
  <c r="C2418" i="4"/>
  <c r="B2418" i="4"/>
  <c r="A2418" i="4"/>
  <c r="C2417" i="4"/>
  <c r="B2417" i="4"/>
  <c r="A2417" i="4"/>
  <c r="C2416" i="4"/>
  <c r="B2416" i="4"/>
  <c r="A2416" i="4"/>
  <c r="C2415" i="4"/>
  <c r="B2415" i="4"/>
  <c r="A2415" i="4"/>
  <c r="C2414" i="4"/>
  <c r="B2414" i="4"/>
  <c r="A2414" i="4"/>
  <c r="C2413" i="4"/>
  <c r="B2413" i="4"/>
  <c r="A2413" i="4"/>
  <c r="C2412" i="4"/>
  <c r="B2412" i="4"/>
  <c r="A2412" i="4"/>
  <c r="C2411" i="4"/>
  <c r="B2411" i="4"/>
  <c r="A2411" i="4"/>
  <c r="C2410" i="4"/>
  <c r="B2410" i="4"/>
  <c r="A2410" i="4"/>
  <c r="C2409" i="4"/>
  <c r="B2409" i="4"/>
  <c r="A2409" i="4"/>
  <c r="C2408" i="4"/>
  <c r="B2408" i="4"/>
  <c r="A2408" i="4"/>
  <c r="C2407" i="4"/>
  <c r="B2407" i="4"/>
  <c r="A2407" i="4"/>
  <c r="C2406" i="4"/>
  <c r="B2406" i="4"/>
  <c r="A2406" i="4"/>
  <c r="C2405" i="4"/>
  <c r="B2405" i="4"/>
  <c r="A2405" i="4"/>
  <c r="C2404" i="4"/>
  <c r="B2404" i="4"/>
  <c r="A2404" i="4"/>
  <c r="C2403" i="4"/>
  <c r="B2403" i="4"/>
  <c r="A2403" i="4"/>
  <c r="C2402" i="4"/>
  <c r="B2402" i="4"/>
  <c r="A2402" i="4"/>
  <c r="C2401" i="4"/>
  <c r="B2401" i="4"/>
  <c r="A2401" i="4"/>
  <c r="C2400" i="4"/>
  <c r="B2400" i="4"/>
  <c r="A2400" i="4"/>
  <c r="C2399" i="4"/>
  <c r="B2399" i="4"/>
  <c r="A2399" i="4"/>
  <c r="C2398" i="4"/>
  <c r="B2398" i="4"/>
  <c r="A2398" i="4"/>
  <c r="C2397" i="4"/>
  <c r="B2397" i="4"/>
  <c r="A2397" i="4"/>
  <c r="C2396" i="4"/>
  <c r="B2396" i="4"/>
  <c r="A2396" i="4"/>
  <c r="C2395" i="4"/>
  <c r="B2395" i="4"/>
  <c r="A2395" i="4"/>
  <c r="C2394" i="4"/>
  <c r="B2394" i="4"/>
  <c r="A2394" i="4"/>
  <c r="C2393" i="4"/>
  <c r="B2393" i="4"/>
  <c r="A2393" i="4"/>
  <c r="C2392" i="4"/>
  <c r="B2392" i="4"/>
  <c r="A2392" i="4"/>
  <c r="C2391" i="4"/>
  <c r="B2391" i="4"/>
  <c r="A2391" i="4"/>
  <c r="C2390" i="4"/>
  <c r="B2390" i="4"/>
  <c r="A2390" i="4"/>
  <c r="C2389" i="4"/>
  <c r="B2389" i="4"/>
  <c r="A2389" i="4"/>
  <c r="C2388" i="4"/>
  <c r="B2388" i="4"/>
  <c r="A2388" i="4"/>
  <c r="C2387" i="4"/>
  <c r="B2387" i="4"/>
  <c r="A2387" i="4"/>
  <c r="C2386" i="4"/>
  <c r="B2386" i="4"/>
  <c r="A2386" i="4"/>
  <c r="C2385" i="4"/>
  <c r="B2385" i="4"/>
  <c r="A2385" i="4"/>
  <c r="C2384" i="4"/>
  <c r="B2384" i="4"/>
  <c r="A2384" i="4"/>
  <c r="C2383" i="4"/>
  <c r="B2383" i="4"/>
  <c r="A2383" i="4"/>
  <c r="C2382" i="4"/>
  <c r="B2382" i="4"/>
  <c r="A2382" i="4"/>
  <c r="C2381" i="4"/>
  <c r="B2381" i="4"/>
  <c r="A2381" i="4"/>
  <c r="C2380" i="4"/>
  <c r="B2380" i="4"/>
  <c r="A2380" i="4"/>
  <c r="C2379" i="4"/>
  <c r="B2379" i="4"/>
  <c r="A2379" i="4"/>
  <c r="C2378" i="4"/>
  <c r="B2378" i="4"/>
  <c r="A2378" i="4"/>
  <c r="C2377" i="4"/>
  <c r="B2377" i="4"/>
  <c r="A2377" i="4"/>
  <c r="C2376" i="4"/>
  <c r="B2376" i="4"/>
  <c r="A2376" i="4"/>
  <c r="C2375" i="4"/>
  <c r="B2375" i="4"/>
  <c r="A2375" i="4"/>
  <c r="C2374" i="4"/>
  <c r="B2374" i="4"/>
  <c r="A2374" i="4"/>
  <c r="C2373" i="4"/>
  <c r="B2373" i="4"/>
  <c r="A2373" i="4"/>
  <c r="C2372" i="4"/>
  <c r="B2372" i="4"/>
  <c r="A2372" i="4"/>
  <c r="C2371" i="4"/>
  <c r="B2371" i="4"/>
  <c r="A2371" i="4"/>
  <c r="C2370" i="4"/>
  <c r="B2370" i="4"/>
  <c r="A2370" i="4"/>
  <c r="C2369" i="4"/>
  <c r="B2369" i="4"/>
  <c r="A2369" i="4"/>
  <c r="C2368" i="4"/>
  <c r="B2368" i="4"/>
  <c r="A2368" i="4"/>
  <c r="C2367" i="4"/>
  <c r="B2367" i="4"/>
  <c r="A2367" i="4"/>
  <c r="C2366" i="4"/>
  <c r="B2366" i="4"/>
  <c r="A2366" i="4"/>
  <c r="C2365" i="4"/>
  <c r="B2365" i="4"/>
  <c r="A2365" i="4"/>
  <c r="C2364" i="4"/>
  <c r="B2364" i="4"/>
  <c r="A2364" i="4"/>
  <c r="C2363" i="4"/>
  <c r="B2363" i="4"/>
  <c r="A2363" i="4"/>
  <c r="C2362" i="4"/>
  <c r="B2362" i="4"/>
  <c r="A2362" i="4"/>
  <c r="C2361" i="4"/>
  <c r="B2361" i="4"/>
  <c r="A2361" i="4"/>
  <c r="C2360" i="4"/>
  <c r="B2360" i="4"/>
  <c r="A2360" i="4"/>
  <c r="C2359" i="4"/>
  <c r="B2359" i="4"/>
  <c r="A2359" i="4"/>
  <c r="C2358" i="4"/>
  <c r="B2358" i="4"/>
  <c r="A2358" i="4"/>
  <c r="C2357" i="4"/>
  <c r="B2357" i="4"/>
  <c r="A2357" i="4"/>
  <c r="C2356" i="4"/>
  <c r="B2356" i="4"/>
  <c r="A2356" i="4"/>
  <c r="C2355" i="4"/>
  <c r="B2355" i="4"/>
  <c r="A2355" i="4"/>
  <c r="C2354" i="4"/>
  <c r="B2354" i="4"/>
  <c r="A2354" i="4"/>
  <c r="C2353" i="4"/>
  <c r="B2353" i="4"/>
  <c r="A2353" i="4"/>
  <c r="C2352" i="4"/>
  <c r="B2352" i="4"/>
  <c r="A2352" i="4"/>
  <c r="C2351" i="4"/>
  <c r="B2351" i="4"/>
  <c r="A2351" i="4"/>
  <c r="C2350" i="4"/>
  <c r="B2350" i="4"/>
  <c r="A2350" i="4"/>
  <c r="C2349" i="4"/>
  <c r="B2349" i="4"/>
  <c r="A2349" i="4"/>
  <c r="C2348" i="4"/>
  <c r="B2348" i="4"/>
  <c r="A2348" i="4"/>
  <c r="C2347" i="4"/>
  <c r="B2347" i="4"/>
  <c r="A2347" i="4"/>
  <c r="C2346" i="4"/>
  <c r="B2346" i="4"/>
  <c r="A2346" i="4"/>
  <c r="C2345" i="4"/>
  <c r="B2345" i="4"/>
  <c r="A2345" i="4"/>
  <c r="C2344" i="4"/>
  <c r="B2344" i="4"/>
  <c r="A2344" i="4"/>
  <c r="C2343" i="4"/>
  <c r="B2343" i="4"/>
  <c r="A2343" i="4"/>
  <c r="C2342" i="4"/>
  <c r="B2342" i="4"/>
  <c r="A2342" i="4"/>
  <c r="C2341" i="4"/>
  <c r="B2341" i="4"/>
  <c r="A2341" i="4"/>
  <c r="C2340" i="4"/>
  <c r="B2340" i="4"/>
  <c r="A2340" i="4"/>
  <c r="C2339" i="4"/>
  <c r="B2339" i="4"/>
  <c r="A2339" i="4"/>
  <c r="C2338" i="4"/>
  <c r="B2338" i="4"/>
  <c r="A2338" i="4"/>
  <c r="C2337" i="4"/>
  <c r="B2337" i="4"/>
  <c r="A2337" i="4"/>
  <c r="C2336" i="4"/>
  <c r="B2336" i="4"/>
  <c r="A2336" i="4"/>
  <c r="C2335" i="4"/>
  <c r="B2335" i="4"/>
  <c r="A2335" i="4"/>
  <c r="C2334" i="4"/>
  <c r="B2334" i="4"/>
  <c r="A2334" i="4"/>
  <c r="C2333" i="4"/>
  <c r="B2333" i="4"/>
  <c r="A2333" i="4"/>
  <c r="C2332" i="4"/>
  <c r="B2332" i="4"/>
  <c r="A2332" i="4"/>
  <c r="C2331" i="4"/>
  <c r="B2331" i="4"/>
  <c r="A2331" i="4"/>
  <c r="C2330" i="4"/>
  <c r="B2330" i="4"/>
  <c r="A2330" i="4"/>
  <c r="C2329" i="4"/>
  <c r="B2329" i="4"/>
  <c r="A2329" i="4"/>
  <c r="C2328" i="4"/>
  <c r="B2328" i="4"/>
  <c r="A2328" i="4"/>
  <c r="C2327" i="4"/>
  <c r="B2327" i="4"/>
  <c r="A2327" i="4"/>
  <c r="C2326" i="4"/>
  <c r="B2326" i="4"/>
  <c r="A2326" i="4"/>
  <c r="C2325" i="4"/>
  <c r="B2325" i="4"/>
  <c r="A2325" i="4"/>
  <c r="C2324" i="4"/>
  <c r="B2324" i="4"/>
  <c r="A2324" i="4"/>
  <c r="C2323" i="4"/>
  <c r="B2323" i="4"/>
  <c r="A2323" i="4"/>
  <c r="C2322" i="4"/>
  <c r="B2322" i="4"/>
  <c r="A2322" i="4"/>
  <c r="C2321" i="4"/>
  <c r="B2321" i="4"/>
  <c r="A2321" i="4"/>
  <c r="C2320" i="4"/>
  <c r="B2320" i="4"/>
  <c r="A2320" i="4"/>
  <c r="C2319" i="4"/>
  <c r="B2319" i="4"/>
  <c r="A2319" i="4"/>
  <c r="C2318" i="4"/>
  <c r="B2318" i="4"/>
  <c r="A2318" i="4"/>
  <c r="C2317" i="4"/>
  <c r="B2317" i="4"/>
  <c r="A2317" i="4"/>
  <c r="C2316" i="4"/>
  <c r="B2316" i="4"/>
  <c r="A2316" i="4"/>
  <c r="C2315" i="4"/>
  <c r="B2315" i="4"/>
  <c r="A2315" i="4"/>
  <c r="C2314" i="4"/>
  <c r="B2314" i="4"/>
  <c r="A2314" i="4"/>
  <c r="C2313" i="4"/>
  <c r="B2313" i="4"/>
  <c r="A2313" i="4"/>
  <c r="C2312" i="4"/>
  <c r="B2312" i="4"/>
  <c r="A2312" i="4"/>
  <c r="C2311" i="4"/>
  <c r="B2311" i="4"/>
  <c r="A2311" i="4"/>
  <c r="C2310" i="4"/>
  <c r="B2310" i="4"/>
  <c r="A2310" i="4"/>
  <c r="C2309" i="4"/>
  <c r="B2309" i="4"/>
  <c r="A2309" i="4"/>
  <c r="C2308" i="4"/>
  <c r="B2308" i="4"/>
  <c r="A2308" i="4"/>
  <c r="C2307" i="4"/>
  <c r="B2307" i="4"/>
  <c r="A2307" i="4"/>
  <c r="C2306" i="4"/>
  <c r="B2306" i="4"/>
  <c r="A2306" i="4"/>
  <c r="C2305" i="4"/>
  <c r="B2305" i="4"/>
  <c r="A2305" i="4"/>
  <c r="C2304" i="4"/>
  <c r="B2304" i="4"/>
  <c r="A2304" i="4"/>
  <c r="C2303" i="4"/>
  <c r="B2303" i="4"/>
  <c r="A2303" i="4"/>
  <c r="C2302" i="4"/>
  <c r="B2302" i="4"/>
  <c r="A2302" i="4"/>
  <c r="C2301" i="4"/>
  <c r="B2301" i="4"/>
  <c r="A2301" i="4"/>
  <c r="C2300" i="4"/>
  <c r="B2300" i="4"/>
  <c r="A2300" i="4"/>
  <c r="C2299" i="4"/>
  <c r="B2299" i="4"/>
  <c r="A2299" i="4"/>
  <c r="C2298" i="4"/>
  <c r="B2298" i="4"/>
  <c r="A2298" i="4"/>
  <c r="C2297" i="4"/>
  <c r="B2297" i="4"/>
  <c r="A2297" i="4"/>
  <c r="C2296" i="4"/>
  <c r="B2296" i="4"/>
  <c r="A2296" i="4"/>
  <c r="C2295" i="4"/>
  <c r="B2295" i="4"/>
  <c r="A2295" i="4"/>
  <c r="C2294" i="4"/>
  <c r="B2294" i="4"/>
  <c r="A2294" i="4"/>
  <c r="C2293" i="4"/>
  <c r="B2293" i="4"/>
  <c r="A2293" i="4"/>
  <c r="C2292" i="4"/>
  <c r="B2292" i="4"/>
  <c r="A2292" i="4"/>
  <c r="C2291" i="4"/>
  <c r="B2291" i="4"/>
  <c r="A2291" i="4"/>
  <c r="C2290" i="4"/>
  <c r="B2290" i="4"/>
  <c r="A2290" i="4"/>
  <c r="C2289" i="4"/>
  <c r="B2289" i="4"/>
  <c r="A2289" i="4"/>
  <c r="C2288" i="4"/>
  <c r="B2288" i="4"/>
  <c r="A2288" i="4"/>
  <c r="C2287" i="4"/>
  <c r="B2287" i="4"/>
  <c r="A2287" i="4"/>
  <c r="C2286" i="4"/>
  <c r="B2286" i="4"/>
  <c r="A2286" i="4"/>
  <c r="C2285" i="4"/>
  <c r="B2285" i="4"/>
  <c r="A2285" i="4"/>
  <c r="C2284" i="4"/>
  <c r="B2284" i="4"/>
  <c r="A2284" i="4"/>
  <c r="C2283" i="4"/>
  <c r="B2283" i="4"/>
  <c r="A2283" i="4"/>
  <c r="C2282" i="4"/>
  <c r="B2282" i="4"/>
  <c r="A2282" i="4"/>
  <c r="C2281" i="4"/>
  <c r="B2281" i="4"/>
  <c r="A2281" i="4"/>
  <c r="C2280" i="4"/>
  <c r="B2280" i="4"/>
  <c r="A2280" i="4"/>
  <c r="C2279" i="4"/>
  <c r="B2279" i="4"/>
  <c r="A2279" i="4"/>
  <c r="C2278" i="4"/>
  <c r="B2278" i="4"/>
  <c r="A2278" i="4"/>
  <c r="C2277" i="4"/>
  <c r="B2277" i="4"/>
  <c r="A2277" i="4"/>
  <c r="C2276" i="4"/>
  <c r="B2276" i="4"/>
  <c r="A2276" i="4"/>
  <c r="C2275" i="4"/>
  <c r="B2275" i="4"/>
  <c r="A2275" i="4"/>
  <c r="C2274" i="4"/>
  <c r="B2274" i="4"/>
  <c r="A2274" i="4"/>
  <c r="C2273" i="4"/>
  <c r="B2273" i="4"/>
  <c r="A2273" i="4"/>
  <c r="C2272" i="4"/>
  <c r="B2272" i="4"/>
  <c r="A2272" i="4"/>
  <c r="C2271" i="4"/>
  <c r="B2271" i="4"/>
  <c r="A2271" i="4"/>
  <c r="C2270" i="4"/>
  <c r="B2270" i="4"/>
  <c r="A2270" i="4"/>
  <c r="C2269" i="4"/>
  <c r="B2269" i="4"/>
  <c r="A2269" i="4"/>
  <c r="C2268" i="4"/>
  <c r="B2268" i="4"/>
  <c r="A2268" i="4"/>
  <c r="C2267" i="4"/>
  <c r="B2267" i="4"/>
  <c r="A2267" i="4"/>
  <c r="C2266" i="4"/>
  <c r="B2266" i="4"/>
  <c r="A2266" i="4"/>
  <c r="C2265" i="4"/>
  <c r="B2265" i="4"/>
  <c r="A2265" i="4"/>
  <c r="C2264" i="4"/>
  <c r="B2264" i="4"/>
  <c r="A2264" i="4"/>
  <c r="C2263" i="4"/>
  <c r="B2263" i="4"/>
  <c r="A2263" i="4"/>
  <c r="C2262" i="4"/>
  <c r="B2262" i="4"/>
  <c r="A2262" i="4"/>
  <c r="C2261" i="4"/>
  <c r="B2261" i="4"/>
  <c r="A2261" i="4"/>
  <c r="C2260" i="4"/>
  <c r="B2260" i="4"/>
  <c r="A2260" i="4"/>
  <c r="C2259" i="4"/>
  <c r="B2259" i="4"/>
  <c r="A2259" i="4"/>
  <c r="C2258" i="4"/>
  <c r="B2258" i="4"/>
  <c r="A2258" i="4"/>
  <c r="C2257" i="4"/>
  <c r="B2257" i="4"/>
  <c r="A2257" i="4"/>
  <c r="C2256" i="4"/>
  <c r="B2256" i="4"/>
  <c r="A2256" i="4"/>
  <c r="C2255" i="4"/>
  <c r="B2255" i="4"/>
  <c r="A2255" i="4"/>
  <c r="C2254" i="4"/>
  <c r="B2254" i="4"/>
  <c r="A2254" i="4"/>
  <c r="C2253" i="4"/>
  <c r="B2253" i="4"/>
  <c r="A2253" i="4"/>
  <c r="C2252" i="4"/>
  <c r="B2252" i="4"/>
  <c r="A2252" i="4"/>
  <c r="C2251" i="4"/>
  <c r="B2251" i="4"/>
  <c r="A2251" i="4"/>
  <c r="C2250" i="4"/>
  <c r="B2250" i="4"/>
  <c r="A2250" i="4"/>
  <c r="C2249" i="4"/>
  <c r="B2249" i="4"/>
  <c r="A2249" i="4"/>
  <c r="C2248" i="4"/>
  <c r="B2248" i="4"/>
  <c r="A2248" i="4"/>
  <c r="C2247" i="4"/>
  <c r="B2247" i="4"/>
  <c r="A2247" i="4"/>
  <c r="C2246" i="4"/>
  <c r="B2246" i="4"/>
  <c r="A2246" i="4"/>
  <c r="C2245" i="4"/>
  <c r="B2245" i="4"/>
  <c r="A2245" i="4"/>
  <c r="C2244" i="4"/>
  <c r="B2244" i="4"/>
  <c r="A2244" i="4"/>
  <c r="C2243" i="4"/>
  <c r="B2243" i="4"/>
  <c r="A2243" i="4"/>
  <c r="C2242" i="4"/>
  <c r="B2242" i="4"/>
  <c r="A2242" i="4"/>
  <c r="C2241" i="4"/>
  <c r="B2241" i="4"/>
  <c r="A2241" i="4"/>
  <c r="C2240" i="4"/>
  <c r="B2240" i="4"/>
  <c r="A2240" i="4"/>
  <c r="C2239" i="4"/>
  <c r="B2239" i="4"/>
  <c r="A2239" i="4"/>
  <c r="C2238" i="4"/>
  <c r="B2238" i="4"/>
  <c r="A2238" i="4"/>
  <c r="C2237" i="4"/>
  <c r="B2237" i="4"/>
  <c r="A2237" i="4"/>
  <c r="C2236" i="4"/>
  <c r="B2236" i="4"/>
  <c r="A2236" i="4"/>
  <c r="C2235" i="4"/>
  <c r="B2235" i="4"/>
  <c r="A2235" i="4"/>
  <c r="C2234" i="4"/>
  <c r="B2234" i="4"/>
  <c r="A2234" i="4"/>
  <c r="C2233" i="4"/>
  <c r="B2233" i="4"/>
  <c r="A2233" i="4"/>
  <c r="C2232" i="4"/>
  <c r="B2232" i="4"/>
  <c r="A2232" i="4"/>
  <c r="C2231" i="4"/>
  <c r="B2231" i="4"/>
  <c r="A2231" i="4"/>
  <c r="C2230" i="4"/>
  <c r="B2230" i="4"/>
  <c r="A2230" i="4"/>
  <c r="C2229" i="4"/>
  <c r="B2229" i="4"/>
  <c r="A2229" i="4"/>
  <c r="C2228" i="4"/>
  <c r="B2228" i="4"/>
  <c r="A2228" i="4"/>
  <c r="C2227" i="4"/>
  <c r="B2227" i="4"/>
  <c r="A2227" i="4"/>
  <c r="C2226" i="4"/>
  <c r="B2226" i="4"/>
  <c r="A2226" i="4"/>
  <c r="C2225" i="4"/>
  <c r="B2225" i="4"/>
  <c r="A2225" i="4"/>
  <c r="C2224" i="4"/>
  <c r="B2224" i="4"/>
  <c r="A2224" i="4"/>
  <c r="C2223" i="4"/>
  <c r="B2223" i="4"/>
  <c r="A2223" i="4"/>
  <c r="C2222" i="4"/>
  <c r="B2222" i="4"/>
  <c r="A2222" i="4"/>
  <c r="C2221" i="4"/>
  <c r="B2221" i="4"/>
  <c r="A2221" i="4"/>
  <c r="C2220" i="4"/>
  <c r="B2220" i="4"/>
  <c r="A2220" i="4"/>
  <c r="C2219" i="4"/>
  <c r="B2219" i="4"/>
  <c r="A2219" i="4"/>
  <c r="C2218" i="4"/>
  <c r="B2218" i="4"/>
  <c r="A2218" i="4"/>
  <c r="C2217" i="4"/>
  <c r="B2217" i="4"/>
  <c r="A2217" i="4"/>
  <c r="C2216" i="4"/>
  <c r="B2216" i="4"/>
  <c r="A2216" i="4"/>
  <c r="C2215" i="4"/>
  <c r="B2215" i="4"/>
  <c r="A2215" i="4"/>
  <c r="C2214" i="4"/>
  <c r="B2214" i="4"/>
  <c r="A2214" i="4"/>
  <c r="C2213" i="4"/>
  <c r="B2213" i="4"/>
  <c r="A2213" i="4"/>
  <c r="C2212" i="4"/>
  <c r="B2212" i="4"/>
  <c r="A2212" i="4"/>
  <c r="C2211" i="4"/>
  <c r="B2211" i="4"/>
  <c r="A2211" i="4"/>
  <c r="C2210" i="4"/>
  <c r="B2210" i="4"/>
  <c r="A2210" i="4"/>
  <c r="C2209" i="4"/>
  <c r="B2209" i="4"/>
  <c r="A2209" i="4"/>
  <c r="C2208" i="4"/>
  <c r="B2208" i="4"/>
  <c r="A2208" i="4"/>
  <c r="C2207" i="4"/>
  <c r="B2207" i="4"/>
  <c r="A2207" i="4"/>
  <c r="C2206" i="4"/>
  <c r="B2206" i="4"/>
  <c r="A2206" i="4"/>
  <c r="C2205" i="4"/>
  <c r="B2205" i="4"/>
  <c r="A2205" i="4"/>
  <c r="C2204" i="4"/>
  <c r="B2204" i="4"/>
  <c r="A2204" i="4"/>
  <c r="C2203" i="4"/>
  <c r="B2203" i="4"/>
  <c r="A2203" i="4"/>
  <c r="C2202" i="4"/>
  <c r="B2202" i="4"/>
  <c r="A2202" i="4"/>
  <c r="C2201" i="4"/>
  <c r="B2201" i="4"/>
  <c r="A2201" i="4"/>
  <c r="C2200" i="4"/>
  <c r="B2200" i="4"/>
  <c r="A2200" i="4"/>
  <c r="C2199" i="4"/>
  <c r="B2199" i="4"/>
  <c r="A2199" i="4"/>
  <c r="C2198" i="4"/>
  <c r="B2198" i="4"/>
  <c r="A2198" i="4"/>
  <c r="C2197" i="4"/>
  <c r="B2197" i="4"/>
  <c r="A2197" i="4"/>
  <c r="C2196" i="4"/>
  <c r="B2196" i="4"/>
  <c r="A2196" i="4"/>
  <c r="C2195" i="4"/>
  <c r="B2195" i="4"/>
  <c r="A2195" i="4"/>
  <c r="C2194" i="4"/>
  <c r="B2194" i="4"/>
  <c r="A2194" i="4"/>
  <c r="C2193" i="4"/>
  <c r="B2193" i="4"/>
  <c r="A2193" i="4"/>
  <c r="C2192" i="4"/>
  <c r="B2192" i="4"/>
  <c r="A2192" i="4"/>
  <c r="C2191" i="4"/>
  <c r="B2191" i="4"/>
  <c r="A2191" i="4"/>
  <c r="C2190" i="4"/>
  <c r="B2190" i="4"/>
  <c r="A2190" i="4"/>
  <c r="C2189" i="4"/>
  <c r="B2189" i="4"/>
  <c r="A2189" i="4"/>
  <c r="C2188" i="4"/>
  <c r="B2188" i="4"/>
  <c r="A2188" i="4"/>
  <c r="C2187" i="4"/>
  <c r="B2187" i="4"/>
  <c r="A2187" i="4"/>
  <c r="C2186" i="4"/>
  <c r="B2186" i="4"/>
  <c r="A2186" i="4"/>
  <c r="C2185" i="4"/>
  <c r="B2185" i="4"/>
  <c r="A2185" i="4"/>
  <c r="C2184" i="4"/>
  <c r="B2184" i="4"/>
  <c r="A2184" i="4"/>
  <c r="C2183" i="4"/>
  <c r="B2183" i="4"/>
  <c r="A2183" i="4"/>
  <c r="C2182" i="4"/>
  <c r="B2182" i="4"/>
  <c r="A2182" i="4"/>
  <c r="C2181" i="4"/>
  <c r="B2181" i="4"/>
  <c r="A2181" i="4"/>
  <c r="C2180" i="4"/>
  <c r="B2180" i="4"/>
  <c r="A2180" i="4"/>
  <c r="C2179" i="4"/>
  <c r="B2179" i="4"/>
  <c r="A2179" i="4"/>
  <c r="C2178" i="4"/>
  <c r="B2178" i="4"/>
  <c r="A2178" i="4"/>
  <c r="C2177" i="4"/>
  <c r="B2177" i="4"/>
  <c r="A2177" i="4"/>
  <c r="C2176" i="4"/>
  <c r="B2176" i="4"/>
  <c r="A2176" i="4"/>
  <c r="C2175" i="4"/>
  <c r="B2175" i="4"/>
  <c r="A2175" i="4"/>
  <c r="C2174" i="4"/>
  <c r="B2174" i="4"/>
  <c r="A2174" i="4"/>
  <c r="C2173" i="4"/>
  <c r="B2173" i="4"/>
  <c r="A2173" i="4"/>
  <c r="C2172" i="4"/>
  <c r="B2172" i="4"/>
  <c r="A2172" i="4"/>
  <c r="C2171" i="4"/>
  <c r="B2171" i="4"/>
  <c r="A2171" i="4"/>
  <c r="C2170" i="4"/>
  <c r="B2170" i="4"/>
  <c r="A2170" i="4"/>
  <c r="C2169" i="4"/>
  <c r="B2169" i="4"/>
  <c r="A2169" i="4"/>
  <c r="C2168" i="4"/>
  <c r="B2168" i="4"/>
  <c r="A2168" i="4"/>
  <c r="C2167" i="4"/>
  <c r="B2167" i="4"/>
  <c r="A2167" i="4"/>
  <c r="C2166" i="4"/>
  <c r="B2166" i="4"/>
  <c r="A2166" i="4"/>
  <c r="C2165" i="4"/>
  <c r="B2165" i="4"/>
  <c r="A2165" i="4"/>
  <c r="C2164" i="4"/>
  <c r="B2164" i="4"/>
  <c r="A2164" i="4"/>
  <c r="C2163" i="4"/>
  <c r="B2163" i="4"/>
  <c r="A2163" i="4"/>
  <c r="C2162" i="4"/>
  <c r="B2162" i="4"/>
  <c r="A2162" i="4"/>
  <c r="C2161" i="4"/>
  <c r="B2161" i="4"/>
  <c r="A2161" i="4"/>
  <c r="C2160" i="4"/>
  <c r="B2160" i="4"/>
  <c r="A2160" i="4"/>
  <c r="C2159" i="4"/>
  <c r="B2159" i="4"/>
  <c r="A2159" i="4"/>
  <c r="C2158" i="4"/>
  <c r="B2158" i="4"/>
  <c r="A2158" i="4"/>
  <c r="C2157" i="4"/>
  <c r="B2157" i="4"/>
  <c r="A2157" i="4"/>
  <c r="C2156" i="4"/>
  <c r="B2156" i="4"/>
  <c r="A2156" i="4"/>
  <c r="C2155" i="4"/>
  <c r="B2155" i="4"/>
  <c r="A2155" i="4"/>
  <c r="C2154" i="4"/>
  <c r="B2154" i="4"/>
  <c r="A2154" i="4"/>
  <c r="C2153" i="4"/>
  <c r="B2153" i="4"/>
  <c r="A2153" i="4"/>
  <c r="C2152" i="4"/>
  <c r="B2152" i="4"/>
  <c r="A2152" i="4"/>
  <c r="C2151" i="4"/>
  <c r="B2151" i="4"/>
  <c r="A2151" i="4"/>
  <c r="C2150" i="4"/>
  <c r="B2150" i="4"/>
  <c r="A2150" i="4"/>
  <c r="C2149" i="4"/>
  <c r="B2149" i="4"/>
  <c r="A2149" i="4"/>
  <c r="C2148" i="4"/>
  <c r="B2148" i="4"/>
  <c r="A2148" i="4"/>
  <c r="C2147" i="4"/>
  <c r="B2147" i="4"/>
  <c r="A2147" i="4"/>
  <c r="C2146" i="4"/>
  <c r="B2146" i="4"/>
  <c r="A2146" i="4"/>
  <c r="C2145" i="4"/>
  <c r="B2145" i="4"/>
  <c r="A2145" i="4"/>
  <c r="C2144" i="4"/>
  <c r="B2144" i="4"/>
  <c r="A2144" i="4"/>
  <c r="C2143" i="4"/>
  <c r="B2143" i="4"/>
  <c r="A2143" i="4"/>
  <c r="C2142" i="4"/>
  <c r="B2142" i="4"/>
  <c r="A2142" i="4"/>
  <c r="C2141" i="4"/>
  <c r="B2141" i="4"/>
  <c r="A2141" i="4"/>
  <c r="C2140" i="4"/>
  <c r="B2140" i="4"/>
  <c r="A2140" i="4"/>
  <c r="C2139" i="4"/>
  <c r="B2139" i="4"/>
  <c r="A2139" i="4"/>
  <c r="C2138" i="4"/>
  <c r="B2138" i="4"/>
  <c r="A2138" i="4"/>
  <c r="C2137" i="4"/>
  <c r="B2137" i="4"/>
  <c r="A2137" i="4"/>
  <c r="C2136" i="4"/>
  <c r="B2136" i="4"/>
  <c r="A2136" i="4"/>
  <c r="C2135" i="4"/>
  <c r="B2135" i="4"/>
  <c r="A2135" i="4"/>
  <c r="C2134" i="4"/>
  <c r="B2134" i="4"/>
  <c r="A2134" i="4"/>
  <c r="C2133" i="4"/>
  <c r="B2133" i="4"/>
  <c r="A2133" i="4"/>
  <c r="C2132" i="4"/>
  <c r="B2132" i="4"/>
  <c r="A2132" i="4"/>
  <c r="C2131" i="4"/>
  <c r="B2131" i="4"/>
  <c r="A2131" i="4"/>
  <c r="C2130" i="4"/>
  <c r="B2130" i="4"/>
  <c r="A2130" i="4"/>
  <c r="C2129" i="4"/>
  <c r="B2129" i="4"/>
  <c r="A2129" i="4"/>
  <c r="C2128" i="4"/>
  <c r="B2128" i="4"/>
  <c r="A2128" i="4"/>
  <c r="C2127" i="4"/>
  <c r="B2127" i="4"/>
  <c r="A2127" i="4"/>
  <c r="C2126" i="4"/>
  <c r="B2126" i="4"/>
  <c r="A2126" i="4"/>
  <c r="C2125" i="4"/>
  <c r="B2125" i="4"/>
  <c r="A2125" i="4"/>
  <c r="C2124" i="4"/>
  <c r="B2124" i="4"/>
  <c r="A2124" i="4"/>
  <c r="C2123" i="4"/>
  <c r="B2123" i="4"/>
  <c r="A2123" i="4"/>
  <c r="C2122" i="4"/>
  <c r="B2122" i="4"/>
  <c r="A2122" i="4"/>
  <c r="C2121" i="4"/>
  <c r="B2121" i="4"/>
  <c r="A2121" i="4"/>
  <c r="C2120" i="4"/>
  <c r="B2120" i="4"/>
  <c r="A2120" i="4"/>
  <c r="C2119" i="4"/>
  <c r="B2119" i="4"/>
  <c r="A2119" i="4"/>
  <c r="C2118" i="4"/>
  <c r="B2118" i="4"/>
  <c r="A2118" i="4"/>
  <c r="C2117" i="4"/>
  <c r="B2117" i="4"/>
  <c r="A2117" i="4"/>
  <c r="C2116" i="4"/>
  <c r="B2116" i="4"/>
  <c r="A2116" i="4"/>
  <c r="C2115" i="4"/>
  <c r="B2115" i="4"/>
  <c r="A2115" i="4"/>
  <c r="C2114" i="4"/>
  <c r="B2114" i="4"/>
  <c r="A2114" i="4"/>
  <c r="C2113" i="4"/>
  <c r="B2113" i="4"/>
  <c r="A2113" i="4"/>
  <c r="C2112" i="4"/>
  <c r="B2112" i="4"/>
  <c r="A2112" i="4"/>
  <c r="C2111" i="4"/>
  <c r="B2111" i="4"/>
  <c r="A2111" i="4"/>
  <c r="C2110" i="4"/>
  <c r="B2110" i="4"/>
  <c r="A2110" i="4"/>
  <c r="C2109" i="4"/>
  <c r="B2109" i="4"/>
  <c r="A2109" i="4"/>
  <c r="C2108" i="4"/>
  <c r="B2108" i="4"/>
  <c r="A2108" i="4"/>
  <c r="C2107" i="4"/>
  <c r="B2107" i="4"/>
  <c r="A2107" i="4"/>
  <c r="C2106" i="4"/>
  <c r="B2106" i="4"/>
  <c r="A2106" i="4"/>
  <c r="C2105" i="4"/>
  <c r="B2105" i="4"/>
  <c r="A2105" i="4"/>
  <c r="C2104" i="4"/>
  <c r="B2104" i="4"/>
  <c r="A2104" i="4"/>
  <c r="C2103" i="4"/>
  <c r="B2103" i="4"/>
  <c r="A2103" i="4"/>
  <c r="C2102" i="4"/>
  <c r="B2102" i="4"/>
  <c r="A2102" i="4"/>
  <c r="C2101" i="4"/>
  <c r="B2101" i="4"/>
  <c r="A2101" i="4"/>
  <c r="C2100" i="4"/>
  <c r="B2100" i="4"/>
  <c r="A2100" i="4"/>
  <c r="C2099" i="4"/>
  <c r="B2099" i="4"/>
  <c r="A2099" i="4"/>
  <c r="C2098" i="4"/>
  <c r="B2098" i="4"/>
  <c r="A2098" i="4"/>
  <c r="C2097" i="4"/>
  <c r="B2097" i="4"/>
  <c r="A2097" i="4"/>
  <c r="C2096" i="4"/>
  <c r="B2096" i="4"/>
  <c r="A2096" i="4"/>
  <c r="C2095" i="4"/>
  <c r="B2095" i="4"/>
  <c r="A2095" i="4"/>
  <c r="C2094" i="4"/>
  <c r="B2094" i="4"/>
  <c r="A2094" i="4"/>
  <c r="C2093" i="4"/>
  <c r="B2093" i="4"/>
  <c r="A2093" i="4"/>
  <c r="C2092" i="4"/>
  <c r="B2092" i="4"/>
  <c r="A2092" i="4"/>
  <c r="C2091" i="4"/>
  <c r="B2091" i="4"/>
  <c r="A2091" i="4"/>
  <c r="C2090" i="4"/>
  <c r="B2090" i="4"/>
  <c r="A2090" i="4"/>
  <c r="C2089" i="4"/>
  <c r="B2089" i="4"/>
  <c r="A2089" i="4"/>
  <c r="C2088" i="4"/>
  <c r="B2088" i="4"/>
  <c r="A2088" i="4"/>
  <c r="C2087" i="4"/>
  <c r="B2087" i="4"/>
  <c r="A2087" i="4"/>
  <c r="C2086" i="4"/>
  <c r="B2086" i="4"/>
  <c r="A2086" i="4"/>
  <c r="C2085" i="4"/>
  <c r="B2085" i="4"/>
  <c r="A2085" i="4"/>
  <c r="C2084" i="4"/>
  <c r="B2084" i="4"/>
  <c r="A2084" i="4"/>
  <c r="C2083" i="4"/>
  <c r="B2083" i="4"/>
  <c r="A2083" i="4"/>
  <c r="C2082" i="4"/>
  <c r="B2082" i="4"/>
  <c r="A2082" i="4"/>
  <c r="C2081" i="4"/>
  <c r="B2081" i="4"/>
  <c r="A2081" i="4"/>
  <c r="C2080" i="4"/>
  <c r="B2080" i="4"/>
  <c r="A2080" i="4"/>
  <c r="C2079" i="4"/>
  <c r="B2079" i="4"/>
  <c r="A2079" i="4"/>
  <c r="C2078" i="4"/>
  <c r="B2078" i="4"/>
  <c r="A2078" i="4"/>
  <c r="C2077" i="4"/>
  <c r="B2077" i="4"/>
  <c r="A2077" i="4"/>
  <c r="C2076" i="4"/>
  <c r="B2076" i="4"/>
  <c r="A2076" i="4"/>
  <c r="C2075" i="4"/>
  <c r="B2075" i="4"/>
  <c r="A2075" i="4"/>
  <c r="C2074" i="4"/>
  <c r="B2074" i="4"/>
  <c r="A2074" i="4"/>
  <c r="C2073" i="4"/>
  <c r="B2073" i="4"/>
  <c r="A2073" i="4"/>
  <c r="C2072" i="4"/>
  <c r="B2072" i="4"/>
  <c r="A2072" i="4"/>
  <c r="C2071" i="4"/>
  <c r="B2071" i="4"/>
  <c r="A2071" i="4"/>
  <c r="C2070" i="4"/>
  <c r="B2070" i="4"/>
  <c r="A2070" i="4"/>
  <c r="C2069" i="4"/>
  <c r="B2069" i="4"/>
  <c r="A2069" i="4"/>
  <c r="C2068" i="4"/>
  <c r="B2068" i="4"/>
  <c r="A2068" i="4"/>
  <c r="C2067" i="4"/>
  <c r="B2067" i="4"/>
  <c r="A2067" i="4"/>
  <c r="C2066" i="4"/>
  <c r="B2066" i="4"/>
  <c r="A2066" i="4"/>
  <c r="C2065" i="4"/>
  <c r="B2065" i="4"/>
  <c r="A2065" i="4"/>
  <c r="C2064" i="4"/>
  <c r="B2064" i="4"/>
  <c r="A2064" i="4"/>
  <c r="C2063" i="4"/>
  <c r="B2063" i="4"/>
  <c r="A2063" i="4"/>
  <c r="C2062" i="4"/>
  <c r="B2062" i="4"/>
  <c r="A2062" i="4"/>
  <c r="C2061" i="4"/>
  <c r="B2061" i="4"/>
  <c r="A2061" i="4"/>
  <c r="C2060" i="4"/>
  <c r="B2060" i="4"/>
  <c r="A2060" i="4"/>
  <c r="C2059" i="4"/>
  <c r="B2059" i="4"/>
  <c r="A2059" i="4"/>
  <c r="C2058" i="4"/>
  <c r="B2058" i="4"/>
  <c r="A2058" i="4"/>
  <c r="C2057" i="4"/>
  <c r="B2057" i="4"/>
  <c r="A2057" i="4"/>
  <c r="C2056" i="4"/>
  <c r="B2056" i="4"/>
  <c r="A2056" i="4"/>
  <c r="C2055" i="4"/>
  <c r="B2055" i="4"/>
  <c r="A2055" i="4"/>
  <c r="C2054" i="4"/>
  <c r="B2054" i="4"/>
  <c r="A2054" i="4"/>
  <c r="C2053" i="4"/>
  <c r="B2053" i="4"/>
  <c r="A2053" i="4"/>
  <c r="C2052" i="4"/>
  <c r="B2052" i="4"/>
  <c r="A2052" i="4"/>
  <c r="C2051" i="4"/>
  <c r="B2051" i="4"/>
  <c r="A2051" i="4"/>
  <c r="C2050" i="4"/>
  <c r="B2050" i="4"/>
  <c r="A2050" i="4"/>
  <c r="C2049" i="4"/>
  <c r="B2049" i="4"/>
  <c r="A2049" i="4"/>
  <c r="C2048" i="4"/>
  <c r="B2048" i="4"/>
  <c r="A2048" i="4"/>
  <c r="C2047" i="4"/>
  <c r="B2047" i="4"/>
  <c r="A2047" i="4"/>
  <c r="C2046" i="4"/>
  <c r="B2046" i="4"/>
  <c r="A2046" i="4"/>
  <c r="C2045" i="4"/>
  <c r="B2045" i="4"/>
  <c r="A2045" i="4"/>
  <c r="C2044" i="4"/>
  <c r="B2044" i="4"/>
  <c r="A2044" i="4"/>
  <c r="C2043" i="4"/>
  <c r="B2043" i="4"/>
  <c r="A2043" i="4"/>
  <c r="C2042" i="4"/>
  <c r="B2042" i="4"/>
  <c r="A2042" i="4"/>
  <c r="C2041" i="4"/>
  <c r="B2041" i="4"/>
  <c r="A2041" i="4"/>
  <c r="C2040" i="4"/>
  <c r="B2040" i="4"/>
  <c r="A2040" i="4"/>
  <c r="C2039" i="4"/>
  <c r="B2039" i="4"/>
  <c r="A2039" i="4"/>
  <c r="C2038" i="4"/>
  <c r="B2038" i="4"/>
  <c r="A2038" i="4"/>
  <c r="C2037" i="4"/>
  <c r="B2037" i="4"/>
  <c r="A2037" i="4"/>
  <c r="C2036" i="4"/>
  <c r="B2036" i="4"/>
  <c r="A2036" i="4"/>
  <c r="C2035" i="4"/>
  <c r="B2035" i="4"/>
  <c r="A2035" i="4"/>
  <c r="C2034" i="4"/>
  <c r="B2034" i="4"/>
  <c r="A2034" i="4"/>
  <c r="C2033" i="4"/>
  <c r="B2033" i="4"/>
  <c r="A2033" i="4"/>
  <c r="C2032" i="4"/>
  <c r="B2032" i="4"/>
  <c r="A2032" i="4"/>
  <c r="C2031" i="4"/>
  <c r="B2031" i="4"/>
  <c r="A2031" i="4"/>
  <c r="C2030" i="4"/>
  <c r="B2030" i="4"/>
  <c r="A2030" i="4"/>
  <c r="C2029" i="4"/>
  <c r="B2029" i="4"/>
  <c r="A2029" i="4"/>
  <c r="C2028" i="4"/>
  <c r="B2028" i="4"/>
  <c r="A2028" i="4"/>
  <c r="C2027" i="4"/>
  <c r="B2027" i="4"/>
  <c r="A2027" i="4"/>
  <c r="C2026" i="4"/>
  <c r="B2026" i="4"/>
  <c r="A2026" i="4"/>
  <c r="C2025" i="4"/>
  <c r="B2025" i="4"/>
  <c r="A2025" i="4"/>
  <c r="C2024" i="4"/>
  <c r="B2024" i="4"/>
  <c r="A2024" i="4"/>
  <c r="C2023" i="4"/>
  <c r="B2023" i="4"/>
  <c r="A2023" i="4"/>
  <c r="C2022" i="4"/>
  <c r="B2022" i="4"/>
  <c r="A2022" i="4"/>
  <c r="C2021" i="4"/>
  <c r="B2021" i="4"/>
  <c r="A2021" i="4"/>
  <c r="C2020" i="4"/>
  <c r="B2020" i="4"/>
  <c r="A2020" i="4"/>
  <c r="C2019" i="4"/>
  <c r="B2019" i="4"/>
  <c r="A2019" i="4"/>
  <c r="C2018" i="4"/>
  <c r="B2018" i="4"/>
  <c r="A2018" i="4"/>
  <c r="C2017" i="4"/>
  <c r="B2017" i="4"/>
  <c r="A2017" i="4"/>
  <c r="C2016" i="4"/>
  <c r="B2016" i="4"/>
  <c r="A2016" i="4"/>
  <c r="C2015" i="4"/>
  <c r="B2015" i="4"/>
  <c r="A2015" i="4"/>
  <c r="C2014" i="4"/>
  <c r="B2014" i="4"/>
  <c r="A2014" i="4"/>
  <c r="C2013" i="4"/>
  <c r="B2013" i="4"/>
  <c r="A2013" i="4"/>
  <c r="C2012" i="4"/>
  <c r="B2012" i="4"/>
  <c r="A2012" i="4"/>
  <c r="C2011" i="4"/>
  <c r="B2011" i="4"/>
  <c r="A2011" i="4"/>
  <c r="C2010" i="4"/>
  <c r="B2010" i="4"/>
  <c r="A2010" i="4"/>
  <c r="C2009" i="4"/>
  <c r="B2009" i="4"/>
  <c r="A2009" i="4"/>
  <c r="C2008" i="4"/>
  <c r="B2008" i="4"/>
  <c r="A2008" i="4"/>
  <c r="C2007" i="4"/>
  <c r="B2007" i="4"/>
  <c r="A2007" i="4"/>
  <c r="C2006" i="4"/>
  <c r="B2006" i="4"/>
  <c r="A2006" i="4"/>
  <c r="C2005" i="4"/>
  <c r="B2005" i="4"/>
  <c r="A2005" i="4"/>
  <c r="C2004" i="4"/>
  <c r="B2004" i="4"/>
  <c r="A2004" i="4"/>
  <c r="C2003" i="4"/>
  <c r="B2003" i="4"/>
  <c r="A2003" i="4"/>
  <c r="C2002" i="4"/>
  <c r="B2002" i="4"/>
  <c r="A2002" i="4"/>
  <c r="C2001" i="4"/>
  <c r="B2001" i="4"/>
  <c r="A2001" i="4"/>
  <c r="C2000" i="4"/>
  <c r="B2000" i="4"/>
  <c r="A2000" i="4"/>
  <c r="C1999" i="4"/>
  <c r="B1999" i="4"/>
  <c r="A1999" i="4"/>
  <c r="C1998" i="4"/>
  <c r="B1998" i="4"/>
  <c r="A1998" i="4"/>
  <c r="C1997" i="4"/>
  <c r="B1997" i="4"/>
  <c r="A1997" i="4"/>
  <c r="C1996" i="4"/>
  <c r="B1996" i="4"/>
  <c r="A1996" i="4"/>
  <c r="C1995" i="4"/>
  <c r="B1995" i="4"/>
  <c r="A1995" i="4"/>
  <c r="C1994" i="4"/>
  <c r="B1994" i="4"/>
  <c r="A1994" i="4"/>
  <c r="C1993" i="4"/>
  <c r="B1993" i="4"/>
  <c r="A1993" i="4"/>
  <c r="C1992" i="4"/>
  <c r="B1992" i="4"/>
  <c r="A1992" i="4"/>
  <c r="C1991" i="4"/>
  <c r="B1991" i="4"/>
  <c r="A1991" i="4"/>
  <c r="C1990" i="4"/>
  <c r="B1990" i="4"/>
  <c r="A1990" i="4"/>
  <c r="C1989" i="4"/>
  <c r="B1989" i="4"/>
  <c r="A1989" i="4"/>
  <c r="C1988" i="4"/>
  <c r="B1988" i="4"/>
  <c r="A1988" i="4"/>
  <c r="C1987" i="4"/>
  <c r="B1987" i="4"/>
  <c r="A1987" i="4"/>
  <c r="C1986" i="4"/>
  <c r="B1986" i="4"/>
  <c r="A1986" i="4"/>
  <c r="C1985" i="4"/>
  <c r="B1985" i="4"/>
  <c r="A1985" i="4"/>
  <c r="C1984" i="4"/>
  <c r="B1984" i="4"/>
  <c r="A1984" i="4"/>
  <c r="C1983" i="4"/>
  <c r="B1983" i="4"/>
  <c r="A1983" i="4"/>
  <c r="C1982" i="4"/>
  <c r="B1982" i="4"/>
  <c r="A1982" i="4"/>
  <c r="C1981" i="4"/>
  <c r="B1981" i="4"/>
  <c r="A1981" i="4"/>
  <c r="C1980" i="4"/>
  <c r="B1980" i="4"/>
  <c r="A1980" i="4"/>
  <c r="C1979" i="4"/>
  <c r="B1979" i="4"/>
  <c r="A1979" i="4"/>
  <c r="C1978" i="4"/>
  <c r="B1978" i="4"/>
  <c r="A1978" i="4"/>
  <c r="C1977" i="4"/>
  <c r="B1977" i="4"/>
  <c r="A1977" i="4"/>
  <c r="C1976" i="4"/>
  <c r="B1976" i="4"/>
  <c r="A1976" i="4"/>
  <c r="C1975" i="4"/>
  <c r="B1975" i="4"/>
  <c r="A1975" i="4"/>
  <c r="C1974" i="4"/>
  <c r="B1974" i="4"/>
  <c r="A1974" i="4"/>
  <c r="C1973" i="4"/>
  <c r="B1973" i="4"/>
  <c r="A1973" i="4"/>
  <c r="C1972" i="4"/>
  <c r="B1972" i="4"/>
  <c r="A1972" i="4"/>
  <c r="C1971" i="4"/>
  <c r="B1971" i="4"/>
  <c r="A1971" i="4"/>
  <c r="C1970" i="4"/>
  <c r="B1970" i="4"/>
  <c r="A1970" i="4"/>
  <c r="C1969" i="4"/>
  <c r="B1969" i="4"/>
  <c r="A1969" i="4"/>
  <c r="C1968" i="4"/>
  <c r="B1968" i="4"/>
  <c r="A1968" i="4"/>
  <c r="C1967" i="4"/>
  <c r="B1967" i="4"/>
  <c r="A1967" i="4"/>
  <c r="C1966" i="4"/>
  <c r="B1966" i="4"/>
  <c r="A1966" i="4"/>
  <c r="C1965" i="4"/>
  <c r="B1965" i="4"/>
  <c r="A1965" i="4"/>
  <c r="C1964" i="4"/>
  <c r="B1964" i="4"/>
  <c r="A1964" i="4"/>
  <c r="C1963" i="4"/>
  <c r="B1963" i="4"/>
  <c r="A1963" i="4"/>
  <c r="C1962" i="4"/>
  <c r="B1962" i="4"/>
  <c r="A1962" i="4"/>
  <c r="C1961" i="4"/>
  <c r="B1961" i="4"/>
  <c r="A1961" i="4"/>
  <c r="C1960" i="4"/>
  <c r="B1960" i="4"/>
  <c r="A1960" i="4"/>
  <c r="C1959" i="4"/>
  <c r="B1959" i="4"/>
  <c r="A1959" i="4"/>
  <c r="C1958" i="4"/>
  <c r="B1958" i="4"/>
  <c r="A1958" i="4"/>
  <c r="C1957" i="4"/>
  <c r="B1957" i="4"/>
  <c r="A1957" i="4"/>
  <c r="C1956" i="4"/>
  <c r="B1956" i="4"/>
  <c r="A1956" i="4"/>
  <c r="C1955" i="4"/>
  <c r="B1955" i="4"/>
  <c r="A1955" i="4"/>
  <c r="C1954" i="4"/>
  <c r="B1954" i="4"/>
  <c r="A1954" i="4"/>
  <c r="C1953" i="4"/>
  <c r="B1953" i="4"/>
  <c r="A1953" i="4"/>
  <c r="C1952" i="4"/>
  <c r="B1952" i="4"/>
  <c r="A1952" i="4"/>
  <c r="C1951" i="4"/>
  <c r="B1951" i="4"/>
  <c r="A1951" i="4"/>
  <c r="C1950" i="4"/>
  <c r="B1950" i="4"/>
  <c r="A1950" i="4"/>
  <c r="C1949" i="4"/>
  <c r="B1949" i="4"/>
  <c r="A1949" i="4"/>
  <c r="C1948" i="4"/>
  <c r="B1948" i="4"/>
  <c r="A1948" i="4"/>
  <c r="C1947" i="4"/>
  <c r="B1947" i="4"/>
  <c r="A1947" i="4"/>
  <c r="C1946" i="4"/>
  <c r="B1946" i="4"/>
  <c r="A1946" i="4"/>
  <c r="C1945" i="4"/>
  <c r="B1945" i="4"/>
  <c r="A1945" i="4"/>
  <c r="C1944" i="4"/>
  <c r="B1944" i="4"/>
  <c r="A1944" i="4"/>
  <c r="C1943" i="4"/>
  <c r="B1943" i="4"/>
  <c r="A1943" i="4"/>
  <c r="C1942" i="4"/>
  <c r="B1942" i="4"/>
  <c r="A1942" i="4"/>
  <c r="C1941" i="4"/>
  <c r="B1941" i="4"/>
  <c r="A1941" i="4"/>
  <c r="C1940" i="4"/>
  <c r="B1940" i="4"/>
  <c r="A1940" i="4"/>
  <c r="C1939" i="4"/>
  <c r="B1939" i="4"/>
  <c r="A1939" i="4"/>
  <c r="C1938" i="4"/>
  <c r="B1938" i="4"/>
  <c r="A1938" i="4"/>
  <c r="C1937" i="4"/>
  <c r="B1937" i="4"/>
  <c r="A1937" i="4"/>
  <c r="C1936" i="4"/>
  <c r="B1936" i="4"/>
  <c r="A1936" i="4"/>
  <c r="C1935" i="4"/>
  <c r="B1935" i="4"/>
  <c r="A1935" i="4"/>
  <c r="C1934" i="4"/>
  <c r="B1934" i="4"/>
  <c r="A1934" i="4"/>
  <c r="C1933" i="4"/>
  <c r="B1933" i="4"/>
  <c r="A1933" i="4"/>
  <c r="C1932" i="4"/>
  <c r="B1932" i="4"/>
  <c r="A1932" i="4"/>
  <c r="C1931" i="4"/>
  <c r="B1931" i="4"/>
  <c r="A1931" i="4"/>
  <c r="C1930" i="4"/>
  <c r="B1930" i="4"/>
  <c r="A1930" i="4"/>
  <c r="C1929" i="4"/>
  <c r="B1929" i="4"/>
  <c r="A1929" i="4"/>
  <c r="C1928" i="4"/>
  <c r="B1928" i="4"/>
  <c r="A1928" i="4"/>
  <c r="C1927" i="4"/>
  <c r="B1927" i="4"/>
  <c r="A1927" i="4"/>
  <c r="C1926" i="4"/>
  <c r="B1926" i="4"/>
  <c r="A1926" i="4"/>
  <c r="C1925" i="4"/>
  <c r="B1925" i="4"/>
  <c r="A1925" i="4"/>
  <c r="C1924" i="4"/>
  <c r="B1924" i="4"/>
  <c r="A1924" i="4"/>
  <c r="C1923" i="4"/>
  <c r="B1923" i="4"/>
  <c r="A1923" i="4"/>
  <c r="C1922" i="4"/>
  <c r="B1922" i="4"/>
  <c r="A1922" i="4"/>
  <c r="C1921" i="4"/>
  <c r="B1921" i="4"/>
  <c r="A1921" i="4"/>
  <c r="C1920" i="4"/>
  <c r="B1920" i="4"/>
  <c r="A1920" i="4"/>
  <c r="C1919" i="4"/>
  <c r="B1919" i="4"/>
  <c r="A1919" i="4"/>
  <c r="C1918" i="4"/>
  <c r="B1918" i="4"/>
  <c r="A1918" i="4"/>
  <c r="C1917" i="4"/>
  <c r="B1917" i="4"/>
  <c r="A1917" i="4"/>
  <c r="C1916" i="4"/>
  <c r="B1916" i="4"/>
  <c r="A1916" i="4"/>
  <c r="C1915" i="4"/>
  <c r="B1915" i="4"/>
  <c r="A1915" i="4"/>
  <c r="C1914" i="4"/>
  <c r="B1914" i="4"/>
  <c r="A1914" i="4"/>
  <c r="C1913" i="4"/>
  <c r="B1913" i="4"/>
  <c r="A1913" i="4"/>
  <c r="C1912" i="4"/>
  <c r="B1912" i="4"/>
  <c r="A1912" i="4"/>
  <c r="C1911" i="4"/>
  <c r="B1911" i="4"/>
  <c r="A1911" i="4"/>
  <c r="C1910" i="4"/>
  <c r="B1910" i="4"/>
  <c r="A1910" i="4"/>
  <c r="C1909" i="4"/>
  <c r="B1909" i="4"/>
  <c r="A1909" i="4"/>
  <c r="C1908" i="4"/>
  <c r="B1908" i="4"/>
  <c r="A1908" i="4"/>
  <c r="C1907" i="4"/>
  <c r="B1907" i="4"/>
  <c r="A1907" i="4"/>
  <c r="C1906" i="4"/>
  <c r="B1906" i="4"/>
  <c r="A1906" i="4"/>
  <c r="C1905" i="4"/>
  <c r="B1905" i="4"/>
  <c r="A1905" i="4"/>
  <c r="C1904" i="4"/>
  <c r="B1904" i="4"/>
  <c r="A1904" i="4"/>
  <c r="C1903" i="4"/>
  <c r="B1903" i="4"/>
  <c r="A1903" i="4"/>
  <c r="C1902" i="4"/>
  <c r="B1902" i="4"/>
  <c r="A1902" i="4"/>
  <c r="C1901" i="4"/>
  <c r="B1901" i="4"/>
  <c r="A1901" i="4"/>
  <c r="C1900" i="4"/>
  <c r="B1900" i="4"/>
  <c r="A1900" i="4"/>
  <c r="C1899" i="4"/>
  <c r="B1899" i="4"/>
  <c r="A1899" i="4"/>
  <c r="C1898" i="4"/>
  <c r="B1898" i="4"/>
  <c r="A1898" i="4"/>
  <c r="C1897" i="4"/>
  <c r="B1897" i="4"/>
  <c r="A1897" i="4"/>
  <c r="C1896" i="4"/>
  <c r="B1896" i="4"/>
  <c r="A1896" i="4"/>
  <c r="C1895" i="4"/>
  <c r="B1895" i="4"/>
  <c r="A1895" i="4"/>
  <c r="C1894" i="4"/>
  <c r="B1894" i="4"/>
  <c r="A1894" i="4"/>
  <c r="C1893" i="4"/>
  <c r="B1893" i="4"/>
  <c r="A1893" i="4"/>
  <c r="C1892" i="4"/>
  <c r="B1892" i="4"/>
  <c r="A1892" i="4"/>
  <c r="C1891" i="4"/>
  <c r="B1891" i="4"/>
  <c r="A1891" i="4"/>
  <c r="C1890" i="4"/>
  <c r="B1890" i="4"/>
  <c r="A1890" i="4"/>
  <c r="C1889" i="4"/>
  <c r="B1889" i="4"/>
  <c r="A1889" i="4"/>
  <c r="C1888" i="4"/>
  <c r="B1888" i="4"/>
  <c r="A1888" i="4"/>
  <c r="C1887" i="4"/>
  <c r="B1887" i="4"/>
  <c r="A1887" i="4"/>
  <c r="C1886" i="4"/>
  <c r="B1886" i="4"/>
  <c r="A1886" i="4"/>
  <c r="C1885" i="4"/>
  <c r="B1885" i="4"/>
  <c r="A1885" i="4"/>
  <c r="C1884" i="4"/>
  <c r="B1884" i="4"/>
  <c r="A1884" i="4"/>
  <c r="C1883" i="4"/>
  <c r="B1883" i="4"/>
  <c r="A1883" i="4"/>
  <c r="C1882" i="4"/>
  <c r="B1882" i="4"/>
  <c r="A1882" i="4"/>
  <c r="C1881" i="4"/>
  <c r="B1881" i="4"/>
  <c r="A1881" i="4"/>
  <c r="C1880" i="4"/>
  <c r="B1880" i="4"/>
  <c r="A1880" i="4"/>
  <c r="C1879" i="4"/>
  <c r="B1879" i="4"/>
  <c r="A1879" i="4"/>
  <c r="C1878" i="4"/>
  <c r="B1878" i="4"/>
  <c r="A1878" i="4"/>
  <c r="C1877" i="4"/>
  <c r="B1877" i="4"/>
  <c r="A1877" i="4"/>
  <c r="C1876" i="4"/>
  <c r="B1876" i="4"/>
  <c r="A1876" i="4"/>
  <c r="C1875" i="4"/>
  <c r="B1875" i="4"/>
  <c r="A1875" i="4"/>
  <c r="C1874" i="4"/>
  <c r="B1874" i="4"/>
  <c r="A1874" i="4"/>
  <c r="C1873" i="4"/>
  <c r="B1873" i="4"/>
  <c r="A1873" i="4"/>
  <c r="C1872" i="4"/>
  <c r="B1872" i="4"/>
  <c r="A1872" i="4"/>
  <c r="C1871" i="4"/>
  <c r="B1871" i="4"/>
  <c r="A1871" i="4"/>
  <c r="C1870" i="4"/>
  <c r="B1870" i="4"/>
  <c r="A1870" i="4"/>
  <c r="C1869" i="4"/>
  <c r="B1869" i="4"/>
  <c r="A1869" i="4"/>
  <c r="C1868" i="4"/>
  <c r="B1868" i="4"/>
  <c r="A1868" i="4"/>
  <c r="C1867" i="4"/>
  <c r="B1867" i="4"/>
  <c r="A1867" i="4"/>
  <c r="C1866" i="4"/>
  <c r="B1866" i="4"/>
  <c r="A1866" i="4"/>
  <c r="C1865" i="4"/>
  <c r="B1865" i="4"/>
  <c r="A1865" i="4"/>
  <c r="C1864" i="4"/>
  <c r="B1864" i="4"/>
  <c r="A1864" i="4"/>
  <c r="C1863" i="4"/>
  <c r="B1863" i="4"/>
  <c r="A1863" i="4"/>
  <c r="C1862" i="4"/>
  <c r="B1862" i="4"/>
  <c r="A1862" i="4"/>
  <c r="C1861" i="4"/>
  <c r="B1861" i="4"/>
  <c r="A1861" i="4"/>
  <c r="C1860" i="4"/>
  <c r="B1860" i="4"/>
  <c r="A1860" i="4"/>
  <c r="C1859" i="4"/>
  <c r="B1859" i="4"/>
  <c r="A1859" i="4"/>
  <c r="C1858" i="4"/>
  <c r="B1858" i="4"/>
  <c r="A1858" i="4"/>
  <c r="C1857" i="4"/>
  <c r="B1857" i="4"/>
  <c r="A1857" i="4"/>
  <c r="C1856" i="4"/>
  <c r="B1856" i="4"/>
  <c r="A1856" i="4"/>
  <c r="C1855" i="4"/>
  <c r="B1855" i="4"/>
  <c r="A1855" i="4"/>
  <c r="C1854" i="4"/>
  <c r="B1854" i="4"/>
  <c r="A1854" i="4"/>
  <c r="C1853" i="4"/>
  <c r="B1853" i="4"/>
  <c r="A1853" i="4"/>
  <c r="C1852" i="4"/>
  <c r="B1852" i="4"/>
  <c r="A1852" i="4"/>
  <c r="C1851" i="4"/>
  <c r="B1851" i="4"/>
  <c r="A1851" i="4"/>
  <c r="C1850" i="4"/>
  <c r="B1850" i="4"/>
  <c r="A1850" i="4"/>
  <c r="C1849" i="4"/>
  <c r="B1849" i="4"/>
  <c r="A1849" i="4"/>
  <c r="C1848" i="4"/>
  <c r="B1848" i="4"/>
  <c r="A1848" i="4"/>
  <c r="C1847" i="4"/>
  <c r="B1847" i="4"/>
  <c r="A1847" i="4"/>
  <c r="C1846" i="4"/>
  <c r="B1846" i="4"/>
  <c r="A1846" i="4"/>
  <c r="C1845" i="4"/>
  <c r="B1845" i="4"/>
  <c r="A1845" i="4"/>
  <c r="C1844" i="4"/>
  <c r="B1844" i="4"/>
  <c r="A1844" i="4"/>
  <c r="C1843" i="4"/>
  <c r="B1843" i="4"/>
  <c r="A1843" i="4"/>
  <c r="C1842" i="4"/>
  <c r="B1842" i="4"/>
  <c r="A1842" i="4"/>
  <c r="C1841" i="4"/>
  <c r="B1841" i="4"/>
  <c r="A1841" i="4"/>
  <c r="C1840" i="4"/>
  <c r="B1840" i="4"/>
  <c r="A1840" i="4"/>
  <c r="C1839" i="4"/>
  <c r="B1839" i="4"/>
  <c r="A1839" i="4"/>
  <c r="C1838" i="4"/>
  <c r="B1838" i="4"/>
  <c r="A1838" i="4"/>
  <c r="C1837" i="4"/>
  <c r="B1837" i="4"/>
  <c r="A1837" i="4"/>
  <c r="C1836" i="4"/>
  <c r="B1836" i="4"/>
  <c r="A1836" i="4"/>
  <c r="C1835" i="4"/>
  <c r="B1835" i="4"/>
  <c r="A1835" i="4"/>
  <c r="C1834" i="4"/>
  <c r="B1834" i="4"/>
  <c r="A1834" i="4"/>
  <c r="C1833" i="4"/>
  <c r="B1833" i="4"/>
  <c r="A1833" i="4"/>
  <c r="C1832" i="4"/>
  <c r="B1832" i="4"/>
  <c r="A1832" i="4"/>
  <c r="C1831" i="4"/>
  <c r="B1831" i="4"/>
  <c r="A1831" i="4"/>
  <c r="C1830" i="4"/>
  <c r="B1830" i="4"/>
  <c r="A1830" i="4"/>
  <c r="C1829" i="4"/>
  <c r="B1829" i="4"/>
  <c r="A1829" i="4"/>
  <c r="C1828" i="4"/>
  <c r="B1828" i="4"/>
  <c r="A1828" i="4"/>
  <c r="C1827" i="4"/>
  <c r="B1827" i="4"/>
  <c r="A1827" i="4"/>
  <c r="C1826" i="4"/>
  <c r="B1826" i="4"/>
  <c r="A1826" i="4"/>
  <c r="C1825" i="4"/>
  <c r="B1825" i="4"/>
  <c r="A1825" i="4"/>
  <c r="C1824" i="4"/>
  <c r="B1824" i="4"/>
  <c r="A1824" i="4"/>
  <c r="C1823" i="4"/>
  <c r="B1823" i="4"/>
  <c r="A1823" i="4"/>
  <c r="C1822" i="4"/>
  <c r="B1822" i="4"/>
  <c r="A1822" i="4"/>
  <c r="C1821" i="4"/>
  <c r="B1821" i="4"/>
  <c r="A1821" i="4"/>
  <c r="C1820" i="4"/>
  <c r="B1820" i="4"/>
  <c r="A1820" i="4"/>
  <c r="C1819" i="4"/>
  <c r="B1819" i="4"/>
  <c r="A1819" i="4"/>
  <c r="C1818" i="4"/>
  <c r="B1818" i="4"/>
  <c r="A1818" i="4"/>
  <c r="C1817" i="4"/>
  <c r="B1817" i="4"/>
  <c r="A1817" i="4"/>
  <c r="C1816" i="4"/>
  <c r="B1816" i="4"/>
  <c r="A1816" i="4"/>
  <c r="C1815" i="4"/>
  <c r="B1815" i="4"/>
  <c r="A1815" i="4"/>
  <c r="C1814" i="4"/>
  <c r="B1814" i="4"/>
  <c r="A1814" i="4"/>
  <c r="C1813" i="4"/>
  <c r="B1813" i="4"/>
  <c r="A1813" i="4"/>
  <c r="C1812" i="4"/>
  <c r="B1812" i="4"/>
  <c r="A1812" i="4"/>
  <c r="C1811" i="4"/>
  <c r="B1811" i="4"/>
  <c r="A1811" i="4"/>
  <c r="C1810" i="4"/>
  <c r="B1810" i="4"/>
  <c r="A1810" i="4"/>
  <c r="C1809" i="4"/>
  <c r="B1809" i="4"/>
  <c r="A1809" i="4"/>
  <c r="C1808" i="4"/>
  <c r="B1808" i="4"/>
  <c r="A1808" i="4"/>
  <c r="C1807" i="4"/>
  <c r="B1807" i="4"/>
  <c r="A1807" i="4"/>
  <c r="C1806" i="4"/>
  <c r="B1806" i="4"/>
  <c r="A1806" i="4"/>
  <c r="C1805" i="4"/>
  <c r="B1805" i="4"/>
  <c r="A1805" i="4"/>
  <c r="C1804" i="4"/>
  <c r="B1804" i="4"/>
  <c r="A1804" i="4"/>
  <c r="C1803" i="4"/>
  <c r="B1803" i="4"/>
  <c r="A1803" i="4"/>
  <c r="C1802" i="4"/>
  <c r="B1802" i="4"/>
  <c r="A1802" i="4"/>
  <c r="C1801" i="4"/>
  <c r="B1801" i="4"/>
  <c r="A1801" i="4"/>
  <c r="C1800" i="4"/>
  <c r="B1800" i="4"/>
  <c r="A1800" i="4"/>
  <c r="C1799" i="4"/>
  <c r="B1799" i="4"/>
  <c r="A1799" i="4"/>
  <c r="C1798" i="4"/>
  <c r="B1798" i="4"/>
  <c r="A1798" i="4"/>
  <c r="C1797" i="4"/>
  <c r="B1797" i="4"/>
  <c r="A1797" i="4"/>
  <c r="C1796" i="4"/>
  <c r="B1796" i="4"/>
  <c r="A1796" i="4"/>
  <c r="C1795" i="4"/>
  <c r="B1795" i="4"/>
  <c r="A1795" i="4"/>
  <c r="C1794" i="4"/>
  <c r="B1794" i="4"/>
  <c r="A1794" i="4"/>
  <c r="C1793" i="4"/>
  <c r="B1793" i="4"/>
  <c r="A1793" i="4"/>
  <c r="C1792" i="4"/>
  <c r="B1792" i="4"/>
  <c r="A1792" i="4"/>
  <c r="C1791" i="4"/>
  <c r="B1791" i="4"/>
  <c r="A1791" i="4"/>
  <c r="C1790" i="4"/>
  <c r="B1790" i="4"/>
  <c r="A1790" i="4"/>
  <c r="C1789" i="4"/>
  <c r="B1789" i="4"/>
  <c r="A1789" i="4"/>
  <c r="C1788" i="4"/>
  <c r="B1788" i="4"/>
  <c r="A1788" i="4"/>
  <c r="C1787" i="4"/>
  <c r="B1787" i="4"/>
  <c r="A1787" i="4"/>
  <c r="C1786" i="4"/>
  <c r="B1786" i="4"/>
  <c r="A1786" i="4"/>
  <c r="C1785" i="4"/>
  <c r="B1785" i="4"/>
  <c r="A1785" i="4"/>
  <c r="C1784" i="4"/>
  <c r="B1784" i="4"/>
  <c r="A1784" i="4"/>
  <c r="C1783" i="4"/>
  <c r="B1783" i="4"/>
  <c r="A1783" i="4"/>
  <c r="C1782" i="4"/>
  <c r="B1782" i="4"/>
  <c r="A1782" i="4"/>
  <c r="C1781" i="4"/>
  <c r="B1781" i="4"/>
  <c r="A1781" i="4"/>
  <c r="C1780" i="4"/>
  <c r="B1780" i="4"/>
  <c r="A1780" i="4"/>
  <c r="C1779" i="4"/>
  <c r="B1779" i="4"/>
  <c r="A1779" i="4"/>
  <c r="C1778" i="4"/>
  <c r="B1778" i="4"/>
  <c r="A1778" i="4"/>
  <c r="C1777" i="4"/>
  <c r="B1777" i="4"/>
  <c r="A1777" i="4"/>
  <c r="C1776" i="4"/>
  <c r="B1776" i="4"/>
  <c r="A1776" i="4"/>
  <c r="C1775" i="4"/>
  <c r="B1775" i="4"/>
  <c r="A1775" i="4"/>
  <c r="C1774" i="4"/>
  <c r="B1774" i="4"/>
  <c r="A1774" i="4"/>
  <c r="C1773" i="4"/>
  <c r="B1773" i="4"/>
  <c r="A1773" i="4"/>
  <c r="C1772" i="4"/>
  <c r="B1772" i="4"/>
  <c r="A1772" i="4"/>
  <c r="C1771" i="4"/>
  <c r="B1771" i="4"/>
  <c r="A1771" i="4"/>
  <c r="C1770" i="4"/>
  <c r="B1770" i="4"/>
  <c r="A1770" i="4"/>
  <c r="C1769" i="4"/>
  <c r="B1769" i="4"/>
  <c r="A1769" i="4"/>
  <c r="C1768" i="4"/>
  <c r="B1768" i="4"/>
  <c r="A1768" i="4"/>
  <c r="C1767" i="4"/>
  <c r="B1767" i="4"/>
  <c r="A1767" i="4"/>
  <c r="C1766" i="4"/>
  <c r="B1766" i="4"/>
  <c r="A1766" i="4"/>
  <c r="C1765" i="4"/>
  <c r="B1765" i="4"/>
  <c r="A1765" i="4"/>
  <c r="C1764" i="4"/>
  <c r="B1764" i="4"/>
  <c r="A1764" i="4"/>
  <c r="C1763" i="4"/>
  <c r="B1763" i="4"/>
  <c r="A1763" i="4"/>
  <c r="C1762" i="4"/>
  <c r="B1762" i="4"/>
  <c r="A1762" i="4"/>
  <c r="C1761" i="4"/>
  <c r="B1761" i="4"/>
  <c r="A1761" i="4"/>
  <c r="C1760" i="4"/>
  <c r="B1760" i="4"/>
  <c r="A1760" i="4"/>
  <c r="C1759" i="4"/>
  <c r="B1759" i="4"/>
  <c r="A1759" i="4"/>
  <c r="C1758" i="4"/>
  <c r="B1758" i="4"/>
  <c r="A1758" i="4"/>
  <c r="C1757" i="4"/>
  <c r="B1757" i="4"/>
  <c r="A1757" i="4"/>
  <c r="C1756" i="4"/>
  <c r="B1756" i="4"/>
  <c r="A1756" i="4"/>
  <c r="C1755" i="4"/>
  <c r="B1755" i="4"/>
  <c r="A1755" i="4"/>
  <c r="C1754" i="4"/>
  <c r="B1754" i="4"/>
  <c r="A1754" i="4"/>
  <c r="C1753" i="4"/>
  <c r="B1753" i="4"/>
  <c r="A1753" i="4"/>
  <c r="C1752" i="4"/>
  <c r="B1752" i="4"/>
  <c r="A1752" i="4"/>
  <c r="C1751" i="4"/>
  <c r="B1751" i="4"/>
  <c r="A1751" i="4"/>
  <c r="C1750" i="4"/>
  <c r="B1750" i="4"/>
  <c r="A1750" i="4"/>
  <c r="C1749" i="4"/>
  <c r="B1749" i="4"/>
  <c r="A1749" i="4"/>
  <c r="C1748" i="4"/>
  <c r="B1748" i="4"/>
  <c r="A1748" i="4"/>
  <c r="C1747" i="4"/>
  <c r="B1747" i="4"/>
  <c r="A1747" i="4"/>
  <c r="C1746" i="4"/>
  <c r="B1746" i="4"/>
  <c r="A1746" i="4"/>
  <c r="C1745" i="4"/>
  <c r="B1745" i="4"/>
  <c r="A1745" i="4"/>
  <c r="C1744" i="4"/>
  <c r="B1744" i="4"/>
  <c r="A1744" i="4"/>
  <c r="C1743" i="4"/>
  <c r="B1743" i="4"/>
  <c r="A1743" i="4"/>
  <c r="C1742" i="4"/>
  <c r="B1742" i="4"/>
  <c r="A1742" i="4"/>
  <c r="C1741" i="4"/>
  <c r="B1741" i="4"/>
  <c r="A1741" i="4"/>
  <c r="C1740" i="4"/>
  <c r="B1740" i="4"/>
  <c r="A1740" i="4"/>
  <c r="C1739" i="4"/>
  <c r="B1739" i="4"/>
  <c r="A1739" i="4"/>
  <c r="C1738" i="4"/>
  <c r="B1738" i="4"/>
  <c r="A1738" i="4"/>
  <c r="C1737" i="4"/>
  <c r="B1737" i="4"/>
  <c r="A1737" i="4"/>
  <c r="C1736" i="4"/>
  <c r="B1736" i="4"/>
  <c r="A1736" i="4"/>
  <c r="C1735" i="4"/>
  <c r="B1735" i="4"/>
  <c r="A1735" i="4"/>
  <c r="C1734" i="4"/>
  <c r="B1734" i="4"/>
  <c r="A1734" i="4"/>
  <c r="C1733" i="4"/>
  <c r="B1733" i="4"/>
  <c r="A1733" i="4"/>
  <c r="C1732" i="4"/>
  <c r="B1732" i="4"/>
  <c r="A1732" i="4"/>
  <c r="C1731" i="4"/>
  <c r="B1731" i="4"/>
  <c r="A1731" i="4"/>
  <c r="C1730" i="4"/>
  <c r="B1730" i="4"/>
  <c r="A1730" i="4"/>
  <c r="C1729" i="4"/>
  <c r="B1729" i="4"/>
  <c r="A1729" i="4"/>
  <c r="C1728" i="4"/>
  <c r="B1728" i="4"/>
  <c r="A1728" i="4"/>
  <c r="C1727" i="4"/>
  <c r="B1727" i="4"/>
  <c r="A1727" i="4"/>
  <c r="C1726" i="4"/>
  <c r="B1726" i="4"/>
  <c r="A1726" i="4"/>
  <c r="C1725" i="4"/>
  <c r="B1725" i="4"/>
  <c r="A1725" i="4"/>
  <c r="C1724" i="4"/>
  <c r="B1724" i="4"/>
  <c r="A1724" i="4"/>
  <c r="C1723" i="4"/>
  <c r="B1723" i="4"/>
  <c r="A1723" i="4"/>
  <c r="C1722" i="4"/>
  <c r="B1722" i="4"/>
  <c r="A1722" i="4"/>
  <c r="C1721" i="4"/>
  <c r="B1721" i="4"/>
  <c r="A1721" i="4"/>
  <c r="C1720" i="4"/>
  <c r="B1720" i="4"/>
  <c r="A1720" i="4"/>
  <c r="C1719" i="4"/>
  <c r="B1719" i="4"/>
  <c r="A1719" i="4"/>
  <c r="C1718" i="4"/>
  <c r="B1718" i="4"/>
  <c r="A1718" i="4"/>
  <c r="C1717" i="4"/>
  <c r="B1717" i="4"/>
  <c r="A1717" i="4"/>
  <c r="C1716" i="4"/>
  <c r="B1716" i="4"/>
  <c r="A1716" i="4"/>
  <c r="C1715" i="4"/>
  <c r="B1715" i="4"/>
  <c r="A1715" i="4"/>
  <c r="C1714" i="4"/>
  <c r="B1714" i="4"/>
  <c r="A1714" i="4"/>
  <c r="C1713" i="4"/>
  <c r="B1713" i="4"/>
  <c r="A1713" i="4"/>
  <c r="C1712" i="4"/>
  <c r="B1712" i="4"/>
  <c r="A1712" i="4"/>
  <c r="C1711" i="4"/>
  <c r="B1711" i="4"/>
  <c r="A1711" i="4"/>
  <c r="C1710" i="4"/>
  <c r="B1710" i="4"/>
  <c r="A1710" i="4"/>
  <c r="C1709" i="4"/>
  <c r="B1709" i="4"/>
  <c r="A1709" i="4"/>
  <c r="C1708" i="4"/>
  <c r="B1708" i="4"/>
  <c r="A1708" i="4"/>
  <c r="C1707" i="4"/>
  <c r="B1707" i="4"/>
  <c r="A1707" i="4"/>
  <c r="C1706" i="4"/>
  <c r="B1706" i="4"/>
  <c r="A1706" i="4"/>
  <c r="C1705" i="4"/>
  <c r="B1705" i="4"/>
  <c r="A1705" i="4"/>
  <c r="C1704" i="4"/>
  <c r="B1704" i="4"/>
  <c r="A1704" i="4"/>
  <c r="C1703" i="4"/>
  <c r="B1703" i="4"/>
  <c r="A1703" i="4"/>
  <c r="C1702" i="4"/>
  <c r="B1702" i="4"/>
  <c r="A1702" i="4"/>
  <c r="C1701" i="4"/>
  <c r="B1701" i="4"/>
  <c r="A1701" i="4"/>
  <c r="C1700" i="4"/>
  <c r="B1700" i="4"/>
  <c r="A1700" i="4"/>
  <c r="C1699" i="4"/>
  <c r="B1699" i="4"/>
  <c r="A1699" i="4"/>
  <c r="C1698" i="4"/>
  <c r="B1698" i="4"/>
  <c r="A1698" i="4"/>
  <c r="C1697" i="4"/>
  <c r="B1697" i="4"/>
  <c r="A1697" i="4"/>
  <c r="C1696" i="4"/>
  <c r="B1696" i="4"/>
  <c r="A1696" i="4"/>
  <c r="C1695" i="4"/>
  <c r="B1695" i="4"/>
  <c r="A1695" i="4"/>
  <c r="C1694" i="4"/>
  <c r="B1694" i="4"/>
  <c r="A1694" i="4"/>
  <c r="C1693" i="4"/>
  <c r="B1693" i="4"/>
  <c r="A1693" i="4"/>
  <c r="C1692" i="4"/>
  <c r="B1692" i="4"/>
  <c r="A1692" i="4"/>
  <c r="C1691" i="4"/>
  <c r="B1691" i="4"/>
  <c r="A1691" i="4"/>
  <c r="C1690" i="4"/>
  <c r="B1690" i="4"/>
  <c r="A1690" i="4"/>
  <c r="C1689" i="4"/>
  <c r="B1689" i="4"/>
  <c r="A1689" i="4"/>
  <c r="C1688" i="4"/>
  <c r="B1688" i="4"/>
  <c r="A1688" i="4"/>
  <c r="C1687" i="4"/>
  <c r="B1687" i="4"/>
  <c r="A1687" i="4"/>
  <c r="C1686" i="4"/>
  <c r="B1686" i="4"/>
  <c r="A1686" i="4"/>
  <c r="C1685" i="4"/>
  <c r="B1685" i="4"/>
  <c r="A1685" i="4"/>
  <c r="C1684" i="4"/>
  <c r="B1684" i="4"/>
  <c r="A1684" i="4"/>
  <c r="C1683" i="4"/>
  <c r="B1683" i="4"/>
  <c r="A1683" i="4"/>
  <c r="C1682" i="4"/>
  <c r="B1682" i="4"/>
  <c r="A1682" i="4"/>
  <c r="C1681" i="4"/>
  <c r="B1681" i="4"/>
  <c r="A1681" i="4"/>
  <c r="C1680" i="4"/>
  <c r="B1680" i="4"/>
  <c r="A1680" i="4"/>
  <c r="C1679" i="4"/>
  <c r="B1679" i="4"/>
  <c r="A1679" i="4"/>
  <c r="C1678" i="4"/>
  <c r="B1678" i="4"/>
  <c r="A1678" i="4"/>
  <c r="C1677" i="4"/>
  <c r="B1677" i="4"/>
  <c r="A1677" i="4"/>
  <c r="C1676" i="4"/>
  <c r="B1676" i="4"/>
  <c r="A1676" i="4"/>
  <c r="C1675" i="4"/>
  <c r="B1675" i="4"/>
  <c r="A1675" i="4"/>
  <c r="C1674" i="4"/>
  <c r="B1674" i="4"/>
  <c r="A1674" i="4"/>
  <c r="C1673" i="4"/>
  <c r="B1673" i="4"/>
  <c r="A1673" i="4"/>
  <c r="C1672" i="4"/>
  <c r="B1672" i="4"/>
  <c r="A1672" i="4"/>
  <c r="C1671" i="4"/>
  <c r="B1671" i="4"/>
  <c r="A1671" i="4"/>
  <c r="C1670" i="4"/>
  <c r="B1670" i="4"/>
  <c r="A1670" i="4"/>
  <c r="C1669" i="4"/>
  <c r="B1669" i="4"/>
  <c r="A1669" i="4"/>
  <c r="C1668" i="4"/>
  <c r="B1668" i="4"/>
  <c r="A1668" i="4"/>
  <c r="C1667" i="4"/>
  <c r="B1667" i="4"/>
  <c r="A1667" i="4"/>
  <c r="C1666" i="4"/>
  <c r="B1666" i="4"/>
  <c r="A1666" i="4"/>
  <c r="C1665" i="4"/>
  <c r="B1665" i="4"/>
  <c r="A1665" i="4"/>
  <c r="C1664" i="4"/>
  <c r="B1664" i="4"/>
  <c r="A1664" i="4"/>
  <c r="C1663" i="4"/>
  <c r="B1663" i="4"/>
  <c r="A1663" i="4"/>
  <c r="C1662" i="4"/>
  <c r="B1662" i="4"/>
  <c r="A1662" i="4"/>
  <c r="C1661" i="4"/>
  <c r="B1661" i="4"/>
  <c r="A1661" i="4"/>
  <c r="C1660" i="4"/>
  <c r="B1660" i="4"/>
  <c r="A1660" i="4"/>
  <c r="C1659" i="4"/>
  <c r="B1659" i="4"/>
  <c r="A1659" i="4"/>
  <c r="C1658" i="4"/>
  <c r="B1658" i="4"/>
  <c r="A1658" i="4"/>
  <c r="C1657" i="4"/>
  <c r="B1657" i="4"/>
  <c r="A1657" i="4"/>
  <c r="C1656" i="4"/>
  <c r="B1656" i="4"/>
  <c r="A1656" i="4"/>
  <c r="C1655" i="4"/>
  <c r="B1655" i="4"/>
  <c r="A1655" i="4"/>
  <c r="C1654" i="4"/>
  <c r="B1654" i="4"/>
  <c r="A1654" i="4"/>
  <c r="C1653" i="4"/>
  <c r="B1653" i="4"/>
  <c r="A1653" i="4"/>
  <c r="C1652" i="4"/>
  <c r="B1652" i="4"/>
  <c r="A1652" i="4"/>
  <c r="C1651" i="4"/>
  <c r="B1651" i="4"/>
  <c r="A1651" i="4"/>
  <c r="C1650" i="4"/>
  <c r="B1650" i="4"/>
  <c r="A1650" i="4"/>
  <c r="C1649" i="4"/>
  <c r="B1649" i="4"/>
  <c r="A1649" i="4"/>
  <c r="C1648" i="4"/>
  <c r="B1648" i="4"/>
  <c r="A1648" i="4"/>
  <c r="C1647" i="4"/>
  <c r="B1647" i="4"/>
  <c r="A1647" i="4"/>
  <c r="C1646" i="4"/>
  <c r="B1646" i="4"/>
  <c r="A1646" i="4"/>
  <c r="C1645" i="4"/>
  <c r="B1645" i="4"/>
  <c r="A1645" i="4"/>
  <c r="C1644" i="4"/>
  <c r="B1644" i="4"/>
  <c r="A1644" i="4"/>
  <c r="C1643" i="4"/>
  <c r="B1643" i="4"/>
  <c r="A1643" i="4"/>
  <c r="C1642" i="4"/>
  <c r="B1642" i="4"/>
  <c r="A1642" i="4"/>
  <c r="C1641" i="4"/>
  <c r="B1641" i="4"/>
  <c r="A1641" i="4"/>
  <c r="C1640" i="4"/>
  <c r="B1640" i="4"/>
  <c r="A1640" i="4"/>
  <c r="C1639" i="4"/>
  <c r="B1639" i="4"/>
  <c r="A1639" i="4"/>
  <c r="C1638" i="4"/>
  <c r="B1638" i="4"/>
  <c r="A1638" i="4"/>
  <c r="C1637" i="4"/>
  <c r="B1637" i="4"/>
  <c r="A1637" i="4"/>
  <c r="C1636" i="4"/>
  <c r="B1636" i="4"/>
  <c r="A1636" i="4"/>
  <c r="C1635" i="4"/>
  <c r="B1635" i="4"/>
  <c r="A1635" i="4"/>
  <c r="C1634" i="4"/>
  <c r="B1634" i="4"/>
  <c r="A1634" i="4"/>
  <c r="C1633" i="4"/>
  <c r="B1633" i="4"/>
  <c r="A1633" i="4"/>
  <c r="C1632" i="4"/>
  <c r="B1632" i="4"/>
  <c r="A1632" i="4"/>
  <c r="C1631" i="4"/>
  <c r="B1631" i="4"/>
  <c r="A1631" i="4"/>
  <c r="C1630" i="4"/>
  <c r="B1630" i="4"/>
  <c r="A1630" i="4"/>
  <c r="C1629" i="4"/>
  <c r="B1629" i="4"/>
  <c r="A1629" i="4"/>
  <c r="C1628" i="4"/>
  <c r="B1628" i="4"/>
  <c r="A1628" i="4"/>
  <c r="C1627" i="4"/>
  <c r="B1627" i="4"/>
  <c r="A1627" i="4"/>
  <c r="C1626" i="4"/>
  <c r="B1626" i="4"/>
  <c r="A1626" i="4"/>
  <c r="C1625" i="4"/>
  <c r="B1625" i="4"/>
  <c r="A1625" i="4"/>
  <c r="C1624" i="4"/>
  <c r="B1624" i="4"/>
  <c r="A1624" i="4"/>
  <c r="C1623" i="4"/>
  <c r="B1623" i="4"/>
  <c r="A1623" i="4"/>
  <c r="C1622" i="4"/>
  <c r="B1622" i="4"/>
  <c r="A1622" i="4"/>
  <c r="C1621" i="4"/>
  <c r="B1621" i="4"/>
  <c r="A1621" i="4"/>
  <c r="C1620" i="4"/>
  <c r="B1620" i="4"/>
  <c r="A1620" i="4"/>
  <c r="C1619" i="4"/>
  <c r="B1619" i="4"/>
  <c r="A1619" i="4"/>
  <c r="C1618" i="4"/>
  <c r="B1618" i="4"/>
  <c r="A1618" i="4"/>
  <c r="C1617" i="4"/>
  <c r="B1617" i="4"/>
  <c r="A1617" i="4"/>
  <c r="C1616" i="4"/>
  <c r="B1616" i="4"/>
  <c r="A1616" i="4"/>
  <c r="C1615" i="4"/>
  <c r="B1615" i="4"/>
  <c r="A1615" i="4"/>
  <c r="C1614" i="4"/>
  <c r="B1614" i="4"/>
  <c r="A1614" i="4"/>
  <c r="C1613" i="4"/>
  <c r="B1613" i="4"/>
  <c r="A1613" i="4"/>
  <c r="C1612" i="4"/>
  <c r="B1612" i="4"/>
  <c r="A1612" i="4"/>
  <c r="C1611" i="4"/>
  <c r="B1611" i="4"/>
  <c r="A1611" i="4"/>
  <c r="C1610" i="4"/>
  <c r="B1610" i="4"/>
  <c r="A1610" i="4"/>
  <c r="C1609" i="4"/>
  <c r="B1609" i="4"/>
  <c r="A1609" i="4"/>
  <c r="C1608" i="4"/>
  <c r="B1608" i="4"/>
  <c r="A1608" i="4"/>
  <c r="C1607" i="4"/>
  <c r="B1607" i="4"/>
  <c r="A1607" i="4"/>
  <c r="C1606" i="4"/>
  <c r="B1606" i="4"/>
  <c r="A1606" i="4"/>
  <c r="C1605" i="4"/>
  <c r="B1605" i="4"/>
  <c r="A1605" i="4"/>
  <c r="C1604" i="4"/>
  <c r="B1604" i="4"/>
  <c r="A1604" i="4"/>
  <c r="C1603" i="4"/>
  <c r="B1603" i="4"/>
  <c r="A1603" i="4"/>
  <c r="C1602" i="4"/>
  <c r="B1602" i="4"/>
  <c r="A1602" i="4"/>
  <c r="C1601" i="4"/>
  <c r="B1601" i="4"/>
  <c r="A1601" i="4"/>
  <c r="C1600" i="4"/>
  <c r="B1600" i="4"/>
  <c r="A1600" i="4"/>
  <c r="C1599" i="4"/>
  <c r="B1599" i="4"/>
  <c r="A1599" i="4"/>
  <c r="C1598" i="4"/>
  <c r="B1598" i="4"/>
  <c r="A1598" i="4"/>
  <c r="C1597" i="4"/>
  <c r="B1597" i="4"/>
  <c r="A1597" i="4"/>
  <c r="C1596" i="4"/>
  <c r="B1596" i="4"/>
  <c r="A1596" i="4"/>
  <c r="C1595" i="4"/>
  <c r="B1595" i="4"/>
  <c r="A1595" i="4"/>
  <c r="C1594" i="4"/>
  <c r="B1594" i="4"/>
  <c r="A1594" i="4"/>
  <c r="C1593" i="4"/>
  <c r="B1593" i="4"/>
  <c r="A1593" i="4"/>
  <c r="C1592" i="4"/>
  <c r="B1592" i="4"/>
  <c r="A1592" i="4"/>
  <c r="C1591" i="4"/>
  <c r="B1591" i="4"/>
  <c r="A1591" i="4"/>
  <c r="C1590" i="4"/>
  <c r="B1590" i="4"/>
  <c r="A1590" i="4"/>
  <c r="C1589" i="4"/>
  <c r="B1589" i="4"/>
  <c r="A1589" i="4"/>
  <c r="C1588" i="4"/>
  <c r="B1588" i="4"/>
  <c r="A1588" i="4"/>
  <c r="C1587" i="4"/>
  <c r="B1587" i="4"/>
  <c r="A1587" i="4"/>
  <c r="C1586" i="4"/>
  <c r="B1586" i="4"/>
  <c r="A1586" i="4"/>
  <c r="C1585" i="4"/>
  <c r="B1585" i="4"/>
  <c r="A1585" i="4"/>
  <c r="C1584" i="4"/>
  <c r="B1584" i="4"/>
  <c r="A1584" i="4"/>
  <c r="C1583" i="4"/>
  <c r="B1583" i="4"/>
  <c r="A1583" i="4"/>
  <c r="C1582" i="4"/>
  <c r="B1582" i="4"/>
  <c r="A1582" i="4"/>
  <c r="C1581" i="4"/>
  <c r="B1581" i="4"/>
  <c r="A1581" i="4"/>
  <c r="C1580" i="4"/>
  <c r="B1580" i="4"/>
  <c r="A1580" i="4"/>
  <c r="C1579" i="4"/>
  <c r="B1579" i="4"/>
  <c r="A1579" i="4"/>
  <c r="C1578" i="4"/>
  <c r="B1578" i="4"/>
  <c r="A1578" i="4"/>
  <c r="C1577" i="4"/>
  <c r="B1577" i="4"/>
  <c r="A1577" i="4"/>
  <c r="C1576" i="4"/>
  <c r="B1576" i="4"/>
  <c r="A1576" i="4"/>
  <c r="C1575" i="4"/>
  <c r="B1575" i="4"/>
  <c r="A1575" i="4"/>
  <c r="C1574" i="4"/>
  <c r="B1574" i="4"/>
  <c r="A1574" i="4"/>
  <c r="C1573" i="4"/>
  <c r="B1573" i="4"/>
  <c r="A1573" i="4"/>
  <c r="C1572" i="4"/>
  <c r="B1572" i="4"/>
  <c r="A1572" i="4"/>
  <c r="C1571" i="4"/>
  <c r="B1571" i="4"/>
  <c r="A1571" i="4"/>
  <c r="C1570" i="4"/>
  <c r="B1570" i="4"/>
  <c r="A1570" i="4"/>
  <c r="C1569" i="4"/>
  <c r="B1569" i="4"/>
  <c r="A1569" i="4"/>
  <c r="C1568" i="4"/>
  <c r="B1568" i="4"/>
  <c r="A1568" i="4"/>
  <c r="C1567" i="4"/>
  <c r="B1567" i="4"/>
  <c r="A1567" i="4"/>
  <c r="C1566" i="4"/>
  <c r="B1566" i="4"/>
  <c r="A1566" i="4"/>
  <c r="C1565" i="4"/>
  <c r="B1565" i="4"/>
  <c r="A1565" i="4"/>
  <c r="C1564" i="4"/>
  <c r="B1564" i="4"/>
  <c r="A1564" i="4"/>
  <c r="C1563" i="4"/>
  <c r="B1563" i="4"/>
  <c r="A1563" i="4"/>
  <c r="C1562" i="4"/>
  <c r="B1562" i="4"/>
  <c r="A1562" i="4"/>
  <c r="C1561" i="4"/>
  <c r="B1561" i="4"/>
  <c r="A1561" i="4"/>
  <c r="C1560" i="4"/>
  <c r="B1560" i="4"/>
  <c r="A1560" i="4"/>
  <c r="C1559" i="4"/>
  <c r="B1559" i="4"/>
  <c r="A1559" i="4"/>
  <c r="C1558" i="4"/>
  <c r="B1558" i="4"/>
  <c r="A1558" i="4"/>
  <c r="C1557" i="4"/>
  <c r="B1557" i="4"/>
  <c r="A1557" i="4"/>
  <c r="C1556" i="4"/>
  <c r="B1556" i="4"/>
  <c r="A1556" i="4"/>
  <c r="C1555" i="4"/>
  <c r="B1555" i="4"/>
  <c r="A1555" i="4"/>
  <c r="C1554" i="4"/>
  <c r="B1554" i="4"/>
  <c r="A1554" i="4"/>
  <c r="C1553" i="4"/>
  <c r="B1553" i="4"/>
  <c r="A1553" i="4"/>
  <c r="C1552" i="4"/>
  <c r="B1552" i="4"/>
  <c r="A1552" i="4"/>
  <c r="C1551" i="4"/>
  <c r="B1551" i="4"/>
  <c r="A1551" i="4"/>
  <c r="C1550" i="4"/>
  <c r="B1550" i="4"/>
  <c r="A1550" i="4"/>
  <c r="C1549" i="4"/>
  <c r="B1549" i="4"/>
  <c r="A1549" i="4"/>
  <c r="C1548" i="4"/>
  <c r="B1548" i="4"/>
  <c r="A1548" i="4"/>
  <c r="C1547" i="4"/>
  <c r="B1547" i="4"/>
  <c r="A1547" i="4"/>
  <c r="C1546" i="4"/>
  <c r="B1546" i="4"/>
  <c r="A1546" i="4"/>
  <c r="C1545" i="4"/>
  <c r="B1545" i="4"/>
  <c r="A1545" i="4"/>
  <c r="C1544" i="4"/>
  <c r="B1544" i="4"/>
  <c r="A1544" i="4"/>
  <c r="C1543" i="4"/>
  <c r="B1543" i="4"/>
  <c r="A1543" i="4"/>
  <c r="C1542" i="4"/>
  <c r="B1542" i="4"/>
  <c r="A1542" i="4"/>
  <c r="C1541" i="4"/>
  <c r="B1541" i="4"/>
  <c r="A1541" i="4"/>
  <c r="C1540" i="4"/>
  <c r="B1540" i="4"/>
  <c r="A1540" i="4"/>
  <c r="C1539" i="4"/>
  <c r="B1539" i="4"/>
  <c r="A1539" i="4"/>
  <c r="C1538" i="4"/>
  <c r="B1538" i="4"/>
  <c r="A1538" i="4"/>
  <c r="C1537" i="4"/>
  <c r="B1537" i="4"/>
  <c r="A1537" i="4"/>
  <c r="C1536" i="4"/>
  <c r="B1536" i="4"/>
  <c r="A1536" i="4"/>
  <c r="C1535" i="4"/>
  <c r="B1535" i="4"/>
  <c r="A1535" i="4"/>
  <c r="C1534" i="4"/>
  <c r="B1534" i="4"/>
  <c r="A1534" i="4"/>
  <c r="C1533" i="4"/>
  <c r="B1533" i="4"/>
  <c r="A1533" i="4"/>
  <c r="C1532" i="4"/>
  <c r="B1532" i="4"/>
  <c r="A1532" i="4"/>
  <c r="C1531" i="4"/>
  <c r="B1531" i="4"/>
  <c r="A1531" i="4"/>
  <c r="C1530" i="4"/>
  <c r="B1530" i="4"/>
  <c r="A1530" i="4"/>
  <c r="C1529" i="4"/>
  <c r="B1529" i="4"/>
  <c r="A1529" i="4"/>
  <c r="C1528" i="4"/>
  <c r="B1528" i="4"/>
  <c r="A1528" i="4"/>
  <c r="C1527" i="4"/>
  <c r="B1527" i="4"/>
  <c r="A1527" i="4"/>
  <c r="C1526" i="4"/>
  <c r="B1526" i="4"/>
  <c r="A1526" i="4"/>
  <c r="C1525" i="4"/>
  <c r="B1525" i="4"/>
  <c r="A1525" i="4"/>
  <c r="C1524" i="4"/>
  <c r="B1524" i="4"/>
  <c r="A1524" i="4"/>
  <c r="C1523" i="4"/>
  <c r="B1523" i="4"/>
  <c r="A1523" i="4"/>
  <c r="C1522" i="4"/>
  <c r="B1522" i="4"/>
  <c r="A1522" i="4"/>
  <c r="C1521" i="4"/>
  <c r="B1521" i="4"/>
  <c r="A1521" i="4"/>
  <c r="C1520" i="4"/>
  <c r="B1520" i="4"/>
  <c r="A1520" i="4"/>
  <c r="C1519" i="4"/>
  <c r="B1519" i="4"/>
  <c r="A1519" i="4"/>
  <c r="C1518" i="4"/>
  <c r="B1518" i="4"/>
  <c r="A1518" i="4"/>
  <c r="C1517" i="4"/>
  <c r="B1517" i="4"/>
  <c r="A1517" i="4"/>
  <c r="C1516" i="4"/>
  <c r="B1516" i="4"/>
  <c r="A1516" i="4"/>
  <c r="C1515" i="4"/>
  <c r="B1515" i="4"/>
  <c r="A1515" i="4"/>
  <c r="C1514" i="4"/>
  <c r="B1514" i="4"/>
  <c r="A1514" i="4"/>
  <c r="C1513" i="4"/>
  <c r="B1513" i="4"/>
  <c r="A1513" i="4"/>
  <c r="C1512" i="4"/>
  <c r="B1512" i="4"/>
  <c r="A1512" i="4"/>
  <c r="C1511" i="4"/>
  <c r="B1511" i="4"/>
  <c r="A1511" i="4"/>
  <c r="C1510" i="4"/>
  <c r="B1510" i="4"/>
  <c r="A1510" i="4"/>
  <c r="C1509" i="4"/>
  <c r="B1509" i="4"/>
  <c r="A1509" i="4"/>
  <c r="C1508" i="4"/>
  <c r="B1508" i="4"/>
  <c r="A1508" i="4"/>
  <c r="C1507" i="4"/>
  <c r="B1507" i="4"/>
  <c r="A1507" i="4"/>
  <c r="C1506" i="4"/>
  <c r="B1506" i="4"/>
  <c r="A1506" i="4"/>
  <c r="C1505" i="4"/>
  <c r="B1505" i="4"/>
  <c r="A1505" i="4"/>
  <c r="C1504" i="4"/>
  <c r="B1504" i="4"/>
  <c r="A1504" i="4"/>
  <c r="C1503" i="4"/>
  <c r="B1503" i="4"/>
  <c r="A1503" i="4"/>
  <c r="C1502" i="4"/>
  <c r="B1502" i="4"/>
  <c r="A1502" i="4"/>
  <c r="C1501" i="4"/>
  <c r="B1501" i="4"/>
  <c r="A1501" i="4"/>
  <c r="C1500" i="4"/>
  <c r="B1500" i="4"/>
  <c r="A1500" i="4"/>
  <c r="C1499" i="4"/>
  <c r="B1499" i="4"/>
  <c r="A1499" i="4"/>
  <c r="C1498" i="4"/>
  <c r="B1498" i="4"/>
  <c r="A1498" i="4"/>
  <c r="C1497" i="4"/>
  <c r="B1497" i="4"/>
  <c r="A1497" i="4"/>
  <c r="C1496" i="4"/>
  <c r="B1496" i="4"/>
  <c r="A1496" i="4"/>
  <c r="C1495" i="4"/>
  <c r="B1495" i="4"/>
  <c r="A1495" i="4"/>
  <c r="C1494" i="4"/>
  <c r="B1494" i="4"/>
  <c r="A1494" i="4"/>
  <c r="C1493" i="4"/>
  <c r="B1493" i="4"/>
  <c r="A1493" i="4"/>
  <c r="C1492" i="4"/>
  <c r="B1492" i="4"/>
  <c r="A1492" i="4"/>
  <c r="C1491" i="4"/>
  <c r="B1491" i="4"/>
  <c r="A1491" i="4"/>
  <c r="C1490" i="4"/>
  <c r="B1490" i="4"/>
  <c r="A1490" i="4"/>
  <c r="C1489" i="4"/>
  <c r="B1489" i="4"/>
  <c r="A1489" i="4"/>
  <c r="C1488" i="4"/>
  <c r="B1488" i="4"/>
  <c r="A1488" i="4"/>
  <c r="C1487" i="4"/>
  <c r="B1487" i="4"/>
  <c r="A1487" i="4"/>
  <c r="C1486" i="4"/>
  <c r="B1486" i="4"/>
  <c r="A1486" i="4"/>
  <c r="C1485" i="4"/>
  <c r="B1485" i="4"/>
  <c r="A1485" i="4"/>
  <c r="C1484" i="4"/>
  <c r="B1484" i="4"/>
  <c r="A1484" i="4"/>
  <c r="C1483" i="4"/>
  <c r="B1483" i="4"/>
  <c r="A1483" i="4"/>
  <c r="C1482" i="4"/>
  <c r="B1482" i="4"/>
  <c r="A1482" i="4"/>
  <c r="C1481" i="4"/>
  <c r="B1481" i="4"/>
  <c r="A1481" i="4"/>
  <c r="C1480" i="4"/>
  <c r="B1480" i="4"/>
  <c r="A1480" i="4"/>
  <c r="C1479" i="4"/>
  <c r="B1479" i="4"/>
  <c r="A1479" i="4"/>
  <c r="C1478" i="4"/>
  <c r="B1478" i="4"/>
  <c r="A1478" i="4"/>
  <c r="C1477" i="4"/>
  <c r="B1477" i="4"/>
  <c r="A1477" i="4"/>
  <c r="C1476" i="4"/>
  <c r="B1476" i="4"/>
  <c r="A1476" i="4"/>
  <c r="C1475" i="4"/>
  <c r="B1475" i="4"/>
  <c r="A1475" i="4"/>
  <c r="C1474" i="4"/>
  <c r="B1474" i="4"/>
  <c r="A1474" i="4"/>
  <c r="C1473" i="4"/>
  <c r="B1473" i="4"/>
  <c r="A1473" i="4"/>
  <c r="C1472" i="4"/>
  <c r="B1472" i="4"/>
  <c r="A1472" i="4"/>
  <c r="C1471" i="4"/>
  <c r="B1471" i="4"/>
  <c r="A1471" i="4"/>
  <c r="C1470" i="4"/>
  <c r="B1470" i="4"/>
  <c r="A1470" i="4"/>
  <c r="C1469" i="4"/>
  <c r="B1469" i="4"/>
  <c r="A1469" i="4"/>
  <c r="C1468" i="4"/>
  <c r="B1468" i="4"/>
  <c r="A1468" i="4"/>
  <c r="C1467" i="4"/>
  <c r="B1467" i="4"/>
  <c r="A1467" i="4"/>
  <c r="C1466" i="4"/>
  <c r="B1466" i="4"/>
  <c r="A1466" i="4"/>
  <c r="C1465" i="4"/>
  <c r="B1465" i="4"/>
  <c r="A1465" i="4"/>
  <c r="C1464" i="4"/>
  <c r="B1464" i="4"/>
  <c r="A1464" i="4"/>
  <c r="C1463" i="4"/>
  <c r="B1463" i="4"/>
  <c r="A1463" i="4"/>
  <c r="C1462" i="4"/>
  <c r="B1462" i="4"/>
  <c r="A1462" i="4"/>
  <c r="C1461" i="4"/>
  <c r="B1461" i="4"/>
  <c r="A1461" i="4"/>
  <c r="C1460" i="4"/>
  <c r="B1460" i="4"/>
  <c r="A1460" i="4"/>
  <c r="C1459" i="4"/>
  <c r="B1459" i="4"/>
  <c r="A1459" i="4"/>
  <c r="C1458" i="4"/>
  <c r="B1458" i="4"/>
  <c r="A1458" i="4"/>
  <c r="C1457" i="4"/>
  <c r="B1457" i="4"/>
  <c r="A1457" i="4"/>
  <c r="C1456" i="4"/>
  <c r="B1456" i="4"/>
  <c r="A1456" i="4"/>
  <c r="C1455" i="4"/>
  <c r="B1455" i="4"/>
  <c r="A1455" i="4"/>
  <c r="C1454" i="4"/>
  <c r="B1454" i="4"/>
  <c r="A1454" i="4"/>
  <c r="C1453" i="4"/>
  <c r="B1453" i="4"/>
  <c r="A1453" i="4"/>
  <c r="C1452" i="4"/>
  <c r="B1452" i="4"/>
  <c r="A1452" i="4"/>
  <c r="C1451" i="4"/>
  <c r="B1451" i="4"/>
  <c r="A1451" i="4"/>
  <c r="C1450" i="4"/>
  <c r="B1450" i="4"/>
  <c r="A1450" i="4"/>
  <c r="C1449" i="4"/>
  <c r="B1449" i="4"/>
  <c r="A1449" i="4"/>
  <c r="C1448" i="4"/>
  <c r="B1448" i="4"/>
  <c r="A1448" i="4"/>
  <c r="C1447" i="4"/>
  <c r="B1447" i="4"/>
  <c r="A1447" i="4"/>
  <c r="C1446" i="4"/>
  <c r="B1446" i="4"/>
  <c r="A1446" i="4"/>
  <c r="C1445" i="4"/>
  <c r="B1445" i="4"/>
  <c r="A1445" i="4"/>
  <c r="C1444" i="4"/>
  <c r="B1444" i="4"/>
  <c r="A1444" i="4"/>
  <c r="C1443" i="4"/>
  <c r="B1443" i="4"/>
  <c r="A1443" i="4"/>
  <c r="C1442" i="4"/>
  <c r="B1442" i="4"/>
  <c r="A1442" i="4"/>
  <c r="C1441" i="4"/>
  <c r="B1441" i="4"/>
  <c r="A1441" i="4"/>
  <c r="C1440" i="4"/>
  <c r="B1440" i="4"/>
  <c r="A1440" i="4"/>
  <c r="C1439" i="4"/>
  <c r="B1439" i="4"/>
  <c r="A1439" i="4"/>
  <c r="C1438" i="4"/>
  <c r="B1438" i="4"/>
  <c r="A1438" i="4"/>
  <c r="C1437" i="4"/>
  <c r="B1437" i="4"/>
  <c r="A1437" i="4"/>
  <c r="C1436" i="4"/>
  <c r="B1436" i="4"/>
  <c r="A1436" i="4"/>
  <c r="C1435" i="4"/>
  <c r="B1435" i="4"/>
  <c r="A1435" i="4"/>
  <c r="C1434" i="4"/>
  <c r="B1434" i="4"/>
  <c r="A1434" i="4"/>
  <c r="C1433" i="4"/>
  <c r="B1433" i="4"/>
  <c r="A1433" i="4"/>
  <c r="C1432" i="4"/>
  <c r="B1432" i="4"/>
  <c r="A1432" i="4"/>
  <c r="C1431" i="4"/>
  <c r="B1431" i="4"/>
  <c r="A1431" i="4"/>
  <c r="C1430" i="4"/>
  <c r="B1430" i="4"/>
  <c r="A1430" i="4"/>
  <c r="C1429" i="4"/>
  <c r="B1429" i="4"/>
  <c r="A1429" i="4"/>
  <c r="C1428" i="4"/>
  <c r="B1428" i="4"/>
  <c r="A1428" i="4"/>
  <c r="C1427" i="4"/>
  <c r="B1427" i="4"/>
  <c r="A1427" i="4"/>
  <c r="C1426" i="4"/>
  <c r="B1426" i="4"/>
  <c r="A1426" i="4"/>
  <c r="C1425" i="4"/>
  <c r="B1425" i="4"/>
  <c r="A1425" i="4"/>
  <c r="C1424" i="4"/>
  <c r="B1424" i="4"/>
  <c r="A1424" i="4"/>
  <c r="C1423" i="4"/>
  <c r="B1423" i="4"/>
  <c r="A1423" i="4"/>
  <c r="C1422" i="4"/>
  <c r="B1422" i="4"/>
  <c r="A1422" i="4"/>
  <c r="C1421" i="4"/>
  <c r="B1421" i="4"/>
  <c r="A1421" i="4"/>
  <c r="C1420" i="4"/>
  <c r="B1420" i="4"/>
  <c r="A1420" i="4"/>
  <c r="C1419" i="4"/>
  <c r="B1419" i="4"/>
  <c r="A1419" i="4"/>
  <c r="C1418" i="4"/>
  <c r="B1418" i="4"/>
  <c r="A1418" i="4"/>
  <c r="C1417" i="4"/>
  <c r="B1417" i="4"/>
  <c r="A1417" i="4"/>
  <c r="C1416" i="4"/>
  <c r="B1416" i="4"/>
  <c r="A1416" i="4"/>
  <c r="C1415" i="4"/>
  <c r="B1415" i="4"/>
  <c r="A1415" i="4"/>
  <c r="C1414" i="4"/>
  <c r="B1414" i="4"/>
  <c r="A1414" i="4"/>
  <c r="C1413" i="4"/>
  <c r="B1413" i="4"/>
  <c r="A1413" i="4"/>
  <c r="C1412" i="4"/>
  <c r="B1412" i="4"/>
  <c r="A1412" i="4"/>
  <c r="C1411" i="4"/>
  <c r="B1411" i="4"/>
  <c r="A1411" i="4"/>
  <c r="C1410" i="4"/>
  <c r="B1410" i="4"/>
  <c r="A1410" i="4"/>
  <c r="C1409" i="4"/>
  <c r="B1409" i="4"/>
  <c r="A1409" i="4"/>
  <c r="C1408" i="4"/>
  <c r="B1408" i="4"/>
  <c r="A1408" i="4"/>
  <c r="C1407" i="4"/>
  <c r="B1407" i="4"/>
  <c r="A1407" i="4"/>
  <c r="C1406" i="4"/>
  <c r="B1406" i="4"/>
  <c r="A1406" i="4"/>
  <c r="C1405" i="4"/>
  <c r="B1405" i="4"/>
  <c r="A1405" i="4"/>
  <c r="C1404" i="4"/>
  <c r="B1404" i="4"/>
  <c r="A1404" i="4"/>
  <c r="C1403" i="4"/>
  <c r="B1403" i="4"/>
  <c r="A1403" i="4"/>
  <c r="C1402" i="4"/>
  <c r="B1402" i="4"/>
  <c r="A1402" i="4"/>
  <c r="C1401" i="4"/>
  <c r="B1401" i="4"/>
  <c r="A1401" i="4"/>
  <c r="C1400" i="4"/>
  <c r="B1400" i="4"/>
  <c r="A1400" i="4"/>
  <c r="C1399" i="4"/>
  <c r="B1399" i="4"/>
  <c r="A1399" i="4"/>
  <c r="C1398" i="4"/>
  <c r="B1398" i="4"/>
  <c r="A1398" i="4"/>
  <c r="C1397" i="4"/>
  <c r="B1397" i="4"/>
  <c r="A1397" i="4"/>
  <c r="C1396" i="4"/>
  <c r="B1396" i="4"/>
  <c r="A1396" i="4"/>
  <c r="C1395" i="4"/>
  <c r="B1395" i="4"/>
  <c r="A1395" i="4"/>
  <c r="C1394" i="4"/>
  <c r="B1394" i="4"/>
  <c r="A1394" i="4"/>
  <c r="C1393" i="4"/>
  <c r="B1393" i="4"/>
  <c r="A1393" i="4"/>
  <c r="C1392" i="4"/>
  <c r="B1392" i="4"/>
  <c r="A1392" i="4"/>
  <c r="C1391" i="4"/>
  <c r="B1391" i="4"/>
  <c r="A1391" i="4"/>
  <c r="C1390" i="4"/>
  <c r="B1390" i="4"/>
  <c r="A1390" i="4"/>
  <c r="C1389" i="4"/>
  <c r="B1389" i="4"/>
  <c r="A1389" i="4"/>
  <c r="C1388" i="4"/>
  <c r="B1388" i="4"/>
  <c r="A1388" i="4"/>
  <c r="C1387" i="4"/>
  <c r="B1387" i="4"/>
  <c r="A1387" i="4"/>
  <c r="C1386" i="4"/>
  <c r="B1386" i="4"/>
  <c r="A1386" i="4"/>
  <c r="C1385" i="4"/>
  <c r="B1385" i="4"/>
  <c r="A1385" i="4"/>
  <c r="C1384" i="4"/>
  <c r="B1384" i="4"/>
  <c r="A1384" i="4"/>
  <c r="C1383" i="4"/>
  <c r="B1383" i="4"/>
  <c r="A1383" i="4"/>
  <c r="C1382" i="4"/>
  <c r="B1382" i="4"/>
  <c r="A1382" i="4"/>
  <c r="C1381" i="4"/>
  <c r="B1381" i="4"/>
  <c r="A1381" i="4"/>
  <c r="C1380" i="4"/>
  <c r="B1380" i="4"/>
  <c r="A1380" i="4"/>
  <c r="C1379" i="4"/>
  <c r="B1379" i="4"/>
  <c r="A1379" i="4"/>
  <c r="C1378" i="4"/>
  <c r="B1378" i="4"/>
  <c r="A1378" i="4"/>
  <c r="C1377" i="4"/>
  <c r="B1377" i="4"/>
  <c r="A1377" i="4"/>
  <c r="C1376" i="4"/>
  <c r="B1376" i="4"/>
  <c r="A1376" i="4"/>
  <c r="C1375" i="4"/>
  <c r="B1375" i="4"/>
  <c r="A1375" i="4"/>
  <c r="C1374" i="4"/>
  <c r="B1374" i="4"/>
  <c r="A1374" i="4"/>
  <c r="C1373" i="4"/>
  <c r="B1373" i="4"/>
  <c r="A1373" i="4"/>
  <c r="C1372" i="4"/>
  <c r="B1372" i="4"/>
  <c r="A1372" i="4"/>
  <c r="C1371" i="4"/>
  <c r="B1371" i="4"/>
  <c r="A1371" i="4"/>
  <c r="C1370" i="4"/>
  <c r="B1370" i="4"/>
  <c r="A1370" i="4"/>
  <c r="C1369" i="4"/>
  <c r="B1369" i="4"/>
  <c r="A1369" i="4"/>
  <c r="C1368" i="4"/>
  <c r="B1368" i="4"/>
  <c r="A1368" i="4"/>
  <c r="C1367" i="4"/>
  <c r="B1367" i="4"/>
  <c r="A1367" i="4"/>
  <c r="C1366" i="4"/>
  <c r="B1366" i="4"/>
  <c r="A1366" i="4"/>
  <c r="C1365" i="4"/>
  <c r="B1365" i="4"/>
  <c r="A1365" i="4"/>
  <c r="C1364" i="4"/>
  <c r="B1364" i="4"/>
  <c r="A1364" i="4"/>
  <c r="C1363" i="4"/>
  <c r="B1363" i="4"/>
  <c r="A1363" i="4"/>
  <c r="C1362" i="4"/>
  <c r="B1362" i="4"/>
  <c r="A1362" i="4"/>
  <c r="C1361" i="4"/>
  <c r="B1361" i="4"/>
  <c r="A1361" i="4"/>
  <c r="C1360" i="4"/>
  <c r="B1360" i="4"/>
  <c r="A1360" i="4"/>
  <c r="C1359" i="4"/>
  <c r="B1359" i="4"/>
  <c r="A1359" i="4"/>
  <c r="C1358" i="4"/>
  <c r="B1358" i="4"/>
  <c r="A1358" i="4"/>
  <c r="C1357" i="4"/>
  <c r="B1357" i="4"/>
  <c r="A1357" i="4"/>
  <c r="C1356" i="4"/>
  <c r="B1356" i="4"/>
  <c r="A1356" i="4"/>
  <c r="C1355" i="4"/>
  <c r="B1355" i="4"/>
  <c r="A1355" i="4"/>
  <c r="C1354" i="4"/>
  <c r="B1354" i="4"/>
  <c r="A1354" i="4"/>
  <c r="C1353" i="4"/>
  <c r="B1353" i="4"/>
  <c r="A1353" i="4"/>
  <c r="C1352" i="4"/>
  <c r="B1352" i="4"/>
  <c r="A1352" i="4"/>
  <c r="C1351" i="4"/>
  <c r="B1351" i="4"/>
  <c r="A1351" i="4"/>
  <c r="C1350" i="4"/>
  <c r="B1350" i="4"/>
  <c r="A1350" i="4"/>
  <c r="C1349" i="4"/>
  <c r="B1349" i="4"/>
  <c r="A1349" i="4"/>
  <c r="C1348" i="4"/>
  <c r="B1348" i="4"/>
  <c r="A1348" i="4"/>
  <c r="C1347" i="4"/>
  <c r="B1347" i="4"/>
  <c r="A1347" i="4"/>
  <c r="C1346" i="4"/>
  <c r="B1346" i="4"/>
  <c r="A1346" i="4"/>
  <c r="C1345" i="4"/>
  <c r="B1345" i="4"/>
  <c r="A1345" i="4"/>
  <c r="C1344" i="4"/>
  <c r="B1344" i="4"/>
  <c r="A1344" i="4"/>
  <c r="C1343" i="4"/>
  <c r="B1343" i="4"/>
  <c r="A1343" i="4"/>
  <c r="C1342" i="4"/>
  <c r="B1342" i="4"/>
  <c r="A1342" i="4"/>
  <c r="C1341" i="4"/>
  <c r="B1341" i="4"/>
  <c r="A1341" i="4"/>
  <c r="C1340" i="4"/>
  <c r="B1340" i="4"/>
  <c r="A1340" i="4"/>
  <c r="C1339" i="4"/>
  <c r="B1339" i="4"/>
  <c r="A1339" i="4"/>
  <c r="C1338" i="4"/>
  <c r="B1338" i="4"/>
  <c r="A1338" i="4"/>
  <c r="C1337" i="4"/>
  <c r="B1337" i="4"/>
  <c r="A1337" i="4"/>
  <c r="C1336" i="4"/>
  <c r="B1336" i="4"/>
  <c r="A1336" i="4"/>
  <c r="C1335" i="4"/>
  <c r="B1335" i="4"/>
  <c r="A1335" i="4"/>
  <c r="C1334" i="4"/>
  <c r="B1334" i="4"/>
  <c r="A1334" i="4"/>
  <c r="C1333" i="4"/>
  <c r="B1333" i="4"/>
  <c r="A1333" i="4"/>
  <c r="C1332" i="4"/>
  <c r="B1332" i="4"/>
  <c r="A1332" i="4"/>
  <c r="C1331" i="4"/>
  <c r="B1331" i="4"/>
  <c r="A1331" i="4"/>
  <c r="C1330" i="4"/>
  <c r="B1330" i="4"/>
  <c r="A1330" i="4"/>
  <c r="C1329" i="4"/>
  <c r="B1329" i="4"/>
  <c r="A1329" i="4"/>
  <c r="C1328" i="4"/>
  <c r="B1328" i="4"/>
  <c r="A1328" i="4"/>
  <c r="C1327" i="4"/>
  <c r="B1327" i="4"/>
  <c r="A1327" i="4"/>
  <c r="C1326" i="4"/>
  <c r="B1326" i="4"/>
  <c r="A1326" i="4"/>
  <c r="C1325" i="4"/>
  <c r="B1325" i="4"/>
  <c r="A1325" i="4"/>
  <c r="C1324" i="4"/>
  <c r="B1324" i="4"/>
  <c r="A1324" i="4"/>
  <c r="C1323" i="4"/>
  <c r="B1323" i="4"/>
  <c r="A1323" i="4"/>
  <c r="C1322" i="4"/>
  <c r="B1322" i="4"/>
  <c r="A1322" i="4"/>
  <c r="C1321" i="4"/>
  <c r="B1321" i="4"/>
  <c r="A1321" i="4"/>
  <c r="C1320" i="4"/>
  <c r="B1320" i="4"/>
  <c r="A1320" i="4"/>
  <c r="C1319" i="4"/>
  <c r="B1319" i="4"/>
  <c r="A1319" i="4"/>
  <c r="C1318" i="4"/>
  <c r="B1318" i="4"/>
  <c r="A1318" i="4"/>
  <c r="C1317" i="4"/>
  <c r="B1317" i="4"/>
  <c r="A1317" i="4"/>
  <c r="C1316" i="4"/>
  <c r="B1316" i="4"/>
  <c r="A1316" i="4"/>
  <c r="C1315" i="4"/>
  <c r="B1315" i="4"/>
  <c r="A1315" i="4"/>
  <c r="C1314" i="4"/>
  <c r="B1314" i="4"/>
  <c r="A1314" i="4"/>
  <c r="C1313" i="4"/>
  <c r="B1313" i="4"/>
  <c r="A1313" i="4"/>
  <c r="C1312" i="4"/>
  <c r="B1312" i="4"/>
  <c r="A1312" i="4"/>
  <c r="C1311" i="4"/>
  <c r="B1311" i="4"/>
  <c r="A1311" i="4"/>
  <c r="C1310" i="4"/>
  <c r="B1310" i="4"/>
  <c r="A1310" i="4"/>
  <c r="C1309" i="4"/>
  <c r="B1309" i="4"/>
  <c r="A1309" i="4"/>
  <c r="C1308" i="4"/>
  <c r="B1308" i="4"/>
  <c r="A1308" i="4"/>
  <c r="C1307" i="4"/>
  <c r="B1307" i="4"/>
  <c r="A1307" i="4"/>
  <c r="C1306" i="4"/>
  <c r="B1306" i="4"/>
  <c r="A1306" i="4"/>
  <c r="C1305" i="4"/>
  <c r="B1305" i="4"/>
  <c r="A1305" i="4"/>
  <c r="C1304" i="4"/>
  <c r="B1304" i="4"/>
  <c r="A1304" i="4"/>
  <c r="C1303" i="4"/>
  <c r="B1303" i="4"/>
  <c r="A1303" i="4"/>
  <c r="C1302" i="4"/>
  <c r="B1302" i="4"/>
  <c r="A1302" i="4"/>
  <c r="C1301" i="4"/>
  <c r="B1301" i="4"/>
  <c r="A1301" i="4"/>
  <c r="C1300" i="4"/>
  <c r="B1300" i="4"/>
  <c r="A1300" i="4"/>
  <c r="C1299" i="4"/>
  <c r="B1299" i="4"/>
  <c r="A1299" i="4"/>
  <c r="C1298" i="4"/>
  <c r="B1298" i="4"/>
  <c r="A1298" i="4"/>
  <c r="C1297" i="4"/>
  <c r="B1297" i="4"/>
  <c r="A1297" i="4"/>
  <c r="C1296" i="4"/>
  <c r="B1296" i="4"/>
  <c r="A1296" i="4"/>
  <c r="C1295" i="4"/>
  <c r="B1295" i="4"/>
  <c r="A1295" i="4"/>
  <c r="C1294" i="4"/>
  <c r="B1294" i="4"/>
  <c r="A1294" i="4"/>
  <c r="C1293" i="4"/>
  <c r="B1293" i="4"/>
  <c r="A1293" i="4"/>
  <c r="C1292" i="4"/>
  <c r="B1292" i="4"/>
  <c r="A1292" i="4"/>
  <c r="C1291" i="4"/>
  <c r="B1291" i="4"/>
  <c r="A1291" i="4"/>
  <c r="C1290" i="4"/>
  <c r="B1290" i="4"/>
  <c r="A1290" i="4"/>
  <c r="C1289" i="4"/>
  <c r="B1289" i="4"/>
  <c r="A1289" i="4"/>
  <c r="C1288" i="4"/>
  <c r="B1288" i="4"/>
  <c r="A1288" i="4"/>
  <c r="C1287" i="4"/>
  <c r="B1287" i="4"/>
  <c r="A1287" i="4"/>
  <c r="C1286" i="4"/>
  <c r="B1286" i="4"/>
  <c r="A1286" i="4"/>
  <c r="C1285" i="4"/>
  <c r="B1285" i="4"/>
  <c r="A1285" i="4"/>
  <c r="C1284" i="4"/>
  <c r="B1284" i="4"/>
  <c r="A1284" i="4"/>
  <c r="C1283" i="4"/>
  <c r="B1283" i="4"/>
  <c r="A1283" i="4"/>
  <c r="C1282" i="4"/>
  <c r="B1282" i="4"/>
  <c r="A1282" i="4"/>
  <c r="C1281" i="4"/>
  <c r="B1281" i="4"/>
  <c r="A1281" i="4"/>
  <c r="C1280" i="4"/>
  <c r="B1280" i="4"/>
  <c r="A1280" i="4"/>
  <c r="C1279" i="4"/>
  <c r="B1279" i="4"/>
  <c r="A1279" i="4"/>
  <c r="C1278" i="4"/>
  <c r="B1278" i="4"/>
  <c r="A1278" i="4"/>
  <c r="C1277" i="4"/>
  <c r="B1277" i="4"/>
  <c r="A1277" i="4"/>
  <c r="C1276" i="4"/>
  <c r="B1276" i="4"/>
  <c r="A1276" i="4"/>
  <c r="C1275" i="4"/>
  <c r="B1275" i="4"/>
  <c r="A1275" i="4"/>
  <c r="C1274" i="4"/>
  <c r="B1274" i="4"/>
  <c r="A1274" i="4"/>
  <c r="C1273" i="4"/>
  <c r="B1273" i="4"/>
  <c r="A1273" i="4"/>
  <c r="C1272" i="4"/>
  <c r="B1272" i="4"/>
  <c r="A1272" i="4"/>
  <c r="C1271" i="4"/>
  <c r="B1271" i="4"/>
  <c r="A1271" i="4"/>
  <c r="C1270" i="4"/>
  <c r="B1270" i="4"/>
  <c r="A1270" i="4"/>
  <c r="C1269" i="4"/>
  <c r="B1269" i="4"/>
  <c r="A1269" i="4"/>
  <c r="C1268" i="4"/>
  <c r="B1268" i="4"/>
  <c r="A1268" i="4"/>
  <c r="C1267" i="4"/>
  <c r="B1267" i="4"/>
  <c r="A1267" i="4"/>
  <c r="C1266" i="4"/>
  <c r="B1266" i="4"/>
  <c r="A1266" i="4"/>
  <c r="C1265" i="4"/>
  <c r="B1265" i="4"/>
  <c r="A1265" i="4"/>
  <c r="C1264" i="4"/>
  <c r="B1264" i="4"/>
  <c r="A1264" i="4"/>
  <c r="C1263" i="4"/>
  <c r="B1263" i="4"/>
  <c r="A1263" i="4"/>
  <c r="C1262" i="4"/>
  <c r="B1262" i="4"/>
  <c r="A1262" i="4"/>
  <c r="C1261" i="4"/>
  <c r="B1261" i="4"/>
  <c r="A1261" i="4"/>
  <c r="C1260" i="4"/>
  <c r="B1260" i="4"/>
  <c r="A1260" i="4"/>
  <c r="C1259" i="4"/>
  <c r="B1259" i="4"/>
  <c r="A1259" i="4"/>
  <c r="C1258" i="4"/>
  <c r="B1258" i="4"/>
  <c r="A1258" i="4"/>
  <c r="C1257" i="4"/>
  <c r="B1257" i="4"/>
  <c r="A1257" i="4"/>
  <c r="C1256" i="4"/>
  <c r="B1256" i="4"/>
  <c r="A1256" i="4"/>
  <c r="C1255" i="4"/>
  <c r="B1255" i="4"/>
  <c r="A1255" i="4"/>
  <c r="C1254" i="4"/>
  <c r="B1254" i="4"/>
  <c r="A1254" i="4"/>
  <c r="C1253" i="4"/>
  <c r="B1253" i="4"/>
  <c r="A1253" i="4"/>
  <c r="C1252" i="4"/>
  <c r="B1252" i="4"/>
  <c r="A1252" i="4"/>
  <c r="C1251" i="4"/>
  <c r="B1251" i="4"/>
  <c r="A1251" i="4"/>
  <c r="C1250" i="4"/>
  <c r="B1250" i="4"/>
  <c r="A1250" i="4"/>
  <c r="C1249" i="4"/>
  <c r="B1249" i="4"/>
  <c r="A1249" i="4"/>
  <c r="C1248" i="4"/>
  <c r="B1248" i="4"/>
  <c r="A1248" i="4"/>
  <c r="C1247" i="4"/>
  <c r="B1247" i="4"/>
  <c r="A1247" i="4"/>
  <c r="C1246" i="4"/>
  <c r="B1246" i="4"/>
  <c r="A1246" i="4"/>
  <c r="C1245" i="4"/>
  <c r="B1245" i="4"/>
  <c r="A1245" i="4"/>
  <c r="C1244" i="4"/>
  <c r="B1244" i="4"/>
  <c r="A1244" i="4"/>
  <c r="C1243" i="4"/>
  <c r="B1243" i="4"/>
  <c r="A1243" i="4"/>
  <c r="C1242" i="4"/>
  <c r="B1242" i="4"/>
  <c r="A1242" i="4"/>
  <c r="C1241" i="4"/>
  <c r="B1241" i="4"/>
  <c r="A1241" i="4"/>
  <c r="C1240" i="4"/>
  <c r="B1240" i="4"/>
  <c r="A1240" i="4"/>
  <c r="C1239" i="4"/>
  <c r="B1239" i="4"/>
  <c r="A1239" i="4"/>
  <c r="C1238" i="4"/>
  <c r="B1238" i="4"/>
  <c r="A1238" i="4"/>
  <c r="C1237" i="4"/>
  <c r="B1237" i="4"/>
  <c r="A1237" i="4"/>
  <c r="C1236" i="4"/>
  <c r="B1236" i="4"/>
  <c r="A1236" i="4"/>
  <c r="C1235" i="4"/>
  <c r="B1235" i="4"/>
  <c r="A1235" i="4"/>
  <c r="C1234" i="4"/>
  <c r="B1234" i="4"/>
  <c r="A1234" i="4"/>
  <c r="C1233" i="4"/>
  <c r="B1233" i="4"/>
  <c r="A1233" i="4"/>
  <c r="C1232" i="4"/>
  <c r="B1232" i="4"/>
  <c r="A1232" i="4"/>
  <c r="C1231" i="4"/>
  <c r="B1231" i="4"/>
  <c r="A1231" i="4"/>
  <c r="C1230" i="4"/>
  <c r="B1230" i="4"/>
  <c r="A1230" i="4"/>
  <c r="C1229" i="4"/>
  <c r="B1229" i="4"/>
  <c r="A1229" i="4"/>
  <c r="C1228" i="4"/>
  <c r="B1228" i="4"/>
  <c r="A1228" i="4"/>
  <c r="C1227" i="4"/>
  <c r="B1227" i="4"/>
  <c r="A1227" i="4"/>
  <c r="C1226" i="4"/>
  <c r="B1226" i="4"/>
  <c r="A1226" i="4"/>
  <c r="C1225" i="4"/>
  <c r="B1225" i="4"/>
  <c r="A1225" i="4"/>
  <c r="C1224" i="4"/>
  <c r="B1224" i="4"/>
  <c r="A1224" i="4"/>
  <c r="C1223" i="4"/>
  <c r="B1223" i="4"/>
  <c r="A1223" i="4"/>
  <c r="C1222" i="4"/>
  <c r="B1222" i="4"/>
  <c r="A1222" i="4"/>
  <c r="C1221" i="4"/>
  <c r="B1221" i="4"/>
  <c r="A1221" i="4"/>
  <c r="C1220" i="4"/>
  <c r="B1220" i="4"/>
  <c r="A1220" i="4"/>
  <c r="C1219" i="4"/>
  <c r="B1219" i="4"/>
  <c r="A1219" i="4"/>
  <c r="C1218" i="4"/>
  <c r="B1218" i="4"/>
  <c r="A1218" i="4"/>
  <c r="C1217" i="4"/>
  <c r="B1217" i="4"/>
  <c r="A1217" i="4"/>
  <c r="C1216" i="4"/>
  <c r="B1216" i="4"/>
  <c r="A1216" i="4"/>
  <c r="C1215" i="4"/>
  <c r="B1215" i="4"/>
  <c r="A1215" i="4"/>
  <c r="C1214" i="4"/>
  <c r="B1214" i="4"/>
  <c r="A1214" i="4"/>
  <c r="C1213" i="4"/>
  <c r="B1213" i="4"/>
  <c r="A1213" i="4"/>
  <c r="C1212" i="4"/>
  <c r="B1212" i="4"/>
  <c r="A1212" i="4"/>
  <c r="C1211" i="4"/>
  <c r="B1211" i="4"/>
  <c r="A1211" i="4"/>
  <c r="C1210" i="4"/>
  <c r="B1210" i="4"/>
  <c r="A1210" i="4"/>
  <c r="C1209" i="4"/>
  <c r="B1209" i="4"/>
  <c r="A1209" i="4"/>
  <c r="C1208" i="4"/>
  <c r="B1208" i="4"/>
  <c r="A1208" i="4"/>
  <c r="C1207" i="4"/>
  <c r="B1207" i="4"/>
  <c r="A1207" i="4"/>
  <c r="C1206" i="4"/>
  <c r="B1206" i="4"/>
  <c r="A1206" i="4"/>
  <c r="C1205" i="4"/>
  <c r="B1205" i="4"/>
  <c r="A1205" i="4"/>
  <c r="C1204" i="4"/>
  <c r="B1204" i="4"/>
  <c r="A1204" i="4"/>
  <c r="C1203" i="4"/>
  <c r="B1203" i="4"/>
  <c r="A1203" i="4"/>
  <c r="C1202" i="4"/>
  <c r="B1202" i="4"/>
  <c r="A1202" i="4"/>
  <c r="C1201" i="4"/>
  <c r="B1201" i="4"/>
  <c r="A1201" i="4"/>
  <c r="C1200" i="4"/>
  <c r="B1200" i="4"/>
  <c r="A1200" i="4"/>
  <c r="C1199" i="4"/>
  <c r="B1199" i="4"/>
  <c r="A1199" i="4"/>
  <c r="C1198" i="4"/>
  <c r="B1198" i="4"/>
  <c r="A1198" i="4"/>
  <c r="C1197" i="4"/>
  <c r="B1197" i="4"/>
  <c r="A1197" i="4"/>
  <c r="C1196" i="4"/>
  <c r="B1196" i="4"/>
  <c r="A1196" i="4"/>
  <c r="C1195" i="4"/>
  <c r="B1195" i="4"/>
  <c r="A1195" i="4"/>
  <c r="C1194" i="4"/>
  <c r="B1194" i="4"/>
  <c r="A1194" i="4"/>
  <c r="C1193" i="4"/>
  <c r="B1193" i="4"/>
  <c r="A1193" i="4"/>
  <c r="C1192" i="4"/>
  <c r="B1192" i="4"/>
  <c r="A1192" i="4"/>
  <c r="C1191" i="4"/>
  <c r="B1191" i="4"/>
  <c r="A1191" i="4"/>
  <c r="C1190" i="4"/>
  <c r="B1190" i="4"/>
  <c r="A1190" i="4"/>
  <c r="C1189" i="4"/>
  <c r="B1189" i="4"/>
  <c r="A1189" i="4"/>
  <c r="C1188" i="4"/>
  <c r="B1188" i="4"/>
  <c r="A1188" i="4"/>
  <c r="C1187" i="4"/>
  <c r="B1187" i="4"/>
  <c r="A1187" i="4"/>
  <c r="C1186" i="4"/>
  <c r="B1186" i="4"/>
  <c r="A1186" i="4"/>
  <c r="C1185" i="4"/>
  <c r="B1185" i="4"/>
  <c r="A1185" i="4"/>
  <c r="C1184" i="4"/>
  <c r="B1184" i="4"/>
  <c r="A1184" i="4"/>
  <c r="C1183" i="4"/>
  <c r="B1183" i="4"/>
  <c r="A1183" i="4"/>
  <c r="C1182" i="4"/>
  <c r="B1182" i="4"/>
  <c r="A1182" i="4"/>
  <c r="C1181" i="4"/>
  <c r="B1181" i="4"/>
  <c r="A1181" i="4"/>
  <c r="C1180" i="4"/>
  <c r="B1180" i="4"/>
  <c r="A1180" i="4"/>
  <c r="C1179" i="4"/>
  <c r="B1179" i="4"/>
  <c r="A1179" i="4"/>
  <c r="C1178" i="4"/>
  <c r="B1178" i="4"/>
  <c r="A1178" i="4"/>
  <c r="C1177" i="4"/>
  <c r="B1177" i="4"/>
  <c r="A1177" i="4"/>
  <c r="C1176" i="4"/>
  <c r="B1176" i="4"/>
  <c r="A1176" i="4"/>
  <c r="C1175" i="4"/>
  <c r="B1175" i="4"/>
  <c r="A1175" i="4"/>
  <c r="C1174" i="4"/>
  <c r="B1174" i="4"/>
  <c r="A1174" i="4"/>
  <c r="C1173" i="4"/>
  <c r="B1173" i="4"/>
  <c r="A1173" i="4"/>
  <c r="C1172" i="4"/>
  <c r="B1172" i="4"/>
  <c r="A1172" i="4"/>
  <c r="C1171" i="4"/>
  <c r="B1171" i="4"/>
  <c r="A1171" i="4"/>
  <c r="C1170" i="4"/>
  <c r="B1170" i="4"/>
  <c r="A1170" i="4"/>
  <c r="C1169" i="4"/>
  <c r="B1169" i="4"/>
  <c r="A1169" i="4"/>
  <c r="C1168" i="4"/>
  <c r="B1168" i="4"/>
  <c r="A1168" i="4"/>
  <c r="C1167" i="4"/>
  <c r="B1167" i="4"/>
  <c r="A1167" i="4"/>
  <c r="C1166" i="4"/>
  <c r="B1166" i="4"/>
  <c r="A1166" i="4"/>
  <c r="C1165" i="4"/>
  <c r="B1165" i="4"/>
  <c r="A1165" i="4"/>
  <c r="C1164" i="4"/>
  <c r="B1164" i="4"/>
  <c r="A1164" i="4"/>
  <c r="C1163" i="4"/>
  <c r="B1163" i="4"/>
  <c r="A1163" i="4"/>
  <c r="C1162" i="4"/>
  <c r="B1162" i="4"/>
  <c r="A1162" i="4"/>
  <c r="C1161" i="4"/>
  <c r="B1161" i="4"/>
  <c r="A1161" i="4"/>
  <c r="C1160" i="4"/>
  <c r="B1160" i="4"/>
  <c r="A1160" i="4"/>
  <c r="C1159" i="4"/>
  <c r="B1159" i="4"/>
  <c r="A1159" i="4"/>
  <c r="C1158" i="4"/>
  <c r="B1158" i="4"/>
  <c r="A1158" i="4"/>
  <c r="C1157" i="4"/>
  <c r="B1157" i="4"/>
  <c r="A1157" i="4"/>
  <c r="C1156" i="4"/>
  <c r="B1156" i="4"/>
  <c r="A1156" i="4"/>
  <c r="C1155" i="4"/>
  <c r="B1155" i="4"/>
  <c r="A1155" i="4"/>
  <c r="C1154" i="4"/>
  <c r="B1154" i="4"/>
  <c r="A1154" i="4"/>
  <c r="C1153" i="4"/>
  <c r="B1153" i="4"/>
  <c r="A1153" i="4"/>
  <c r="C1152" i="4"/>
  <c r="B1152" i="4"/>
  <c r="A1152" i="4"/>
  <c r="C1151" i="4"/>
  <c r="B1151" i="4"/>
  <c r="A1151" i="4"/>
  <c r="C1150" i="4"/>
  <c r="B1150" i="4"/>
  <c r="A1150" i="4"/>
  <c r="C1149" i="4"/>
  <c r="B1149" i="4"/>
  <c r="A1149" i="4"/>
  <c r="C1148" i="4"/>
  <c r="B1148" i="4"/>
  <c r="A1148" i="4"/>
  <c r="C1147" i="4"/>
  <c r="B1147" i="4"/>
  <c r="A1147" i="4"/>
  <c r="C1146" i="4"/>
  <c r="B1146" i="4"/>
  <c r="A1146" i="4"/>
  <c r="C1145" i="4"/>
  <c r="B1145" i="4"/>
  <c r="A1145" i="4"/>
  <c r="C1144" i="4"/>
  <c r="B1144" i="4"/>
  <c r="A1144" i="4"/>
  <c r="C1143" i="4"/>
  <c r="B1143" i="4"/>
  <c r="A1143" i="4"/>
  <c r="C1142" i="4"/>
  <c r="B1142" i="4"/>
  <c r="A1142" i="4"/>
  <c r="C1141" i="4"/>
  <c r="B1141" i="4"/>
  <c r="A1141" i="4"/>
  <c r="C1140" i="4"/>
  <c r="B1140" i="4"/>
  <c r="A1140" i="4"/>
  <c r="C1139" i="4"/>
  <c r="B1139" i="4"/>
  <c r="A1139" i="4"/>
  <c r="C1138" i="4"/>
  <c r="B1138" i="4"/>
  <c r="A1138" i="4"/>
  <c r="C1137" i="4"/>
  <c r="B1137" i="4"/>
  <c r="A1137" i="4"/>
  <c r="C1136" i="4"/>
  <c r="B1136" i="4"/>
  <c r="A1136" i="4"/>
  <c r="C1135" i="4"/>
  <c r="B1135" i="4"/>
  <c r="A1135" i="4"/>
  <c r="C1134" i="4"/>
  <c r="B1134" i="4"/>
  <c r="A1134" i="4"/>
  <c r="C1133" i="4"/>
  <c r="B1133" i="4"/>
  <c r="A1133" i="4"/>
  <c r="C1132" i="4"/>
  <c r="B1132" i="4"/>
  <c r="A1132" i="4"/>
  <c r="C1131" i="4"/>
  <c r="B1131" i="4"/>
  <c r="A1131" i="4"/>
  <c r="C1130" i="4"/>
  <c r="B1130" i="4"/>
  <c r="A1130" i="4"/>
  <c r="C1129" i="4"/>
  <c r="B1129" i="4"/>
  <c r="A1129" i="4"/>
  <c r="C1128" i="4"/>
  <c r="B1128" i="4"/>
  <c r="A1128" i="4"/>
  <c r="C1127" i="4"/>
  <c r="B1127" i="4"/>
  <c r="A1127" i="4"/>
  <c r="C1126" i="4"/>
  <c r="B1126" i="4"/>
  <c r="A1126" i="4"/>
  <c r="C1125" i="4"/>
  <c r="B1125" i="4"/>
  <c r="A1125" i="4"/>
  <c r="C1124" i="4"/>
  <c r="B1124" i="4"/>
  <c r="A1124" i="4"/>
  <c r="C1123" i="4"/>
  <c r="B1123" i="4"/>
  <c r="A1123" i="4"/>
  <c r="C1122" i="4"/>
  <c r="B1122" i="4"/>
  <c r="A1122" i="4"/>
  <c r="C1121" i="4"/>
  <c r="B1121" i="4"/>
  <c r="A1121" i="4"/>
  <c r="C1120" i="4"/>
  <c r="B1120" i="4"/>
  <c r="A1120" i="4"/>
  <c r="C1119" i="4"/>
  <c r="B1119" i="4"/>
  <c r="A1119" i="4"/>
  <c r="C1118" i="4"/>
  <c r="B1118" i="4"/>
  <c r="A1118" i="4"/>
  <c r="C1117" i="4"/>
  <c r="B1117" i="4"/>
  <c r="A1117" i="4"/>
  <c r="C1116" i="4"/>
  <c r="B1116" i="4"/>
  <c r="A1116" i="4"/>
  <c r="C1115" i="4"/>
  <c r="B1115" i="4"/>
  <c r="A1115" i="4"/>
  <c r="C1114" i="4"/>
  <c r="B1114" i="4"/>
  <c r="A1114" i="4"/>
  <c r="C1113" i="4"/>
  <c r="B1113" i="4"/>
  <c r="A1113" i="4"/>
  <c r="C1112" i="4"/>
  <c r="B1112" i="4"/>
  <c r="A1112" i="4"/>
  <c r="C1111" i="4"/>
  <c r="B1111" i="4"/>
  <c r="A1111" i="4"/>
  <c r="C1110" i="4"/>
  <c r="B1110" i="4"/>
  <c r="A1110" i="4"/>
  <c r="C1109" i="4"/>
  <c r="B1109" i="4"/>
  <c r="A1109" i="4"/>
  <c r="C1108" i="4"/>
  <c r="B1108" i="4"/>
  <c r="A1108" i="4"/>
  <c r="C1107" i="4"/>
  <c r="B1107" i="4"/>
  <c r="A1107" i="4"/>
  <c r="C1106" i="4"/>
  <c r="B1106" i="4"/>
  <c r="A1106" i="4"/>
  <c r="C1105" i="4"/>
  <c r="B1105" i="4"/>
  <c r="A1105" i="4"/>
  <c r="C1104" i="4"/>
  <c r="B1104" i="4"/>
  <c r="A1104" i="4"/>
  <c r="C1103" i="4"/>
  <c r="B1103" i="4"/>
  <c r="A1103" i="4"/>
  <c r="C1102" i="4"/>
  <c r="B1102" i="4"/>
  <c r="A1102" i="4"/>
  <c r="C1101" i="4"/>
  <c r="B1101" i="4"/>
  <c r="A1101" i="4"/>
  <c r="C1100" i="4"/>
  <c r="B1100" i="4"/>
  <c r="A1100" i="4"/>
  <c r="C1099" i="4"/>
  <c r="B1099" i="4"/>
  <c r="A1099" i="4"/>
  <c r="C1098" i="4"/>
  <c r="B1098" i="4"/>
  <c r="A1098" i="4"/>
  <c r="C1097" i="4"/>
  <c r="B1097" i="4"/>
  <c r="A1097" i="4"/>
  <c r="C1096" i="4"/>
  <c r="B1096" i="4"/>
  <c r="A1096" i="4"/>
  <c r="C1095" i="4"/>
  <c r="B1095" i="4"/>
  <c r="A1095" i="4"/>
  <c r="C1094" i="4"/>
  <c r="B1094" i="4"/>
  <c r="A1094" i="4"/>
  <c r="C1093" i="4"/>
  <c r="B1093" i="4"/>
  <c r="A1093" i="4"/>
  <c r="C1092" i="4"/>
  <c r="B1092" i="4"/>
  <c r="A1092" i="4"/>
  <c r="C1091" i="4"/>
  <c r="B1091" i="4"/>
  <c r="A1091" i="4"/>
  <c r="C1090" i="4"/>
  <c r="B1090" i="4"/>
  <c r="A1090" i="4"/>
  <c r="C1089" i="4"/>
  <c r="B1089" i="4"/>
  <c r="A1089" i="4"/>
  <c r="C1088" i="4"/>
  <c r="B1088" i="4"/>
  <c r="A1088" i="4"/>
  <c r="C1087" i="4"/>
  <c r="B1087" i="4"/>
  <c r="A1087" i="4"/>
  <c r="C1086" i="4"/>
  <c r="B1086" i="4"/>
  <c r="A1086" i="4"/>
  <c r="C1085" i="4"/>
  <c r="B1085" i="4"/>
  <c r="A1085" i="4"/>
  <c r="C1084" i="4"/>
  <c r="B1084" i="4"/>
  <c r="A1084" i="4"/>
  <c r="C1083" i="4"/>
  <c r="B1083" i="4"/>
  <c r="A1083" i="4"/>
  <c r="C1082" i="4"/>
  <c r="B1082" i="4"/>
  <c r="A1082" i="4"/>
  <c r="C1081" i="4"/>
  <c r="B1081" i="4"/>
  <c r="A1081" i="4"/>
  <c r="C1080" i="4"/>
  <c r="B1080" i="4"/>
  <c r="A1080" i="4"/>
  <c r="C1079" i="4"/>
  <c r="B1079" i="4"/>
  <c r="A1079" i="4"/>
  <c r="C1078" i="4"/>
  <c r="B1078" i="4"/>
  <c r="A1078" i="4"/>
  <c r="C1077" i="4"/>
  <c r="B1077" i="4"/>
  <c r="A1077" i="4"/>
  <c r="C1076" i="4"/>
  <c r="B1076" i="4"/>
  <c r="A1076" i="4"/>
  <c r="C1075" i="4"/>
  <c r="B1075" i="4"/>
  <c r="A1075" i="4"/>
  <c r="C1074" i="4"/>
  <c r="B1074" i="4"/>
  <c r="A1074" i="4"/>
  <c r="C1073" i="4"/>
  <c r="B1073" i="4"/>
  <c r="A1073" i="4"/>
  <c r="C1072" i="4"/>
  <c r="B1072" i="4"/>
  <c r="A1072" i="4"/>
  <c r="C1071" i="4"/>
  <c r="B1071" i="4"/>
  <c r="A1071" i="4"/>
  <c r="C1070" i="4"/>
  <c r="B1070" i="4"/>
  <c r="A1070" i="4"/>
  <c r="C1069" i="4"/>
  <c r="B1069" i="4"/>
  <c r="A1069" i="4"/>
  <c r="C1068" i="4"/>
  <c r="B1068" i="4"/>
  <c r="A1068" i="4"/>
  <c r="C1067" i="4"/>
  <c r="B1067" i="4"/>
  <c r="A1067" i="4"/>
  <c r="C1066" i="4"/>
  <c r="B1066" i="4"/>
  <c r="A1066" i="4"/>
  <c r="C1065" i="4"/>
  <c r="B1065" i="4"/>
  <c r="A1065" i="4"/>
  <c r="C1064" i="4"/>
  <c r="B1064" i="4"/>
  <c r="A1064" i="4"/>
  <c r="C1063" i="4"/>
  <c r="B1063" i="4"/>
  <c r="A1063" i="4"/>
  <c r="C1062" i="4"/>
  <c r="B1062" i="4"/>
  <c r="A1062" i="4"/>
  <c r="C1061" i="4"/>
  <c r="B1061" i="4"/>
  <c r="A1061" i="4"/>
  <c r="C1060" i="4"/>
  <c r="B1060" i="4"/>
  <c r="A1060" i="4"/>
  <c r="C1059" i="4"/>
  <c r="B1059" i="4"/>
  <c r="A1059" i="4"/>
  <c r="C1058" i="4"/>
  <c r="B1058" i="4"/>
  <c r="A1058" i="4"/>
  <c r="C1057" i="4"/>
  <c r="B1057" i="4"/>
  <c r="A1057" i="4"/>
  <c r="C1056" i="4"/>
  <c r="B1056" i="4"/>
  <c r="A1056" i="4"/>
  <c r="C1055" i="4"/>
  <c r="B1055" i="4"/>
  <c r="A1055" i="4"/>
  <c r="C1054" i="4"/>
  <c r="B1054" i="4"/>
  <c r="A1054" i="4"/>
  <c r="C1053" i="4"/>
  <c r="B1053" i="4"/>
  <c r="A1053" i="4"/>
  <c r="C1052" i="4"/>
  <c r="B1052" i="4"/>
  <c r="A1052" i="4"/>
  <c r="C1051" i="4"/>
  <c r="B1051" i="4"/>
  <c r="A1051" i="4"/>
  <c r="C1050" i="4"/>
  <c r="B1050" i="4"/>
  <c r="A1050" i="4"/>
  <c r="C1049" i="4"/>
  <c r="B1049" i="4"/>
  <c r="A1049" i="4"/>
  <c r="C1048" i="4"/>
  <c r="B1048" i="4"/>
  <c r="A1048" i="4"/>
  <c r="C1047" i="4"/>
  <c r="B1047" i="4"/>
  <c r="A1047" i="4"/>
  <c r="C1046" i="4"/>
  <c r="B1046" i="4"/>
  <c r="A1046" i="4"/>
  <c r="C1045" i="4"/>
  <c r="B1045" i="4"/>
  <c r="A1045" i="4"/>
  <c r="C1044" i="4"/>
  <c r="B1044" i="4"/>
  <c r="A1044" i="4"/>
  <c r="C1043" i="4"/>
  <c r="B1043" i="4"/>
  <c r="A1043" i="4"/>
  <c r="C1042" i="4"/>
  <c r="B1042" i="4"/>
  <c r="A1042" i="4"/>
  <c r="C1041" i="4"/>
  <c r="B1041" i="4"/>
  <c r="A1041" i="4"/>
  <c r="C1040" i="4"/>
  <c r="B1040" i="4"/>
  <c r="A1040" i="4"/>
  <c r="C1039" i="4"/>
  <c r="B1039" i="4"/>
  <c r="A1039" i="4"/>
  <c r="C1038" i="4"/>
  <c r="B1038" i="4"/>
  <c r="A1038" i="4"/>
  <c r="C1037" i="4"/>
  <c r="B1037" i="4"/>
  <c r="A1037" i="4"/>
  <c r="C1036" i="4"/>
  <c r="B1036" i="4"/>
  <c r="A1036" i="4"/>
  <c r="C1035" i="4"/>
  <c r="B1035" i="4"/>
  <c r="A1035" i="4"/>
  <c r="C1034" i="4"/>
  <c r="B1034" i="4"/>
  <c r="A1034" i="4"/>
  <c r="C1033" i="4"/>
  <c r="B1033" i="4"/>
  <c r="A1033" i="4"/>
  <c r="C1032" i="4"/>
  <c r="B1032" i="4"/>
  <c r="A1032" i="4"/>
  <c r="C1031" i="4"/>
  <c r="B1031" i="4"/>
  <c r="A1031" i="4"/>
  <c r="C1030" i="4"/>
  <c r="B1030" i="4"/>
  <c r="A1030" i="4"/>
  <c r="C1029" i="4"/>
  <c r="B1029" i="4"/>
  <c r="A1029" i="4"/>
  <c r="C1028" i="4"/>
  <c r="B1028" i="4"/>
  <c r="A1028" i="4"/>
  <c r="C1027" i="4"/>
  <c r="B1027" i="4"/>
  <c r="A1027" i="4"/>
  <c r="C1026" i="4"/>
  <c r="B1026" i="4"/>
  <c r="A1026" i="4"/>
  <c r="C1025" i="4"/>
  <c r="B1025" i="4"/>
  <c r="A1025" i="4"/>
  <c r="C1024" i="4"/>
  <c r="B1024" i="4"/>
  <c r="A1024" i="4"/>
  <c r="C1023" i="4"/>
  <c r="B1023" i="4"/>
  <c r="A1023" i="4"/>
  <c r="C1022" i="4"/>
  <c r="B1022" i="4"/>
  <c r="A1022" i="4"/>
  <c r="C1021" i="4"/>
  <c r="B1021" i="4"/>
  <c r="A1021" i="4"/>
  <c r="C1020" i="4"/>
  <c r="B1020" i="4"/>
  <c r="A1020" i="4"/>
  <c r="C1019" i="4"/>
  <c r="B1019" i="4"/>
  <c r="A1019" i="4"/>
  <c r="C1018" i="4"/>
  <c r="B1018" i="4"/>
  <c r="A1018" i="4"/>
  <c r="C1017" i="4"/>
  <c r="B1017" i="4"/>
  <c r="A1017" i="4"/>
  <c r="C1016" i="4"/>
  <c r="B1016" i="4"/>
  <c r="A1016" i="4"/>
  <c r="C1015" i="4"/>
  <c r="B1015" i="4"/>
  <c r="A1015" i="4"/>
  <c r="C1014" i="4"/>
  <c r="B1014" i="4"/>
  <c r="A1014" i="4"/>
  <c r="C1013" i="4"/>
  <c r="B1013" i="4"/>
  <c r="A1013" i="4"/>
  <c r="C1012" i="4"/>
  <c r="B1012" i="4"/>
  <c r="A1012" i="4"/>
  <c r="C1011" i="4"/>
  <c r="B1011" i="4"/>
  <c r="A1011" i="4"/>
  <c r="C1010" i="4"/>
  <c r="B1010" i="4"/>
  <c r="A1010" i="4"/>
  <c r="C1009" i="4"/>
  <c r="B1009" i="4"/>
  <c r="A1009" i="4"/>
  <c r="C1008" i="4"/>
  <c r="B1008" i="4"/>
  <c r="A1008" i="4"/>
  <c r="C1007" i="4"/>
  <c r="B1007" i="4"/>
  <c r="A1007" i="4"/>
  <c r="C1006" i="4"/>
  <c r="B1006" i="4"/>
  <c r="A1006" i="4"/>
  <c r="C1005" i="4"/>
  <c r="B1005" i="4"/>
  <c r="A1005" i="4"/>
  <c r="C1004" i="4"/>
  <c r="B1004" i="4"/>
  <c r="A1004" i="4"/>
  <c r="C1003" i="4"/>
  <c r="B1003" i="4"/>
  <c r="A1003" i="4"/>
  <c r="C1002" i="4"/>
  <c r="B1002" i="4"/>
  <c r="A1002" i="4"/>
  <c r="C1001" i="4"/>
  <c r="B1001" i="4"/>
  <c r="A1001" i="4"/>
  <c r="C1000" i="4"/>
  <c r="B1000" i="4"/>
  <c r="A1000" i="4"/>
  <c r="C999" i="4"/>
  <c r="B999" i="4"/>
  <c r="A999" i="4"/>
  <c r="C998" i="4"/>
  <c r="B998" i="4"/>
  <c r="A998" i="4"/>
  <c r="C997" i="4"/>
  <c r="B997" i="4"/>
  <c r="A997" i="4"/>
  <c r="C996" i="4"/>
  <c r="B996" i="4"/>
  <c r="A996" i="4"/>
  <c r="C995" i="4"/>
  <c r="B995" i="4"/>
  <c r="A995" i="4"/>
  <c r="C994" i="4"/>
  <c r="B994" i="4"/>
  <c r="A994" i="4"/>
  <c r="C993" i="4"/>
  <c r="B993" i="4"/>
  <c r="A993" i="4"/>
  <c r="C992" i="4"/>
  <c r="B992" i="4"/>
  <c r="A992" i="4"/>
  <c r="C991" i="4"/>
  <c r="B991" i="4"/>
  <c r="A991" i="4"/>
  <c r="C990" i="4"/>
  <c r="B990" i="4"/>
  <c r="A990" i="4"/>
  <c r="C989" i="4"/>
  <c r="B989" i="4"/>
  <c r="A989" i="4"/>
  <c r="C988" i="4"/>
  <c r="B988" i="4"/>
  <c r="A988" i="4"/>
  <c r="C987" i="4"/>
  <c r="B987" i="4"/>
  <c r="A987" i="4"/>
  <c r="C986" i="4"/>
  <c r="B986" i="4"/>
  <c r="A986" i="4"/>
  <c r="C985" i="4"/>
  <c r="B985" i="4"/>
  <c r="A985" i="4"/>
  <c r="C984" i="4"/>
  <c r="B984" i="4"/>
  <c r="A984" i="4"/>
  <c r="C983" i="4"/>
  <c r="B983" i="4"/>
  <c r="A983" i="4"/>
  <c r="C982" i="4"/>
  <c r="B982" i="4"/>
  <c r="A982" i="4"/>
  <c r="C981" i="4"/>
  <c r="B981" i="4"/>
  <c r="A981" i="4"/>
  <c r="C980" i="4"/>
  <c r="B980" i="4"/>
  <c r="A980" i="4"/>
  <c r="C979" i="4"/>
  <c r="B979" i="4"/>
  <c r="A979" i="4"/>
  <c r="C978" i="4"/>
  <c r="B978" i="4"/>
  <c r="A978" i="4"/>
  <c r="C977" i="4"/>
  <c r="B977" i="4"/>
  <c r="A977" i="4"/>
  <c r="C976" i="4"/>
  <c r="B976" i="4"/>
  <c r="A976" i="4"/>
  <c r="C975" i="4"/>
  <c r="B975" i="4"/>
  <c r="A975" i="4"/>
  <c r="C974" i="4"/>
  <c r="B974" i="4"/>
  <c r="A974" i="4"/>
  <c r="C973" i="4"/>
  <c r="B973" i="4"/>
  <c r="A973" i="4"/>
  <c r="C972" i="4"/>
  <c r="B972" i="4"/>
  <c r="A972" i="4"/>
  <c r="C971" i="4"/>
  <c r="B971" i="4"/>
  <c r="A971" i="4"/>
  <c r="C970" i="4"/>
  <c r="B970" i="4"/>
  <c r="A970" i="4"/>
  <c r="C969" i="4"/>
  <c r="B969" i="4"/>
  <c r="A969" i="4"/>
  <c r="C968" i="4"/>
  <c r="B968" i="4"/>
  <c r="A968" i="4"/>
  <c r="C967" i="4"/>
  <c r="B967" i="4"/>
  <c r="A967" i="4"/>
  <c r="C966" i="4"/>
  <c r="B966" i="4"/>
  <c r="A966" i="4"/>
  <c r="C965" i="4"/>
  <c r="B965" i="4"/>
  <c r="A965" i="4"/>
  <c r="C964" i="4"/>
  <c r="B964" i="4"/>
  <c r="A964" i="4"/>
  <c r="C963" i="4"/>
  <c r="B963" i="4"/>
  <c r="A963" i="4"/>
  <c r="C962" i="4"/>
  <c r="B962" i="4"/>
  <c r="A962" i="4"/>
  <c r="C961" i="4"/>
  <c r="B961" i="4"/>
  <c r="A961" i="4"/>
  <c r="C960" i="4"/>
  <c r="B960" i="4"/>
  <c r="A960" i="4"/>
  <c r="C959" i="4"/>
  <c r="B959" i="4"/>
  <c r="A959" i="4"/>
  <c r="C958" i="4"/>
  <c r="B958" i="4"/>
  <c r="A958" i="4"/>
  <c r="C957" i="4"/>
  <c r="B957" i="4"/>
  <c r="A957" i="4"/>
  <c r="C956" i="4"/>
  <c r="B956" i="4"/>
  <c r="A956" i="4"/>
  <c r="C955" i="4"/>
  <c r="B955" i="4"/>
  <c r="A955" i="4"/>
  <c r="C954" i="4"/>
  <c r="B954" i="4"/>
  <c r="A954" i="4"/>
  <c r="C953" i="4"/>
  <c r="B953" i="4"/>
  <c r="A953" i="4"/>
  <c r="C952" i="4"/>
  <c r="B952" i="4"/>
  <c r="A952" i="4"/>
  <c r="C951" i="4"/>
  <c r="B951" i="4"/>
  <c r="A951" i="4"/>
  <c r="C950" i="4"/>
  <c r="B950" i="4"/>
  <c r="A950" i="4"/>
  <c r="C949" i="4"/>
  <c r="B949" i="4"/>
  <c r="A949" i="4"/>
  <c r="C948" i="4"/>
  <c r="B948" i="4"/>
  <c r="A948" i="4"/>
  <c r="C947" i="4"/>
  <c r="B947" i="4"/>
  <c r="A947" i="4"/>
  <c r="C946" i="4"/>
  <c r="B946" i="4"/>
  <c r="A946" i="4"/>
  <c r="C945" i="4"/>
  <c r="B945" i="4"/>
  <c r="A945" i="4"/>
  <c r="C944" i="4"/>
  <c r="B944" i="4"/>
  <c r="A944" i="4"/>
  <c r="C943" i="4"/>
  <c r="B943" i="4"/>
  <c r="A943" i="4"/>
  <c r="C942" i="4"/>
  <c r="B942" i="4"/>
  <c r="A942" i="4"/>
  <c r="C941" i="4"/>
  <c r="B941" i="4"/>
  <c r="A941" i="4"/>
  <c r="C940" i="4"/>
  <c r="B940" i="4"/>
  <c r="A940" i="4"/>
  <c r="C939" i="4"/>
  <c r="B939" i="4"/>
  <c r="A939" i="4"/>
  <c r="C938" i="4"/>
  <c r="B938" i="4"/>
  <c r="A938" i="4"/>
  <c r="C937" i="4"/>
  <c r="B937" i="4"/>
  <c r="A937" i="4"/>
  <c r="C936" i="4"/>
  <c r="B936" i="4"/>
  <c r="A936" i="4"/>
  <c r="C935" i="4"/>
  <c r="B935" i="4"/>
  <c r="A935" i="4"/>
  <c r="C934" i="4"/>
  <c r="B934" i="4"/>
  <c r="A934" i="4"/>
  <c r="C933" i="4"/>
  <c r="B933" i="4"/>
  <c r="A933" i="4"/>
  <c r="C932" i="4"/>
  <c r="B932" i="4"/>
  <c r="A932" i="4"/>
  <c r="C931" i="4"/>
  <c r="B931" i="4"/>
  <c r="A931" i="4"/>
  <c r="C930" i="4"/>
  <c r="B930" i="4"/>
  <c r="A930" i="4"/>
  <c r="C929" i="4"/>
  <c r="B929" i="4"/>
  <c r="A929" i="4"/>
  <c r="C928" i="4"/>
  <c r="B928" i="4"/>
  <c r="A928" i="4"/>
  <c r="C927" i="4"/>
  <c r="B927" i="4"/>
  <c r="A927" i="4"/>
  <c r="C926" i="4"/>
  <c r="B926" i="4"/>
  <c r="A926" i="4"/>
  <c r="C925" i="4"/>
  <c r="B925" i="4"/>
  <c r="A925" i="4"/>
  <c r="C924" i="4"/>
  <c r="B924" i="4"/>
  <c r="A924" i="4"/>
  <c r="C923" i="4"/>
  <c r="B923" i="4"/>
  <c r="A923" i="4"/>
  <c r="C922" i="4"/>
  <c r="B922" i="4"/>
  <c r="A922" i="4"/>
  <c r="C921" i="4"/>
  <c r="B921" i="4"/>
  <c r="A921" i="4"/>
  <c r="C920" i="4"/>
  <c r="B920" i="4"/>
  <c r="A920" i="4"/>
  <c r="C919" i="4"/>
  <c r="B919" i="4"/>
  <c r="A919" i="4"/>
  <c r="C918" i="4"/>
  <c r="B918" i="4"/>
  <c r="A918" i="4"/>
  <c r="C917" i="4"/>
  <c r="B917" i="4"/>
  <c r="A917" i="4"/>
  <c r="C916" i="4"/>
  <c r="B916" i="4"/>
  <c r="A916" i="4"/>
  <c r="C915" i="4"/>
  <c r="B915" i="4"/>
  <c r="A915" i="4"/>
  <c r="C914" i="4"/>
  <c r="B914" i="4"/>
  <c r="A914" i="4"/>
  <c r="C913" i="4"/>
  <c r="B913" i="4"/>
  <c r="A913" i="4"/>
  <c r="C912" i="4"/>
  <c r="B912" i="4"/>
  <c r="A912" i="4"/>
  <c r="C911" i="4"/>
  <c r="B911" i="4"/>
  <c r="A911" i="4"/>
  <c r="C910" i="4"/>
  <c r="B910" i="4"/>
  <c r="A910" i="4"/>
  <c r="C909" i="4"/>
  <c r="B909" i="4"/>
  <c r="A909" i="4"/>
  <c r="C908" i="4"/>
  <c r="B908" i="4"/>
  <c r="A908" i="4"/>
  <c r="C907" i="4"/>
  <c r="B907" i="4"/>
  <c r="A907" i="4"/>
  <c r="C906" i="4"/>
  <c r="B906" i="4"/>
  <c r="A906" i="4"/>
  <c r="C905" i="4"/>
  <c r="B905" i="4"/>
  <c r="A905" i="4"/>
  <c r="C904" i="4"/>
  <c r="B904" i="4"/>
  <c r="A904" i="4"/>
  <c r="C903" i="4"/>
  <c r="B903" i="4"/>
  <c r="A903" i="4"/>
  <c r="C902" i="4"/>
  <c r="B902" i="4"/>
  <c r="A902" i="4"/>
  <c r="C901" i="4"/>
  <c r="B901" i="4"/>
  <c r="A901" i="4"/>
  <c r="C900" i="4"/>
  <c r="B900" i="4"/>
  <c r="A900" i="4"/>
  <c r="C899" i="4"/>
  <c r="B899" i="4"/>
  <c r="A899" i="4"/>
  <c r="C898" i="4"/>
  <c r="B898" i="4"/>
  <c r="A898" i="4"/>
  <c r="C897" i="4"/>
  <c r="B897" i="4"/>
  <c r="A897" i="4"/>
  <c r="C896" i="4"/>
  <c r="B896" i="4"/>
  <c r="A896" i="4"/>
  <c r="C895" i="4"/>
  <c r="B895" i="4"/>
  <c r="A895" i="4"/>
  <c r="C894" i="4"/>
  <c r="B894" i="4"/>
  <c r="A894" i="4"/>
  <c r="C893" i="4"/>
  <c r="B893" i="4"/>
  <c r="A893" i="4"/>
  <c r="C892" i="4"/>
  <c r="B892" i="4"/>
  <c r="A892" i="4"/>
  <c r="C891" i="4"/>
  <c r="B891" i="4"/>
  <c r="A891" i="4"/>
  <c r="C890" i="4"/>
  <c r="B890" i="4"/>
  <c r="A890" i="4"/>
  <c r="C889" i="4"/>
  <c r="B889" i="4"/>
  <c r="A889" i="4"/>
  <c r="C888" i="4"/>
  <c r="B888" i="4"/>
  <c r="A888" i="4"/>
  <c r="C887" i="4"/>
  <c r="B887" i="4"/>
  <c r="A887" i="4"/>
  <c r="C886" i="4"/>
  <c r="B886" i="4"/>
  <c r="A886" i="4"/>
  <c r="C885" i="4"/>
  <c r="B885" i="4"/>
  <c r="A885" i="4"/>
  <c r="C884" i="4"/>
  <c r="B884" i="4"/>
  <c r="A884" i="4"/>
  <c r="C883" i="4"/>
  <c r="B883" i="4"/>
  <c r="A883" i="4"/>
  <c r="C882" i="4"/>
  <c r="B882" i="4"/>
  <c r="A882" i="4"/>
  <c r="C881" i="4"/>
  <c r="B881" i="4"/>
  <c r="A881" i="4"/>
  <c r="C880" i="4"/>
  <c r="B880" i="4"/>
  <c r="A880" i="4"/>
  <c r="C879" i="4"/>
  <c r="B879" i="4"/>
  <c r="A879" i="4"/>
  <c r="C878" i="4"/>
  <c r="B878" i="4"/>
  <c r="A878" i="4"/>
  <c r="C877" i="4"/>
  <c r="B877" i="4"/>
  <c r="A877" i="4"/>
  <c r="C876" i="4"/>
  <c r="B876" i="4"/>
  <c r="A876" i="4"/>
  <c r="C875" i="4"/>
  <c r="B875" i="4"/>
  <c r="A875" i="4"/>
  <c r="C874" i="4"/>
  <c r="B874" i="4"/>
  <c r="A874" i="4"/>
  <c r="C873" i="4"/>
  <c r="B873" i="4"/>
  <c r="A873" i="4"/>
  <c r="C872" i="4"/>
  <c r="B872" i="4"/>
  <c r="A872" i="4"/>
  <c r="C871" i="4"/>
  <c r="B871" i="4"/>
  <c r="A871" i="4"/>
  <c r="C870" i="4"/>
  <c r="B870" i="4"/>
  <c r="A870" i="4"/>
  <c r="C869" i="4"/>
  <c r="B869" i="4"/>
  <c r="A869" i="4"/>
  <c r="C868" i="4"/>
  <c r="B868" i="4"/>
  <c r="A868" i="4"/>
  <c r="C867" i="4"/>
  <c r="B867" i="4"/>
  <c r="A867" i="4"/>
  <c r="C866" i="4"/>
  <c r="B866" i="4"/>
  <c r="A866" i="4"/>
  <c r="C865" i="4"/>
  <c r="B865" i="4"/>
  <c r="A865" i="4"/>
  <c r="C864" i="4"/>
  <c r="B864" i="4"/>
  <c r="A864" i="4"/>
  <c r="C863" i="4"/>
  <c r="B863" i="4"/>
  <c r="A863" i="4"/>
  <c r="C862" i="4"/>
  <c r="B862" i="4"/>
  <c r="A862" i="4"/>
  <c r="C861" i="4"/>
  <c r="B861" i="4"/>
  <c r="A861" i="4"/>
  <c r="C860" i="4"/>
  <c r="B860" i="4"/>
  <c r="A860" i="4"/>
  <c r="C859" i="4"/>
  <c r="B859" i="4"/>
  <c r="A859" i="4"/>
  <c r="C858" i="4"/>
  <c r="B858" i="4"/>
  <c r="A858" i="4"/>
  <c r="C857" i="4"/>
  <c r="B857" i="4"/>
  <c r="A857" i="4"/>
  <c r="C856" i="4"/>
  <c r="B856" i="4"/>
  <c r="A856" i="4"/>
  <c r="C855" i="4"/>
  <c r="B855" i="4"/>
  <c r="A855" i="4"/>
  <c r="C854" i="4"/>
  <c r="B854" i="4"/>
  <c r="A854" i="4"/>
  <c r="C853" i="4"/>
  <c r="B853" i="4"/>
  <c r="A853" i="4"/>
  <c r="C852" i="4"/>
  <c r="B852" i="4"/>
  <c r="A852" i="4"/>
  <c r="C851" i="4"/>
  <c r="B851" i="4"/>
  <c r="A851" i="4"/>
  <c r="C850" i="4"/>
  <c r="B850" i="4"/>
  <c r="A850" i="4"/>
  <c r="C849" i="4"/>
  <c r="B849" i="4"/>
  <c r="A849" i="4"/>
  <c r="C848" i="4"/>
  <c r="B848" i="4"/>
  <c r="A848" i="4"/>
  <c r="C847" i="4"/>
  <c r="B847" i="4"/>
  <c r="A847" i="4"/>
  <c r="C846" i="4"/>
  <c r="B846" i="4"/>
  <c r="A846" i="4"/>
  <c r="C845" i="4"/>
  <c r="B845" i="4"/>
  <c r="A845" i="4"/>
  <c r="C844" i="4"/>
  <c r="B844" i="4"/>
  <c r="A844" i="4"/>
  <c r="C843" i="4"/>
  <c r="B843" i="4"/>
  <c r="A843" i="4"/>
  <c r="C842" i="4"/>
  <c r="B842" i="4"/>
  <c r="A842" i="4"/>
  <c r="C841" i="4"/>
  <c r="B841" i="4"/>
  <c r="A841" i="4"/>
  <c r="C840" i="4"/>
  <c r="B840" i="4"/>
  <c r="A840" i="4"/>
  <c r="C839" i="4"/>
  <c r="B839" i="4"/>
  <c r="A839" i="4"/>
  <c r="C838" i="4"/>
  <c r="B838" i="4"/>
  <c r="A838" i="4"/>
  <c r="C837" i="4"/>
  <c r="B837" i="4"/>
  <c r="A837" i="4"/>
  <c r="C836" i="4"/>
  <c r="B836" i="4"/>
  <c r="A836" i="4"/>
  <c r="C835" i="4"/>
  <c r="B835" i="4"/>
  <c r="A835" i="4"/>
  <c r="C834" i="4"/>
  <c r="B834" i="4"/>
  <c r="A834" i="4"/>
  <c r="C833" i="4"/>
  <c r="B833" i="4"/>
  <c r="A833" i="4"/>
  <c r="C832" i="4"/>
  <c r="B832" i="4"/>
  <c r="A832" i="4"/>
  <c r="C831" i="4"/>
  <c r="B831" i="4"/>
  <c r="A831" i="4"/>
  <c r="C830" i="4"/>
  <c r="B830" i="4"/>
  <c r="A830" i="4"/>
  <c r="C829" i="4"/>
  <c r="B829" i="4"/>
  <c r="A829" i="4"/>
  <c r="C828" i="4"/>
  <c r="B828" i="4"/>
  <c r="A828" i="4"/>
  <c r="C827" i="4"/>
  <c r="B827" i="4"/>
  <c r="A827" i="4"/>
  <c r="C826" i="4"/>
  <c r="B826" i="4"/>
  <c r="A826" i="4"/>
  <c r="C825" i="4"/>
  <c r="B825" i="4"/>
  <c r="A825" i="4"/>
  <c r="C824" i="4"/>
  <c r="B824" i="4"/>
  <c r="A824" i="4"/>
  <c r="C823" i="4"/>
  <c r="B823" i="4"/>
  <c r="A823" i="4"/>
  <c r="C822" i="4"/>
  <c r="B822" i="4"/>
  <c r="A822" i="4"/>
  <c r="C821" i="4"/>
  <c r="B821" i="4"/>
  <c r="A821" i="4"/>
  <c r="C820" i="4"/>
  <c r="B820" i="4"/>
  <c r="A820" i="4"/>
  <c r="C819" i="4"/>
  <c r="B819" i="4"/>
  <c r="A819" i="4"/>
  <c r="C818" i="4"/>
  <c r="B818" i="4"/>
  <c r="A818" i="4"/>
  <c r="C817" i="4"/>
  <c r="B817" i="4"/>
  <c r="A817" i="4"/>
  <c r="C816" i="4"/>
  <c r="B816" i="4"/>
  <c r="A816" i="4"/>
  <c r="C815" i="4"/>
  <c r="B815" i="4"/>
  <c r="A815" i="4"/>
  <c r="C814" i="4"/>
  <c r="B814" i="4"/>
  <c r="A814" i="4"/>
  <c r="C813" i="4"/>
  <c r="B813" i="4"/>
  <c r="A813" i="4"/>
  <c r="C812" i="4"/>
  <c r="B812" i="4"/>
  <c r="A812" i="4"/>
  <c r="C811" i="4"/>
  <c r="B811" i="4"/>
  <c r="A811" i="4"/>
  <c r="C810" i="4"/>
  <c r="B810" i="4"/>
  <c r="A810" i="4"/>
  <c r="C809" i="4"/>
  <c r="B809" i="4"/>
  <c r="A809" i="4"/>
  <c r="C808" i="4"/>
  <c r="B808" i="4"/>
  <c r="A808" i="4"/>
  <c r="C807" i="4"/>
  <c r="B807" i="4"/>
  <c r="A807" i="4"/>
  <c r="C806" i="4"/>
  <c r="B806" i="4"/>
  <c r="A806" i="4"/>
  <c r="C805" i="4"/>
  <c r="B805" i="4"/>
  <c r="A805" i="4"/>
  <c r="C804" i="4"/>
  <c r="B804" i="4"/>
  <c r="A804" i="4"/>
  <c r="C803" i="4"/>
  <c r="B803" i="4"/>
  <c r="A803" i="4"/>
  <c r="C802" i="4"/>
  <c r="B802" i="4"/>
  <c r="A802" i="4"/>
  <c r="C801" i="4"/>
  <c r="B801" i="4"/>
  <c r="A801" i="4"/>
  <c r="C800" i="4"/>
  <c r="B800" i="4"/>
  <c r="A800" i="4"/>
  <c r="C799" i="4"/>
  <c r="B799" i="4"/>
  <c r="A799" i="4"/>
  <c r="C798" i="4"/>
  <c r="B798" i="4"/>
  <c r="A798" i="4"/>
  <c r="C797" i="4"/>
  <c r="B797" i="4"/>
  <c r="A797" i="4"/>
  <c r="C796" i="4"/>
  <c r="B796" i="4"/>
  <c r="A796" i="4"/>
  <c r="C795" i="4"/>
  <c r="B795" i="4"/>
  <c r="A795" i="4"/>
  <c r="C794" i="4"/>
  <c r="B794" i="4"/>
  <c r="A794" i="4"/>
  <c r="C793" i="4"/>
  <c r="B793" i="4"/>
  <c r="A793" i="4"/>
  <c r="C792" i="4"/>
  <c r="B792" i="4"/>
  <c r="A792" i="4"/>
  <c r="C791" i="4"/>
  <c r="B791" i="4"/>
  <c r="A791" i="4"/>
  <c r="C790" i="4"/>
  <c r="B790" i="4"/>
  <c r="A790" i="4"/>
  <c r="C789" i="4"/>
  <c r="B789" i="4"/>
  <c r="A789" i="4"/>
  <c r="C788" i="4"/>
  <c r="B788" i="4"/>
  <c r="A788" i="4"/>
  <c r="C787" i="4"/>
  <c r="B787" i="4"/>
  <c r="A787" i="4"/>
  <c r="C786" i="4"/>
  <c r="B786" i="4"/>
  <c r="A786" i="4"/>
  <c r="C785" i="4"/>
  <c r="B785" i="4"/>
  <c r="A785" i="4"/>
  <c r="C784" i="4"/>
  <c r="B784" i="4"/>
  <c r="A784" i="4"/>
  <c r="C783" i="4"/>
  <c r="B783" i="4"/>
  <c r="A783" i="4"/>
  <c r="C782" i="4"/>
  <c r="B782" i="4"/>
  <c r="A782" i="4"/>
  <c r="C781" i="4"/>
  <c r="B781" i="4"/>
  <c r="A781" i="4"/>
  <c r="C780" i="4"/>
  <c r="B780" i="4"/>
  <c r="A780" i="4"/>
  <c r="C779" i="4"/>
  <c r="B779" i="4"/>
  <c r="A779" i="4"/>
  <c r="C778" i="4"/>
  <c r="B778" i="4"/>
  <c r="A778" i="4"/>
  <c r="C777" i="4"/>
  <c r="B777" i="4"/>
  <c r="A777" i="4"/>
  <c r="C776" i="4"/>
  <c r="B776" i="4"/>
  <c r="A776" i="4"/>
  <c r="C775" i="4"/>
  <c r="B775" i="4"/>
  <c r="A775" i="4"/>
  <c r="C774" i="4"/>
  <c r="B774" i="4"/>
  <c r="A774" i="4"/>
  <c r="C773" i="4"/>
  <c r="B773" i="4"/>
  <c r="A773" i="4"/>
  <c r="C772" i="4"/>
  <c r="B772" i="4"/>
  <c r="A772" i="4"/>
  <c r="C771" i="4"/>
  <c r="B771" i="4"/>
  <c r="A771" i="4"/>
  <c r="C770" i="4"/>
  <c r="B770" i="4"/>
  <c r="A770" i="4"/>
  <c r="C769" i="4"/>
  <c r="B769" i="4"/>
  <c r="A769" i="4"/>
  <c r="C768" i="4"/>
  <c r="B768" i="4"/>
  <c r="A768" i="4"/>
  <c r="C767" i="4"/>
  <c r="B767" i="4"/>
  <c r="A767" i="4"/>
  <c r="C766" i="4"/>
  <c r="B766" i="4"/>
  <c r="A766" i="4"/>
  <c r="C765" i="4"/>
  <c r="B765" i="4"/>
  <c r="A765" i="4"/>
  <c r="C764" i="4"/>
  <c r="B764" i="4"/>
  <c r="A764" i="4"/>
  <c r="C763" i="4"/>
  <c r="B763" i="4"/>
  <c r="A763" i="4"/>
  <c r="C762" i="4"/>
  <c r="B762" i="4"/>
  <c r="A762" i="4"/>
  <c r="C761" i="4"/>
  <c r="B761" i="4"/>
  <c r="A761" i="4"/>
  <c r="C760" i="4"/>
  <c r="B760" i="4"/>
  <c r="A760" i="4"/>
  <c r="C759" i="4"/>
  <c r="B759" i="4"/>
  <c r="A759" i="4"/>
  <c r="C758" i="4"/>
  <c r="B758" i="4"/>
  <c r="A758" i="4"/>
  <c r="C757" i="4"/>
  <c r="B757" i="4"/>
  <c r="A757" i="4"/>
  <c r="C756" i="4"/>
  <c r="B756" i="4"/>
  <c r="A756" i="4"/>
  <c r="C755" i="4"/>
  <c r="B755" i="4"/>
  <c r="A755" i="4"/>
  <c r="C754" i="4"/>
  <c r="B754" i="4"/>
  <c r="A754" i="4"/>
  <c r="C753" i="4"/>
  <c r="B753" i="4"/>
  <c r="A753" i="4"/>
  <c r="C752" i="4"/>
  <c r="B752" i="4"/>
  <c r="A752" i="4"/>
  <c r="C751" i="4"/>
  <c r="B751" i="4"/>
  <c r="A751" i="4"/>
  <c r="C750" i="4"/>
  <c r="B750" i="4"/>
  <c r="A750" i="4"/>
  <c r="C749" i="4"/>
  <c r="B749" i="4"/>
  <c r="A749" i="4"/>
  <c r="C748" i="4"/>
  <c r="B748" i="4"/>
  <c r="A748" i="4"/>
  <c r="C747" i="4"/>
  <c r="B747" i="4"/>
  <c r="A747" i="4"/>
  <c r="C746" i="4"/>
  <c r="B746" i="4"/>
  <c r="A746" i="4"/>
  <c r="C745" i="4"/>
  <c r="B745" i="4"/>
  <c r="A745" i="4"/>
  <c r="C744" i="4"/>
  <c r="B744" i="4"/>
  <c r="A744" i="4"/>
  <c r="C743" i="4"/>
  <c r="B743" i="4"/>
  <c r="A743" i="4"/>
  <c r="C742" i="4"/>
  <c r="B742" i="4"/>
  <c r="A742" i="4"/>
  <c r="C741" i="4"/>
  <c r="B741" i="4"/>
  <c r="A741" i="4"/>
  <c r="C740" i="4"/>
  <c r="B740" i="4"/>
  <c r="A740" i="4"/>
  <c r="C739" i="4"/>
  <c r="B739" i="4"/>
  <c r="A739" i="4"/>
  <c r="C738" i="4"/>
  <c r="B738" i="4"/>
  <c r="A738" i="4"/>
  <c r="C737" i="4"/>
  <c r="B737" i="4"/>
  <c r="A737" i="4"/>
  <c r="C736" i="4"/>
  <c r="B736" i="4"/>
  <c r="A736" i="4"/>
  <c r="C735" i="4"/>
  <c r="B735" i="4"/>
  <c r="A735" i="4"/>
  <c r="C734" i="4"/>
  <c r="B734" i="4"/>
  <c r="A734" i="4"/>
  <c r="C733" i="4"/>
  <c r="B733" i="4"/>
  <c r="A733" i="4"/>
  <c r="C732" i="4"/>
  <c r="B732" i="4"/>
  <c r="A732" i="4"/>
  <c r="C731" i="4"/>
  <c r="B731" i="4"/>
  <c r="A731" i="4"/>
  <c r="C730" i="4"/>
  <c r="B730" i="4"/>
  <c r="A730" i="4"/>
  <c r="C729" i="4"/>
  <c r="B729" i="4"/>
  <c r="A729" i="4"/>
  <c r="C728" i="4"/>
  <c r="B728" i="4"/>
  <c r="A728" i="4"/>
  <c r="C727" i="4"/>
  <c r="B727" i="4"/>
  <c r="A727" i="4"/>
  <c r="C726" i="4"/>
  <c r="B726" i="4"/>
  <c r="A726" i="4"/>
  <c r="C725" i="4"/>
  <c r="B725" i="4"/>
  <c r="A725" i="4"/>
  <c r="C724" i="4"/>
  <c r="B724" i="4"/>
  <c r="A724" i="4"/>
  <c r="C723" i="4"/>
  <c r="B723" i="4"/>
  <c r="A723" i="4"/>
  <c r="C722" i="4"/>
  <c r="B722" i="4"/>
  <c r="A722" i="4"/>
  <c r="C721" i="4"/>
  <c r="B721" i="4"/>
  <c r="A721" i="4"/>
  <c r="C720" i="4"/>
  <c r="B720" i="4"/>
  <c r="A720" i="4"/>
  <c r="C719" i="4"/>
  <c r="B719" i="4"/>
  <c r="A719" i="4"/>
  <c r="C718" i="4"/>
  <c r="B718" i="4"/>
  <c r="A718" i="4"/>
  <c r="C717" i="4"/>
  <c r="B717" i="4"/>
  <c r="A717" i="4"/>
  <c r="C716" i="4"/>
  <c r="B716" i="4"/>
  <c r="A716" i="4"/>
  <c r="C715" i="4"/>
  <c r="B715" i="4"/>
  <c r="A715" i="4"/>
  <c r="C714" i="4"/>
  <c r="B714" i="4"/>
  <c r="A714" i="4"/>
  <c r="C713" i="4"/>
  <c r="B713" i="4"/>
  <c r="A713" i="4"/>
  <c r="C712" i="4"/>
  <c r="B712" i="4"/>
  <c r="A712" i="4"/>
  <c r="C711" i="4"/>
  <c r="B711" i="4"/>
  <c r="A711" i="4"/>
  <c r="C710" i="4"/>
  <c r="B710" i="4"/>
  <c r="A710" i="4"/>
  <c r="C709" i="4"/>
  <c r="B709" i="4"/>
  <c r="A709" i="4"/>
  <c r="C708" i="4"/>
  <c r="B708" i="4"/>
  <c r="A708" i="4"/>
  <c r="C707" i="4"/>
  <c r="B707" i="4"/>
  <c r="A707" i="4"/>
  <c r="C706" i="4"/>
  <c r="B706" i="4"/>
  <c r="A706" i="4"/>
  <c r="C705" i="4"/>
  <c r="B705" i="4"/>
  <c r="A705" i="4"/>
  <c r="C704" i="4"/>
  <c r="B704" i="4"/>
  <c r="A704" i="4"/>
  <c r="C703" i="4"/>
  <c r="B703" i="4"/>
  <c r="A703" i="4"/>
  <c r="C702" i="4"/>
  <c r="B702" i="4"/>
  <c r="A702" i="4"/>
  <c r="C701" i="4"/>
  <c r="B701" i="4"/>
  <c r="A701" i="4"/>
  <c r="C700" i="4"/>
  <c r="B700" i="4"/>
  <c r="A700" i="4"/>
  <c r="C699" i="4"/>
  <c r="B699" i="4"/>
  <c r="A699" i="4"/>
  <c r="C698" i="4"/>
  <c r="B698" i="4"/>
  <c r="A698" i="4"/>
  <c r="C697" i="4"/>
  <c r="B697" i="4"/>
  <c r="A697" i="4"/>
  <c r="C696" i="4"/>
  <c r="B696" i="4"/>
  <c r="A696" i="4"/>
  <c r="C695" i="4"/>
  <c r="B695" i="4"/>
  <c r="A695" i="4"/>
  <c r="C694" i="4"/>
  <c r="B694" i="4"/>
  <c r="A694" i="4"/>
  <c r="C693" i="4"/>
  <c r="B693" i="4"/>
  <c r="A693" i="4"/>
  <c r="C692" i="4"/>
  <c r="B692" i="4"/>
  <c r="A692" i="4"/>
  <c r="C691" i="4"/>
  <c r="B691" i="4"/>
  <c r="A691" i="4"/>
  <c r="C690" i="4"/>
  <c r="B690" i="4"/>
  <c r="A690" i="4"/>
  <c r="C689" i="4"/>
  <c r="B689" i="4"/>
  <c r="A689" i="4"/>
  <c r="C688" i="4"/>
  <c r="B688" i="4"/>
  <c r="A688" i="4"/>
  <c r="C687" i="4"/>
  <c r="B687" i="4"/>
  <c r="A687" i="4"/>
  <c r="C686" i="4"/>
  <c r="B686" i="4"/>
  <c r="A686" i="4"/>
  <c r="C685" i="4"/>
  <c r="B685" i="4"/>
  <c r="A685" i="4"/>
  <c r="C684" i="4"/>
  <c r="B684" i="4"/>
  <c r="A684" i="4"/>
  <c r="C683" i="4"/>
  <c r="B683" i="4"/>
  <c r="A683" i="4"/>
  <c r="C682" i="4"/>
  <c r="B682" i="4"/>
  <c r="A682" i="4"/>
  <c r="C681" i="4"/>
  <c r="B681" i="4"/>
  <c r="A681" i="4"/>
  <c r="C680" i="4"/>
  <c r="B680" i="4"/>
  <c r="A680" i="4"/>
  <c r="C679" i="4"/>
  <c r="B679" i="4"/>
  <c r="A679" i="4"/>
  <c r="C678" i="4"/>
  <c r="B678" i="4"/>
  <c r="A678" i="4"/>
  <c r="C677" i="4"/>
  <c r="B677" i="4"/>
  <c r="A677" i="4"/>
  <c r="C676" i="4"/>
  <c r="B676" i="4"/>
  <c r="A676" i="4"/>
  <c r="C675" i="4"/>
  <c r="B675" i="4"/>
  <c r="A675" i="4"/>
  <c r="C674" i="4"/>
  <c r="B674" i="4"/>
  <c r="A674" i="4"/>
  <c r="C673" i="4"/>
  <c r="B673" i="4"/>
  <c r="A673" i="4"/>
  <c r="C672" i="4"/>
  <c r="B672" i="4"/>
  <c r="A672" i="4"/>
  <c r="C671" i="4"/>
  <c r="B671" i="4"/>
  <c r="A671" i="4"/>
  <c r="C670" i="4"/>
  <c r="B670" i="4"/>
  <c r="A670" i="4"/>
  <c r="C669" i="4"/>
  <c r="B669" i="4"/>
  <c r="A669" i="4"/>
  <c r="C668" i="4"/>
  <c r="B668" i="4"/>
  <c r="A668" i="4"/>
  <c r="C667" i="4"/>
  <c r="B667" i="4"/>
  <c r="A667" i="4"/>
  <c r="C666" i="4"/>
  <c r="B666" i="4"/>
  <c r="A666" i="4"/>
  <c r="C665" i="4"/>
  <c r="B665" i="4"/>
  <c r="A665" i="4"/>
  <c r="C664" i="4"/>
  <c r="B664" i="4"/>
  <c r="A664" i="4"/>
  <c r="C663" i="4"/>
  <c r="B663" i="4"/>
  <c r="A663" i="4"/>
  <c r="C662" i="4"/>
  <c r="B662" i="4"/>
  <c r="A662" i="4"/>
  <c r="C661" i="4"/>
  <c r="B661" i="4"/>
  <c r="A661" i="4"/>
  <c r="C660" i="4"/>
  <c r="B660" i="4"/>
  <c r="A660" i="4"/>
  <c r="C659" i="4"/>
  <c r="B659" i="4"/>
  <c r="A659" i="4"/>
  <c r="C658" i="4"/>
  <c r="B658" i="4"/>
  <c r="A658" i="4"/>
  <c r="C657" i="4"/>
  <c r="B657" i="4"/>
  <c r="A657" i="4"/>
  <c r="C656" i="4"/>
  <c r="B656" i="4"/>
  <c r="A656" i="4"/>
  <c r="C655" i="4"/>
  <c r="B655" i="4"/>
  <c r="A655" i="4"/>
  <c r="C654" i="4"/>
  <c r="B654" i="4"/>
  <c r="A654" i="4"/>
  <c r="C653" i="4"/>
  <c r="B653" i="4"/>
  <c r="A653" i="4"/>
  <c r="C652" i="4"/>
  <c r="B652" i="4"/>
  <c r="A652" i="4"/>
  <c r="C651" i="4"/>
  <c r="B651" i="4"/>
  <c r="A651" i="4"/>
  <c r="C650" i="4"/>
  <c r="B650" i="4"/>
  <c r="A650" i="4"/>
  <c r="C649" i="4"/>
  <c r="B649" i="4"/>
  <c r="A649" i="4"/>
  <c r="C648" i="4"/>
  <c r="B648" i="4"/>
  <c r="A648" i="4"/>
  <c r="C647" i="4"/>
  <c r="B647" i="4"/>
  <c r="A647" i="4"/>
  <c r="C646" i="4"/>
  <c r="B646" i="4"/>
  <c r="A646" i="4"/>
  <c r="C645" i="4"/>
  <c r="B645" i="4"/>
  <c r="A645" i="4"/>
  <c r="C644" i="4"/>
  <c r="B644" i="4"/>
  <c r="A644" i="4"/>
  <c r="C643" i="4"/>
  <c r="B643" i="4"/>
  <c r="A643" i="4"/>
  <c r="C642" i="4"/>
  <c r="B642" i="4"/>
  <c r="A642" i="4"/>
  <c r="C641" i="4"/>
  <c r="B641" i="4"/>
  <c r="A641" i="4"/>
  <c r="C640" i="4"/>
  <c r="B640" i="4"/>
  <c r="A640" i="4"/>
  <c r="C639" i="4"/>
  <c r="B639" i="4"/>
  <c r="A639" i="4"/>
  <c r="C638" i="4"/>
  <c r="B638" i="4"/>
  <c r="A638" i="4"/>
  <c r="C637" i="4"/>
  <c r="B637" i="4"/>
  <c r="A637" i="4"/>
  <c r="C636" i="4"/>
  <c r="B636" i="4"/>
  <c r="A636" i="4"/>
  <c r="C635" i="4"/>
  <c r="B635" i="4"/>
  <c r="A635" i="4"/>
  <c r="C634" i="4"/>
  <c r="B634" i="4"/>
  <c r="A634" i="4"/>
  <c r="C633" i="4"/>
  <c r="B633" i="4"/>
  <c r="A633" i="4"/>
  <c r="C632" i="4"/>
  <c r="B632" i="4"/>
  <c r="A632" i="4"/>
  <c r="C631" i="4"/>
  <c r="B631" i="4"/>
  <c r="A631" i="4"/>
  <c r="C630" i="4"/>
  <c r="B630" i="4"/>
  <c r="A630" i="4"/>
  <c r="C629" i="4"/>
  <c r="B629" i="4"/>
  <c r="A629" i="4"/>
  <c r="C628" i="4"/>
  <c r="B628" i="4"/>
  <c r="A628" i="4"/>
  <c r="C627" i="4"/>
  <c r="B627" i="4"/>
  <c r="A627" i="4"/>
  <c r="C626" i="4"/>
  <c r="B626" i="4"/>
  <c r="A626" i="4"/>
  <c r="C625" i="4"/>
  <c r="B625" i="4"/>
  <c r="A625" i="4"/>
  <c r="C624" i="4"/>
  <c r="B624" i="4"/>
  <c r="A624" i="4"/>
  <c r="C623" i="4"/>
  <c r="B623" i="4"/>
  <c r="A623" i="4"/>
  <c r="C622" i="4"/>
  <c r="B622" i="4"/>
  <c r="A622" i="4"/>
  <c r="C621" i="4"/>
  <c r="B621" i="4"/>
  <c r="A621" i="4"/>
  <c r="C620" i="4"/>
  <c r="B620" i="4"/>
  <c r="A620" i="4"/>
  <c r="C619" i="4"/>
  <c r="B619" i="4"/>
  <c r="A619" i="4"/>
  <c r="C618" i="4"/>
  <c r="B618" i="4"/>
  <c r="A618" i="4"/>
  <c r="C617" i="4"/>
  <c r="B617" i="4"/>
  <c r="A617" i="4"/>
  <c r="C616" i="4"/>
  <c r="B616" i="4"/>
  <c r="A616" i="4"/>
  <c r="C615" i="4"/>
  <c r="B615" i="4"/>
  <c r="A615" i="4"/>
  <c r="C614" i="4"/>
  <c r="B614" i="4"/>
  <c r="A614" i="4"/>
  <c r="C613" i="4"/>
  <c r="B613" i="4"/>
  <c r="A613" i="4"/>
  <c r="C612" i="4"/>
  <c r="B612" i="4"/>
  <c r="A612" i="4"/>
  <c r="C611" i="4"/>
  <c r="B611" i="4"/>
  <c r="A611" i="4"/>
  <c r="C610" i="4"/>
  <c r="B610" i="4"/>
  <c r="A610" i="4"/>
  <c r="C609" i="4"/>
  <c r="B609" i="4"/>
  <c r="A609" i="4"/>
  <c r="C608" i="4"/>
  <c r="B608" i="4"/>
  <c r="A608" i="4"/>
  <c r="C607" i="4"/>
  <c r="B607" i="4"/>
  <c r="A607" i="4"/>
  <c r="C606" i="4"/>
  <c r="B606" i="4"/>
  <c r="A606" i="4"/>
  <c r="C605" i="4"/>
  <c r="B605" i="4"/>
  <c r="A605" i="4"/>
  <c r="C604" i="4"/>
  <c r="B604" i="4"/>
  <c r="A604" i="4"/>
  <c r="C603" i="4"/>
  <c r="B603" i="4"/>
  <c r="A603" i="4"/>
  <c r="C602" i="4"/>
  <c r="B602" i="4"/>
  <c r="A602" i="4"/>
  <c r="C601" i="4"/>
  <c r="B601" i="4"/>
  <c r="A601" i="4"/>
  <c r="C600" i="4"/>
  <c r="B600" i="4"/>
  <c r="A600" i="4"/>
  <c r="C599" i="4"/>
  <c r="B599" i="4"/>
  <c r="A599" i="4"/>
  <c r="C598" i="4"/>
  <c r="B598" i="4"/>
  <c r="A598" i="4"/>
  <c r="C597" i="4"/>
  <c r="B597" i="4"/>
  <c r="A597" i="4"/>
  <c r="C596" i="4"/>
  <c r="B596" i="4"/>
  <c r="A596" i="4"/>
  <c r="C595" i="4"/>
  <c r="B595" i="4"/>
  <c r="A595" i="4"/>
  <c r="C594" i="4"/>
  <c r="B594" i="4"/>
  <c r="A594" i="4"/>
  <c r="C593" i="4"/>
  <c r="B593" i="4"/>
  <c r="A593" i="4"/>
  <c r="C592" i="4"/>
  <c r="B592" i="4"/>
  <c r="A592" i="4"/>
  <c r="C591" i="4"/>
  <c r="B591" i="4"/>
  <c r="A591" i="4"/>
  <c r="C590" i="4"/>
  <c r="B590" i="4"/>
  <c r="A590" i="4"/>
  <c r="C589" i="4"/>
  <c r="B589" i="4"/>
  <c r="A589" i="4"/>
  <c r="C588" i="4"/>
  <c r="B588" i="4"/>
  <c r="A588" i="4"/>
  <c r="C587" i="4"/>
  <c r="B587" i="4"/>
  <c r="A587" i="4"/>
  <c r="C586" i="4"/>
  <c r="B586" i="4"/>
  <c r="A586" i="4"/>
  <c r="C585" i="4"/>
  <c r="B585" i="4"/>
  <c r="A585" i="4"/>
  <c r="C584" i="4"/>
  <c r="B584" i="4"/>
  <c r="A584" i="4"/>
  <c r="C583" i="4"/>
  <c r="B583" i="4"/>
  <c r="A583" i="4"/>
  <c r="C582" i="4"/>
  <c r="B582" i="4"/>
  <c r="A582" i="4"/>
  <c r="C581" i="4"/>
  <c r="B581" i="4"/>
  <c r="A581" i="4"/>
  <c r="C580" i="4"/>
  <c r="B580" i="4"/>
  <c r="A580" i="4"/>
  <c r="C579" i="4"/>
  <c r="B579" i="4"/>
  <c r="A579" i="4"/>
  <c r="C578" i="4"/>
  <c r="B578" i="4"/>
  <c r="A578" i="4"/>
  <c r="C577" i="4"/>
  <c r="B577" i="4"/>
  <c r="A577" i="4"/>
  <c r="C576" i="4"/>
  <c r="B576" i="4"/>
  <c r="A576" i="4"/>
  <c r="C575" i="4"/>
  <c r="B575" i="4"/>
  <c r="A575" i="4"/>
  <c r="C574" i="4"/>
  <c r="B574" i="4"/>
  <c r="A574" i="4"/>
  <c r="C573" i="4"/>
  <c r="B573" i="4"/>
  <c r="A573" i="4"/>
  <c r="C572" i="4"/>
  <c r="B572" i="4"/>
  <c r="A572" i="4"/>
  <c r="C571" i="4"/>
  <c r="B571" i="4"/>
  <c r="A571" i="4"/>
  <c r="C570" i="4"/>
  <c r="B570" i="4"/>
  <c r="A570" i="4"/>
  <c r="C569" i="4"/>
  <c r="B569" i="4"/>
  <c r="A569" i="4"/>
  <c r="C568" i="4"/>
  <c r="B568" i="4"/>
  <c r="A568" i="4"/>
  <c r="C567" i="4"/>
  <c r="B567" i="4"/>
  <c r="A567" i="4"/>
  <c r="C566" i="4"/>
  <c r="B566" i="4"/>
  <c r="A566" i="4"/>
  <c r="C565" i="4"/>
  <c r="B565" i="4"/>
  <c r="A565" i="4"/>
  <c r="C564" i="4"/>
  <c r="B564" i="4"/>
  <c r="A564" i="4"/>
  <c r="C563" i="4"/>
  <c r="B563" i="4"/>
  <c r="A563" i="4"/>
  <c r="C562" i="4"/>
  <c r="B562" i="4"/>
  <c r="A562" i="4"/>
  <c r="C561" i="4"/>
  <c r="B561" i="4"/>
  <c r="A561" i="4"/>
  <c r="C560" i="4"/>
  <c r="B560" i="4"/>
  <c r="A560" i="4"/>
  <c r="C559" i="4"/>
  <c r="B559" i="4"/>
  <c r="A559" i="4"/>
  <c r="C558" i="4"/>
  <c r="B558" i="4"/>
  <c r="A558" i="4"/>
  <c r="C557" i="4"/>
  <c r="B557" i="4"/>
  <c r="A557" i="4"/>
  <c r="C556" i="4"/>
  <c r="B556" i="4"/>
  <c r="A556" i="4"/>
  <c r="C555" i="4"/>
  <c r="B555" i="4"/>
  <c r="A555" i="4"/>
  <c r="C554" i="4"/>
  <c r="B554" i="4"/>
  <c r="A554" i="4"/>
  <c r="C553" i="4"/>
  <c r="B553" i="4"/>
  <c r="A553" i="4"/>
  <c r="C552" i="4"/>
  <c r="B552" i="4"/>
  <c r="A552" i="4"/>
  <c r="C551" i="4"/>
  <c r="B551" i="4"/>
  <c r="A551" i="4"/>
  <c r="C550" i="4"/>
  <c r="B550" i="4"/>
  <c r="A550" i="4"/>
  <c r="C549" i="4"/>
  <c r="B549" i="4"/>
  <c r="A549" i="4"/>
  <c r="C548" i="4"/>
  <c r="B548" i="4"/>
  <c r="A548" i="4"/>
  <c r="C547" i="4"/>
  <c r="B547" i="4"/>
  <c r="A547" i="4"/>
  <c r="C546" i="4"/>
  <c r="B546" i="4"/>
  <c r="A546" i="4"/>
  <c r="C545" i="4"/>
  <c r="B545" i="4"/>
  <c r="A545" i="4"/>
  <c r="C544" i="4"/>
  <c r="B544" i="4"/>
  <c r="A544" i="4"/>
  <c r="C543" i="4"/>
  <c r="B543" i="4"/>
  <c r="A543" i="4"/>
  <c r="C542" i="4"/>
  <c r="B542" i="4"/>
  <c r="A542" i="4"/>
  <c r="C541" i="4"/>
  <c r="B541" i="4"/>
  <c r="A541" i="4"/>
  <c r="C540" i="4"/>
  <c r="B540" i="4"/>
  <c r="A540" i="4"/>
  <c r="C539" i="4"/>
  <c r="B539" i="4"/>
  <c r="A539" i="4"/>
  <c r="C538" i="4"/>
  <c r="B538" i="4"/>
  <c r="A538" i="4"/>
  <c r="C537" i="4"/>
  <c r="B537" i="4"/>
  <c r="A537" i="4"/>
  <c r="C536" i="4"/>
  <c r="B536" i="4"/>
  <c r="A536" i="4"/>
  <c r="C535" i="4"/>
  <c r="B535" i="4"/>
  <c r="A535" i="4"/>
  <c r="C534" i="4"/>
  <c r="B534" i="4"/>
  <c r="A534" i="4"/>
  <c r="C533" i="4"/>
  <c r="B533" i="4"/>
  <c r="A533" i="4"/>
  <c r="C532" i="4"/>
  <c r="B532" i="4"/>
  <c r="A532" i="4"/>
  <c r="C531" i="4"/>
  <c r="B531" i="4"/>
  <c r="A531" i="4"/>
  <c r="C530" i="4"/>
  <c r="B530" i="4"/>
  <c r="A530" i="4"/>
  <c r="C529" i="4"/>
  <c r="B529" i="4"/>
  <c r="A529" i="4"/>
  <c r="C528" i="4"/>
  <c r="B528" i="4"/>
  <c r="A528" i="4"/>
  <c r="C527" i="4"/>
  <c r="B527" i="4"/>
  <c r="A527" i="4"/>
  <c r="C526" i="4"/>
  <c r="B526" i="4"/>
  <c r="A526" i="4"/>
  <c r="C525" i="4"/>
  <c r="B525" i="4"/>
  <c r="A525" i="4"/>
  <c r="C524" i="4"/>
  <c r="B524" i="4"/>
  <c r="A524" i="4"/>
  <c r="C523" i="4"/>
  <c r="B523" i="4"/>
  <c r="A523" i="4"/>
  <c r="C522" i="4"/>
  <c r="B522" i="4"/>
  <c r="A522" i="4"/>
  <c r="C521" i="4"/>
  <c r="B521" i="4"/>
  <c r="A521" i="4"/>
  <c r="C520" i="4"/>
  <c r="B520" i="4"/>
  <c r="A520" i="4"/>
  <c r="C519" i="4"/>
  <c r="B519" i="4"/>
  <c r="A519" i="4"/>
  <c r="C518" i="4"/>
  <c r="B518" i="4"/>
  <c r="A518" i="4"/>
  <c r="C517" i="4"/>
  <c r="B517" i="4"/>
  <c r="A517" i="4"/>
  <c r="C516" i="4"/>
  <c r="B516" i="4"/>
  <c r="A516" i="4"/>
  <c r="C515" i="4"/>
  <c r="B515" i="4"/>
  <c r="A515" i="4"/>
  <c r="C514" i="4"/>
  <c r="B514" i="4"/>
  <c r="A514" i="4"/>
  <c r="C513" i="4"/>
  <c r="B513" i="4"/>
  <c r="A513" i="4"/>
  <c r="C512" i="4"/>
  <c r="B512" i="4"/>
  <c r="A512" i="4"/>
  <c r="C511" i="4"/>
  <c r="B511" i="4"/>
  <c r="A511" i="4"/>
  <c r="C510" i="4"/>
  <c r="B510" i="4"/>
  <c r="A510" i="4"/>
  <c r="C509" i="4"/>
  <c r="B509" i="4"/>
  <c r="A509" i="4"/>
  <c r="C508" i="4"/>
  <c r="B508" i="4"/>
  <c r="A508" i="4"/>
  <c r="C507" i="4"/>
  <c r="B507" i="4"/>
  <c r="A507" i="4"/>
  <c r="C506" i="4"/>
  <c r="B506" i="4"/>
  <c r="A506" i="4"/>
  <c r="C505" i="4"/>
  <c r="B505" i="4"/>
  <c r="A505" i="4"/>
  <c r="C504" i="4"/>
  <c r="B504" i="4"/>
  <c r="A504" i="4"/>
  <c r="C503" i="4"/>
  <c r="B503" i="4"/>
  <c r="A503" i="4"/>
  <c r="C502" i="4"/>
  <c r="B502" i="4"/>
  <c r="A502" i="4"/>
  <c r="C501" i="4"/>
  <c r="B501" i="4"/>
  <c r="A501" i="4"/>
  <c r="C500" i="4"/>
  <c r="B500" i="4"/>
  <c r="A500" i="4"/>
  <c r="C499" i="4"/>
  <c r="B499" i="4"/>
  <c r="A499" i="4"/>
  <c r="C498" i="4"/>
  <c r="B498" i="4"/>
  <c r="A498" i="4"/>
  <c r="C497" i="4"/>
  <c r="B497" i="4"/>
  <c r="A497" i="4"/>
  <c r="C496" i="4"/>
  <c r="B496" i="4"/>
  <c r="A496" i="4"/>
  <c r="C495" i="4"/>
  <c r="B495" i="4"/>
  <c r="A495" i="4"/>
  <c r="C494" i="4"/>
  <c r="B494" i="4"/>
  <c r="A494" i="4"/>
  <c r="C493" i="4"/>
  <c r="B493" i="4"/>
  <c r="A493" i="4"/>
  <c r="C492" i="4"/>
  <c r="B492" i="4"/>
  <c r="A492" i="4"/>
  <c r="C491" i="4"/>
  <c r="B491" i="4"/>
  <c r="A491" i="4"/>
  <c r="C490" i="4"/>
  <c r="B490" i="4"/>
  <c r="A490" i="4"/>
  <c r="C489" i="4"/>
  <c r="B489" i="4"/>
  <c r="A489" i="4"/>
  <c r="C488" i="4"/>
  <c r="B488" i="4"/>
  <c r="A488" i="4"/>
  <c r="C487" i="4"/>
  <c r="B487" i="4"/>
  <c r="A487" i="4"/>
  <c r="C486" i="4"/>
  <c r="B486" i="4"/>
  <c r="A486" i="4"/>
  <c r="C485" i="4"/>
  <c r="B485" i="4"/>
  <c r="A485" i="4"/>
  <c r="C484" i="4"/>
  <c r="B484" i="4"/>
  <c r="A484" i="4"/>
  <c r="C483" i="4"/>
  <c r="B483" i="4"/>
  <c r="A483" i="4"/>
  <c r="C482" i="4"/>
  <c r="B482" i="4"/>
  <c r="A482" i="4"/>
  <c r="C481" i="4"/>
  <c r="B481" i="4"/>
  <c r="A481" i="4"/>
  <c r="C480" i="4"/>
  <c r="B480" i="4"/>
  <c r="A480" i="4"/>
  <c r="C479" i="4"/>
  <c r="B479" i="4"/>
  <c r="A479" i="4"/>
  <c r="C478" i="4"/>
  <c r="B478" i="4"/>
  <c r="A478" i="4"/>
  <c r="C477" i="4"/>
  <c r="B477" i="4"/>
  <c r="A477" i="4"/>
  <c r="C476" i="4"/>
  <c r="B476" i="4"/>
  <c r="A476" i="4"/>
  <c r="C475" i="4"/>
  <c r="B475" i="4"/>
  <c r="A475" i="4"/>
  <c r="C474" i="4"/>
  <c r="B474" i="4"/>
  <c r="A474" i="4"/>
  <c r="C473" i="4"/>
  <c r="B473" i="4"/>
  <c r="A473" i="4"/>
  <c r="C472" i="4"/>
  <c r="B472" i="4"/>
  <c r="A472" i="4"/>
  <c r="C471" i="4"/>
  <c r="B471" i="4"/>
  <c r="A471" i="4"/>
  <c r="C470" i="4"/>
  <c r="B470" i="4"/>
  <c r="A470" i="4"/>
  <c r="C469" i="4"/>
  <c r="B469" i="4"/>
  <c r="A469" i="4"/>
  <c r="C468" i="4"/>
  <c r="B468" i="4"/>
  <c r="A468" i="4"/>
  <c r="C467" i="4"/>
  <c r="B467" i="4"/>
  <c r="A467" i="4"/>
  <c r="C466" i="4"/>
  <c r="B466" i="4"/>
  <c r="A466" i="4"/>
  <c r="C465" i="4"/>
  <c r="B465" i="4"/>
  <c r="A465" i="4"/>
  <c r="C464" i="4"/>
  <c r="B464" i="4"/>
  <c r="A464" i="4"/>
  <c r="C463" i="4"/>
  <c r="B463" i="4"/>
  <c r="A463" i="4"/>
  <c r="C462" i="4"/>
  <c r="B462" i="4"/>
  <c r="A462" i="4"/>
  <c r="C461" i="4"/>
  <c r="B461" i="4"/>
  <c r="A461" i="4"/>
  <c r="C460" i="4"/>
  <c r="B460" i="4"/>
  <c r="A460" i="4"/>
  <c r="C459" i="4"/>
  <c r="B459" i="4"/>
  <c r="A459" i="4"/>
  <c r="C458" i="4"/>
  <c r="B458" i="4"/>
  <c r="A458" i="4"/>
  <c r="C457" i="4"/>
  <c r="B457" i="4"/>
  <c r="A457" i="4"/>
  <c r="C456" i="4"/>
  <c r="B456" i="4"/>
  <c r="A456" i="4"/>
  <c r="C455" i="4"/>
  <c r="B455" i="4"/>
  <c r="A455" i="4"/>
  <c r="C454" i="4"/>
  <c r="B454" i="4"/>
  <c r="A454" i="4"/>
  <c r="C453" i="4"/>
  <c r="B453" i="4"/>
  <c r="A453" i="4"/>
  <c r="C452" i="4"/>
  <c r="B452" i="4"/>
  <c r="A452" i="4"/>
  <c r="C451" i="4"/>
  <c r="B451" i="4"/>
  <c r="A451" i="4"/>
  <c r="C450" i="4"/>
  <c r="B450" i="4"/>
  <c r="A450" i="4"/>
  <c r="C449" i="4"/>
  <c r="B449" i="4"/>
  <c r="A449" i="4"/>
  <c r="C448" i="4"/>
  <c r="B448" i="4"/>
  <c r="A448" i="4"/>
  <c r="C447" i="4"/>
  <c r="B447" i="4"/>
  <c r="A447" i="4"/>
  <c r="C446" i="4"/>
  <c r="B446" i="4"/>
  <c r="A446" i="4"/>
  <c r="C445" i="4"/>
  <c r="B445" i="4"/>
  <c r="A445" i="4"/>
  <c r="C444" i="4"/>
  <c r="B444" i="4"/>
  <c r="A444" i="4"/>
  <c r="C443" i="4"/>
  <c r="B443" i="4"/>
  <c r="A443" i="4"/>
  <c r="C442" i="4"/>
  <c r="B442" i="4"/>
  <c r="A442" i="4"/>
  <c r="C441" i="4"/>
  <c r="B441" i="4"/>
  <c r="A441" i="4"/>
  <c r="C440" i="4"/>
  <c r="B440" i="4"/>
  <c r="A440" i="4"/>
  <c r="C439" i="4"/>
  <c r="B439" i="4"/>
  <c r="A439" i="4"/>
  <c r="C438" i="4"/>
  <c r="B438" i="4"/>
  <c r="A438" i="4"/>
  <c r="C437" i="4"/>
  <c r="B437" i="4"/>
  <c r="A437" i="4"/>
  <c r="C436" i="4"/>
  <c r="B436" i="4"/>
  <c r="A436" i="4"/>
  <c r="C435" i="4"/>
  <c r="B435" i="4"/>
  <c r="A435" i="4"/>
  <c r="C434" i="4"/>
  <c r="B434" i="4"/>
  <c r="A434" i="4"/>
  <c r="C433" i="4"/>
  <c r="B433" i="4"/>
  <c r="A433" i="4"/>
  <c r="C432" i="4"/>
  <c r="B432" i="4"/>
  <c r="A432" i="4"/>
  <c r="C431" i="4"/>
  <c r="B431" i="4"/>
  <c r="A431" i="4"/>
  <c r="C430" i="4"/>
  <c r="B430" i="4"/>
  <c r="A430" i="4"/>
  <c r="C429" i="4"/>
  <c r="B429" i="4"/>
  <c r="A429" i="4"/>
  <c r="C428" i="4"/>
  <c r="B428" i="4"/>
  <c r="A428" i="4"/>
  <c r="C427" i="4"/>
  <c r="B427" i="4"/>
  <c r="A427" i="4"/>
  <c r="C426" i="4"/>
  <c r="B426" i="4"/>
  <c r="A426" i="4"/>
  <c r="C425" i="4"/>
  <c r="B425" i="4"/>
  <c r="A425" i="4"/>
  <c r="C424" i="4"/>
  <c r="B424" i="4"/>
  <c r="A424" i="4"/>
  <c r="C423" i="4"/>
  <c r="B423" i="4"/>
  <c r="A423" i="4"/>
  <c r="C422" i="4"/>
  <c r="B422" i="4"/>
  <c r="A422" i="4"/>
  <c r="C421" i="4"/>
  <c r="B421" i="4"/>
  <c r="A421" i="4"/>
  <c r="C420" i="4"/>
  <c r="B420" i="4"/>
  <c r="A420" i="4"/>
  <c r="C419" i="4"/>
  <c r="B419" i="4"/>
  <c r="A419" i="4"/>
  <c r="C418" i="4"/>
  <c r="B418" i="4"/>
  <c r="A418" i="4"/>
  <c r="C417" i="4"/>
  <c r="B417" i="4"/>
  <c r="A417" i="4"/>
  <c r="C416" i="4"/>
  <c r="B416" i="4"/>
  <c r="A416" i="4"/>
  <c r="C415" i="4"/>
  <c r="B415" i="4"/>
  <c r="A415" i="4"/>
  <c r="C414" i="4"/>
  <c r="B414" i="4"/>
  <c r="A414" i="4"/>
  <c r="C413" i="4"/>
  <c r="B413" i="4"/>
  <c r="A413" i="4"/>
  <c r="C412" i="4"/>
  <c r="B412" i="4"/>
  <c r="A412" i="4"/>
  <c r="C411" i="4"/>
  <c r="B411" i="4"/>
  <c r="A411" i="4"/>
  <c r="C410" i="4"/>
  <c r="B410" i="4"/>
  <c r="A410" i="4"/>
  <c r="C409" i="4"/>
  <c r="B409" i="4"/>
  <c r="A409" i="4"/>
  <c r="C408" i="4"/>
  <c r="B408" i="4"/>
  <c r="A408" i="4"/>
  <c r="C407" i="4"/>
  <c r="B407" i="4"/>
  <c r="A407" i="4"/>
  <c r="C406" i="4"/>
  <c r="B406" i="4"/>
  <c r="A406" i="4"/>
  <c r="C405" i="4"/>
  <c r="B405" i="4"/>
  <c r="A405" i="4"/>
  <c r="C404" i="4"/>
  <c r="B404" i="4"/>
  <c r="A404" i="4"/>
  <c r="C403" i="4"/>
  <c r="B403" i="4"/>
  <c r="A403" i="4"/>
  <c r="C402" i="4"/>
  <c r="B402" i="4"/>
  <c r="A402" i="4"/>
  <c r="C401" i="4"/>
  <c r="B401" i="4"/>
  <c r="A401" i="4"/>
  <c r="C400" i="4"/>
  <c r="B400" i="4"/>
  <c r="A400" i="4"/>
  <c r="C399" i="4"/>
  <c r="B399" i="4"/>
  <c r="A399" i="4"/>
  <c r="C398" i="4"/>
  <c r="B398" i="4"/>
  <c r="A398" i="4"/>
  <c r="C397" i="4"/>
  <c r="B397" i="4"/>
  <c r="A397" i="4"/>
  <c r="C396" i="4"/>
  <c r="B396" i="4"/>
  <c r="A396" i="4"/>
  <c r="C395" i="4"/>
  <c r="B395" i="4"/>
  <c r="A395" i="4"/>
  <c r="C394" i="4"/>
  <c r="B394" i="4"/>
  <c r="A394" i="4"/>
  <c r="C393" i="4"/>
  <c r="B393" i="4"/>
  <c r="A393" i="4"/>
  <c r="C392" i="4"/>
  <c r="B392" i="4"/>
  <c r="A392" i="4"/>
  <c r="C391" i="4"/>
  <c r="B391" i="4"/>
  <c r="A391" i="4"/>
  <c r="C390" i="4"/>
  <c r="B390" i="4"/>
  <c r="A390" i="4"/>
  <c r="C389" i="4"/>
  <c r="B389" i="4"/>
  <c r="A389" i="4"/>
  <c r="C388" i="4"/>
  <c r="B388" i="4"/>
  <c r="A388" i="4"/>
  <c r="C387" i="4"/>
  <c r="B387" i="4"/>
  <c r="A387" i="4"/>
  <c r="C386" i="4"/>
  <c r="B386" i="4"/>
  <c r="A386" i="4"/>
  <c r="C385" i="4"/>
  <c r="B385" i="4"/>
  <c r="A385" i="4"/>
  <c r="C384" i="4"/>
  <c r="B384" i="4"/>
  <c r="A384" i="4"/>
  <c r="C383" i="4"/>
  <c r="B383" i="4"/>
  <c r="A383" i="4"/>
  <c r="C382" i="4"/>
  <c r="B382" i="4"/>
  <c r="A382" i="4"/>
  <c r="C381" i="4"/>
  <c r="B381" i="4"/>
  <c r="A381" i="4"/>
  <c r="C380" i="4"/>
  <c r="B380" i="4"/>
  <c r="A380" i="4"/>
  <c r="C379" i="4"/>
  <c r="B379" i="4"/>
  <c r="A379" i="4"/>
  <c r="C378" i="4"/>
  <c r="B378" i="4"/>
  <c r="A378" i="4"/>
  <c r="C377" i="4"/>
  <c r="B377" i="4"/>
  <c r="A377" i="4"/>
  <c r="C376" i="4"/>
  <c r="B376" i="4"/>
  <c r="A376" i="4"/>
  <c r="C375" i="4"/>
  <c r="B375" i="4"/>
  <c r="A375" i="4"/>
  <c r="C374" i="4"/>
  <c r="B374" i="4"/>
  <c r="A374" i="4"/>
  <c r="C373" i="4"/>
  <c r="B373" i="4"/>
  <c r="A373" i="4"/>
  <c r="C372" i="4"/>
  <c r="B372" i="4"/>
  <c r="A372" i="4"/>
  <c r="C371" i="4"/>
  <c r="B371" i="4"/>
  <c r="A371" i="4"/>
  <c r="C370" i="4"/>
  <c r="B370" i="4"/>
  <c r="A370" i="4"/>
  <c r="C369" i="4"/>
  <c r="B369" i="4"/>
  <c r="A369" i="4"/>
  <c r="C368" i="4"/>
  <c r="B368" i="4"/>
  <c r="A368" i="4"/>
  <c r="C367" i="4"/>
  <c r="B367" i="4"/>
  <c r="A367" i="4"/>
  <c r="C366" i="4"/>
  <c r="B366" i="4"/>
  <c r="A366" i="4"/>
  <c r="C365" i="4"/>
  <c r="B365" i="4"/>
  <c r="A365" i="4"/>
  <c r="C364" i="4"/>
  <c r="B364" i="4"/>
  <c r="A364" i="4"/>
  <c r="C363" i="4"/>
  <c r="B363" i="4"/>
  <c r="A363" i="4"/>
  <c r="C362" i="4"/>
  <c r="B362" i="4"/>
  <c r="A362" i="4"/>
  <c r="C361" i="4"/>
  <c r="B361" i="4"/>
  <c r="A361" i="4"/>
  <c r="C360" i="4"/>
  <c r="B360" i="4"/>
  <c r="A360" i="4"/>
  <c r="C359" i="4"/>
  <c r="B359" i="4"/>
  <c r="A359" i="4"/>
  <c r="C358" i="4"/>
  <c r="B358" i="4"/>
  <c r="A358" i="4"/>
  <c r="C357" i="4"/>
  <c r="B357" i="4"/>
  <c r="A357" i="4"/>
  <c r="C356" i="4"/>
  <c r="B356" i="4"/>
  <c r="A356" i="4"/>
  <c r="C355" i="4"/>
  <c r="B355" i="4"/>
  <c r="A355" i="4"/>
  <c r="C354" i="4"/>
  <c r="B354" i="4"/>
  <c r="A354" i="4"/>
  <c r="C353" i="4"/>
  <c r="B353" i="4"/>
  <c r="A353" i="4"/>
  <c r="C352" i="4"/>
  <c r="B352" i="4"/>
  <c r="A352" i="4"/>
  <c r="C351" i="4"/>
  <c r="B351" i="4"/>
  <c r="A351" i="4"/>
  <c r="C350" i="4"/>
  <c r="B350" i="4"/>
  <c r="A350" i="4"/>
  <c r="C349" i="4"/>
  <c r="B349" i="4"/>
  <c r="A349" i="4"/>
  <c r="C348" i="4"/>
  <c r="B348" i="4"/>
  <c r="A348" i="4"/>
  <c r="C347" i="4"/>
  <c r="B347" i="4"/>
  <c r="A347" i="4"/>
  <c r="C346" i="4"/>
  <c r="B346" i="4"/>
  <c r="A346" i="4"/>
  <c r="C345" i="4"/>
  <c r="B345" i="4"/>
  <c r="A345" i="4"/>
  <c r="C344" i="4"/>
  <c r="B344" i="4"/>
  <c r="A344" i="4"/>
  <c r="C343" i="4"/>
  <c r="B343" i="4"/>
  <c r="A343" i="4"/>
  <c r="C342" i="4"/>
  <c r="B342" i="4"/>
  <c r="A342" i="4"/>
  <c r="C341" i="4"/>
  <c r="B341" i="4"/>
  <c r="A341" i="4"/>
  <c r="C340" i="4"/>
  <c r="B340" i="4"/>
  <c r="A340" i="4"/>
  <c r="C339" i="4"/>
  <c r="B339" i="4"/>
  <c r="A339" i="4"/>
  <c r="C338" i="4"/>
  <c r="B338" i="4"/>
  <c r="A338" i="4"/>
  <c r="C337" i="4"/>
  <c r="B337" i="4"/>
  <c r="A337" i="4"/>
  <c r="C336" i="4"/>
  <c r="B336" i="4"/>
  <c r="A336" i="4"/>
  <c r="C335" i="4"/>
  <c r="B335" i="4"/>
  <c r="A335" i="4"/>
  <c r="C334" i="4"/>
  <c r="B334" i="4"/>
  <c r="A334" i="4"/>
  <c r="C333" i="4"/>
  <c r="B333" i="4"/>
  <c r="A333" i="4"/>
  <c r="C332" i="4"/>
  <c r="B332" i="4"/>
  <c r="A332" i="4"/>
  <c r="C331" i="4"/>
  <c r="B331" i="4"/>
  <c r="A331" i="4"/>
  <c r="C330" i="4"/>
  <c r="B330" i="4"/>
  <c r="A330" i="4"/>
  <c r="C329" i="4"/>
  <c r="B329" i="4"/>
  <c r="A329" i="4"/>
  <c r="C328" i="4"/>
  <c r="B328" i="4"/>
  <c r="A328" i="4"/>
  <c r="C327" i="4"/>
  <c r="B327" i="4"/>
  <c r="A327" i="4"/>
  <c r="C326" i="4"/>
  <c r="B326" i="4"/>
  <c r="A326" i="4"/>
  <c r="C325" i="4"/>
  <c r="B325" i="4"/>
  <c r="A325" i="4"/>
  <c r="C324" i="4"/>
  <c r="B324" i="4"/>
  <c r="A324" i="4"/>
  <c r="C323" i="4"/>
  <c r="B323" i="4"/>
  <c r="A323" i="4"/>
  <c r="C322" i="4"/>
  <c r="B322" i="4"/>
  <c r="A322" i="4"/>
  <c r="C321" i="4"/>
  <c r="B321" i="4"/>
  <c r="A321" i="4"/>
  <c r="C320" i="4"/>
  <c r="B320" i="4"/>
  <c r="A320" i="4"/>
  <c r="C319" i="4"/>
  <c r="B319" i="4"/>
  <c r="A319" i="4"/>
  <c r="C318" i="4"/>
  <c r="B318" i="4"/>
  <c r="A318" i="4"/>
  <c r="C317" i="4"/>
  <c r="B317" i="4"/>
  <c r="A317" i="4"/>
  <c r="C316" i="4"/>
  <c r="B316" i="4"/>
  <c r="A316" i="4"/>
  <c r="C315" i="4"/>
  <c r="B315" i="4"/>
  <c r="A315" i="4"/>
  <c r="C314" i="4"/>
  <c r="B314" i="4"/>
  <c r="A314" i="4"/>
  <c r="C313" i="4"/>
  <c r="B313" i="4"/>
  <c r="A313" i="4"/>
  <c r="C312" i="4"/>
  <c r="B312" i="4"/>
  <c r="A312" i="4"/>
  <c r="C311" i="4"/>
  <c r="B311" i="4"/>
  <c r="A311" i="4"/>
  <c r="C310" i="4"/>
  <c r="B310" i="4"/>
  <c r="A310" i="4"/>
  <c r="C309" i="4"/>
  <c r="B309" i="4"/>
  <c r="A309" i="4"/>
  <c r="C308" i="4"/>
  <c r="B308" i="4"/>
  <c r="A308" i="4"/>
  <c r="C307" i="4"/>
  <c r="B307" i="4"/>
  <c r="A307" i="4"/>
  <c r="C306" i="4"/>
  <c r="B306" i="4"/>
  <c r="A306" i="4"/>
  <c r="C305" i="4"/>
  <c r="B305" i="4"/>
  <c r="A305" i="4"/>
  <c r="C304" i="4"/>
  <c r="B304" i="4"/>
  <c r="A304" i="4"/>
  <c r="C303" i="4"/>
  <c r="B303" i="4"/>
  <c r="A303" i="4"/>
  <c r="C302" i="4"/>
  <c r="B302" i="4"/>
  <c r="A302" i="4"/>
  <c r="C301" i="4"/>
  <c r="B301" i="4"/>
  <c r="A301" i="4"/>
  <c r="C300" i="4"/>
  <c r="B300" i="4"/>
  <c r="A300" i="4"/>
  <c r="C299" i="4"/>
  <c r="B299" i="4"/>
  <c r="A299" i="4"/>
  <c r="C298" i="4"/>
  <c r="B298" i="4"/>
  <c r="A298" i="4"/>
  <c r="C297" i="4"/>
  <c r="B297" i="4"/>
  <c r="A297" i="4"/>
  <c r="C296" i="4"/>
  <c r="B296" i="4"/>
  <c r="A296" i="4"/>
  <c r="C295" i="4"/>
  <c r="B295" i="4"/>
  <c r="A295" i="4"/>
  <c r="C294" i="4"/>
  <c r="B294" i="4"/>
  <c r="A294" i="4"/>
  <c r="C293" i="4"/>
  <c r="B293" i="4"/>
  <c r="A293" i="4"/>
  <c r="C292" i="4"/>
  <c r="B292" i="4"/>
  <c r="A292" i="4"/>
  <c r="C291" i="4"/>
  <c r="B291" i="4"/>
  <c r="A291" i="4"/>
  <c r="C290" i="4"/>
  <c r="B290" i="4"/>
  <c r="A290" i="4"/>
  <c r="C289" i="4"/>
  <c r="B289" i="4"/>
  <c r="A289" i="4"/>
  <c r="C288" i="4"/>
  <c r="B288" i="4"/>
  <c r="A288" i="4"/>
  <c r="C287" i="4"/>
  <c r="B287" i="4"/>
  <c r="A287" i="4"/>
  <c r="C286" i="4"/>
  <c r="B286" i="4"/>
  <c r="A286" i="4"/>
  <c r="C285" i="4"/>
  <c r="B285" i="4"/>
  <c r="A285" i="4"/>
  <c r="C284" i="4"/>
  <c r="B284" i="4"/>
  <c r="A284" i="4"/>
  <c r="C283" i="4"/>
  <c r="B283" i="4"/>
  <c r="A283" i="4"/>
  <c r="C282" i="4"/>
  <c r="B282" i="4"/>
  <c r="A282" i="4"/>
  <c r="C281" i="4"/>
  <c r="B281" i="4"/>
  <c r="A281" i="4"/>
  <c r="C280" i="4"/>
  <c r="B280" i="4"/>
  <c r="A280" i="4"/>
  <c r="C279" i="4"/>
  <c r="B279" i="4"/>
  <c r="A279" i="4"/>
  <c r="C278" i="4"/>
  <c r="B278" i="4"/>
  <c r="A278" i="4"/>
  <c r="C277" i="4"/>
  <c r="B277" i="4"/>
  <c r="A277" i="4"/>
  <c r="C276" i="4"/>
  <c r="B276" i="4"/>
  <c r="A276" i="4"/>
  <c r="C275" i="4"/>
  <c r="B275" i="4"/>
  <c r="A275" i="4"/>
  <c r="C274" i="4"/>
  <c r="B274" i="4"/>
  <c r="A274" i="4"/>
  <c r="C273" i="4"/>
  <c r="B273" i="4"/>
  <c r="A273" i="4"/>
  <c r="C272" i="4"/>
  <c r="B272" i="4"/>
  <c r="A272" i="4"/>
  <c r="C271" i="4"/>
  <c r="B271" i="4"/>
  <c r="A271" i="4"/>
  <c r="C270" i="4"/>
  <c r="B270" i="4"/>
  <c r="A270" i="4"/>
  <c r="C269" i="4"/>
  <c r="B269" i="4"/>
  <c r="A269" i="4"/>
  <c r="C268" i="4"/>
  <c r="B268" i="4"/>
  <c r="A268" i="4"/>
  <c r="C267" i="4"/>
  <c r="B267" i="4"/>
  <c r="A267" i="4"/>
  <c r="C266" i="4"/>
  <c r="B266" i="4"/>
  <c r="A266" i="4"/>
  <c r="C265" i="4"/>
  <c r="B265" i="4"/>
  <c r="A265" i="4"/>
  <c r="C264" i="4"/>
  <c r="B264" i="4"/>
  <c r="A264" i="4"/>
  <c r="C263" i="4"/>
  <c r="B263" i="4"/>
  <c r="A263" i="4"/>
  <c r="C262" i="4"/>
  <c r="B262" i="4"/>
  <c r="A262" i="4"/>
  <c r="C261" i="4"/>
  <c r="B261" i="4"/>
  <c r="A261" i="4"/>
  <c r="C260" i="4"/>
  <c r="B260" i="4"/>
  <c r="A260" i="4"/>
  <c r="C259" i="4"/>
  <c r="B259" i="4"/>
  <c r="A259" i="4"/>
  <c r="C258" i="4"/>
  <c r="B258" i="4"/>
  <c r="A258" i="4"/>
  <c r="C257" i="4"/>
  <c r="B257" i="4"/>
  <c r="A257" i="4"/>
  <c r="C256" i="4"/>
  <c r="B256" i="4"/>
  <c r="A256" i="4"/>
  <c r="C255" i="4"/>
  <c r="B255" i="4"/>
  <c r="A255" i="4"/>
  <c r="C254" i="4"/>
  <c r="B254" i="4"/>
  <c r="A254" i="4"/>
  <c r="C253" i="4"/>
  <c r="B253" i="4"/>
  <c r="A253" i="4"/>
  <c r="C252" i="4"/>
  <c r="B252" i="4"/>
  <c r="A252" i="4"/>
  <c r="C251" i="4"/>
  <c r="B251" i="4"/>
  <c r="A251" i="4"/>
  <c r="C250" i="4"/>
  <c r="B250" i="4"/>
  <c r="A250" i="4"/>
  <c r="C249" i="4"/>
  <c r="B249" i="4"/>
  <c r="A249" i="4"/>
  <c r="C248" i="4"/>
  <c r="B248" i="4"/>
  <c r="A248" i="4"/>
  <c r="C247" i="4"/>
  <c r="B247" i="4"/>
  <c r="A247" i="4"/>
  <c r="C246" i="4"/>
  <c r="B246" i="4"/>
  <c r="A246" i="4"/>
  <c r="C245" i="4"/>
  <c r="B245" i="4"/>
  <c r="A245" i="4"/>
  <c r="C244" i="4"/>
  <c r="B244" i="4"/>
  <c r="A244" i="4"/>
  <c r="C243" i="4"/>
  <c r="B243" i="4"/>
  <c r="A243" i="4"/>
  <c r="C242" i="4"/>
  <c r="B242" i="4"/>
  <c r="A242" i="4"/>
  <c r="C241" i="4"/>
  <c r="B241" i="4"/>
  <c r="A241" i="4"/>
  <c r="C240" i="4"/>
  <c r="B240" i="4"/>
  <c r="A240" i="4"/>
  <c r="C239" i="4"/>
  <c r="B239" i="4"/>
  <c r="A239" i="4"/>
  <c r="C238" i="4"/>
  <c r="B238" i="4"/>
  <c r="A238" i="4"/>
  <c r="C237" i="4"/>
  <c r="B237" i="4"/>
  <c r="A237" i="4"/>
  <c r="C236" i="4"/>
  <c r="B236" i="4"/>
  <c r="A236" i="4"/>
  <c r="C235" i="4"/>
  <c r="B235" i="4"/>
  <c r="A235" i="4"/>
  <c r="C234" i="4"/>
  <c r="B234" i="4"/>
  <c r="A234" i="4"/>
  <c r="C233" i="4"/>
  <c r="B233" i="4"/>
  <c r="A233" i="4"/>
  <c r="C232" i="4"/>
  <c r="B232" i="4"/>
  <c r="A232" i="4"/>
  <c r="C231" i="4"/>
  <c r="B231" i="4"/>
  <c r="A231" i="4"/>
  <c r="C230" i="4"/>
  <c r="B230" i="4"/>
  <c r="A230" i="4"/>
  <c r="C229" i="4"/>
  <c r="B229" i="4"/>
  <c r="A229" i="4"/>
  <c r="C228" i="4"/>
  <c r="B228" i="4"/>
  <c r="A228" i="4"/>
  <c r="C227" i="4"/>
  <c r="B227" i="4"/>
  <c r="A227" i="4"/>
  <c r="C226" i="4"/>
  <c r="B226" i="4"/>
  <c r="A226" i="4"/>
  <c r="C225" i="4"/>
  <c r="B225" i="4"/>
  <c r="A225" i="4"/>
  <c r="C224" i="4"/>
  <c r="B224" i="4"/>
  <c r="A224" i="4"/>
  <c r="C223" i="4"/>
  <c r="B223" i="4"/>
  <c r="A223" i="4"/>
  <c r="C222" i="4"/>
  <c r="B222" i="4"/>
  <c r="A222" i="4"/>
  <c r="C221" i="4"/>
  <c r="B221" i="4"/>
  <c r="A221" i="4"/>
  <c r="C220" i="4"/>
  <c r="B220" i="4"/>
  <c r="A220" i="4"/>
  <c r="C219" i="4"/>
  <c r="B219" i="4"/>
  <c r="A219" i="4"/>
  <c r="C218" i="4"/>
  <c r="B218" i="4"/>
  <c r="A218" i="4"/>
  <c r="C217" i="4"/>
  <c r="B217" i="4"/>
  <c r="A217" i="4"/>
  <c r="C216" i="4"/>
  <c r="B216" i="4"/>
  <c r="A216" i="4"/>
  <c r="C215" i="4"/>
  <c r="B215" i="4"/>
  <c r="A215" i="4"/>
  <c r="C214" i="4"/>
  <c r="B214" i="4"/>
  <c r="A214" i="4"/>
  <c r="C213" i="4"/>
  <c r="B213" i="4"/>
  <c r="A213" i="4"/>
  <c r="C212" i="4"/>
  <c r="B212" i="4"/>
  <c r="A212" i="4"/>
  <c r="C211" i="4"/>
  <c r="B211" i="4"/>
  <c r="A211" i="4"/>
  <c r="C210" i="4"/>
  <c r="B210" i="4"/>
  <c r="A210" i="4"/>
  <c r="C209" i="4"/>
  <c r="B209" i="4"/>
  <c r="A209" i="4"/>
  <c r="C208" i="4"/>
  <c r="B208" i="4"/>
  <c r="A208" i="4"/>
  <c r="C207" i="4"/>
  <c r="B207" i="4"/>
  <c r="A207" i="4"/>
  <c r="C206" i="4"/>
  <c r="B206" i="4"/>
  <c r="A206" i="4"/>
  <c r="C205" i="4"/>
  <c r="B205" i="4"/>
  <c r="A205" i="4"/>
  <c r="C204" i="4"/>
  <c r="B204" i="4"/>
  <c r="A204" i="4"/>
  <c r="C203" i="4"/>
  <c r="B203" i="4"/>
  <c r="A203" i="4"/>
  <c r="C202" i="4"/>
  <c r="B202" i="4"/>
  <c r="A202" i="4"/>
  <c r="C201" i="4"/>
  <c r="B201" i="4"/>
  <c r="A201" i="4"/>
  <c r="C200" i="4"/>
  <c r="B200" i="4"/>
  <c r="A200" i="4"/>
  <c r="C199" i="4"/>
  <c r="B199" i="4"/>
  <c r="A199" i="4"/>
  <c r="C198" i="4"/>
  <c r="B198" i="4"/>
  <c r="A198" i="4"/>
  <c r="C197" i="4"/>
  <c r="B197" i="4"/>
  <c r="A197" i="4"/>
  <c r="C196" i="4"/>
  <c r="B196" i="4"/>
  <c r="A196" i="4"/>
  <c r="C195" i="4"/>
  <c r="B195" i="4"/>
  <c r="A195" i="4"/>
  <c r="C194" i="4"/>
  <c r="B194" i="4"/>
  <c r="A194" i="4"/>
  <c r="C193" i="4"/>
  <c r="B193" i="4"/>
  <c r="A193" i="4"/>
  <c r="C192" i="4"/>
  <c r="B192" i="4"/>
  <c r="A192" i="4"/>
  <c r="C191" i="4"/>
  <c r="B191" i="4"/>
  <c r="A191" i="4"/>
  <c r="C190" i="4"/>
  <c r="B190" i="4"/>
  <c r="A190" i="4"/>
  <c r="C189" i="4"/>
  <c r="B189" i="4"/>
  <c r="A189" i="4"/>
  <c r="C188" i="4"/>
  <c r="B188" i="4"/>
  <c r="A188" i="4"/>
  <c r="C187" i="4"/>
  <c r="B187" i="4"/>
  <c r="A187" i="4"/>
  <c r="C186" i="4"/>
  <c r="B186" i="4"/>
  <c r="A186" i="4"/>
  <c r="C185" i="4"/>
  <c r="B185" i="4"/>
  <c r="A185" i="4"/>
  <c r="C184" i="4"/>
  <c r="B184" i="4"/>
  <c r="A184" i="4"/>
  <c r="C183" i="4"/>
  <c r="B183" i="4"/>
  <c r="A183" i="4"/>
  <c r="C182" i="4"/>
  <c r="B182" i="4"/>
  <c r="A182" i="4"/>
  <c r="C181" i="4"/>
  <c r="B181" i="4"/>
  <c r="A181" i="4"/>
  <c r="C180" i="4"/>
  <c r="B180" i="4"/>
  <c r="A180" i="4"/>
  <c r="C179" i="4"/>
  <c r="B179" i="4"/>
  <c r="A179" i="4"/>
  <c r="C178" i="4"/>
  <c r="B178" i="4"/>
  <c r="A178" i="4"/>
  <c r="C177" i="4"/>
  <c r="B177" i="4"/>
  <c r="A177" i="4"/>
  <c r="C176" i="4"/>
  <c r="B176" i="4"/>
  <c r="A176" i="4"/>
  <c r="C175" i="4"/>
  <c r="B175" i="4"/>
  <c r="A175" i="4"/>
  <c r="C174" i="4"/>
  <c r="B174" i="4"/>
  <c r="A174" i="4"/>
  <c r="C173" i="4"/>
  <c r="B173" i="4"/>
  <c r="A173" i="4"/>
  <c r="C172" i="4"/>
  <c r="B172" i="4"/>
  <c r="A172" i="4"/>
  <c r="C171" i="4"/>
  <c r="B171" i="4"/>
  <c r="A171" i="4"/>
  <c r="C170" i="4"/>
  <c r="B170" i="4"/>
  <c r="A170" i="4"/>
  <c r="C169" i="4"/>
  <c r="B169" i="4"/>
  <c r="A169" i="4"/>
  <c r="C168" i="4"/>
  <c r="B168" i="4"/>
  <c r="A168" i="4"/>
  <c r="C167" i="4"/>
  <c r="B167" i="4"/>
  <c r="A167" i="4"/>
  <c r="C166" i="4"/>
  <c r="B166" i="4"/>
  <c r="A166" i="4"/>
  <c r="C165" i="4"/>
  <c r="B165" i="4"/>
  <c r="A165" i="4"/>
  <c r="C164" i="4"/>
  <c r="B164" i="4"/>
  <c r="A164" i="4"/>
  <c r="C163" i="4"/>
  <c r="B163" i="4"/>
  <c r="A163" i="4"/>
  <c r="C162" i="4"/>
  <c r="B162" i="4"/>
  <c r="A162" i="4"/>
  <c r="C161" i="4"/>
  <c r="B161" i="4"/>
  <c r="A161" i="4"/>
  <c r="C160" i="4"/>
  <c r="B160" i="4"/>
  <c r="A160" i="4"/>
  <c r="C159" i="4"/>
  <c r="B159" i="4"/>
  <c r="A159" i="4"/>
  <c r="C158" i="4"/>
  <c r="B158" i="4"/>
  <c r="A158" i="4"/>
  <c r="C157" i="4"/>
  <c r="B157" i="4"/>
  <c r="A157" i="4"/>
  <c r="C156" i="4"/>
  <c r="B156" i="4"/>
  <c r="A156" i="4"/>
  <c r="C155" i="4"/>
  <c r="B155" i="4"/>
  <c r="A155" i="4"/>
  <c r="C154" i="4"/>
  <c r="B154" i="4"/>
  <c r="A154" i="4"/>
  <c r="C153" i="4"/>
  <c r="B153" i="4"/>
  <c r="A153" i="4"/>
  <c r="C152" i="4"/>
  <c r="B152" i="4"/>
  <c r="A152" i="4"/>
  <c r="C151" i="4"/>
  <c r="B151" i="4"/>
  <c r="A151" i="4"/>
  <c r="C150" i="4"/>
  <c r="B150" i="4"/>
  <c r="A150" i="4"/>
  <c r="C149" i="4"/>
  <c r="B149" i="4"/>
  <c r="A149" i="4"/>
  <c r="C148" i="4"/>
  <c r="B148" i="4"/>
  <c r="A148" i="4"/>
  <c r="C147" i="4"/>
  <c r="B147" i="4"/>
  <c r="A147" i="4"/>
  <c r="C146" i="4"/>
  <c r="B146" i="4"/>
  <c r="A146" i="4"/>
  <c r="C145" i="4"/>
  <c r="B145" i="4"/>
  <c r="A145" i="4"/>
  <c r="C144" i="4"/>
  <c r="B144" i="4"/>
  <c r="A144" i="4"/>
  <c r="C143" i="4"/>
  <c r="B143" i="4"/>
  <c r="A143" i="4"/>
  <c r="C142" i="4"/>
  <c r="B142" i="4"/>
  <c r="A142" i="4"/>
  <c r="C141" i="4"/>
  <c r="B141" i="4"/>
  <c r="A141" i="4"/>
  <c r="C140" i="4"/>
  <c r="B140" i="4"/>
  <c r="A140" i="4"/>
  <c r="C139" i="4"/>
  <c r="B139" i="4"/>
  <c r="A139" i="4"/>
  <c r="C138" i="4"/>
  <c r="B138" i="4"/>
  <c r="A138" i="4"/>
  <c r="C137" i="4"/>
  <c r="B137" i="4"/>
  <c r="A137" i="4"/>
  <c r="C136" i="4"/>
  <c r="B136" i="4"/>
  <c r="A136" i="4"/>
  <c r="C135" i="4"/>
  <c r="B135" i="4"/>
  <c r="A135" i="4"/>
  <c r="C134" i="4"/>
  <c r="B134" i="4"/>
  <c r="A134" i="4"/>
  <c r="C133" i="4"/>
  <c r="B133" i="4"/>
  <c r="A133" i="4"/>
  <c r="C132" i="4"/>
  <c r="B132" i="4"/>
  <c r="A132" i="4"/>
  <c r="C131" i="4"/>
  <c r="B131" i="4"/>
  <c r="A131" i="4"/>
  <c r="C130" i="4"/>
  <c r="B130" i="4"/>
  <c r="A130" i="4"/>
  <c r="C129" i="4"/>
  <c r="B129" i="4"/>
  <c r="A129" i="4"/>
  <c r="C128" i="4"/>
  <c r="B128" i="4"/>
  <c r="A128" i="4"/>
  <c r="C127" i="4"/>
  <c r="B127" i="4"/>
  <c r="A127" i="4"/>
  <c r="C126" i="4"/>
  <c r="B126" i="4"/>
  <c r="A126" i="4"/>
  <c r="C125" i="4"/>
  <c r="B125" i="4"/>
  <c r="A125" i="4"/>
  <c r="C124" i="4"/>
  <c r="B124" i="4"/>
  <c r="A124" i="4"/>
  <c r="C123" i="4"/>
  <c r="B123" i="4"/>
  <c r="A123" i="4"/>
  <c r="C122" i="4"/>
  <c r="B122" i="4"/>
  <c r="A122" i="4"/>
  <c r="C121" i="4"/>
  <c r="B121" i="4"/>
  <c r="A121" i="4"/>
  <c r="C120" i="4"/>
  <c r="B120" i="4"/>
  <c r="A120" i="4"/>
  <c r="C119" i="4"/>
  <c r="B119" i="4"/>
  <c r="A119" i="4"/>
  <c r="C118" i="4"/>
  <c r="B118" i="4"/>
  <c r="A118" i="4"/>
  <c r="C117" i="4"/>
  <c r="B117" i="4"/>
  <c r="A117" i="4"/>
  <c r="C116" i="4"/>
  <c r="B116" i="4"/>
  <c r="A116" i="4"/>
  <c r="C115" i="4"/>
  <c r="B115" i="4"/>
  <c r="A115" i="4"/>
  <c r="C114" i="4"/>
  <c r="B114" i="4"/>
  <c r="A114" i="4"/>
  <c r="C113" i="4"/>
  <c r="B113" i="4"/>
  <c r="A113" i="4"/>
  <c r="C112" i="4"/>
  <c r="B112" i="4"/>
  <c r="A112" i="4"/>
  <c r="C111" i="4"/>
  <c r="B111" i="4"/>
  <c r="A111" i="4"/>
  <c r="C110" i="4"/>
  <c r="B110" i="4"/>
  <c r="A110" i="4"/>
  <c r="C109" i="4"/>
  <c r="B109" i="4"/>
  <c r="A109" i="4"/>
  <c r="C108" i="4"/>
  <c r="B108" i="4"/>
  <c r="A108" i="4"/>
  <c r="C107" i="4"/>
  <c r="B107" i="4"/>
  <c r="A107" i="4"/>
  <c r="C106" i="4"/>
  <c r="B106" i="4"/>
  <c r="A106" i="4"/>
  <c r="C105" i="4"/>
  <c r="B105" i="4"/>
  <c r="A105" i="4"/>
  <c r="C104" i="4"/>
  <c r="B104" i="4"/>
  <c r="A104" i="4"/>
  <c r="C103" i="4"/>
  <c r="B103" i="4"/>
  <c r="A103" i="4"/>
  <c r="C102" i="4"/>
  <c r="B102" i="4"/>
  <c r="A102" i="4"/>
  <c r="C101" i="4"/>
  <c r="B101" i="4"/>
  <c r="A101" i="4"/>
  <c r="C100" i="4"/>
  <c r="B100" i="4"/>
  <c r="A100" i="4"/>
  <c r="C99" i="4"/>
  <c r="B99" i="4"/>
  <c r="A99" i="4"/>
  <c r="C98" i="4"/>
  <c r="B98" i="4"/>
  <c r="A98" i="4"/>
  <c r="C97" i="4"/>
  <c r="B97" i="4"/>
  <c r="A97" i="4"/>
  <c r="C96" i="4"/>
  <c r="B96" i="4"/>
  <c r="A96" i="4"/>
  <c r="C95" i="4"/>
  <c r="B95" i="4"/>
  <c r="A95" i="4"/>
  <c r="C94" i="4"/>
  <c r="B94" i="4"/>
  <c r="A94" i="4"/>
  <c r="C93" i="4"/>
  <c r="B93" i="4"/>
  <c r="A93" i="4"/>
  <c r="C92" i="4"/>
  <c r="B92" i="4"/>
  <c r="A92" i="4"/>
  <c r="C91" i="4"/>
  <c r="B91" i="4"/>
  <c r="A91" i="4"/>
  <c r="C90" i="4"/>
  <c r="B90" i="4"/>
  <c r="A90" i="4"/>
  <c r="C89" i="4"/>
  <c r="B89" i="4"/>
  <c r="A89" i="4"/>
  <c r="C88" i="4"/>
  <c r="B88" i="4"/>
  <c r="A88" i="4"/>
  <c r="C87" i="4"/>
  <c r="B87" i="4"/>
  <c r="A87" i="4"/>
  <c r="C86" i="4"/>
  <c r="B86" i="4"/>
  <c r="A86" i="4"/>
  <c r="C85" i="4"/>
  <c r="B85" i="4"/>
  <c r="A85" i="4"/>
  <c r="C84" i="4"/>
  <c r="B84" i="4"/>
  <c r="A84" i="4"/>
  <c r="C83" i="4"/>
  <c r="B83" i="4"/>
  <c r="A83" i="4"/>
  <c r="C82" i="4"/>
  <c r="B82" i="4"/>
  <c r="A82" i="4"/>
  <c r="C81" i="4"/>
  <c r="B81" i="4"/>
  <c r="A81" i="4"/>
  <c r="C80" i="4"/>
  <c r="B80" i="4"/>
  <c r="A80" i="4"/>
  <c r="C79" i="4"/>
  <c r="B79" i="4"/>
  <c r="A79" i="4"/>
  <c r="C78" i="4"/>
  <c r="B78" i="4"/>
  <c r="A78" i="4"/>
  <c r="C77" i="4"/>
  <c r="B77" i="4"/>
  <c r="A77" i="4"/>
  <c r="C76" i="4"/>
  <c r="B76" i="4"/>
  <c r="A76" i="4"/>
  <c r="C75" i="4"/>
  <c r="B75" i="4"/>
  <c r="A75" i="4"/>
  <c r="C74" i="4"/>
  <c r="B74" i="4"/>
  <c r="A74" i="4"/>
  <c r="C73" i="4"/>
  <c r="B73" i="4"/>
  <c r="A73" i="4"/>
  <c r="C72" i="4"/>
  <c r="B72" i="4"/>
  <c r="A72" i="4"/>
  <c r="C71" i="4"/>
  <c r="B71" i="4"/>
  <c r="A71" i="4"/>
  <c r="C70" i="4"/>
  <c r="B70" i="4"/>
  <c r="A70" i="4"/>
  <c r="C69" i="4"/>
  <c r="B69" i="4"/>
  <c r="A69" i="4"/>
  <c r="C68" i="4"/>
  <c r="B68" i="4"/>
  <c r="A68" i="4"/>
  <c r="C67" i="4"/>
  <c r="B67" i="4"/>
  <c r="A67" i="4"/>
  <c r="C66" i="4"/>
  <c r="B66" i="4"/>
  <c r="A66" i="4"/>
  <c r="C65" i="4"/>
  <c r="B65" i="4"/>
  <c r="A65" i="4"/>
  <c r="C64" i="4"/>
  <c r="B64" i="4"/>
  <c r="A64" i="4"/>
  <c r="C63" i="4"/>
  <c r="B63" i="4"/>
  <c r="A63" i="4"/>
  <c r="C62" i="4"/>
  <c r="B62" i="4"/>
  <c r="A62" i="4"/>
  <c r="C61" i="4"/>
  <c r="B61" i="4"/>
  <c r="A61" i="4"/>
  <c r="C60" i="4"/>
  <c r="B60" i="4"/>
  <c r="A60" i="4"/>
  <c r="C59" i="4"/>
  <c r="B59" i="4"/>
  <c r="A59" i="4"/>
  <c r="C58" i="4"/>
  <c r="B58" i="4"/>
  <c r="A58" i="4"/>
  <c r="C57" i="4"/>
  <c r="B57" i="4"/>
  <c r="A57" i="4"/>
  <c r="C56" i="4"/>
  <c r="B56" i="4"/>
  <c r="A56" i="4"/>
  <c r="C55" i="4"/>
  <c r="B55" i="4"/>
  <c r="A55" i="4"/>
  <c r="C54" i="4"/>
  <c r="B54" i="4"/>
  <c r="A54" i="4"/>
  <c r="C53" i="4"/>
  <c r="B53" i="4"/>
  <c r="A53" i="4"/>
  <c r="C52" i="4"/>
  <c r="B52" i="4"/>
  <c r="A52" i="4"/>
  <c r="C51" i="4"/>
  <c r="B51" i="4"/>
  <c r="A51" i="4"/>
  <c r="C50" i="4"/>
  <c r="B50" i="4"/>
  <c r="A50" i="4"/>
  <c r="C49" i="4"/>
  <c r="B49" i="4"/>
  <c r="A49" i="4"/>
  <c r="C48" i="4"/>
  <c r="B48" i="4"/>
  <c r="A48" i="4"/>
  <c r="C47" i="4"/>
  <c r="B47" i="4"/>
  <c r="A47" i="4"/>
  <c r="C46" i="4"/>
  <c r="B46" i="4"/>
  <c r="A46" i="4"/>
  <c r="C45" i="4"/>
  <c r="B45" i="4"/>
  <c r="A45" i="4"/>
  <c r="C44" i="4"/>
  <c r="B44" i="4"/>
  <c r="A44" i="4"/>
  <c r="C43" i="4"/>
  <c r="B43" i="4"/>
  <c r="A43" i="4"/>
  <c r="C42" i="4"/>
  <c r="B42" i="4"/>
  <c r="A42" i="4"/>
  <c r="C41" i="4"/>
  <c r="B41" i="4"/>
  <c r="A41" i="4"/>
  <c r="C40" i="4"/>
  <c r="B40" i="4"/>
  <c r="A40" i="4"/>
  <c r="C39" i="4"/>
  <c r="B39" i="4"/>
  <c r="A39" i="4"/>
  <c r="C38" i="4"/>
  <c r="B38" i="4"/>
  <c r="A38" i="4"/>
  <c r="C37" i="4"/>
  <c r="B37" i="4"/>
  <c r="A37" i="4"/>
  <c r="C36" i="4"/>
  <c r="B36" i="4"/>
  <c r="A36" i="4"/>
  <c r="C35" i="4"/>
  <c r="B35" i="4"/>
  <c r="A35" i="4"/>
  <c r="C34" i="4"/>
  <c r="B34" i="4"/>
  <c r="A34" i="4"/>
  <c r="C33" i="4"/>
  <c r="B33" i="4"/>
  <c r="A33" i="4"/>
  <c r="C32" i="4"/>
  <c r="B32" i="4"/>
  <c r="A32" i="4"/>
  <c r="C31" i="4"/>
  <c r="B31" i="4"/>
  <c r="A31" i="4"/>
  <c r="C30" i="4"/>
  <c r="B30" i="4"/>
  <c r="A30" i="4"/>
  <c r="C29" i="4"/>
  <c r="B29" i="4"/>
  <c r="A29" i="4"/>
  <c r="C28" i="4"/>
  <c r="B28" i="4"/>
  <c r="A28" i="4"/>
  <c r="C27" i="4"/>
  <c r="B27" i="4"/>
  <c r="A27" i="4"/>
  <c r="C26" i="4"/>
  <c r="B26" i="4"/>
  <c r="A26" i="4"/>
  <c r="C25" i="4"/>
  <c r="B25" i="4"/>
  <c r="A25" i="4"/>
  <c r="C24" i="4"/>
  <c r="B24" i="4"/>
  <c r="A24" i="4"/>
  <c r="C23" i="4"/>
  <c r="B23" i="4"/>
  <c r="A23" i="4"/>
  <c r="C22" i="4"/>
  <c r="B22" i="4"/>
  <c r="A22" i="4"/>
  <c r="C21" i="4"/>
  <c r="B21" i="4"/>
  <c r="A21" i="4"/>
  <c r="C20" i="4"/>
  <c r="B20" i="4"/>
  <c r="A20" i="4"/>
  <c r="C19" i="4"/>
  <c r="B19" i="4"/>
  <c r="A19" i="4"/>
  <c r="C18" i="4"/>
  <c r="B18" i="4"/>
  <c r="A18" i="4"/>
  <c r="C17" i="4"/>
  <c r="B17" i="4"/>
  <c r="A17" i="4"/>
  <c r="C16" i="4"/>
  <c r="B16" i="4"/>
  <c r="A16" i="4"/>
  <c r="C15" i="4"/>
  <c r="B15" i="4"/>
  <c r="A15" i="4"/>
  <c r="C14" i="4"/>
  <c r="B14" i="4"/>
  <c r="A14" i="4"/>
  <c r="C13" i="4"/>
  <c r="B13" i="4"/>
  <c r="A13" i="4"/>
  <c r="C12" i="4"/>
  <c r="B12" i="4"/>
  <c r="A12" i="4"/>
  <c r="C11" i="4"/>
  <c r="B11" i="4"/>
  <c r="A11" i="4"/>
  <c r="C10" i="4"/>
  <c r="B10" i="4"/>
  <c r="A10" i="4"/>
  <c r="C9" i="4"/>
  <c r="B9" i="4"/>
  <c r="A9" i="4"/>
  <c r="C8" i="4"/>
  <c r="B8" i="4"/>
  <c r="A8" i="4"/>
  <c r="C7" i="4"/>
  <c r="B7" i="4"/>
  <c r="A7" i="4"/>
  <c r="C6" i="4"/>
  <c r="B6" i="4"/>
  <c r="A6" i="4"/>
  <c r="C5" i="4"/>
  <c r="B5" i="4"/>
  <c r="A5" i="4"/>
  <c r="C4" i="4"/>
  <c r="B4" i="4"/>
  <c r="A4" i="4"/>
  <c r="C3" i="4"/>
  <c r="B3" i="4"/>
  <c r="A3" i="4"/>
  <c r="C2" i="4"/>
  <c r="B2" i="4"/>
  <c r="A2" i="4"/>
  <c r="B4" i="2"/>
  <c r="C4" i="2"/>
  <c r="B5" i="2"/>
  <c r="C5" i="2"/>
  <c r="B6" i="2"/>
  <c r="C6" i="2"/>
  <c r="B7" i="2"/>
  <c r="C7" i="2"/>
  <c r="B8" i="2"/>
  <c r="C8" i="2"/>
  <c r="B9" i="2"/>
  <c r="C9" i="2"/>
  <c r="B10" i="2"/>
  <c r="C10" i="2"/>
  <c r="B11" i="2"/>
  <c r="C11" i="2"/>
  <c r="B12" i="2"/>
  <c r="C12" i="2"/>
  <c r="B13" i="2"/>
  <c r="C13" i="2"/>
  <c r="B14" i="2"/>
  <c r="C14" i="2"/>
  <c r="B15" i="2"/>
  <c r="C15" i="2"/>
  <c r="B16" i="2"/>
  <c r="C16" i="2"/>
  <c r="B17" i="2"/>
  <c r="C17" i="2"/>
  <c r="B18" i="2"/>
  <c r="C18" i="2"/>
  <c r="B19" i="2"/>
  <c r="C19" i="2"/>
  <c r="B20" i="2"/>
  <c r="C20" i="2"/>
  <c r="B21" i="2"/>
  <c r="C21" i="2"/>
  <c r="B22" i="2"/>
  <c r="C22" i="2"/>
  <c r="B23" i="2"/>
  <c r="D23" i="2" s="1"/>
  <c r="C23" i="2"/>
  <c r="B24" i="2"/>
  <c r="C24" i="2"/>
  <c r="B25" i="2"/>
  <c r="C25" i="2"/>
  <c r="B26" i="2"/>
  <c r="C26" i="2"/>
  <c r="B27" i="2"/>
  <c r="C27" i="2"/>
  <c r="B28" i="2"/>
  <c r="C28" i="2"/>
  <c r="B29" i="2"/>
  <c r="C29" i="2"/>
  <c r="B30" i="2"/>
  <c r="C30" i="2"/>
  <c r="B31" i="2"/>
  <c r="C31" i="2"/>
  <c r="B32" i="2"/>
  <c r="C32" i="2"/>
  <c r="B33" i="2"/>
  <c r="C33" i="2"/>
  <c r="B34" i="2"/>
  <c r="C34" i="2"/>
  <c r="B35" i="2"/>
  <c r="C35" i="2"/>
  <c r="B36" i="2"/>
  <c r="C36" i="2"/>
  <c r="B37" i="2"/>
  <c r="C37" i="2"/>
  <c r="B38" i="2"/>
  <c r="C38" i="2"/>
  <c r="B39" i="2"/>
  <c r="C39" i="2"/>
  <c r="B40" i="2"/>
  <c r="C40" i="2"/>
  <c r="B41" i="2"/>
  <c r="C41" i="2"/>
  <c r="B42" i="2"/>
  <c r="C42" i="2"/>
  <c r="B43" i="2"/>
  <c r="C43" i="2"/>
  <c r="D43" i="2" s="1"/>
  <c r="B44" i="2"/>
  <c r="C44" i="2"/>
  <c r="B45" i="2"/>
  <c r="C45" i="2"/>
  <c r="B46" i="2"/>
  <c r="C46" i="2"/>
  <c r="B47" i="2"/>
  <c r="C47" i="2"/>
  <c r="B48" i="2"/>
  <c r="C48" i="2"/>
  <c r="B49" i="2"/>
  <c r="C49" i="2"/>
  <c r="B50" i="2"/>
  <c r="C50" i="2"/>
  <c r="B51" i="2"/>
  <c r="C51" i="2"/>
  <c r="B52" i="2"/>
  <c r="C52" i="2"/>
  <c r="B53" i="2"/>
  <c r="C53" i="2"/>
  <c r="B54" i="2"/>
  <c r="C54" i="2"/>
  <c r="B55" i="2"/>
  <c r="C55" i="2"/>
  <c r="B56" i="2"/>
  <c r="C56" i="2"/>
  <c r="B57" i="2"/>
  <c r="C57" i="2"/>
  <c r="B58" i="2"/>
  <c r="C58" i="2"/>
  <c r="B59" i="2"/>
  <c r="C59" i="2"/>
  <c r="B60" i="2"/>
  <c r="C60" i="2"/>
  <c r="B61" i="2"/>
  <c r="C61" i="2"/>
  <c r="B62" i="2"/>
  <c r="C62" i="2"/>
  <c r="B63" i="2"/>
  <c r="C63" i="2"/>
  <c r="B64" i="2"/>
  <c r="C64" i="2"/>
  <c r="B65" i="2"/>
  <c r="C65" i="2"/>
  <c r="B66" i="2"/>
  <c r="C66" i="2"/>
  <c r="B67" i="2"/>
  <c r="C67" i="2"/>
  <c r="B68" i="2"/>
  <c r="C68" i="2"/>
  <c r="B69" i="2"/>
  <c r="C69" i="2"/>
  <c r="B70" i="2"/>
  <c r="C70" i="2"/>
  <c r="B71" i="2"/>
  <c r="C71" i="2"/>
  <c r="B72" i="2"/>
  <c r="C72" i="2"/>
  <c r="B73" i="2"/>
  <c r="C73" i="2"/>
  <c r="B74" i="2"/>
  <c r="C74" i="2"/>
  <c r="B75" i="2"/>
  <c r="C75" i="2"/>
  <c r="B76" i="2"/>
  <c r="C76" i="2"/>
  <c r="B77" i="2"/>
  <c r="C77" i="2"/>
  <c r="B78" i="2"/>
  <c r="C78" i="2"/>
  <c r="B79" i="2"/>
  <c r="C79" i="2"/>
  <c r="B80" i="2"/>
  <c r="C80" i="2"/>
  <c r="B81" i="2"/>
  <c r="C81" i="2"/>
  <c r="B82" i="2"/>
  <c r="C82" i="2"/>
  <c r="B83" i="2"/>
  <c r="C83" i="2"/>
  <c r="B84" i="2"/>
  <c r="C84" i="2"/>
  <c r="B85" i="2"/>
  <c r="C85" i="2"/>
  <c r="B86" i="2"/>
  <c r="C86" i="2"/>
  <c r="B87" i="2"/>
  <c r="C87" i="2"/>
  <c r="D87" i="2" s="1"/>
  <c r="B88" i="2"/>
  <c r="C88" i="2"/>
  <c r="B89" i="2"/>
  <c r="C89" i="2"/>
  <c r="B90" i="2"/>
  <c r="C90" i="2"/>
  <c r="B91" i="2"/>
  <c r="C91" i="2"/>
  <c r="B92" i="2"/>
  <c r="C92" i="2"/>
  <c r="B93" i="2"/>
  <c r="C93" i="2"/>
  <c r="B94" i="2"/>
  <c r="C94" i="2"/>
  <c r="B95" i="2"/>
  <c r="C95" i="2"/>
  <c r="B96" i="2"/>
  <c r="C96" i="2"/>
  <c r="B97" i="2"/>
  <c r="C97" i="2"/>
  <c r="B98" i="2"/>
  <c r="C98" i="2"/>
  <c r="B99" i="2"/>
  <c r="C99" i="2"/>
  <c r="B100" i="2"/>
  <c r="C100" i="2"/>
  <c r="B101" i="2"/>
  <c r="C101" i="2"/>
  <c r="B102" i="2"/>
  <c r="C102" i="2"/>
  <c r="D102" i="2" s="1"/>
  <c r="B103" i="2"/>
  <c r="C103" i="2"/>
  <c r="D103" i="2" s="1"/>
  <c r="B104" i="2"/>
  <c r="C104" i="2"/>
  <c r="B105" i="2"/>
  <c r="C105" i="2"/>
  <c r="B106" i="2"/>
  <c r="C106" i="2"/>
  <c r="B107" i="2"/>
  <c r="C107" i="2"/>
  <c r="B108" i="2"/>
  <c r="C108" i="2"/>
  <c r="B109" i="2"/>
  <c r="C109" i="2"/>
  <c r="B110" i="2"/>
  <c r="C110" i="2"/>
  <c r="B111" i="2"/>
  <c r="C111" i="2"/>
  <c r="B112" i="2"/>
  <c r="C112" i="2"/>
  <c r="B113" i="2"/>
  <c r="C113" i="2"/>
  <c r="B114" i="2"/>
  <c r="C114" i="2"/>
  <c r="B115" i="2"/>
  <c r="C115" i="2"/>
  <c r="B116" i="2"/>
  <c r="C116" i="2"/>
  <c r="B117" i="2"/>
  <c r="C117" i="2"/>
  <c r="B118" i="2"/>
  <c r="C118" i="2"/>
  <c r="B119" i="2"/>
  <c r="C119" i="2"/>
  <c r="B120" i="2"/>
  <c r="C120" i="2"/>
  <c r="B121" i="2"/>
  <c r="C121" i="2"/>
  <c r="B122" i="2"/>
  <c r="C122" i="2"/>
  <c r="B123" i="2"/>
  <c r="C123" i="2"/>
  <c r="B124" i="2"/>
  <c r="C124" i="2"/>
  <c r="B125" i="2"/>
  <c r="C125" i="2"/>
  <c r="B126" i="2"/>
  <c r="C126" i="2"/>
  <c r="B127" i="2"/>
  <c r="C127" i="2"/>
  <c r="B128" i="2"/>
  <c r="C128" i="2"/>
  <c r="B129" i="2"/>
  <c r="C129" i="2"/>
  <c r="B130" i="2"/>
  <c r="C130" i="2"/>
  <c r="B131" i="2"/>
  <c r="C131" i="2"/>
  <c r="B132" i="2"/>
  <c r="C132" i="2"/>
  <c r="B133" i="2"/>
  <c r="C133" i="2"/>
  <c r="B134" i="2"/>
  <c r="C134" i="2"/>
  <c r="B135" i="2"/>
  <c r="C135" i="2"/>
  <c r="B136" i="2"/>
  <c r="C136" i="2"/>
  <c r="B137" i="2"/>
  <c r="C137" i="2"/>
  <c r="B138" i="2"/>
  <c r="C138" i="2"/>
  <c r="B139" i="2"/>
  <c r="C139" i="2"/>
  <c r="B140" i="2"/>
  <c r="C140" i="2"/>
  <c r="B141" i="2"/>
  <c r="C141" i="2"/>
  <c r="B142" i="2"/>
  <c r="C142" i="2"/>
  <c r="B143" i="2"/>
  <c r="C143" i="2"/>
  <c r="B144" i="2"/>
  <c r="C144" i="2"/>
  <c r="B145" i="2"/>
  <c r="C145" i="2"/>
  <c r="B146" i="2"/>
  <c r="C146" i="2"/>
  <c r="B147" i="2"/>
  <c r="C147" i="2"/>
  <c r="B148" i="2"/>
  <c r="C148" i="2"/>
  <c r="B149" i="2"/>
  <c r="C149" i="2"/>
  <c r="B150" i="2"/>
  <c r="C150" i="2"/>
  <c r="B151" i="2"/>
  <c r="C151" i="2"/>
  <c r="B152" i="2"/>
  <c r="C152" i="2"/>
  <c r="B153" i="2"/>
  <c r="C153" i="2"/>
  <c r="B154" i="2"/>
  <c r="D154" i="2" s="1"/>
  <c r="C154" i="2"/>
  <c r="B155" i="2"/>
  <c r="C155" i="2"/>
  <c r="B156" i="2"/>
  <c r="C156" i="2"/>
  <c r="B157" i="2"/>
  <c r="C157" i="2"/>
  <c r="B158" i="2"/>
  <c r="C158" i="2"/>
  <c r="B159" i="2"/>
  <c r="C159" i="2"/>
  <c r="B160" i="2"/>
  <c r="C160" i="2"/>
  <c r="B161" i="2"/>
  <c r="C161" i="2"/>
  <c r="B162" i="2"/>
  <c r="C162" i="2"/>
  <c r="B163" i="2"/>
  <c r="C163" i="2"/>
  <c r="B164" i="2"/>
  <c r="C164" i="2"/>
  <c r="B165" i="2"/>
  <c r="C165" i="2"/>
  <c r="B166" i="2"/>
  <c r="C166" i="2"/>
  <c r="B167" i="2"/>
  <c r="C167" i="2"/>
  <c r="B168" i="2"/>
  <c r="C168" i="2"/>
  <c r="B169" i="2"/>
  <c r="C169" i="2"/>
  <c r="B170" i="2"/>
  <c r="C170" i="2"/>
  <c r="B171" i="2"/>
  <c r="C171" i="2"/>
  <c r="B172" i="2"/>
  <c r="C172" i="2"/>
  <c r="B173" i="2"/>
  <c r="C173" i="2"/>
  <c r="B174" i="2"/>
  <c r="C174" i="2"/>
  <c r="B175" i="2"/>
  <c r="C175" i="2"/>
  <c r="B176" i="2"/>
  <c r="C176" i="2"/>
  <c r="B177" i="2"/>
  <c r="C177" i="2"/>
  <c r="B178" i="2"/>
  <c r="C178" i="2"/>
  <c r="B179" i="2"/>
  <c r="C179" i="2"/>
  <c r="B180" i="2"/>
  <c r="C180" i="2"/>
  <c r="B181" i="2"/>
  <c r="C181" i="2"/>
  <c r="B182" i="2"/>
  <c r="C182" i="2"/>
  <c r="B183" i="2"/>
  <c r="C183" i="2"/>
  <c r="B184" i="2"/>
  <c r="C184" i="2"/>
  <c r="B185" i="2"/>
  <c r="C185" i="2"/>
  <c r="B186" i="2"/>
  <c r="C186" i="2"/>
  <c r="B187" i="2"/>
  <c r="C187" i="2"/>
  <c r="B188" i="2"/>
  <c r="C188" i="2"/>
  <c r="B189" i="2"/>
  <c r="C189" i="2"/>
  <c r="B190" i="2"/>
  <c r="C190" i="2"/>
  <c r="B191" i="2"/>
  <c r="C191" i="2"/>
  <c r="B192" i="2"/>
  <c r="C192" i="2"/>
  <c r="B193" i="2"/>
  <c r="C193" i="2"/>
  <c r="B194" i="2"/>
  <c r="C194" i="2"/>
  <c r="B195" i="2"/>
  <c r="C195" i="2"/>
  <c r="B196" i="2"/>
  <c r="C196" i="2"/>
  <c r="B197" i="2"/>
  <c r="C197" i="2"/>
  <c r="B198" i="2"/>
  <c r="C198" i="2"/>
  <c r="B199" i="2"/>
  <c r="C199" i="2"/>
  <c r="B200" i="2"/>
  <c r="C200" i="2"/>
  <c r="B201" i="2"/>
  <c r="C201" i="2"/>
  <c r="B202" i="2"/>
  <c r="C202" i="2"/>
  <c r="B203" i="2"/>
  <c r="C203" i="2"/>
  <c r="B204" i="2"/>
  <c r="C204" i="2"/>
  <c r="B205" i="2"/>
  <c r="C205" i="2"/>
  <c r="B206" i="2"/>
  <c r="C206" i="2"/>
  <c r="B207" i="2"/>
  <c r="C207" i="2"/>
  <c r="B208" i="2"/>
  <c r="C208" i="2"/>
  <c r="B209" i="2"/>
  <c r="C209" i="2"/>
  <c r="B210" i="2"/>
  <c r="C210" i="2"/>
  <c r="B211" i="2"/>
  <c r="C211" i="2"/>
  <c r="B212" i="2"/>
  <c r="C212" i="2"/>
  <c r="B213" i="2"/>
  <c r="C213" i="2"/>
  <c r="B214" i="2"/>
  <c r="C214" i="2"/>
  <c r="B215" i="2"/>
  <c r="C215" i="2"/>
  <c r="B216" i="2"/>
  <c r="C216" i="2"/>
  <c r="B217" i="2"/>
  <c r="C217" i="2"/>
  <c r="B218" i="2"/>
  <c r="C218" i="2"/>
  <c r="B219" i="2"/>
  <c r="C219" i="2"/>
  <c r="B220" i="2"/>
  <c r="C220" i="2"/>
  <c r="B221" i="2"/>
  <c r="C221" i="2"/>
  <c r="B222" i="2"/>
  <c r="C222" i="2"/>
  <c r="B223" i="2"/>
  <c r="C223" i="2"/>
  <c r="B224" i="2"/>
  <c r="C224" i="2"/>
  <c r="B225" i="2"/>
  <c r="C225" i="2"/>
  <c r="B226" i="2"/>
  <c r="C226" i="2"/>
  <c r="B227" i="2"/>
  <c r="C227" i="2"/>
  <c r="B228" i="2"/>
  <c r="C228" i="2"/>
  <c r="B229" i="2"/>
  <c r="C229" i="2"/>
  <c r="B230" i="2"/>
  <c r="C230" i="2"/>
  <c r="B231" i="2"/>
  <c r="C231" i="2"/>
  <c r="B232" i="2"/>
  <c r="C232" i="2"/>
  <c r="B233" i="2"/>
  <c r="C233" i="2"/>
  <c r="B234" i="2"/>
  <c r="C234" i="2"/>
  <c r="B235" i="2"/>
  <c r="C235" i="2"/>
  <c r="B236" i="2"/>
  <c r="C236" i="2"/>
  <c r="B237" i="2"/>
  <c r="C237" i="2"/>
  <c r="B238" i="2"/>
  <c r="C238" i="2"/>
  <c r="B239" i="2"/>
  <c r="C239" i="2"/>
  <c r="B240" i="2"/>
  <c r="C240" i="2"/>
  <c r="B241" i="2"/>
  <c r="C241" i="2"/>
  <c r="B242" i="2"/>
  <c r="C242" i="2"/>
  <c r="B243" i="2"/>
  <c r="C243" i="2"/>
  <c r="B244" i="2"/>
  <c r="C244" i="2"/>
  <c r="B245" i="2"/>
  <c r="C245" i="2"/>
  <c r="B246" i="2"/>
  <c r="C246" i="2"/>
  <c r="B247" i="2"/>
  <c r="C247" i="2"/>
  <c r="D247" i="2" s="1"/>
  <c r="B248" i="2"/>
  <c r="C248" i="2"/>
  <c r="B249" i="2"/>
  <c r="D249" i="2" s="1"/>
  <c r="C249" i="2"/>
  <c r="B250" i="2"/>
  <c r="C250" i="2"/>
  <c r="B251" i="2"/>
  <c r="C251" i="2"/>
  <c r="B252" i="2"/>
  <c r="C252" i="2"/>
  <c r="B253" i="2"/>
  <c r="C253" i="2"/>
  <c r="B254" i="2"/>
  <c r="C254" i="2"/>
  <c r="B255" i="2"/>
  <c r="C255" i="2"/>
  <c r="B256" i="2"/>
  <c r="C256" i="2"/>
  <c r="D256" i="2" s="1"/>
  <c r="B257" i="2"/>
  <c r="C257" i="2"/>
  <c r="B258" i="2"/>
  <c r="C258" i="2"/>
  <c r="B259" i="2"/>
  <c r="C259" i="2"/>
  <c r="B260" i="2"/>
  <c r="C260" i="2"/>
  <c r="B261" i="2"/>
  <c r="C261" i="2"/>
  <c r="B262" i="2"/>
  <c r="C262" i="2"/>
  <c r="B263" i="2"/>
  <c r="C263" i="2"/>
  <c r="B264" i="2"/>
  <c r="C264" i="2"/>
  <c r="B265" i="2"/>
  <c r="C265" i="2"/>
  <c r="B266" i="2"/>
  <c r="C266" i="2"/>
  <c r="B267" i="2"/>
  <c r="C267" i="2"/>
  <c r="B268" i="2"/>
  <c r="C268" i="2"/>
  <c r="B269" i="2"/>
  <c r="C269" i="2"/>
  <c r="B270" i="2"/>
  <c r="C270" i="2"/>
  <c r="B271" i="2"/>
  <c r="C271" i="2"/>
  <c r="B272" i="2"/>
  <c r="C272" i="2"/>
  <c r="B273" i="2"/>
  <c r="C273" i="2"/>
  <c r="B274" i="2"/>
  <c r="C274" i="2"/>
  <c r="B275" i="2"/>
  <c r="C275" i="2"/>
  <c r="B276" i="2"/>
  <c r="C276" i="2"/>
  <c r="B277" i="2"/>
  <c r="C277" i="2"/>
  <c r="B278" i="2"/>
  <c r="C278" i="2"/>
  <c r="B279" i="2"/>
  <c r="C279" i="2"/>
  <c r="B280" i="2"/>
  <c r="C280" i="2"/>
  <c r="B281" i="2"/>
  <c r="C281" i="2"/>
  <c r="B282" i="2"/>
  <c r="C282" i="2"/>
  <c r="B283" i="2"/>
  <c r="C283" i="2"/>
  <c r="B284" i="2"/>
  <c r="C284" i="2"/>
  <c r="B285" i="2"/>
  <c r="C285" i="2"/>
  <c r="B286" i="2"/>
  <c r="C286" i="2"/>
  <c r="B287" i="2"/>
  <c r="C287" i="2"/>
  <c r="B288" i="2"/>
  <c r="C288" i="2"/>
  <c r="B289" i="2"/>
  <c r="C289" i="2"/>
  <c r="B290" i="2"/>
  <c r="C290" i="2"/>
  <c r="B291" i="2"/>
  <c r="C291" i="2"/>
  <c r="B292" i="2"/>
  <c r="C292" i="2"/>
  <c r="B293" i="2"/>
  <c r="C293" i="2"/>
  <c r="B294" i="2"/>
  <c r="C294" i="2"/>
  <c r="B295" i="2"/>
  <c r="C295" i="2"/>
  <c r="B296" i="2"/>
  <c r="C296" i="2"/>
  <c r="B297" i="2"/>
  <c r="C297" i="2"/>
  <c r="B298" i="2"/>
  <c r="C298" i="2"/>
  <c r="B299" i="2"/>
  <c r="C299" i="2"/>
  <c r="B300" i="2"/>
  <c r="C300" i="2"/>
  <c r="B301" i="2"/>
  <c r="C301" i="2"/>
  <c r="B302" i="2"/>
  <c r="C302" i="2"/>
  <c r="B303" i="2"/>
  <c r="C303" i="2"/>
  <c r="B304" i="2"/>
  <c r="C304" i="2"/>
  <c r="B305" i="2"/>
  <c r="C305" i="2"/>
  <c r="B306" i="2"/>
  <c r="C306" i="2"/>
  <c r="B307" i="2"/>
  <c r="C307" i="2"/>
  <c r="B308" i="2"/>
  <c r="C308" i="2"/>
  <c r="B309" i="2"/>
  <c r="C309" i="2"/>
  <c r="B310" i="2"/>
  <c r="C310" i="2"/>
  <c r="B311" i="2"/>
  <c r="C311" i="2"/>
  <c r="B312" i="2"/>
  <c r="C312" i="2"/>
  <c r="B313" i="2"/>
  <c r="C313" i="2"/>
  <c r="B314" i="2"/>
  <c r="C314" i="2"/>
  <c r="B315" i="2"/>
  <c r="C315" i="2"/>
  <c r="B316" i="2"/>
  <c r="C316" i="2"/>
  <c r="B317" i="2"/>
  <c r="C317" i="2"/>
  <c r="B318" i="2"/>
  <c r="C318" i="2"/>
  <c r="B319" i="2"/>
  <c r="C319" i="2"/>
  <c r="B320" i="2"/>
  <c r="C320" i="2"/>
  <c r="B321" i="2"/>
  <c r="C321" i="2"/>
  <c r="B322" i="2"/>
  <c r="C322" i="2"/>
  <c r="B323" i="2"/>
  <c r="C323" i="2"/>
  <c r="B324" i="2"/>
  <c r="C324" i="2"/>
  <c r="B325" i="2"/>
  <c r="C325" i="2"/>
  <c r="B326" i="2"/>
  <c r="C326" i="2"/>
  <c r="B327" i="2"/>
  <c r="C327" i="2"/>
  <c r="B328" i="2"/>
  <c r="C328" i="2"/>
  <c r="B329" i="2"/>
  <c r="C329" i="2"/>
  <c r="B330" i="2"/>
  <c r="C330" i="2"/>
  <c r="B331" i="2"/>
  <c r="C331" i="2"/>
  <c r="B332" i="2"/>
  <c r="C332" i="2"/>
  <c r="B333" i="2"/>
  <c r="C333" i="2"/>
  <c r="B334" i="2"/>
  <c r="C334" i="2"/>
  <c r="B335" i="2"/>
  <c r="C335" i="2"/>
  <c r="B336" i="2"/>
  <c r="C336" i="2"/>
  <c r="B337" i="2"/>
  <c r="C337" i="2"/>
  <c r="B338" i="2"/>
  <c r="C338" i="2"/>
  <c r="B339" i="2"/>
  <c r="C339" i="2"/>
  <c r="B340" i="2"/>
  <c r="C340" i="2"/>
  <c r="B341" i="2"/>
  <c r="C341" i="2"/>
  <c r="B342" i="2"/>
  <c r="C342" i="2"/>
  <c r="B343" i="2"/>
  <c r="C343" i="2"/>
  <c r="B344" i="2"/>
  <c r="C344" i="2"/>
  <c r="B345" i="2"/>
  <c r="C345" i="2"/>
  <c r="B346" i="2"/>
  <c r="C346" i="2"/>
  <c r="B347" i="2"/>
  <c r="C347" i="2"/>
  <c r="B348" i="2"/>
  <c r="C348" i="2"/>
  <c r="B349" i="2"/>
  <c r="C349" i="2"/>
  <c r="B350" i="2"/>
  <c r="C350" i="2"/>
  <c r="B351" i="2"/>
  <c r="C351" i="2"/>
  <c r="B352" i="2"/>
  <c r="C352" i="2"/>
  <c r="B353" i="2"/>
  <c r="C353" i="2"/>
  <c r="B354" i="2"/>
  <c r="C354" i="2"/>
  <c r="B355" i="2"/>
  <c r="C355" i="2"/>
  <c r="B356" i="2"/>
  <c r="C356" i="2"/>
  <c r="B357" i="2"/>
  <c r="C357" i="2"/>
  <c r="B358" i="2"/>
  <c r="C358" i="2"/>
  <c r="B359" i="2"/>
  <c r="C359" i="2"/>
  <c r="B360" i="2"/>
  <c r="C360" i="2"/>
  <c r="B361" i="2"/>
  <c r="C361" i="2"/>
  <c r="B362" i="2"/>
  <c r="C362" i="2"/>
  <c r="B363" i="2"/>
  <c r="C363" i="2"/>
  <c r="B364" i="2"/>
  <c r="C364" i="2"/>
  <c r="B365" i="2"/>
  <c r="C365" i="2"/>
  <c r="B366" i="2"/>
  <c r="D366" i="2" s="1"/>
  <c r="C366" i="2"/>
  <c r="B367" i="2"/>
  <c r="C367" i="2"/>
  <c r="B368" i="2"/>
  <c r="C368" i="2"/>
  <c r="B369" i="2"/>
  <c r="C369" i="2"/>
  <c r="B370" i="2"/>
  <c r="C370" i="2"/>
  <c r="B371" i="2"/>
  <c r="C371" i="2"/>
  <c r="B372" i="2"/>
  <c r="C372" i="2"/>
  <c r="B373" i="2"/>
  <c r="C373" i="2"/>
  <c r="B374" i="2"/>
  <c r="C374" i="2"/>
  <c r="B375" i="2"/>
  <c r="C375" i="2"/>
  <c r="B376" i="2"/>
  <c r="C376" i="2"/>
  <c r="D376" i="2" s="1"/>
  <c r="B377" i="2"/>
  <c r="C377" i="2"/>
  <c r="B378" i="2"/>
  <c r="C378" i="2"/>
  <c r="B379" i="2"/>
  <c r="C379" i="2"/>
  <c r="B380" i="2"/>
  <c r="C380" i="2"/>
  <c r="B381" i="2"/>
  <c r="C381" i="2"/>
  <c r="B382" i="2"/>
  <c r="D382" i="2" s="1"/>
  <c r="C382" i="2"/>
  <c r="B383" i="2"/>
  <c r="C383" i="2"/>
  <c r="B384" i="2"/>
  <c r="C384" i="2"/>
  <c r="B385" i="2"/>
  <c r="C385" i="2"/>
  <c r="B386" i="2"/>
  <c r="C386" i="2"/>
  <c r="B387" i="2"/>
  <c r="C387" i="2"/>
  <c r="B388" i="2"/>
  <c r="C388" i="2"/>
  <c r="B389" i="2"/>
  <c r="C389" i="2"/>
  <c r="B390" i="2"/>
  <c r="C390" i="2"/>
  <c r="B391" i="2"/>
  <c r="C391" i="2"/>
  <c r="B392" i="2"/>
  <c r="C392" i="2"/>
  <c r="B393" i="2"/>
  <c r="C393" i="2"/>
  <c r="B394" i="2"/>
  <c r="C394" i="2"/>
  <c r="B395" i="2"/>
  <c r="C395" i="2"/>
  <c r="B396" i="2"/>
  <c r="C396" i="2"/>
  <c r="B397" i="2"/>
  <c r="C397" i="2"/>
  <c r="B398" i="2"/>
  <c r="C398" i="2"/>
  <c r="B399" i="2"/>
  <c r="C399" i="2"/>
  <c r="B400" i="2"/>
  <c r="C400" i="2"/>
  <c r="B401" i="2"/>
  <c r="C401" i="2"/>
  <c r="B402" i="2"/>
  <c r="D402" i="2" s="1"/>
  <c r="C402" i="2"/>
  <c r="B403" i="2"/>
  <c r="C403" i="2"/>
  <c r="B404" i="2"/>
  <c r="C404" i="2"/>
  <c r="B405" i="2"/>
  <c r="C405" i="2"/>
  <c r="B406" i="2"/>
  <c r="C406" i="2"/>
  <c r="B407" i="2"/>
  <c r="C407" i="2"/>
  <c r="B408" i="2"/>
  <c r="C408" i="2"/>
  <c r="B409" i="2"/>
  <c r="C409" i="2"/>
  <c r="B410" i="2"/>
  <c r="C410" i="2"/>
  <c r="B411" i="2"/>
  <c r="C411" i="2"/>
  <c r="B412" i="2"/>
  <c r="C412" i="2"/>
  <c r="B413" i="2"/>
  <c r="C413" i="2"/>
  <c r="B414" i="2"/>
  <c r="C414" i="2"/>
  <c r="B415" i="2"/>
  <c r="C415" i="2"/>
  <c r="B416" i="2"/>
  <c r="C416" i="2"/>
  <c r="B417" i="2"/>
  <c r="C417" i="2"/>
  <c r="B418" i="2"/>
  <c r="C418" i="2"/>
  <c r="B419" i="2"/>
  <c r="C419" i="2"/>
  <c r="B420" i="2"/>
  <c r="C420" i="2"/>
  <c r="B421" i="2"/>
  <c r="C421" i="2"/>
  <c r="B422" i="2"/>
  <c r="D422" i="2" s="1"/>
  <c r="C422" i="2"/>
  <c r="B423" i="2"/>
  <c r="C423" i="2"/>
  <c r="B424" i="2"/>
  <c r="C424" i="2"/>
  <c r="B425" i="2"/>
  <c r="C425" i="2"/>
  <c r="B426" i="2"/>
  <c r="C426" i="2"/>
  <c r="B427" i="2"/>
  <c r="C427" i="2"/>
  <c r="B428" i="2"/>
  <c r="C428" i="2"/>
  <c r="B429" i="2"/>
  <c r="C429" i="2"/>
  <c r="B430" i="2"/>
  <c r="C430" i="2"/>
  <c r="B431" i="2"/>
  <c r="C431" i="2"/>
  <c r="B432" i="2"/>
  <c r="C432" i="2"/>
  <c r="B433" i="2"/>
  <c r="C433" i="2"/>
  <c r="B434" i="2"/>
  <c r="C434" i="2"/>
  <c r="B435" i="2"/>
  <c r="C435" i="2"/>
  <c r="B436" i="2"/>
  <c r="C436" i="2"/>
  <c r="B437" i="2"/>
  <c r="C437" i="2"/>
  <c r="B438" i="2"/>
  <c r="C438" i="2"/>
  <c r="B439" i="2"/>
  <c r="C439" i="2"/>
  <c r="B440" i="2"/>
  <c r="C440" i="2"/>
  <c r="B441" i="2"/>
  <c r="C441" i="2"/>
  <c r="B442" i="2"/>
  <c r="D442" i="2" s="1"/>
  <c r="C442" i="2"/>
  <c r="B443" i="2"/>
  <c r="C443" i="2"/>
  <c r="B444" i="2"/>
  <c r="C444" i="2"/>
  <c r="B445" i="2"/>
  <c r="C445" i="2"/>
  <c r="B446" i="2"/>
  <c r="C446" i="2"/>
  <c r="B447" i="2"/>
  <c r="C447" i="2"/>
  <c r="B448" i="2"/>
  <c r="C448" i="2"/>
  <c r="D448" i="2" s="1"/>
  <c r="B449" i="2"/>
  <c r="C449" i="2"/>
  <c r="B450" i="2"/>
  <c r="C450" i="2"/>
  <c r="B451" i="2"/>
  <c r="C451" i="2"/>
  <c r="B452" i="2"/>
  <c r="C452" i="2"/>
  <c r="B453" i="2"/>
  <c r="C453" i="2"/>
  <c r="B454" i="2"/>
  <c r="D454" i="2" s="1"/>
  <c r="C454" i="2"/>
  <c r="B455" i="2"/>
  <c r="C455" i="2"/>
  <c r="B456" i="2"/>
  <c r="C456" i="2"/>
  <c r="B457" i="2"/>
  <c r="C457" i="2"/>
  <c r="B458" i="2"/>
  <c r="C458" i="2"/>
  <c r="B459" i="2"/>
  <c r="C459" i="2"/>
  <c r="B460" i="2"/>
  <c r="C460" i="2"/>
  <c r="B461" i="2"/>
  <c r="C461" i="2"/>
  <c r="B462" i="2"/>
  <c r="C462" i="2"/>
  <c r="B463" i="2"/>
  <c r="C463" i="2"/>
  <c r="B464" i="2"/>
  <c r="C464" i="2"/>
  <c r="B465" i="2"/>
  <c r="C465" i="2"/>
  <c r="B466" i="2"/>
  <c r="C466" i="2"/>
  <c r="B467" i="2"/>
  <c r="C467" i="2"/>
  <c r="B468" i="2"/>
  <c r="C468" i="2"/>
  <c r="B469" i="2"/>
  <c r="C469" i="2"/>
  <c r="B470" i="2"/>
  <c r="C470" i="2"/>
  <c r="B471" i="2"/>
  <c r="C471" i="2"/>
  <c r="B472" i="2"/>
  <c r="C472" i="2"/>
  <c r="B473" i="2"/>
  <c r="C473" i="2"/>
  <c r="B474" i="2"/>
  <c r="C474" i="2"/>
  <c r="B475" i="2"/>
  <c r="C475" i="2"/>
  <c r="B476" i="2"/>
  <c r="C476" i="2"/>
  <c r="B477" i="2"/>
  <c r="C477" i="2"/>
  <c r="B478" i="2"/>
  <c r="C478" i="2"/>
  <c r="B479" i="2"/>
  <c r="C479" i="2"/>
  <c r="B480" i="2"/>
  <c r="C480" i="2"/>
  <c r="B481" i="2"/>
  <c r="C481" i="2"/>
  <c r="B482" i="2"/>
  <c r="C482" i="2"/>
  <c r="B483" i="2"/>
  <c r="C483" i="2"/>
  <c r="B484" i="2"/>
  <c r="C484" i="2"/>
  <c r="B485" i="2"/>
  <c r="C485" i="2"/>
  <c r="B486" i="2"/>
  <c r="C486" i="2"/>
  <c r="B487" i="2"/>
  <c r="C487" i="2"/>
  <c r="B488" i="2"/>
  <c r="C488" i="2"/>
  <c r="B489" i="2"/>
  <c r="C489" i="2"/>
  <c r="B490" i="2"/>
  <c r="C490" i="2"/>
  <c r="B491" i="2"/>
  <c r="C491" i="2"/>
  <c r="B492" i="2"/>
  <c r="C492" i="2"/>
  <c r="B493" i="2"/>
  <c r="C493" i="2"/>
  <c r="B494" i="2"/>
  <c r="C494" i="2"/>
  <c r="B495" i="2"/>
  <c r="C495" i="2"/>
  <c r="B496" i="2"/>
  <c r="C496" i="2"/>
  <c r="B497" i="2"/>
  <c r="C497" i="2"/>
  <c r="B498" i="2"/>
  <c r="C498" i="2"/>
  <c r="B499" i="2"/>
  <c r="C499" i="2"/>
  <c r="B500" i="2"/>
  <c r="C500" i="2"/>
  <c r="B501" i="2"/>
  <c r="C501" i="2"/>
  <c r="B502" i="2"/>
  <c r="C502" i="2"/>
  <c r="B503" i="2"/>
  <c r="C503" i="2"/>
  <c r="B504" i="2"/>
  <c r="C504" i="2"/>
  <c r="B505" i="2"/>
  <c r="C505" i="2"/>
  <c r="B506" i="2"/>
  <c r="C506" i="2"/>
  <c r="B507" i="2"/>
  <c r="C507" i="2"/>
  <c r="B508" i="2"/>
  <c r="C508" i="2"/>
  <c r="B509" i="2"/>
  <c r="C509" i="2"/>
  <c r="B510" i="2"/>
  <c r="C510" i="2"/>
  <c r="B511" i="2"/>
  <c r="C511" i="2"/>
  <c r="B512" i="2"/>
  <c r="C512" i="2"/>
  <c r="B513" i="2"/>
  <c r="C513" i="2"/>
  <c r="B514" i="2"/>
  <c r="C514" i="2"/>
  <c r="B515" i="2"/>
  <c r="C515" i="2"/>
  <c r="B516" i="2"/>
  <c r="C516" i="2"/>
  <c r="B517" i="2"/>
  <c r="C517" i="2"/>
  <c r="B518" i="2"/>
  <c r="C518" i="2"/>
  <c r="B519" i="2"/>
  <c r="C519" i="2"/>
  <c r="B520" i="2"/>
  <c r="C520" i="2"/>
  <c r="B521" i="2"/>
  <c r="C521" i="2"/>
  <c r="B522" i="2"/>
  <c r="C522" i="2"/>
  <c r="B523" i="2"/>
  <c r="C523" i="2"/>
  <c r="B524" i="2"/>
  <c r="C524" i="2"/>
  <c r="B525" i="2"/>
  <c r="C525" i="2"/>
  <c r="B526" i="2"/>
  <c r="C526" i="2"/>
  <c r="B527" i="2"/>
  <c r="C527" i="2"/>
  <c r="B528" i="2"/>
  <c r="C528" i="2"/>
  <c r="D528" i="2" s="1"/>
  <c r="B529" i="2"/>
  <c r="C529" i="2"/>
  <c r="B530" i="2"/>
  <c r="C530" i="2"/>
  <c r="B531" i="2"/>
  <c r="C531" i="2"/>
  <c r="B532" i="2"/>
  <c r="C532" i="2"/>
  <c r="B533" i="2"/>
  <c r="C533" i="2"/>
  <c r="B534" i="2"/>
  <c r="D534" i="2" s="1"/>
  <c r="C534" i="2"/>
  <c r="B535" i="2"/>
  <c r="C535" i="2"/>
  <c r="B536" i="2"/>
  <c r="C536" i="2"/>
  <c r="B537" i="2"/>
  <c r="C537" i="2"/>
  <c r="B538" i="2"/>
  <c r="C538" i="2"/>
  <c r="B539" i="2"/>
  <c r="C539" i="2"/>
  <c r="B540" i="2"/>
  <c r="C540" i="2"/>
  <c r="B541" i="2"/>
  <c r="C541" i="2"/>
  <c r="B542" i="2"/>
  <c r="C542" i="2"/>
  <c r="B543" i="2"/>
  <c r="C543" i="2"/>
  <c r="B544" i="2"/>
  <c r="C544" i="2"/>
  <c r="B545" i="2"/>
  <c r="C545" i="2"/>
  <c r="B546" i="2"/>
  <c r="C546" i="2"/>
  <c r="B547" i="2"/>
  <c r="C547" i="2"/>
  <c r="B548" i="2"/>
  <c r="C548" i="2"/>
  <c r="B549" i="2"/>
  <c r="C549" i="2"/>
  <c r="B550" i="2"/>
  <c r="C550" i="2"/>
  <c r="B551" i="2"/>
  <c r="C551" i="2"/>
  <c r="B552" i="2"/>
  <c r="C552" i="2"/>
  <c r="B553" i="2"/>
  <c r="C553" i="2"/>
  <c r="B554" i="2"/>
  <c r="C554" i="2"/>
  <c r="B555" i="2"/>
  <c r="C555" i="2"/>
  <c r="B556" i="2"/>
  <c r="C556" i="2"/>
  <c r="B557" i="2"/>
  <c r="C557" i="2"/>
  <c r="B558" i="2"/>
  <c r="C558" i="2"/>
  <c r="B559" i="2"/>
  <c r="C559" i="2"/>
  <c r="B560" i="2"/>
  <c r="C560" i="2"/>
  <c r="B561" i="2"/>
  <c r="C561" i="2"/>
  <c r="B562" i="2"/>
  <c r="C562" i="2"/>
  <c r="B563" i="2"/>
  <c r="C563" i="2"/>
  <c r="B564" i="2"/>
  <c r="C564" i="2"/>
  <c r="B565" i="2"/>
  <c r="C565" i="2"/>
  <c r="B566" i="2"/>
  <c r="C566" i="2"/>
  <c r="B567" i="2"/>
  <c r="C567" i="2"/>
  <c r="B568" i="2"/>
  <c r="C568" i="2"/>
  <c r="B569" i="2"/>
  <c r="C569" i="2"/>
  <c r="B570" i="2"/>
  <c r="C570" i="2"/>
  <c r="B571" i="2"/>
  <c r="C571" i="2"/>
  <c r="B572" i="2"/>
  <c r="C572" i="2"/>
  <c r="B573" i="2"/>
  <c r="C573" i="2"/>
  <c r="B574" i="2"/>
  <c r="C574" i="2"/>
  <c r="B575" i="2"/>
  <c r="C575" i="2"/>
  <c r="B576" i="2"/>
  <c r="C576" i="2"/>
  <c r="B577" i="2"/>
  <c r="C577" i="2"/>
  <c r="B578" i="2"/>
  <c r="C578" i="2"/>
  <c r="B579" i="2"/>
  <c r="C579" i="2"/>
  <c r="B580" i="2"/>
  <c r="C580" i="2"/>
  <c r="B581" i="2"/>
  <c r="C581" i="2"/>
  <c r="B582" i="2"/>
  <c r="C582" i="2"/>
  <c r="B583" i="2"/>
  <c r="C583" i="2"/>
  <c r="B584" i="2"/>
  <c r="C584" i="2"/>
  <c r="D584" i="2" s="1"/>
  <c r="B585" i="2"/>
  <c r="C585" i="2"/>
  <c r="B586" i="2"/>
  <c r="C586" i="2"/>
  <c r="B587" i="2"/>
  <c r="C587" i="2"/>
  <c r="B588" i="2"/>
  <c r="C588" i="2"/>
  <c r="B589" i="2"/>
  <c r="C589" i="2"/>
  <c r="B590" i="2"/>
  <c r="C590" i="2"/>
  <c r="B591" i="2"/>
  <c r="C591" i="2"/>
  <c r="B592" i="2"/>
  <c r="C592" i="2"/>
  <c r="B593" i="2"/>
  <c r="C593" i="2"/>
  <c r="B594" i="2"/>
  <c r="C594" i="2"/>
  <c r="B595" i="2"/>
  <c r="C595" i="2"/>
  <c r="B596" i="2"/>
  <c r="C596" i="2"/>
  <c r="B597" i="2"/>
  <c r="C597" i="2"/>
  <c r="B598" i="2"/>
  <c r="C598" i="2"/>
  <c r="B599" i="2"/>
  <c r="C599" i="2"/>
  <c r="B600" i="2"/>
  <c r="C600" i="2"/>
  <c r="B601" i="2"/>
  <c r="C601" i="2"/>
  <c r="B602" i="2"/>
  <c r="C602" i="2"/>
  <c r="B603" i="2"/>
  <c r="C603" i="2"/>
  <c r="B604" i="2"/>
  <c r="C604" i="2"/>
  <c r="B605" i="2"/>
  <c r="C605" i="2"/>
  <c r="B606" i="2"/>
  <c r="C606" i="2"/>
  <c r="B607" i="2"/>
  <c r="C607" i="2"/>
  <c r="B608" i="2"/>
  <c r="C608" i="2"/>
  <c r="B609" i="2"/>
  <c r="C609" i="2"/>
  <c r="B610" i="2"/>
  <c r="C610" i="2"/>
  <c r="B611" i="2"/>
  <c r="C611" i="2"/>
  <c r="B612" i="2"/>
  <c r="C612" i="2"/>
  <c r="B613" i="2"/>
  <c r="C613" i="2"/>
  <c r="B614" i="2"/>
  <c r="D614" i="2" s="1"/>
  <c r="C614" i="2"/>
  <c r="B615" i="2"/>
  <c r="C615" i="2"/>
  <c r="B616" i="2"/>
  <c r="C616" i="2"/>
  <c r="B617" i="2"/>
  <c r="C617" i="2"/>
  <c r="B618" i="2"/>
  <c r="C618" i="2"/>
  <c r="B619" i="2"/>
  <c r="C619" i="2"/>
  <c r="B620" i="2"/>
  <c r="C620" i="2"/>
  <c r="B621" i="2"/>
  <c r="C621" i="2"/>
  <c r="B622" i="2"/>
  <c r="C622" i="2"/>
  <c r="B623" i="2"/>
  <c r="C623" i="2"/>
  <c r="B624" i="2"/>
  <c r="C624" i="2"/>
  <c r="B625" i="2"/>
  <c r="C625" i="2"/>
  <c r="B626" i="2"/>
  <c r="C626" i="2"/>
  <c r="B627" i="2"/>
  <c r="C627" i="2"/>
  <c r="B628" i="2"/>
  <c r="C628" i="2"/>
  <c r="B629" i="2"/>
  <c r="C629" i="2"/>
  <c r="B630" i="2"/>
  <c r="C630" i="2"/>
  <c r="B631" i="2"/>
  <c r="C631" i="2"/>
  <c r="B632" i="2"/>
  <c r="C632" i="2"/>
  <c r="B633" i="2"/>
  <c r="C633" i="2"/>
  <c r="B634" i="2"/>
  <c r="C634" i="2"/>
  <c r="B635" i="2"/>
  <c r="C635" i="2"/>
  <c r="B636" i="2"/>
  <c r="C636" i="2"/>
  <c r="B637" i="2"/>
  <c r="C637" i="2"/>
  <c r="B638" i="2"/>
  <c r="C638" i="2"/>
  <c r="B639" i="2"/>
  <c r="C639" i="2"/>
  <c r="B640" i="2"/>
  <c r="C640" i="2"/>
  <c r="B641" i="2"/>
  <c r="C641" i="2"/>
  <c r="B642" i="2"/>
  <c r="C642" i="2"/>
  <c r="B643" i="2"/>
  <c r="C643" i="2"/>
  <c r="B644" i="2"/>
  <c r="C644" i="2"/>
  <c r="B645" i="2"/>
  <c r="C645" i="2"/>
  <c r="B646" i="2"/>
  <c r="C646" i="2"/>
  <c r="B647" i="2"/>
  <c r="C647" i="2"/>
  <c r="B648" i="2"/>
  <c r="C648" i="2"/>
  <c r="B649" i="2"/>
  <c r="C649" i="2"/>
  <c r="B650" i="2"/>
  <c r="C650" i="2"/>
  <c r="B651" i="2"/>
  <c r="C651" i="2"/>
  <c r="B652" i="2"/>
  <c r="C652" i="2"/>
  <c r="B653" i="2"/>
  <c r="C653" i="2"/>
  <c r="B654" i="2"/>
  <c r="C654" i="2"/>
  <c r="B655" i="2"/>
  <c r="C655" i="2"/>
  <c r="B656" i="2"/>
  <c r="C656" i="2"/>
  <c r="B657" i="2"/>
  <c r="C657" i="2"/>
  <c r="B658" i="2"/>
  <c r="C658" i="2"/>
  <c r="B659" i="2"/>
  <c r="C659" i="2"/>
  <c r="B660" i="2"/>
  <c r="C660" i="2"/>
  <c r="B661" i="2"/>
  <c r="C661" i="2"/>
  <c r="B662" i="2"/>
  <c r="C662" i="2"/>
  <c r="B663" i="2"/>
  <c r="C663" i="2"/>
  <c r="B664" i="2"/>
  <c r="C664" i="2"/>
  <c r="B665" i="2"/>
  <c r="C665" i="2"/>
  <c r="B666" i="2"/>
  <c r="C666" i="2"/>
  <c r="B667" i="2"/>
  <c r="C667" i="2"/>
  <c r="B668" i="2"/>
  <c r="C668" i="2"/>
  <c r="B669" i="2"/>
  <c r="C669" i="2"/>
  <c r="B670" i="2"/>
  <c r="C670" i="2"/>
  <c r="B671" i="2"/>
  <c r="C671" i="2"/>
  <c r="B672" i="2"/>
  <c r="C672" i="2"/>
  <c r="B673" i="2"/>
  <c r="C673" i="2"/>
  <c r="B674" i="2"/>
  <c r="C674" i="2"/>
  <c r="B675" i="2"/>
  <c r="C675" i="2"/>
  <c r="B676" i="2"/>
  <c r="C676" i="2"/>
  <c r="B677" i="2"/>
  <c r="C677" i="2"/>
  <c r="B678" i="2"/>
  <c r="C678" i="2"/>
  <c r="B679" i="2"/>
  <c r="C679" i="2"/>
  <c r="B680" i="2"/>
  <c r="C680" i="2"/>
  <c r="B681" i="2"/>
  <c r="C681" i="2"/>
  <c r="B682" i="2"/>
  <c r="C682" i="2"/>
  <c r="B683" i="2"/>
  <c r="C683" i="2"/>
  <c r="B684" i="2"/>
  <c r="C684" i="2"/>
  <c r="B685" i="2"/>
  <c r="C685" i="2"/>
  <c r="B686" i="2"/>
  <c r="C686" i="2"/>
  <c r="B687" i="2"/>
  <c r="C687" i="2"/>
  <c r="B688" i="2"/>
  <c r="C688" i="2"/>
  <c r="B689" i="2"/>
  <c r="C689" i="2"/>
  <c r="B690" i="2"/>
  <c r="C690" i="2"/>
  <c r="B691" i="2"/>
  <c r="C691" i="2"/>
  <c r="B692" i="2"/>
  <c r="C692" i="2"/>
  <c r="B693" i="2"/>
  <c r="C693" i="2"/>
  <c r="B694" i="2"/>
  <c r="C694" i="2"/>
  <c r="B695" i="2"/>
  <c r="C695" i="2"/>
  <c r="B696" i="2"/>
  <c r="C696" i="2"/>
  <c r="B697" i="2"/>
  <c r="C697" i="2"/>
  <c r="B698" i="2"/>
  <c r="C698" i="2"/>
  <c r="B699" i="2"/>
  <c r="C699" i="2"/>
  <c r="B700" i="2"/>
  <c r="C700" i="2"/>
  <c r="B701" i="2"/>
  <c r="C701" i="2"/>
  <c r="B702" i="2"/>
  <c r="C702" i="2"/>
  <c r="B703" i="2"/>
  <c r="C703" i="2"/>
  <c r="B704" i="2"/>
  <c r="C704" i="2"/>
  <c r="B705" i="2"/>
  <c r="C705" i="2"/>
  <c r="B706" i="2"/>
  <c r="C706" i="2"/>
  <c r="B707" i="2"/>
  <c r="C707" i="2"/>
  <c r="B708" i="2"/>
  <c r="C708" i="2"/>
  <c r="B709" i="2"/>
  <c r="C709" i="2"/>
  <c r="B710" i="2"/>
  <c r="C710" i="2"/>
  <c r="B711" i="2"/>
  <c r="C711" i="2"/>
  <c r="B712" i="2"/>
  <c r="C712" i="2"/>
  <c r="B713" i="2"/>
  <c r="C713" i="2"/>
  <c r="B714" i="2"/>
  <c r="C714" i="2"/>
  <c r="B715" i="2"/>
  <c r="C715" i="2"/>
  <c r="B716" i="2"/>
  <c r="C716" i="2"/>
  <c r="B717" i="2"/>
  <c r="C717" i="2"/>
  <c r="B718" i="2"/>
  <c r="C718" i="2"/>
  <c r="B719" i="2"/>
  <c r="C719" i="2"/>
  <c r="B720" i="2"/>
  <c r="C720" i="2"/>
  <c r="B721" i="2"/>
  <c r="C721" i="2"/>
  <c r="B722" i="2"/>
  <c r="C722" i="2"/>
  <c r="B723" i="2"/>
  <c r="C723" i="2"/>
  <c r="B724" i="2"/>
  <c r="C724" i="2"/>
  <c r="B725" i="2"/>
  <c r="C725" i="2"/>
  <c r="B726" i="2"/>
  <c r="C726" i="2"/>
  <c r="B727" i="2"/>
  <c r="C727" i="2"/>
  <c r="B728" i="2"/>
  <c r="C728" i="2"/>
  <c r="B729" i="2"/>
  <c r="C729" i="2"/>
  <c r="B730" i="2"/>
  <c r="D730" i="2" s="1"/>
  <c r="C730" i="2"/>
  <c r="B731" i="2"/>
  <c r="C731" i="2"/>
  <c r="B732" i="2"/>
  <c r="C732" i="2"/>
  <c r="B733" i="2"/>
  <c r="C733" i="2"/>
  <c r="B734" i="2"/>
  <c r="C734" i="2"/>
  <c r="B735" i="2"/>
  <c r="C735" i="2"/>
  <c r="B736" i="2"/>
  <c r="C736" i="2"/>
  <c r="B737" i="2"/>
  <c r="C737" i="2"/>
  <c r="B738" i="2"/>
  <c r="C738" i="2"/>
  <c r="B739" i="2"/>
  <c r="C739" i="2"/>
  <c r="B740" i="2"/>
  <c r="C740" i="2"/>
  <c r="B741" i="2"/>
  <c r="C741" i="2"/>
  <c r="B742" i="2"/>
  <c r="C742" i="2"/>
  <c r="B743" i="2"/>
  <c r="C743" i="2"/>
  <c r="B744" i="2"/>
  <c r="C744" i="2"/>
  <c r="B745" i="2"/>
  <c r="C745" i="2"/>
  <c r="B746" i="2"/>
  <c r="C746" i="2"/>
  <c r="B747" i="2"/>
  <c r="C747" i="2"/>
  <c r="B748" i="2"/>
  <c r="C748" i="2"/>
  <c r="B749" i="2"/>
  <c r="C749" i="2"/>
  <c r="B750" i="2"/>
  <c r="C750" i="2"/>
  <c r="B751" i="2"/>
  <c r="C751" i="2"/>
  <c r="B752" i="2"/>
  <c r="C752" i="2"/>
  <c r="B753" i="2"/>
  <c r="C753" i="2"/>
  <c r="B754" i="2"/>
  <c r="C754" i="2"/>
  <c r="B755" i="2"/>
  <c r="C755" i="2"/>
  <c r="B756" i="2"/>
  <c r="C756" i="2"/>
  <c r="B757" i="2"/>
  <c r="C757" i="2"/>
  <c r="B758" i="2"/>
  <c r="C758" i="2"/>
  <c r="B759" i="2"/>
  <c r="C759" i="2"/>
  <c r="B760" i="2"/>
  <c r="C760" i="2"/>
  <c r="B761" i="2"/>
  <c r="C761" i="2"/>
  <c r="B762" i="2"/>
  <c r="C762" i="2"/>
  <c r="B763" i="2"/>
  <c r="C763" i="2"/>
  <c r="B764" i="2"/>
  <c r="C764" i="2"/>
  <c r="B765" i="2"/>
  <c r="C765" i="2"/>
  <c r="B766" i="2"/>
  <c r="C766" i="2"/>
  <c r="B767" i="2"/>
  <c r="C767" i="2"/>
  <c r="B768" i="2"/>
  <c r="C768" i="2"/>
  <c r="B769" i="2"/>
  <c r="C769" i="2"/>
  <c r="B770" i="2"/>
  <c r="C770" i="2"/>
  <c r="B771" i="2"/>
  <c r="C771" i="2"/>
  <c r="B772" i="2"/>
  <c r="C772" i="2"/>
  <c r="B773" i="2"/>
  <c r="C773" i="2"/>
  <c r="B774" i="2"/>
  <c r="C774" i="2"/>
  <c r="B775" i="2"/>
  <c r="C775" i="2"/>
  <c r="B776" i="2"/>
  <c r="C776" i="2"/>
  <c r="B777" i="2"/>
  <c r="C777" i="2"/>
  <c r="B778" i="2"/>
  <c r="C778" i="2"/>
  <c r="B779" i="2"/>
  <c r="C779" i="2"/>
  <c r="B780" i="2"/>
  <c r="C780" i="2"/>
  <c r="B781" i="2"/>
  <c r="C781" i="2"/>
  <c r="B782" i="2"/>
  <c r="C782" i="2"/>
  <c r="B783" i="2"/>
  <c r="C783" i="2"/>
  <c r="B784" i="2"/>
  <c r="C784" i="2"/>
  <c r="B785" i="2"/>
  <c r="C785" i="2"/>
  <c r="B786" i="2"/>
  <c r="C786" i="2"/>
  <c r="B787" i="2"/>
  <c r="C787" i="2"/>
  <c r="B788" i="2"/>
  <c r="C788" i="2"/>
  <c r="B789" i="2"/>
  <c r="C789" i="2"/>
  <c r="B790" i="2"/>
  <c r="C790" i="2"/>
  <c r="B791" i="2"/>
  <c r="C791" i="2"/>
  <c r="B792" i="2"/>
  <c r="C792" i="2"/>
  <c r="B793" i="2"/>
  <c r="C793" i="2"/>
  <c r="B794" i="2"/>
  <c r="C794" i="2"/>
  <c r="B795" i="2"/>
  <c r="C795" i="2"/>
  <c r="B796" i="2"/>
  <c r="C796" i="2"/>
  <c r="B797" i="2"/>
  <c r="C797" i="2"/>
  <c r="B798" i="2"/>
  <c r="C798" i="2"/>
  <c r="B799" i="2"/>
  <c r="C799" i="2"/>
  <c r="B800" i="2"/>
  <c r="C800" i="2"/>
  <c r="B801" i="2"/>
  <c r="C801" i="2"/>
  <c r="B802" i="2"/>
  <c r="C802" i="2"/>
  <c r="B803" i="2"/>
  <c r="C803" i="2"/>
  <c r="B804" i="2"/>
  <c r="C804" i="2"/>
  <c r="B805" i="2"/>
  <c r="C805" i="2"/>
  <c r="B806" i="2"/>
  <c r="C806" i="2"/>
  <c r="B807" i="2"/>
  <c r="C807" i="2"/>
  <c r="B808" i="2"/>
  <c r="C808" i="2"/>
  <c r="B809" i="2"/>
  <c r="C809" i="2"/>
  <c r="B810" i="2"/>
  <c r="C810" i="2"/>
  <c r="B811" i="2"/>
  <c r="C811" i="2"/>
  <c r="B812" i="2"/>
  <c r="C812" i="2"/>
  <c r="B813" i="2"/>
  <c r="C813" i="2"/>
  <c r="B814" i="2"/>
  <c r="C814" i="2"/>
  <c r="B815" i="2"/>
  <c r="C815" i="2"/>
  <c r="B816" i="2"/>
  <c r="C816" i="2"/>
  <c r="B817" i="2"/>
  <c r="C817" i="2"/>
  <c r="B818" i="2"/>
  <c r="C818" i="2"/>
  <c r="B819" i="2"/>
  <c r="C819" i="2"/>
  <c r="B820" i="2"/>
  <c r="C820" i="2"/>
  <c r="B821" i="2"/>
  <c r="C821" i="2"/>
  <c r="B822" i="2"/>
  <c r="C822" i="2"/>
  <c r="B823" i="2"/>
  <c r="C823" i="2"/>
  <c r="B824" i="2"/>
  <c r="C824" i="2"/>
  <c r="B825" i="2"/>
  <c r="C825" i="2"/>
  <c r="B826" i="2"/>
  <c r="C826" i="2"/>
  <c r="B827" i="2"/>
  <c r="C827" i="2"/>
  <c r="B828" i="2"/>
  <c r="C828" i="2"/>
  <c r="B829" i="2"/>
  <c r="C829" i="2"/>
  <c r="B830" i="2"/>
  <c r="D830" i="2" s="1"/>
  <c r="C830" i="2"/>
  <c r="B831" i="2"/>
  <c r="C831" i="2"/>
  <c r="B832" i="2"/>
  <c r="C832" i="2"/>
  <c r="B833" i="2"/>
  <c r="C833" i="2"/>
  <c r="B834" i="2"/>
  <c r="C834" i="2"/>
  <c r="B835" i="2"/>
  <c r="C835" i="2"/>
  <c r="B836" i="2"/>
  <c r="C836" i="2"/>
  <c r="B837" i="2"/>
  <c r="C837" i="2"/>
  <c r="B838" i="2"/>
  <c r="C838" i="2"/>
  <c r="B839" i="2"/>
  <c r="C839" i="2"/>
  <c r="B840" i="2"/>
  <c r="C840" i="2"/>
  <c r="B841" i="2"/>
  <c r="C841" i="2"/>
  <c r="B842" i="2"/>
  <c r="C842" i="2"/>
  <c r="B843" i="2"/>
  <c r="C843" i="2"/>
  <c r="B844" i="2"/>
  <c r="C844" i="2"/>
  <c r="B845" i="2"/>
  <c r="C845" i="2"/>
  <c r="B846" i="2"/>
  <c r="C846" i="2"/>
  <c r="B847" i="2"/>
  <c r="C847" i="2"/>
  <c r="B848" i="2"/>
  <c r="C848" i="2"/>
  <c r="B849" i="2"/>
  <c r="C849" i="2"/>
  <c r="B850" i="2"/>
  <c r="C850" i="2"/>
  <c r="B851" i="2"/>
  <c r="C851" i="2"/>
  <c r="B852" i="2"/>
  <c r="C852" i="2"/>
  <c r="B853" i="2"/>
  <c r="C853" i="2"/>
  <c r="B854" i="2"/>
  <c r="C854" i="2"/>
  <c r="B855" i="2"/>
  <c r="C855" i="2"/>
  <c r="B856" i="2"/>
  <c r="C856" i="2"/>
  <c r="B857" i="2"/>
  <c r="C857" i="2"/>
  <c r="B858" i="2"/>
  <c r="C858" i="2"/>
  <c r="B859" i="2"/>
  <c r="C859" i="2"/>
  <c r="B860" i="2"/>
  <c r="C860" i="2"/>
  <c r="B861" i="2"/>
  <c r="C861" i="2"/>
  <c r="B862" i="2"/>
  <c r="C862" i="2"/>
  <c r="B863" i="2"/>
  <c r="C863" i="2"/>
  <c r="B864" i="2"/>
  <c r="C864" i="2"/>
  <c r="B865" i="2"/>
  <c r="C865" i="2"/>
  <c r="B866" i="2"/>
  <c r="D866" i="2" s="1"/>
  <c r="C866" i="2"/>
  <c r="B867" i="2"/>
  <c r="C867" i="2"/>
  <c r="B868" i="2"/>
  <c r="C868" i="2"/>
  <c r="B869" i="2"/>
  <c r="C869" i="2"/>
  <c r="B870" i="2"/>
  <c r="C870" i="2"/>
  <c r="B871" i="2"/>
  <c r="C871" i="2"/>
  <c r="B872" i="2"/>
  <c r="C872" i="2"/>
  <c r="B873" i="2"/>
  <c r="C873" i="2"/>
  <c r="B874" i="2"/>
  <c r="C874" i="2"/>
  <c r="B875" i="2"/>
  <c r="C875" i="2"/>
  <c r="B876" i="2"/>
  <c r="C876" i="2"/>
  <c r="B877" i="2"/>
  <c r="C877" i="2"/>
  <c r="B878" i="2"/>
  <c r="D878" i="2" s="1"/>
  <c r="C878" i="2"/>
  <c r="B879" i="2"/>
  <c r="C879" i="2"/>
  <c r="B880" i="2"/>
  <c r="C880" i="2"/>
  <c r="B881" i="2"/>
  <c r="C881" i="2"/>
  <c r="B882" i="2"/>
  <c r="C882" i="2"/>
  <c r="B883" i="2"/>
  <c r="C883" i="2"/>
  <c r="B884" i="2"/>
  <c r="C884" i="2"/>
  <c r="B885" i="2"/>
  <c r="C885" i="2"/>
  <c r="B886" i="2"/>
  <c r="C886" i="2"/>
  <c r="B887" i="2"/>
  <c r="C887" i="2"/>
  <c r="B888" i="2"/>
  <c r="C888" i="2"/>
  <c r="B889" i="2"/>
  <c r="C889" i="2"/>
  <c r="B890" i="2"/>
  <c r="C890" i="2"/>
  <c r="B891" i="2"/>
  <c r="C891" i="2"/>
  <c r="B892" i="2"/>
  <c r="C892" i="2"/>
  <c r="B893" i="2"/>
  <c r="C893" i="2"/>
  <c r="B894" i="2"/>
  <c r="C894" i="2"/>
  <c r="B895" i="2"/>
  <c r="C895" i="2"/>
  <c r="B896" i="2"/>
  <c r="C896" i="2"/>
  <c r="B897" i="2"/>
  <c r="C897" i="2"/>
  <c r="B898" i="2"/>
  <c r="C898" i="2"/>
  <c r="B899" i="2"/>
  <c r="C899" i="2"/>
  <c r="B900" i="2"/>
  <c r="C900" i="2"/>
  <c r="B901" i="2"/>
  <c r="C901" i="2"/>
  <c r="B902" i="2"/>
  <c r="C902" i="2"/>
  <c r="B903" i="2"/>
  <c r="C903" i="2"/>
  <c r="B904" i="2"/>
  <c r="C904" i="2"/>
  <c r="D904" i="2" s="1"/>
  <c r="B905" i="2"/>
  <c r="C905" i="2"/>
  <c r="B906" i="2"/>
  <c r="C906" i="2"/>
  <c r="B907" i="2"/>
  <c r="C907" i="2"/>
  <c r="B908" i="2"/>
  <c r="C908" i="2"/>
  <c r="B909" i="2"/>
  <c r="C909" i="2"/>
  <c r="B910" i="2"/>
  <c r="C910" i="2"/>
  <c r="B911" i="2"/>
  <c r="C911" i="2"/>
  <c r="B912" i="2"/>
  <c r="C912" i="2"/>
  <c r="B913" i="2"/>
  <c r="C913" i="2"/>
  <c r="B914" i="2"/>
  <c r="C914" i="2"/>
  <c r="B915" i="2"/>
  <c r="C915" i="2"/>
  <c r="B916" i="2"/>
  <c r="C916" i="2"/>
  <c r="B917" i="2"/>
  <c r="C917" i="2"/>
  <c r="B918" i="2"/>
  <c r="C918" i="2"/>
  <c r="B919" i="2"/>
  <c r="C919" i="2"/>
  <c r="B920" i="2"/>
  <c r="C920" i="2"/>
  <c r="B921" i="2"/>
  <c r="C921" i="2"/>
  <c r="B922" i="2"/>
  <c r="C922" i="2"/>
  <c r="B923" i="2"/>
  <c r="C923" i="2"/>
  <c r="B924" i="2"/>
  <c r="C924" i="2"/>
  <c r="B925" i="2"/>
  <c r="C925" i="2"/>
  <c r="B926" i="2"/>
  <c r="C926" i="2"/>
  <c r="B927" i="2"/>
  <c r="C927" i="2"/>
  <c r="B928" i="2"/>
  <c r="C928" i="2"/>
  <c r="B929" i="2"/>
  <c r="C929" i="2"/>
  <c r="B930" i="2"/>
  <c r="C930" i="2"/>
  <c r="B931" i="2"/>
  <c r="C931" i="2"/>
  <c r="B932" i="2"/>
  <c r="C932" i="2"/>
  <c r="B933" i="2"/>
  <c r="C933" i="2"/>
  <c r="B934" i="2"/>
  <c r="C934" i="2"/>
  <c r="B935" i="2"/>
  <c r="C935" i="2"/>
  <c r="B936" i="2"/>
  <c r="C936" i="2"/>
  <c r="B937" i="2"/>
  <c r="C937" i="2"/>
  <c r="B938" i="2"/>
  <c r="C938" i="2"/>
  <c r="B939" i="2"/>
  <c r="C939" i="2"/>
  <c r="B940" i="2"/>
  <c r="C940" i="2"/>
  <c r="B941" i="2"/>
  <c r="C941" i="2"/>
  <c r="B942" i="2"/>
  <c r="D942" i="2" s="1"/>
  <c r="C942" i="2"/>
  <c r="B943" i="2"/>
  <c r="C943" i="2"/>
  <c r="B944" i="2"/>
  <c r="C944" i="2"/>
  <c r="B945" i="2"/>
  <c r="C945" i="2"/>
  <c r="B946" i="2"/>
  <c r="C946" i="2"/>
  <c r="B947" i="2"/>
  <c r="C947" i="2"/>
  <c r="B948" i="2"/>
  <c r="C948" i="2"/>
  <c r="B949" i="2"/>
  <c r="C949" i="2"/>
  <c r="B950" i="2"/>
  <c r="C950" i="2"/>
  <c r="B951" i="2"/>
  <c r="C951" i="2"/>
  <c r="B952" i="2"/>
  <c r="C952" i="2"/>
  <c r="B953" i="2"/>
  <c r="C953" i="2"/>
  <c r="B954" i="2"/>
  <c r="C954" i="2"/>
  <c r="B955" i="2"/>
  <c r="C955" i="2"/>
  <c r="B956" i="2"/>
  <c r="C956" i="2"/>
  <c r="B957" i="2"/>
  <c r="C957" i="2"/>
  <c r="B958" i="2"/>
  <c r="D958" i="2" s="1"/>
  <c r="C958" i="2"/>
  <c r="B959" i="2"/>
  <c r="C959" i="2"/>
  <c r="B960" i="2"/>
  <c r="C960" i="2"/>
  <c r="B961" i="2"/>
  <c r="C961" i="2"/>
  <c r="B962" i="2"/>
  <c r="C962" i="2"/>
  <c r="B963" i="2"/>
  <c r="C963" i="2"/>
  <c r="B964" i="2"/>
  <c r="C964" i="2"/>
  <c r="B965" i="2"/>
  <c r="C965" i="2"/>
  <c r="B966" i="2"/>
  <c r="C966" i="2"/>
  <c r="B967" i="2"/>
  <c r="C967" i="2"/>
  <c r="B968" i="2"/>
  <c r="C968" i="2"/>
  <c r="B969" i="2"/>
  <c r="C969" i="2"/>
  <c r="B970" i="2"/>
  <c r="C970" i="2"/>
  <c r="B971" i="2"/>
  <c r="C971" i="2"/>
  <c r="B972" i="2"/>
  <c r="C972" i="2"/>
  <c r="B973" i="2"/>
  <c r="C973" i="2"/>
  <c r="B974" i="2"/>
  <c r="C974" i="2"/>
  <c r="B975" i="2"/>
  <c r="C975" i="2"/>
  <c r="B976" i="2"/>
  <c r="C976" i="2"/>
  <c r="B977" i="2"/>
  <c r="C977" i="2"/>
  <c r="B978" i="2"/>
  <c r="C978" i="2"/>
  <c r="B979" i="2"/>
  <c r="C979" i="2"/>
  <c r="B980" i="2"/>
  <c r="C980" i="2"/>
  <c r="B981" i="2"/>
  <c r="C981" i="2"/>
  <c r="B982" i="2"/>
  <c r="D982" i="2" s="1"/>
  <c r="C982" i="2"/>
  <c r="B983" i="2"/>
  <c r="C983" i="2"/>
  <c r="B984" i="2"/>
  <c r="C984" i="2"/>
  <c r="B985" i="2"/>
  <c r="C985" i="2"/>
  <c r="B986" i="2"/>
  <c r="C986" i="2"/>
  <c r="B987" i="2"/>
  <c r="C987" i="2"/>
  <c r="B988" i="2"/>
  <c r="C988" i="2"/>
  <c r="B989" i="2"/>
  <c r="C989" i="2"/>
  <c r="B990" i="2"/>
  <c r="C990" i="2"/>
  <c r="B991" i="2"/>
  <c r="C991" i="2"/>
  <c r="B992" i="2"/>
  <c r="C992" i="2"/>
  <c r="B993" i="2"/>
  <c r="C993" i="2"/>
  <c r="B994" i="2"/>
  <c r="C994" i="2"/>
  <c r="B995" i="2"/>
  <c r="C995" i="2"/>
  <c r="B996" i="2"/>
  <c r="C996" i="2"/>
  <c r="B997" i="2"/>
  <c r="C997" i="2"/>
  <c r="B998" i="2"/>
  <c r="C998" i="2"/>
  <c r="B999" i="2"/>
  <c r="C999" i="2"/>
  <c r="B1000" i="2"/>
  <c r="C1000" i="2"/>
  <c r="B1001" i="2"/>
  <c r="C1001" i="2"/>
  <c r="B1002" i="2"/>
  <c r="C1002" i="2"/>
  <c r="B1003" i="2"/>
  <c r="C1003" i="2"/>
  <c r="B1004" i="2"/>
  <c r="C1004" i="2"/>
  <c r="B1005" i="2"/>
  <c r="C1005" i="2"/>
  <c r="B1006" i="2"/>
  <c r="C1006" i="2"/>
  <c r="B1007" i="2"/>
  <c r="C1007" i="2"/>
  <c r="B1008" i="2"/>
  <c r="C1008" i="2"/>
  <c r="B1009" i="2"/>
  <c r="C1009" i="2"/>
  <c r="B1010" i="2"/>
  <c r="C1010" i="2"/>
  <c r="B1011" i="2"/>
  <c r="C1011" i="2"/>
  <c r="B1012" i="2"/>
  <c r="C1012" i="2"/>
  <c r="B1013" i="2"/>
  <c r="C1013" i="2"/>
  <c r="B1014" i="2"/>
  <c r="C1014" i="2"/>
  <c r="B1015" i="2"/>
  <c r="C1015" i="2"/>
  <c r="B1016" i="2"/>
  <c r="C1016" i="2"/>
  <c r="B1017" i="2"/>
  <c r="C1017" i="2"/>
  <c r="B1018" i="2"/>
  <c r="C1018" i="2"/>
  <c r="B1019" i="2"/>
  <c r="C1019" i="2"/>
  <c r="B1020" i="2"/>
  <c r="C1020" i="2"/>
  <c r="B1021" i="2"/>
  <c r="C1021" i="2"/>
  <c r="B1022" i="2"/>
  <c r="C1022" i="2"/>
  <c r="B1023" i="2"/>
  <c r="C1023" i="2"/>
  <c r="B1024" i="2"/>
  <c r="C1024" i="2"/>
  <c r="B1025" i="2"/>
  <c r="C1025" i="2"/>
  <c r="B1026" i="2"/>
  <c r="C1026" i="2"/>
  <c r="B1027" i="2"/>
  <c r="C1027" i="2"/>
  <c r="B1028" i="2"/>
  <c r="C1028" i="2"/>
  <c r="B1029" i="2"/>
  <c r="C1029" i="2"/>
  <c r="B1030" i="2"/>
  <c r="C1030" i="2"/>
  <c r="B1031" i="2"/>
  <c r="C1031" i="2"/>
  <c r="B1032" i="2"/>
  <c r="C1032" i="2"/>
  <c r="B1033" i="2"/>
  <c r="C1033" i="2"/>
  <c r="B1034" i="2"/>
  <c r="C1034" i="2"/>
  <c r="B1035" i="2"/>
  <c r="C1035" i="2"/>
  <c r="B1036" i="2"/>
  <c r="C1036" i="2"/>
  <c r="B1037" i="2"/>
  <c r="C1037" i="2"/>
  <c r="B1038" i="2"/>
  <c r="C1038" i="2"/>
  <c r="B1039" i="2"/>
  <c r="C1039" i="2"/>
  <c r="B1040" i="2"/>
  <c r="C1040" i="2"/>
  <c r="B1041" i="2"/>
  <c r="C1041" i="2"/>
  <c r="B1042" i="2"/>
  <c r="C1042" i="2"/>
  <c r="B1043" i="2"/>
  <c r="C1043" i="2"/>
  <c r="B1044" i="2"/>
  <c r="C1044" i="2"/>
  <c r="B1045" i="2"/>
  <c r="C1045" i="2"/>
  <c r="B1046" i="2"/>
  <c r="C1046" i="2"/>
  <c r="B1047" i="2"/>
  <c r="C1047" i="2"/>
  <c r="B1048" i="2"/>
  <c r="C1048" i="2"/>
  <c r="B1049" i="2"/>
  <c r="C1049" i="2"/>
  <c r="B1050" i="2"/>
  <c r="C1050" i="2"/>
  <c r="B1051" i="2"/>
  <c r="C1051" i="2"/>
  <c r="B1052" i="2"/>
  <c r="C1052" i="2"/>
  <c r="B1053" i="2"/>
  <c r="C1053" i="2"/>
  <c r="B1054" i="2"/>
  <c r="C1054" i="2"/>
  <c r="B1055" i="2"/>
  <c r="C1055" i="2"/>
  <c r="B1056" i="2"/>
  <c r="C1056" i="2"/>
  <c r="B1057" i="2"/>
  <c r="C1057" i="2"/>
  <c r="B1058" i="2"/>
  <c r="C1058" i="2"/>
  <c r="B1059" i="2"/>
  <c r="C1059" i="2"/>
  <c r="B1060" i="2"/>
  <c r="C1060" i="2"/>
  <c r="B1061" i="2"/>
  <c r="C1061" i="2"/>
  <c r="B1062" i="2"/>
  <c r="C1062" i="2"/>
  <c r="B1063" i="2"/>
  <c r="C1063" i="2"/>
  <c r="B1064" i="2"/>
  <c r="C1064" i="2"/>
  <c r="B1065" i="2"/>
  <c r="C1065" i="2"/>
  <c r="B1066" i="2"/>
  <c r="C1066" i="2"/>
  <c r="B1067" i="2"/>
  <c r="C1067" i="2"/>
  <c r="B1068" i="2"/>
  <c r="C1068" i="2"/>
  <c r="B1069" i="2"/>
  <c r="C1069" i="2"/>
  <c r="B1070" i="2"/>
  <c r="C1070" i="2"/>
  <c r="B1071" i="2"/>
  <c r="C1071" i="2"/>
  <c r="B1072" i="2"/>
  <c r="C1072" i="2"/>
  <c r="B1073" i="2"/>
  <c r="C1073" i="2"/>
  <c r="B1074" i="2"/>
  <c r="C1074" i="2"/>
  <c r="B1075" i="2"/>
  <c r="C1075" i="2"/>
  <c r="B1076" i="2"/>
  <c r="C1076" i="2"/>
  <c r="B1077" i="2"/>
  <c r="C1077" i="2"/>
  <c r="B1078" i="2"/>
  <c r="C1078" i="2"/>
  <c r="B1079" i="2"/>
  <c r="C1079" i="2"/>
  <c r="B1080" i="2"/>
  <c r="C1080" i="2"/>
  <c r="B1081" i="2"/>
  <c r="C1081" i="2"/>
  <c r="B1082" i="2"/>
  <c r="C1082" i="2"/>
  <c r="B1083" i="2"/>
  <c r="C1083" i="2"/>
  <c r="B1084" i="2"/>
  <c r="C1084" i="2"/>
  <c r="B1085" i="2"/>
  <c r="C1085" i="2"/>
  <c r="B1086" i="2"/>
  <c r="C1086" i="2"/>
  <c r="B1087" i="2"/>
  <c r="C1087" i="2"/>
  <c r="B1088" i="2"/>
  <c r="C1088" i="2"/>
  <c r="B1089" i="2"/>
  <c r="C1089" i="2"/>
  <c r="B1090" i="2"/>
  <c r="C1090" i="2"/>
  <c r="B1091" i="2"/>
  <c r="C1091" i="2"/>
  <c r="B1092" i="2"/>
  <c r="C1092" i="2"/>
  <c r="B1093" i="2"/>
  <c r="C1093" i="2"/>
  <c r="B1094" i="2"/>
  <c r="C1094" i="2"/>
  <c r="B1095" i="2"/>
  <c r="C1095" i="2"/>
  <c r="B1096" i="2"/>
  <c r="C1096" i="2"/>
  <c r="B1097" i="2"/>
  <c r="C1097" i="2"/>
  <c r="B1098" i="2"/>
  <c r="C1098" i="2"/>
  <c r="B1099" i="2"/>
  <c r="C1099" i="2"/>
  <c r="B1100" i="2"/>
  <c r="C1100" i="2"/>
  <c r="B1101" i="2"/>
  <c r="C1101" i="2"/>
  <c r="B1102" i="2"/>
  <c r="C1102" i="2"/>
  <c r="B1103" i="2"/>
  <c r="C1103" i="2"/>
  <c r="B1104" i="2"/>
  <c r="C1104" i="2"/>
  <c r="B1105" i="2"/>
  <c r="C1105" i="2"/>
  <c r="B1106" i="2"/>
  <c r="C1106" i="2"/>
  <c r="B1107" i="2"/>
  <c r="C1107" i="2"/>
  <c r="B1108" i="2"/>
  <c r="C1108" i="2"/>
  <c r="B1109" i="2"/>
  <c r="C1109" i="2"/>
  <c r="B1110" i="2"/>
  <c r="C1110" i="2"/>
  <c r="B1111" i="2"/>
  <c r="C1111" i="2"/>
  <c r="B1112" i="2"/>
  <c r="C1112" i="2"/>
  <c r="B1113" i="2"/>
  <c r="C1113" i="2"/>
  <c r="B1114" i="2"/>
  <c r="C1114" i="2"/>
  <c r="B1115" i="2"/>
  <c r="C1115" i="2"/>
  <c r="B1116" i="2"/>
  <c r="C1116" i="2"/>
  <c r="B1117" i="2"/>
  <c r="C1117" i="2"/>
  <c r="B1118" i="2"/>
  <c r="C1118" i="2"/>
  <c r="B1119" i="2"/>
  <c r="C1119" i="2"/>
  <c r="B1120" i="2"/>
  <c r="C1120" i="2"/>
  <c r="B1121" i="2"/>
  <c r="C1121" i="2"/>
  <c r="B1122" i="2"/>
  <c r="C1122" i="2"/>
  <c r="B1123" i="2"/>
  <c r="C1123" i="2"/>
  <c r="B1124" i="2"/>
  <c r="C1124" i="2"/>
  <c r="B1125" i="2"/>
  <c r="C1125" i="2"/>
  <c r="B1126" i="2"/>
  <c r="C1126" i="2"/>
  <c r="B1127" i="2"/>
  <c r="C1127" i="2"/>
  <c r="B1128" i="2"/>
  <c r="C1128" i="2"/>
  <c r="B1129" i="2"/>
  <c r="C1129" i="2"/>
  <c r="B1130" i="2"/>
  <c r="C1130" i="2"/>
  <c r="B1131" i="2"/>
  <c r="C1131" i="2"/>
  <c r="B1132" i="2"/>
  <c r="C1132" i="2"/>
  <c r="B1133" i="2"/>
  <c r="C1133" i="2"/>
  <c r="B1134" i="2"/>
  <c r="C1134" i="2"/>
  <c r="B1135" i="2"/>
  <c r="C1135" i="2"/>
  <c r="B1136" i="2"/>
  <c r="C1136" i="2"/>
  <c r="B1137" i="2"/>
  <c r="C1137" i="2"/>
  <c r="B1138" i="2"/>
  <c r="C1138" i="2"/>
  <c r="B1139" i="2"/>
  <c r="C1139" i="2"/>
  <c r="B1140" i="2"/>
  <c r="C1140" i="2"/>
  <c r="B1141" i="2"/>
  <c r="C1141" i="2"/>
  <c r="B1142" i="2"/>
  <c r="C1142" i="2"/>
  <c r="B1143" i="2"/>
  <c r="C1143" i="2"/>
  <c r="B1144" i="2"/>
  <c r="C1144" i="2"/>
  <c r="B1145" i="2"/>
  <c r="C1145" i="2"/>
  <c r="B1146" i="2"/>
  <c r="C1146" i="2"/>
  <c r="B1147" i="2"/>
  <c r="C1147" i="2"/>
  <c r="B1148" i="2"/>
  <c r="C1148" i="2"/>
  <c r="B1149" i="2"/>
  <c r="C1149" i="2"/>
  <c r="B1150" i="2"/>
  <c r="C1150" i="2"/>
  <c r="B1151" i="2"/>
  <c r="C1151" i="2"/>
  <c r="B1152" i="2"/>
  <c r="C1152" i="2"/>
  <c r="B1153" i="2"/>
  <c r="C1153" i="2"/>
  <c r="B1154" i="2"/>
  <c r="C1154" i="2"/>
  <c r="B1155" i="2"/>
  <c r="C1155" i="2"/>
  <c r="B1156" i="2"/>
  <c r="C1156" i="2"/>
  <c r="B1157" i="2"/>
  <c r="C1157" i="2"/>
  <c r="B1158" i="2"/>
  <c r="C1158" i="2"/>
  <c r="B1159" i="2"/>
  <c r="C1159" i="2"/>
  <c r="B1160" i="2"/>
  <c r="C1160" i="2"/>
  <c r="B1161" i="2"/>
  <c r="C1161" i="2"/>
  <c r="B1162" i="2"/>
  <c r="C1162" i="2"/>
  <c r="B1163" i="2"/>
  <c r="C1163" i="2"/>
  <c r="B1164" i="2"/>
  <c r="C1164" i="2"/>
  <c r="B1165" i="2"/>
  <c r="C1165" i="2"/>
  <c r="B1166" i="2"/>
  <c r="C1166" i="2"/>
  <c r="B1167" i="2"/>
  <c r="C1167" i="2"/>
  <c r="B1168" i="2"/>
  <c r="C1168" i="2"/>
  <c r="B1169" i="2"/>
  <c r="C1169" i="2"/>
  <c r="B1170" i="2"/>
  <c r="C1170" i="2"/>
  <c r="B1171" i="2"/>
  <c r="C1171" i="2"/>
  <c r="B1172" i="2"/>
  <c r="C1172" i="2"/>
  <c r="B1173" i="2"/>
  <c r="C1173" i="2"/>
  <c r="B1174" i="2"/>
  <c r="C1174" i="2"/>
  <c r="B1175" i="2"/>
  <c r="C1175" i="2"/>
  <c r="B1176" i="2"/>
  <c r="C1176" i="2"/>
  <c r="B1177" i="2"/>
  <c r="C1177" i="2"/>
  <c r="B1178" i="2"/>
  <c r="C1178" i="2"/>
  <c r="B1179" i="2"/>
  <c r="C1179" i="2"/>
  <c r="B1180" i="2"/>
  <c r="C1180" i="2"/>
  <c r="B1181" i="2"/>
  <c r="C1181" i="2"/>
  <c r="B1182" i="2"/>
  <c r="C1182" i="2"/>
  <c r="B1183" i="2"/>
  <c r="C1183" i="2"/>
  <c r="B1184" i="2"/>
  <c r="C1184" i="2"/>
  <c r="B1185" i="2"/>
  <c r="C1185" i="2"/>
  <c r="B1186" i="2"/>
  <c r="C1186" i="2"/>
  <c r="B1187" i="2"/>
  <c r="C1187" i="2"/>
  <c r="B1188" i="2"/>
  <c r="C1188" i="2"/>
  <c r="B1189" i="2"/>
  <c r="C1189" i="2"/>
  <c r="B1190" i="2"/>
  <c r="C1190" i="2"/>
  <c r="B1191" i="2"/>
  <c r="C1191" i="2"/>
  <c r="B1192" i="2"/>
  <c r="C1192" i="2"/>
  <c r="B1193" i="2"/>
  <c r="C1193" i="2"/>
  <c r="B1194" i="2"/>
  <c r="C1194" i="2"/>
  <c r="B1195" i="2"/>
  <c r="C1195" i="2"/>
  <c r="B1196" i="2"/>
  <c r="C1196" i="2"/>
  <c r="B1197" i="2"/>
  <c r="C1197" i="2"/>
  <c r="B1198" i="2"/>
  <c r="C1198" i="2"/>
  <c r="B1199" i="2"/>
  <c r="C1199" i="2"/>
  <c r="B1200" i="2"/>
  <c r="C1200" i="2"/>
  <c r="B1201" i="2"/>
  <c r="C1201" i="2"/>
  <c r="B1202" i="2"/>
  <c r="C1202" i="2"/>
  <c r="B1203" i="2"/>
  <c r="C1203" i="2"/>
  <c r="B1204" i="2"/>
  <c r="C1204" i="2"/>
  <c r="B1205" i="2"/>
  <c r="C1205" i="2"/>
  <c r="B1206" i="2"/>
  <c r="C1206" i="2"/>
  <c r="B1207" i="2"/>
  <c r="C1207" i="2"/>
  <c r="B1208" i="2"/>
  <c r="C1208" i="2"/>
  <c r="B1209" i="2"/>
  <c r="C1209" i="2"/>
  <c r="B1210" i="2"/>
  <c r="C1210" i="2"/>
  <c r="B1211" i="2"/>
  <c r="C1211" i="2"/>
  <c r="B1212" i="2"/>
  <c r="C1212" i="2"/>
  <c r="B1213" i="2"/>
  <c r="C1213" i="2"/>
  <c r="B1214" i="2"/>
  <c r="C1214" i="2"/>
  <c r="B1215" i="2"/>
  <c r="C1215" i="2"/>
  <c r="B1216" i="2"/>
  <c r="C1216" i="2"/>
  <c r="B1217" i="2"/>
  <c r="C1217" i="2"/>
  <c r="B1218" i="2"/>
  <c r="C1218" i="2"/>
  <c r="B1219" i="2"/>
  <c r="C1219" i="2"/>
  <c r="B1220" i="2"/>
  <c r="C1220" i="2"/>
  <c r="B1221" i="2"/>
  <c r="C1221" i="2"/>
  <c r="B1222" i="2"/>
  <c r="D1222" i="2" s="1"/>
  <c r="C1222" i="2"/>
  <c r="B1223" i="2"/>
  <c r="C1223" i="2"/>
  <c r="B1224" i="2"/>
  <c r="C1224" i="2"/>
  <c r="B1225" i="2"/>
  <c r="C1225" i="2"/>
  <c r="B1226" i="2"/>
  <c r="C1226" i="2"/>
  <c r="B1227" i="2"/>
  <c r="C1227" i="2"/>
  <c r="B1228" i="2"/>
  <c r="C1228" i="2"/>
  <c r="B1229" i="2"/>
  <c r="C1229" i="2"/>
  <c r="B1230" i="2"/>
  <c r="C1230" i="2"/>
  <c r="B1231" i="2"/>
  <c r="C1231" i="2"/>
  <c r="B1232" i="2"/>
  <c r="C1232" i="2"/>
  <c r="B1233" i="2"/>
  <c r="C1233" i="2"/>
  <c r="B1234" i="2"/>
  <c r="C1234" i="2"/>
  <c r="B1235" i="2"/>
  <c r="C1235" i="2"/>
  <c r="B1236" i="2"/>
  <c r="C1236" i="2"/>
  <c r="B1237" i="2"/>
  <c r="C1237" i="2"/>
  <c r="B1238" i="2"/>
  <c r="C1238" i="2"/>
  <c r="B1239" i="2"/>
  <c r="C1239" i="2"/>
  <c r="B1240" i="2"/>
  <c r="C1240" i="2"/>
  <c r="B1241" i="2"/>
  <c r="C1241" i="2"/>
  <c r="B1242" i="2"/>
  <c r="C1242" i="2"/>
  <c r="B1243" i="2"/>
  <c r="C1243" i="2"/>
  <c r="B1244" i="2"/>
  <c r="C1244" i="2"/>
  <c r="B1245" i="2"/>
  <c r="C1245" i="2"/>
  <c r="B1246" i="2"/>
  <c r="C1246" i="2"/>
  <c r="B1247" i="2"/>
  <c r="C1247" i="2"/>
  <c r="B1248" i="2"/>
  <c r="C1248" i="2"/>
  <c r="B1249" i="2"/>
  <c r="C1249" i="2"/>
  <c r="B1250" i="2"/>
  <c r="C1250" i="2"/>
  <c r="B1251" i="2"/>
  <c r="C1251" i="2"/>
  <c r="B1252" i="2"/>
  <c r="C1252" i="2"/>
  <c r="B1253" i="2"/>
  <c r="C1253" i="2"/>
  <c r="B1254" i="2"/>
  <c r="C1254" i="2"/>
  <c r="B1255" i="2"/>
  <c r="C1255" i="2"/>
  <c r="B1256" i="2"/>
  <c r="C1256" i="2"/>
  <c r="B1257" i="2"/>
  <c r="C1257" i="2"/>
  <c r="B1258" i="2"/>
  <c r="C1258" i="2"/>
  <c r="B1259" i="2"/>
  <c r="C1259" i="2"/>
  <c r="B1260" i="2"/>
  <c r="C1260" i="2"/>
  <c r="B1261" i="2"/>
  <c r="C1261" i="2"/>
  <c r="B1262" i="2"/>
  <c r="C1262" i="2"/>
  <c r="B1263" i="2"/>
  <c r="C1263" i="2"/>
  <c r="B1264" i="2"/>
  <c r="C1264" i="2"/>
  <c r="B1265" i="2"/>
  <c r="C1265" i="2"/>
  <c r="B1266" i="2"/>
  <c r="C1266" i="2"/>
  <c r="B1267" i="2"/>
  <c r="C1267" i="2"/>
  <c r="B1268" i="2"/>
  <c r="C1268" i="2"/>
  <c r="B1269" i="2"/>
  <c r="C1269" i="2"/>
  <c r="B1270" i="2"/>
  <c r="C1270" i="2"/>
  <c r="B1271" i="2"/>
  <c r="C1271" i="2"/>
  <c r="B1272" i="2"/>
  <c r="C1272" i="2"/>
  <c r="B1273" i="2"/>
  <c r="C1273" i="2"/>
  <c r="B1274" i="2"/>
  <c r="C1274" i="2"/>
  <c r="B1275" i="2"/>
  <c r="C1275" i="2"/>
  <c r="B1276" i="2"/>
  <c r="C1276" i="2"/>
  <c r="B1277" i="2"/>
  <c r="C1277" i="2"/>
  <c r="B1278" i="2"/>
  <c r="C1278" i="2"/>
  <c r="B1279" i="2"/>
  <c r="C1279" i="2"/>
  <c r="B1280" i="2"/>
  <c r="C1280" i="2"/>
  <c r="B1281" i="2"/>
  <c r="C1281" i="2"/>
  <c r="B1282" i="2"/>
  <c r="C1282" i="2"/>
  <c r="B1283" i="2"/>
  <c r="C1283" i="2"/>
  <c r="B1284" i="2"/>
  <c r="C1284" i="2"/>
  <c r="B1285" i="2"/>
  <c r="C1285" i="2"/>
  <c r="B1286" i="2"/>
  <c r="C1286" i="2"/>
  <c r="B1287" i="2"/>
  <c r="C1287" i="2"/>
  <c r="B1288" i="2"/>
  <c r="C1288" i="2"/>
  <c r="B1289" i="2"/>
  <c r="C1289" i="2"/>
  <c r="B1290" i="2"/>
  <c r="C1290" i="2"/>
  <c r="B1291" i="2"/>
  <c r="C1291" i="2"/>
  <c r="B1292" i="2"/>
  <c r="C1292" i="2"/>
  <c r="B1293" i="2"/>
  <c r="C1293" i="2"/>
  <c r="B1294" i="2"/>
  <c r="C1294" i="2"/>
  <c r="B1295" i="2"/>
  <c r="C1295" i="2"/>
  <c r="B1296" i="2"/>
  <c r="C1296" i="2"/>
  <c r="B1297" i="2"/>
  <c r="C1297" i="2"/>
  <c r="B1298" i="2"/>
  <c r="C1298" i="2"/>
  <c r="B1299" i="2"/>
  <c r="C1299" i="2"/>
  <c r="B1300" i="2"/>
  <c r="C1300" i="2"/>
  <c r="B1301" i="2"/>
  <c r="C1301" i="2"/>
  <c r="B1302" i="2"/>
  <c r="C1302" i="2"/>
  <c r="B1303" i="2"/>
  <c r="C1303" i="2"/>
  <c r="B1304" i="2"/>
  <c r="C1304" i="2"/>
  <c r="B1305" i="2"/>
  <c r="C1305" i="2"/>
  <c r="B1306" i="2"/>
  <c r="C1306" i="2"/>
  <c r="B1307" i="2"/>
  <c r="C1307" i="2"/>
  <c r="B1308" i="2"/>
  <c r="C1308" i="2"/>
  <c r="B1309" i="2"/>
  <c r="C1309" i="2"/>
  <c r="B1310" i="2"/>
  <c r="C1310" i="2"/>
  <c r="B1311" i="2"/>
  <c r="C1311" i="2"/>
  <c r="B1312" i="2"/>
  <c r="C1312" i="2"/>
  <c r="B1313" i="2"/>
  <c r="C1313" i="2"/>
  <c r="B1314" i="2"/>
  <c r="C1314" i="2"/>
  <c r="B1315" i="2"/>
  <c r="C1315" i="2"/>
  <c r="B1316" i="2"/>
  <c r="C1316" i="2"/>
  <c r="B1317" i="2"/>
  <c r="C1317" i="2"/>
  <c r="B1318" i="2"/>
  <c r="C1318" i="2"/>
  <c r="B1319" i="2"/>
  <c r="C1319" i="2"/>
  <c r="B1320" i="2"/>
  <c r="C1320" i="2"/>
  <c r="B1321" i="2"/>
  <c r="C1321" i="2"/>
  <c r="B1322" i="2"/>
  <c r="C1322" i="2"/>
  <c r="B1323" i="2"/>
  <c r="C1323" i="2"/>
  <c r="B1324" i="2"/>
  <c r="C1324" i="2"/>
  <c r="B1325" i="2"/>
  <c r="C1325" i="2"/>
  <c r="B1326" i="2"/>
  <c r="C1326" i="2"/>
  <c r="B1327" i="2"/>
  <c r="C1327" i="2"/>
  <c r="B1328" i="2"/>
  <c r="C1328" i="2"/>
  <c r="B1329" i="2"/>
  <c r="C1329" i="2"/>
  <c r="B1330" i="2"/>
  <c r="C1330" i="2"/>
  <c r="B1331" i="2"/>
  <c r="C1331" i="2"/>
  <c r="B1332" i="2"/>
  <c r="C1332" i="2"/>
  <c r="B1333" i="2"/>
  <c r="C1333" i="2"/>
  <c r="B1334" i="2"/>
  <c r="C1334" i="2"/>
  <c r="B1335" i="2"/>
  <c r="C1335" i="2"/>
  <c r="B1336" i="2"/>
  <c r="C1336" i="2"/>
  <c r="B1337" i="2"/>
  <c r="C1337" i="2"/>
  <c r="B1338" i="2"/>
  <c r="C1338" i="2"/>
  <c r="B1339" i="2"/>
  <c r="C1339" i="2"/>
  <c r="B1340" i="2"/>
  <c r="C1340" i="2"/>
  <c r="B1341" i="2"/>
  <c r="C1341" i="2"/>
  <c r="B1342" i="2"/>
  <c r="C1342" i="2"/>
  <c r="B1343" i="2"/>
  <c r="C1343" i="2"/>
  <c r="B1344" i="2"/>
  <c r="C1344" i="2"/>
  <c r="B1345" i="2"/>
  <c r="C1345" i="2"/>
  <c r="B1346" i="2"/>
  <c r="C1346" i="2"/>
  <c r="B1347" i="2"/>
  <c r="C1347" i="2"/>
  <c r="B1348" i="2"/>
  <c r="C1348" i="2"/>
  <c r="B1349" i="2"/>
  <c r="C1349" i="2"/>
  <c r="B1350" i="2"/>
  <c r="C1350" i="2"/>
  <c r="B1351" i="2"/>
  <c r="C1351" i="2"/>
  <c r="B1352" i="2"/>
  <c r="C1352" i="2"/>
  <c r="B1353" i="2"/>
  <c r="C1353" i="2"/>
  <c r="B1354" i="2"/>
  <c r="C1354" i="2"/>
  <c r="B1355" i="2"/>
  <c r="C1355" i="2"/>
  <c r="B1356" i="2"/>
  <c r="C1356" i="2"/>
  <c r="B1357" i="2"/>
  <c r="C1357" i="2"/>
  <c r="B1358" i="2"/>
  <c r="C1358" i="2"/>
  <c r="B1359" i="2"/>
  <c r="C1359" i="2"/>
  <c r="B1360" i="2"/>
  <c r="C1360" i="2"/>
  <c r="B1361" i="2"/>
  <c r="C1361" i="2"/>
  <c r="B1362" i="2"/>
  <c r="C1362" i="2"/>
  <c r="B1363" i="2"/>
  <c r="C1363" i="2"/>
  <c r="B1364" i="2"/>
  <c r="C1364" i="2"/>
  <c r="B1365" i="2"/>
  <c r="C1365" i="2"/>
  <c r="B1366" i="2"/>
  <c r="C1366" i="2"/>
  <c r="B1367" i="2"/>
  <c r="C1367" i="2"/>
  <c r="B1368" i="2"/>
  <c r="C1368" i="2"/>
  <c r="B1369" i="2"/>
  <c r="C1369" i="2"/>
  <c r="B1370" i="2"/>
  <c r="C1370" i="2"/>
  <c r="B1371" i="2"/>
  <c r="C1371" i="2"/>
  <c r="B1372" i="2"/>
  <c r="C1372" i="2"/>
  <c r="B1373" i="2"/>
  <c r="C1373" i="2"/>
  <c r="B1374" i="2"/>
  <c r="C1374" i="2"/>
  <c r="B1375" i="2"/>
  <c r="C1375" i="2"/>
  <c r="B1376" i="2"/>
  <c r="C1376" i="2"/>
  <c r="B1377" i="2"/>
  <c r="C1377" i="2"/>
  <c r="B1378" i="2"/>
  <c r="C1378" i="2"/>
  <c r="B1379" i="2"/>
  <c r="C1379" i="2"/>
  <c r="B1380" i="2"/>
  <c r="C1380" i="2"/>
  <c r="B1381" i="2"/>
  <c r="C1381" i="2"/>
  <c r="B1382" i="2"/>
  <c r="C1382" i="2"/>
  <c r="B1383" i="2"/>
  <c r="C1383" i="2"/>
  <c r="B1384" i="2"/>
  <c r="C1384" i="2"/>
  <c r="B1385" i="2"/>
  <c r="C1385" i="2"/>
  <c r="B1386" i="2"/>
  <c r="C1386" i="2"/>
  <c r="B1387" i="2"/>
  <c r="C1387" i="2"/>
  <c r="B1388" i="2"/>
  <c r="C1388" i="2"/>
  <c r="B1389" i="2"/>
  <c r="C1389" i="2"/>
  <c r="B1390" i="2"/>
  <c r="C1390" i="2"/>
  <c r="B1391" i="2"/>
  <c r="C1391" i="2"/>
  <c r="B1392" i="2"/>
  <c r="C1392" i="2"/>
  <c r="B1393" i="2"/>
  <c r="C1393" i="2"/>
  <c r="B1394" i="2"/>
  <c r="C1394" i="2"/>
  <c r="B1395" i="2"/>
  <c r="C1395" i="2"/>
  <c r="B1396" i="2"/>
  <c r="C1396" i="2"/>
  <c r="B1397" i="2"/>
  <c r="C1397" i="2"/>
  <c r="B1398" i="2"/>
  <c r="C1398" i="2"/>
  <c r="B1399" i="2"/>
  <c r="C1399" i="2"/>
  <c r="B1400" i="2"/>
  <c r="C1400" i="2"/>
  <c r="B1401" i="2"/>
  <c r="C1401" i="2"/>
  <c r="B1402" i="2"/>
  <c r="C1402" i="2"/>
  <c r="B1403" i="2"/>
  <c r="C1403" i="2"/>
  <c r="B1404" i="2"/>
  <c r="C1404" i="2"/>
  <c r="B1405" i="2"/>
  <c r="C1405" i="2"/>
  <c r="B1406" i="2"/>
  <c r="C1406" i="2"/>
  <c r="B1407" i="2"/>
  <c r="C1407" i="2"/>
  <c r="B1408" i="2"/>
  <c r="C1408" i="2"/>
  <c r="B1409" i="2"/>
  <c r="C1409" i="2"/>
  <c r="B1410" i="2"/>
  <c r="C1410" i="2"/>
  <c r="B1411" i="2"/>
  <c r="C1411" i="2"/>
  <c r="B1412" i="2"/>
  <c r="C1412" i="2"/>
  <c r="B1413" i="2"/>
  <c r="C1413" i="2"/>
  <c r="B1414" i="2"/>
  <c r="C1414" i="2"/>
  <c r="B1415" i="2"/>
  <c r="C1415" i="2"/>
  <c r="B1416" i="2"/>
  <c r="C1416" i="2"/>
  <c r="B1417" i="2"/>
  <c r="C1417" i="2"/>
  <c r="B1418" i="2"/>
  <c r="C1418" i="2"/>
  <c r="B1419" i="2"/>
  <c r="C1419" i="2"/>
  <c r="B1420" i="2"/>
  <c r="C1420" i="2"/>
  <c r="B1421" i="2"/>
  <c r="C1421" i="2"/>
  <c r="B1422" i="2"/>
  <c r="C1422" i="2"/>
  <c r="B1423" i="2"/>
  <c r="C1423" i="2"/>
  <c r="B1424" i="2"/>
  <c r="C1424" i="2"/>
  <c r="B1425" i="2"/>
  <c r="C1425" i="2"/>
  <c r="B1426" i="2"/>
  <c r="C1426" i="2"/>
  <c r="B1427" i="2"/>
  <c r="C1427" i="2"/>
  <c r="B1428" i="2"/>
  <c r="C1428" i="2"/>
  <c r="B1429" i="2"/>
  <c r="C1429" i="2"/>
  <c r="B1430" i="2"/>
  <c r="C1430" i="2"/>
  <c r="B1431" i="2"/>
  <c r="C1431" i="2"/>
  <c r="B1432" i="2"/>
  <c r="C1432" i="2"/>
  <c r="B1433" i="2"/>
  <c r="C1433" i="2"/>
  <c r="B1434" i="2"/>
  <c r="C1434" i="2"/>
  <c r="B1435" i="2"/>
  <c r="C1435" i="2"/>
  <c r="B1436" i="2"/>
  <c r="C1436" i="2"/>
  <c r="B1437" i="2"/>
  <c r="C1437" i="2"/>
  <c r="B1438" i="2"/>
  <c r="C1438" i="2"/>
  <c r="B1439" i="2"/>
  <c r="C1439" i="2"/>
  <c r="B1440" i="2"/>
  <c r="C1440" i="2"/>
  <c r="B1441" i="2"/>
  <c r="C1441" i="2"/>
  <c r="B1442" i="2"/>
  <c r="C1442" i="2"/>
  <c r="B1443" i="2"/>
  <c r="C1443" i="2"/>
  <c r="B1444" i="2"/>
  <c r="C1444" i="2"/>
  <c r="B1445" i="2"/>
  <c r="C1445" i="2"/>
  <c r="B1446" i="2"/>
  <c r="C1446" i="2"/>
  <c r="B1447" i="2"/>
  <c r="C1447" i="2"/>
  <c r="B1448" i="2"/>
  <c r="C1448" i="2"/>
  <c r="B1449" i="2"/>
  <c r="C1449" i="2"/>
  <c r="B1450" i="2"/>
  <c r="C1450" i="2"/>
  <c r="B1451" i="2"/>
  <c r="C1451" i="2"/>
  <c r="B1452" i="2"/>
  <c r="C1452" i="2"/>
  <c r="B1453" i="2"/>
  <c r="C1453" i="2"/>
  <c r="B1454" i="2"/>
  <c r="C1454" i="2"/>
  <c r="B1455" i="2"/>
  <c r="C1455" i="2"/>
  <c r="B1456" i="2"/>
  <c r="C1456" i="2"/>
  <c r="B1457" i="2"/>
  <c r="C1457" i="2"/>
  <c r="B1458" i="2"/>
  <c r="C1458" i="2"/>
  <c r="B1459" i="2"/>
  <c r="C1459" i="2"/>
  <c r="B1460" i="2"/>
  <c r="C1460" i="2"/>
  <c r="B1461" i="2"/>
  <c r="C1461" i="2"/>
  <c r="B1462" i="2"/>
  <c r="C1462" i="2"/>
  <c r="B1463" i="2"/>
  <c r="C1463" i="2"/>
  <c r="B1464" i="2"/>
  <c r="C1464" i="2"/>
  <c r="B1465" i="2"/>
  <c r="C1465" i="2"/>
  <c r="B1466" i="2"/>
  <c r="C1466" i="2"/>
  <c r="B1467" i="2"/>
  <c r="C1467" i="2"/>
  <c r="B1468" i="2"/>
  <c r="C1468" i="2"/>
  <c r="B1469" i="2"/>
  <c r="C1469" i="2"/>
  <c r="B1470" i="2"/>
  <c r="C1470" i="2"/>
  <c r="B1471" i="2"/>
  <c r="C1471" i="2"/>
  <c r="B1472" i="2"/>
  <c r="C1472" i="2"/>
  <c r="B1473" i="2"/>
  <c r="C1473" i="2"/>
  <c r="B1474" i="2"/>
  <c r="C1474" i="2"/>
  <c r="B1475" i="2"/>
  <c r="C1475" i="2"/>
  <c r="B1476" i="2"/>
  <c r="C1476" i="2"/>
  <c r="B1477" i="2"/>
  <c r="C1477" i="2"/>
  <c r="B1478" i="2"/>
  <c r="C1478" i="2"/>
  <c r="B1479" i="2"/>
  <c r="C1479" i="2"/>
  <c r="B1480" i="2"/>
  <c r="C1480" i="2"/>
  <c r="B1481" i="2"/>
  <c r="C1481" i="2"/>
  <c r="B1482" i="2"/>
  <c r="C1482" i="2"/>
  <c r="B1483" i="2"/>
  <c r="C1483" i="2"/>
  <c r="B1484" i="2"/>
  <c r="C1484" i="2"/>
  <c r="B1485" i="2"/>
  <c r="C1485" i="2"/>
  <c r="B1486" i="2"/>
  <c r="C1486" i="2"/>
  <c r="B1487" i="2"/>
  <c r="C1487" i="2"/>
  <c r="B1488" i="2"/>
  <c r="C1488" i="2"/>
  <c r="B1489" i="2"/>
  <c r="C1489" i="2"/>
  <c r="B1490" i="2"/>
  <c r="C1490" i="2"/>
  <c r="B1491" i="2"/>
  <c r="C1491" i="2"/>
  <c r="B1492" i="2"/>
  <c r="C1492" i="2"/>
  <c r="B1493" i="2"/>
  <c r="C1493" i="2"/>
  <c r="B1494" i="2"/>
  <c r="C1494" i="2"/>
  <c r="B1495" i="2"/>
  <c r="C1495" i="2"/>
  <c r="B1496" i="2"/>
  <c r="C1496" i="2"/>
  <c r="B1497" i="2"/>
  <c r="C1497" i="2"/>
  <c r="B1498" i="2"/>
  <c r="C1498" i="2"/>
  <c r="B1499" i="2"/>
  <c r="C1499" i="2"/>
  <c r="B1500" i="2"/>
  <c r="C1500" i="2"/>
  <c r="B1501" i="2"/>
  <c r="C1501" i="2"/>
  <c r="B1502" i="2"/>
  <c r="C1502" i="2"/>
  <c r="B1503" i="2"/>
  <c r="C1503" i="2"/>
  <c r="B1504" i="2"/>
  <c r="C1504" i="2"/>
  <c r="B1505" i="2"/>
  <c r="C1505" i="2"/>
  <c r="B1506" i="2"/>
  <c r="C1506" i="2"/>
  <c r="B1507" i="2"/>
  <c r="C1507" i="2"/>
  <c r="B1508" i="2"/>
  <c r="C1508" i="2"/>
  <c r="B1509" i="2"/>
  <c r="C1509" i="2"/>
  <c r="B1510" i="2"/>
  <c r="C1510" i="2"/>
  <c r="B1511" i="2"/>
  <c r="C1511" i="2"/>
  <c r="B1512" i="2"/>
  <c r="C1512" i="2"/>
  <c r="B1513" i="2"/>
  <c r="C1513" i="2"/>
  <c r="B1514" i="2"/>
  <c r="C1514" i="2"/>
  <c r="B1515" i="2"/>
  <c r="C1515" i="2"/>
  <c r="B1516" i="2"/>
  <c r="C1516" i="2"/>
  <c r="B1517" i="2"/>
  <c r="C1517" i="2"/>
  <c r="B1518" i="2"/>
  <c r="C1518" i="2"/>
  <c r="B1519" i="2"/>
  <c r="C1519" i="2"/>
  <c r="B1520" i="2"/>
  <c r="C1520" i="2"/>
  <c r="B1521" i="2"/>
  <c r="C1521" i="2"/>
  <c r="B1522" i="2"/>
  <c r="C1522" i="2"/>
  <c r="B1523" i="2"/>
  <c r="C1523" i="2"/>
  <c r="B1524" i="2"/>
  <c r="C1524" i="2"/>
  <c r="B1525" i="2"/>
  <c r="C1525" i="2"/>
  <c r="B1526" i="2"/>
  <c r="C1526" i="2"/>
  <c r="B1527" i="2"/>
  <c r="C1527" i="2"/>
  <c r="B1528" i="2"/>
  <c r="C1528" i="2"/>
  <c r="B1529" i="2"/>
  <c r="C1529" i="2"/>
  <c r="B1530" i="2"/>
  <c r="C1530" i="2"/>
  <c r="B1531" i="2"/>
  <c r="C1531" i="2"/>
  <c r="B1532" i="2"/>
  <c r="C1532" i="2"/>
  <c r="B1533" i="2"/>
  <c r="C1533" i="2"/>
  <c r="B1534" i="2"/>
  <c r="C1534" i="2"/>
  <c r="B1535" i="2"/>
  <c r="C1535" i="2"/>
  <c r="B1536" i="2"/>
  <c r="C1536" i="2"/>
  <c r="B1537" i="2"/>
  <c r="C1537" i="2"/>
  <c r="B1538" i="2"/>
  <c r="C1538" i="2"/>
  <c r="B1539" i="2"/>
  <c r="C1539" i="2"/>
  <c r="B1540" i="2"/>
  <c r="C1540" i="2"/>
  <c r="B1541" i="2"/>
  <c r="C1541" i="2"/>
  <c r="B1542" i="2"/>
  <c r="C1542" i="2"/>
  <c r="B1543" i="2"/>
  <c r="C1543" i="2"/>
  <c r="B1544" i="2"/>
  <c r="C1544" i="2"/>
  <c r="B1545" i="2"/>
  <c r="C1545" i="2"/>
  <c r="B1546" i="2"/>
  <c r="C1546" i="2"/>
  <c r="B1547" i="2"/>
  <c r="C1547" i="2"/>
  <c r="B1548" i="2"/>
  <c r="C1548" i="2"/>
  <c r="B1549" i="2"/>
  <c r="C1549" i="2"/>
  <c r="B1550" i="2"/>
  <c r="C1550" i="2"/>
  <c r="B1551" i="2"/>
  <c r="C1551" i="2"/>
  <c r="B1552" i="2"/>
  <c r="C1552" i="2"/>
  <c r="B1553" i="2"/>
  <c r="C1553" i="2"/>
  <c r="B1554" i="2"/>
  <c r="C1554" i="2"/>
  <c r="B1555" i="2"/>
  <c r="C1555" i="2"/>
  <c r="B1556" i="2"/>
  <c r="C1556" i="2"/>
  <c r="B1557" i="2"/>
  <c r="C1557" i="2"/>
  <c r="B1558" i="2"/>
  <c r="C1558" i="2"/>
  <c r="B1559" i="2"/>
  <c r="C1559" i="2"/>
  <c r="B1560" i="2"/>
  <c r="C1560" i="2"/>
  <c r="D1560" i="2" s="1"/>
  <c r="B1561" i="2"/>
  <c r="C1561" i="2"/>
  <c r="B1562" i="2"/>
  <c r="C1562" i="2"/>
  <c r="B1563" i="2"/>
  <c r="C1563" i="2"/>
  <c r="B1564" i="2"/>
  <c r="C1564" i="2"/>
  <c r="B1565" i="2"/>
  <c r="C1565" i="2"/>
  <c r="B1566" i="2"/>
  <c r="C1566" i="2"/>
  <c r="B1567" i="2"/>
  <c r="C1567" i="2"/>
  <c r="B1568" i="2"/>
  <c r="C1568" i="2"/>
  <c r="B1569" i="2"/>
  <c r="C1569" i="2"/>
  <c r="B1570" i="2"/>
  <c r="C1570" i="2"/>
  <c r="B1571" i="2"/>
  <c r="C1571" i="2"/>
  <c r="B1572" i="2"/>
  <c r="C1572" i="2"/>
  <c r="B1573" i="2"/>
  <c r="C1573" i="2"/>
  <c r="B1574" i="2"/>
  <c r="C1574" i="2"/>
  <c r="B1575" i="2"/>
  <c r="C1575" i="2"/>
  <c r="B1576" i="2"/>
  <c r="C1576" i="2"/>
  <c r="B1577" i="2"/>
  <c r="C1577" i="2"/>
  <c r="B1578" i="2"/>
  <c r="C1578" i="2"/>
  <c r="B1579" i="2"/>
  <c r="C1579" i="2"/>
  <c r="B1580" i="2"/>
  <c r="C1580" i="2"/>
  <c r="B1581" i="2"/>
  <c r="C1581" i="2"/>
  <c r="B1582" i="2"/>
  <c r="C1582" i="2"/>
  <c r="B1583" i="2"/>
  <c r="C1583" i="2"/>
  <c r="B1584" i="2"/>
  <c r="C1584" i="2"/>
  <c r="B1585" i="2"/>
  <c r="C1585" i="2"/>
  <c r="B1586" i="2"/>
  <c r="C1586" i="2"/>
  <c r="B1587" i="2"/>
  <c r="C1587" i="2"/>
  <c r="B1588" i="2"/>
  <c r="C1588" i="2"/>
  <c r="B1589" i="2"/>
  <c r="C1589" i="2"/>
  <c r="B1590" i="2"/>
  <c r="C1590" i="2"/>
  <c r="B1591" i="2"/>
  <c r="C1591" i="2"/>
  <c r="B1592" i="2"/>
  <c r="C1592" i="2"/>
  <c r="B1593" i="2"/>
  <c r="C1593" i="2"/>
  <c r="B1594" i="2"/>
  <c r="C1594" i="2"/>
  <c r="B1595" i="2"/>
  <c r="C1595" i="2"/>
  <c r="B1596" i="2"/>
  <c r="C1596" i="2"/>
  <c r="B1597" i="2"/>
  <c r="C1597" i="2"/>
  <c r="B1598" i="2"/>
  <c r="C1598" i="2"/>
  <c r="B1599" i="2"/>
  <c r="C1599" i="2"/>
  <c r="B1600" i="2"/>
  <c r="C1600" i="2"/>
  <c r="B1601" i="2"/>
  <c r="C1601" i="2"/>
  <c r="B1602" i="2"/>
  <c r="C1602" i="2"/>
  <c r="B1603" i="2"/>
  <c r="C1603" i="2"/>
  <c r="B1604" i="2"/>
  <c r="C1604" i="2"/>
  <c r="B1605" i="2"/>
  <c r="C1605" i="2"/>
  <c r="B1606" i="2"/>
  <c r="C1606" i="2"/>
  <c r="B1607" i="2"/>
  <c r="C1607" i="2"/>
  <c r="B1608" i="2"/>
  <c r="C1608" i="2"/>
  <c r="B1609" i="2"/>
  <c r="C1609" i="2"/>
  <c r="B1610" i="2"/>
  <c r="C1610" i="2"/>
  <c r="B1611" i="2"/>
  <c r="C1611" i="2"/>
  <c r="B1612" i="2"/>
  <c r="C1612" i="2"/>
  <c r="B1613" i="2"/>
  <c r="C1613" i="2"/>
  <c r="B1614" i="2"/>
  <c r="C1614" i="2"/>
  <c r="B1615" i="2"/>
  <c r="C1615" i="2"/>
  <c r="B1616" i="2"/>
  <c r="C1616" i="2"/>
  <c r="B1617" i="2"/>
  <c r="C1617" i="2"/>
  <c r="B1618" i="2"/>
  <c r="C1618" i="2"/>
  <c r="B1619" i="2"/>
  <c r="C1619" i="2"/>
  <c r="B1620" i="2"/>
  <c r="C1620" i="2"/>
  <c r="B1621" i="2"/>
  <c r="C1621" i="2"/>
  <c r="B1622" i="2"/>
  <c r="C1622" i="2"/>
  <c r="B1623" i="2"/>
  <c r="C1623" i="2"/>
  <c r="B1624" i="2"/>
  <c r="C1624" i="2"/>
  <c r="B1625" i="2"/>
  <c r="C1625" i="2"/>
  <c r="B1626" i="2"/>
  <c r="C1626" i="2"/>
  <c r="B1627" i="2"/>
  <c r="C1627" i="2"/>
  <c r="B1628" i="2"/>
  <c r="C1628" i="2"/>
  <c r="B1629" i="2"/>
  <c r="C1629" i="2"/>
  <c r="B1630" i="2"/>
  <c r="C1630" i="2"/>
  <c r="B1631" i="2"/>
  <c r="C1631" i="2"/>
  <c r="B1632" i="2"/>
  <c r="C1632" i="2"/>
  <c r="B1633" i="2"/>
  <c r="C1633" i="2"/>
  <c r="B1634" i="2"/>
  <c r="D1634" i="2" s="1"/>
  <c r="C1634" i="2"/>
  <c r="B1635" i="2"/>
  <c r="C1635" i="2"/>
  <c r="B1636" i="2"/>
  <c r="C1636" i="2"/>
  <c r="B1637" i="2"/>
  <c r="C1637" i="2"/>
  <c r="B1638" i="2"/>
  <c r="C1638" i="2"/>
  <c r="B1639" i="2"/>
  <c r="C1639" i="2"/>
  <c r="B1640" i="2"/>
  <c r="C1640" i="2"/>
  <c r="B1641" i="2"/>
  <c r="C1641" i="2"/>
  <c r="B1642" i="2"/>
  <c r="D1642" i="2" s="1"/>
  <c r="C1642" i="2"/>
  <c r="B1643" i="2"/>
  <c r="C1643" i="2"/>
  <c r="B1644" i="2"/>
  <c r="C1644" i="2"/>
  <c r="D1644" i="2" s="1"/>
  <c r="B1645" i="2"/>
  <c r="C1645" i="2"/>
  <c r="B1646" i="2"/>
  <c r="C1646" i="2"/>
  <c r="B1647" i="2"/>
  <c r="C1647" i="2"/>
  <c r="B1648" i="2"/>
  <c r="C1648" i="2"/>
  <c r="B1649" i="2"/>
  <c r="C1649" i="2"/>
  <c r="B1650" i="2"/>
  <c r="C1650" i="2"/>
  <c r="B1651" i="2"/>
  <c r="C1651" i="2"/>
  <c r="B1652" i="2"/>
  <c r="C1652" i="2"/>
  <c r="B1653" i="2"/>
  <c r="C1653" i="2"/>
  <c r="B1654" i="2"/>
  <c r="C1654" i="2"/>
  <c r="B1655" i="2"/>
  <c r="C1655" i="2"/>
  <c r="B1656" i="2"/>
  <c r="C1656" i="2"/>
  <c r="B1657" i="2"/>
  <c r="C1657" i="2"/>
  <c r="B1658" i="2"/>
  <c r="C1658" i="2"/>
  <c r="B1659" i="2"/>
  <c r="C1659" i="2"/>
  <c r="B1660" i="2"/>
  <c r="C1660" i="2"/>
  <c r="B1661" i="2"/>
  <c r="C1661" i="2"/>
  <c r="B1662" i="2"/>
  <c r="C1662" i="2"/>
  <c r="B1663" i="2"/>
  <c r="C1663" i="2"/>
  <c r="B1664" i="2"/>
  <c r="C1664" i="2"/>
  <c r="B1665" i="2"/>
  <c r="C1665" i="2"/>
  <c r="B1666" i="2"/>
  <c r="C1666" i="2"/>
  <c r="B1667" i="2"/>
  <c r="C1667" i="2"/>
  <c r="B1668" i="2"/>
  <c r="C1668" i="2"/>
  <c r="B1669" i="2"/>
  <c r="C1669" i="2"/>
  <c r="B1670" i="2"/>
  <c r="C1670" i="2"/>
  <c r="B1671" i="2"/>
  <c r="C1671" i="2"/>
  <c r="B1672" i="2"/>
  <c r="C1672" i="2"/>
  <c r="B1673" i="2"/>
  <c r="C1673" i="2"/>
  <c r="B1674" i="2"/>
  <c r="C1674" i="2"/>
  <c r="B1675" i="2"/>
  <c r="C1675" i="2"/>
  <c r="B1676" i="2"/>
  <c r="C1676" i="2"/>
  <c r="B1677" i="2"/>
  <c r="C1677" i="2"/>
  <c r="B1678" i="2"/>
  <c r="C1678" i="2"/>
  <c r="B1679" i="2"/>
  <c r="C1679" i="2"/>
  <c r="B1680" i="2"/>
  <c r="C1680" i="2"/>
  <c r="D1680" i="2" s="1"/>
  <c r="B1681" i="2"/>
  <c r="C1681" i="2"/>
  <c r="B1682" i="2"/>
  <c r="C1682" i="2"/>
  <c r="B1683" i="2"/>
  <c r="C1683" i="2"/>
  <c r="B1684" i="2"/>
  <c r="C1684" i="2"/>
  <c r="B1685" i="2"/>
  <c r="C1685" i="2"/>
  <c r="B1686" i="2"/>
  <c r="C1686" i="2"/>
  <c r="B1687" i="2"/>
  <c r="C1687" i="2"/>
  <c r="B1688" i="2"/>
  <c r="C1688" i="2"/>
  <c r="B1689" i="2"/>
  <c r="C1689" i="2"/>
  <c r="B1690" i="2"/>
  <c r="C1690" i="2"/>
  <c r="B1691" i="2"/>
  <c r="C1691" i="2"/>
  <c r="B1692" i="2"/>
  <c r="C1692" i="2"/>
  <c r="B1693" i="2"/>
  <c r="C1693" i="2"/>
  <c r="B1694" i="2"/>
  <c r="C1694" i="2"/>
  <c r="B1695" i="2"/>
  <c r="C1695" i="2"/>
  <c r="B1696" i="2"/>
  <c r="C1696" i="2"/>
  <c r="B1697" i="2"/>
  <c r="C1697" i="2"/>
  <c r="B1698" i="2"/>
  <c r="C1698" i="2"/>
  <c r="B1699" i="2"/>
  <c r="C1699" i="2"/>
  <c r="B1700" i="2"/>
  <c r="C1700" i="2"/>
  <c r="B1701" i="2"/>
  <c r="C1701" i="2"/>
  <c r="B1702" i="2"/>
  <c r="C1702" i="2"/>
  <c r="B1703" i="2"/>
  <c r="C1703" i="2"/>
  <c r="B1704" i="2"/>
  <c r="C1704" i="2"/>
  <c r="B1705" i="2"/>
  <c r="C1705" i="2"/>
  <c r="B1706" i="2"/>
  <c r="C1706" i="2"/>
  <c r="B1707" i="2"/>
  <c r="C1707" i="2"/>
  <c r="B1708" i="2"/>
  <c r="C1708" i="2"/>
  <c r="B1709" i="2"/>
  <c r="C1709" i="2"/>
  <c r="B1710" i="2"/>
  <c r="C1710" i="2"/>
  <c r="B1711" i="2"/>
  <c r="C1711" i="2"/>
  <c r="B1712" i="2"/>
  <c r="C1712" i="2"/>
  <c r="B1713" i="2"/>
  <c r="C1713" i="2"/>
  <c r="B1714" i="2"/>
  <c r="C1714" i="2"/>
  <c r="B1715" i="2"/>
  <c r="C1715" i="2"/>
  <c r="B1716" i="2"/>
  <c r="C1716" i="2"/>
  <c r="B1717" i="2"/>
  <c r="C1717" i="2"/>
  <c r="B1718" i="2"/>
  <c r="C1718" i="2"/>
  <c r="B1719" i="2"/>
  <c r="C1719" i="2"/>
  <c r="B1720" i="2"/>
  <c r="C1720" i="2"/>
  <c r="B1721" i="2"/>
  <c r="C1721" i="2"/>
  <c r="B1722" i="2"/>
  <c r="C1722" i="2"/>
  <c r="B1723" i="2"/>
  <c r="C1723" i="2"/>
  <c r="B1724" i="2"/>
  <c r="C1724" i="2"/>
  <c r="B1725" i="2"/>
  <c r="C1725" i="2"/>
  <c r="B1726" i="2"/>
  <c r="C1726" i="2"/>
  <c r="B1727" i="2"/>
  <c r="C1727" i="2"/>
  <c r="B1728" i="2"/>
  <c r="C1728" i="2"/>
  <c r="B1729" i="2"/>
  <c r="C1729" i="2"/>
  <c r="B1730" i="2"/>
  <c r="C1730" i="2"/>
  <c r="B1731" i="2"/>
  <c r="C1731" i="2"/>
  <c r="B1732" i="2"/>
  <c r="C1732" i="2"/>
  <c r="B1733" i="2"/>
  <c r="C1733" i="2"/>
  <c r="B1734" i="2"/>
  <c r="C1734" i="2"/>
  <c r="B1735" i="2"/>
  <c r="C1735" i="2"/>
  <c r="B1736" i="2"/>
  <c r="C1736" i="2"/>
  <c r="B1737" i="2"/>
  <c r="C1737" i="2"/>
  <c r="B1738" i="2"/>
  <c r="C1738" i="2"/>
  <c r="B1739" i="2"/>
  <c r="C1739" i="2"/>
  <c r="B1740" i="2"/>
  <c r="C1740" i="2"/>
  <c r="B1741" i="2"/>
  <c r="C1741" i="2"/>
  <c r="B1742" i="2"/>
  <c r="C1742" i="2"/>
  <c r="B1743" i="2"/>
  <c r="C1743" i="2"/>
  <c r="B1744" i="2"/>
  <c r="C1744" i="2"/>
  <c r="B1745" i="2"/>
  <c r="C1745" i="2"/>
  <c r="B1746" i="2"/>
  <c r="C1746" i="2"/>
  <c r="B1747" i="2"/>
  <c r="C1747" i="2"/>
  <c r="B1748" i="2"/>
  <c r="C1748" i="2"/>
  <c r="B1749" i="2"/>
  <c r="C1749" i="2"/>
  <c r="B1750" i="2"/>
  <c r="C1750" i="2"/>
  <c r="B1751" i="2"/>
  <c r="C1751" i="2"/>
  <c r="B1752" i="2"/>
  <c r="C1752" i="2"/>
  <c r="B1753" i="2"/>
  <c r="C1753" i="2"/>
  <c r="B1754" i="2"/>
  <c r="C1754" i="2"/>
  <c r="B1755" i="2"/>
  <c r="C1755" i="2"/>
  <c r="B1756" i="2"/>
  <c r="C1756" i="2"/>
  <c r="B1757" i="2"/>
  <c r="C1757" i="2"/>
  <c r="B1758" i="2"/>
  <c r="C1758" i="2"/>
  <c r="B1759" i="2"/>
  <c r="C1759" i="2"/>
  <c r="B1760" i="2"/>
  <c r="C1760" i="2"/>
  <c r="B1761" i="2"/>
  <c r="C1761" i="2"/>
  <c r="B1762" i="2"/>
  <c r="C1762" i="2"/>
  <c r="B1763" i="2"/>
  <c r="C1763" i="2"/>
  <c r="B1764" i="2"/>
  <c r="C1764" i="2"/>
  <c r="B1765" i="2"/>
  <c r="C1765" i="2"/>
  <c r="B1766" i="2"/>
  <c r="C1766" i="2"/>
  <c r="B1767" i="2"/>
  <c r="C1767" i="2"/>
  <c r="B1768" i="2"/>
  <c r="C1768" i="2"/>
  <c r="B1769" i="2"/>
  <c r="C1769" i="2"/>
  <c r="B1770" i="2"/>
  <c r="C1770" i="2"/>
  <c r="B1771" i="2"/>
  <c r="C1771" i="2"/>
  <c r="B1772" i="2"/>
  <c r="C1772" i="2"/>
  <c r="B1773" i="2"/>
  <c r="C1773" i="2"/>
  <c r="B1774" i="2"/>
  <c r="C1774" i="2"/>
  <c r="B1775" i="2"/>
  <c r="C1775" i="2"/>
  <c r="B1776" i="2"/>
  <c r="C1776" i="2"/>
  <c r="B1777" i="2"/>
  <c r="C1777" i="2"/>
  <c r="B1778" i="2"/>
  <c r="C1778" i="2"/>
  <c r="B1779" i="2"/>
  <c r="C1779" i="2"/>
  <c r="B1780" i="2"/>
  <c r="C1780" i="2"/>
  <c r="B1781" i="2"/>
  <c r="C1781" i="2"/>
  <c r="B1782" i="2"/>
  <c r="C1782" i="2"/>
  <c r="B1783" i="2"/>
  <c r="C1783" i="2"/>
  <c r="B1784" i="2"/>
  <c r="C1784" i="2"/>
  <c r="B1785" i="2"/>
  <c r="C1785" i="2"/>
  <c r="B1786" i="2"/>
  <c r="C1786" i="2"/>
  <c r="B1787" i="2"/>
  <c r="C1787" i="2"/>
  <c r="B1788" i="2"/>
  <c r="C1788" i="2"/>
  <c r="B1789" i="2"/>
  <c r="C1789" i="2"/>
  <c r="B1790" i="2"/>
  <c r="C1790" i="2"/>
  <c r="B1791" i="2"/>
  <c r="C1791" i="2"/>
  <c r="B1792" i="2"/>
  <c r="C1792" i="2"/>
  <c r="B1793" i="2"/>
  <c r="C1793" i="2"/>
  <c r="B1794" i="2"/>
  <c r="C1794" i="2"/>
  <c r="B1795" i="2"/>
  <c r="C1795" i="2"/>
  <c r="B1796" i="2"/>
  <c r="C1796" i="2"/>
  <c r="B1797" i="2"/>
  <c r="C1797" i="2"/>
  <c r="B1798" i="2"/>
  <c r="C1798" i="2"/>
  <c r="B1799" i="2"/>
  <c r="C1799" i="2"/>
  <c r="B1800" i="2"/>
  <c r="C1800" i="2"/>
  <c r="B1801" i="2"/>
  <c r="C1801" i="2"/>
  <c r="B1802" i="2"/>
  <c r="C1802" i="2"/>
  <c r="B1803" i="2"/>
  <c r="C1803" i="2"/>
  <c r="B1804" i="2"/>
  <c r="C1804" i="2"/>
  <c r="B1805" i="2"/>
  <c r="C1805" i="2"/>
  <c r="B1806" i="2"/>
  <c r="C1806" i="2"/>
  <c r="B1807" i="2"/>
  <c r="C1807" i="2"/>
  <c r="B1808" i="2"/>
  <c r="C1808" i="2"/>
  <c r="B1809" i="2"/>
  <c r="C1809" i="2"/>
  <c r="B1810" i="2"/>
  <c r="C1810" i="2"/>
  <c r="B1811" i="2"/>
  <c r="C1811" i="2"/>
  <c r="B1812" i="2"/>
  <c r="C1812" i="2"/>
  <c r="B1813" i="2"/>
  <c r="C1813" i="2"/>
  <c r="B1814" i="2"/>
  <c r="C1814" i="2"/>
  <c r="B1815" i="2"/>
  <c r="C1815" i="2"/>
  <c r="B1816" i="2"/>
  <c r="C1816" i="2"/>
  <c r="B1817" i="2"/>
  <c r="C1817" i="2"/>
  <c r="B1818" i="2"/>
  <c r="C1818" i="2"/>
  <c r="B1819" i="2"/>
  <c r="C1819" i="2"/>
  <c r="B1820" i="2"/>
  <c r="C1820" i="2"/>
  <c r="B1821" i="2"/>
  <c r="C1821" i="2"/>
  <c r="B1822" i="2"/>
  <c r="C1822" i="2"/>
  <c r="B1823" i="2"/>
  <c r="C1823" i="2"/>
  <c r="B1824" i="2"/>
  <c r="C1824" i="2"/>
  <c r="B1825" i="2"/>
  <c r="C1825" i="2"/>
  <c r="B1826" i="2"/>
  <c r="C1826" i="2"/>
  <c r="B1827" i="2"/>
  <c r="C1827" i="2"/>
  <c r="B1828" i="2"/>
  <c r="C1828" i="2"/>
  <c r="B1829" i="2"/>
  <c r="C1829" i="2"/>
  <c r="B1830" i="2"/>
  <c r="C1830" i="2"/>
  <c r="B1831" i="2"/>
  <c r="C1831" i="2"/>
  <c r="B1832" i="2"/>
  <c r="C1832" i="2"/>
  <c r="B1833" i="2"/>
  <c r="C1833" i="2"/>
  <c r="B1834" i="2"/>
  <c r="C1834" i="2"/>
  <c r="B1835" i="2"/>
  <c r="C1835" i="2"/>
  <c r="B1836" i="2"/>
  <c r="C1836" i="2"/>
  <c r="B1837" i="2"/>
  <c r="C1837" i="2"/>
  <c r="B1838" i="2"/>
  <c r="C1838" i="2"/>
  <c r="B1839" i="2"/>
  <c r="C1839" i="2"/>
  <c r="B1840" i="2"/>
  <c r="C1840" i="2"/>
  <c r="B1841" i="2"/>
  <c r="C1841" i="2"/>
  <c r="B1842" i="2"/>
  <c r="C1842" i="2"/>
  <c r="B1843" i="2"/>
  <c r="C1843" i="2"/>
  <c r="B1844" i="2"/>
  <c r="C1844" i="2"/>
  <c r="B1845" i="2"/>
  <c r="C1845" i="2"/>
  <c r="B1846" i="2"/>
  <c r="C1846" i="2"/>
  <c r="B1847" i="2"/>
  <c r="C1847" i="2"/>
  <c r="B1848" i="2"/>
  <c r="C1848" i="2"/>
  <c r="B1849" i="2"/>
  <c r="C1849" i="2"/>
  <c r="B1850" i="2"/>
  <c r="C1850" i="2"/>
  <c r="B1851" i="2"/>
  <c r="C1851" i="2"/>
  <c r="B1852" i="2"/>
  <c r="C1852" i="2"/>
  <c r="B1853" i="2"/>
  <c r="C1853" i="2"/>
  <c r="B1854" i="2"/>
  <c r="C1854" i="2"/>
  <c r="B1855" i="2"/>
  <c r="C1855" i="2"/>
  <c r="B1856" i="2"/>
  <c r="C1856" i="2"/>
  <c r="B1857" i="2"/>
  <c r="C1857" i="2"/>
  <c r="B1858" i="2"/>
  <c r="C1858" i="2"/>
  <c r="B1859" i="2"/>
  <c r="C1859" i="2"/>
  <c r="B1860" i="2"/>
  <c r="C1860" i="2"/>
  <c r="B1861" i="2"/>
  <c r="C1861" i="2"/>
  <c r="B1862" i="2"/>
  <c r="C1862" i="2"/>
  <c r="B1863" i="2"/>
  <c r="C1863" i="2"/>
  <c r="B1864" i="2"/>
  <c r="C1864" i="2"/>
  <c r="B1865" i="2"/>
  <c r="C1865" i="2"/>
  <c r="B1866" i="2"/>
  <c r="C1866" i="2"/>
  <c r="B1867" i="2"/>
  <c r="C1867" i="2"/>
  <c r="B1868" i="2"/>
  <c r="C1868" i="2"/>
  <c r="B1869" i="2"/>
  <c r="C1869" i="2"/>
  <c r="B1870" i="2"/>
  <c r="C1870" i="2"/>
  <c r="B1871" i="2"/>
  <c r="C1871" i="2"/>
  <c r="B1872" i="2"/>
  <c r="C1872" i="2"/>
  <c r="B1873" i="2"/>
  <c r="C1873" i="2"/>
  <c r="B1874" i="2"/>
  <c r="C1874" i="2"/>
  <c r="B1875" i="2"/>
  <c r="C1875" i="2"/>
  <c r="B1876" i="2"/>
  <c r="C1876" i="2"/>
  <c r="B1877" i="2"/>
  <c r="C1877" i="2"/>
  <c r="B1878" i="2"/>
  <c r="C1878" i="2"/>
  <c r="B1879" i="2"/>
  <c r="C1879" i="2"/>
  <c r="B1880" i="2"/>
  <c r="C1880" i="2"/>
  <c r="B1881" i="2"/>
  <c r="C1881" i="2"/>
  <c r="B1882" i="2"/>
  <c r="C1882" i="2"/>
  <c r="B1883" i="2"/>
  <c r="C1883" i="2"/>
  <c r="B1884" i="2"/>
  <c r="C1884" i="2"/>
  <c r="B1885" i="2"/>
  <c r="C1885" i="2"/>
  <c r="B1886" i="2"/>
  <c r="C1886" i="2"/>
  <c r="B1887" i="2"/>
  <c r="C1887" i="2"/>
  <c r="B1888" i="2"/>
  <c r="C1888" i="2"/>
  <c r="B1889" i="2"/>
  <c r="C1889" i="2"/>
  <c r="B1890" i="2"/>
  <c r="C1890" i="2"/>
  <c r="B1891" i="2"/>
  <c r="C1891" i="2"/>
  <c r="B1892" i="2"/>
  <c r="C1892" i="2"/>
  <c r="B1893" i="2"/>
  <c r="C1893" i="2"/>
  <c r="B1894" i="2"/>
  <c r="C1894" i="2"/>
  <c r="B1895" i="2"/>
  <c r="C1895" i="2"/>
  <c r="B1896" i="2"/>
  <c r="C1896" i="2"/>
  <c r="B1897" i="2"/>
  <c r="C1897" i="2"/>
  <c r="B1898" i="2"/>
  <c r="C1898" i="2"/>
  <c r="B1899" i="2"/>
  <c r="C1899" i="2"/>
  <c r="B1900" i="2"/>
  <c r="C1900" i="2"/>
  <c r="B1901" i="2"/>
  <c r="C1901" i="2"/>
  <c r="B1902" i="2"/>
  <c r="C1902" i="2"/>
  <c r="B1903" i="2"/>
  <c r="C1903" i="2"/>
  <c r="B1904" i="2"/>
  <c r="C1904" i="2"/>
  <c r="B1905" i="2"/>
  <c r="C1905" i="2"/>
  <c r="B1906" i="2"/>
  <c r="C1906" i="2"/>
  <c r="B1907" i="2"/>
  <c r="C1907" i="2"/>
  <c r="B1908" i="2"/>
  <c r="C1908" i="2"/>
  <c r="B1909" i="2"/>
  <c r="C1909" i="2"/>
  <c r="B1910" i="2"/>
  <c r="C1910" i="2"/>
  <c r="B1911" i="2"/>
  <c r="C1911" i="2"/>
  <c r="B1912" i="2"/>
  <c r="C1912" i="2"/>
  <c r="B1913" i="2"/>
  <c r="C1913" i="2"/>
  <c r="B1914" i="2"/>
  <c r="C1914" i="2"/>
  <c r="B1915" i="2"/>
  <c r="C1915" i="2"/>
  <c r="B1916" i="2"/>
  <c r="C1916" i="2"/>
  <c r="B1917" i="2"/>
  <c r="C1917" i="2"/>
  <c r="B1918" i="2"/>
  <c r="C1918" i="2"/>
  <c r="B1919" i="2"/>
  <c r="C1919" i="2"/>
  <c r="B1920" i="2"/>
  <c r="C1920" i="2"/>
  <c r="B1921" i="2"/>
  <c r="C1921" i="2"/>
  <c r="B1922" i="2"/>
  <c r="C1922" i="2"/>
  <c r="B1923" i="2"/>
  <c r="C1923" i="2"/>
  <c r="B1924" i="2"/>
  <c r="C1924" i="2"/>
  <c r="B1925" i="2"/>
  <c r="C1925" i="2"/>
  <c r="B1926" i="2"/>
  <c r="C1926" i="2"/>
  <c r="B1927" i="2"/>
  <c r="C1927" i="2"/>
  <c r="B1928" i="2"/>
  <c r="C1928" i="2"/>
  <c r="B1929" i="2"/>
  <c r="C1929" i="2"/>
  <c r="B1930" i="2"/>
  <c r="C1930" i="2"/>
  <c r="B1931" i="2"/>
  <c r="C1931" i="2"/>
  <c r="B1932" i="2"/>
  <c r="C1932" i="2"/>
  <c r="B1933" i="2"/>
  <c r="C1933" i="2"/>
  <c r="B1934" i="2"/>
  <c r="C1934" i="2"/>
  <c r="B1935" i="2"/>
  <c r="C1935" i="2"/>
  <c r="B1936" i="2"/>
  <c r="C1936" i="2"/>
  <c r="B1937" i="2"/>
  <c r="C1937" i="2"/>
  <c r="B1938" i="2"/>
  <c r="C1938" i="2"/>
  <c r="B1939" i="2"/>
  <c r="C1939" i="2"/>
  <c r="B1940" i="2"/>
  <c r="C1940" i="2"/>
  <c r="B1941" i="2"/>
  <c r="C1941" i="2"/>
  <c r="B1942" i="2"/>
  <c r="C1942" i="2"/>
  <c r="B1943" i="2"/>
  <c r="C1943" i="2"/>
  <c r="B1944" i="2"/>
  <c r="C1944" i="2"/>
  <c r="B1945" i="2"/>
  <c r="C1945" i="2"/>
  <c r="B1946" i="2"/>
  <c r="C1946" i="2"/>
  <c r="B1947" i="2"/>
  <c r="C1947" i="2"/>
  <c r="B1948" i="2"/>
  <c r="C1948" i="2"/>
  <c r="B1949" i="2"/>
  <c r="C1949" i="2"/>
  <c r="B1950" i="2"/>
  <c r="C1950" i="2"/>
  <c r="B1951" i="2"/>
  <c r="C1951" i="2"/>
  <c r="B1952" i="2"/>
  <c r="C1952" i="2"/>
  <c r="B1953" i="2"/>
  <c r="C1953" i="2"/>
  <c r="B1954" i="2"/>
  <c r="C1954" i="2"/>
  <c r="B1955" i="2"/>
  <c r="C1955" i="2"/>
  <c r="B1956" i="2"/>
  <c r="C1956" i="2"/>
  <c r="B1957" i="2"/>
  <c r="C1957" i="2"/>
  <c r="B1958" i="2"/>
  <c r="C1958" i="2"/>
  <c r="B1959" i="2"/>
  <c r="C1959" i="2"/>
  <c r="B1960" i="2"/>
  <c r="C1960" i="2"/>
  <c r="B1961" i="2"/>
  <c r="C1961" i="2"/>
  <c r="B1962" i="2"/>
  <c r="C1962" i="2"/>
  <c r="B1963" i="2"/>
  <c r="C1963" i="2"/>
  <c r="B1964" i="2"/>
  <c r="C1964" i="2"/>
  <c r="B1965" i="2"/>
  <c r="C1965" i="2"/>
  <c r="B1966" i="2"/>
  <c r="C1966" i="2"/>
  <c r="B1967" i="2"/>
  <c r="C1967" i="2"/>
  <c r="B1968" i="2"/>
  <c r="C1968" i="2"/>
  <c r="B1969" i="2"/>
  <c r="C1969" i="2"/>
  <c r="B1970" i="2"/>
  <c r="C1970" i="2"/>
  <c r="B1971" i="2"/>
  <c r="C1971" i="2"/>
  <c r="B1972" i="2"/>
  <c r="C1972" i="2"/>
  <c r="B1973" i="2"/>
  <c r="C1973" i="2"/>
  <c r="B1974" i="2"/>
  <c r="C1974" i="2"/>
  <c r="B1975" i="2"/>
  <c r="C1975" i="2"/>
  <c r="B1976" i="2"/>
  <c r="C1976" i="2"/>
  <c r="B1977" i="2"/>
  <c r="C1977" i="2"/>
  <c r="B1978" i="2"/>
  <c r="C1978" i="2"/>
  <c r="B1979" i="2"/>
  <c r="C1979" i="2"/>
  <c r="B1980" i="2"/>
  <c r="C1980" i="2"/>
  <c r="B1981" i="2"/>
  <c r="C1981" i="2"/>
  <c r="B1982" i="2"/>
  <c r="C1982" i="2"/>
  <c r="B1983" i="2"/>
  <c r="C1983" i="2"/>
  <c r="B1984" i="2"/>
  <c r="C1984" i="2"/>
  <c r="B1985" i="2"/>
  <c r="C1985" i="2"/>
  <c r="B1986" i="2"/>
  <c r="C1986" i="2"/>
  <c r="B1987" i="2"/>
  <c r="C1987" i="2"/>
  <c r="B1988" i="2"/>
  <c r="C1988" i="2"/>
  <c r="B1989" i="2"/>
  <c r="C1989" i="2"/>
  <c r="B1990" i="2"/>
  <c r="C1990" i="2"/>
  <c r="B1991" i="2"/>
  <c r="C1991" i="2"/>
  <c r="B1992" i="2"/>
  <c r="C1992" i="2"/>
  <c r="B1993" i="2"/>
  <c r="C1993" i="2"/>
  <c r="B1994" i="2"/>
  <c r="C1994" i="2"/>
  <c r="B1995" i="2"/>
  <c r="C1995" i="2"/>
  <c r="B1996" i="2"/>
  <c r="C1996" i="2"/>
  <c r="B1997" i="2"/>
  <c r="C1997" i="2"/>
  <c r="B1998" i="2"/>
  <c r="C1998" i="2"/>
  <c r="B1999" i="2"/>
  <c r="C1999" i="2"/>
  <c r="B2000" i="2"/>
  <c r="C2000" i="2"/>
  <c r="B2001" i="2"/>
  <c r="C2001" i="2"/>
  <c r="B2002" i="2"/>
  <c r="C2002" i="2"/>
  <c r="B2003" i="2"/>
  <c r="C2003" i="2"/>
  <c r="B2004" i="2"/>
  <c r="C2004" i="2"/>
  <c r="B2005" i="2"/>
  <c r="C2005" i="2"/>
  <c r="B2006" i="2"/>
  <c r="C2006" i="2"/>
  <c r="B2007" i="2"/>
  <c r="C2007" i="2"/>
  <c r="B2008" i="2"/>
  <c r="C2008" i="2"/>
  <c r="B2009" i="2"/>
  <c r="C2009" i="2"/>
  <c r="B2010" i="2"/>
  <c r="C2010" i="2"/>
  <c r="B2011" i="2"/>
  <c r="C2011" i="2"/>
  <c r="B2012" i="2"/>
  <c r="C2012" i="2"/>
  <c r="B2013" i="2"/>
  <c r="C2013" i="2"/>
  <c r="B2014" i="2"/>
  <c r="C2014" i="2"/>
  <c r="B2015" i="2"/>
  <c r="C2015" i="2"/>
  <c r="B2016" i="2"/>
  <c r="C2016" i="2"/>
  <c r="B2017" i="2"/>
  <c r="C2017" i="2"/>
  <c r="B2018" i="2"/>
  <c r="C2018" i="2"/>
  <c r="B2019" i="2"/>
  <c r="C2019" i="2"/>
  <c r="B2020" i="2"/>
  <c r="C2020" i="2"/>
  <c r="B2021" i="2"/>
  <c r="C2021" i="2"/>
  <c r="B2022" i="2"/>
  <c r="C2022" i="2"/>
  <c r="B2023" i="2"/>
  <c r="C2023" i="2"/>
  <c r="B2024" i="2"/>
  <c r="C2024" i="2"/>
  <c r="B2025" i="2"/>
  <c r="C2025" i="2"/>
  <c r="B2026" i="2"/>
  <c r="C2026" i="2"/>
  <c r="B2027" i="2"/>
  <c r="C2027" i="2"/>
  <c r="B2028" i="2"/>
  <c r="C2028" i="2"/>
  <c r="B2029" i="2"/>
  <c r="C2029" i="2"/>
  <c r="B2030" i="2"/>
  <c r="C2030" i="2"/>
  <c r="B2031" i="2"/>
  <c r="C2031" i="2"/>
  <c r="B2032" i="2"/>
  <c r="C2032" i="2"/>
  <c r="B2033" i="2"/>
  <c r="C2033" i="2"/>
  <c r="B2034" i="2"/>
  <c r="C2034" i="2"/>
  <c r="B2035" i="2"/>
  <c r="C2035" i="2"/>
  <c r="B2036" i="2"/>
  <c r="C2036" i="2"/>
  <c r="B2037" i="2"/>
  <c r="C2037" i="2"/>
  <c r="B2038" i="2"/>
  <c r="C2038" i="2"/>
  <c r="B2039" i="2"/>
  <c r="C2039" i="2"/>
  <c r="B2040" i="2"/>
  <c r="C2040" i="2"/>
  <c r="B2041" i="2"/>
  <c r="C2041" i="2"/>
  <c r="B2042" i="2"/>
  <c r="C2042" i="2"/>
  <c r="B2043" i="2"/>
  <c r="C2043" i="2"/>
  <c r="B2044" i="2"/>
  <c r="C2044" i="2"/>
  <c r="B2045" i="2"/>
  <c r="C2045" i="2"/>
  <c r="B2046" i="2"/>
  <c r="C2046" i="2"/>
  <c r="B2047" i="2"/>
  <c r="C2047" i="2"/>
  <c r="B2048" i="2"/>
  <c r="C2048" i="2"/>
  <c r="B2049" i="2"/>
  <c r="C2049" i="2"/>
  <c r="B2050" i="2"/>
  <c r="C2050" i="2"/>
  <c r="B2051" i="2"/>
  <c r="C2051" i="2"/>
  <c r="B2052" i="2"/>
  <c r="C2052" i="2"/>
  <c r="B2053" i="2"/>
  <c r="C2053" i="2"/>
  <c r="B2054" i="2"/>
  <c r="C2054" i="2"/>
  <c r="B2055" i="2"/>
  <c r="C2055" i="2"/>
  <c r="B2056" i="2"/>
  <c r="C2056" i="2"/>
  <c r="B2057" i="2"/>
  <c r="C2057" i="2"/>
  <c r="B2058" i="2"/>
  <c r="C2058" i="2"/>
  <c r="B2059" i="2"/>
  <c r="C2059" i="2"/>
  <c r="B2060" i="2"/>
  <c r="C2060" i="2"/>
  <c r="B2061" i="2"/>
  <c r="C2061" i="2"/>
  <c r="B2062" i="2"/>
  <c r="C2062" i="2"/>
  <c r="B2063" i="2"/>
  <c r="C2063" i="2"/>
  <c r="B2064" i="2"/>
  <c r="C2064" i="2"/>
  <c r="B2065" i="2"/>
  <c r="C2065" i="2"/>
  <c r="B2066" i="2"/>
  <c r="C2066" i="2"/>
  <c r="B2067" i="2"/>
  <c r="C2067" i="2"/>
  <c r="B2068" i="2"/>
  <c r="C2068" i="2"/>
  <c r="B2069" i="2"/>
  <c r="C2069" i="2"/>
  <c r="B2070" i="2"/>
  <c r="C2070" i="2"/>
  <c r="B2071" i="2"/>
  <c r="C2071" i="2"/>
  <c r="B2072" i="2"/>
  <c r="C2072" i="2"/>
  <c r="B2073" i="2"/>
  <c r="C2073" i="2"/>
  <c r="B2074" i="2"/>
  <c r="C2074" i="2"/>
  <c r="B2075" i="2"/>
  <c r="C2075" i="2"/>
  <c r="B2076" i="2"/>
  <c r="C2076" i="2"/>
  <c r="B2077" i="2"/>
  <c r="C2077" i="2"/>
  <c r="B2078" i="2"/>
  <c r="C2078" i="2"/>
  <c r="B2079" i="2"/>
  <c r="C2079" i="2"/>
  <c r="B2080" i="2"/>
  <c r="C2080" i="2"/>
  <c r="B2081" i="2"/>
  <c r="C2081" i="2"/>
  <c r="B2082" i="2"/>
  <c r="C2082" i="2"/>
  <c r="B2083" i="2"/>
  <c r="C2083" i="2"/>
  <c r="B2084" i="2"/>
  <c r="C2084" i="2"/>
  <c r="B2085" i="2"/>
  <c r="C2085" i="2"/>
  <c r="B2086" i="2"/>
  <c r="C2086" i="2"/>
  <c r="B2087" i="2"/>
  <c r="C2087" i="2"/>
  <c r="B2088" i="2"/>
  <c r="C2088" i="2"/>
  <c r="B2089" i="2"/>
  <c r="C2089" i="2"/>
  <c r="B2090" i="2"/>
  <c r="C2090" i="2"/>
  <c r="B2091" i="2"/>
  <c r="C2091" i="2"/>
  <c r="B2092" i="2"/>
  <c r="C2092" i="2"/>
  <c r="B2093" i="2"/>
  <c r="C2093" i="2"/>
  <c r="B2094" i="2"/>
  <c r="C2094" i="2"/>
  <c r="B2095" i="2"/>
  <c r="C2095" i="2"/>
  <c r="B2096" i="2"/>
  <c r="C2096" i="2"/>
  <c r="B2097" i="2"/>
  <c r="C2097" i="2"/>
  <c r="B2098" i="2"/>
  <c r="C2098" i="2"/>
  <c r="B2099" i="2"/>
  <c r="C2099" i="2"/>
  <c r="B2100" i="2"/>
  <c r="C2100" i="2"/>
  <c r="B2101" i="2"/>
  <c r="C2101" i="2"/>
  <c r="B2102" i="2"/>
  <c r="C2102" i="2"/>
  <c r="B2103" i="2"/>
  <c r="C2103" i="2"/>
  <c r="B2104" i="2"/>
  <c r="C2104" i="2"/>
  <c r="B2105" i="2"/>
  <c r="C2105" i="2"/>
  <c r="B2106" i="2"/>
  <c r="C2106" i="2"/>
  <c r="B2107" i="2"/>
  <c r="C2107" i="2"/>
  <c r="B2108" i="2"/>
  <c r="C2108" i="2"/>
  <c r="B2109" i="2"/>
  <c r="C2109" i="2"/>
  <c r="B2110" i="2"/>
  <c r="C2110" i="2"/>
  <c r="B2111" i="2"/>
  <c r="C2111" i="2"/>
  <c r="B2112" i="2"/>
  <c r="C2112" i="2"/>
  <c r="B2113" i="2"/>
  <c r="C2113" i="2"/>
  <c r="B2114" i="2"/>
  <c r="C2114" i="2"/>
  <c r="B2115" i="2"/>
  <c r="C2115" i="2"/>
  <c r="B2116" i="2"/>
  <c r="C2116" i="2"/>
  <c r="B2117" i="2"/>
  <c r="C2117" i="2"/>
  <c r="B2118" i="2"/>
  <c r="C2118" i="2"/>
  <c r="B2119" i="2"/>
  <c r="C2119" i="2"/>
  <c r="B2120" i="2"/>
  <c r="C2120" i="2"/>
  <c r="B2121" i="2"/>
  <c r="C2121" i="2"/>
  <c r="B2122" i="2"/>
  <c r="C2122" i="2"/>
  <c r="B2123" i="2"/>
  <c r="C2123" i="2"/>
  <c r="B2124" i="2"/>
  <c r="C2124" i="2"/>
  <c r="B2125" i="2"/>
  <c r="C2125" i="2"/>
  <c r="B2126" i="2"/>
  <c r="C2126" i="2"/>
  <c r="B2127" i="2"/>
  <c r="C2127" i="2"/>
  <c r="B2128" i="2"/>
  <c r="C2128" i="2"/>
  <c r="B2129" i="2"/>
  <c r="C2129" i="2"/>
  <c r="B2130" i="2"/>
  <c r="C2130" i="2"/>
  <c r="B2131" i="2"/>
  <c r="C2131" i="2"/>
  <c r="B2132" i="2"/>
  <c r="C2132" i="2"/>
  <c r="B2133" i="2"/>
  <c r="C2133" i="2"/>
  <c r="B2134" i="2"/>
  <c r="C2134" i="2"/>
  <c r="B2135" i="2"/>
  <c r="C2135" i="2"/>
  <c r="B2136" i="2"/>
  <c r="C2136" i="2"/>
  <c r="B2137" i="2"/>
  <c r="C2137" i="2"/>
  <c r="B2138" i="2"/>
  <c r="C2138" i="2"/>
  <c r="B2139" i="2"/>
  <c r="C2139" i="2"/>
  <c r="B2140" i="2"/>
  <c r="C2140" i="2"/>
  <c r="B2141" i="2"/>
  <c r="C2141" i="2"/>
  <c r="B2142" i="2"/>
  <c r="C2142" i="2"/>
  <c r="B2143" i="2"/>
  <c r="C2143" i="2"/>
  <c r="B2144" i="2"/>
  <c r="C2144" i="2"/>
  <c r="B2145" i="2"/>
  <c r="C2145" i="2"/>
  <c r="B2146" i="2"/>
  <c r="C2146" i="2"/>
  <c r="B2147" i="2"/>
  <c r="C2147" i="2"/>
  <c r="B2148" i="2"/>
  <c r="C2148" i="2"/>
  <c r="B2149" i="2"/>
  <c r="C2149" i="2"/>
  <c r="B2150" i="2"/>
  <c r="C2150" i="2"/>
  <c r="B2151" i="2"/>
  <c r="C2151" i="2"/>
  <c r="B2152" i="2"/>
  <c r="C2152" i="2"/>
  <c r="B2153" i="2"/>
  <c r="C2153" i="2"/>
  <c r="B2154" i="2"/>
  <c r="C2154" i="2"/>
  <c r="B2155" i="2"/>
  <c r="C2155" i="2"/>
  <c r="B2156" i="2"/>
  <c r="C2156" i="2"/>
  <c r="B2157" i="2"/>
  <c r="C2157" i="2"/>
  <c r="B2158" i="2"/>
  <c r="C2158" i="2"/>
  <c r="B2159" i="2"/>
  <c r="C2159" i="2"/>
  <c r="B2160" i="2"/>
  <c r="C2160" i="2"/>
  <c r="D2160" i="2" s="1"/>
  <c r="B2161" i="2"/>
  <c r="C2161" i="2"/>
  <c r="B2162" i="2"/>
  <c r="C2162" i="2"/>
  <c r="B2163" i="2"/>
  <c r="C2163" i="2"/>
  <c r="B2164" i="2"/>
  <c r="C2164" i="2"/>
  <c r="B2165" i="2"/>
  <c r="C2165" i="2"/>
  <c r="B2166" i="2"/>
  <c r="C2166" i="2"/>
  <c r="B2167" i="2"/>
  <c r="C2167" i="2"/>
  <c r="B2168" i="2"/>
  <c r="C2168" i="2"/>
  <c r="B2169" i="2"/>
  <c r="C2169" i="2"/>
  <c r="B2170" i="2"/>
  <c r="C2170" i="2"/>
  <c r="B2171" i="2"/>
  <c r="C2171" i="2"/>
  <c r="B2172" i="2"/>
  <c r="C2172" i="2"/>
  <c r="B2173" i="2"/>
  <c r="C2173" i="2"/>
  <c r="B2174" i="2"/>
  <c r="C2174" i="2"/>
  <c r="B2175" i="2"/>
  <c r="C2175" i="2"/>
  <c r="B2176" i="2"/>
  <c r="C2176" i="2"/>
  <c r="B2177" i="2"/>
  <c r="C2177" i="2"/>
  <c r="B2178" i="2"/>
  <c r="C2178" i="2"/>
  <c r="B2179" i="2"/>
  <c r="C2179" i="2"/>
  <c r="B2180" i="2"/>
  <c r="C2180" i="2"/>
  <c r="B2181" i="2"/>
  <c r="C2181" i="2"/>
  <c r="B2182" i="2"/>
  <c r="C2182" i="2"/>
  <c r="B2183" i="2"/>
  <c r="C2183" i="2"/>
  <c r="B2184" i="2"/>
  <c r="C2184" i="2"/>
  <c r="B2185" i="2"/>
  <c r="C2185" i="2"/>
  <c r="B2186" i="2"/>
  <c r="C2186" i="2"/>
  <c r="B2187" i="2"/>
  <c r="C2187" i="2"/>
  <c r="B2188" i="2"/>
  <c r="C2188" i="2"/>
  <c r="B2189" i="2"/>
  <c r="C2189" i="2"/>
  <c r="B2190" i="2"/>
  <c r="C2190" i="2"/>
  <c r="B2191" i="2"/>
  <c r="C2191" i="2"/>
  <c r="B2192" i="2"/>
  <c r="C2192" i="2"/>
  <c r="B2193" i="2"/>
  <c r="C2193" i="2"/>
  <c r="B2194" i="2"/>
  <c r="C2194" i="2"/>
  <c r="B2195" i="2"/>
  <c r="C2195" i="2"/>
  <c r="B2196" i="2"/>
  <c r="C2196" i="2"/>
  <c r="B2197" i="2"/>
  <c r="C2197" i="2"/>
  <c r="B2198" i="2"/>
  <c r="C2198" i="2"/>
  <c r="B2199" i="2"/>
  <c r="C2199" i="2"/>
  <c r="B2200" i="2"/>
  <c r="C2200" i="2"/>
  <c r="B2201" i="2"/>
  <c r="C2201" i="2"/>
  <c r="B2202" i="2"/>
  <c r="C2202" i="2"/>
  <c r="B2203" i="2"/>
  <c r="C2203" i="2"/>
  <c r="B2204" i="2"/>
  <c r="C2204" i="2"/>
  <c r="B2205" i="2"/>
  <c r="C2205" i="2"/>
  <c r="B2206" i="2"/>
  <c r="C2206" i="2"/>
  <c r="B2207" i="2"/>
  <c r="C2207" i="2"/>
  <c r="B2208" i="2"/>
  <c r="C2208" i="2"/>
  <c r="B2209" i="2"/>
  <c r="C2209" i="2"/>
  <c r="B2210" i="2"/>
  <c r="C2210" i="2"/>
  <c r="B2211" i="2"/>
  <c r="C2211" i="2"/>
  <c r="B2212" i="2"/>
  <c r="C2212" i="2"/>
  <c r="B2213" i="2"/>
  <c r="C2213" i="2"/>
  <c r="B2214" i="2"/>
  <c r="C2214" i="2"/>
  <c r="B2215" i="2"/>
  <c r="C2215" i="2"/>
  <c r="B2216" i="2"/>
  <c r="C2216" i="2"/>
  <c r="B2217" i="2"/>
  <c r="C2217" i="2"/>
  <c r="B2218" i="2"/>
  <c r="C2218" i="2"/>
  <c r="B2219" i="2"/>
  <c r="C2219" i="2"/>
  <c r="B2220" i="2"/>
  <c r="C2220" i="2"/>
  <c r="B2221" i="2"/>
  <c r="C2221" i="2"/>
  <c r="B2222" i="2"/>
  <c r="C2222" i="2"/>
  <c r="B2223" i="2"/>
  <c r="C2223" i="2"/>
  <c r="B2224" i="2"/>
  <c r="C2224" i="2"/>
  <c r="B2225" i="2"/>
  <c r="C2225" i="2"/>
  <c r="B2226" i="2"/>
  <c r="C2226" i="2"/>
  <c r="B2227" i="2"/>
  <c r="C2227" i="2"/>
  <c r="B2228" i="2"/>
  <c r="C2228" i="2"/>
  <c r="B2229" i="2"/>
  <c r="C2229" i="2"/>
  <c r="B2230" i="2"/>
  <c r="C2230" i="2"/>
  <c r="B2231" i="2"/>
  <c r="C2231" i="2"/>
  <c r="B2232" i="2"/>
  <c r="C2232" i="2"/>
  <c r="B2233" i="2"/>
  <c r="C2233" i="2"/>
  <c r="B2234" i="2"/>
  <c r="C2234" i="2"/>
  <c r="B2235" i="2"/>
  <c r="C2235" i="2"/>
  <c r="B2236" i="2"/>
  <c r="C2236" i="2"/>
  <c r="B2237" i="2"/>
  <c r="C2237" i="2"/>
  <c r="B2238" i="2"/>
  <c r="C2238" i="2"/>
  <c r="B2239" i="2"/>
  <c r="C2239" i="2"/>
  <c r="B2240" i="2"/>
  <c r="C2240" i="2"/>
  <c r="B2241" i="2"/>
  <c r="C2241" i="2"/>
  <c r="B2242" i="2"/>
  <c r="C2242" i="2"/>
  <c r="B2243" i="2"/>
  <c r="C2243" i="2"/>
  <c r="B2244" i="2"/>
  <c r="C2244" i="2"/>
  <c r="B2245" i="2"/>
  <c r="C2245" i="2"/>
  <c r="B2246" i="2"/>
  <c r="C2246" i="2"/>
  <c r="B2247" i="2"/>
  <c r="C2247" i="2"/>
  <c r="B2248" i="2"/>
  <c r="C2248" i="2"/>
  <c r="B2249" i="2"/>
  <c r="C2249" i="2"/>
  <c r="B2250" i="2"/>
  <c r="C2250" i="2"/>
  <c r="B2251" i="2"/>
  <c r="C2251" i="2"/>
  <c r="B2252" i="2"/>
  <c r="C2252" i="2"/>
  <c r="B2253" i="2"/>
  <c r="C2253" i="2"/>
  <c r="B2254" i="2"/>
  <c r="C2254" i="2"/>
  <c r="B2255" i="2"/>
  <c r="C2255" i="2"/>
  <c r="B2256" i="2"/>
  <c r="C2256" i="2"/>
  <c r="B2257" i="2"/>
  <c r="C2257" i="2"/>
  <c r="B2258" i="2"/>
  <c r="C2258" i="2"/>
  <c r="B2259" i="2"/>
  <c r="C2259" i="2"/>
  <c r="B2260" i="2"/>
  <c r="C2260" i="2"/>
  <c r="B2261" i="2"/>
  <c r="C2261" i="2"/>
  <c r="B2262" i="2"/>
  <c r="C2262" i="2"/>
  <c r="B2263" i="2"/>
  <c r="C2263" i="2"/>
  <c r="B2264" i="2"/>
  <c r="C2264" i="2"/>
  <c r="B2265" i="2"/>
  <c r="C2265" i="2"/>
  <c r="B2266" i="2"/>
  <c r="C2266" i="2"/>
  <c r="B2267" i="2"/>
  <c r="C2267" i="2"/>
  <c r="B2268" i="2"/>
  <c r="C2268" i="2"/>
  <c r="B2269" i="2"/>
  <c r="C2269" i="2"/>
  <c r="B2270" i="2"/>
  <c r="C2270" i="2"/>
  <c r="B2271" i="2"/>
  <c r="C2271" i="2"/>
  <c r="B2272" i="2"/>
  <c r="C2272" i="2"/>
  <c r="B2273" i="2"/>
  <c r="C2273" i="2"/>
  <c r="B2274" i="2"/>
  <c r="C2274" i="2"/>
  <c r="B2275" i="2"/>
  <c r="C2275" i="2"/>
  <c r="B2276" i="2"/>
  <c r="C2276" i="2"/>
  <c r="B2277" i="2"/>
  <c r="C2277" i="2"/>
  <c r="B2278" i="2"/>
  <c r="C2278" i="2"/>
  <c r="B2279" i="2"/>
  <c r="C2279" i="2"/>
  <c r="B2280" i="2"/>
  <c r="C2280" i="2"/>
  <c r="B2281" i="2"/>
  <c r="C2281" i="2"/>
  <c r="B2282" i="2"/>
  <c r="C2282" i="2"/>
  <c r="B2283" i="2"/>
  <c r="C2283" i="2"/>
  <c r="B2284" i="2"/>
  <c r="C2284" i="2"/>
  <c r="B2285" i="2"/>
  <c r="C2285" i="2"/>
  <c r="B2286" i="2"/>
  <c r="D2286" i="2" s="1"/>
  <c r="C2286" i="2"/>
  <c r="B2287" i="2"/>
  <c r="C2287" i="2"/>
  <c r="B2288" i="2"/>
  <c r="C2288" i="2"/>
  <c r="B2289" i="2"/>
  <c r="C2289" i="2"/>
  <c r="B2290" i="2"/>
  <c r="C2290" i="2"/>
  <c r="B2291" i="2"/>
  <c r="C2291" i="2"/>
  <c r="B2292" i="2"/>
  <c r="C2292" i="2"/>
  <c r="B2293" i="2"/>
  <c r="C2293" i="2"/>
  <c r="B2294" i="2"/>
  <c r="C2294" i="2"/>
  <c r="B2295" i="2"/>
  <c r="C2295" i="2"/>
  <c r="B2296" i="2"/>
  <c r="C2296" i="2"/>
  <c r="B2297" i="2"/>
  <c r="C2297" i="2"/>
  <c r="B2298" i="2"/>
  <c r="C2298" i="2"/>
  <c r="B2299" i="2"/>
  <c r="C2299" i="2"/>
  <c r="B2300" i="2"/>
  <c r="C2300" i="2"/>
  <c r="B2301" i="2"/>
  <c r="C2301" i="2"/>
  <c r="B2302" i="2"/>
  <c r="C2302" i="2"/>
  <c r="B2303" i="2"/>
  <c r="C2303" i="2"/>
  <c r="B2304" i="2"/>
  <c r="C2304" i="2"/>
  <c r="B2305" i="2"/>
  <c r="C2305" i="2"/>
  <c r="B2306" i="2"/>
  <c r="C2306" i="2"/>
  <c r="B2307" i="2"/>
  <c r="C2307" i="2"/>
  <c r="B2308" i="2"/>
  <c r="C2308" i="2"/>
  <c r="B2309" i="2"/>
  <c r="C2309" i="2"/>
  <c r="B2310" i="2"/>
  <c r="C2310" i="2"/>
  <c r="B2311" i="2"/>
  <c r="C2311" i="2"/>
  <c r="B2312" i="2"/>
  <c r="C2312" i="2"/>
  <c r="B2313" i="2"/>
  <c r="C2313" i="2"/>
  <c r="B2314" i="2"/>
  <c r="C2314" i="2"/>
  <c r="B2315" i="2"/>
  <c r="C2315" i="2"/>
  <c r="B2316" i="2"/>
  <c r="C2316" i="2"/>
  <c r="B2317" i="2"/>
  <c r="C2317" i="2"/>
  <c r="B2318" i="2"/>
  <c r="C2318" i="2"/>
  <c r="B2319" i="2"/>
  <c r="C2319" i="2"/>
  <c r="B2320" i="2"/>
  <c r="C2320" i="2"/>
  <c r="B2321" i="2"/>
  <c r="C2321" i="2"/>
  <c r="B2322" i="2"/>
  <c r="C2322" i="2"/>
  <c r="B2323" i="2"/>
  <c r="C2323" i="2"/>
  <c r="B2324" i="2"/>
  <c r="C2324" i="2"/>
  <c r="B2325" i="2"/>
  <c r="C2325" i="2"/>
  <c r="B2326" i="2"/>
  <c r="C2326" i="2"/>
  <c r="B2327" i="2"/>
  <c r="C2327" i="2"/>
  <c r="B2328" i="2"/>
  <c r="C2328" i="2"/>
  <c r="B2329" i="2"/>
  <c r="C2329" i="2"/>
  <c r="B2330" i="2"/>
  <c r="C2330" i="2"/>
  <c r="B2331" i="2"/>
  <c r="C2331" i="2"/>
  <c r="B2332" i="2"/>
  <c r="C2332" i="2"/>
  <c r="B2333" i="2"/>
  <c r="C2333" i="2"/>
  <c r="B2334" i="2"/>
  <c r="C2334" i="2"/>
  <c r="B2335" i="2"/>
  <c r="C2335" i="2"/>
  <c r="B2336" i="2"/>
  <c r="C2336" i="2"/>
  <c r="B2337" i="2"/>
  <c r="C2337" i="2"/>
  <c r="B2338" i="2"/>
  <c r="C2338" i="2"/>
  <c r="B2339" i="2"/>
  <c r="C2339" i="2"/>
  <c r="B2340" i="2"/>
  <c r="C2340" i="2"/>
  <c r="B2341" i="2"/>
  <c r="C2341" i="2"/>
  <c r="B2342" i="2"/>
  <c r="C2342" i="2"/>
  <c r="B2343" i="2"/>
  <c r="C2343" i="2"/>
  <c r="B2344" i="2"/>
  <c r="C2344" i="2"/>
  <c r="B2345" i="2"/>
  <c r="C2345" i="2"/>
  <c r="B2346" i="2"/>
  <c r="C2346" i="2"/>
  <c r="B2347" i="2"/>
  <c r="C2347" i="2"/>
  <c r="B2348" i="2"/>
  <c r="C2348" i="2"/>
  <c r="B2349" i="2"/>
  <c r="C2349" i="2"/>
  <c r="B2350" i="2"/>
  <c r="C2350" i="2"/>
  <c r="B2351" i="2"/>
  <c r="C2351" i="2"/>
  <c r="B2352" i="2"/>
  <c r="C2352" i="2"/>
  <c r="B2353" i="2"/>
  <c r="C2353" i="2"/>
  <c r="B2354" i="2"/>
  <c r="C2354" i="2"/>
  <c r="B2355" i="2"/>
  <c r="C2355" i="2"/>
  <c r="B2356" i="2"/>
  <c r="C2356" i="2"/>
  <c r="B2357" i="2"/>
  <c r="C2357" i="2"/>
  <c r="B2358" i="2"/>
  <c r="C2358" i="2"/>
  <c r="B2359" i="2"/>
  <c r="C2359" i="2"/>
  <c r="B2360" i="2"/>
  <c r="C2360" i="2"/>
  <c r="B2361" i="2"/>
  <c r="C2361" i="2"/>
  <c r="B2362" i="2"/>
  <c r="C2362" i="2"/>
  <c r="B2363" i="2"/>
  <c r="C2363" i="2"/>
  <c r="B2364" i="2"/>
  <c r="C2364" i="2"/>
  <c r="B2365" i="2"/>
  <c r="C2365" i="2"/>
  <c r="B2366" i="2"/>
  <c r="C2366" i="2"/>
  <c r="B2367" i="2"/>
  <c r="C2367" i="2"/>
  <c r="B2368" i="2"/>
  <c r="C2368" i="2"/>
  <c r="B2369" i="2"/>
  <c r="C2369" i="2"/>
  <c r="B2370" i="2"/>
  <c r="C2370" i="2"/>
  <c r="B2371" i="2"/>
  <c r="C2371" i="2"/>
  <c r="B2372" i="2"/>
  <c r="C2372" i="2"/>
  <c r="B2373" i="2"/>
  <c r="C2373" i="2"/>
  <c r="B2374" i="2"/>
  <c r="C2374" i="2"/>
  <c r="B2375" i="2"/>
  <c r="C2375" i="2"/>
  <c r="B2376" i="2"/>
  <c r="C2376" i="2"/>
  <c r="B2377" i="2"/>
  <c r="C2377" i="2"/>
  <c r="B2378" i="2"/>
  <c r="C2378" i="2"/>
  <c r="B2379" i="2"/>
  <c r="D2379" i="2" s="1"/>
  <c r="C2379" i="2"/>
  <c r="B2380" i="2"/>
  <c r="C2380" i="2"/>
  <c r="B2381" i="2"/>
  <c r="C2381" i="2"/>
  <c r="B2382" i="2"/>
  <c r="C2382" i="2"/>
  <c r="B2383" i="2"/>
  <c r="C2383" i="2"/>
  <c r="B2384" i="2"/>
  <c r="C2384" i="2"/>
  <c r="B2385" i="2"/>
  <c r="C2385" i="2"/>
  <c r="B2386" i="2"/>
  <c r="C2386" i="2"/>
  <c r="B2387" i="2"/>
  <c r="C2387" i="2"/>
  <c r="B2388" i="2"/>
  <c r="C2388" i="2"/>
  <c r="B2389" i="2"/>
  <c r="C2389" i="2"/>
  <c r="B2390" i="2"/>
  <c r="C2390" i="2"/>
  <c r="B2391" i="2"/>
  <c r="C2391" i="2"/>
  <c r="B2392" i="2"/>
  <c r="C2392" i="2"/>
  <c r="B2393" i="2"/>
  <c r="C2393" i="2"/>
  <c r="B2394" i="2"/>
  <c r="C2394" i="2"/>
  <c r="B2395" i="2"/>
  <c r="C2395" i="2"/>
  <c r="B2396" i="2"/>
  <c r="C2396" i="2"/>
  <c r="B2397" i="2"/>
  <c r="C2397" i="2"/>
  <c r="B2398" i="2"/>
  <c r="C2398" i="2"/>
  <c r="B2399" i="2"/>
  <c r="C2399" i="2"/>
  <c r="B2400" i="2"/>
  <c r="C2400" i="2"/>
  <c r="B2401" i="2"/>
  <c r="C2401" i="2"/>
  <c r="B2402" i="2"/>
  <c r="C2402" i="2"/>
  <c r="B2403" i="2"/>
  <c r="C2403" i="2"/>
  <c r="B2404" i="2"/>
  <c r="C2404" i="2"/>
  <c r="B2405" i="2"/>
  <c r="C2405" i="2"/>
  <c r="B2406" i="2"/>
  <c r="C2406" i="2"/>
  <c r="B2407" i="2"/>
  <c r="C2407" i="2"/>
  <c r="B2408" i="2"/>
  <c r="C2408" i="2"/>
  <c r="B2409" i="2"/>
  <c r="C2409" i="2"/>
  <c r="B2410" i="2"/>
  <c r="C2410" i="2"/>
  <c r="B2411" i="2"/>
  <c r="C2411" i="2"/>
  <c r="B2412" i="2"/>
  <c r="C2412" i="2"/>
  <c r="B2413" i="2"/>
  <c r="C2413" i="2"/>
  <c r="B2414" i="2"/>
  <c r="C2414" i="2"/>
  <c r="B2415" i="2"/>
  <c r="C2415" i="2"/>
  <c r="B2416" i="2"/>
  <c r="C2416" i="2"/>
  <c r="B2417" i="2"/>
  <c r="C2417" i="2"/>
  <c r="B2418" i="2"/>
  <c r="C2418" i="2"/>
  <c r="B2419" i="2"/>
  <c r="C2419" i="2"/>
  <c r="B2420" i="2"/>
  <c r="C2420" i="2"/>
  <c r="B2421" i="2"/>
  <c r="C2421" i="2"/>
  <c r="B2422" i="2"/>
  <c r="C2422" i="2"/>
  <c r="B2423" i="2"/>
  <c r="C2423" i="2"/>
  <c r="B2424" i="2"/>
  <c r="C2424" i="2"/>
  <c r="B2425" i="2"/>
  <c r="C2425" i="2"/>
  <c r="B2426" i="2"/>
  <c r="C2426" i="2"/>
  <c r="B2427" i="2"/>
  <c r="C2427" i="2"/>
  <c r="B2428" i="2"/>
  <c r="C2428" i="2"/>
  <c r="B2429" i="2"/>
  <c r="C2429" i="2"/>
  <c r="B2430" i="2"/>
  <c r="C2430" i="2"/>
  <c r="B2431" i="2"/>
  <c r="C2431" i="2"/>
  <c r="B2432" i="2"/>
  <c r="C2432" i="2"/>
  <c r="B2433" i="2"/>
  <c r="C2433" i="2"/>
  <c r="B2434" i="2"/>
  <c r="C2434" i="2"/>
  <c r="B2435" i="2"/>
  <c r="C2435" i="2"/>
  <c r="B2436" i="2"/>
  <c r="C2436" i="2"/>
  <c r="B2437" i="2"/>
  <c r="C2437" i="2"/>
  <c r="B2438" i="2"/>
  <c r="C2438" i="2"/>
  <c r="B2439" i="2"/>
  <c r="C2439" i="2"/>
  <c r="B2440" i="2"/>
  <c r="C2440" i="2"/>
  <c r="B2441" i="2"/>
  <c r="C2441" i="2"/>
  <c r="B2442" i="2"/>
  <c r="C2442" i="2"/>
  <c r="B2443" i="2"/>
  <c r="C2443" i="2"/>
  <c r="B2444" i="2"/>
  <c r="C2444" i="2"/>
  <c r="B2445" i="2"/>
  <c r="C2445" i="2"/>
  <c r="B2446" i="2"/>
  <c r="C2446" i="2"/>
  <c r="B2447" i="2"/>
  <c r="C2447" i="2"/>
  <c r="B2448" i="2"/>
  <c r="C2448" i="2"/>
  <c r="B2449" i="2"/>
  <c r="C2449" i="2"/>
  <c r="B2450" i="2"/>
  <c r="C2450" i="2"/>
  <c r="B2451" i="2"/>
  <c r="C2451" i="2"/>
  <c r="B2452" i="2"/>
  <c r="C2452" i="2"/>
  <c r="B2453" i="2"/>
  <c r="C2453" i="2"/>
  <c r="B2454" i="2"/>
  <c r="C2454" i="2"/>
  <c r="B2455" i="2"/>
  <c r="C2455" i="2"/>
  <c r="B2456" i="2"/>
  <c r="C2456" i="2"/>
  <c r="B2457" i="2"/>
  <c r="C2457" i="2"/>
  <c r="B2458" i="2"/>
  <c r="C2458" i="2"/>
  <c r="B2459" i="2"/>
  <c r="C2459" i="2"/>
  <c r="B2460" i="2"/>
  <c r="C2460" i="2"/>
  <c r="B2461" i="2"/>
  <c r="C2461" i="2"/>
  <c r="B2462" i="2"/>
  <c r="C2462" i="2"/>
  <c r="B2463" i="2"/>
  <c r="C2463" i="2"/>
  <c r="B2464" i="2"/>
  <c r="C2464" i="2"/>
  <c r="B2465" i="2"/>
  <c r="C2465" i="2"/>
  <c r="B2466" i="2"/>
  <c r="C2466" i="2"/>
  <c r="B2467" i="2"/>
  <c r="C2467" i="2"/>
  <c r="B2468" i="2"/>
  <c r="C2468" i="2"/>
  <c r="B2469" i="2"/>
  <c r="C2469" i="2"/>
  <c r="B2470" i="2"/>
  <c r="C2470" i="2"/>
  <c r="B2471" i="2"/>
  <c r="C2471" i="2"/>
  <c r="B2472" i="2"/>
  <c r="C2472" i="2"/>
  <c r="B2473" i="2"/>
  <c r="C2473" i="2"/>
  <c r="B2474" i="2"/>
  <c r="C2474" i="2"/>
  <c r="B2475" i="2"/>
  <c r="C2475" i="2"/>
  <c r="B2476" i="2"/>
  <c r="C2476" i="2"/>
  <c r="B2477" i="2"/>
  <c r="C2477" i="2"/>
  <c r="B2478" i="2"/>
  <c r="C2478" i="2"/>
  <c r="B2479" i="2"/>
  <c r="C2479" i="2"/>
  <c r="B2480" i="2"/>
  <c r="C2480" i="2"/>
  <c r="B2481" i="2"/>
  <c r="C2481" i="2"/>
  <c r="B2482" i="2"/>
  <c r="C2482" i="2"/>
  <c r="B2483" i="2"/>
  <c r="C2483" i="2"/>
  <c r="B2484" i="2"/>
  <c r="C2484" i="2"/>
  <c r="B2485" i="2"/>
  <c r="C2485" i="2"/>
  <c r="B2486" i="2"/>
  <c r="C2486" i="2"/>
  <c r="B2487" i="2"/>
  <c r="C2487" i="2"/>
  <c r="B2488" i="2"/>
  <c r="C2488" i="2"/>
  <c r="B2489" i="2"/>
  <c r="C2489" i="2"/>
  <c r="B2490" i="2"/>
  <c r="C2490" i="2"/>
  <c r="B2491" i="2"/>
  <c r="C2491" i="2"/>
  <c r="B2492" i="2"/>
  <c r="C2492" i="2"/>
  <c r="B2493" i="2"/>
  <c r="C2493" i="2"/>
  <c r="B2494" i="2"/>
  <c r="C2494" i="2"/>
  <c r="B2495" i="2"/>
  <c r="C2495" i="2"/>
  <c r="B2496" i="2"/>
  <c r="C2496" i="2"/>
  <c r="B2497" i="2"/>
  <c r="C2497" i="2"/>
  <c r="B2498" i="2"/>
  <c r="C2498" i="2"/>
  <c r="B2499" i="2"/>
  <c r="C2499" i="2"/>
  <c r="B2500" i="2"/>
  <c r="C2500" i="2"/>
  <c r="B2501" i="2"/>
  <c r="C2501" i="2"/>
  <c r="B2502" i="2"/>
  <c r="C2502" i="2"/>
  <c r="B2503" i="2"/>
  <c r="C2503" i="2"/>
  <c r="B2504" i="2"/>
  <c r="C2504" i="2"/>
  <c r="B2505" i="2"/>
  <c r="C2505" i="2"/>
  <c r="B2506" i="2"/>
  <c r="C2506" i="2"/>
  <c r="B2507" i="2"/>
  <c r="C2507" i="2"/>
  <c r="B2508" i="2"/>
  <c r="C2508" i="2"/>
  <c r="B2509" i="2"/>
  <c r="C2509" i="2"/>
  <c r="B2510" i="2"/>
  <c r="C2510" i="2"/>
  <c r="B2511" i="2"/>
  <c r="C2511" i="2"/>
  <c r="B2512" i="2"/>
  <c r="C2512" i="2"/>
  <c r="B2513" i="2"/>
  <c r="C2513" i="2"/>
  <c r="B2514" i="2"/>
  <c r="C2514" i="2"/>
  <c r="B2515" i="2"/>
  <c r="C2515" i="2"/>
  <c r="B2516" i="2"/>
  <c r="C2516" i="2"/>
  <c r="B2517" i="2"/>
  <c r="C2517" i="2"/>
  <c r="B2518" i="2"/>
  <c r="C2518" i="2"/>
  <c r="B2519" i="2"/>
  <c r="C2519" i="2"/>
  <c r="B2520" i="2"/>
  <c r="C2520" i="2"/>
  <c r="B2521" i="2"/>
  <c r="C2521" i="2"/>
  <c r="B2522" i="2"/>
  <c r="C2522" i="2"/>
  <c r="B2523" i="2"/>
  <c r="C2523" i="2"/>
  <c r="B2524" i="2"/>
  <c r="C2524" i="2"/>
  <c r="B2525" i="2"/>
  <c r="C2525" i="2"/>
  <c r="B2526" i="2"/>
  <c r="C2526" i="2"/>
  <c r="B2527" i="2"/>
  <c r="C2527" i="2"/>
  <c r="B2528" i="2"/>
  <c r="C2528" i="2"/>
  <c r="B2529" i="2"/>
  <c r="C2529" i="2"/>
  <c r="B2530" i="2"/>
  <c r="C2530" i="2"/>
  <c r="B2531" i="2"/>
  <c r="C2531" i="2"/>
  <c r="B2532" i="2"/>
  <c r="C2532" i="2"/>
  <c r="B2533" i="2"/>
  <c r="C2533" i="2"/>
  <c r="B2534" i="2"/>
  <c r="C2534" i="2"/>
  <c r="B2535" i="2"/>
  <c r="C2535" i="2"/>
  <c r="B2536" i="2"/>
  <c r="C2536" i="2"/>
  <c r="B2537" i="2"/>
  <c r="C2537" i="2"/>
  <c r="B2538" i="2"/>
  <c r="C2538" i="2"/>
  <c r="B2539" i="2"/>
  <c r="C2539" i="2"/>
  <c r="B2540" i="2"/>
  <c r="C2540" i="2"/>
  <c r="B2541" i="2"/>
  <c r="C2541" i="2"/>
  <c r="B2542" i="2"/>
  <c r="C2542" i="2"/>
  <c r="B2543" i="2"/>
  <c r="C2543" i="2"/>
  <c r="B2544" i="2"/>
  <c r="C2544" i="2"/>
  <c r="B2545" i="2"/>
  <c r="C2545" i="2"/>
  <c r="B2546" i="2"/>
  <c r="C2546" i="2"/>
  <c r="B2547" i="2"/>
  <c r="C2547" i="2"/>
  <c r="B2548" i="2"/>
  <c r="C2548" i="2"/>
  <c r="B2549" i="2"/>
  <c r="C2549" i="2"/>
  <c r="B2550" i="2"/>
  <c r="C2550" i="2"/>
  <c r="B2551" i="2"/>
  <c r="C2551" i="2"/>
  <c r="B2552" i="2"/>
  <c r="C2552" i="2"/>
  <c r="B2553" i="2"/>
  <c r="C2553" i="2"/>
  <c r="B2554" i="2"/>
  <c r="C2554" i="2"/>
  <c r="B2555" i="2"/>
  <c r="C2555" i="2"/>
  <c r="B2556" i="2"/>
  <c r="C2556" i="2"/>
  <c r="B2557" i="2"/>
  <c r="C2557" i="2"/>
  <c r="B2558" i="2"/>
  <c r="C2558" i="2"/>
  <c r="B2559" i="2"/>
  <c r="C2559" i="2"/>
  <c r="B2560" i="2"/>
  <c r="C2560" i="2"/>
  <c r="B2561" i="2"/>
  <c r="C2561" i="2"/>
  <c r="B2562" i="2"/>
  <c r="C2562" i="2"/>
  <c r="B2563" i="2"/>
  <c r="C2563" i="2"/>
  <c r="B2564" i="2"/>
  <c r="C2564" i="2"/>
  <c r="B2565" i="2"/>
  <c r="C2565" i="2"/>
  <c r="B2566" i="2"/>
  <c r="C2566" i="2"/>
  <c r="B2567" i="2"/>
  <c r="C2567" i="2"/>
  <c r="B2568" i="2"/>
  <c r="C2568" i="2"/>
  <c r="B2569" i="2"/>
  <c r="C2569" i="2"/>
  <c r="B2570" i="2"/>
  <c r="C2570" i="2"/>
  <c r="B2571" i="2"/>
  <c r="C2571" i="2"/>
  <c r="B2572" i="2"/>
  <c r="C2572" i="2"/>
  <c r="B2573" i="2"/>
  <c r="C2573" i="2"/>
  <c r="B2574" i="2"/>
  <c r="C2574" i="2"/>
  <c r="B2575" i="2"/>
  <c r="C2575" i="2"/>
  <c r="B2576" i="2"/>
  <c r="C2576" i="2"/>
  <c r="B2577" i="2"/>
  <c r="C2577" i="2"/>
  <c r="B2578" i="2"/>
  <c r="C2578" i="2"/>
  <c r="B2579" i="2"/>
  <c r="C2579" i="2"/>
  <c r="B2580" i="2"/>
  <c r="C2580" i="2"/>
  <c r="B2581" i="2"/>
  <c r="C2581" i="2"/>
  <c r="B2582" i="2"/>
  <c r="C2582" i="2"/>
  <c r="B2583" i="2"/>
  <c r="C2583" i="2"/>
  <c r="B2584" i="2"/>
  <c r="C2584" i="2"/>
  <c r="B2585" i="2"/>
  <c r="C2585" i="2"/>
  <c r="B2586" i="2"/>
  <c r="C2586" i="2"/>
  <c r="B2587" i="2"/>
  <c r="C2587" i="2"/>
  <c r="B2588" i="2"/>
  <c r="C2588" i="2"/>
  <c r="B2589" i="2"/>
  <c r="C2589" i="2"/>
  <c r="B2590" i="2"/>
  <c r="C2590" i="2"/>
  <c r="B2591" i="2"/>
  <c r="C2591" i="2"/>
  <c r="B2592" i="2"/>
  <c r="C2592" i="2"/>
  <c r="B2593" i="2"/>
  <c r="C2593" i="2"/>
  <c r="B2594" i="2"/>
  <c r="C2594" i="2"/>
  <c r="B2595" i="2"/>
  <c r="C2595" i="2"/>
  <c r="B2596" i="2"/>
  <c r="C2596" i="2"/>
  <c r="B2597" i="2"/>
  <c r="C2597" i="2"/>
  <c r="B2598" i="2"/>
  <c r="C2598" i="2"/>
  <c r="B2599" i="2"/>
  <c r="C2599" i="2"/>
  <c r="B2600" i="2"/>
  <c r="C2600" i="2"/>
  <c r="B2601" i="2"/>
  <c r="C2601" i="2"/>
  <c r="B2602" i="2"/>
  <c r="C2602" i="2"/>
  <c r="B2603" i="2"/>
  <c r="C2603" i="2"/>
  <c r="B2604" i="2"/>
  <c r="C2604" i="2"/>
  <c r="B2605" i="2"/>
  <c r="C2605" i="2"/>
  <c r="B2606" i="2"/>
  <c r="C2606" i="2"/>
  <c r="B2607" i="2"/>
  <c r="C2607" i="2"/>
  <c r="B2608" i="2"/>
  <c r="C2608" i="2"/>
  <c r="B2609" i="2"/>
  <c r="C2609" i="2"/>
  <c r="B2610" i="2"/>
  <c r="C2610" i="2"/>
  <c r="B2611" i="2"/>
  <c r="C2611" i="2"/>
  <c r="B2612" i="2"/>
  <c r="C2612" i="2"/>
  <c r="B2613" i="2"/>
  <c r="C2613" i="2"/>
  <c r="B2614" i="2"/>
  <c r="C2614" i="2"/>
  <c r="B2615" i="2"/>
  <c r="C2615" i="2"/>
  <c r="B2616" i="2"/>
  <c r="C2616" i="2"/>
  <c r="B2617" i="2"/>
  <c r="C2617" i="2"/>
  <c r="B2618" i="2"/>
  <c r="C2618" i="2"/>
  <c r="B2619" i="2"/>
  <c r="C2619" i="2"/>
  <c r="B2620" i="2"/>
  <c r="C2620" i="2"/>
  <c r="B2621" i="2"/>
  <c r="C2621" i="2"/>
  <c r="B2622" i="2"/>
  <c r="C2622" i="2"/>
  <c r="B2623" i="2"/>
  <c r="C2623" i="2"/>
  <c r="B2624" i="2"/>
  <c r="C2624" i="2"/>
  <c r="B2625" i="2"/>
  <c r="C2625" i="2"/>
  <c r="B2626" i="2"/>
  <c r="C2626" i="2"/>
  <c r="B2627" i="2"/>
  <c r="C2627" i="2"/>
  <c r="B2628" i="2"/>
  <c r="C2628" i="2"/>
  <c r="B2629" i="2"/>
  <c r="C2629" i="2"/>
  <c r="B2630" i="2"/>
  <c r="C2630" i="2"/>
  <c r="B2631" i="2"/>
  <c r="C2631" i="2"/>
  <c r="B2632" i="2"/>
  <c r="C2632" i="2"/>
  <c r="B2633" i="2"/>
  <c r="C2633" i="2"/>
  <c r="B2634" i="2"/>
  <c r="C2634" i="2"/>
  <c r="B2635" i="2"/>
  <c r="C2635" i="2"/>
  <c r="B2636" i="2"/>
  <c r="C2636" i="2"/>
  <c r="B2637" i="2"/>
  <c r="C2637" i="2"/>
  <c r="B2638" i="2"/>
  <c r="C2638" i="2"/>
  <c r="B2639" i="2"/>
  <c r="C2639" i="2"/>
  <c r="B2640" i="2"/>
  <c r="C2640" i="2"/>
  <c r="B2641" i="2"/>
  <c r="C2641" i="2"/>
  <c r="B2642" i="2"/>
  <c r="C2642" i="2"/>
  <c r="B2643" i="2"/>
  <c r="C2643" i="2"/>
  <c r="B2644" i="2"/>
  <c r="C2644" i="2"/>
  <c r="B2645" i="2"/>
  <c r="C2645" i="2"/>
  <c r="B2646" i="2"/>
  <c r="C2646" i="2"/>
  <c r="B2647" i="2"/>
  <c r="C2647" i="2"/>
  <c r="B2648" i="2"/>
  <c r="C2648" i="2"/>
  <c r="B2649" i="2"/>
  <c r="C2649" i="2"/>
  <c r="B2650" i="2"/>
  <c r="C2650" i="2"/>
  <c r="B2651" i="2"/>
  <c r="C2651" i="2"/>
  <c r="B2652" i="2"/>
  <c r="C2652" i="2"/>
  <c r="B2653" i="2"/>
  <c r="C2653" i="2"/>
  <c r="B2654" i="2"/>
  <c r="C2654" i="2"/>
  <c r="B2655" i="2"/>
  <c r="C2655" i="2"/>
  <c r="B2656" i="2"/>
  <c r="C2656" i="2"/>
  <c r="B2657" i="2"/>
  <c r="C2657" i="2"/>
  <c r="B2658" i="2"/>
  <c r="C2658" i="2"/>
  <c r="B2659" i="2"/>
  <c r="C2659" i="2"/>
  <c r="B2660" i="2"/>
  <c r="C2660" i="2"/>
  <c r="B2661" i="2"/>
  <c r="C2661" i="2"/>
  <c r="B2662" i="2"/>
  <c r="C2662" i="2"/>
  <c r="B2663" i="2"/>
  <c r="C2663" i="2"/>
  <c r="B2664" i="2"/>
  <c r="C2664" i="2"/>
  <c r="B2665" i="2"/>
  <c r="C2665" i="2"/>
  <c r="B2666" i="2"/>
  <c r="C2666" i="2"/>
  <c r="B2667" i="2"/>
  <c r="C2667" i="2"/>
  <c r="B2668" i="2"/>
  <c r="C2668" i="2"/>
  <c r="B2669" i="2"/>
  <c r="C2669" i="2"/>
  <c r="B2670" i="2"/>
  <c r="C2670" i="2"/>
  <c r="B2671" i="2"/>
  <c r="C2671" i="2"/>
  <c r="B2672" i="2"/>
  <c r="C2672" i="2"/>
  <c r="B2673" i="2"/>
  <c r="C2673" i="2"/>
  <c r="B2674" i="2"/>
  <c r="C2674" i="2"/>
  <c r="B2675" i="2"/>
  <c r="C2675" i="2"/>
  <c r="B2676" i="2"/>
  <c r="C2676" i="2"/>
  <c r="B2677" i="2"/>
  <c r="C2677" i="2"/>
  <c r="B2678" i="2"/>
  <c r="C2678" i="2"/>
  <c r="B2679" i="2"/>
  <c r="C2679" i="2"/>
  <c r="B2680" i="2"/>
  <c r="C2680" i="2"/>
  <c r="B2681" i="2"/>
  <c r="C2681" i="2"/>
  <c r="B2682" i="2"/>
  <c r="C2682" i="2"/>
  <c r="B2683" i="2"/>
  <c r="C2683" i="2"/>
  <c r="B2684" i="2"/>
  <c r="C2684" i="2"/>
  <c r="B2685" i="2"/>
  <c r="C2685" i="2"/>
  <c r="B2686" i="2"/>
  <c r="C2686" i="2"/>
  <c r="B2687" i="2"/>
  <c r="C2687" i="2"/>
  <c r="B2688" i="2"/>
  <c r="C2688" i="2"/>
  <c r="B2689" i="2"/>
  <c r="C2689" i="2"/>
  <c r="B2690" i="2"/>
  <c r="C2690" i="2"/>
  <c r="B2691" i="2"/>
  <c r="C2691" i="2"/>
  <c r="B2692" i="2"/>
  <c r="C2692" i="2"/>
  <c r="B2693" i="2"/>
  <c r="C2693" i="2"/>
  <c r="B2694" i="2"/>
  <c r="C2694" i="2"/>
  <c r="B2695" i="2"/>
  <c r="C2695" i="2"/>
  <c r="B2696" i="2"/>
  <c r="C2696" i="2"/>
  <c r="B2697" i="2"/>
  <c r="C2697" i="2"/>
  <c r="B2698" i="2"/>
  <c r="C2698" i="2"/>
  <c r="B2699" i="2"/>
  <c r="C2699" i="2"/>
  <c r="B2700" i="2"/>
  <c r="C2700" i="2"/>
  <c r="B2701" i="2"/>
  <c r="C2701" i="2"/>
  <c r="B2702" i="2"/>
  <c r="C2702" i="2"/>
  <c r="B2703" i="2"/>
  <c r="C2703" i="2"/>
  <c r="B2704" i="2"/>
  <c r="C2704" i="2"/>
  <c r="B2705" i="2"/>
  <c r="C2705" i="2"/>
  <c r="B2706" i="2"/>
  <c r="C2706" i="2"/>
  <c r="B2707" i="2"/>
  <c r="C2707" i="2"/>
  <c r="B2708" i="2"/>
  <c r="C2708" i="2"/>
  <c r="B2709" i="2"/>
  <c r="C2709" i="2"/>
  <c r="B2710" i="2"/>
  <c r="C2710" i="2"/>
  <c r="B2711" i="2"/>
  <c r="C2711" i="2"/>
  <c r="B2712" i="2"/>
  <c r="C2712" i="2"/>
  <c r="B2713" i="2"/>
  <c r="C2713" i="2"/>
  <c r="B2714" i="2"/>
  <c r="C2714" i="2"/>
  <c r="B2715" i="2"/>
  <c r="C2715" i="2"/>
  <c r="B2716" i="2"/>
  <c r="C2716" i="2"/>
  <c r="B2717" i="2"/>
  <c r="C2717" i="2"/>
  <c r="B2718" i="2"/>
  <c r="C2718" i="2"/>
  <c r="B2719" i="2"/>
  <c r="C2719" i="2"/>
  <c r="B2720" i="2"/>
  <c r="C2720" i="2"/>
  <c r="B2721" i="2"/>
  <c r="C2721" i="2"/>
  <c r="B2722" i="2"/>
  <c r="C2722" i="2"/>
  <c r="B2723" i="2"/>
  <c r="C2723" i="2"/>
  <c r="B2724" i="2"/>
  <c r="C2724" i="2"/>
  <c r="B2725" i="2"/>
  <c r="C2725" i="2"/>
  <c r="B2726" i="2"/>
  <c r="C2726" i="2"/>
  <c r="B2727" i="2"/>
  <c r="C2727" i="2"/>
  <c r="B2728" i="2"/>
  <c r="C2728" i="2"/>
  <c r="B2729" i="2"/>
  <c r="C2729" i="2"/>
  <c r="B2730" i="2"/>
  <c r="C2730" i="2"/>
  <c r="B2731" i="2"/>
  <c r="C2731" i="2"/>
  <c r="B2732" i="2"/>
  <c r="C2732" i="2"/>
  <c r="B2733" i="2"/>
  <c r="C2733" i="2"/>
  <c r="B2734" i="2"/>
  <c r="C2734" i="2"/>
  <c r="B2735" i="2"/>
  <c r="C2735" i="2"/>
  <c r="B2736" i="2"/>
  <c r="C2736" i="2"/>
  <c r="B2737" i="2"/>
  <c r="C2737" i="2"/>
  <c r="B2738" i="2"/>
  <c r="C2738" i="2"/>
  <c r="B2739" i="2"/>
  <c r="C2739" i="2"/>
  <c r="B2740" i="2"/>
  <c r="C2740" i="2"/>
  <c r="B2741" i="2"/>
  <c r="C2741" i="2"/>
  <c r="B2742" i="2"/>
  <c r="C2742" i="2"/>
  <c r="B2743" i="2"/>
  <c r="C2743" i="2"/>
  <c r="B2744" i="2"/>
  <c r="C2744" i="2"/>
  <c r="B2745" i="2"/>
  <c r="C2745" i="2"/>
  <c r="B2746" i="2"/>
  <c r="C2746" i="2"/>
  <c r="B2747" i="2"/>
  <c r="C2747" i="2"/>
  <c r="B2748" i="2"/>
  <c r="C2748" i="2"/>
  <c r="B2749" i="2"/>
  <c r="C2749" i="2"/>
  <c r="B2750" i="2"/>
  <c r="C2750" i="2"/>
  <c r="B2751" i="2"/>
  <c r="C2751" i="2"/>
  <c r="B2752" i="2"/>
  <c r="C2752" i="2"/>
  <c r="B2753" i="2"/>
  <c r="C2753" i="2"/>
  <c r="B2754" i="2"/>
  <c r="C2754" i="2"/>
  <c r="B2755" i="2"/>
  <c r="C2755" i="2"/>
  <c r="B2756" i="2"/>
  <c r="C2756" i="2"/>
  <c r="B2757" i="2"/>
  <c r="C2757" i="2"/>
  <c r="B2758" i="2"/>
  <c r="C2758" i="2"/>
  <c r="B2759" i="2"/>
  <c r="C2759" i="2"/>
  <c r="B2760" i="2"/>
  <c r="C2760" i="2"/>
  <c r="B2761" i="2"/>
  <c r="C2761" i="2"/>
  <c r="B2762" i="2"/>
  <c r="C2762" i="2"/>
  <c r="B2763" i="2"/>
  <c r="C2763" i="2"/>
  <c r="B2764" i="2"/>
  <c r="C2764" i="2"/>
  <c r="B2765" i="2"/>
  <c r="C2765" i="2"/>
  <c r="B2766" i="2"/>
  <c r="C2766" i="2"/>
  <c r="B2767" i="2"/>
  <c r="C2767" i="2"/>
  <c r="B2768" i="2"/>
  <c r="C2768" i="2"/>
  <c r="B2769" i="2"/>
  <c r="C2769" i="2"/>
  <c r="B2770" i="2"/>
  <c r="C2770" i="2"/>
  <c r="B2771" i="2"/>
  <c r="C2771" i="2"/>
  <c r="B2772" i="2"/>
  <c r="C2772" i="2"/>
  <c r="B2773" i="2"/>
  <c r="C2773" i="2"/>
  <c r="B2774" i="2"/>
  <c r="C2774" i="2"/>
  <c r="B2775" i="2"/>
  <c r="C2775" i="2"/>
  <c r="B2776" i="2"/>
  <c r="C2776" i="2"/>
  <c r="B2777" i="2"/>
  <c r="C2777" i="2"/>
  <c r="B2778" i="2"/>
  <c r="C2778" i="2"/>
  <c r="B2779" i="2"/>
  <c r="C2779" i="2"/>
  <c r="B2780" i="2"/>
  <c r="C2780" i="2"/>
  <c r="B2781" i="2"/>
  <c r="C2781" i="2"/>
  <c r="B2782" i="2"/>
  <c r="C2782" i="2"/>
  <c r="B2783" i="2"/>
  <c r="C2783" i="2"/>
  <c r="B2784" i="2"/>
  <c r="C2784" i="2"/>
  <c r="B2785" i="2"/>
  <c r="C2785" i="2"/>
  <c r="B2786" i="2"/>
  <c r="C2786" i="2"/>
  <c r="B2787" i="2"/>
  <c r="C2787" i="2"/>
  <c r="B2788" i="2"/>
  <c r="C2788" i="2"/>
  <c r="B2789" i="2"/>
  <c r="C2789" i="2"/>
  <c r="B2790" i="2"/>
  <c r="C2790" i="2"/>
  <c r="B2791" i="2"/>
  <c r="C2791" i="2"/>
  <c r="B2792" i="2"/>
  <c r="C2792" i="2"/>
  <c r="B2793" i="2"/>
  <c r="C2793" i="2"/>
  <c r="B2794" i="2"/>
  <c r="C2794" i="2"/>
  <c r="B2795" i="2"/>
  <c r="C2795" i="2"/>
  <c r="B2796" i="2"/>
  <c r="C2796" i="2"/>
  <c r="B2797" i="2"/>
  <c r="C2797" i="2"/>
  <c r="B2798" i="2"/>
  <c r="C2798" i="2"/>
  <c r="B2799" i="2"/>
  <c r="C2799" i="2"/>
  <c r="B2800" i="2"/>
  <c r="C2800" i="2"/>
  <c r="B2801" i="2"/>
  <c r="C2801" i="2"/>
  <c r="B2802" i="2"/>
  <c r="C2802" i="2"/>
  <c r="B2803" i="2"/>
  <c r="C2803" i="2"/>
  <c r="B2804" i="2"/>
  <c r="C2804" i="2"/>
  <c r="B2805" i="2"/>
  <c r="C2805" i="2"/>
  <c r="B2806" i="2"/>
  <c r="C2806" i="2"/>
  <c r="B2807" i="2"/>
  <c r="C2807" i="2"/>
  <c r="B2808" i="2"/>
  <c r="C2808" i="2"/>
  <c r="B2809" i="2"/>
  <c r="C2809" i="2"/>
  <c r="B2810" i="2"/>
  <c r="C2810" i="2"/>
  <c r="B2811" i="2"/>
  <c r="C2811" i="2"/>
  <c r="B2812" i="2"/>
  <c r="C2812" i="2"/>
  <c r="B2813" i="2"/>
  <c r="C2813" i="2"/>
  <c r="B2814" i="2"/>
  <c r="C2814" i="2"/>
  <c r="B2815" i="2"/>
  <c r="C2815" i="2"/>
  <c r="B2816" i="2"/>
  <c r="C2816" i="2"/>
  <c r="B2817" i="2"/>
  <c r="C2817" i="2"/>
  <c r="B2818" i="2"/>
  <c r="C2818" i="2"/>
  <c r="B2819" i="2"/>
  <c r="C2819" i="2"/>
  <c r="B2820" i="2"/>
  <c r="C2820" i="2"/>
  <c r="B2821" i="2"/>
  <c r="C2821" i="2"/>
  <c r="B2822" i="2"/>
  <c r="C2822" i="2"/>
  <c r="B2823" i="2"/>
  <c r="C2823" i="2"/>
  <c r="B2824" i="2"/>
  <c r="C2824" i="2"/>
  <c r="B2825" i="2"/>
  <c r="C2825" i="2"/>
  <c r="B2826" i="2"/>
  <c r="C2826" i="2"/>
  <c r="B2827" i="2"/>
  <c r="C2827" i="2"/>
  <c r="B2828" i="2"/>
  <c r="C2828" i="2"/>
  <c r="B2829" i="2"/>
  <c r="C2829" i="2"/>
  <c r="B2830" i="2"/>
  <c r="C2830" i="2"/>
  <c r="B2831" i="2"/>
  <c r="C2831" i="2"/>
  <c r="B2832" i="2"/>
  <c r="C2832" i="2"/>
  <c r="B2833" i="2"/>
  <c r="C2833" i="2"/>
  <c r="B2834" i="2"/>
  <c r="C2834" i="2"/>
  <c r="B2835" i="2"/>
  <c r="C2835" i="2"/>
  <c r="B2836" i="2"/>
  <c r="C2836" i="2"/>
  <c r="B2837" i="2"/>
  <c r="C2837" i="2"/>
  <c r="B2838" i="2"/>
  <c r="C2838" i="2"/>
  <c r="B2839" i="2"/>
  <c r="C2839" i="2"/>
  <c r="B2840" i="2"/>
  <c r="C2840" i="2"/>
  <c r="B2841" i="2"/>
  <c r="C2841" i="2"/>
  <c r="B2842" i="2"/>
  <c r="C2842" i="2"/>
  <c r="B2843" i="2"/>
  <c r="C2843" i="2"/>
  <c r="B2844" i="2"/>
  <c r="C2844" i="2"/>
  <c r="B2845" i="2"/>
  <c r="C2845" i="2"/>
  <c r="B2846" i="2"/>
  <c r="C2846" i="2"/>
  <c r="B2847" i="2"/>
  <c r="C2847" i="2"/>
  <c r="B2848" i="2"/>
  <c r="C2848" i="2"/>
  <c r="B2849" i="2"/>
  <c r="C2849" i="2"/>
  <c r="B2850" i="2"/>
  <c r="C2850" i="2"/>
  <c r="B2851" i="2"/>
  <c r="C2851" i="2"/>
  <c r="B2852" i="2"/>
  <c r="C2852" i="2"/>
  <c r="B2853" i="2"/>
  <c r="C2853" i="2"/>
  <c r="B2854" i="2"/>
  <c r="C2854" i="2"/>
  <c r="B2855" i="2"/>
  <c r="C2855" i="2"/>
  <c r="B2856" i="2"/>
  <c r="C2856" i="2"/>
  <c r="B2857" i="2"/>
  <c r="C2857" i="2"/>
  <c r="B2858" i="2"/>
  <c r="C2858" i="2"/>
  <c r="B2859" i="2"/>
  <c r="C2859" i="2"/>
  <c r="B2860" i="2"/>
  <c r="C2860" i="2"/>
  <c r="B2861" i="2"/>
  <c r="C2861" i="2"/>
  <c r="B2862" i="2"/>
  <c r="C2862" i="2"/>
  <c r="B2863" i="2"/>
  <c r="C2863" i="2"/>
  <c r="B2864" i="2"/>
  <c r="C2864" i="2"/>
  <c r="B2865" i="2"/>
  <c r="C2865" i="2"/>
  <c r="B2866" i="2"/>
  <c r="C2866" i="2"/>
  <c r="B2867" i="2"/>
  <c r="C2867" i="2"/>
  <c r="B2868" i="2"/>
  <c r="C2868" i="2"/>
  <c r="B2869" i="2"/>
  <c r="C2869" i="2"/>
  <c r="B2870" i="2"/>
  <c r="C2870" i="2"/>
  <c r="B2871" i="2"/>
  <c r="C2871" i="2"/>
  <c r="B2872" i="2"/>
  <c r="C2872" i="2"/>
  <c r="B2873" i="2"/>
  <c r="C2873" i="2"/>
  <c r="B2874" i="2"/>
  <c r="C2874" i="2"/>
  <c r="B2875" i="2"/>
  <c r="C2875" i="2"/>
  <c r="B2876" i="2"/>
  <c r="C2876" i="2"/>
  <c r="B2877" i="2"/>
  <c r="C2877" i="2"/>
  <c r="B2878" i="2"/>
  <c r="C2878" i="2"/>
  <c r="B2879" i="2"/>
  <c r="C2879" i="2"/>
  <c r="B2880" i="2"/>
  <c r="C2880" i="2"/>
  <c r="B2881" i="2"/>
  <c r="C2881" i="2"/>
  <c r="B2882" i="2"/>
  <c r="C2882" i="2"/>
  <c r="B2883" i="2"/>
  <c r="C2883" i="2"/>
  <c r="B2884" i="2"/>
  <c r="C2884" i="2"/>
  <c r="B2885" i="2"/>
  <c r="C2885" i="2"/>
  <c r="B2886" i="2"/>
  <c r="C2886" i="2"/>
  <c r="B2887" i="2"/>
  <c r="C2887" i="2"/>
  <c r="B2888" i="2"/>
  <c r="C2888" i="2"/>
  <c r="B2889" i="2"/>
  <c r="C2889" i="2"/>
  <c r="B2890" i="2"/>
  <c r="C2890" i="2"/>
  <c r="B2891" i="2"/>
  <c r="C2891" i="2"/>
  <c r="B2892" i="2"/>
  <c r="C2892" i="2"/>
  <c r="B2893" i="2"/>
  <c r="C2893" i="2"/>
  <c r="B2894" i="2"/>
  <c r="C2894" i="2"/>
  <c r="B2895" i="2"/>
  <c r="C2895" i="2"/>
  <c r="B2896" i="2"/>
  <c r="C2896" i="2"/>
  <c r="B2897" i="2"/>
  <c r="C2897" i="2"/>
  <c r="B2898" i="2"/>
  <c r="C2898" i="2"/>
  <c r="B2899" i="2"/>
  <c r="C2899" i="2"/>
  <c r="B2900" i="2"/>
  <c r="C2900" i="2"/>
  <c r="B2901" i="2"/>
  <c r="C2901" i="2"/>
  <c r="B2902" i="2"/>
  <c r="C2902" i="2"/>
  <c r="B2903" i="2"/>
  <c r="C2903" i="2"/>
  <c r="B2904" i="2"/>
  <c r="C2904" i="2"/>
  <c r="B2905" i="2"/>
  <c r="C2905" i="2"/>
  <c r="B2906" i="2"/>
  <c r="C2906" i="2"/>
  <c r="B2907" i="2"/>
  <c r="C2907" i="2"/>
  <c r="B2908" i="2"/>
  <c r="C2908" i="2"/>
  <c r="B2909" i="2"/>
  <c r="C2909" i="2"/>
  <c r="B2910" i="2"/>
  <c r="C2910" i="2"/>
  <c r="B2911" i="2"/>
  <c r="C2911" i="2"/>
  <c r="B2912" i="2"/>
  <c r="C2912" i="2"/>
  <c r="B2913" i="2"/>
  <c r="C2913" i="2"/>
  <c r="B2914" i="2"/>
  <c r="C2914" i="2"/>
  <c r="B2915" i="2"/>
  <c r="C2915" i="2"/>
  <c r="B2916" i="2"/>
  <c r="C2916" i="2"/>
  <c r="B2917" i="2"/>
  <c r="C2917" i="2"/>
  <c r="B2918" i="2"/>
  <c r="C2918" i="2"/>
  <c r="B2919" i="2"/>
  <c r="C2919" i="2"/>
  <c r="B2920" i="2"/>
  <c r="C2920" i="2"/>
  <c r="B2921" i="2"/>
  <c r="C2921" i="2"/>
  <c r="B2922" i="2"/>
  <c r="C2922" i="2"/>
  <c r="B2923" i="2"/>
  <c r="C2923" i="2"/>
  <c r="B2924" i="2"/>
  <c r="C2924" i="2"/>
  <c r="B2925" i="2"/>
  <c r="C2925" i="2"/>
  <c r="B2926" i="2"/>
  <c r="C2926" i="2"/>
  <c r="B2927" i="2"/>
  <c r="C2927" i="2"/>
  <c r="B2928" i="2"/>
  <c r="C2928" i="2"/>
  <c r="B2929" i="2"/>
  <c r="C2929" i="2"/>
  <c r="B2930" i="2"/>
  <c r="C2930" i="2"/>
  <c r="B2931" i="2"/>
  <c r="C2931" i="2"/>
  <c r="B2932" i="2"/>
  <c r="C2932" i="2"/>
  <c r="B2933" i="2"/>
  <c r="C2933" i="2"/>
  <c r="B2934" i="2"/>
  <c r="C2934" i="2"/>
  <c r="B2935" i="2"/>
  <c r="C2935" i="2"/>
  <c r="B2936" i="2"/>
  <c r="C2936" i="2"/>
  <c r="B2937" i="2"/>
  <c r="C2937" i="2"/>
  <c r="B2938" i="2"/>
  <c r="C2938" i="2"/>
  <c r="B2939" i="2"/>
  <c r="C2939" i="2"/>
  <c r="B2940" i="2"/>
  <c r="C2940" i="2"/>
  <c r="B2941" i="2"/>
  <c r="C2941" i="2"/>
  <c r="B2942" i="2"/>
  <c r="C2942" i="2"/>
  <c r="B2943" i="2"/>
  <c r="C2943" i="2"/>
  <c r="B2944" i="2"/>
  <c r="C2944" i="2"/>
  <c r="B2945" i="2"/>
  <c r="C2945" i="2"/>
  <c r="B2946" i="2"/>
  <c r="C2946" i="2"/>
  <c r="B2947" i="2"/>
  <c r="C2947" i="2"/>
  <c r="B2948" i="2"/>
  <c r="C2948" i="2"/>
  <c r="B2949" i="2"/>
  <c r="C2949" i="2"/>
  <c r="B2950" i="2"/>
  <c r="C2950" i="2"/>
  <c r="B2951" i="2"/>
  <c r="C2951" i="2"/>
  <c r="B2952" i="2"/>
  <c r="C2952" i="2"/>
  <c r="B2953" i="2"/>
  <c r="C2953" i="2"/>
  <c r="B2954" i="2"/>
  <c r="C2954" i="2"/>
  <c r="B2955" i="2"/>
  <c r="C2955" i="2"/>
  <c r="B2956" i="2"/>
  <c r="C2956" i="2"/>
  <c r="B2957" i="2"/>
  <c r="C2957" i="2"/>
  <c r="B2958" i="2"/>
  <c r="C2958" i="2"/>
  <c r="B2959" i="2"/>
  <c r="C2959" i="2"/>
  <c r="B2960" i="2"/>
  <c r="C2960" i="2"/>
  <c r="B2961" i="2"/>
  <c r="C2961" i="2"/>
  <c r="B2962" i="2"/>
  <c r="C2962" i="2"/>
  <c r="B2963" i="2"/>
  <c r="C2963" i="2"/>
  <c r="B2964" i="2"/>
  <c r="C2964" i="2"/>
  <c r="B2965" i="2"/>
  <c r="C2965" i="2"/>
  <c r="B2966" i="2"/>
  <c r="C2966" i="2"/>
  <c r="B2967" i="2"/>
  <c r="C2967" i="2"/>
  <c r="B2968" i="2"/>
  <c r="C2968" i="2"/>
  <c r="B2969" i="2"/>
  <c r="C2969" i="2"/>
  <c r="B2970" i="2"/>
  <c r="C2970" i="2"/>
  <c r="B2971" i="2"/>
  <c r="C2971" i="2"/>
  <c r="B2972" i="2"/>
  <c r="C2972" i="2"/>
  <c r="B2973" i="2"/>
  <c r="C2973" i="2"/>
  <c r="B2974" i="2"/>
  <c r="C2974" i="2"/>
  <c r="B2975" i="2"/>
  <c r="C2975" i="2"/>
  <c r="B2976" i="2"/>
  <c r="C2976" i="2"/>
  <c r="B2977" i="2"/>
  <c r="C2977" i="2"/>
  <c r="B2978" i="2"/>
  <c r="C2978" i="2"/>
  <c r="B2979" i="2"/>
  <c r="C2979" i="2"/>
  <c r="B2980" i="2"/>
  <c r="C2980" i="2"/>
  <c r="B2981" i="2"/>
  <c r="C2981" i="2"/>
  <c r="B2982" i="2"/>
  <c r="C2982" i="2"/>
  <c r="B2983" i="2"/>
  <c r="C2983" i="2"/>
  <c r="B2984" i="2"/>
  <c r="C2984" i="2"/>
  <c r="B2985" i="2"/>
  <c r="C2985" i="2"/>
  <c r="B2986" i="2"/>
  <c r="C2986" i="2"/>
  <c r="B2987" i="2"/>
  <c r="C2987" i="2"/>
  <c r="B2988" i="2"/>
  <c r="C2988" i="2"/>
  <c r="B2989" i="2"/>
  <c r="C2989" i="2"/>
  <c r="B2990" i="2"/>
  <c r="C2990" i="2"/>
  <c r="B2991" i="2"/>
  <c r="C2991" i="2"/>
  <c r="B2992" i="2"/>
  <c r="C2992" i="2"/>
  <c r="B2993" i="2"/>
  <c r="C2993" i="2"/>
  <c r="B2994" i="2"/>
  <c r="C2994" i="2"/>
  <c r="B2995" i="2"/>
  <c r="C2995" i="2"/>
  <c r="B2996" i="2"/>
  <c r="C2996" i="2"/>
  <c r="B2997" i="2"/>
  <c r="C2997" i="2"/>
  <c r="B2998" i="2"/>
  <c r="C2998" i="2"/>
  <c r="B2999" i="2"/>
  <c r="C2999" i="2"/>
  <c r="B3000" i="2"/>
  <c r="C3000" i="2"/>
  <c r="B3001" i="2"/>
  <c r="C3001" i="2"/>
  <c r="B3002" i="2"/>
  <c r="C3002" i="2"/>
  <c r="B3003" i="2"/>
  <c r="C3003" i="2"/>
  <c r="B3004" i="2"/>
  <c r="C3004" i="2"/>
  <c r="B3005" i="2"/>
  <c r="C3005" i="2"/>
  <c r="B3006" i="2"/>
  <c r="C3006" i="2"/>
  <c r="B3007" i="2"/>
  <c r="C3007" i="2"/>
  <c r="B3008" i="2"/>
  <c r="C3008" i="2"/>
  <c r="B3009" i="2"/>
  <c r="C3009" i="2"/>
  <c r="B3010" i="2"/>
  <c r="C3010" i="2"/>
  <c r="B3011" i="2"/>
  <c r="C3011" i="2"/>
  <c r="B3012" i="2"/>
  <c r="C3012" i="2"/>
  <c r="B3013" i="2"/>
  <c r="C3013" i="2"/>
  <c r="B3014" i="2"/>
  <c r="C3014" i="2"/>
  <c r="B3015" i="2"/>
  <c r="C3015" i="2"/>
  <c r="B3016" i="2"/>
  <c r="C3016" i="2"/>
  <c r="B3017" i="2"/>
  <c r="C3017" i="2"/>
  <c r="B3018" i="2"/>
  <c r="C3018" i="2"/>
  <c r="B3019" i="2"/>
  <c r="C3019" i="2"/>
  <c r="B3020" i="2"/>
  <c r="C3020" i="2"/>
  <c r="B3021" i="2"/>
  <c r="C3021" i="2"/>
  <c r="B3022" i="2"/>
  <c r="C3022" i="2"/>
  <c r="B3023" i="2"/>
  <c r="C3023" i="2"/>
  <c r="B3024" i="2"/>
  <c r="C3024" i="2"/>
  <c r="B3025" i="2"/>
  <c r="C3025" i="2"/>
  <c r="B3026" i="2"/>
  <c r="C3026" i="2"/>
  <c r="B3027" i="2"/>
  <c r="C3027" i="2"/>
  <c r="B3028" i="2"/>
  <c r="C3028" i="2"/>
  <c r="B3029" i="2"/>
  <c r="C3029" i="2"/>
  <c r="B3030" i="2"/>
  <c r="C3030" i="2"/>
  <c r="B3031" i="2"/>
  <c r="C3031" i="2"/>
  <c r="B3032" i="2"/>
  <c r="C3032" i="2"/>
  <c r="B3033" i="2"/>
  <c r="C3033" i="2"/>
  <c r="B3034" i="2"/>
  <c r="C3034" i="2"/>
  <c r="B3035" i="2"/>
  <c r="C3035" i="2"/>
  <c r="B3036" i="2"/>
  <c r="C3036" i="2"/>
  <c r="B3037" i="2"/>
  <c r="C3037" i="2"/>
  <c r="B3038" i="2"/>
  <c r="C3038" i="2"/>
  <c r="B3039" i="2"/>
  <c r="C3039" i="2"/>
  <c r="B3040" i="2"/>
  <c r="C3040" i="2"/>
  <c r="B3041" i="2"/>
  <c r="C3041" i="2"/>
  <c r="B3042" i="2"/>
  <c r="C3042" i="2"/>
  <c r="B3043" i="2"/>
  <c r="C3043" i="2"/>
  <c r="B3044" i="2"/>
  <c r="C3044" i="2"/>
  <c r="B3045" i="2"/>
  <c r="C3045" i="2"/>
  <c r="B3046" i="2"/>
  <c r="C3046" i="2"/>
  <c r="B3047" i="2"/>
  <c r="C3047" i="2"/>
  <c r="B3048" i="2"/>
  <c r="C3048" i="2"/>
  <c r="B3049" i="2"/>
  <c r="C3049" i="2"/>
  <c r="B3050" i="2"/>
  <c r="D3050" i="2" s="1"/>
  <c r="C3050" i="2"/>
  <c r="B3051" i="2"/>
  <c r="C3051" i="2"/>
  <c r="B3052" i="2"/>
  <c r="C3052" i="2"/>
  <c r="B3053" i="2"/>
  <c r="C3053" i="2"/>
  <c r="B3054" i="2"/>
  <c r="C3054" i="2"/>
  <c r="B3055" i="2"/>
  <c r="C3055" i="2"/>
  <c r="B3056" i="2"/>
  <c r="C3056" i="2"/>
  <c r="B3057" i="2"/>
  <c r="C3057" i="2"/>
  <c r="B3058" i="2"/>
  <c r="C3058" i="2"/>
  <c r="B3059" i="2"/>
  <c r="C3059" i="2"/>
  <c r="B3060" i="2"/>
  <c r="C3060" i="2"/>
  <c r="B3061" i="2"/>
  <c r="C3061" i="2"/>
  <c r="B3062" i="2"/>
  <c r="C3062" i="2"/>
  <c r="B3063" i="2"/>
  <c r="C3063" i="2"/>
  <c r="B3064" i="2"/>
  <c r="C3064" i="2"/>
  <c r="B3065" i="2"/>
  <c r="C3065" i="2"/>
  <c r="B3066" i="2"/>
  <c r="C3066" i="2"/>
  <c r="B3067" i="2"/>
  <c r="C3067" i="2"/>
  <c r="B3068" i="2"/>
  <c r="C3068" i="2"/>
  <c r="B3069" i="2"/>
  <c r="C3069" i="2"/>
  <c r="B3070" i="2"/>
  <c r="C3070" i="2"/>
  <c r="B3071" i="2"/>
  <c r="C3071" i="2"/>
  <c r="B3072" i="2"/>
  <c r="C3072" i="2"/>
  <c r="B3073" i="2"/>
  <c r="C3073" i="2"/>
  <c r="B3074" i="2"/>
  <c r="C3074" i="2"/>
  <c r="B3075" i="2"/>
  <c r="C3075" i="2"/>
  <c r="B3076" i="2"/>
  <c r="C3076" i="2"/>
  <c r="B3077" i="2"/>
  <c r="C3077" i="2"/>
  <c r="B3078" i="2"/>
  <c r="C3078" i="2"/>
  <c r="B3079" i="2"/>
  <c r="C3079" i="2"/>
  <c r="B3080" i="2"/>
  <c r="C3080" i="2"/>
  <c r="B3081" i="2"/>
  <c r="C3081" i="2"/>
  <c r="B3082" i="2"/>
  <c r="C3082" i="2"/>
  <c r="B3083" i="2"/>
  <c r="C3083" i="2"/>
  <c r="B3084" i="2"/>
  <c r="C3084" i="2"/>
  <c r="B3085" i="2"/>
  <c r="C3085" i="2"/>
  <c r="B3086" i="2"/>
  <c r="C3086" i="2"/>
  <c r="B3087" i="2"/>
  <c r="C3087" i="2"/>
  <c r="B3088" i="2"/>
  <c r="C3088" i="2"/>
  <c r="B3089" i="2"/>
  <c r="C3089" i="2"/>
  <c r="B3090" i="2"/>
  <c r="C3090" i="2"/>
  <c r="B3091" i="2"/>
  <c r="C3091" i="2"/>
  <c r="B3092" i="2"/>
  <c r="C3092" i="2"/>
  <c r="B3093" i="2"/>
  <c r="C3093" i="2"/>
  <c r="B3094" i="2"/>
  <c r="C3094" i="2"/>
  <c r="B3095" i="2"/>
  <c r="C3095" i="2"/>
  <c r="B3096" i="2"/>
  <c r="C3096" i="2"/>
  <c r="B3097" i="2"/>
  <c r="C3097" i="2"/>
  <c r="B3098" i="2"/>
  <c r="C3098" i="2"/>
  <c r="B3099" i="2"/>
  <c r="C3099" i="2"/>
  <c r="B3100" i="2"/>
  <c r="C3100" i="2"/>
  <c r="B3101" i="2"/>
  <c r="C3101" i="2"/>
  <c r="B3102" i="2"/>
  <c r="C3102" i="2"/>
  <c r="B3103" i="2"/>
  <c r="C3103" i="2"/>
  <c r="B3104" i="2"/>
  <c r="C3104" i="2"/>
  <c r="B3105" i="2"/>
  <c r="C3105" i="2"/>
  <c r="B3106" i="2"/>
  <c r="C3106" i="2"/>
  <c r="B3107" i="2"/>
  <c r="C3107" i="2"/>
  <c r="B3108" i="2"/>
  <c r="C3108" i="2"/>
  <c r="B3109" i="2"/>
  <c r="C3109" i="2"/>
  <c r="B3110" i="2"/>
  <c r="C3110" i="2"/>
  <c r="B3111" i="2"/>
  <c r="C3111" i="2"/>
  <c r="B3112" i="2"/>
  <c r="C3112" i="2"/>
  <c r="B3113" i="2"/>
  <c r="C3113" i="2"/>
  <c r="B3114" i="2"/>
  <c r="C3114" i="2"/>
  <c r="B3115" i="2"/>
  <c r="C3115" i="2"/>
  <c r="B3116" i="2"/>
  <c r="C3116" i="2"/>
  <c r="B3117" i="2"/>
  <c r="C3117" i="2"/>
  <c r="B3118" i="2"/>
  <c r="C3118" i="2"/>
  <c r="B3119" i="2"/>
  <c r="C3119" i="2"/>
  <c r="B3120" i="2"/>
  <c r="C3120" i="2"/>
  <c r="B3121" i="2"/>
  <c r="C3121" i="2"/>
  <c r="B3122" i="2"/>
  <c r="C3122" i="2"/>
  <c r="B3123" i="2"/>
  <c r="C3123" i="2"/>
  <c r="B3124" i="2"/>
  <c r="C3124" i="2"/>
  <c r="B3125" i="2"/>
  <c r="C3125" i="2"/>
  <c r="B3126" i="2"/>
  <c r="C3126" i="2"/>
  <c r="B3127" i="2"/>
  <c r="C3127" i="2"/>
  <c r="B3128" i="2"/>
  <c r="C3128" i="2"/>
  <c r="B3129" i="2"/>
  <c r="C3129" i="2"/>
  <c r="B3130" i="2"/>
  <c r="C3130" i="2"/>
  <c r="B3131" i="2"/>
  <c r="C3131" i="2"/>
  <c r="B3132" i="2"/>
  <c r="C3132" i="2"/>
  <c r="B3133" i="2"/>
  <c r="C3133" i="2"/>
  <c r="B3134" i="2"/>
  <c r="C3134" i="2"/>
  <c r="B3135" i="2"/>
  <c r="C3135" i="2"/>
  <c r="B3136" i="2"/>
  <c r="C3136" i="2"/>
  <c r="B3137" i="2"/>
  <c r="C3137" i="2"/>
  <c r="B3138" i="2"/>
  <c r="C3138" i="2"/>
  <c r="B3139" i="2"/>
  <c r="C3139" i="2"/>
  <c r="B3140" i="2"/>
  <c r="C3140" i="2"/>
  <c r="B3141" i="2"/>
  <c r="C3141" i="2"/>
  <c r="B3142" i="2"/>
  <c r="C3142" i="2"/>
  <c r="B3143" i="2"/>
  <c r="C3143" i="2"/>
  <c r="B3144" i="2"/>
  <c r="C3144" i="2"/>
  <c r="B3145" i="2"/>
  <c r="C3145" i="2"/>
  <c r="B3146" i="2"/>
  <c r="C3146" i="2"/>
  <c r="B3147" i="2"/>
  <c r="C3147" i="2"/>
  <c r="B3148" i="2"/>
  <c r="C3148" i="2"/>
  <c r="B3149" i="2"/>
  <c r="C3149" i="2"/>
  <c r="B3150" i="2"/>
  <c r="C3150" i="2"/>
  <c r="B3151" i="2"/>
  <c r="C3151" i="2"/>
  <c r="B3152" i="2"/>
  <c r="C3152" i="2"/>
  <c r="B3153" i="2"/>
  <c r="C3153" i="2"/>
  <c r="B3154" i="2"/>
  <c r="C3154" i="2"/>
  <c r="B3155" i="2"/>
  <c r="C3155" i="2"/>
  <c r="B3156" i="2"/>
  <c r="C3156" i="2"/>
  <c r="B3157" i="2"/>
  <c r="C3157" i="2"/>
  <c r="B3158" i="2"/>
  <c r="C3158" i="2"/>
  <c r="B3159" i="2"/>
  <c r="C3159" i="2"/>
  <c r="B3160" i="2"/>
  <c r="C3160" i="2"/>
  <c r="B3161" i="2"/>
  <c r="C3161" i="2"/>
  <c r="B3162" i="2"/>
  <c r="C3162" i="2"/>
  <c r="B3163" i="2"/>
  <c r="C3163" i="2"/>
  <c r="B3164" i="2"/>
  <c r="C3164" i="2"/>
  <c r="B3165" i="2"/>
  <c r="C3165" i="2"/>
  <c r="B3166" i="2"/>
  <c r="C3166" i="2"/>
  <c r="B3167" i="2"/>
  <c r="C3167" i="2"/>
  <c r="B3168" i="2"/>
  <c r="C3168" i="2"/>
  <c r="B3169" i="2"/>
  <c r="C3169" i="2"/>
  <c r="B3170" i="2"/>
  <c r="C3170" i="2"/>
  <c r="B3171" i="2"/>
  <c r="C3171" i="2"/>
  <c r="B3172" i="2"/>
  <c r="C3172" i="2"/>
  <c r="B3173" i="2"/>
  <c r="C3173" i="2"/>
  <c r="B3174" i="2"/>
  <c r="C3174" i="2"/>
  <c r="B3175" i="2"/>
  <c r="C3175" i="2"/>
  <c r="B3176" i="2"/>
  <c r="C3176" i="2"/>
  <c r="B3177" i="2"/>
  <c r="C3177" i="2"/>
  <c r="B3178" i="2"/>
  <c r="C3178" i="2"/>
  <c r="B3179" i="2"/>
  <c r="C3179" i="2"/>
  <c r="B3180" i="2"/>
  <c r="C3180" i="2"/>
  <c r="B3181" i="2"/>
  <c r="C3181" i="2"/>
  <c r="B3182" i="2"/>
  <c r="C3182" i="2"/>
  <c r="B3183" i="2"/>
  <c r="C3183" i="2"/>
  <c r="B3184" i="2"/>
  <c r="C3184" i="2"/>
  <c r="B3185" i="2"/>
  <c r="C3185" i="2"/>
  <c r="B3186" i="2"/>
  <c r="C3186" i="2"/>
  <c r="B3187" i="2"/>
  <c r="C3187" i="2"/>
  <c r="B3188" i="2"/>
  <c r="C3188" i="2"/>
  <c r="B3189" i="2"/>
  <c r="C3189" i="2"/>
  <c r="B3190" i="2"/>
  <c r="C3190" i="2"/>
  <c r="B3191" i="2"/>
  <c r="C3191" i="2"/>
  <c r="B3192" i="2"/>
  <c r="C3192" i="2"/>
  <c r="B3193" i="2"/>
  <c r="C3193" i="2"/>
  <c r="B3194" i="2"/>
  <c r="C3194" i="2"/>
  <c r="B3195" i="2"/>
  <c r="C3195" i="2"/>
  <c r="B3196" i="2"/>
  <c r="C3196" i="2"/>
  <c r="B3197" i="2"/>
  <c r="C3197" i="2"/>
  <c r="B3198" i="2"/>
  <c r="C3198" i="2"/>
  <c r="B3199" i="2"/>
  <c r="C3199" i="2"/>
  <c r="B3200" i="2"/>
  <c r="C3200" i="2"/>
  <c r="B3201" i="2"/>
  <c r="C3201" i="2"/>
  <c r="B3202" i="2"/>
  <c r="C3202" i="2"/>
  <c r="B3203" i="2"/>
  <c r="C3203" i="2"/>
  <c r="B3204" i="2"/>
  <c r="C3204" i="2"/>
  <c r="B3205" i="2"/>
  <c r="C3205" i="2"/>
  <c r="B3206" i="2"/>
  <c r="C3206" i="2"/>
  <c r="B3207" i="2"/>
  <c r="C3207" i="2"/>
  <c r="B3208" i="2"/>
  <c r="C3208" i="2"/>
  <c r="B3209" i="2"/>
  <c r="C3209" i="2"/>
  <c r="B3210" i="2"/>
  <c r="C3210" i="2"/>
  <c r="B3211" i="2"/>
  <c r="C3211" i="2"/>
  <c r="B3212" i="2"/>
  <c r="C3212" i="2"/>
  <c r="B3213" i="2"/>
  <c r="C3213" i="2"/>
  <c r="B3214" i="2"/>
  <c r="C3214" i="2"/>
  <c r="B3215" i="2"/>
  <c r="C3215" i="2"/>
  <c r="B3216" i="2"/>
  <c r="C3216" i="2"/>
  <c r="B3217" i="2"/>
  <c r="C3217" i="2"/>
  <c r="B3218" i="2"/>
  <c r="C3218" i="2"/>
  <c r="B3219" i="2"/>
  <c r="C3219" i="2"/>
  <c r="B3220" i="2"/>
  <c r="C3220" i="2"/>
  <c r="B3221" i="2"/>
  <c r="C3221" i="2"/>
  <c r="B3222" i="2"/>
  <c r="C3222" i="2"/>
  <c r="B3223" i="2"/>
  <c r="C3223" i="2"/>
  <c r="B3224" i="2"/>
  <c r="C3224" i="2"/>
  <c r="C3" i="2"/>
  <c r="B3" i="2"/>
  <c r="B2" i="2"/>
  <c r="C2" i="2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A367" i="2"/>
  <c r="A368" i="2"/>
  <c r="A369" i="2"/>
  <c r="A370" i="2"/>
  <c r="A371" i="2"/>
  <c r="A372" i="2"/>
  <c r="A373" i="2"/>
  <c r="A374" i="2"/>
  <c r="A375" i="2"/>
  <c r="A376" i="2"/>
  <c r="A377" i="2"/>
  <c r="A378" i="2"/>
  <c r="A379" i="2"/>
  <c r="A380" i="2"/>
  <c r="A381" i="2"/>
  <c r="A382" i="2"/>
  <c r="A383" i="2"/>
  <c r="A384" i="2"/>
  <c r="A385" i="2"/>
  <c r="A386" i="2"/>
  <c r="A387" i="2"/>
  <c r="A388" i="2"/>
  <c r="A389" i="2"/>
  <c r="A390" i="2"/>
  <c r="A391" i="2"/>
  <c r="A392" i="2"/>
  <c r="A393" i="2"/>
  <c r="A394" i="2"/>
  <c r="A395" i="2"/>
  <c r="A396" i="2"/>
  <c r="A397" i="2"/>
  <c r="A398" i="2"/>
  <c r="A399" i="2"/>
  <c r="A400" i="2"/>
  <c r="A401" i="2"/>
  <c r="A402" i="2"/>
  <c r="A403" i="2"/>
  <c r="A404" i="2"/>
  <c r="A405" i="2"/>
  <c r="A406" i="2"/>
  <c r="A407" i="2"/>
  <c r="A408" i="2"/>
  <c r="A409" i="2"/>
  <c r="A410" i="2"/>
  <c r="A411" i="2"/>
  <c r="A412" i="2"/>
  <c r="A413" i="2"/>
  <c r="A414" i="2"/>
  <c r="A415" i="2"/>
  <c r="A416" i="2"/>
  <c r="A417" i="2"/>
  <c r="A418" i="2"/>
  <c r="A419" i="2"/>
  <c r="A420" i="2"/>
  <c r="A421" i="2"/>
  <c r="A422" i="2"/>
  <c r="A423" i="2"/>
  <c r="A424" i="2"/>
  <c r="A425" i="2"/>
  <c r="A426" i="2"/>
  <c r="A427" i="2"/>
  <c r="A428" i="2"/>
  <c r="A429" i="2"/>
  <c r="A430" i="2"/>
  <c r="A431" i="2"/>
  <c r="A432" i="2"/>
  <c r="A433" i="2"/>
  <c r="A434" i="2"/>
  <c r="A435" i="2"/>
  <c r="A436" i="2"/>
  <c r="A437" i="2"/>
  <c r="A438" i="2"/>
  <c r="A439" i="2"/>
  <c r="A440" i="2"/>
  <c r="A441" i="2"/>
  <c r="A442" i="2"/>
  <c r="A443" i="2"/>
  <c r="A444" i="2"/>
  <c r="A445" i="2"/>
  <c r="A446" i="2"/>
  <c r="A447" i="2"/>
  <c r="A448" i="2"/>
  <c r="A449" i="2"/>
  <c r="A450" i="2"/>
  <c r="A451" i="2"/>
  <c r="A452" i="2"/>
  <c r="A453" i="2"/>
  <c r="A454" i="2"/>
  <c r="A455" i="2"/>
  <c r="A456" i="2"/>
  <c r="A457" i="2"/>
  <c r="A458" i="2"/>
  <c r="A459" i="2"/>
  <c r="A460" i="2"/>
  <c r="A461" i="2"/>
  <c r="A462" i="2"/>
  <c r="A463" i="2"/>
  <c r="A464" i="2"/>
  <c r="A465" i="2"/>
  <c r="A466" i="2"/>
  <c r="A467" i="2"/>
  <c r="A468" i="2"/>
  <c r="A469" i="2"/>
  <c r="A470" i="2"/>
  <c r="A471" i="2"/>
  <c r="A472" i="2"/>
  <c r="A473" i="2"/>
  <c r="A474" i="2"/>
  <c r="A475" i="2"/>
  <c r="A476" i="2"/>
  <c r="A477" i="2"/>
  <c r="A478" i="2"/>
  <c r="A479" i="2"/>
  <c r="A480" i="2"/>
  <c r="A481" i="2"/>
  <c r="A482" i="2"/>
  <c r="A483" i="2"/>
  <c r="A484" i="2"/>
  <c r="A485" i="2"/>
  <c r="A486" i="2"/>
  <c r="A487" i="2"/>
  <c r="A488" i="2"/>
  <c r="A489" i="2"/>
  <c r="A490" i="2"/>
  <c r="A491" i="2"/>
  <c r="A492" i="2"/>
  <c r="A493" i="2"/>
  <c r="A494" i="2"/>
  <c r="A495" i="2"/>
  <c r="A496" i="2"/>
  <c r="A497" i="2"/>
  <c r="A498" i="2"/>
  <c r="A499" i="2"/>
  <c r="A500" i="2"/>
  <c r="A501" i="2"/>
  <c r="A502" i="2"/>
  <c r="A503" i="2"/>
  <c r="A504" i="2"/>
  <c r="A505" i="2"/>
  <c r="A506" i="2"/>
  <c r="A507" i="2"/>
  <c r="A508" i="2"/>
  <c r="A509" i="2"/>
  <c r="A510" i="2"/>
  <c r="A511" i="2"/>
  <c r="A512" i="2"/>
  <c r="A513" i="2"/>
  <c r="A514" i="2"/>
  <c r="A515" i="2"/>
  <c r="A516" i="2"/>
  <c r="A517" i="2"/>
  <c r="A518" i="2"/>
  <c r="A519" i="2"/>
  <c r="A520" i="2"/>
  <c r="A521" i="2"/>
  <c r="A522" i="2"/>
  <c r="A523" i="2"/>
  <c r="A524" i="2"/>
  <c r="A525" i="2"/>
  <c r="A526" i="2"/>
  <c r="A527" i="2"/>
  <c r="A528" i="2"/>
  <c r="A529" i="2"/>
  <c r="A530" i="2"/>
  <c r="A531" i="2"/>
  <c r="A532" i="2"/>
  <c r="A533" i="2"/>
  <c r="A534" i="2"/>
  <c r="A535" i="2"/>
  <c r="A536" i="2"/>
  <c r="A537" i="2"/>
  <c r="A538" i="2"/>
  <c r="A539" i="2"/>
  <c r="A540" i="2"/>
  <c r="A541" i="2"/>
  <c r="A542" i="2"/>
  <c r="A543" i="2"/>
  <c r="A544" i="2"/>
  <c r="A545" i="2"/>
  <c r="A546" i="2"/>
  <c r="A547" i="2"/>
  <c r="A548" i="2"/>
  <c r="A549" i="2"/>
  <c r="A550" i="2"/>
  <c r="A551" i="2"/>
  <c r="A552" i="2"/>
  <c r="A553" i="2"/>
  <c r="A554" i="2"/>
  <c r="A555" i="2"/>
  <c r="A556" i="2"/>
  <c r="A557" i="2"/>
  <c r="A558" i="2"/>
  <c r="A559" i="2"/>
  <c r="A560" i="2"/>
  <c r="A561" i="2"/>
  <c r="A562" i="2"/>
  <c r="A563" i="2"/>
  <c r="A564" i="2"/>
  <c r="A565" i="2"/>
  <c r="A566" i="2"/>
  <c r="A567" i="2"/>
  <c r="A568" i="2"/>
  <c r="A569" i="2"/>
  <c r="A570" i="2"/>
  <c r="A571" i="2"/>
  <c r="A572" i="2"/>
  <c r="A573" i="2"/>
  <c r="A574" i="2"/>
  <c r="A575" i="2"/>
  <c r="A576" i="2"/>
  <c r="A577" i="2"/>
  <c r="A578" i="2"/>
  <c r="A579" i="2"/>
  <c r="A580" i="2"/>
  <c r="A581" i="2"/>
  <c r="A582" i="2"/>
  <c r="A583" i="2"/>
  <c r="A584" i="2"/>
  <c r="A585" i="2"/>
  <c r="A586" i="2"/>
  <c r="A587" i="2"/>
  <c r="A588" i="2"/>
  <c r="A589" i="2"/>
  <c r="A590" i="2"/>
  <c r="A591" i="2"/>
  <c r="A592" i="2"/>
  <c r="A593" i="2"/>
  <c r="A594" i="2"/>
  <c r="A595" i="2"/>
  <c r="A596" i="2"/>
  <c r="A597" i="2"/>
  <c r="A598" i="2"/>
  <c r="A599" i="2"/>
  <c r="A600" i="2"/>
  <c r="A601" i="2"/>
  <c r="A602" i="2"/>
  <c r="A603" i="2"/>
  <c r="A604" i="2"/>
  <c r="A605" i="2"/>
  <c r="A606" i="2"/>
  <c r="A607" i="2"/>
  <c r="A608" i="2"/>
  <c r="A609" i="2"/>
  <c r="A610" i="2"/>
  <c r="A611" i="2"/>
  <c r="A612" i="2"/>
  <c r="A613" i="2"/>
  <c r="A614" i="2"/>
  <c r="A615" i="2"/>
  <c r="A616" i="2"/>
  <c r="A617" i="2"/>
  <c r="A618" i="2"/>
  <c r="A619" i="2"/>
  <c r="A620" i="2"/>
  <c r="A621" i="2"/>
  <c r="A622" i="2"/>
  <c r="A623" i="2"/>
  <c r="A624" i="2"/>
  <c r="A625" i="2"/>
  <c r="A626" i="2"/>
  <c r="A627" i="2"/>
  <c r="A628" i="2"/>
  <c r="A629" i="2"/>
  <c r="A630" i="2"/>
  <c r="A631" i="2"/>
  <c r="A632" i="2"/>
  <c r="A633" i="2"/>
  <c r="A634" i="2"/>
  <c r="A635" i="2"/>
  <c r="A636" i="2"/>
  <c r="A637" i="2"/>
  <c r="A638" i="2"/>
  <c r="A639" i="2"/>
  <c r="A640" i="2"/>
  <c r="A641" i="2"/>
  <c r="A642" i="2"/>
  <c r="A643" i="2"/>
  <c r="A644" i="2"/>
  <c r="A645" i="2"/>
  <c r="A646" i="2"/>
  <c r="A647" i="2"/>
  <c r="A648" i="2"/>
  <c r="A649" i="2"/>
  <c r="A650" i="2"/>
  <c r="A651" i="2"/>
  <c r="A652" i="2"/>
  <c r="A653" i="2"/>
  <c r="A654" i="2"/>
  <c r="A655" i="2"/>
  <c r="A656" i="2"/>
  <c r="A657" i="2"/>
  <c r="A658" i="2"/>
  <c r="A659" i="2"/>
  <c r="A660" i="2"/>
  <c r="A661" i="2"/>
  <c r="A662" i="2"/>
  <c r="A663" i="2"/>
  <c r="A664" i="2"/>
  <c r="A665" i="2"/>
  <c r="A666" i="2"/>
  <c r="A667" i="2"/>
  <c r="A668" i="2"/>
  <c r="A669" i="2"/>
  <c r="A670" i="2"/>
  <c r="A671" i="2"/>
  <c r="A672" i="2"/>
  <c r="A673" i="2"/>
  <c r="A674" i="2"/>
  <c r="A675" i="2"/>
  <c r="A676" i="2"/>
  <c r="A677" i="2"/>
  <c r="A678" i="2"/>
  <c r="A679" i="2"/>
  <c r="A680" i="2"/>
  <c r="A681" i="2"/>
  <c r="A682" i="2"/>
  <c r="A683" i="2"/>
  <c r="A684" i="2"/>
  <c r="A685" i="2"/>
  <c r="A686" i="2"/>
  <c r="A687" i="2"/>
  <c r="A688" i="2"/>
  <c r="A689" i="2"/>
  <c r="A690" i="2"/>
  <c r="A691" i="2"/>
  <c r="A692" i="2"/>
  <c r="A693" i="2"/>
  <c r="A694" i="2"/>
  <c r="A695" i="2"/>
  <c r="A696" i="2"/>
  <c r="A697" i="2"/>
  <c r="A698" i="2"/>
  <c r="A699" i="2"/>
  <c r="A700" i="2"/>
  <c r="A701" i="2"/>
  <c r="A702" i="2"/>
  <c r="A703" i="2"/>
  <c r="A704" i="2"/>
  <c r="A705" i="2"/>
  <c r="A706" i="2"/>
  <c r="A707" i="2"/>
  <c r="A708" i="2"/>
  <c r="A709" i="2"/>
  <c r="A710" i="2"/>
  <c r="A711" i="2"/>
  <c r="A712" i="2"/>
  <c r="A713" i="2"/>
  <c r="A714" i="2"/>
  <c r="A715" i="2"/>
  <c r="A716" i="2"/>
  <c r="A717" i="2"/>
  <c r="A718" i="2"/>
  <c r="A719" i="2"/>
  <c r="A720" i="2"/>
  <c r="A721" i="2"/>
  <c r="A722" i="2"/>
  <c r="A723" i="2"/>
  <c r="A724" i="2"/>
  <c r="A725" i="2"/>
  <c r="A726" i="2"/>
  <c r="A727" i="2"/>
  <c r="A728" i="2"/>
  <c r="A729" i="2"/>
  <c r="A730" i="2"/>
  <c r="A731" i="2"/>
  <c r="A732" i="2"/>
  <c r="A733" i="2"/>
  <c r="A734" i="2"/>
  <c r="A735" i="2"/>
  <c r="A736" i="2"/>
  <c r="A737" i="2"/>
  <c r="A738" i="2"/>
  <c r="A739" i="2"/>
  <c r="A740" i="2"/>
  <c r="A741" i="2"/>
  <c r="A742" i="2"/>
  <c r="A743" i="2"/>
  <c r="A744" i="2"/>
  <c r="A745" i="2"/>
  <c r="A746" i="2"/>
  <c r="A747" i="2"/>
  <c r="A748" i="2"/>
  <c r="A749" i="2"/>
  <c r="A750" i="2"/>
  <c r="A751" i="2"/>
  <c r="A752" i="2"/>
  <c r="A753" i="2"/>
  <c r="A754" i="2"/>
  <c r="A755" i="2"/>
  <c r="A756" i="2"/>
  <c r="A757" i="2"/>
  <c r="A758" i="2"/>
  <c r="A759" i="2"/>
  <c r="A760" i="2"/>
  <c r="A761" i="2"/>
  <c r="A762" i="2"/>
  <c r="A763" i="2"/>
  <c r="A764" i="2"/>
  <c r="A765" i="2"/>
  <c r="A766" i="2"/>
  <c r="A767" i="2"/>
  <c r="A768" i="2"/>
  <c r="A769" i="2"/>
  <c r="A770" i="2"/>
  <c r="A771" i="2"/>
  <c r="A772" i="2"/>
  <c r="A773" i="2"/>
  <c r="A774" i="2"/>
  <c r="A775" i="2"/>
  <c r="A776" i="2"/>
  <c r="A777" i="2"/>
  <c r="A778" i="2"/>
  <c r="A779" i="2"/>
  <c r="A780" i="2"/>
  <c r="A781" i="2"/>
  <c r="A782" i="2"/>
  <c r="A783" i="2"/>
  <c r="A784" i="2"/>
  <c r="A785" i="2"/>
  <c r="A786" i="2"/>
  <c r="A787" i="2"/>
  <c r="A788" i="2"/>
  <c r="A789" i="2"/>
  <c r="A790" i="2"/>
  <c r="A791" i="2"/>
  <c r="A792" i="2"/>
  <c r="A793" i="2"/>
  <c r="A794" i="2"/>
  <c r="A795" i="2"/>
  <c r="A796" i="2"/>
  <c r="A797" i="2"/>
  <c r="A798" i="2"/>
  <c r="A799" i="2"/>
  <c r="A800" i="2"/>
  <c r="A801" i="2"/>
  <c r="A802" i="2"/>
  <c r="A803" i="2"/>
  <c r="A804" i="2"/>
  <c r="A805" i="2"/>
  <c r="A806" i="2"/>
  <c r="A807" i="2"/>
  <c r="A808" i="2"/>
  <c r="A809" i="2"/>
  <c r="A810" i="2"/>
  <c r="A811" i="2"/>
  <c r="A812" i="2"/>
  <c r="A813" i="2"/>
  <c r="A814" i="2"/>
  <c r="A815" i="2"/>
  <c r="A816" i="2"/>
  <c r="A817" i="2"/>
  <c r="A818" i="2"/>
  <c r="A819" i="2"/>
  <c r="A820" i="2"/>
  <c r="A821" i="2"/>
  <c r="A822" i="2"/>
  <c r="A823" i="2"/>
  <c r="A824" i="2"/>
  <c r="A825" i="2"/>
  <c r="A826" i="2"/>
  <c r="A827" i="2"/>
  <c r="A828" i="2"/>
  <c r="A829" i="2"/>
  <c r="A830" i="2"/>
  <c r="A831" i="2"/>
  <c r="A832" i="2"/>
  <c r="A833" i="2"/>
  <c r="A834" i="2"/>
  <c r="A835" i="2"/>
  <c r="A836" i="2"/>
  <c r="A837" i="2"/>
  <c r="A838" i="2"/>
  <c r="A839" i="2"/>
  <c r="A840" i="2"/>
  <c r="A841" i="2"/>
  <c r="A842" i="2"/>
  <c r="A843" i="2"/>
  <c r="A844" i="2"/>
  <c r="A845" i="2"/>
  <c r="A846" i="2"/>
  <c r="A847" i="2"/>
  <c r="A848" i="2"/>
  <c r="A849" i="2"/>
  <c r="A850" i="2"/>
  <c r="A851" i="2"/>
  <c r="A852" i="2"/>
  <c r="A853" i="2"/>
  <c r="A854" i="2"/>
  <c r="A855" i="2"/>
  <c r="A856" i="2"/>
  <c r="A857" i="2"/>
  <c r="A858" i="2"/>
  <c r="A859" i="2"/>
  <c r="A860" i="2"/>
  <c r="A861" i="2"/>
  <c r="A862" i="2"/>
  <c r="A863" i="2"/>
  <c r="A864" i="2"/>
  <c r="A865" i="2"/>
  <c r="A866" i="2"/>
  <c r="A867" i="2"/>
  <c r="A868" i="2"/>
  <c r="A869" i="2"/>
  <c r="A870" i="2"/>
  <c r="A871" i="2"/>
  <c r="A872" i="2"/>
  <c r="A873" i="2"/>
  <c r="A874" i="2"/>
  <c r="A875" i="2"/>
  <c r="A876" i="2"/>
  <c r="A877" i="2"/>
  <c r="A878" i="2"/>
  <c r="A879" i="2"/>
  <c r="A880" i="2"/>
  <c r="A881" i="2"/>
  <c r="A882" i="2"/>
  <c r="A883" i="2"/>
  <c r="A884" i="2"/>
  <c r="A885" i="2"/>
  <c r="A886" i="2"/>
  <c r="A887" i="2"/>
  <c r="A888" i="2"/>
  <c r="A889" i="2"/>
  <c r="A890" i="2"/>
  <c r="A891" i="2"/>
  <c r="A892" i="2"/>
  <c r="A893" i="2"/>
  <c r="A894" i="2"/>
  <c r="A895" i="2"/>
  <c r="A896" i="2"/>
  <c r="A897" i="2"/>
  <c r="A898" i="2"/>
  <c r="A899" i="2"/>
  <c r="A900" i="2"/>
  <c r="A901" i="2"/>
  <c r="A902" i="2"/>
  <c r="A903" i="2"/>
  <c r="A904" i="2"/>
  <c r="A905" i="2"/>
  <c r="A906" i="2"/>
  <c r="A907" i="2"/>
  <c r="A908" i="2"/>
  <c r="A909" i="2"/>
  <c r="A910" i="2"/>
  <c r="A911" i="2"/>
  <c r="A912" i="2"/>
  <c r="A913" i="2"/>
  <c r="A914" i="2"/>
  <c r="A915" i="2"/>
  <c r="A916" i="2"/>
  <c r="A917" i="2"/>
  <c r="A918" i="2"/>
  <c r="A919" i="2"/>
  <c r="A920" i="2"/>
  <c r="A921" i="2"/>
  <c r="A922" i="2"/>
  <c r="A923" i="2"/>
  <c r="A924" i="2"/>
  <c r="A925" i="2"/>
  <c r="A926" i="2"/>
  <c r="A927" i="2"/>
  <c r="A928" i="2"/>
  <c r="A929" i="2"/>
  <c r="A930" i="2"/>
  <c r="A931" i="2"/>
  <c r="A932" i="2"/>
  <c r="A933" i="2"/>
  <c r="A934" i="2"/>
  <c r="A935" i="2"/>
  <c r="A936" i="2"/>
  <c r="A937" i="2"/>
  <c r="A938" i="2"/>
  <c r="A939" i="2"/>
  <c r="A940" i="2"/>
  <c r="A941" i="2"/>
  <c r="A942" i="2"/>
  <c r="A943" i="2"/>
  <c r="A944" i="2"/>
  <c r="A945" i="2"/>
  <c r="A946" i="2"/>
  <c r="A947" i="2"/>
  <c r="A948" i="2"/>
  <c r="A949" i="2"/>
  <c r="A950" i="2"/>
  <c r="A951" i="2"/>
  <c r="A952" i="2"/>
  <c r="A953" i="2"/>
  <c r="A954" i="2"/>
  <c r="A955" i="2"/>
  <c r="A956" i="2"/>
  <c r="A957" i="2"/>
  <c r="A958" i="2"/>
  <c r="A959" i="2"/>
  <c r="A960" i="2"/>
  <c r="A961" i="2"/>
  <c r="A962" i="2"/>
  <c r="A963" i="2"/>
  <c r="A964" i="2"/>
  <c r="A965" i="2"/>
  <c r="A966" i="2"/>
  <c r="A967" i="2"/>
  <c r="A968" i="2"/>
  <c r="A969" i="2"/>
  <c r="A970" i="2"/>
  <c r="A971" i="2"/>
  <c r="A972" i="2"/>
  <c r="A973" i="2"/>
  <c r="A974" i="2"/>
  <c r="A975" i="2"/>
  <c r="A976" i="2"/>
  <c r="A977" i="2"/>
  <c r="A978" i="2"/>
  <c r="A979" i="2"/>
  <c r="A980" i="2"/>
  <c r="A981" i="2"/>
  <c r="A982" i="2"/>
  <c r="A983" i="2"/>
  <c r="A984" i="2"/>
  <c r="A985" i="2"/>
  <c r="A986" i="2"/>
  <c r="A987" i="2"/>
  <c r="A988" i="2"/>
  <c r="A989" i="2"/>
  <c r="A990" i="2"/>
  <c r="A991" i="2"/>
  <c r="A992" i="2"/>
  <c r="A993" i="2"/>
  <c r="A994" i="2"/>
  <c r="A995" i="2"/>
  <c r="A996" i="2"/>
  <c r="A997" i="2"/>
  <c r="A998" i="2"/>
  <c r="A999" i="2"/>
  <c r="A1000" i="2"/>
  <c r="A1001" i="2"/>
  <c r="A1002" i="2"/>
  <c r="A1003" i="2"/>
  <c r="A1004" i="2"/>
  <c r="A1005" i="2"/>
  <c r="A1006" i="2"/>
  <c r="A1007" i="2"/>
  <c r="A1008" i="2"/>
  <c r="A1009" i="2"/>
  <c r="A1010" i="2"/>
  <c r="A1011" i="2"/>
  <c r="A1012" i="2"/>
  <c r="A1013" i="2"/>
  <c r="A1014" i="2"/>
  <c r="A1015" i="2"/>
  <c r="A1016" i="2"/>
  <c r="A1017" i="2"/>
  <c r="A1018" i="2"/>
  <c r="A1019" i="2"/>
  <c r="A1020" i="2"/>
  <c r="A1021" i="2"/>
  <c r="A1022" i="2"/>
  <c r="A1023" i="2"/>
  <c r="A1024" i="2"/>
  <c r="A1025" i="2"/>
  <c r="A1026" i="2"/>
  <c r="A1027" i="2"/>
  <c r="A1028" i="2"/>
  <c r="A1029" i="2"/>
  <c r="A1030" i="2"/>
  <c r="A1031" i="2"/>
  <c r="A1032" i="2"/>
  <c r="A1033" i="2"/>
  <c r="A1034" i="2"/>
  <c r="A1035" i="2"/>
  <c r="A1036" i="2"/>
  <c r="A1037" i="2"/>
  <c r="A1038" i="2"/>
  <c r="A1039" i="2"/>
  <c r="A1040" i="2"/>
  <c r="A1041" i="2"/>
  <c r="A1042" i="2"/>
  <c r="A1043" i="2"/>
  <c r="A1044" i="2"/>
  <c r="A1045" i="2"/>
  <c r="A1046" i="2"/>
  <c r="A1047" i="2"/>
  <c r="A1048" i="2"/>
  <c r="A1049" i="2"/>
  <c r="A1050" i="2"/>
  <c r="A1051" i="2"/>
  <c r="A1052" i="2"/>
  <c r="A1053" i="2"/>
  <c r="A1054" i="2"/>
  <c r="A1055" i="2"/>
  <c r="A1056" i="2"/>
  <c r="A1057" i="2"/>
  <c r="A1058" i="2"/>
  <c r="A1059" i="2"/>
  <c r="A1060" i="2"/>
  <c r="A1061" i="2"/>
  <c r="A1062" i="2"/>
  <c r="A1063" i="2"/>
  <c r="A1064" i="2"/>
  <c r="A1065" i="2"/>
  <c r="A1066" i="2"/>
  <c r="A1067" i="2"/>
  <c r="A1068" i="2"/>
  <c r="A1069" i="2"/>
  <c r="A1070" i="2"/>
  <c r="A1071" i="2"/>
  <c r="A1072" i="2"/>
  <c r="A1073" i="2"/>
  <c r="A1074" i="2"/>
  <c r="A1075" i="2"/>
  <c r="A1076" i="2"/>
  <c r="A1077" i="2"/>
  <c r="A1078" i="2"/>
  <c r="A1079" i="2"/>
  <c r="A1080" i="2"/>
  <c r="A1081" i="2"/>
  <c r="A1082" i="2"/>
  <c r="A1083" i="2"/>
  <c r="A1084" i="2"/>
  <c r="A1085" i="2"/>
  <c r="A1086" i="2"/>
  <c r="A1087" i="2"/>
  <c r="A1088" i="2"/>
  <c r="A1089" i="2"/>
  <c r="A1090" i="2"/>
  <c r="A1091" i="2"/>
  <c r="A1092" i="2"/>
  <c r="A1093" i="2"/>
  <c r="A1094" i="2"/>
  <c r="A1095" i="2"/>
  <c r="A1096" i="2"/>
  <c r="A1097" i="2"/>
  <c r="A1098" i="2"/>
  <c r="A1099" i="2"/>
  <c r="A1100" i="2"/>
  <c r="A1101" i="2"/>
  <c r="A1102" i="2"/>
  <c r="A1103" i="2"/>
  <c r="A1104" i="2"/>
  <c r="A1105" i="2"/>
  <c r="A1106" i="2"/>
  <c r="A1107" i="2"/>
  <c r="A1108" i="2"/>
  <c r="A1109" i="2"/>
  <c r="A1110" i="2"/>
  <c r="A1111" i="2"/>
  <c r="A1112" i="2"/>
  <c r="A1113" i="2"/>
  <c r="A1114" i="2"/>
  <c r="A1115" i="2"/>
  <c r="A1116" i="2"/>
  <c r="A1117" i="2"/>
  <c r="A1118" i="2"/>
  <c r="A1119" i="2"/>
  <c r="A1120" i="2"/>
  <c r="A1121" i="2"/>
  <c r="A1122" i="2"/>
  <c r="A1123" i="2"/>
  <c r="A1124" i="2"/>
  <c r="A1125" i="2"/>
  <c r="A1126" i="2"/>
  <c r="A1127" i="2"/>
  <c r="A1128" i="2"/>
  <c r="A1129" i="2"/>
  <c r="A1130" i="2"/>
  <c r="A1131" i="2"/>
  <c r="A1132" i="2"/>
  <c r="A1133" i="2"/>
  <c r="A1134" i="2"/>
  <c r="A1135" i="2"/>
  <c r="A1136" i="2"/>
  <c r="A1137" i="2"/>
  <c r="A1138" i="2"/>
  <c r="A1139" i="2"/>
  <c r="A1140" i="2"/>
  <c r="A1141" i="2"/>
  <c r="A1142" i="2"/>
  <c r="A1143" i="2"/>
  <c r="A1144" i="2"/>
  <c r="A1145" i="2"/>
  <c r="A1146" i="2"/>
  <c r="A1147" i="2"/>
  <c r="A1148" i="2"/>
  <c r="A1149" i="2"/>
  <c r="A1150" i="2"/>
  <c r="A1151" i="2"/>
  <c r="A1152" i="2"/>
  <c r="A1153" i="2"/>
  <c r="A1154" i="2"/>
  <c r="A1155" i="2"/>
  <c r="A1156" i="2"/>
  <c r="A1157" i="2"/>
  <c r="A1158" i="2"/>
  <c r="A1159" i="2"/>
  <c r="A1160" i="2"/>
  <c r="A1161" i="2"/>
  <c r="A1162" i="2"/>
  <c r="A1163" i="2"/>
  <c r="A1164" i="2"/>
  <c r="A1165" i="2"/>
  <c r="A1166" i="2"/>
  <c r="A1167" i="2"/>
  <c r="A1168" i="2"/>
  <c r="A1169" i="2"/>
  <c r="A1170" i="2"/>
  <c r="A1171" i="2"/>
  <c r="A1172" i="2"/>
  <c r="A1173" i="2"/>
  <c r="A1174" i="2"/>
  <c r="A1175" i="2"/>
  <c r="A1176" i="2"/>
  <c r="A1177" i="2"/>
  <c r="A1178" i="2"/>
  <c r="A1179" i="2"/>
  <c r="A1180" i="2"/>
  <c r="A1181" i="2"/>
  <c r="A1182" i="2"/>
  <c r="A1183" i="2"/>
  <c r="A1184" i="2"/>
  <c r="A1185" i="2"/>
  <c r="A1186" i="2"/>
  <c r="A1187" i="2"/>
  <c r="A1188" i="2"/>
  <c r="A1189" i="2"/>
  <c r="A1190" i="2"/>
  <c r="A1191" i="2"/>
  <c r="A1192" i="2"/>
  <c r="A1193" i="2"/>
  <c r="A1194" i="2"/>
  <c r="A1195" i="2"/>
  <c r="A1196" i="2"/>
  <c r="A1197" i="2"/>
  <c r="A1198" i="2"/>
  <c r="A1199" i="2"/>
  <c r="A1200" i="2"/>
  <c r="A1201" i="2"/>
  <c r="A1202" i="2"/>
  <c r="A1203" i="2"/>
  <c r="A1204" i="2"/>
  <c r="A1205" i="2"/>
  <c r="A1206" i="2"/>
  <c r="A1207" i="2"/>
  <c r="A1208" i="2"/>
  <c r="A1209" i="2"/>
  <c r="A1210" i="2"/>
  <c r="A1211" i="2"/>
  <c r="A1212" i="2"/>
  <c r="A1213" i="2"/>
  <c r="A1214" i="2"/>
  <c r="A1215" i="2"/>
  <c r="A1216" i="2"/>
  <c r="A1217" i="2"/>
  <c r="A1218" i="2"/>
  <c r="A1219" i="2"/>
  <c r="A1220" i="2"/>
  <c r="A1221" i="2"/>
  <c r="A1222" i="2"/>
  <c r="A1223" i="2"/>
  <c r="A1224" i="2"/>
  <c r="A1225" i="2"/>
  <c r="A1226" i="2"/>
  <c r="A1227" i="2"/>
  <c r="A1228" i="2"/>
  <c r="A1229" i="2"/>
  <c r="A1230" i="2"/>
  <c r="A1231" i="2"/>
  <c r="A1232" i="2"/>
  <c r="A1233" i="2"/>
  <c r="A1234" i="2"/>
  <c r="A1235" i="2"/>
  <c r="A1236" i="2"/>
  <c r="A1237" i="2"/>
  <c r="A1238" i="2"/>
  <c r="A1239" i="2"/>
  <c r="A1240" i="2"/>
  <c r="A1241" i="2"/>
  <c r="A1242" i="2"/>
  <c r="A1243" i="2"/>
  <c r="A1244" i="2"/>
  <c r="A1245" i="2"/>
  <c r="A1246" i="2"/>
  <c r="A1247" i="2"/>
  <c r="A1248" i="2"/>
  <c r="A1249" i="2"/>
  <c r="A1250" i="2"/>
  <c r="A1251" i="2"/>
  <c r="A1252" i="2"/>
  <c r="A1253" i="2"/>
  <c r="A1254" i="2"/>
  <c r="A1255" i="2"/>
  <c r="A1256" i="2"/>
  <c r="A1257" i="2"/>
  <c r="A1258" i="2"/>
  <c r="A1259" i="2"/>
  <c r="A1260" i="2"/>
  <c r="A1261" i="2"/>
  <c r="A1262" i="2"/>
  <c r="A1263" i="2"/>
  <c r="A1264" i="2"/>
  <c r="A1265" i="2"/>
  <c r="A1266" i="2"/>
  <c r="A1267" i="2"/>
  <c r="A1268" i="2"/>
  <c r="A1269" i="2"/>
  <c r="A1270" i="2"/>
  <c r="A1271" i="2"/>
  <c r="A1272" i="2"/>
  <c r="A1273" i="2"/>
  <c r="A1274" i="2"/>
  <c r="A1275" i="2"/>
  <c r="A1276" i="2"/>
  <c r="A1277" i="2"/>
  <c r="A1278" i="2"/>
  <c r="A1279" i="2"/>
  <c r="A1280" i="2"/>
  <c r="A1281" i="2"/>
  <c r="A1282" i="2"/>
  <c r="A1283" i="2"/>
  <c r="A1284" i="2"/>
  <c r="A1285" i="2"/>
  <c r="A1286" i="2"/>
  <c r="A1287" i="2"/>
  <c r="A1288" i="2"/>
  <c r="A1289" i="2"/>
  <c r="A1290" i="2"/>
  <c r="A1291" i="2"/>
  <c r="A1292" i="2"/>
  <c r="A1293" i="2"/>
  <c r="A1294" i="2"/>
  <c r="A1295" i="2"/>
  <c r="A1296" i="2"/>
  <c r="A1297" i="2"/>
  <c r="A1298" i="2"/>
  <c r="A1299" i="2"/>
  <c r="A1300" i="2"/>
  <c r="A1301" i="2"/>
  <c r="A1302" i="2"/>
  <c r="A1303" i="2"/>
  <c r="A1304" i="2"/>
  <c r="A1305" i="2"/>
  <c r="A1306" i="2"/>
  <c r="A1307" i="2"/>
  <c r="A1308" i="2"/>
  <c r="A1309" i="2"/>
  <c r="A1310" i="2"/>
  <c r="A1311" i="2"/>
  <c r="A1312" i="2"/>
  <c r="A1313" i="2"/>
  <c r="A1314" i="2"/>
  <c r="A1315" i="2"/>
  <c r="A1316" i="2"/>
  <c r="A1317" i="2"/>
  <c r="A1318" i="2"/>
  <c r="A1319" i="2"/>
  <c r="A1320" i="2"/>
  <c r="A1321" i="2"/>
  <c r="A1322" i="2"/>
  <c r="A1323" i="2"/>
  <c r="A1324" i="2"/>
  <c r="A1325" i="2"/>
  <c r="A1326" i="2"/>
  <c r="A1327" i="2"/>
  <c r="A1328" i="2"/>
  <c r="A1329" i="2"/>
  <c r="A1330" i="2"/>
  <c r="A1331" i="2"/>
  <c r="A1332" i="2"/>
  <c r="A1333" i="2"/>
  <c r="A1334" i="2"/>
  <c r="A1335" i="2"/>
  <c r="A1336" i="2"/>
  <c r="A1337" i="2"/>
  <c r="A1338" i="2"/>
  <c r="A1339" i="2"/>
  <c r="A1340" i="2"/>
  <c r="A1341" i="2"/>
  <c r="A1342" i="2"/>
  <c r="A1343" i="2"/>
  <c r="A1344" i="2"/>
  <c r="A1345" i="2"/>
  <c r="A1346" i="2"/>
  <c r="A1347" i="2"/>
  <c r="A1348" i="2"/>
  <c r="A1349" i="2"/>
  <c r="A1350" i="2"/>
  <c r="A1351" i="2"/>
  <c r="A1352" i="2"/>
  <c r="A1353" i="2"/>
  <c r="A1354" i="2"/>
  <c r="A1355" i="2"/>
  <c r="A1356" i="2"/>
  <c r="A1357" i="2"/>
  <c r="A1358" i="2"/>
  <c r="A1359" i="2"/>
  <c r="A1360" i="2"/>
  <c r="A1361" i="2"/>
  <c r="A1362" i="2"/>
  <c r="A1363" i="2"/>
  <c r="A1364" i="2"/>
  <c r="A1365" i="2"/>
  <c r="A1366" i="2"/>
  <c r="A1367" i="2"/>
  <c r="A1368" i="2"/>
  <c r="A1369" i="2"/>
  <c r="A1370" i="2"/>
  <c r="A1371" i="2"/>
  <c r="A1372" i="2"/>
  <c r="A1373" i="2"/>
  <c r="A1374" i="2"/>
  <c r="A1375" i="2"/>
  <c r="A1376" i="2"/>
  <c r="A1377" i="2"/>
  <c r="A1378" i="2"/>
  <c r="A1379" i="2"/>
  <c r="A1380" i="2"/>
  <c r="A1381" i="2"/>
  <c r="A1382" i="2"/>
  <c r="A1383" i="2"/>
  <c r="A1384" i="2"/>
  <c r="A1385" i="2"/>
  <c r="A1386" i="2"/>
  <c r="A1387" i="2"/>
  <c r="A1388" i="2"/>
  <c r="A1389" i="2"/>
  <c r="A1390" i="2"/>
  <c r="A1391" i="2"/>
  <c r="A1392" i="2"/>
  <c r="A1393" i="2"/>
  <c r="A1394" i="2"/>
  <c r="A1395" i="2"/>
  <c r="A1396" i="2"/>
  <c r="A1397" i="2"/>
  <c r="A1398" i="2"/>
  <c r="A1399" i="2"/>
  <c r="A1400" i="2"/>
  <c r="A1401" i="2"/>
  <c r="A1402" i="2"/>
  <c r="A1403" i="2"/>
  <c r="A1404" i="2"/>
  <c r="A1405" i="2"/>
  <c r="A1406" i="2"/>
  <c r="A1407" i="2"/>
  <c r="A1408" i="2"/>
  <c r="A1409" i="2"/>
  <c r="A1410" i="2"/>
  <c r="A1411" i="2"/>
  <c r="A1412" i="2"/>
  <c r="A1413" i="2"/>
  <c r="A1414" i="2"/>
  <c r="A1415" i="2"/>
  <c r="A1416" i="2"/>
  <c r="A1417" i="2"/>
  <c r="A1418" i="2"/>
  <c r="A1419" i="2"/>
  <c r="A1420" i="2"/>
  <c r="A1421" i="2"/>
  <c r="A1422" i="2"/>
  <c r="A1423" i="2"/>
  <c r="A1424" i="2"/>
  <c r="A1425" i="2"/>
  <c r="A1426" i="2"/>
  <c r="A1427" i="2"/>
  <c r="A1428" i="2"/>
  <c r="A1429" i="2"/>
  <c r="A1430" i="2"/>
  <c r="A1431" i="2"/>
  <c r="A1432" i="2"/>
  <c r="A1433" i="2"/>
  <c r="A1434" i="2"/>
  <c r="A1435" i="2"/>
  <c r="A1436" i="2"/>
  <c r="A1437" i="2"/>
  <c r="A1438" i="2"/>
  <c r="A1439" i="2"/>
  <c r="A1440" i="2"/>
  <c r="A1441" i="2"/>
  <c r="A1442" i="2"/>
  <c r="A1443" i="2"/>
  <c r="A1444" i="2"/>
  <c r="A1445" i="2"/>
  <c r="A1446" i="2"/>
  <c r="A1447" i="2"/>
  <c r="A1448" i="2"/>
  <c r="A1449" i="2"/>
  <c r="A1450" i="2"/>
  <c r="A1451" i="2"/>
  <c r="A1452" i="2"/>
  <c r="A1453" i="2"/>
  <c r="A1454" i="2"/>
  <c r="A1455" i="2"/>
  <c r="A1456" i="2"/>
  <c r="A1457" i="2"/>
  <c r="A1458" i="2"/>
  <c r="A1459" i="2"/>
  <c r="A1460" i="2"/>
  <c r="A1461" i="2"/>
  <c r="A1462" i="2"/>
  <c r="A1463" i="2"/>
  <c r="A1464" i="2"/>
  <c r="A1465" i="2"/>
  <c r="A1466" i="2"/>
  <c r="A1467" i="2"/>
  <c r="A1468" i="2"/>
  <c r="A1469" i="2"/>
  <c r="A1470" i="2"/>
  <c r="A1471" i="2"/>
  <c r="A1472" i="2"/>
  <c r="A1473" i="2"/>
  <c r="A1474" i="2"/>
  <c r="A1475" i="2"/>
  <c r="A1476" i="2"/>
  <c r="A1477" i="2"/>
  <c r="A1478" i="2"/>
  <c r="A1479" i="2"/>
  <c r="A1480" i="2"/>
  <c r="A1481" i="2"/>
  <c r="A1482" i="2"/>
  <c r="A1483" i="2"/>
  <c r="A1484" i="2"/>
  <c r="A1485" i="2"/>
  <c r="A1486" i="2"/>
  <c r="A1487" i="2"/>
  <c r="A1488" i="2"/>
  <c r="A1489" i="2"/>
  <c r="A1490" i="2"/>
  <c r="A1491" i="2"/>
  <c r="A1492" i="2"/>
  <c r="A1493" i="2"/>
  <c r="A1494" i="2"/>
  <c r="A1495" i="2"/>
  <c r="A1496" i="2"/>
  <c r="A1497" i="2"/>
  <c r="A1498" i="2"/>
  <c r="A1499" i="2"/>
  <c r="A1500" i="2"/>
  <c r="A1501" i="2"/>
  <c r="A1502" i="2"/>
  <c r="A1503" i="2"/>
  <c r="A1504" i="2"/>
  <c r="A1505" i="2"/>
  <c r="A1506" i="2"/>
  <c r="A1507" i="2"/>
  <c r="A1508" i="2"/>
  <c r="A1509" i="2"/>
  <c r="A1510" i="2"/>
  <c r="A1511" i="2"/>
  <c r="A1512" i="2"/>
  <c r="A1513" i="2"/>
  <c r="A1514" i="2"/>
  <c r="A1515" i="2"/>
  <c r="A1516" i="2"/>
  <c r="A1517" i="2"/>
  <c r="A1518" i="2"/>
  <c r="A1519" i="2"/>
  <c r="A1520" i="2"/>
  <c r="A1521" i="2"/>
  <c r="A1522" i="2"/>
  <c r="A1523" i="2"/>
  <c r="A1524" i="2"/>
  <c r="A1525" i="2"/>
  <c r="A1526" i="2"/>
  <c r="A1527" i="2"/>
  <c r="A1528" i="2"/>
  <c r="A1529" i="2"/>
  <c r="A1530" i="2"/>
  <c r="A1531" i="2"/>
  <c r="A1532" i="2"/>
  <c r="A1533" i="2"/>
  <c r="A1534" i="2"/>
  <c r="A1535" i="2"/>
  <c r="A1536" i="2"/>
  <c r="A1537" i="2"/>
  <c r="A1538" i="2"/>
  <c r="A1539" i="2"/>
  <c r="A1540" i="2"/>
  <c r="A1541" i="2"/>
  <c r="A1542" i="2"/>
  <c r="A1543" i="2"/>
  <c r="A1544" i="2"/>
  <c r="A1545" i="2"/>
  <c r="A1546" i="2"/>
  <c r="A1547" i="2"/>
  <c r="A1548" i="2"/>
  <c r="A1549" i="2"/>
  <c r="A1550" i="2"/>
  <c r="A1551" i="2"/>
  <c r="A1552" i="2"/>
  <c r="A1553" i="2"/>
  <c r="A1554" i="2"/>
  <c r="A1555" i="2"/>
  <c r="A1556" i="2"/>
  <c r="A1557" i="2"/>
  <c r="A1558" i="2"/>
  <c r="A1559" i="2"/>
  <c r="A1560" i="2"/>
  <c r="A1561" i="2"/>
  <c r="A1562" i="2"/>
  <c r="A1563" i="2"/>
  <c r="A1564" i="2"/>
  <c r="A1565" i="2"/>
  <c r="A1566" i="2"/>
  <c r="A1567" i="2"/>
  <c r="A1568" i="2"/>
  <c r="A1569" i="2"/>
  <c r="A1570" i="2"/>
  <c r="A1571" i="2"/>
  <c r="A1572" i="2"/>
  <c r="A1573" i="2"/>
  <c r="A1574" i="2"/>
  <c r="A1575" i="2"/>
  <c r="A1576" i="2"/>
  <c r="A1577" i="2"/>
  <c r="A1578" i="2"/>
  <c r="A1579" i="2"/>
  <c r="A1580" i="2"/>
  <c r="A1581" i="2"/>
  <c r="A1582" i="2"/>
  <c r="A1583" i="2"/>
  <c r="A1584" i="2"/>
  <c r="A1585" i="2"/>
  <c r="A1586" i="2"/>
  <c r="A1587" i="2"/>
  <c r="A1588" i="2"/>
  <c r="A1589" i="2"/>
  <c r="A1590" i="2"/>
  <c r="A1591" i="2"/>
  <c r="A1592" i="2"/>
  <c r="A1593" i="2"/>
  <c r="A1594" i="2"/>
  <c r="A1595" i="2"/>
  <c r="A1596" i="2"/>
  <c r="A1597" i="2"/>
  <c r="A1598" i="2"/>
  <c r="A1599" i="2"/>
  <c r="A1600" i="2"/>
  <c r="A1601" i="2"/>
  <c r="A1602" i="2"/>
  <c r="A1603" i="2"/>
  <c r="A1604" i="2"/>
  <c r="A1605" i="2"/>
  <c r="A1606" i="2"/>
  <c r="A1607" i="2"/>
  <c r="A1608" i="2"/>
  <c r="A1609" i="2"/>
  <c r="A1610" i="2"/>
  <c r="A1611" i="2"/>
  <c r="A1612" i="2"/>
  <c r="A1613" i="2"/>
  <c r="A1614" i="2"/>
  <c r="A1615" i="2"/>
  <c r="A1616" i="2"/>
  <c r="A1617" i="2"/>
  <c r="A1618" i="2"/>
  <c r="A1619" i="2"/>
  <c r="A1620" i="2"/>
  <c r="A1621" i="2"/>
  <c r="A1622" i="2"/>
  <c r="A1623" i="2"/>
  <c r="A1624" i="2"/>
  <c r="A1625" i="2"/>
  <c r="A1626" i="2"/>
  <c r="A1627" i="2"/>
  <c r="A1628" i="2"/>
  <c r="A1629" i="2"/>
  <c r="A1630" i="2"/>
  <c r="A1631" i="2"/>
  <c r="A1632" i="2"/>
  <c r="A1633" i="2"/>
  <c r="A1634" i="2"/>
  <c r="A1635" i="2"/>
  <c r="A1636" i="2"/>
  <c r="A1637" i="2"/>
  <c r="A1638" i="2"/>
  <c r="A1639" i="2"/>
  <c r="A1640" i="2"/>
  <c r="A1641" i="2"/>
  <c r="A1642" i="2"/>
  <c r="A1643" i="2"/>
  <c r="A1644" i="2"/>
  <c r="A1645" i="2"/>
  <c r="A1646" i="2"/>
  <c r="A1647" i="2"/>
  <c r="A1648" i="2"/>
  <c r="A1649" i="2"/>
  <c r="A1650" i="2"/>
  <c r="A1651" i="2"/>
  <c r="A1652" i="2"/>
  <c r="A1653" i="2"/>
  <c r="A1654" i="2"/>
  <c r="A1655" i="2"/>
  <c r="A1656" i="2"/>
  <c r="A1657" i="2"/>
  <c r="A1658" i="2"/>
  <c r="A1659" i="2"/>
  <c r="A1660" i="2"/>
  <c r="A1661" i="2"/>
  <c r="A1662" i="2"/>
  <c r="A1663" i="2"/>
  <c r="A1664" i="2"/>
  <c r="A1665" i="2"/>
  <c r="A1666" i="2"/>
  <c r="A1667" i="2"/>
  <c r="A1668" i="2"/>
  <c r="A1669" i="2"/>
  <c r="A1670" i="2"/>
  <c r="A1671" i="2"/>
  <c r="A1672" i="2"/>
  <c r="A1673" i="2"/>
  <c r="A1674" i="2"/>
  <c r="A1675" i="2"/>
  <c r="A1676" i="2"/>
  <c r="A1677" i="2"/>
  <c r="A1678" i="2"/>
  <c r="A1679" i="2"/>
  <c r="A1680" i="2"/>
  <c r="A1681" i="2"/>
  <c r="A1682" i="2"/>
  <c r="A1683" i="2"/>
  <c r="A1684" i="2"/>
  <c r="A1685" i="2"/>
  <c r="A1686" i="2"/>
  <c r="A1687" i="2"/>
  <c r="A1688" i="2"/>
  <c r="A1689" i="2"/>
  <c r="A1690" i="2"/>
  <c r="A1691" i="2"/>
  <c r="A1692" i="2"/>
  <c r="A1693" i="2"/>
  <c r="A1694" i="2"/>
  <c r="A1695" i="2"/>
  <c r="A1696" i="2"/>
  <c r="A1697" i="2"/>
  <c r="A1698" i="2"/>
  <c r="A1699" i="2"/>
  <c r="A1700" i="2"/>
  <c r="A1701" i="2"/>
  <c r="A1702" i="2"/>
  <c r="A1703" i="2"/>
  <c r="A1704" i="2"/>
  <c r="A1705" i="2"/>
  <c r="A1706" i="2"/>
  <c r="A1707" i="2"/>
  <c r="A1708" i="2"/>
  <c r="A1709" i="2"/>
  <c r="A1710" i="2"/>
  <c r="A1711" i="2"/>
  <c r="A1712" i="2"/>
  <c r="A1713" i="2"/>
  <c r="A1714" i="2"/>
  <c r="A1715" i="2"/>
  <c r="A1716" i="2"/>
  <c r="A1717" i="2"/>
  <c r="A1718" i="2"/>
  <c r="A1719" i="2"/>
  <c r="A1720" i="2"/>
  <c r="A1721" i="2"/>
  <c r="A1722" i="2"/>
  <c r="A1723" i="2"/>
  <c r="A1724" i="2"/>
  <c r="A1725" i="2"/>
  <c r="A1726" i="2"/>
  <c r="A1727" i="2"/>
  <c r="A1728" i="2"/>
  <c r="A1729" i="2"/>
  <c r="A1730" i="2"/>
  <c r="A1731" i="2"/>
  <c r="A1732" i="2"/>
  <c r="A1733" i="2"/>
  <c r="A1734" i="2"/>
  <c r="A1735" i="2"/>
  <c r="A1736" i="2"/>
  <c r="A1737" i="2"/>
  <c r="A1738" i="2"/>
  <c r="A1739" i="2"/>
  <c r="A1740" i="2"/>
  <c r="A1741" i="2"/>
  <c r="A1742" i="2"/>
  <c r="A1743" i="2"/>
  <c r="A1744" i="2"/>
  <c r="A1745" i="2"/>
  <c r="A1746" i="2"/>
  <c r="A1747" i="2"/>
  <c r="A1748" i="2"/>
  <c r="A1749" i="2"/>
  <c r="A1750" i="2"/>
  <c r="A1751" i="2"/>
  <c r="A1752" i="2"/>
  <c r="A1753" i="2"/>
  <c r="A1754" i="2"/>
  <c r="A1755" i="2"/>
  <c r="A1756" i="2"/>
  <c r="A1757" i="2"/>
  <c r="A1758" i="2"/>
  <c r="A1759" i="2"/>
  <c r="A1760" i="2"/>
  <c r="A1761" i="2"/>
  <c r="A1762" i="2"/>
  <c r="A1763" i="2"/>
  <c r="A1764" i="2"/>
  <c r="A1765" i="2"/>
  <c r="A1766" i="2"/>
  <c r="A1767" i="2"/>
  <c r="A1768" i="2"/>
  <c r="A1769" i="2"/>
  <c r="A1770" i="2"/>
  <c r="A1771" i="2"/>
  <c r="A1772" i="2"/>
  <c r="A1773" i="2"/>
  <c r="A1774" i="2"/>
  <c r="A1775" i="2"/>
  <c r="A1776" i="2"/>
  <c r="A1777" i="2"/>
  <c r="A1778" i="2"/>
  <c r="A1779" i="2"/>
  <c r="A1780" i="2"/>
  <c r="A1781" i="2"/>
  <c r="A1782" i="2"/>
  <c r="A1783" i="2"/>
  <c r="A1784" i="2"/>
  <c r="A1785" i="2"/>
  <c r="A1786" i="2"/>
  <c r="A1787" i="2"/>
  <c r="A1788" i="2"/>
  <c r="A1789" i="2"/>
  <c r="A1790" i="2"/>
  <c r="A1791" i="2"/>
  <c r="A1792" i="2"/>
  <c r="A1793" i="2"/>
  <c r="A1794" i="2"/>
  <c r="A1795" i="2"/>
  <c r="A1796" i="2"/>
  <c r="A1797" i="2"/>
  <c r="A1798" i="2"/>
  <c r="A1799" i="2"/>
  <c r="A1800" i="2"/>
  <c r="A1801" i="2"/>
  <c r="A1802" i="2"/>
  <c r="A1803" i="2"/>
  <c r="A1804" i="2"/>
  <c r="A1805" i="2"/>
  <c r="A1806" i="2"/>
  <c r="A1807" i="2"/>
  <c r="A1808" i="2"/>
  <c r="A1809" i="2"/>
  <c r="A1810" i="2"/>
  <c r="A1811" i="2"/>
  <c r="A1812" i="2"/>
  <c r="A1813" i="2"/>
  <c r="A1814" i="2"/>
  <c r="A1815" i="2"/>
  <c r="A1816" i="2"/>
  <c r="A1817" i="2"/>
  <c r="A1818" i="2"/>
  <c r="A1819" i="2"/>
  <c r="A1820" i="2"/>
  <c r="A1821" i="2"/>
  <c r="A1822" i="2"/>
  <c r="A1823" i="2"/>
  <c r="A1824" i="2"/>
  <c r="A1825" i="2"/>
  <c r="A1826" i="2"/>
  <c r="A1827" i="2"/>
  <c r="A1828" i="2"/>
  <c r="A1829" i="2"/>
  <c r="A1830" i="2"/>
  <c r="A1831" i="2"/>
  <c r="A1832" i="2"/>
  <c r="A1833" i="2"/>
  <c r="A1834" i="2"/>
  <c r="A1835" i="2"/>
  <c r="A1836" i="2"/>
  <c r="A1837" i="2"/>
  <c r="A1838" i="2"/>
  <c r="A1839" i="2"/>
  <c r="A1840" i="2"/>
  <c r="A1841" i="2"/>
  <c r="A1842" i="2"/>
  <c r="A1843" i="2"/>
  <c r="A1844" i="2"/>
  <c r="A1845" i="2"/>
  <c r="A1846" i="2"/>
  <c r="A1847" i="2"/>
  <c r="A1848" i="2"/>
  <c r="A1849" i="2"/>
  <c r="A1850" i="2"/>
  <c r="A1851" i="2"/>
  <c r="A1852" i="2"/>
  <c r="A1853" i="2"/>
  <c r="A1854" i="2"/>
  <c r="A1855" i="2"/>
  <c r="A1856" i="2"/>
  <c r="A1857" i="2"/>
  <c r="A1858" i="2"/>
  <c r="A1859" i="2"/>
  <c r="A1860" i="2"/>
  <c r="A1861" i="2"/>
  <c r="A1862" i="2"/>
  <c r="A1863" i="2"/>
  <c r="A1864" i="2"/>
  <c r="A1865" i="2"/>
  <c r="A1866" i="2"/>
  <c r="A1867" i="2"/>
  <c r="A1868" i="2"/>
  <c r="A1869" i="2"/>
  <c r="A1870" i="2"/>
  <c r="A1871" i="2"/>
  <c r="A1872" i="2"/>
  <c r="A1873" i="2"/>
  <c r="A1874" i="2"/>
  <c r="A1875" i="2"/>
  <c r="A1876" i="2"/>
  <c r="A1877" i="2"/>
  <c r="A1878" i="2"/>
  <c r="A1879" i="2"/>
  <c r="A1880" i="2"/>
  <c r="A1881" i="2"/>
  <c r="A1882" i="2"/>
  <c r="A1883" i="2"/>
  <c r="A1884" i="2"/>
  <c r="A1885" i="2"/>
  <c r="A1886" i="2"/>
  <c r="A1887" i="2"/>
  <c r="A1888" i="2"/>
  <c r="A1889" i="2"/>
  <c r="A1890" i="2"/>
  <c r="A1891" i="2"/>
  <c r="A1892" i="2"/>
  <c r="A1893" i="2"/>
  <c r="A1894" i="2"/>
  <c r="A1895" i="2"/>
  <c r="A1896" i="2"/>
  <c r="A1897" i="2"/>
  <c r="A1898" i="2"/>
  <c r="A1899" i="2"/>
  <c r="A1900" i="2"/>
  <c r="A1901" i="2"/>
  <c r="A1902" i="2"/>
  <c r="A1903" i="2"/>
  <c r="A1904" i="2"/>
  <c r="A1905" i="2"/>
  <c r="A1906" i="2"/>
  <c r="A1907" i="2"/>
  <c r="A1908" i="2"/>
  <c r="A1909" i="2"/>
  <c r="A1910" i="2"/>
  <c r="A1911" i="2"/>
  <c r="A1912" i="2"/>
  <c r="A1913" i="2"/>
  <c r="A1914" i="2"/>
  <c r="A1915" i="2"/>
  <c r="A1916" i="2"/>
  <c r="A1917" i="2"/>
  <c r="A1918" i="2"/>
  <c r="A1919" i="2"/>
  <c r="A1920" i="2"/>
  <c r="A1921" i="2"/>
  <c r="A1922" i="2"/>
  <c r="A1923" i="2"/>
  <c r="A1924" i="2"/>
  <c r="A1925" i="2"/>
  <c r="A1926" i="2"/>
  <c r="A1927" i="2"/>
  <c r="A1928" i="2"/>
  <c r="A1929" i="2"/>
  <c r="A1930" i="2"/>
  <c r="A1931" i="2"/>
  <c r="A1932" i="2"/>
  <c r="A1933" i="2"/>
  <c r="A1934" i="2"/>
  <c r="A1935" i="2"/>
  <c r="A1936" i="2"/>
  <c r="A1937" i="2"/>
  <c r="A1938" i="2"/>
  <c r="A1939" i="2"/>
  <c r="A1940" i="2"/>
  <c r="A1941" i="2"/>
  <c r="A1942" i="2"/>
  <c r="A1943" i="2"/>
  <c r="A1944" i="2"/>
  <c r="A1945" i="2"/>
  <c r="A1946" i="2"/>
  <c r="A1947" i="2"/>
  <c r="A1948" i="2"/>
  <c r="A1949" i="2"/>
  <c r="A1950" i="2"/>
  <c r="A1951" i="2"/>
  <c r="A1952" i="2"/>
  <c r="A1953" i="2"/>
  <c r="A1954" i="2"/>
  <c r="A1955" i="2"/>
  <c r="A1956" i="2"/>
  <c r="A1957" i="2"/>
  <c r="A1958" i="2"/>
  <c r="A1959" i="2"/>
  <c r="A1960" i="2"/>
  <c r="A1961" i="2"/>
  <c r="A1962" i="2"/>
  <c r="A1963" i="2"/>
  <c r="A1964" i="2"/>
  <c r="A1965" i="2"/>
  <c r="A1966" i="2"/>
  <c r="A1967" i="2"/>
  <c r="A1968" i="2"/>
  <c r="A1969" i="2"/>
  <c r="A1970" i="2"/>
  <c r="A1971" i="2"/>
  <c r="A1972" i="2"/>
  <c r="A1973" i="2"/>
  <c r="A1974" i="2"/>
  <c r="A1975" i="2"/>
  <c r="A1976" i="2"/>
  <c r="A1977" i="2"/>
  <c r="A1978" i="2"/>
  <c r="A1979" i="2"/>
  <c r="A1980" i="2"/>
  <c r="A1981" i="2"/>
  <c r="A1982" i="2"/>
  <c r="A1983" i="2"/>
  <c r="A1984" i="2"/>
  <c r="A1985" i="2"/>
  <c r="A1986" i="2"/>
  <c r="A1987" i="2"/>
  <c r="A1988" i="2"/>
  <c r="A1989" i="2"/>
  <c r="A1990" i="2"/>
  <c r="A1991" i="2"/>
  <c r="A1992" i="2"/>
  <c r="A1993" i="2"/>
  <c r="A1994" i="2"/>
  <c r="A1995" i="2"/>
  <c r="A1996" i="2"/>
  <c r="A1997" i="2"/>
  <c r="A1998" i="2"/>
  <c r="A1999" i="2"/>
  <c r="A2000" i="2"/>
  <c r="A2001" i="2"/>
  <c r="A2002" i="2"/>
  <c r="A2003" i="2"/>
  <c r="A2004" i="2"/>
  <c r="A2005" i="2"/>
  <c r="A2006" i="2"/>
  <c r="A2007" i="2"/>
  <c r="A2008" i="2"/>
  <c r="A2009" i="2"/>
  <c r="A2010" i="2"/>
  <c r="A2011" i="2"/>
  <c r="A2012" i="2"/>
  <c r="A2013" i="2"/>
  <c r="A2014" i="2"/>
  <c r="A2015" i="2"/>
  <c r="A2016" i="2"/>
  <c r="A2017" i="2"/>
  <c r="A2018" i="2"/>
  <c r="A2019" i="2"/>
  <c r="A2020" i="2"/>
  <c r="A2021" i="2"/>
  <c r="A2022" i="2"/>
  <c r="A2023" i="2"/>
  <c r="A2024" i="2"/>
  <c r="A2025" i="2"/>
  <c r="A2026" i="2"/>
  <c r="A2027" i="2"/>
  <c r="A2028" i="2"/>
  <c r="A2029" i="2"/>
  <c r="A2030" i="2"/>
  <c r="A2031" i="2"/>
  <c r="A2032" i="2"/>
  <c r="A2033" i="2"/>
  <c r="A2034" i="2"/>
  <c r="A2035" i="2"/>
  <c r="A2036" i="2"/>
  <c r="A2037" i="2"/>
  <c r="A2038" i="2"/>
  <c r="A2039" i="2"/>
  <c r="A2040" i="2"/>
  <c r="A2041" i="2"/>
  <c r="A2042" i="2"/>
  <c r="A2043" i="2"/>
  <c r="A2044" i="2"/>
  <c r="A2045" i="2"/>
  <c r="A2046" i="2"/>
  <c r="A2047" i="2"/>
  <c r="A2048" i="2"/>
  <c r="A2049" i="2"/>
  <c r="A2050" i="2"/>
  <c r="A2051" i="2"/>
  <c r="A2052" i="2"/>
  <c r="A2053" i="2"/>
  <c r="A2054" i="2"/>
  <c r="A2055" i="2"/>
  <c r="A2056" i="2"/>
  <c r="A2057" i="2"/>
  <c r="A2058" i="2"/>
  <c r="A2059" i="2"/>
  <c r="A2060" i="2"/>
  <c r="A2061" i="2"/>
  <c r="A2062" i="2"/>
  <c r="A2063" i="2"/>
  <c r="A2064" i="2"/>
  <c r="A2065" i="2"/>
  <c r="A2066" i="2"/>
  <c r="A2067" i="2"/>
  <c r="A2068" i="2"/>
  <c r="A2069" i="2"/>
  <c r="A2070" i="2"/>
  <c r="A2071" i="2"/>
  <c r="A2072" i="2"/>
  <c r="A2073" i="2"/>
  <c r="A2074" i="2"/>
  <c r="A2075" i="2"/>
  <c r="A2076" i="2"/>
  <c r="A2077" i="2"/>
  <c r="A2078" i="2"/>
  <c r="A2079" i="2"/>
  <c r="A2080" i="2"/>
  <c r="A2081" i="2"/>
  <c r="A2082" i="2"/>
  <c r="A2083" i="2"/>
  <c r="A2084" i="2"/>
  <c r="A2085" i="2"/>
  <c r="A2086" i="2"/>
  <c r="A2087" i="2"/>
  <c r="A2088" i="2"/>
  <c r="A2089" i="2"/>
  <c r="A2090" i="2"/>
  <c r="A2091" i="2"/>
  <c r="A2092" i="2"/>
  <c r="A2093" i="2"/>
  <c r="A2094" i="2"/>
  <c r="A2095" i="2"/>
  <c r="A2096" i="2"/>
  <c r="A2097" i="2"/>
  <c r="A2098" i="2"/>
  <c r="A2099" i="2"/>
  <c r="A2100" i="2"/>
  <c r="A2101" i="2"/>
  <c r="A2102" i="2"/>
  <c r="A2103" i="2"/>
  <c r="A2104" i="2"/>
  <c r="A2105" i="2"/>
  <c r="A2106" i="2"/>
  <c r="A2107" i="2"/>
  <c r="A2108" i="2"/>
  <c r="A2109" i="2"/>
  <c r="A2110" i="2"/>
  <c r="A2111" i="2"/>
  <c r="A2112" i="2"/>
  <c r="A2113" i="2"/>
  <c r="A2114" i="2"/>
  <c r="A2115" i="2"/>
  <c r="A2116" i="2"/>
  <c r="A2117" i="2"/>
  <c r="A2118" i="2"/>
  <c r="A2119" i="2"/>
  <c r="A2120" i="2"/>
  <c r="A2121" i="2"/>
  <c r="A2122" i="2"/>
  <c r="A2123" i="2"/>
  <c r="A2124" i="2"/>
  <c r="A2125" i="2"/>
  <c r="A2126" i="2"/>
  <c r="A2127" i="2"/>
  <c r="A2128" i="2"/>
  <c r="A2129" i="2"/>
  <c r="A2130" i="2"/>
  <c r="A2131" i="2"/>
  <c r="A2132" i="2"/>
  <c r="A2133" i="2"/>
  <c r="A2134" i="2"/>
  <c r="A2135" i="2"/>
  <c r="A2136" i="2"/>
  <c r="A2137" i="2"/>
  <c r="A2138" i="2"/>
  <c r="A2139" i="2"/>
  <c r="A2140" i="2"/>
  <c r="A2141" i="2"/>
  <c r="A2142" i="2"/>
  <c r="A2143" i="2"/>
  <c r="A2144" i="2"/>
  <c r="A2145" i="2"/>
  <c r="A2146" i="2"/>
  <c r="A2147" i="2"/>
  <c r="A2148" i="2"/>
  <c r="A2149" i="2"/>
  <c r="A2150" i="2"/>
  <c r="A2151" i="2"/>
  <c r="A2152" i="2"/>
  <c r="A2153" i="2"/>
  <c r="A2154" i="2"/>
  <c r="A2155" i="2"/>
  <c r="A2156" i="2"/>
  <c r="A2157" i="2"/>
  <c r="A2158" i="2"/>
  <c r="A2159" i="2"/>
  <c r="A2160" i="2"/>
  <c r="A2161" i="2"/>
  <c r="A2162" i="2"/>
  <c r="A2163" i="2"/>
  <c r="A2164" i="2"/>
  <c r="A2165" i="2"/>
  <c r="A2166" i="2"/>
  <c r="A2167" i="2"/>
  <c r="A2168" i="2"/>
  <c r="A2169" i="2"/>
  <c r="A2170" i="2"/>
  <c r="A2171" i="2"/>
  <c r="A2172" i="2"/>
  <c r="A2173" i="2"/>
  <c r="A2174" i="2"/>
  <c r="A2175" i="2"/>
  <c r="A2176" i="2"/>
  <c r="A2177" i="2"/>
  <c r="A2178" i="2"/>
  <c r="A2179" i="2"/>
  <c r="A2180" i="2"/>
  <c r="A2181" i="2"/>
  <c r="A2182" i="2"/>
  <c r="A2183" i="2"/>
  <c r="A2184" i="2"/>
  <c r="A2185" i="2"/>
  <c r="A2186" i="2"/>
  <c r="A2187" i="2"/>
  <c r="A2188" i="2"/>
  <c r="A2189" i="2"/>
  <c r="A2190" i="2"/>
  <c r="A2191" i="2"/>
  <c r="A2192" i="2"/>
  <c r="A2193" i="2"/>
  <c r="A2194" i="2"/>
  <c r="A2195" i="2"/>
  <c r="A2196" i="2"/>
  <c r="A2197" i="2"/>
  <c r="A2198" i="2"/>
  <c r="A2199" i="2"/>
  <c r="A2200" i="2"/>
  <c r="A2201" i="2"/>
  <c r="A2202" i="2"/>
  <c r="A2203" i="2"/>
  <c r="A2204" i="2"/>
  <c r="A2205" i="2"/>
  <c r="A2206" i="2"/>
  <c r="A2207" i="2"/>
  <c r="A2208" i="2"/>
  <c r="A2209" i="2"/>
  <c r="A2210" i="2"/>
  <c r="A2211" i="2"/>
  <c r="A2212" i="2"/>
  <c r="A2213" i="2"/>
  <c r="A2214" i="2"/>
  <c r="A2215" i="2"/>
  <c r="A2216" i="2"/>
  <c r="A2217" i="2"/>
  <c r="A2218" i="2"/>
  <c r="A2219" i="2"/>
  <c r="A2220" i="2"/>
  <c r="A2221" i="2"/>
  <c r="A2222" i="2"/>
  <c r="A2223" i="2"/>
  <c r="A2224" i="2"/>
  <c r="A2225" i="2"/>
  <c r="A2226" i="2"/>
  <c r="A2227" i="2"/>
  <c r="A2228" i="2"/>
  <c r="A2229" i="2"/>
  <c r="A2230" i="2"/>
  <c r="A2231" i="2"/>
  <c r="A2232" i="2"/>
  <c r="A2233" i="2"/>
  <c r="A2234" i="2"/>
  <c r="A2235" i="2"/>
  <c r="A2236" i="2"/>
  <c r="A2237" i="2"/>
  <c r="A2238" i="2"/>
  <c r="A2239" i="2"/>
  <c r="A2240" i="2"/>
  <c r="A2241" i="2"/>
  <c r="A2242" i="2"/>
  <c r="A2243" i="2"/>
  <c r="A2244" i="2"/>
  <c r="A2245" i="2"/>
  <c r="A2246" i="2"/>
  <c r="A2247" i="2"/>
  <c r="A2248" i="2"/>
  <c r="A2249" i="2"/>
  <c r="A2250" i="2"/>
  <c r="A2251" i="2"/>
  <c r="A2252" i="2"/>
  <c r="A2253" i="2"/>
  <c r="A2254" i="2"/>
  <c r="A2255" i="2"/>
  <c r="A2256" i="2"/>
  <c r="A2257" i="2"/>
  <c r="A2258" i="2"/>
  <c r="A2259" i="2"/>
  <c r="A2260" i="2"/>
  <c r="A2261" i="2"/>
  <c r="A2262" i="2"/>
  <c r="A2263" i="2"/>
  <c r="A2264" i="2"/>
  <c r="A2265" i="2"/>
  <c r="A2266" i="2"/>
  <c r="A2267" i="2"/>
  <c r="A2268" i="2"/>
  <c r="A2269" i="2"/>
  <c r="A2270" i="2"/>
  <c r="A2271" i="2"/>
  <c r="A2272" i="2"/>
  <c r="A2273" i="2"/>
  <c r="A2274" i="2"/>
  <c r="A2275" i="2"/>
  <c r="A2276" i="2"/>
  <c r="A2277" i="2"/>
  <c r="A2278" i="2"/>
  <c r="A2279" i="2"/>
  <c r="A2280" i="2"/>
  <c r="A2281" i="2"/>
  <c r="A2282" i="2"/>
  <c r="A2283" i="2"/>
  <c r="A2284" i="2"/>
  <c r="A2285" i="2"/>
  <c r="A2286" i="2"/>
  <c r="A2287" i="2"/>
  <c r="A2288" i="2"/>
  <c r="A2289" i="2"/>
  <c r="A2290" i="2"/>
  <c r="A2291" i="2"/>
  <c r="A2292" i="2"/>
  <c r="A2293" i="2"/>
  <c r="A2294" i="2"/>
  <c r="A2295" i="2"/>
  <c r="A2296" i="2"/>
  <c r="A2297" i="2"/>
  <c r="A2298" i="2"/>
  <c r="A2299" i="2"/>
  <c r="A2300" i="2"/>
  <c r="A2301" i="2"/>
  <c r="A2302" i="2"/>
  <c r="A2303" i="2"/>
  <c r="A2304" i="2"/>
  <c r="A2305" i="2"/>
  <c r="A2306" i="2"/>
  <c r="A2307" i="2"/>
  <c r="A2308" i="2"/>
  <c r="A2309" i="2"/>
  <c r="A2310" i="2"/>
  <c r="A2311" i="2"/>
  <c r="A2312" i="2"/>
  <c r="A2313" i="2"/>
  <c r="A2314" i="2"/>
  <c r="A2315" i="2"/>
  <c r="A2316" i="2"/>
  <c r="A2317" i="2"/>
  <c r="A2318" i="2"/>
  <c r="A2319" i="2"/>
  <c r="A2320" i="2"/>
  <c r="A2321" i="2"/>
  <c r="A2322" i="2"/>
  <c r="A2323" i="2"/>
  <c r="A2324" i="2"/>
  <c r="A2325" i="2"/>
  <c r="A2326" i="2"/>
  <c r="A2327" i="2"/>
  <c r="A2328" i="2"/>
  <c r="A2329" i="2"/>
  <c r="A2330" i="2"/>
  <c r="A2331" i="2"/>
  <c r="A2332" i="2"/>
  <c r="A2333" i="2"/>
  <c r="A2334" i="2"/>
  <c r="A2335" i="2"/>
  <c r="A2336" i="2"/>
  <c r="A2337" i="2"/>
  <c r="A2338" i="2"/>
  <c r="A2339" i="2"/>
  <c r="A2340" i="2"/>
  <c r="A2341" i="2"/>
  <c r="A2342" i="2"/>
  <c r="A2343" i="2"/>
  <c r="A2344" i="2"/>
  <c r="A2345" i="2"/>
  <c r="A2346" i="2"/>
  <c r="A2347" i="2"/>
  <c r="A2348" i="2"/>
  <c r="A2349" i="2"/>
  <c r="A2350" i="2"/>
  <c r="A2351" i="2"/>
  <c r="A2352" i="2"/>
  <c r="A2353" i="2"/>
  <c r="A2354" i="2"/>
  <c r="A2355" i="2"/>
  <c r="A2356" i="2"/>
  <c r="A2357" i="2"/>
  <c r="A2358" i="2"/>
  <c r="A2359" i="2"/>
  <c r="A2360" i="2"/>
  <c r="A2361" i="2"/>
  <c r="A2362" i="2"/>
  <c r="A2363" i="2"/>
  <c r="A2364" i="2"/>
  <c r="A2365" i="2"/>
  <c r="A2366" i="2"/>
  <c r="A2367" i="2"/>
  <c r="A2368" i="2"/>
  <c r="A2369" i="2"/>
  <c r="A2370" i="2"/>
  <c r="A2371" i="2"/>
  <c r="A2372" i="2"/>
  <c r="A2373" i="2"/>
  <c r="A2374" i="2"/>
  <c r="A2375" i="2"/>
  <c r="A2376" i="2"/>
  <c r="A2377" i="2"/>
  <c r="A2378" i="2"/>
  <c r="A2379" i="2"/>
  <c r="A2380" i="2"/>
  <c r="A2381" i="2"/>
  <c r="A2382" i="2"/>
  <c r="A2383" i="2"/>
  <c r="A2384" i="2"/>
  <c r="A2385" i="2"/>
  <c r="A2386" i="2"/>
  <c r="A2387" i="2"/>
  <c r="A2388" i="2"/>
  <c r="A2389" i="2"/>
  <c r="A2390" i="2"/>
  <c r="A2391" i="2"/>
  <c r="A2392" i="2"/>
  <c r="A2393" i="2"/>
  <c r="A2394" i="2"/>
  <c r="A2395" i="2"/>
  <c r="A2396" i="2"/>
  <c r="A2397" i="2"/>
  <c r="A2398" i="2"/>
  <c r="A2399" i="2"/>
  <c r="A2400" i="2"/>
  <c r="A2401" i="2"/>
  <c r="A2402" i="2"/>
  <c r="A2403" i="2"/>
  <c r="A2404" i="2"/>
  <c r="A2405" i="2"/>
  <c r="A2406" i="2"/>
  <c r="A2407" i="2"/>
  <c r="A2408" i="2"/>
  <c r="A2409" i="2"/>
  <c r="A2410" i="2"/>
  <c r="A2411" i="2"/>
  <c r="A2412" i="2"/>
  <c r="A2413" i="2"/>
  <c r="A2414" i="2"/>
  <c r="A2415" i="2"/>
  <c r="A2416" i="2"/>
  <c r="A2417" i="2"/>
  <c r="A2418" i="2"/>
  <c r="A2419" i="2"/>
  <c r="A2420" i="2"/>
  <c r="A2421" i="2"/>
  <c r="A2422" i="2"/>
  <c r="A2423" i="2"/>
  <c r="A2424" i="2"/>
  <c r="A2425" i="2"/>
  <c r="A2426" i="2"/>
  <c r="A2427" i="2"/>
  <c r="A2428" i="2"/>
  <c r="A2429" i="2"/>
  <c r="A2430" i="2"/>
  <c r="A2431" i="2"/>
  <c r="A2432" i="2"/>
  <c r="A2433" i="2"/>
  <c r="A2434" i="2"/>
  <c r="A2435" i="2"/>
  <c r="A2436" i="2"/>
  <c r="A2437" i="2"/>
  <c r="A2438" i="2"/>
  <c r="A2439" i="2"/>
  <c r="A2440" i="2"/>
  <c r="A2441" i="2"/>
  <c r="A2442" i="2"/>
  <c r="A2443" i="2"/>
  <c r="A2444" i="2"/>
  <c r="A2445" i="2"/>
  <c r="A2446" i="2"/>
  <c r="A2447" i="2"/>
  <c r="A2448" i="2"/>
  <c r="A2449" i="2"/>
  <c r="A2450" i="2"/>
  <c r="A2451" i="2"/>
  <c r="A2452" i="2"/>
  <c r="A2453" i="2"/>
  <c r="A2454" i="2"/>
  <c r="A2455" i="2"/>
  <c r="A2456" i="2"/>
  <c r="A2457" i="2"/>
  <c r="A2458" i="2"/>
  <c r="A2459" i="2"/>
  <c r="A2460" i="2"/>
  <c r="A2461" i="2"/>
  <c r="A2462" i="2"/>
  <c r="A2463" i="2"/>
  <c r="A2464" i="2"/>
  <c r="A2465" i="2"/>
  <c r="A2466" i="2"/>
  <c r="A2467" i="2"/>
  <c r="A2468" i="2"/>
  <c r="A2469" i="2"/>
  <c r="A2470" i="2"/>
  <c r="A2471" i="2"/>
  <c r="A2472" i="2"/>
  <c r="A2473" i="2"/>
  <c r="A2474" i="2"/>
  <c r="A2475" i="2"/>
  <c r="A2476" i="2"/>
  <c r="A2477" i="2"/>
  <c r="A2478" i="2"/>
  <c r="A2479" i="2"/>
  <c r="A2480" i="2"/>
  <c r="A2481" i="2"/>
  <c r="A2482" i="2"/>
  <c r="A2483" i="2"/>
  <c r="A2484" i="2"/>
  <c r="A2485" i="2"/>
  <c r="A2486" i="2"/>
  <c r="A2487" i="2"/>
  <c r="A2488" i="2"/>
  <c r="A2489" i="2"/>
  <c r="A2490" i="2"/>
  <c r="A2491" i="2"/>
  <c r="A2492" i="2"/>
  <c r="A2493" i="2"/>
  <c r="A2494" i="2"/>
  <c r="A2495" i="2"/>
  <c r="A2496" i="2"/>
  <c r="A2497" i="2"/>
  <c r="A2498" i="2"/>
  <c r="A2499" i="2"/>
  <c r="A2500" i="2"/>
  <c r="A2501" i="2"/>
  <c r="A2502" i="2"/>
  <c r="A2503" i="2"/>
  <c r="A2504" i="2"/>
  <c r="A2505" i="2"/>
  <c r="A2506" i="2"/>
  <c r="A2507" i="2"/>
  <c r="A2508" i="2"/>
  <c r="A2509" i="2"/>
  <c r="A2510" i="2"/>
  <c r="A2511" i="2"/>
  <c r="A2512" i="2"/>
  <c r="A2513" i="2"/>
  <c r="A2514" i="2"/>
  <c r="A2515" i="2"/>
  <c r="A2516" i="2"/>
  <c r="A2517" i="2"/>
  <c r="A2518" i="2"/>
  <c r="A2519" i="2"/>
  <c r="A2520" i="2"/>
  <c r="A2521" i="2"/>
  <c r="A2522" i="2"/>
  <c r="A2523" i="2"/>
  <c r="A2524" i="2"/>
  <c r="A2525" i="2"/>
  <c r="A2526" i="2"/>
  <c r="A2527" i="2"/>
  <c r="A2528" i="2"/>
  <c r="A2529" i="2"/>
  <c r="A2530" i="2"/>
  <c r="A2531" i="2"/>
  <c r="A2532" i="2"/>
  <c r="A2533" i="2"/>
  <c r="A2534" i="2"/>
  <c r="A2535" i="2"/>
  <c r="A2536" i="2"/>
  <c r="A2537" i="2"/>
  <c r="A2538" i="2"/>
  <c r="A2539" i="2"/>
  <c r="A2540" i="2"/>
  <c r="A2541" i="2"/>
  <c r="A2542" i="2"/>
  <c r="A2543" i="2"/>
  <c r="A2544" i="2"/>
  <c r="A2545" i="2"/>
  <c r="A2546" i="2"/>
  <c r="A2547" i="2"/>
  <c r="A2548" i="2"/>
  <c r="A2549" i="2"/>
  <c r="A2550" i="2"/>
  <c r="A2551" i="2"/>
  <c r="A2552" i="2"/>
  <c r="A2553" i="2"/>
  <c r="A2554" i="2"/>
  <c r="A2555" i="2"/>
  <c r="A2556" i="2"/>
  <c r="A2557" i="2"/>
  <c r="A2558" i="2"/>
  <c r="A2559" i="2"/>
  <c r="A2560" i="2"/>
  <c r="A2561" i="2"/>
  <c r="A2562" i="2"/>
  <c r="A2563" i="2"/>
  <c r="A2564" i="2"/>
  <c r="A2565" i="2"/>
  <c r="A2566" i="2"/>
  <c r="A2567" i="2"/>
  <c r="A2568" i="2"/>
  <c r="A2569" i="2"/>
  <c r="A2570" i="2"/>
  <c r="A2571" i="2"/>
  <c r="A2572" i="2"/>
  <c r="A2573" i="2"/>
  <c r="A2574" i="2"/>
  <c r="A2575" i="2"/>
  <c r="A2576" i="2"/>
  <c r="A2577" i="2"/>
  <c r="A2578" i="2"/>
  <c r="A2579" i="2"/>
  <c r="A2580" i="2"/>
  <c r="A2581" i="2"/>
  <c r="A2582" i="2"/>
  <c r="A2583" i="2"/>
  <c r="A2584" i="2"/>
  <c r="A2585" i="2"/>
  <c r="A2586" i="2"/>
  <c r="A2587" i="2"/>
  <c r="A2588" i="2"/>
  <c r="A2589" i="2"/>
  <c r="A2590" i="2"/>
  <c r="A2591" i="2"/>
  <c r="A2592" i="2"/>
  <c r="A2593" i="2"/>
  <c r="A2594" i="2"/>
  <c r="A2595" i="2"/>
  <c r="A2596" i="2"/>
  <c r="A2597" i="2"/>
  <c r="A2598" i="2"/>
  <c r="A2599" i="2"/>
  <c r="A2600" i="2"/>
  <c r="A2601" i="2"/>
  <c r="A2602" i="2"/>
  <c r="A2603" i="2"/>
  <c r="A2604" i="2"/>
  <c r="A2605" i="2"/>
  <c r="A2606" i="2"/>
  <c r="A2607" i="2"/>
  <c r="A2608" i="2"/>
  <c r="A2609" i="2"/>
  <c r="A2610" i="2"/>
  <c r="A2611" i="2"/>
  <c r="A2612" i="2"/>
  <c r="A2613" i="2"/>
  <c r="A2614" i="2"/>
  <c r="A2615" i="2"/>
  <c r="A2616" i="2"/>
  <c r="A2617" i="2"/>
  <c r="A2618" i="2"/>
  <c r="A2619" i="2"/>
  <c r="A2620" i="2"/>
  <c r="A2621" i="2"/>
  <c r="A2622" i="2"/>
  <c r="A2623" i="2"/>
  <c r="A2624" i="2"/>
  <c r="A2625" i="2"/>
  <c r="A2626" i="2"/>
  <c r="A2627" i="2"/>
  <c r="A2628" i="2"/>
  <c r="A2629" i="2"/>
  <c r="A2630" i="2"/>
  <c r="A2631" i="2"/>
  <c r="A2632" i="2"/>
  <c r="A2633" i="2"/>
  <c r="A2634" i="2"/>
  <c r="A2635" i="2"/>
  <c r="A2636" i="2"/>
  <c r="A2637" i="2"/>
  <c r="A2638" i="2"/>
  <c r="A2639" i="2"/>
  <c r="A2640" i="2"/>
  <c r="A2641" i="2"/>
  <c r="A2642" i="2"/>
  <c r="A2643" i="2"/>
  <c r="A2644" i="2"/>
  <c r="A2645" i="2"/>
  <c r="A2646" i="2"/>
  <c r="A2647" i="2"/>
  <c r="A2648" i="2"/>
  <c r="A2649" i="2"/>
  <c r="A2650" i="2"/>
  <c r="A2651" i="2"/>
  <c r="A2652" i="2"/>
  <c r="A2653" i="2"/>
  <c r="A2654" i="2"/>
  <c r="A2655" i="2"/>
  <c r="A2656" i="2"/>
  <c r="A2657" i="2"/>
  <c r="A2658" i="2"/>
  <c r="A2659" i="2"/>
  <c r="A2660" i="2"/>
  <c r="A2661" i="2"/>
  <c r="A2662" i="2"/>
  <c r="A2663" i="2"/>
  <c r="A2664" i="2"/>
  <c r="A2665" i="2"/>
  <c r="A2666" i="2"/>
  <c r="A2667" i="2"/>
  <c r="A2668" i="2"/>
  <c r="A2669" i="2"/>
  <c r="A2670" i="2"/>
  <c r="A2671" i="2"/>
  <c r="A2672" i="2"/>
  <c r="A2673" i="2"/>
  <c r="A2674" i="2"/>
  <c r="A2675" i="2"/>
  <c r="A2676" i="2"/>
  <c r="A2677" i="2"/>
  <c r="A2678" i="2"/>
  <c r="A2679" i="2"/>
  <c r="A2680" i="2"/>
  <c r="A2681" i="2"/>
  <c r="A2682" i="2"/>
  <c r="A2683" i="2"/>
  <c r="A2684" i="2"/>
  <c r="A2685" i="2"/>
  <c r="A2686" i="2"/>
  <c r="A2687" i="2"/>
  <c r="A2688" i="2"/>
  <c r="A2689" i="2"/>
  <c r="A2690" i="2"/>
  <c r="A2691" i="2"/>
  <c r="A2692" i="2"/>
  <c r="A2693" i="2"/>
  <c r="A2694" i="2"/>
  <c r="A2695" i="2"/>
  <c r="A2696" i="2"/>
  <c r="A2697" i="2"/>
  <c r="A2698" i="2"/>
  <c r="A2699" i="2"/>
  <c r="A2700" i="2"/>
  <c r="A2701" i="2"/>
  <c r="A2702" i="2"/>
  <c r="A2703" i="2"/>
  <c r="A2704" i="2"/>
  <c r="A2705" i="2"/>
  <c r="A2706" i="2"/>
  <c r="A2707" i="2"/>
  <c r="A2708" i="2"/>
  <c r="A2709" i="2"/>
  <c r="A2710" i="2"/>
  <c r="A2711" i="2"/>
  <c r="A2712" i="2"/>
  <c r="A2713" i="2"/>
  <c r="A2714" i="2"/>
  <c r="A2715" i="2"/>
  <c r="A2716" i="2"/>
  <c r="A2717" i="2"/>
  <c r="A2718" i="2"/>
  <c r="A2719" i="2"/>
  <c r="A2720" i="2"/>
  <c r="A2721" i="2"/>
  <c r="A2722" i="2"/>
  <c r="A2723" i="2"/>
  <c r="A2724" i="2"/>
  <c r="A2725" i="2"/>
  <c r="A2726" i="2"/>
  <c r="A2727" i="2"/>
  <c r="A2728" i="2"/>
  <c r="A2729" i="2"/>
  <c r="A2730" i="2"/>
  <c r="A2731" i="2"/>
  <c r="A2732" i="2"/>
  <c r="A2733" i="2"/>
  <c r="A2734" i="2"/>
  <c r="A2735" i="2"/>
  <c r="A2736" i="2"/>
  <c r="A2737" i="2"/>
  <c r="A2738" i="2"/>
  <c r="A2739" i="2"/>
  <c r="A2740" i="2"/>
  <c r="A2741" i="2"/>
  <c r="A2742" i="2"/>
  <c r="A2743" i="2"/>
  <c r="A2744" i="2"/>
  <c r="A2745" i="2"/>
  <c r="A2746" i="2"/>
  <c r="A2747" i="2"/>
  <c r="A2748" i="2"/>
  <c r="A2749" i="2"/>
  <c r="A2750" i="2"/>
  <c r="A2751" i="2"/>
  <c r="A2752" i="2"/>
  <c r="A2753" i="2"/>
  <c r="A2754" i="2"/>
  <c r="A2755" i="2"/>
  <c r="A2756" i="2"/>
  <c r="A2757" i="2"/>
  <c r="A2758" i="2"/>
  <c r="A2759" i="2"/>
  <c r="A2760" i="2"/>
  <c r="A2761" i="2"/>
  <c r="A2762" i="2"/>
  <c r="A2763" i="2"/>
  <c r="A2764" i="2"/>
  <c r="A2765" i="2"/>
  <c r="A2766" i="2"/>
  <c r="A2767" i="2"/>
  <c r="A2768" i="2"/>
  <c r="A2769" i="2"/>
  <c r="A2770" i="2"/>
  <c r="A2771" i="2"/>
  <c r="A2772" i="2"/>
  <c r="A2773" i="2"/>
  <c r="A2774" i="2"/>
  <c r="A2775" i="2"/>
  <c r="A2776" i="2"/>
  <c r="A2777" i="2"/>
  <c r="A2778" i="2"/>
  <c r="A2779" i="2"/>
  <c r="A2780" i="2"/>
  <c r="A2781" i="2"/>
  <c r="A2782" i="2"/>
  <c r="A2783" i="2"/>
  <c r="A2784" i="2"/>
  <c r="A2785" i="2"/>
  <c r="A2786" i="2"/>
  <c r="A2787" i="2"/>
  <c r="A2788" i="2"/>
  <c r="A2789" i="2"/>
  <c r="A2790" i="2"/>
  <c r="A2791" i="2"/>
  <c r="A2792" i="2"/>
  <c r="A2793" i="2"/>
  <c r="A2794" i="2"/>
  <c r="A2795" i="2"/>
  <c r="A2796" i="2"/>
  <c r="A2797" i="2"/>
  <c r="A2798" i="2"/>
  <c r="A2799" i="2"/>
  <c r="A2800" i="2"/>
  <c r="A2801" i="2"/>
  <c r="A2802" i="2"/>
  <c r="A2803" i="2"/>
  <c r="A2804" i="2"/>
  <c r="A2805" i="2"/>
  <c r="A2806" i="2"/>
  <c r="A2807" i="2"/>
  <c r="A2808" i="2"/>
  <c r="A2809" i="2"/>
  <c r="A2810" i="2"/>
  <c r="A2811" i="2"/>
  <c r="A2812" i="2"/>
  <c r="A2813" i="2"/>
  <c r="A2814" i="2"/>
  <c r="A2815" i="2"/>
  <c r="A2816" i="2"/>
  <c r="A2817" i="2"/>
  <c r="A2818" i="2"/>
  <c r="A2819" i="2"/>
  <c r="A2820" i="2"/>
  <c r="A2821" i="2"/>
  <c r="A2822" i="2"/>
  <c r="A2823" i="2"/>
  <c r="A2824" i="2"/>
  <c r="A2825" i="2"/>
  <c r="A2826" i="2"/>
  <c r="A2827" i="2"/>
  <c r="A2828" i="2"/>
  <c r="A2829" i="2"/>
  <c r="A2830" i="2"/>
  <c r="A2831" i="2"/>
  <c r="A2832" i="2"/>
  <c r="A2833" i="2"/>
  <c r="A2834" i="2"/>
  <c r="A2835" i="2"/>
  <c r="A2836" i="2"/>
  <c r="A2837" i="2"/>
  <c r="A2838" i="2"/>
  <c r="A2839" i="2"/>
  <c r="A2840" i="2"/>
  <c r="A2841" i="2"/>
  <c r="A2842" i="2"/>
  <c r="A2843" i="2"/>
  <c r="A2844" i="2"/>
  <c r="A2845" i="2"/>
  <c r="A2846" i="2"/>
  <c r="A2847" i="2"/>
  <c r="A2848" i="2"/>
  <c r="A2849" i="2"/>
  <c r="A2850" i="2"/>
  <c r="A2851" i="2"/>
  <c r="A2852" i="2"/>
  <c r="A2853" i="2"/>
  <c r="A2854" i="2"/>
  <c r="A2855" i="2"/>
  <c r="A2856" i="2"/>
  <c r="A2857" i="2"/>
  <c r="A2858" i="2"/>
  <c r="A2859" i="2"/>
  <c r="A2860" i="2"/>
  <c r="A2861" i="2"/>
  <c r="A2862" i="2"/>
  <c r="A2863" i="2"/>
  <c r="A2864" i="2"/>
  <c r="A2865" i="2"/>
  <c r="A2866" i="2"/>
  <c r="A2867" i="2"/>
  <c r="A2868" i="2"/>
  <c r="A2869" i="2"/>
  <c r="A2870" i="2"/>
  <c r="A2871" i="2"/>
  <c r="A2872" i="2"/>
  <c r="A2873" i="2"/>
  <c r="A2874" i="2"/>
  <c r="A2875" i="2"/>
  <c r="A2876" i="2"/>
  <c r="A2877" i="2"/>
  <c r="A2878" i="2"/>
  <c r="A2879" i="2"/>
  <c r="A2880" i="2"/>
  <c r="A2881" i="2"/>
  <c r="A2882" i="2"/>
  <c r="A2883" i="2"/>
  <c r="A2884" i="2"/>
  <c r="A2885" i="2"/>
  <c r="A2886" i="2"/>
  <c r="A2887" i="2"/>
  <c r="A2888" i="2"/>
  <c r="A2889" i="2"/>
  <c r="A2890" i="2"/>
  <c r="A2891" i="2"/>
  <c r="A2892" i="2"/>
  <c r="A2893" i="2"/>
  <c r="A2894" i="2"/>
  <c r="A2895" i="2"/>
  <c r="A2896" i="2"/>
  <c r="A2897" i="2"/>
  <c r="A2898" i="2"/>
  <c r="A2899" i="2"/>
  <c r="A2900" i="2"/>
  <c r="A2901" i="2"/>
  <c r="A2902" i="2"/>
  <c r="A2903" i="2"/>
  <c r="A2904" i="2"/>
  <c r="A2905" i="2"/>
  <c r="A2906" i="2"/>
  <c r="A2907" i="2"/>
  <c r="A2908" i="2"/>
  <c r="A2909" i="2"/>
  <c r="A2910" i="2"/>
  <c r="A2911" i="2"/>
  <c r="A2912" i="2"/>
  <c r="A2913" i="2"/>
  <c r="A2914" i="2"/>
  <c r="A2915" i="2"/>
  <c r="A2916" i="2"/>
  <c r="A2917" i="2"/>
  <c r="A2918" i="2"/>
  <c r="A2919" i="2"/>
  <c r="A2920" i="2"/>
  <c r="A2921" i="2"/>
  <c r="A2922" i="2"/>
  <c r="A2923" i="2"/>
  <c r="A2924" i="2"/>
  <c r="A2925" i="2"/>
  <c r="A2926" i="2"/>
  <c r="A2927" i="2"/>
  <c r="A2928" i="2"/>
  <c r="A2929" i="2"/>
  <c r="A2930" i="2"/>
  <c r="A2931" i="2"/>
  <c r="A2932" i="2"/>
  <c r="A2933" i="2"/>
  <c r="A2934" i="2"/>
  <c r="A2935" i="2"/>
  <c r="A2936" i="2"/>
  <c r="A2937" i="2"/>
  <c r="A2938" i="2"/>
  <c r="A2939" i="2"/>
  <c r="A2940" i="2"/>
  <c r="A2941" i="2"/>
  <c r="A2942" i="2"/>
  <c r="A2943" i="2"/>
  <c r="A2944" i="2"/>
  <c r="A2945" i="2"/>
  <c r="A2946" i="2"/>
  <c r="A2947" i="2"/>
  <c r="A2948" i="2"/>
  <c r="A2949" i="2"/>
  <c r="A2950" i="2"/>
  <c r="A2951" i="2"/>
  <c r="A2952" i="2"/>
  <c r="A2953" i="2"/>
  <c r="A2954" i="2"/>
  <c r="A2955" i="2"/>
  <c r="A2956" i="2"/>
  <c r="A2957" i="2"/>
  <c r="A2958" i="2"/>
  <c r="A2959" i="2"/>
  <c r="A2960" i="2"/>
  <c r="A2961" i="2"/>
  <c r="A2962" i="2"/>
  <c r="A2963" i="2"/>
  <c r="A2964" i="2"/>
  <c r="A2965" i="2"/>
  <c r="A2966" i="2"/>
  <c r="A2967" i="2"/>
  <c r="A2968" i="2"/>
  <c r="A2969" i="2"/>
  <c r="A2970" i="2"/>
  <c r="A2971" i="2"/>
  <c r="A2972" i="2"/>
  <c r="A2973" i="2"/>
  <c r="A2974" i="2"/>
  <c r="A2975" i="2"/>
  <c r="A2976" i="2"/>
  <c r="A2977" i="2"/>
  <c r="A2978" i="2"/>
  <c r="A2979" i="2"/>
  <c r="A2980" i="2"/>
  <c r="A2981" i="2"/>
  <c r="A2982" i="2"/>
  <c r="A2983" i="2"/>
  <c r="A2984" i="2"/>
  <c r="A2985" i="2"/>
  <c r="A2986" i="2"/>
  <c r="A2987" i="2"/>
  <c r="A2988" i="2"/>
  <c r="A2989" i="2"/>
  <c r="A2990" i="2"/>
  <c r="A2991" i="2"/>
  <c r="A2992" i="2"/>
  <c r="A2993" i="2"/>
  <c r="A2994" i="2"/>
  <c r="A2995" i="2"/>
  <c r="A2996" i="2"/>
  <c r="A2997" i="2"/>
  <c r="A2998" i="2"/>
  <c r="A2999" i="2"/>
  <c r="A3000" i="2"/>
  <c r="A3001" i="2"/>
  <c r="A3002" i="2"/>
  <c r="A3003" i="2"/>
  <c r="A3004" i="2"/>
  <c r="A3005" i="2"/>
  <c r="A3006" i="2"/>
  <c r="A3007" i="2"/>
  <c r="A3008" i="2"/>
  <c r="A3009" i="2"/>
  <c r="A3010" i="2"/>
  <c r="A3011" i="2"/>
  <c r="A3012" i="2"/>
  <c r="A3013" i="2"/>
  <c r="A3014" i="2"/>
  <c r="A3015" i="2"/>
  <c r="A3016" i="2"/>
  <c r="A3017" i="2"/>
  <c r="A3018" i="2"/>
  <c r="A3019" i="2"/>
  <c r="A3020" i="2"/>
  <c r="A3021" i="2"/>
  <c r="A3022" i="2"/>
  <c r="A3023" i="2"/>
  <c r="A3024" i="2"/>
  <c r="A3025" i="2"/>
  <c r="A3026" i="2"/>
  <c r="A3027" i="2"/>
  <c r="A3028" i="2"/>
  <c r="A3029" i="2"/>
  <c r="A3030" i="2"/>
  <c r="A3031" i="2"/>
  <c r="A3032" i="2"/>
  <c r="A3033" i="2"/>
  <c r="A3034" i="2"/>
  <c r="A3035" i="2"/>
  <c r="A3036" i="2"/>
  <c r="A3037" i="2"/>
  <c r="A3038" i="2"/>
  <c r="A3039" i="2"/>
  <c r="A3040" i="2"/>
  <c r="A3041" i="2"/>
  <c r="A3042" i="2"/>
  <c r="A3043" i="2"/>
  <c r="A3044" i="2"/>
  <c r="A3045" i="2"/>
  <c r="A3046" i="2"/>
  <c r="A3047" i="2"/>
  <c r="A3048" i="2"/>
  <c r="A3049" i="2"/>
  <c r="A3050" i="2"/>
  <c r="A3051" i="2"/>
  <c r="A3052" i="2"/>
  <c r="A3053" i="2"/>
  <c r="A3054" i="2"/>
  <c r="A3055" i="2"/>
  <c r="A3056" i="2"/>
  <c r="A3057" i="2"/>
  <c r="A3058" i="2"/>
  <c r="A3059" i="2"/>
  <c r="A3060" i="2"/>
  <c r="A3061" i="2"/>
  <c r="A3062" i="2"/>
  <c r="A3063" i="2"/>
  <c r="A3064" i="2"/>
  <c r="A3065" i="2"/>
  <c r="A3066" i="2"/>
  <c r="A3067" i="2"/>
  <c r="A3068" i="2"/>
  <c r="A3069" i="2"/>
  <c r="A3070" i="2"/>
  <c r="A3071" i="2"/>
  <c r="A3072" i="2"/>
  <c r="A3073" i="2"/>
  <c r="A3074" i="2"/>
  <c r="A3075" i="2"/>
  <c r="A3076" i="2"/>
  <c r="A3077" i="2"/>
  <c r="A3078" i="2"/>
  <c r="A3079" i="2"/>
  <c r="A3080" i="2"/>
  <c r="A3081" i="2"/>
  <c r="A3082" i="2"/>
  <c r="A3083" i="2"/>
  <c r="A3084" i="2"/>
  <c r="A3085" i="2"/>
  <c r="A3086" i="2"/>
  <c r="A3087" i="2"/>
  <c r="A3088" i="2"/>
  <c r="A3089" i="2"/>
  <c r="A3090" i="2"/>
  <c r="A3091" i="2"/>
  <c r="A3092" i="2"/>
  <c r="A3093" i="2"/>
  <c r="A3094" i="2"/>
  <c r="A3095" i="2"/>
  <c r="A3096" i="2"/>
  <c r="A3097" i="2"/>
  <c r="A3098" i="2"/>
  <c r="A3099" i="2"/>
  <c r="A3100" i="2"/>
  <c r="A3101" i="2"/>
  <c r="A3102" i="2"/>
  <c r="A3103" i="2"/>
  <c r="A3104" i="2"/>
  <c r="A3105" i="2"/>
  <c r="A3106" i="2"/>
  <c r="A3107" i="2"/>
  <c r="A3108" i="2"/>
  <c r="A3109" i="2"/>
  <c r="A3110" i="2"/>
  <c r="A3111" i="2"/>
  <c r="A3112" i="2"/>
  <c r="A3113" i="2"/>
  <c r="A3114" i="2"/>
  <c r="A3115" i="2"/>
  <c r="A3116" i="2"/>
  <c r="A3117" i="2"/>
  <c r="A3118" i="2"/>
  <c r="A3119" i="2"/>
  <c r="A3120" i="2"/>
  <c r="A3121" i="2"/>
  <c r="A3122" i="2"/>
  <c r="A3123" i="2"/>
  <c r="A3124" i="2"/>
  <c r="A3125" i="2"/>
  <c r="A3126" i="2"/>
  <c r="A3127" i="2"/>
  <c r="A3128" i="2"/>
  <c r="A3129" i="2"/>
  <c r="A3130" i="2"/>
  <c r="A3131" i="2"/>
  <c r="A3132" i="2"/>
  <c r="A3133" i="2"/>
  <c r="A3134" i="2"/>
  <c r="A3135" i="2"/>
  <c r="A3136" i="2"/>
  <c r="A3137" i="2"/>
  <c r="A3138" i="2"/>
  <c r="A3139" i="2"/>
  <c r="A3140" i="2"/>
  <c r="A3141" i="2"/>
  <c r="A3142" i="2"/>
  <c r="A3143" i="2"/>
  <c r="A3144" i="2"/>
  <c r="A3145" i="2"/>
  <c r="A3146" i="2"/>
  <c r="A3147" i="2"/>
  <c r="A3148" i="2"/>
  <c r="A3149" i="2"/>
  <c r="A3150" i="2"/>
  <c r="A3151" i="2"/>
  <c r="A3152" i="2"/>
  <c r="A3153" i="2"/>
  <c r="A3154" i="2"/>
  <c r="A3155" i="2"/>
  <c r="A3156" i="2"/>
  <c r="A3157" i="2"/>
  <c r="A3158" i="2"/>
  <c r="A3159" i="2"/>
  <c r="A3160" i="2"/>
  <c r="A3161" i="2"/>
  <c r="A3162" i="2"/>
  <c r="A3163" i="2"/>
  <c r="A3164" i="2"/>
  <c r="A3165" i="2"/>
  <c r="A3166" i="2"/>
  <c r="A3167" i="2"/>
  <c r="A3168" i="2"/>
  <c r="A3169" i="2"/>
  <c r="A3170" i="2"/>
  <c r="A3171" i="2"/>
  <c r="A3172" i="2"/>
  <c r="A3173" i="2"/>
  <c r="A3174" i="2"/>
  <c r="A3175" i="2"/>
  <c r="A3176" i="2"/>
  <c r="A3177" i="2"/>
  <c r="A3178" i="2"/>
  <c r="A3179" i="2"/>
  <c r="A3180" i="2"/>
  <c r="A3181" i="2"/>
  <c r="A3182" i="2"/>
  <c r="A3183" i="2"/>
  <c r="A3184" i="2"/>
  <c r="A3185" i="2"/>
  <c r="A3186" i="2"/>
  <c r="A3187" i="2"/>
  <c r="A3188" i="2"/>
  <c r="A3189" i="2"/>
  <c r="A3190" i="2"/>
  <c r="A3191" i="2"/>
  <c r="A3192" i="2"/>
  <c r="A3193" i="2"/>
  <c r="A3194" i="2"/>
  <c r="A3195" i="2"/>
  <c r="A3196" i="2"/>
  <c r="A3197" i="2"/>
  <c r="A3198" i="2"/>
  <c r="A3199" i="2"/>
  <c r="A3200" i="2"/>
  <c r="A3201" i="2"/>
  <c r="A3202" i="2"/>
  <c r="A3203" i="2"/>
  <c r="A3204" i="2"/>
  <c r="A3205" i="2"/>
  <c r="A3206" i="2"/>
  <c r="A3207" i="2"/>
  <c r="A3208" i="2"/>
  <c r="A3209" i="2"/>
  <c r="A3210" i="2"/>
  <c r="A3211" i="2"/>
  <c r="A3212" i="2"/>
  <c r="A3213" i="2"/>
  <c r="A3214" i="2"/>
  <c r="A3215" i="2"/>
  <c r="A3216" i="2"/>
  <c r="A3217" i="2"/>
  <c r="A3218" i="2"/>
  <c r="A3219" i="2"/>
  <c r="A3220" i="2"/>
  <c r="A3221" i="2"/>
  <c r="A3222" i="2"/>
  <c r="A3223" i="2"/>
  <c r="A3224" i="2"/>
  <c r="A2" i="2"/>
  <c r="D3202" i="2" l="1"/>
  <c r="D3191" i="2"/>
  <c r="D3184" i="2"/>
  <c r="D3183" i="2"/>
  <c r="D3156" i="2"/>
  <c r="D2700" i="2"/>
  <c r="D2527" i="2"/>
  <c r="D2460" i="2"/>
  <c r="D2455" i="2"/>
  <c r="D2431" i="2"/>
  <c r="D2423" i="2"/>
  <c r="D2411" i="2"/>
  <c r="D2399" i="2"/>
  <c r="D2371" i="2"/>
  <c r="D2319" i="2"/>
  <c r="D2187" i="2"/>
  <c r="D2173" i="2"/>
  <c r="D2107" i="2"/>
  <c r="D2099" i="2"/>
  <c r="D2091" i="2"/>
  <c r="D1851" i="2"/>
  <c r="D1839" i="2"/>
  <c r="D1748" i="2"/>
  <c r="D1587" i="2"/>
  <c r="D1529" i="2"/>
  <c r="D1451" i="2"/>
  <c r="D1419" i="2"/>
  <c r="D1355" i="2"/>
  <c r="D1311" i="2"/>
  <c r="D1281" i="2"/>
  <c r="D1263" i="2"/>
  <c r="D1205" i="2"/>
  <c r="D1133" i="2"/>
  <c r="D1089" i="2"/>
  <c r="D957" i="2"/>
  <c r="D949" i="2"/>
  <c r="D909" i="2"/>
  <c r="D887" i="2"/>
  <c r="D885" i="2"/>
  <c r="D845" i="2"/>
  <c r="D841" i="2"/>
  <c r="D567" i="2"/>
  <c r="D235" i="2"/>
  <c r="D213" i="2"/>
  <c r="D204" i="2"/>
  <c r="D146" i="2"/>
  <c r="D134" i="2"/>
  <c r="D88" i="2"/>
  <c r="D76" i="2"/>
  <c r="D73" i="2"/>
  <c r="D61" i="2"/>
  <c r="D57" i="2"/>
  <c r="D4" i="2"/>
  <c r="D3224" i="2"/>
  <c r="D3219" i="2"/>
  <c r="D3216" i="2"/>
  <c r="D3215" i="2"/>
  <c r="D3213" i="2"/>
  <c r="D3212" i="2"/>
  <c r="D3209" i="2"/>
  <c r="D3208" i="2"/>
  <c r="D3207" i="2"/>
  <c r="D3206" i="2"/>
  <c r="D3204" i="2"/>
  <c r="D3200" i="2"/>
  <c r="D3197" i="2"/>
  <c r="D3196" i="2"/>
  <c r="D3195" i="2"/>
  <c r="D3192" i="2"/>
  <c r="D3189" i="2"/>
  <c r="D3188" i="2"/>
  <c r="D3185" i="2"/>
  <c r="D3182" i="2"/>
  <c r="D3179" i="2"/>
  <c r="D3178" i="2"/>
  <c r="D3175" i="2"/>
  <c r="D3172" i="2"/>
  <c r="D3168" i="2"/>
  <c r="D3142" i="2"/>
  <c r="D3140" i="2"/>
  <c r="D3124" i="2"/>
  <c r="D3038" i="2"/>
  <c r="D3018" i="2"/>
  <c r="D3017" i="2"/>
  <c r="D2830" i="2"/>
  <c r="D2809" i="2"/>
  <c r="D2774" i="2"/>
  <c r="D2744" i="2"/>
  <c r="D2716" i="2"/>
  <c r="D2708" i="2"/>
  <c r="D2672" i="2"/>
  <c r="D2540" i="2"/>
  <c r="D2539" i="2"/>
  <c r="D2530" i="2"/>
  <c r="D2528" i="2"/>
  <c r="D2524" i="2"/>
  <c r="D2517" i="2"/>
  <c r="D2492" i="2"/>
  <c r="D2490" i="2"/>
  <c r="D2487" i="2"/>
  <c r="D2471" i="2"/>
  <c r="D2459" i="2"/>
  <c r="D2443" i="2"/>
  <c r="D2440" i="2"/>
  <c r="D2428" i="2"/>
  <c r="D2422" i="2"/>
  <c r="D2400" i="2"/>
  <c r="D2348" i="2"/>
  <c r="D2336" i="2"/>
  <c r="D2332" i="2"/>
  <c r="D2317" i="2"/>
  <c r="D2302" i="2"/>
  <c r="D2225" i="2"/>
  <c r="D2215" i="2"/>
  <c r="D2203" i="2"/>
  <c r="D2201" i="2"/>
  <c r="D2199" i="2"/>
  <c r="D2174" i="2"/>
  <c r="D2172" i="2"/>
  <c r="D2165" i="2"/>
  <c r="D2164" i="2"/>
  <c r="D2163" i="2"/>
  <c r="D2155" i="2"/>
  <c r="D2144" i="2"/>
  <c r="D2140" i="2"/>
  <c r="D2098" i="2"/>
  <c r="D2018" i="2"/>
  <c r="D2016" i="2"/>
  <c r="D2004" i="2"/>
  <c r="D1992" i="2"/>
  <c r="D1972" i="2"/>
  <c r="D1961" i="2"/>
  <c r="D1946" i="2"/>
  <c r="D1942" i="2"/>
  <c r="D1940" i="2"/>
  <c r="D1936" i="2"/>
  <c r="D1929" i="2"/>
  <c r="D1866" i="2"/>
  <c r="D1848" i="2"/>
  <c r="D1844" i="2"/>
  <c r="D1836" i="2"/>
  <c r="D1832" i="2"/>
  <c r="D1812" i="2"/>
  <c r="D1751" i="2"/>
  <c r="D1738" i="2"/>
  <c r="D1730" i="2"/>
  <c r="D1718" i="2"/>
  <c r="D1684" i="2"/>
  <c r="D1652" i="2"/>
  <c r="D1631" i="2"/>
  <c r="D1623" i="2"/>
  <c r="D1615" i="2"/>
  <c r="D1610" i="2"/>
  <c r="D1608" i="2"/>
  <c r="D1583" i="2"/>
  <c r="D1562" i="2"/>
  <c r="D1561" i="2"/>
  <c r="D1553" i="2"/>
  <c r="D1542" i="2"/>
  <c r="D1506" i="2"/>
  <c r="D1477" i="2"/>
  <c r="D1473" i="2"/>
  <c r="D1418" i="2"/>
  <c r="D1411" i="2"/>
  <c r="D1408" i="2"/>
  <c r="D1402" i="2"/>
  <c r="D1396" i="2"/>
  <c r="D1391" i="2"/>
  <c r="D1384" i="2"/>
  <c r="D1368" i="2"/>
  <c r="D1308" i="2"/>
  <c r="D1273" i="2"/>
  <c r="D1269" i="2"/>
  <c r="D1259" i="2"/>
  <c r="D1246" i="2"/>
  <c r="D1199" i="2"/>
  <c r="D1191" i="2"/>
  <c r="D1175" i="2"/>
  <c r="D1141" i="2"/>
  <c r="D1131" i="2"/>
  <c r="D1125" i="2"/>
  <c r="D1048" i="2"/>
  <c r="D1024" i="2"/>
  <c r="D1009" i="2"/>
  <c r="D977" i="2"/>
  <c r="D973" i="2"/>
  <c r="D971" i="2"/>
  <c r="D963" i="2"/>
  <c r="D951" i="2"/>
  <c r="D945" i="2"/>
  <c r="D940" i="2"/>
  <c r="D937" i="2"/>
  <c r="D933" i="2"/>
  <c r="D930" i="2"/>
  <c r="D907" i="2"/>
  <c r="D901" i="2"/>
  <c r="D900" i="2"/>
  <c r="D897" i="2"/>
  <c r="D893" i="2"/>
  <c r="D892" i="2"/>
  <c r="D881" i="2"/>
  <c r="D879" i="2"/>
  <c r="D877" i="2"/>
  <c r="D861" i="2"/>
  <c r="D857" i="2"/>
  <c r="D853" i="2"/>
  <c r="D852" i="2"/>
  <c r="D849" i="2"/>
  <c r="D848" i="2"/>
  <c r="D799" i="2"/>
  <c r="D786" i="2"/>
  <c r="D739" i="2"/>
  <c r="D736" i="2"/>
  <c r="D667" i="2"/>
  <c r="D639" i="2"/>
  <c r="D602" i="2"/>
  <c r="D583" i="2"/>
  <c r="D579" i="2"/>
  <c r="D501" i="2"/>
  <c r="D500" i="2"/>
  <c r="D476" i="2"/>
  <c r="D466" i="2"/>
  <c r="D426" i="2"/>
  <c r="D415" i="2"/>
  <c r="D400" i="2"/>
  <c r="D386" i="2"/>
  <c r="D385" i="2"/>
  <c r="D381" i="2"/>
  <c r="D380" i="2"/>
  <c r="D379" i="2"/>
  <c r="D377" i="2"/>
  <c r="D367" i="2"/>
  <c r="D363" i="2"/>
  <c r="D327" i="2"/>
  <c r="D315" i="2"/>
  <c r="D311" i="2"/>
  <c r="D306" i="2"/>
  <c r="D300" i="2"/>
  <c r="D295" i="2"/>
  <c r="D291" i="2"/>
  <c r="D290" i="2"/>
  <c r="D272" i="2"/>
  <c r="D250" i="2"/>
  <c r="D199" i="2"/>
  <c r="D198" i="2"/>
  <c r="D194" i="2"/>
  <c r="D168" i="2"/>
  <c r="D164" i="2"/>
  <c r="D153" i="2"/>
  <c r="D148" i="2"/>
  <c r="D141" i="2"/>
  <c r="D138" i="2"/>
  <c r="D137" i="2"/>
  <c r="D128" i="2"/>
  <c r="D127" i="2"/>
  <c r="D124" i="2"/>
  <c r="D123" i="2"/>
  <c r="D120" i="2"/>
  <c r="D108" i="2"/>
  <c r="D99" i="2"/>
  <c r="D96" i="2"/>
  <c r="D95" i="2"/>
  <c r="D92" i="2"/>
  <c r="D82" i="2"/>
  <c r="D51" i="2"/>
  <c r="D34" i="2"/>
  <c r="D32" i="2"/>
  <c r="D30" i="2"/>
  <c r="D18" i="2"/>
  <c r="D16" i="2"/>
  <c r="D5" i="2"/>
  <c r="D3167" i="2"/>
  <c r="D3163" i="2"/>
  <c r="D3159" i="2"/>
  <c r="D3155" i="2"/>
  <c r="D3154" i="2"/>
  <c r="D3152" i="2"/>
  <c r="D3148" i="2"/>
  <c r="D3138" i="2"/>
  <c r="D3130" i="2"/>
  <c r="D3114" i="2"/>
  <c r="D3100" i="2"/>
  <c r="D3096" i="2"/>
  <c r="D3095" i="2"/>
  <c r="D3093" i="2"/>
  <c r="D3090" i="2"/>
  <c r="D3083" i="2"/>
  <c r="D3079" i="2"/>
  <c r="D3069" i="2"/>
  <c r="D3068" i="2"/>
  <c r="D3060" i="2"/>
  <c r="D3055" i="2"/>
  <c r="D3049" i="2"/>
  <c r="D3048" i="2"/>
  <c r="D3036" i="2"/>
  <c r="D3034" i="2"/>
  <c r="D3031" i="2"/>
  <c r="D3019" i="2"/>
  <c r="D3016" i="2"/>
  <c r="D3015" i="2"/>
  <c r="D3010" i="2"/>
  <c r="D3004" i="2"/>
  <c r="D3000" i="2"/>
  <c r="D2985" i="2"/>
  <c r="D2980" i="2"/>
  <c r="D2972" i="2"/>
  <c r="D2939" i="2"/>
  <c r="D2938" i="2"/>
  <c r="D2936" i="2"/>
  <c r="D2935" i="2"/>
  <c r="D2931" i="2"/>
  <c r="D2906" i="2"/>
  <c r="D2900" i="2"/>
  <c r="D2878" i="2"/>
  <c r="D2871" i="2"/>
  <c r="D2865" i="2"/>
  <c r="D2846" i="2"/>
  <c r="D2824" i="2"/>
  <c r="D2823" i="2"/>
  <c r="D2816" i="2"/>
  <c r="D2805" i="2"/>
  <c r="D2802" i="2"/>
  <c r="D2788" i="2"/>
  <c r="D2767" i="2"/>
  <c r="D2766" i="2"/>
  <c r="D2765" i="2"/>
  <c r="D2763" i="2"/>
  <c r="D2746" i="2"/>
  <c r="D2735" i="2"/>
  <c r="D2726" i="2"/>
  <c r="D2720" i="2"/>
  <c r="D2710" i="2"/>
  <c r="D2702" i="2"/>
  <c r="D2675" i="2"/>
  <c r="D2632" i="2"/>
  <c r="D2630" i="2"/>
  <c r="D2620" i="2"/>
  <c r="D2609" i="2"/>
  <c r="D2597" i="2"/>
  <c r="D2588" i="2"/>
  <c r="D2584" i="2"/>
  <c r="D2583" i="2"/>
  <c r="D2581" i="2"/>
  <c r="D2567" i="2"/>
  <c r="D2561" i="2"/>
  <c r="D2560" i="2"/>
  <c r="D2552" i="2"/>
  <c r="D2547" i="2"/>
  <c r="D2545" i="2"/>
  <c r="D2544" i="2"/>
  <c r="D2543" i="2"/>
  <c r="D2542" i="2"/>
  <c r="D2541" i="2"/>
  <c r="D2538" i="2"/>
  <c r="D2537" i="2"/>
  <c r="D2536" i="2"/>
  <c r="D2535" i="2"/>
  <c r="D2534" i="2"/>
  <c r="D2532" i="2"/>
  <c r="D2531" i="2"/>
  <c r="D2529" i="2"/>
  <c r="D2525" i="2"/>
  <c r="D2523" i="2"/>
  <c r="D2521" i="2"/>
  <c r="D2516" i="2"/>
  <c r="D2515" i="2"/>
  <c r="D2514" i="2"/>
  <c r="D2513" i="2"/>
  <c r="D2510" i="2"/>
  <c r="D2491" i="2"/>
  <c r="D2486" i="2"/>
  <c r="D2472" i="2"/>
  <c r="D2468" i="2"/>
  <c r="D2466" i="2"/>
  <c r="D2465" i="2"/>
  <c r="D2464" i="2"/>
  <c r="D2445" i="2"/>
  <c r="D2442" i="2"/>
  <c r="D2439" i="2"/>
  <c r="D2427" i="2"/>
  <c r="D2424" i="2"/>
  <c r="D2419" i="2"/>
  <c r="D2418" i="2"/>
  <c r="D2412" i="2"/>
  <c r="D2408" i="2"/>
  <c r="D2407" i="2"/>
  <c r="D2395" i="2"/>
  <c r="D2391" i="2"/>
  <c r="D2385" i="2"/>
  <c r="D2380" i="2"/>
  <c r="D2347" i="2"/>
  <c r="D2346" i="2"/>
  <c r="D2334" i="2"/>
  <c r="D2296" i="2"/>
  <c r="D2290" i="2"/>
  <c r="D2283" i="2"/>
  <c r="D2272" i="2"/>
  <c r="D2265" i="2"/>
  <c r="D2263" i="2"/>
  <c r="D2246" i="2"/>
  <c r="D2242" i="2"/>
  <c r="D2231" i="2"/>
  <c r="D2222" i="2"/>
  <c r="D2221" i="2"/>
  <c r="D2202" i="2"/>
  <c r="D2200" i="2"/>
  <c r="D2198" i="2"/>
  <c r="D2196" i="2"/>
  <c r="D2194" i="2"/>
  <c r="D2191" i="2"/>
  <c r="D2176" i="2"/>
  <c r="D2175" i="2"/>
  <c r="D2171" i="2"/>
  <c r="D2170" i="2"/>
  <c r="D2169" i="2"/>
  <c r="D2159" i="2"/>
  <c r="D2153" i="2"/>
  <c r="D2148" i="2"/>
  <c r="D2131" i="2"/>
  <c r="D2092" i="2"/>
  <c r="D2080" i="2"/>
  <c r="D2060" i="2"/>
  <c r="D2048" i="2"/>
  <c r="D2023" i="2"/>
  <c r="D2019" i="2"/>
  <c r="D2012" i="2"/>
  <c r="D2006" i="2"/>
  <c r="D2005" i="2"/>
  <c r="D1976" i="2"/>
  <c r="D1974" i="2"/>
  <c r="D1971" i="2"/>
  <c r="D1970" i="2"/>
  <c r="D1968" i="2"/>
  <c r="D1966" i="2"/>
  <c r="D1965" i="2"/>
  <c r="D1964" i="2"/>
  <c r="D1959" i="2"/>
  <c r="D1956" i="2"/>
  <c r="D1954" i="2"/>
  <c r="D1952" i="2"/>
  <c r="D1949" i="2"/>
  <c r="D1947" i="2"/>
  <c r="D1944" i="2"/>
  <c r="D1943" i="2"/>
  <c r="D1941" i="2"/>
  <c r="D1939" i="2"/>
  <c r="D1937" i="2"/>
  <c r="D1935" i="2"/>
  <c r="D1934" i="2"/>
  <c r="D1932" i="2"/>
  <c r="D1931" i="2"/>
  <c r="D1930" i="2"/>
  <c r="D1924" i="2"/>
  <c r="D1901" i="2"/>
  <c r="D1897" i="2"/>
  <c r="D1863" i="2"/>
  <c r="D1862" i="2"/>
  <c r="D1854" i="2"/>
  <c r="D1852" i="2"/>
  <c r="D1850" i="2"/>
  <c r="D1847" i="2"/>
  <c r="D1834" i="2"/>
  <c r="D1831" i="2"/>
  <c r="D1825" i="2"/>
  <c r="D1824" i="2"/>
  <c r="D1817" i="2"/>
  <c r="D1813" i="2"/>
  <c r="D1807" i="2"/>
  <c r="D1784" i="2"/>
  <c r="D1775" i="2"/>
  <c r="D1771" i="2"/>
  <c r="D1755" i="2"/>
  <c r="D1747" i="2"/>
  <c r="D1746" i="2"/>
  <c r="D1745" i="2"/>
  <c r="D1744" i="2"/>
  <c r="D1740" i="2"/>
  <c r="D1733" i="2"/>
  <c r="D1708" i="2"/>
  <c r="D1696" i="2"/>
  <c r="D1688" i="2"/>
  <c r="D1668" i="2"/>
  <c r="D1651" i="2"/>
  <c r="D1640" i="2"/>
  <c r="D1638" i="2"/>
  <c r="D1635" i="2"/>
  <c r="D1624" i="2"/>
  <c r="D1621" i="2"/>
  <c r="D1616" i="2"/>
  <c r="D1612" i="2"/>
  <c r="D1611" i="2"/>
  <c r="D1609" i="2"/>
  <c r="D1607" i="2"/>
  <c r="D1606" i="2"/>
  <c r="D1602" i="2"/>
  <c r="D1596" i="2"/>
  <c r="D1590" i="2"/>
  <c r="D1582" i="2"/>
  <c r="D1580" i="2"/>
  <c r="D1576" i="2"/>
  <c r="D1570" i="2"/>
  <c r="D1563" i="2"/>
  <c r="D1552" i="2"/>
  <c r="D1543" i="2"/>
  <c r="D1540" i="2"/>
  <c r="D1539" i="2"/>
  <c r="D1536" i="2"/>
  <c r="D1533" i="2"/>
  <c r="D1528" i="2"/>
  <c r="D1527" i="2"/>
  <c r="D1524" i="2"/>
  <c r="D1523" i="2"/>
  <c r="D1513" i="2"/>
  <c r="D1504" i="2"/>
  <c r="D1499" i="2"/>
  <c r="D1478" i="2"/>
  <c r="D1470" i="2"/>
  <c r="D1461" i="2"/>
  <c r="D1460" i="2"/>
  <c r="D1446" i="2"/>
  <c r="D1443" i="2"/>
  <c r="D1435" i="2"/>
  <c r="D1434" i="2"/>
  <c r="D1432" i="2"/>
  <c r="D1430" i="2"/>
  <c r="D1429" i="2"/>
  <c r="D1428" i="2"/>
  <c r="D1425" i="2"/>
  <c r="D1422" i="2"/>
  <c r="D1415" i="2"/>
  <c r="D1414" i="2"/>
  <c r="D1413" i="2"/>
  <c r="D1412" i="2"/>
  <c r="D1404" i="2"/>
  <c r="D1403" i="2"/>
  <c r="D1363" i="2"/>
  <c r="D1357" i="2"/>
  <c r="D1356" i="2"/>
  <c r="D1315" i="2"/>
  <c r="D1294" i="2"/>
  <c r="D1288" i="2"/>
  <c r="D1286" i="2"/>
  <c r="D1283" i="2"/>
  <c r="D1280" i="2"/>
  <c r="D1266" i="2"/>
  <c r="D1260" i="2"/>
  <c r="D1254" i="2"/>
  <c r="D1250" i="2"/>
  <c r="D1248" i="2"/>
  <c r="D1219" i="2"/>
  <c r="D1213" i="2"/>
  <c r="D1182" i="2"/>
  <c r="D1170" i="2"/>
  <c r="D1162" i="2"/>
  <c r="D1160" i="2"/>
  <c r="D1154" i="2"/>
  <c r="D1134" i="2"/>
  <c r="D1128" i="2"/>
  <c r="D1110" i="2"/>
  <c r="D1104" i="2"/>
  <c r="D1102" i="2"/>
  <c r="D1086" i="2"/>
  <c r="D1079" i="2"/>
  <c r="D1078" i="2"/>
  <c r="D1072" i="2"/>
  <c r="D1054" i="2"/>
  <c r="D1047" i="2"/>
  <c r="D1023" i="2"/>
  <c r="D1021" i="2"/>
  <c r="D1004" i="2"/>
  <c r="D976" i="2"/>
  <c r="D975" i="2"/>
  <c r="D974" i="2"/>
  <c r="D970" i="2"/>
  <c r="D969" i="2"/>
  <c r="D968" i="2"/>
  <c r="D967" i="2"/>
  <c r="D965" i="2"/>
  <c r="D962" i="2"/>
  <c r="D961" i="2"/>
  <c r="D960" i="2"/>
  <c r="D959" i="2"/>
  <c r="D956" i="2"/>
  <c r="D955" i="2"/>
  <c r="D954" i="2"/>
  <c r="D950" i="2"/>
  <c r="D946" i="2"/>
  <c r="D944" i="2"/>
  <c r="D943" i="2"/>
  <c r="D939" i="2"/>
  <c r="D936" i="2"/>
  <c r="D935" i="2"/>
  <c r="D934" i="2"/>
  <c r="D932" i="2"/>
  <c r="D931" i="2"/>
  <c r="D929" i="2"/>
  <c r="D927" i="2"/>
  <c r="D923" i="2"/>
  <c r="D920" i="2"/>
  <c r="D919" i="2"/>
  <c r="D918" i="2"/>
  <c r="D916" i="2"/>
  <c r="D914" i="2"/>
  <c r="D912" i="2"/>
  <c r="D911" i="2"/>
  <c r="D910" i="2"/>
  <c r="D908" i="2"/>
  <c r="D906" i="2"/>
  <c r="D898" i="2"/>
  <c r="D896" i="2"/>
  <c r="D894" i="2"/>
  <c r="D891" i="2"/>
  <c r="D890" i="2"/>
  <c r="D886" i="2"/>
  <c r="D884" i="2"/>
  <c r="D883" i="2"/>
  <c r="D882" i="2"/>
  <c r="D876" i="2"/>
  <c r="D874" i="2"/>
  <c r="D873" i="2"/>
  <c r="D872" i="2"/>
  <c r="D869" i="2"/>
  <c r="D868" i="2"/>
  <c r="D867" i="2"/>
  <c r="D864" i="2"/>
  <c r="D862" i="2"/>
  <c r="D859" i="2"/>
  <c r="D858" i="2"/>
  <c r="D856" i="2"/>
  <c r="D855" i="2"/>
  <c r="D850" i="2"/>
  <c r="D847" i="2"/>
  <c r="D844" i="2"/>
  <c r="D843" i="2"/>
  <c r="D842" i="2"/>
  <c r="D840" i="2"/>
  <c r="D839" i="2"/>
  <c r="D836" i="2"/>
  <c r="D835" i="2"/>
  <c r="D823" i="2"/>
  <c r="D810" i="2"/>
  <c r="D808" i="2"/>
  <c r="D798" i="2"/>
  <c r="D795" i="2"/>
  <c r="D792" i="2"/>
  <c r="D770" i="2"/>
  <c r="D750" i="2"/>
  <c r="D744" i="2"/>
  <c r="D743" i="2"/>
  <c r="D731" i="2"/>
  <c r="D729" i="2"/>
  <c r="D722" i="2"/>
  <c r="D720" i="2"/>
  <c r="D699" i="2"/>
  <c r="D698" i="2"/>
  <c r="D695" i="2"/>
  <c r="D691" i="2"/>
  <c r="D688" i="2"/>
  <c r="D686" i="2"/>
  <c r="D678" i="2"/>
  <c r="D664" i="2"/>
  <c r="D660" i="2"/>
  <c r="D604" i="2"/>
  <c r="D580" i="2"/>
  <c r="D570" i="2"/>
  <c r="D566" i="2"/>
  <c r="D560" i="2"/>
  <c r="D556" i="2"/>
  <c r="D547" i="2"/>
  <c r="D546" i="2"/>
  <c r="D543" i="2"/>
  <c r="D539" i="2"/>
  <c r="D538" i="2"/>
  <c r="D526" i="2"/>
  <c r="D524" i="2"/>
  <c r="D523" i="2"/>
  <c r="D519" i="2"/>
  <c r="D518" i="2"/>
  <c r="D516" i="2"/>
  <c r="D512" i="2"/>
  <c r="D507" i="2"/>
  <c r="D504" i="2"/>
  <c r="D498" i="2"/>
  <c r="D490" i="2"/>
  <c r="D485" i="2"/>
  <c r="D481" i="2"/>
  <c r="D478" i="2"/>
  <c r="D477" i="2"/>
  <c r="D449" i="2"/>
  <c r="D445" i="2"/>
  <c r="D444" i="2"/>
  <c r="D443" i="2"/>
  <c r="D434" i="2"/>
  <c r="D429" i="2"/>
  <c r="D428" i="2"/>
  <c r="D427" i="2"/>
  <c r="D425" i="2"/>
  <c r="D423" i="2"/>
  <c r="D395" i="2"/>
  <c r="D390" i="2"/>
  <c r="D389" i="2"/>
  <c r="D383" i="2"/>
  <c r="D378" i="2"/>
  <c r="D375" i="2"/>
  <c r="D373" i="2"/>
  <c r="D364" i="2"/>
  <c r="D360" i="2"/>
  <c r="D359" i="2"/>
  <c r="D354" i="2"/>
  <c r="D353" i="2"/>
  <c r="D352" i="2"/>
  <c r="D350" i="2"/>
  <c r="D335" i="2"/>
  <c r="D334" i="2"/>
  <c r="D331" i="2"/>
  <c r="D316" i="2"/>
  <c r="D314" i="2"/>
  <c r="D312" i="2"/>
  <c r="D310" i="2"/>
  <c r="D308" i="2"/>
  <c r="D307" i="2"/>
  <c r="D299" i="2"/>
  <c r="D297" i="2"/>
  <c r="D294" i="2"/>
  <c r="D292" i="2"/>
  <c r="D276" i="2"/>
  <c r="D275" i="2"/>
  <c r="D270" i="2"/>
  <c r="D267" i="2"/>
  <c r="D259" i="2"/>
  <c r="D257" i="2"/>
  <c r="D246" i="2"/>
  <c r="D243" i="2"/>
  <c r="D242" i="2"/>
  <c r="D239" i="2"/>
  <c r="D236" i="2"/>
  <c r="D230" i="2"/>
  <c r="D227" i="2"/>
  <c r="D222" i="2"/>
  <c r="D219" i="2"/>
  <c r="D218" i="2"/>
  <c r="D216" i="2"/>
  <c r="D206" i="2"/>
  <c r="D201" i="2"/>
  <c r="D192" i="2"/>
  <c r="D191" i="2"/>
  <c r="D190" i="2"/>
  <c r="D176" i="2"/>
  <c r="D172" i="2"/>
  <c r="D171" i="2"/>
  <c r="D170" i="2"/>
  <c r="D160" i="2"/>
  <c r="D159" i="2"/>
  <c r="D152" i="2"/>
  <c r="D143" i="2"/>
  <c r="D136" i="2"/>
  <c r="D135" i="2"/>
  <c r="D132" i="2"/>
  <c r="D126" i="2"/>
  <c r="D125" i="2"/>
  <c r="D122" i="2"/>
  <c r="D121" i="2"/>
  <c r="D119" i="2"/>
  <c r="D117" i="2"/>
  <c r="D107" i="2"/>
  <c r="D105" i="2"/>
  <c r="D104" i="2"/>
  <c r="D100" i="2"/>
  <c r="D90" i="2"/>
  <c r="D89" i="2"/>
  <c r="D86" i="2"/>
  <c r="D81" i="2"/>
  <c r="D80" i="2"/>
  <c r="D79" i="2"/>
  <c r="D78" i="2"/>
  <c r="D75" i="2"/>
  <c r="D70" i="2"/>
  <c r="D68" i="2"/>
  <c r="D67" i="2"/>
  <c r="D66" i="2"/>
  <c r="D65" i="2"/>
  <c r="D64" i="2"/>
  <c r="D58" i="2"/>
  <c r="D55" i="2"/>
  <c r="D50" i="2"/>
  <c r="D42" i="2"/>
  <c r="D41" i="2"/>
  <c r="D40" i="2"/>
  <c r="D38" i="2"/>
  <c r="D36" i="2"/>
  <c r="D33" i="2"/>
  <c r="D28" i="2"/>
  <c r="D27" i="2"/>
  <c r="D22" i="2"/>
  <c r="D21" i="2"/>
  <c r="D14" i="2"/>
  <c r="D12" i="2"/>
  <c r="D10" i="2"/>
  <c r="D7" i="2"/>
  <c r="D3" i="2"/>
  <c r="D3223" i="2"/>
  <c r="D3222" i="2"/>
  <c r="D3221" i="2"/>
  <c r="D3220" i="2"/>
  <c r="D3218" i="2"/>
  <c r="D3217" i="2"/>
  <c r="D3214" i="2"/>
  <c r="D3211" i="2"/>
  <c r="D3210" i="2"/>
  <c r="D3205" i="2"/>
  <c r="D3203" i="2"/>
  <c r="D3201" i="2"/>
  <c r="D3199" i="2"/>
  <c r="D3198" i="2"/>
  <c r="D3194" i="2"/>
  <c r="D3193" i="2"/>
  <c r="D3190" i="2"/>
  <c r="D3187" i="2"/>
  <c r="D3186" i="2"/>
  <c r="D3181" i="2"/>
  <c r="D3180" i="2"/>
  <c r="D3177" i="2"/>
  <c r="D3176" i="2"/>
  <c r="D3174" i="2"/>
  <c r="D3173" i="2"/>
  <c r="D3171" i="2"/>
  <c r="D3170" i="2"/>
  <c r="D3169" i="2"/>
  <c r="D3166" i="2"/>
  <c r="D3165" i="2"/>
  <c r="D3164" i="2"/>
  <c r="D3162" i="2"/>
  <c r="D3161" i="2"/>
  <c r="D3160" i="2"/>
  <c r="D3158" i="2"/>
  <c r="D3157" i="2"/>
  <c r="D3153" i="2"/>
  <c r="D3151" i="2"/>
  <c r="D3150" i="2"/>
  <c r="D3149" i="2"/>
  <c r="D3147" i="2"/>
  <c r="D3146" i="2"/>
  <c r="D3145" i="2"/>
  <c r="D3144" i="2"/>
  <c r="D3143" i="2"/>
  <c r="D3141" i="2"/>
  <c r="D3139" i="2"/>
  <c r="D3137" i="2"/>
  <c r="D3136" i="2"/>
  <c r="D3135" i="2"/>
  <c r="D3134" i="2"/>
  <c r="D3133" i="2"/>
  <c r="D3132" i="2"/>
  <c r="D3131" i="2"/>
  <c r="D3129" i="2"/>
  <c r="D3128" i="2"/>
  <c r="D3127" i="2"/>
  <c r="D3126" i="2"/>
  <c r="D3125" i="2"/>
  <c r="D3123" i="2"/>
  <c r="D3122" i="2"/>
  <c r="D3121" i="2"/>
  <c r="D3120" i="2"/>
  <c r="D3119" i="2"/>
  <c r="D3118" i="2"/>
  <c r="D3117" i="2"/>
  <c r="D3116" i="2"/>
  <c r="D3115" i="2"/>
  <c r="D3113" i="2"/>
  <c r="D3112" i="2"/>
  <c r="D3111" i="2"/>
  <c r="D3110" i="2"/>
  <c r="D3109" i="2"/>
  <c r="D3108" i="2"/>
  <c r="D3107" i="2"/>
  <c r="D3106" i="2"/>
  <c r="D3105" i="2"/>
  <c r="D3104" i="2"/>
  <c r="D3103" i="2"/>
  <c r="D3102" i="2"/>
  <c r="D3101" i="2"/>
  <c r="D3099" i="2"/>
  <c r="D3098" i="2"/>
  <c r="D3097" i="2"/>
  <c r="D3094" i="2"/>
  <c r="D3092" i="2"/>
  <c r="D3091" i="2"/>
  <c r="D3089" i="2"/>
  <c r="D3088" i="2"/>
  <c r="D3087" i="2"/>
  <c r="D3086" i="2"/>
  <c r="D3085" i="2"/>
  <c r="D3084" i="2"/>
  <c r="D3082" i="2"/>
  <c r="D3081" i="2"/>
  <c r="D3080" i="2"/>
  <c r="D3078" i="2"/>
  <c r="D3077" i="2"/>
  <c r="D3076" i="2"/>
  <c r="D3075" i="2"/>
  <c r="D3074" i="2"/>
  <c r="D3073" i="2"/>
  <c r="D3072" i="2"/>
  <c r="D3071" i="2"/>
  <c r="D3070" i="2"/>
  <c r="D3067" i="2"/>
  <c r="D3066" i="2"/>
  <c r="D3065" i="2"/>
  <c r="D3064" i="2"/>
  <c r="D3063" i="2"/>
  <c r="D3062" i="2"/>
  <c r="D3061" i="2"/>
  <c r="D3059" i="2"/>
  <c r="D3058" i="2"/>
  <c r="D3057" i="2"/>
  <c r="D3056" i="2"/>
  <c r="D3054" i="2"/>
  <c r="D3053" i="2"/>
  <c r="D3052" i="2"/>
  <c r="D3051" i="2"/>
  <c r="D3047" i="2"/>
  <c r="D3046" i="2"/>
  <c r="D3045" i="2"/>
  <c r="D3044" i="2"/>
  <c r="D3043" i="2"/>
  <c r="D3042" i="2"/>
  <c r="D3041" i="2"/>
  <c r="D3040" i="2"/>
  <c r="D3039" i="2"/>
  <c r="D3037" i="2"/>
  <c r="D3035" i="2"/>
  <c r="D3033" i="2"/>
  <c r="D3032" i="2"/>
  <c r="D3030" i="2"/>
  <c r="D3029" i="2"/>
  <c r="D3028" i="2"/>
  <c r="D3027" i="2"/>
  <c r="D3026" i="2"/>
  <c r="D3025" i="2"/>
  <c r="D3024" i="2"/>
  <c r="D3023" i="2"/>
  <c r="D3022" i="2"/>
  <c r="D3021" i="2"/>
  <c r="D3020" i="2"/>
  <c r="D3014" i="2"/>
  <c r="D3013" i="2"/>
  <c r="D3012" i="2"/>
  <c r="D3011" i="2"/>
  <c r="D3009" i="2"/>
  <c r="D3008" i="2"/>
  <c r="D3007" i="2"/>
  <c r="D3006" i="2"/>
  <c r="D3005" i="2"/>
  <c r="D3003" i="2"/>
  <c r="D3002" i="2"/>
  <c r="D3001" i="2"/>
  <c r="D2999" i="2"/>
  <c r="D2998" i="2"/>
  <c r="D2997" i="2"/>
  <c r="D2996" i="2"/>
  <c r="D2995" i="2"/>
  <c r="D2994" i="2"/>
  <c r="D2993" i="2"/>
  <c r="D2992" i="2"/>
  <c r="D2991" i="2"/>
  <c r="D2990" i="2"/>
  <c r="D2989" i="2"/>
  <c r="D2988" i="2"/>
  <c r="D2987" i="2"/>
  <c r="D2986" i="2"/>
  <c r="D2984" i="2"/>
  <c r="D2983" i="2"/>
  <c r="D2982" i="2"/>
  <c r="D2981" i="2"/>
  <c r="D2979" i="2"/>
  <c r="D2978" i="2"/>
  <c r="D2977" i="2"/>
  <c r="D2976" i="2"/>
  <c r="D2975" i="2"/>
  <c r="D2974" i="2"/>
  <c r="D2973" i="2"/>
  <c r="D2971" i="2"/>
  <c r="D2970" i="2"/>
  <c r="D2969" i="2"/>
  <c r="D2968" i="2"/>
  <c r="D2967" i="2"/>
  <c r="D2966" i="2"/>
  <c r="D2965" i="2"/>
  <c r="D2964" i="2"/>
  <c r="D2963" i="2"/>
  <c r="D2962" i="2"/>
  <c r="D2961" i="2"/>
  <c r="D2960" i="2"/>
  <c r="D2959" i="2"/>
  <c r="D2958" i="2"/>
  <c r="D2957" i="2"/>
  <c r="D2956" i="2"/>
  <c r="D2955" i="2"/>
  <c r="D2954" i="2"/>
  <c r="D2953" i="2"/>
  <c r="D2952" i="2"/>
  <c r="D2951" i="2"/>
  <c r="D2950" i="2"/>
  <c r="D2949" i="2"/>
  <c r="D2948" i="2"/>
  <c r="D2947" i="2"/>
  <c r="D2946" i="2"/>
  <c r="D2945" i="2"/>
  <c r="D2944" i="2"/>
  <c r="D2943" i="2"/>
  <c r="D2942" i="2"/>
  <c r="D2941" i="2"/>
  <c r="D2940" i="2"/>
  <c r="D2937" i="2"/>
  <c r="D2934" i="2"/>
  <c r="D2933" i="2"/>
  <c r="D2932" i="2"/>
  <c r="D2930" i="2"/>
  <c r="D2929" i="2"/>
  <c r="D2928" i="2"/>
  <c r="D2927" i="2"/>
  <c r="D2926" i="2"/>
  <c r="D2925" i="2"/>
  <c r="D2924" i="2"/>
  <c r="D2923" i="2"/>
  <c r="D2922" i="2"/>
  <c r="D2921" i="2"/>
  <c r="D2920" i="2"/>
  <c r="D2919" i="2"/>
  <c r="D2918" i="2"/>
  <c r="D2917" i="2"/>
  <c r="D2916" i="2"/>
  <c r="D2915" i="2"/>
  <c r="D2914" i="2"/>
  <c r="D2913" i="2"/>
  <c r="D2912" i="2"/>
  <c r="D2911" i="2"/>
  <c r="D2910" i="2"/>
  <c r="D2909" i="2"/>
  <c r="D2908" i="2"/>
  <c r="D2907" i="2"/>
  <c r="D2905" i="2"/>
  <c r="D2904" i="2"/>
  <c r="D2903" i="2"/>
  <c r="D2902" i="2"/>
  <c r="D2901" i="2"/>
  <c r="D2899" i="2"/>
  <c r="D2898" i="2"/>
  <c r="D2897" i="2"/>
  <c r="D2896" i="2"/>
  <c r="D2895" i="2"/>
  <c r="D2894" i="2"/>
  <c r="D2893" i="2"/>
  <c r="D2892" i="2"/>
  <c r="D2891" i="2"/>
  <c r="D2890" i="2"/>
  <c r="D2889" i="2"/>
  <c r="D2888" i="2"/>
  <c r="D2887" i="2"/>
  <c r="D2886" i="2"/>
  <c r="D2885" i="2"/>
  <c r="D2884" i="2"/>
  <c r="D2883" i="2"/>
  <c r="D2882" i="2"/>
  <c r="D2881" i="2"/>
  <c r="D2880" i="2"/>
  <c r="D2879" i="2"/>
  <c r="D2877" i="2"/>
  <c r="D2876" i="2"/>
  <c r="D2875" i="2"/>
  <c r="D2874" i="2"/>
  <c r="D2873" i="2"/>
  <c r="D2872" i="2"/>
  <c r="D2870" i="2"/>
  <c r="D2869" i="2"/>
  <c r="D2868" i="2"/>
  <c r="D2867" i="2"/>
  <c r="D2866" i="2"/>
  <c r="D2864" i="2"/>
  <c r="D2863" i="2"/>
  <c r="D2862" i="2"/>
  <c r="D2861" i="2"/>
  <c r="D2860" i="2"/>
  <c r="D2859" i="2"/>
  <c r="D2858" i="2"/>
  <c r="D2857" i="2"/>
  <c r="D2856" i="2"/>
  <c r="D2855" i="2"/>
  <c r="D2854" i="2"/>
  <c r="D2853" i="2"/>
  <c r="D2852" i="2"/>
  <c r="D2851" i="2"/>
  <c r="D2850" i="2"/>
  <c r="D2849" i="2"/>
  <c r="D2848" i="2"/>
  <c r="D2847" i="2"/>
  <c r="D2845" i="2"/>
  <c r="D2844" i="2"/>
  <c r="D2843" i="2"/>
  <c r="D2842" i="2"/>
  <c r="D2841" i="2"/>
  <c r="D2840" i="2"/>
  <c r="D2839" i="2"/>
  <c r="D2838" i="2"/>
  <c r="D2837" i="2"/>
  <c r="D2836" i="2"/>
  <c r="D2835" i="2"/>
  <c r="D2834" i="2"/>
  <c r="D2833" i="2"/>
  <c r="D2832" i="2"/>
  <c r="D2831" i="2"/>
  <c r="D2829" i="2"/>
  <c r="D2828" i="2"/>
  <c r="D2827" i="2"/>
  <c r="D2826" i="2"/>
  <c r="D2825" i="2"/>
  <c r="D2822" i="2"/>
  <c r="D2821" i="2"/>
  <c r="D2820" i="2"/>
  <c r="D2819" i="2"/>
  <c r="D2818" i="2"/>
  <c r="D2817" i="2"/>
  <c r="D2815" i="2"/>
  <c r="D2814" i="2"/>
  <c r="D2813" i="2"/>
  <c r="D2812" i="2"/>
  <c r="D2811" i="2"/>
  <c r="D2810" i="2"/>
  <c r="D2808" i="2"/>
  <c r="D2807" i="2"/>
  <c r="D2806" i="2"/>
  <c r="D2804" i="2"/>
  <c r="D2803" i="2"/>
  <c r="D2801" i="2"/>
  <c r="D2800" i="2"/>
  <c r="D2799" i="2"/>
  <c r="D2798" i="2"/>
  <c r="D2797" i="2"/>
  <c r="D2796" i="2"/>
  <c r="D2795" i="2"/>
  <c r="D2794" i="2"/>
  <c r="D2793" i="2"/>
  <c r="D2792" i="2"/>
  <c r="D2791" i="2"/>
  <c r="D2790" i="2"/>
  <c r="D2789" i="2"/>
  <c r="D2787" i="2"/>
  <c r="D2786" i="2"/>
  <c r="D2785" i="2"/>
  <c r="D2784" i="2"/>
  <c r="D2783" i="2"/>
  <c r="D2782" i="2"/>
  <c r="D2781" i="2"/>
  <c r="D2780" i="2"/>
  <c r="D2779" i="2"/>
  <c r="D2778" i="2"/>
  <c r="D2777" i="2"/>
  <c r="D2776" i="2"/>
  <c r="D2775" i="2"/>
  <c r="D2773" i="2"/>
  <c r="D2772" i="2"/>
  <c r="D2771" i="2"/>
  <c r="D2770" i="2"/>
  <c r="D2769" i="2"/>
  <c r="D2768" i="2"/>
  <c r="D2764" i="2"/>
  <c r="D2762" i="2"/>
  <c r="D2761" i="2"/>
  <c r="D2760" i="2"/>
  <c r="D2759" i="2"/>
  <c r="D2758" i="2"/>
  <c r="D2757" i="2"/>
  <c r="D2756" i="2"/>
  <c r="D2755" i="2"/>
  <c r="D2754" i="2"/>
  <c r="D2753" i="2"/>
  <c r="D2752" i="2"/>
  <c r="D2751" i="2"/>
  <c r="D2750" i="2"/>
  <c r="D2749" i="2"/>
  <c r="D2748" i="2"/>
  <c r="D2747" i="2"/>
  <c r="D2745" i="2"/>
  <c r="D2743" i="2"/>
  <c r="D2742" i="2"/>
  <c r="D2741" i="2"/>
  <c r="D2740" i="2"/>
  <c r="D2739" i="2"/>
  <c r="D2738" i="2"/>
  <c r="D2737" i="2"/>
  <c r="D2736" i="2"/>
  <c r="D2734" i="2"/>
  <c r="D2733" i="2"/>
  <c r="D2732" i="2"/>
  <c r="D2731" i="2"/>
  <c r="D2730" i="2"/>
  <c r="D2729" i="2"/>
  <c r="D2728" i="2"/>
  <c r="D2727" i="2"/>
  <c r="D2725" i="2"/>
  <c r="D2724" i="2"/>
  <c r="D2723" i="2"/>
  <c r="D2722" i="2"/>
  <c r="D2721" i="2"/>
  <c r="D2719" i="2"/>
  <c r="D2718" i="2"/>
  <c r="D2717" i="2"/>
  <c r="D2715" i="2"/>
  <c r="D2714" i="2"/>
  <c r="D2713" i="2"/>
  <c r="D2712" i="2"/>
  <c r="D2711" i="2"/>
  <c r="D2709" i="2"/>
  <c r="D2707" i="2"/>
  <c r="D2706" i="2"/>
  <c r="D2705" i="2"/>
  <c r="D2704" i="2"/>
  <c r="D2703" i="2"/>
  <c r="D2701" i="2"/>
  <c r="D2699" i="2"/>
  <c r="D2698" i="2"/>
  <c r="D2697" i="2"/>
  <c r="D2696" i="2"/>
  <c r="D2695" i="2"/>
  <c r="D2694" i="2"/>
  <c r="D2693" i="2"/>
  <c r="D2692" i="2"/>
  <c r="D2691" i="2"/>
  <c r="D2690" i="2"/>
  <c r="D2689" i="2"/>
  <c r="D2688" i="2"/>
  <c r="D2687" i="2"/>
  <c r="D2686" i="2"/>
  <c r="D2685" i="2"/>
  <c r="D2684" i="2"/>
  <c r="D2683" i="2"/>
  <c r="D2682" i="2"/>
  <c r="D2681" i="2"/>
  <c r="D2680" i="2"/>
  <c r="D2679" i="2"/>
  <c r="D2678" i="2"/>
  <c r="D2677" i="2"/>
  <c r="D2676" i="2"/>
  <c r="D2674" i="2"/>
  <c r="D2673" i="2"/>
  <c r="D2671" i="2"/>
  <c r="D2670" i="2"/>
  <c r="D2669" i="2"/>
  <c r="D2668" i="2"/>
  <c r="D2667" i="2"/>
  <c r="D2666" i="2"/>
  <c r="D2665" i="2"/>
  <c r="D2664" i="2"/>
  <c r="D2663" i="2"/>
  <c r="D2662" i="2"/>
  <c r="D2661" i="2"/>
  <c r="D2660" i="2"/>
  <c r="D2659" i="2"/>
  <c r="D2658" i="2"/>
  <c r="D2657" i="2"/>
  <c r="D2656" i="2"/>
  <c r="D2655" i="2"/>
  <c r="D2654" i="2"/>
  <c r="D2653" i="2"/>
  <c r="D2652" i="2"/>
  <c r="D2651" i="2"/>
  <c r="D2650" i="2"/>
  <c r="D2649" i="2"/>
  <c r="D2648" i="2"/>
  <c r="D2647" i="2"/>
  <c r="D2646" i="2"/>
  <c r="D2645" i="2"/>
  <c r="D2644" i="2"/>
  <c r="D2643" i="2"/>
  <c r="D2642" i="2"/>
  <c r="D2641" i="2"/>
  <c r="D2640" i="2"/>
  <c r="D2639" i="2"/>
  <c r="D2638" i="2"/>
  <c r="D2637" i="2"/>
  <c r="D2636" i="2"/>
  <c r="D2635" i="2"/>
  <c r="D2634" i="2"/>
  <c r="D2633" i="2"/>
  <c r="D2631" i="2"/>
  <c r="D2629" i="2"/>
  <c r="D2628" i="2"/>
  <c r="D2627" i="2"/>
  <c r="D2626" i="2"/>
  <c r="D2625" i="2"/>
  <c r="D2624" i="2"/>
  <c r="D2623" i="2"/>
  <c r="D2622" i="2"/>
  <c r="D2621" i="2"/>
  <c r="D2619" i="2"/>
  <c r="D2618" i="2"/>
  <c r="D2617" i="2"/>
  <c r="D2616" i="2"/>
  <c r="D2615" i="2"/>
  <c r="D2614" i="2"/>
  <c r="D2613" i="2"/>
  <c r="D2612" i="2"/>
  <c r="D2611" i="2"/>
  <c r="D2610" i="2"/>
  <c r="D2608" i="2"/>
  <c r="D2607" i="2"/>
  <c r="D2606" i="2"/>
  <c r="D2605" i="2"/>
  <c r="D2604" i="2"/>
  <c r="D2603" i="2"/>
  <c r="D2602" i="2"/>
  <c r="D2601" i="2"/>
  <c r="D2600" i="2"/>
  <c r="D2599" i="2"/>
  <c r="D2598" i="2"/>
  <c r="D2596" i="2"/>
  <c r="D2595" i="2"/>
  <c r="D2594" i="2"/>
  <c r="D2593" i="2"/>
  <c r="D2592" i="2"/>
  <c r="D2591" i="2"/>
  <c r="D2590" i="2"/>
  <c r="D2589" i="2"/>
  <c r="D2587" i="2"/>
  <c r="D2586" i="2"/>
  <c r="D2585" i="2"/>
  <c r="D2582" i="2"/>
  <c r="D2580" i="2"/>
  <c r="D2579" i="2"/>
  <c r="D2578" i="2"/>
  <c r="D2577" i="2"/>
  <c r="D2576" i="2"/>
  <c r="D2575" i="2"/>
  <c r="D2574" i="2"/>
  <c r="D2573" i="2"/>
  <c r="D2572" i="2"/>
  <c r="D2571" i="2"/>
  <c r="D2570" i="2"/>
  <c r="D2569" i="2"/>
  <c r="D2568" i="2"/>
  <c r="D2566" i="2"/>
  <c r="D2565" i="2"/>
  <c r="D2564" i="2"/>
  <c r="D2563" i="2"/>
  <c r="D2562" i="2"/>
  <c r="D2559" i="2"/>
  <c r="D2558" i="2"/>
  <c r="D2557" i="2"/>
  <c r="D2556" i="2"/>
  <c r="D2555" i="2"/>
  <c r="D2554" i="2"/>
  <c r="D2553" i="2"/>
  <c r="D2551" i="2"/>
  <c r="D2550" i="2"/>
  <c r="D2549" i="2"/>
  <c r="D2548" i="2"/>
  <c r="D2546" i="2"/>
  <c r="D2533" i="2"/>
  <c r="D2526" i="2"/>
  <c r="D2522" i="2"/>
  <c r="D2520" i="2"/>
  <c r="D2519" i="2"/>
  <c r="D2518" i="2"/>
  <c r="D2512" i="2"/>
  <c r="D2511" i="2"/>
  <c r="D2509" i="2"/>
  <c r="D2508" i="2"/>
  <c r="D2507" i="2"/>
  <c r="D2506" i="2"/>
  <c r="D2505" i="2"/>
  <c r="D2504" i="2"/>
  <c r="D2503" i="2"/>
  <c r="D2502" i="2"/>
  <c r="D2501" i="2"/>
  <c r="D2500" i="2"/>
  <c r="D2499" i="2"/>
  <c r="D2498" i="2"/>
  <c r="D2497" i="2"/>
  <c r="D2496" i="2"/>
  <c r="D2495" i="2"/>
  <c r="D2494" i="2"/>
  <c r="D2493" i="2"/>
  <c r="D2489" i="2"/>
  <c r="D2488" i="2"/>
  <c r="D2485" i="2"/>
  <c r="D2484" i="2"/>
  <c r="D2483" i="2"/>
  <c r="D2482" i="2"/>
  <c r="D2481" i="2"/>
  <c r="D2480" i="2"/>
  <c r="D2479" i="2"/>
  <c r="D2478" i="2"/>
  <c r="D2477" i="2"/>
  <c r="D2476" i="2"/>
  <c r="D2475" i="2"/>
  <c r="D2474" i="2"/>
  <c r="D2473" i="2"/>
  <c r="D2470" i="2"/>
  <c r="D2469" i="2"/>
  <c r="D2467" i="2"/>
  <c r="D2463" i="2"/>
  <c r="D2462" i="2"/>
  <c r="D2461" i="2"/>
  <c r="D2458" i="2"/>
  <c r="D2457" i="2"/>
  <c r="D2456" i="2"/>
  <c r="D2454" i="2"/>
  <c r="D2453" i="2"/>
  <c r="D2452" i="2"/>
  <c r="D2451" i="2"/>
  <c r="D2450" i="2"/>
  <c r="D2449" i="2"/>
  <c r="D2448" i="2"/>
  <c r="D2447" i="2"/>
  <c r="D2446" i="2"/>
  <c r="D2444" i="2"/>
  <c r="D2441" i="2"/>
  <c r="D2438" i="2"/>
  <c r="D2437" i="2"/>
  <c r="D2436" i="2"/>
  <c r="D2435" i="2"/>
  <c r="D2434" i="2"/>
  <c r="D2433" i="2"/>
  <c r="D2432" i="2"/>
  <c r="D2430" i="2"/>
  <c r="D2429" i="2"/>
  <c r="D2426" i="2"/>
  <c r="D2425" i="2"/>
  <c r="D2421" i="2"/>
  <c r="D2420" i="2"/>
  <c r="D2417" i="2"/>
  <c r="D2416" i="2"/>
  <c r="D2415" i="2"/>
  <c r="D2414" i="2"/>
  <c r="D2413" i="2"/>
  <c r="D2410" i="2"/>
  <c r="D2409" i="2"/>
  <c r="D2406" i="2"/>
  <c r="D2405" i="2"/>
  <c r="D2404" i="2"/>
  <c r="D2403" i="2"/>
  <c r="D2402" i="2"/>
  <c r="D2401" i="2"/>
  <c r="D2398" i="2"/>
  <c r="D2397" i="2"/>
  <c r="D2396" i="2"/>
  <c r="D2394" i="2"/>
  <c r="D2393" i="2"/>
  <c r="D2392" i="2"/>
  <c r="D2390" i="2"/>
  <c r="D2389" i="2"/>
  <c r="D2388" i="2"/>
  <c r="D2387" i="2"/>
  <c r="D2386" i="2"/>
  <c r="D2384" i="2"/>
  <c r="D2383" i="2"/>
  <c r="D2382" i="2"/>
  <c r="D2381" i="2"/>
  <c r="D2378" i="2"/>
  <c r="D2377" i="2"/>
  <c r="D2376" i="2"/>
  <c r="D2375" i="2"/>
  <c r="D2374" i="2"/>
  <c r="D2373" i="2"/>
  <c r="D2372" i="2"/>
  <c r="D2370" i="2"/>
  <c r="D2369" i="2"/>
  <c r="D2368" i="2"/>
  <c r="D2367" i="2"/>
  <c r="D2366" i="2"/>
  <c r="D2365" i="2"/>
  <c r="D2364" i="2"/>
  <c r="D2363" i="2"/>
  <c r="D2362" i="2"/>
  <c r="D2361" i="2"/>
  <c r="D2360" i="2"/>
  <c r="D2359" i="2"/>
  <c r="D2358" i="2"/>
  <c r="D2357" i="2"/>
  <c r="D2356" i="2"/>
  <c r="D2355" i="2"/>
  <c r="D2354" i="2"/>
  <c r="D2353" i="2"/>
  <c r="D2352" i="2"/>
  <c r="D2351" i="2"/>
  <c r="D2350" i="2"/>
  <c r="D2349" i="2"/>
  <c r="D2345" i="2"/>
  <c r="D2344" i="2"/>
  <c r="D2343" i="2"/>
  <c r="D2342" i="2"/>
  <c r="D2341" i="2"/>
  <c r="D2340" i="2"/>
  <c r="D2339" i="2"/>
  <c r="D2338" i="2"/>
  <c r="D2337" i="2"/>
  <c r="D2335" i="2"/>
  <c r="D2333" i="2"/>
  <c r="D2331" i="2"/>
  <c r="D2330" i="2"/>
  <c r="D2329" i="2"/>
  <c r="D2328" i="2"/>
  <c r="D2327" i="2"/>
  <c r="D2326" i="2"/>
  <c r="D2325" i="2"/>
  <c r="D2324" i="2"/>
  <c r="D2323" i="2"/>
  <c r="D2322" i="2"/>
  <c r="D2321" i="2"/>
  <c r="D2320" i="2"/>
  <c r="D2318" i="2"/>
  <c r="D2316" i="2"/>
  <c r="D2315" i="2"/>
  <c r="D2314" i="2"/>
  <c r="D2313" i="2"/>
  <c r="D2312" i="2"/>
  <c r="D2311" i="2"/>
  <c r="D2310" i="2"/>
  <c r="D2309" i="2"/>
  <c r="D2308" i="2"/>
  <c r="D2307" i="2"/>
  <c r="D2306" i="2"/>
  <c r="D2305" i="2"/>
  <c r="D2304" i="2"/>
  <c r="D2303" i="2"/>
  <c r="D2301" i="2"/>
  <c r="D2300" i="2"/>
  <c r="D2299" i="2"/>
  <c r="D2298" i="2"/>
  <c r="D2297" i="2"/>
  <c r="D2295" i="2"/>
  <c r="D2294" i="2"/>
  <c r="D2293" i="2"/>
  <c r="D2292" i="2"/>
  <c r="D2291" i="2"/>
  <c r="D2289" i="2"/>
  <c r="D2288" i="2"/>
  <c r="D2287" i="2"/>
  <c r="D2285" i="2"/>
  <c r="D2284" i="2"/>
  <c r="D2282" i="2"/>
  <c r="D2281" i="2"/>
  <c r="D2280" i="2"/>
  <c r="D2279" i="2"/>
  <c r="D2278" i="2"/>
  <c r="D2277" i="2"/>
  <c r="D2276" i="2"/>
  <c r="D2275" i="2"/>
  <c r="D2274" i="2"/>
  <c r="D2273" i="2"/>
  <c r="D2271" i="2"/>
  <c r="D2270" i="2"/>
  <c r="D2269" i="2"/>
  <c r="D2268" i="2"/>
  <c r="D2267" i="2"/>
  <c r="D2266" i="2"/>
  <c r="D2264" i="2"/>
  <c r="D2262" i="2"/>
  <c r="D2261" i="2"/>
  <c r="D2260" i="2"/>
  <c r="D2259" i="2"/>
  <c r="D2258" i="2"/>
  <c r="D2257" i="2"/>
  <c r="D2256" i="2"/>
  <c r="D2255" i="2"/>
  <c r="D2254" i="2"/>
  <c r="D2253" i="2"/>
  <c r="D2252" i="2"/>
  <c r="D2251" i="2"/>
  <c r="D2250" i="2"/>
  <c r="D2249" i="2"/>
  <c r="D2248" i="2"/>
  <c r="D2247" i="2"/>
  <c r="D2245" i="2"/>
  <c r="D2244" i="2"/>
  <c r="D2243" i="2"/>
  <c r="D2241" i="2"/>
  <c r="D2240" i="2"/>
  <c r="D2239" i="2"/>
  <c r="D2238" i="2"/>
  <c r="D2237" i="2"/>
  <c r="D2236" i="2"/>
  <c r="D2235" i="2"/>
  <c r="D2234" i="2"/>
  <c r="D2233" i="2"/>
  <c r="D2232" i="2"/>
  <c r="D2230" i="2"/>
  <c r="D2229" i="2"/>
  <c r="D2228" i="2"/>
  <c r="D2227" i="2"/>
  <c r="D2226" i="2"/>
  <c r="D2224" i="2"/>
  <c r="D2223" i="2"/>
  <c r="D2220" i="2"/>
  <c r="D2219" i="2"/>
  <c r="D2218" i="2"/>
  <c r="D2217" i="2"/>
  <c r="D2216" i="2"/>
  <c r="D2214" i="2"/>
  <c r="D2213" i="2"/>
  <c r="D2212" i="2"/>
  <c r="D2211" i="2"/>
  <c r="D2210" i="2"/>
  <c r="D2209" i="2"/>
  <c r="D2208" i="2"/>
  <c r="D2207" i="2"/>
  <c r="D2206" i="2"/>
  <c r="D2205" i="2"/>
  <c r="D2204" i="2"/>
  <c r="D2197" i="2"/>
  <c r="D2195" i="2"/>
  <c r="D2193" i="2"/>
  <c r="D2192" i="2"/>
  <c r="D2190" i="2"/>
  <c r="D2189" i="2"/>
  <c r="D2188" i="2"/>
  <c r="D2186" i="2"/>
  <c r="D2185" i="2"/>
  <c r="D2184" i="2"/>
  <c r="D2183" i="2"/>
  <c r="D2182" i="2"/>
  <c r="D2181" i="2"/>
  <c r="D2180" i="2"/>
  <c r="D2179" i="2"/>
  <c r="D2178" i="2"/>
  <c r="D2177" i="2"/>
  <c r="D2168" i="2"/>
  <c r="D2167" i="2"/>
  <c r="D2166" i="2"/>
  <c r="D2162" i="2"/>
  <c r="D2161" i="2"/>
  <c r="D2158" i="2"/>
  <c r="D2157" i="2"/>
  <c r="D2156" i="2"/>
  <c r="D2154" i="2"/>
  <c r="D2152" i="2"/>
  <c r="D2151" i="2"/>
  <c r="D2150" i="2"/>
  <c r="D2149" i="2"/>
  <c r="D2147" i="2"/>
  <c r="D2146" i="2"/>
  <c r="D2145" i="2"/>
  <c r="D2143" i="2"/>
  <c r="D2142" i="2"/>
  <c r="D2141" i="2"/>
  <c r="D2139" i="2"/>
  <c r="D2138" i="2"/>
  <c r="D2137" i="2"/>
  <c r="D2136" i="2"/>
  <c r="D2135" i="2"/>
  <c r="D2134" i="2"/>
  <c r="D2133" i="2"/>
  <c r="D2132" i="2"/>
  <c r="D2130" i="2"/>
  <c r="D2129" i="2"/>
  <c r="D2128" i="2"/>
  <c r="D2127" i="2"/>
  <c r="D2126" i="2"/>
  <c r="D2125" i="2"/>
  <c r="D2124" i="2"/>
  <c r="D2123" i="2"/>
  <c r="D2122" i="2"/>
  <c r="D2121" i="2"/>
  <c r="D2120" i="2"/>
  <c r="D2119" i="2"/>
  <c r="D2118" i="2"/>
  <c r="D2117" i="2"/>
  <c r="D2116" i="2"/>
  <c r="D2115" i="2"/>
  <c r="D2114" i="2"/>
  <c r="D2113" i="2"/>
  <c r="D2112" i="2"/>
  <c r="D2111" i="2"/>
  <c r="D2110" i="2"/>
  <c r="D2109" i="2"/>
  <c r="D2108" i="2"/>
  <c r="D2106" i="2"/>
  <c r="D2105" i="2"/>
  <c r="D2104" i="2"/>
  <c r="D2103" i="2"/>
  <c r="D2102" i="2"/>
  <c r="D2101" i="2"/>
  <c r="D2100" i="2"/>
  <c r="D2097" i="2"/>
  <c r="D2096" i="2"/>
  <c r="D2095" i="2"/>
  <c r="D2094" i="2"/>
  <c r="D2093" i="2"/>
  <c r="D2090" i="2"/>
  <c r="D2089" i="2"/>
  <c r="D2088" i="2"/>
  <c r="D2087" i="2"/>
  <c r="D2086" i="2"/>
  <c r="D2085" i="2"/>
  <c r="D2084" i="2"/>
  <c r="D2083" i="2"/>
  <c r="D2082" i="2"/>
  <c r="D2081" i="2"/>
  <c r="D2079" i="2"/>
  <c r="D2078" i="2"/>
  <c r="D2077" i="2"/>
  <c r="D2076" i="2"/>
  <c r="D2075" i="2"/>
  <c r="D2074" i="2"/>
  <c r="D2073" i="2"/>
  <c r="D2072" i="2"/>
  <c r="D2071" i="2"/>
  <c r="D2070" i="2"/>
  <c r="D2069" i="2"/>
  <c r="D2068" i="2"/>
  <c r="D2067" i="2"/>
  <c r="D2066" i="2"/>
  <c r="D2065" i="2"/>
  <c r="D2064" i="2"/>
  <c r="D2063" i="2"/>
  <c r="D2062" i="2"/>
  <c r="D2061" i="2"/>
  <c r="D2059" i="2"/>
  <c r="D2058" i="2"/>
  <c r="D2057" i="2"/>
  <c r="D2056" i="2"/>
  <c r="D2055" i="2"/>
  <c r="D2054" i="2"/>
  <c r="D2053" i="2"/>
  <c r="D2052" i="2"/>
  <c r="D2051" i="2"/>
  <c r="D2050" i="2"/>
  <c r="D2049" i="2"/>
  <c r="D2047" i="2"/>
  <c r="D2046" i="2"/>
  <c r="D2045" i="2"/>
  <c r="D2044" i="2"/>
  <c r="D2043" i="2"/>
  <c r="D2042" i="2"/>
  <c r="D2041" i="2"/>
  <c r="D2040" i="2"/>
  <c r="D2039" i="2"/>
  <c r="D2038" i="2"/>
  <c r="D2037" i="2"/>
  <c r="D2036" i="2"/>
  <c r="D2035" i="2"/>
  <c r="D2034" i="2"/>
  <c r="D2033" i="2"/>
  <c r="D2032" i="2"/>
  <c r="D2031" i="2"/>
  <c r="D2030" i="2"/>
  <c r="D2029" i="2"/>
  <c r="D2028" i="2"/>
  <c r="D2027" i="2"/>
  <c r="D2026" i="2"/>
  <c r="D2025" i="2"/>
  <c r="D2024" i="2"/>
  <c r="D2022" i="2"/>
  <c r="D2021" i="2"/>
  <c r="D2020" i="2"/>
  <c r="D2017" i="2"/>
  <c r="D2015" i="2"/>
  <c r="D2014" i="2"/>
  <c r="D2013" i="2"/>
  <c r="D2011" i="2"/>
  <c r="D2010" i="2"/>
  <c r="D2009" i="2"/>
  <c r="D2008" i="2"/>
  <c r="D2007" i="2"/>
  <c r="D2003" i="2"/>
  <c r="D2002" i="2"/>
  <c r="D2001" i="2"/>
  <c r="D2000" i="2"/>
  <c r="D1999" i="2"/>
  <c r="D1998" i="2"/>
  <c r="D1997" i="2"/>
  <c r="D1996" i="2"/>
  <c r="D1995" i="2"/>
  <c r="D1994" i="2"/>
  <c r="D1993" i="2"/>
  <c r="D1991" i="2"/>
  <c r="D1990" i="2"/>
  <c r="D1989" i="2"/>
  <c r="D1988" i="2"/>
  <c r="D1987" i="2"/>
  <c r="D1986" i="2"/>
  <c r="D1985" i="2"/>
  <c r="D1984" i="2"/>
  <c r="D1983" i="2"/>
  <c r="D1982" i="2"/>
  <c r="D1981" i="2"/>
  <c r="D1980" i="2"/>
  <c r="D1979" i="2"/>
  <c r="D1978" i="2"/>
  <c r="D1977" i="2"/>
  <c r="D1975" i="2"/>
  <c r="D1973" i="2"/>
  <c r="D1969" i="2"/>
  <c r="D1967" i="2"/>
  <c r="D1963" i="2"/>
  <c r="D1962" i="2"/>
  <c r="D1960" i="2"/>
  <c r="D1958" i="2"/>
  <c r="D1957" i="2"/>
  <c r="D1955" i="2"/>
  <c r="D1953" i="2"/>
  <c r="D1951" i="2"/>
  <c r="D1950" i="2"/>
  <c r="D1948" i="2"/>
  <c r="D1945" i="2"/>
  <c r="D1938" i="2"/>
  <c r="D1933" i="2"/>
  <c r="D1928" i="2"/>
  <c r="D1927" i="2"/>
  <c r="D1926" i="2"/>
  <c r="D1925" i="2"/>
  <c r="D1923" i="2"/>
  <c r="D1922" i="2"/>
  <c r="D1921" i="2"/>
  <c r="D1920" i="2"/>
  <c r="D1919" i="2"/>
  <c r="D1918" i="2"/>
  <c r="D1917" i="2"/>
  <c r="D1916" i="2"/>
  <c r="D1915" i="2"/>
  <c r="D1914" i="2"/>
  <c r="D1913" i="2"/>
  <c r="D1912" i="2"/>
  <c r="D1911" i="2"/>
  <c r="D1910" i="2"/>
  <c r="D1909" i="2"/>
  <c r="D1908" i="2"/>
  <c r="D1907" i="2"/>
  <c r="D1906" i="2"/>
  <c r="D1905" i="2"/>
  <c r="D1904" i="2"/>
  <c r="D1903" i="2"/>
  <c r="D1902" i="2"/>
  <c r="D1900" i="2"/>
  <c r="D1899" i="2"/>
  <c r="D1898" i="2"/>
  <c r="D1896" i="2"/>
  <c r="D1895" i="2"/>
  <c r="D1894" i="2"/>
  <c r="D1893" i="2"/>
  <c r="D1892" i="2"/>
  <c r="D1891" i="2"/>
  <c r="D1890" i="2"/>
  <c r="D1889" i="2"/>
  <c r="D1888" i="2"/>
  <c r="D1887" i="2"/>
  <c r="D1886" i="2"/>
  <c r="D1885" i="2"/>
  <c r="D1884" i="2"/>
  <c r="D1883" i="2"/>
  <c r="D1882" i="2"/>
  <c r="D1881" i="2"/>
  <c r="D1880" i="2"/>
  <c r="D1879" i="2"/>
  <c r="D1878" i="2"/>
  <c r="D1877" i="2"/>
  <c r="D1876" i="2"/>
  <c r="D1875" i="2"/>
  <c r="D1874" i="2"/>
  <c r="D1873" i="2"/>
  <c r="D1872" i="2"/>
  <c r="D1871" i="2"/>
  <c r="D1870" i="2"/>
  <c r="D1869" i="2"/>
  <c r="D1868" i="2"/>
  <c r="D1867" i="2"/>
  <c r="D1865" i="2"/>
  <c r="D1864" i="2"/>
  <c r="D1861" i="2"/>
  <c r="D1860" i="2"/>
  <c r="D1859" i="2"/>
  <c r="D1858" i="2"/>
  <c r="D1857" i="2"/>
  <c r="D1856" i="2"/>
  <c r="D1855" i="2"/>
  <c r="D1853" i="2"/>
  <c r="D1849" i="2"/>
  <c r="D1846" i="2"/>
  <c r="D1845" i="2"/>
  <c r="D1843" i="2"/>
  <c r="D1842" i="2"/>
  <c r="D1841" i="2"/>
  <c r="D1840" i="2"/>
  <c r="D1838" i="2"/>
  <c r="D1837" i="2"/>
  <c r="D1835" i="2"/>
  <c r="D1833" i="2"/>
  <c r="D1830" i="2"/>
  <c r="D1829" i="2"/>
  <c r="D1828" i="2"/>
  <c r="D1827" i="2"/>
  <c r="D1826" i="2"/>
  <c r="D1823" i="2"/>
  <c r="D1822" i="2"/>
  <c r="D1821" i="2"/>
  <c r="D1820" i="2"/>
  <c r="D1819" i="2"/>
  <c r="D1818" i="2"/>
  <c r="D1816" i="2"/>
  <c r="D1815" i="2"/>
  <c r="D1814" i="2"/>
  <c r="D1811" i="2"/>
  <c r="D1810" i="2"/>
  <c r="D1809" i="2"/>
  <c r="D1808" i="2"/>
  <c r="D1806" i="2"/>
  <c r="D1805" i="2"/>
  <c r="D1804" i="2"/>
  <c r="D1803" i="2"/>
  <c r="D1802" i="2"/>
  <c r="D1801" i="2"/>
  <c r="D1800" i="2"/>
  <c r="D1799" i="2"/>
  <c r="D1798" i="2"/>
  <c r="D1797" i="2"/>
  <c r="D1796" i="2"/>
  <c r="D1795" i="2"/>
  <c r="D1794" i="2"/>
  <c r="D1793" i="2"/>
  <c r="D1792" i="2"/>
  <c r="D1791" i="2"/>
  <c r="D1790" i="2"/>
  <c r="D1789" i="2"/>
  <c r="D1788" i="2"/>
  <c r="D1787" i="2"/>
  <c r="D1786" i="2"/>
  <c r="D1785" i="2"/>
  <c r="D1783" i="2"/>
  <c r="D1782" i="2"/>
  <c r="D1781" i="2"/>
  <c r="D1780" i="2"/>
  <c r="D1779" i="2"/>
  <c r="D1778" i="2"/>
  <c r="D1777" i="2"/>
  <c r="D1776" i="2"/>
  <c r="D1774" i="2"/>
  <c r="D1773" i="2"/>
  <c r="D1772" i="2"/>
  <c r="D1770" i="2"/>
  <c r="D1769" i="2"/>
  <c r="D1768" i="2"/>
  <c r="D1767" i="2"/>
  <c r="D1766" i="2"/>
  <c r="D1765" i="2"/>
  <c r="D1764" i="2"/>
  <c r="D1763" i="2"/>
  <c r="D1762" i="2"/>
  <c r="D1761" i="2"/>
  <c r="D1760" i="2"/>
  <c r="D1759" i="2"/>
  <c r="D1758" i="2"/>
  <c r="D1757" i="2"/>
  <c r="D1756" i="2"/>
  <c r="D1754" i="2"/>
  <c r="D1753" i="2"/>
  <c r="D1752" i="2"/>
  <c r="D1750" i="2"/>
  <c r="D1749" i="2"/>
  <c r="D1743" i="2"/>
  <c r="D1742" i="2"/>
  <c r="D1741" i="2"/>
  <c r="D1739" i="2"/>
  <c r="D1737" i="2"/>
  <c r="D1736" i="2"/>
  <c r="D1735" i="2"/>
  <c r="D1734" i="2"/>
  <c r="D1732" i="2"/>
  <c r="D1731" i="2"/>
  <c r="D1729" i="2"/>
  <c r="D1728" i="2"/>
  <c r="D1727" i="2"/>
  <c r="D1726" i="2"/>
  <c r="D1725" i="2"/>
  <c r="D1724" i="2"/>
  <c r="D1723" i="2"/>
  <c r="D1722" i="2"/>
  <c r="D1721" i="2"/>
  <c r="D1720" i="2"/>
  <c r="D1719" i="2"/>
  <c r="D1717" i="2"/>
  <c r="D1716" i="2"/>
  <c r="D1715" i="2"/>
  <c r="D1714" i="2"/>
  <c r="D1713" i="2"/>
  <c r="D1712" i="2"/>
  <c r="D1711" i="2"/>
  <c r="D1710" i="2"/>
  <c r="D1709" i="2"/>
  <c r="D1707" i="2"/>
  <c r="D1706" i="2"/>
  <c r="D1705" i="2"/>
  <c r="D1704" i="2"/>
  <c r="D1703" i="2"/>
  <c r="D1702" i="2"/>
  <c r="D1701" i="2"/>
  <c r="D1700" i="2"/>
  <c r="D1699" i="2"/>
  <c r="D1698" i="2"/>
  <c r="D1697" i="2"/>
  <c r="D1695" i="2"/>
  <c r="D1694" i="2"/>
  <c r="D1693" i="2"/>
  <c r="D1692" i="2"/>
  <c r="D1691" i="2"/>
  <c r="D1690" i="2"/>
  <c r="D1689" i="2"/>
  <c r="D1687" i="2"/>
  <c r="D1686" i="2"/>
  <c r="D1685" i="2"/>
  <c r="D1683" i="2"/>
  <c r="D1682" i="2"/>
  <c r="D1681" i="2"/>
  <c r="D1679" i="2"/>
  <c r="D1678" i="2"/>
  <c r="D1677" i="2"/>
  <c r="D1676" i="2"/>
  <c r="D1675" i="2"/>
  <c r="D1674" i="2"/>
  <c r="D1673" i="2"/>
  <c r="D1672" i="2"/>
  <c r="D1671" i="2"/>
  <c r="D1670" i="2"/>
  <c r="D1669" i="2"/>
  <c r="D1667" i="2"/>
  <c r="D1666" i="2"/>
  <c r="D1665" i="2"/>
  <c r="D1664" i="2"/>
  <c r="D1663" i="2"/>
  <c r="D1662" i="2"/>
  <c r="D1661" i="2"/>
  <c r="D1660" i="2"/>
  <c r="D1659" i="2"/>
  <c r="D1658" i="2"/>
  <c r="D1657" i="2"/>
  <c r="D1656" i="2"/>
  <c r="D1655" i="2"/>
  <c r="D1654" i="2"/>
  <c r="D1653" i="2"/>
  <c r="D1650" i="2"/>
  <c r="D1649" i="2"/>
  <c r="D1648" i="2"/>
  <c r="D1647" i="2"/>
  <c r="D1646" i="2"/>
  <c r="D1645" i="2"/>
  <c r="D1643" i="2"/>
  <c r="D1641" i="2"/>
  <c r="D1639" i="2"/>
  <c r="D1637" i="2"/>
  <c r="D1636" i="2"/>
  <c r="D1633" i="2"/>
  <c r="D1632" i="2"/>
  <c r="D1630" i="2"/>
  <c r="D1629" i="2"/>
  <c r="D1628" i="2"/>
  <c r="D1627" i="2"/>
  <c r="D1626" i="2"/>
  <c r="D1625" i="2"/>
  <c r="D1622" i="2"/>
  <c r="D1620" i="2"/>
  <c r="D1619" i="2"/>
  <c r="D1618" i="2"/>
  <c r="D1617" i="2"/>
  <c r="D1614" i="2"/>
  <c r="D1613" i="2"/>
  <c r="D1605" i="2"/>
  <c r="D1604" i="2"/>
  <c r="D1603" i="2"/>
  <c r="D1601" i="2"/>
  <c r="D1600" i="2"/>
  <c r="D1599" i="2"/>
  <c r="D1598" i="2"/>
  <c r="D1597" i="2"/>
  <c r="D1595" i="2"/>
  <c r="D1594" i="2"/>
  <c r="D1593" i="2"/>
  <c r="D1592" i="2"/>
  <c r="D1591" i="2"/>
  <c r="D1589" i="2"/>
  <c r="D1588" i="2"/>
  <c r="D1586" i="2"/>
  <c r="D1585" i="2"/>
  <c r="D1584" i="2"/>
  <c r="D1581" i="2"/>
  <c r="D1579" i="2"/>
  <c r="D1578" i="2"/>
  <c r="D1577" i="2"/>
  <c r="D1575" i="2"/>
  <c r="D1574" i="2"/>
  <c r="D1573" i="2"/>
  <c r="D1572" i="2"/>
  <c r="D1571" i="2"/>
  <c r="D1569" i="2"/>
  <c r="D1568" i="2"/>
  <c r="D1567" i="2"/>
  <c r="D1566" i="2"/>
  <c r="D1565" i="2"/>
  <c r="D1564" i="2"/>
  <c r="D1559" i="2"/>
  <c r="D1558" i="2"/>
  <c r="D1557" i="2"/>
  <c r="D1556" i="2"/>
  <c r="D1555" i="2"/>
  <c r="D1554" i="2"/>
  <c r="D1551" i="2"/>
  <c r="D1550" i="2"/>
  <c r="D1549" i="2"/>
  <c r="D1548" i="2"/>
  <c r="D1547" i="2"/>
  <c r="D1546" i="2"/>
  <c r="D1545" i="2"/>
  <c r="D1544" i="2"/>
  <c r="D1541" i="2"/>
  <c r="D1538" i="2"/>
  <c r="D1537" i="2"/>
  <c r="D1535" i="2"/>
  <c r="D1534" i="2"/>
  <c r="D1532" i="2"/>
  <c r="D1531" i="2"/>
  <c r="D1530" i="2"/>
  <c r="D1526" i="2"/>
  <c r="D1525" i="2"/>
  <c r="D1522" i="2"/>
  <c r="D1521" i="2"/>
  <c r="D1520" i="2"/>
  <c r="D1519" i="2"/>
  <c r="D1518" i="2"/>
  <c r="D1517" i="2"/>
  <c r="D1516" i="2"/>
  <c r="D1515" i="2"/>
  <c r="D1514" i="2"/>
  <c r="D1512" i="2"/>
  <c r="D1511" i="2"/>
  <c r="D1510" i="2"/>
  <c r="D1509" i="2"/>
  <c r="D1508" i="2"/>
  <c r="D1507" i="2"/>
  <c r="D1505" i="2"/>
  <c r="D1503" i="2"/>
  <c r="D1502" i="2"/>
  <c r="D1501" i="2"/>
  <c r="D1500" i="2"/>
  <c r="D1498" i="2"/>
  <c r="D1497" i="2"/>
  <c r="D1496" i="2"/>
  <c r="D1495" i="2"/>
  <c r="D1494" i="2"/>
  <c r="D1493" i="2"/>
  <c r="D1492" i="2"/>
  <c r="D1491" i="2"/>
  <c r="D1490" i="2"/>
  <c r="D1489" i="2"/>
  <c r="D1488" i="2"/>
  <c r="D1487" i="2"/>
  <c r="D1486" i="2"/>
  <c r="D1485" i="2"/>
  <c r="D1484" i="2"/>
  <c r="D1483" i="2"/>
  <c r="D1482" i="2"/>
  <c r="D1481" i="2"/>
  <c r="D1480" i="2"/>
  <c r="D1479" i="2"/>
  <c r="D1476" i="2"/>
  <c r="D1475" i="2"/>
  <c r="D1474" i="2"/>
  <c r="D1472" i="2"/>
  <c r="D1471" i="2"/>
  <c r="D1469" i="2"/>
  <c r="D1468" i="2"/>
  <c r="D1467" i="2"/>
  <c r="D1466" i="2"/>
  <c r="D1465" i="2"/>
  <c r="D1464" i="2"/>
  <c r="D1463" i="2"/>
  <c r="D1462" i="2"/>
  <c r="D1459" i="2"/>
  <c r="D1458" i="2"/>
  <c r="D1457" i="2"/>
  <c r="D1456" i="2"/>
  <c r="D1455" i="2"/>
  <c r="D1454" i="2"/>
  <c r="D1453" i="2"/>
  <c r="D1452" i="2"/>
  <c r="D1450" i="2"/>
  <c r="D1449" i="2"/>
  <c r="D1448" i="2"/>
  <c r="D1447" i="2"/>
  <c r="D1445" i="2"/>
  <c r="D1444" i="2"/>
  <c r="D1442" i="2"/>
  <c r="D1441" i="2"/>
  <c r="D1440" i="2"/>
  <c r="D1439" i="2"/>
  <c r="D1438" i="2"/>
  <c r="D1437" i="2"/>
  <c r="D1436" i="2"/>
  <c r="D1433" i="2"/>
  <c r="D1431" i="2"/>
  <c r="D1427" i="2"/>
  <c r="D1426" i="2"/>
  <c r="D1424" i="2"/>
  <c r="D1423" i="2"/>
  <c r="D1421" i="2"/>
  <c r="D1420" i="2"/>
  <c r="D1417" i="2"/>
  <c r="D1416" i="2"/>
  <c r="D1410" i="2"/>
  <c r="D1409" i="2"/>
  <c r="D1407" i="2"/>
  <c r="D1406" i="2"/>
  <c r="D1405" i="2"/>
  <c r="D1401" i="2"/>
  <c r="D1400" i="2"/>
  <c r="D1399" i="2"/>
  <c r="D1398" i="2"/>
  <c r="D1397" i="2"/>
  <c r="D1395" i="2"/>
  <c r="D1394" i="2"/>
  <c r="D1393" i="2"/>
  <c r="D1392" i="2"/>
  <c r="D1390" i="2"/>
  <c r="D1389" i="2"/>
  <c r="D1388" i="2"/>
  <c r="D1387" i="2"/>
  <c r="D1386" i="2"/>
  <c r="D1385" i="2"/>
  <c r="D1383" i="2"/>
  <c r="D1382" i="2"/>
  <c r="D1381" i="2"/>
  <c r="D1380" i="2"/>
  <c r="D1379" i="2"/>
  <c r="D1378" i="2"/>
  <c r="D1377" i="2"/>
  <c r="D1376" i="2"/>
  <c r="D1375" i="2"/>
  <c r="D1374" i="2"/>
  <c r="D1373" i="2"/>
  <c r="D1372" i="2"/>
  <c r="D1371" i="2"/>
  <c r="D1370" i="2"/>
  <c r="D1369" i="2"/>
  <c r="D1367" i="2"/>
  <c r="D1366" i="2"/>
  <c r="D1365" i="2"/>
  <c r="D1364" i="2"/>
  <c r="D1362" i="2"/>
  <c r="D1361" i="2"/>
  <c r="D1360" i="2"/>
  <c r="D1359" i="2"/>
  <c r="D1358" i="2"/>
  <c r="D1354" i="2"/>
  <c r="D1353" i="2"/>
  <c r="D1352" i="2"/>
  <c r="D1351" i="2"/>
  <c r="D1350" i="2"/>
  <c r="D1349" i="2"/>
  <c r="D1348" i="2"/>
  <c r="D1347" i="2"/>
  <c r="D1346" i="2"/>
  <c r="D1345" i="2"/>
  <c r="D1344" i="2"/>
  <c r="D1343" i="2"/>
  <c r="D1342" i="2"/>
  <c r="D1341" i="2"/>
  <c r="D1340" i="2"/>
  <c r="D1339" i="2"/>
  <c r="D1338" i="2"/>
  <c r="D1337" i="2"/>
  <c r="D1336" i="2"/>
  <c r="D1335" i="2"/>
  <c r="D1334" i="2"/>
  <c r="D1333" i="2"/>
  <c r="D1332" i="2"/>
  <c r="D1331" i="2"/>
  <c r="D1330" i="2"/>
  <c r="D1329" i="2"/>
  <c r="D1328" i="2"/>
  <c r="D1327" i="2"/>
  <c r="D1326" i="2"/>
  <c r="D1325" i="2"/>
  <c r="D1324" i="2"/>
  <c r="D1323" i="2"/>
  <c r="D1322" i="2"/>
  <c r="D1321" i="2"/>
  <c r="D1320" i="2"/>
  <c r="D1319" i="2"/>
  <c r="D1318" i="2"/>
  <c r="D1317" i="2"/>
  <c r="D1316" i="2"/>
  <c r="D1314" i="2"/>
  <c r="D1313" i="2"/>
  <c r="D1312" i="2"/>
  <c r="D1310" i="2"/>
  <c r="D1309" i="2"/>
  <c r="D1307" i="2"/>
  <c r="D1306" i="2"/>
  <c r="D1305" i="2"/>
  <c r="D1304" i="2"/>
  <c r="D1303" i="2"/>
  <c r="D1302" i="2"/>
  <c r="D1301" i="2"/>
  <c r="D1300" i="2"/>
  <c r="D1299" i="2"/>
  <c r="D1298" i="2"/>
  <c r="D1297" i="2"/>
  <c r="D1296" i="2"/>
  <c r="D1295" i="2"/>
  <c r="D1293" i="2"/>
  <c r="D1292" i="2"/>
  <c r="D1291" i="2"/>
  <c r="D1290" i="2"/>
  <c r="D1289" i="2"/>
  <c r="D1287" i="2"/>
  <c r="D1285" i="2"/>
  <c r="D1284" i="2"/>
  <c r="D1282" i="2"/>
  <c r="D1279" i="2"/>
  <c r="D1278" i="2"/>
  <c r="D1277" i="2"/>
  <c r="D1276" i="2"/>
  <c r="D1275" i="2"/>
  <c r="D1274" i="2"/>
  <c r="D1272" i="2"/>
  <c r="D1271" i="2"/>
  <c r="D1270" i="2"/>
  <c r="D1268" i="2"/>
  <c r="D1267" i="2"/>
  <c r="D1265" i="2"/>
  <c r="D1264" i="2"/>
  <c r="D1262" i="2"/>
  <c r="D1261" i="2"/>
  <c r="D1258" i="2"/>
  <c r="D1257" i="2"/>
  <c r="D1256" i="2"/>
  <c r="D1255" i="2"/>
  <c r="D1253" i="2"/>
  <c r="D1252" i="2"/>
  <c r="D1251" i="2"/>
  <c r="D1249" i="2"/>
  <c r="D1247" i="2"/>
  <c r="D1245" i="2"/>
  <c r="D1244" i="2"/>
  <c r="D1243" i="2"/>
  <c r="D1242" i="2"/>
  <c r="D1241" i="2"/>
  <c r="D1240" i="2"/>
  <c r="D1239" i="2"/>
  <c r="D1238" i="2"/>
  <c r="D1237" i="2"/>
  <c r="D1236" i="2"/>
  <c r="D1235" i="2"/>
  <c r="D1234" i="2"/>
  <c r="D1233" i="2"/>
  <c r="D1232" i="2"/>
  <c r="D1231" i="2"/>
  <c r="D1230" i="2"/>
  <c r="D1229" i="2"/>
  <c r="D1228" i="2"/>
  <c r="D1227" i="2"/>
  <c r="D1226" i="2"/>
  <c r="D1225" i="2"/>
  <c r="D1224" i="2"/>
  <c r="D1223" i="2"/>
  <c r="D1221" i="2"/>
  <c r="D1220" i="2"/>
  <c r="D1218" i="2"/>
  <c r="D1217" i="2"/>
  <c r="D1216" i="2"/>
  <c r="D1215" i="2"/>
  <c r="D1214" i="2"/>
  <c r="D1212" i="2"/>
  <c r="D1211" i="2"/>
  <c r="D1210" i="2"/>
  <c r="D1209" i="2"/>
  <c r="D1208" i="2"/>
  <c r="D1207" i="2"/>
  <c r="D1206" i="2"/>
  <c r="D1204" i="2"/>
  <c r="D1203" i="2"/>
  <c r="D1202" i="2"/>
  <c r="D1201" i="2"/>
  <c r="D1200" i="2"/>
  <c r="D1198" i="2"/>
  <c r="D1197" i="2"/>
  <c r="D1196" i="2"/>
  <c r="D1195" i="2"/>
  <c r="D1194" i="2"/>
  <c r="D1193" i="2"/>
  <c r="D1192" i="2"/>
  <c r="D1190" i="2"/>
  <c r="D1189" i="2"/>
  <c r="D1188" i="2"/>
  <c r="D1187" i="2"/>
  <c r="D1186" i="2"/>
  <c r="D1185" i="2"/>
  <c r="D1184" i="2"/>
  <c r="D1183" i="2"/>
  <c r="D1181" i="2"/>
  <c r="D1180" i="2"/>
  <c r="D1179" i="2"/>
  <c r="D1178" i="2"/>
  <c r="D1177" i="2"/>
  <c r="D1176" i="2"/>
  <c r="D1174" i="2"/>
  <c r="D1173" i="2"/>
  <c r="D1172" i="2"/>
  <c r="D1171" i="2"/>
  <c r="D1169" i="2"/>
  <c r="D1168" i="2"/>
  <c r="D1167" i="2"/>
  <c r="D1166" i="2"/>
  <c r="D1165" i="2"/>
  <c r="D1164" i="2"/>
  <c r="D1163" i="2"/>
  <c r="D1161" i="2"/>
  <c r="D1159" i="2"/>
  <c r="D1158" i="2"/>
  <c r="D1157" i="2"/>
  <c r="D1156" i="2"/>
  <c r="D1155" i="2"/>
  <c r="D1153" i="2"/>
  <c r="D1152" i="2"/>
  <c r="D1151" i="2"/>
  <c r="D1150" i="2"/>
  <c r="D1149" i="2"/>
  <c r="D1148" i="2"/>
  <c r="D1147" i="2"/>
  <c r="D1146" i="2"/>
  <c r="D1145" i="2"/>
  <c r="D1144" i="2"/>
  <c r="D1143" i="2"/>
  <c r="D1142" i="2"/>
  <c r="D1140" i="2"/>
  <c r="D1139" i="2"/>
  <c r="D1138" i="2"/>
  <c r="D1137" i="2"/>
  <c r="D1136" i="2"/>
  <c r="D1135" i="2"/>
  <c r="D1132" i="2"/>
  <c r="D1130" i="2"/>
  <c r="D1129" i="2"/>
  <c r="D1127" i="2"/>
  <c r="D1126" i="2"/>
  <c r="D1124" i="2"/>
  <c r="D1123" i="2"/>
  <c r="D1122" i="2"/>
  <c r="D1121" i="2"/>
  <c r="D1120" i="2"/>
  <c r="D1119" i="2"/>
  <c r="D1118" i="2"/>
  <c r="D1117" i="2"/>
  <c r="D1116" i="2"/>
  <c r="D1115" i="2"/>
  <c r="D1114" i="2"/>
  <c r="D1113" i="2"/>
  <c r="D1112" i="2"/>
  <c r="D1111" i="2"/>
  <c r="D1109" i="2"/>
  <c r="D1108" i="2"/>
  <c r="D1107" i="2"/>
  <c r="D1106" i="2"/>
  <c r="D1105" i="2"/>
  <c r="D1103" i="2"/>
  <c r="D1101" i="2"/>
  <c r="D1100" i="2"/>
  <c r="D1099" i="2"/>
  <c r="D1098" i="2"/>
  <c r="D1097" i="2"/>
  <c r="D1096" i="2"/>
  <c r="D1095" i="2"/>
  <c r="D1094" i="2"/>
  <c r="D1093" i="2"/>
  <c r="D1092" i="2"/>
  <c r="D1091" i="2"/>
  <c r="D1090" i="2"/>
  <c r="D1088" i="2"/>
  <c r="D1087" i="2"/>
  <c r="D1085" i="2"/>
  <c r="D1084" i="2"/>
  <c r="D1083" i="2"/>
  <c r="D1082" i="2"/>
  <c r="D1081" i="2"/>
  <c r="D1080" i="2"/>
  <c r="D1077" i="2"/>
  <c r="D1076" i="2"/>
  <c r="D1075" i="2"/>
  <c r="D1074" i="2"/>
  <c r="D1073" i="2"/>
  <c r="D1071" i="2"/>
  <c r="D1070" i="2"/>
  <c r="D1069" i="2"/>
  <c r="D1068" i="2"/>
  <c r="D1067" i="2"/>
  <c r="D1066" i="2"/>
  <c r="D1065" i="2"/>
  <c r="D1064" i="2"/>
  <c r="D1063" i="2"/>
  <c r="D1062" i="2"/>
  <c r="D1061" i="2"/>
  <c r="D1060" i="2"/>
  <c r="D1059" i="2"/>
  <c r="D1058" i="2"/>
  <c r="D1057" i="2"/>
  <c r="D1056" i="2"/>
  <c r="D1055" i="2"/>
  <c r="D1053" i="2"/>
  <c r="D1052" i="2"/>
  <c r="D1051" i="2"/>
  <c r="D1050" i="2"/>
  <c r="D1049" i="2"/>
  <c r="D1046" i="2"/>
  <c r="D1045" i="2"/>
  <c r="D1044" i="2"/>
  <c r="D1043" i="2"/>
  <c r="D1042" i="2"/>
  <c r="D1041" i="2"/>
  <c r="D1040" i="2"/>
  <c r="D1039" i="2"/>
  <c r="D1038" i="2"/>
  <c r="D1037" i="2"/>
  <c r="D1036" i="2"/>
  <c r="D1035" i="2"/>
  <c r="D1034" i="2"/>
  <c r="D1033" i="2"/>
  <c r="D1032" i="2"/>
  <c r="D1031" i="2"/>
  <c r="D1030" i="2"/>
  <c r="D1029" i="2"/>
  <c r="D1028" i="2"/>
  <c r="D1027" i="2"/>
  <c r="D1026" i="2"/>
  <c r="D1025" i="2"/>
  <c r="D1022" i="2"/>
  <c r="D1020" i="2"/>
  <c r="D1019" i="2"/>
  <c r="D1018" i="2"/>
  <c r="D1017" i="2"/>
  <c r="D1016" i="2"/>
  <c r="D1015" i="2"/>
  <c r="D1014" i="2"/>
  <c r="D1013" i="2"/>
  <c r="D1012" i="2"/>
  <c r="D1011" i="2"/>
  <c r="D1010" i="2"/>
  <c r="D1008" i="2"/>
  <c r="D1007" i="2"/>
  <c r="D1006" i="2"/>
  <c r="D1005" i="2"/>
  <c r="D1003" i="2"/>
  <c r="D1002" i="2"/>
  <c r="D1001" i="2"/>
  <c r="D1000" i="2"/>
  <c r="D999" i="2"/>
  <c r="D998" i="2"/>
  <c r="D997" i="2"/>
  <c r="D996" i="2"/>
  <c r="D995" i="2"/>
  <c r="D994" i="2"/>
  <c r="D993" i="2"/>
  <c r="D992" i="2"/>
  <c r="D991" i="2"/>
  <c r="D990" i="2"/>
  <c r="D989" i="2"/>
  <c r="D988" i="2"/>
  <c r="D987" i="2"/>
  <c r="D986" i="2"/>
  <c r="D985" i="2"/>
  <c r="D984" i="2"/>
  <c r="D983" i="2"/>
  <c r="D981" i="2"/>
  <c r="D980" i="2"/>
  <c r="D979" i="2"/>
  <c r="D978" i="2"/>
  <c r="D972" i="2"/>
  <c r="D966" i="2"/>
  <c r="D964" i="2"/>
  <c r="D953" i="2"/>
  <c r="D952" i="2"/>
  <c r="D948" i="2"/>
  <c r="D947" i="2"/>
  <c r="D941" i="2"/>
  <c r="D938" i="2"/>
  <c r="D928" i="2"/>
  <c r="D926" i="2"/>
  <c r="D925" i="2"/>
  <c r="D924" i="2"/>
  <c r="D922" i="2"/>
  <c r="D921" i="2"/>
  <c r="D917" i="2"/>
  <c r="D915" i="2"/>
  <c r="D913" i="2"/>
  <c r="D905" i="2"/>
  <c r="D903" i="2"/>
  <c r="D902" i="2"/>
  <c r="D899" i="2"/>
  <c r="D895" i="2"/>
  <c r="D889" i="2"/>
  <c r="D888" i="2"/>
  <c r="D880" i="2"/>
  <c r="D875" i="2"/>
  <c r="D871" i="2"/>
  <c r="D870" i="2"/>
  <c r="D865" i="2"/>
  <c r="D863" i="2"/>
  <c r="D860" i="2"/>
  <c r="D854" i="2"/>
  <c r="D851" i="2"/>
  <c r="D846" i="2"/>
  <c r="D838" i="2"/>
  <c r="D837" i="2"/>
  <c r="D834" i="2"/>
  <c r="D833" i="2"/>
  <c r="D832" i="2"/>
  <c r="D831" i="2"/>
  <c r="D829" i="2"/>
  <c r="D828" i="2"/>
  <c r="D827" i="2"/>
  <c r="D826" i="2"/>
  <c r="D825" i="2"/>
  <c r="D824" i="2"/>
  <c r="D822" i="2"/>
  <c r="D821" i="2"/>
  <c r="D820" i="2"/>
  <c r="D819" i="2"/>
  <c r="D818" i="2"/>
  <c r="D817" i="2"/>
  <c r="D816" i="2"/>
  <c r="D815" i="2"/>
  <c r="D814" i="2"/>
  <c r="D813" i="2"/>
  <c r="D812" i="2"/>
  <c r="D811" i="2"/>
  <c r="D809" i="2"/>
  <c r="D807" i="2"/>
  <c r="D806" i="2"/>
  <c r="D805" i="2"/>
  <c r="D804" i="2"/>
  <c r="D803" i="2"/>
  <c r="D802" i="2"/>
  <c r="D801" i="2"/>
  <c r="D800" i="2"/>
  <c r="D797" i="2"/>
  <c r="D796" i="2"/>
  <c r="D794" i="2"/>
  <c r="D793" i="2"/>
  <c r="D791" i="2"/>
  <c r="D790" i="2"/>
  <c r="D789" i="2"/>
  <c r="D788" i="2"/>
  <c r="D787" i="2"/>
  <c r="D785" i="2"/>
  <c r="D784" i="2"/>
  <c r="D783" i="2"/>
  <c r="D782" i="2"/>
  <c r="D781" i="2"/>
  <c r="D780" i="2"/>
  <c r="D779" i="2"/>
  <c r="D778" i="2"/>
  <c r="D777" i="2"/>
  <c r="D776" i="2"/>
  <c r="D775" i="2"/>
  <c r="D774" i="2"/>
  <c r="D773" i="2"/>
  <c r="D772" i="2"/>
  <c r="D771" i="2"/>
  <c r="D769" i="2"/>
  <c r="D768" i="2"/>
  <c r="D767" i="2"/>
  <c r="D766" i="2"/>
  <c r="D765" i="2"/>
  <c r="D764" i="2"/>
  <c r="D763" i="2"/>
  <c r="D762" i="2"/>
  <c r="D761" i="2"/>
  <c r="D760" i="2"/>
  <c r="D759" i="2"/>
  <c r="D758" i="2"/>
  <c r="D757" i="2"/>
  <c r="D756" i="2"/>
  <c r="D755" i="2"/>
  <c r="D754" i="2"/>
  <c r="D753" i="2"/>
  <c r="D752" i="2"/>
  <c r="D751" i="2"/>
  <c r="D749" i="2"/>
  <c r="D748" i="2"/>
  <c r="D747" i="2"/>
  <c r="D746" i="2"/>
  <c r="D745" i="2"/>
  <c r="D742" i="2"/>
  <c r="D741" i="2"/>
  <c r="D740" i="2"/>
  <c r="D738" i="2"/>
  <c r="D737" i="2"/>
  <c r="D735" i="2"/>
  <c r="D734" i="2"/>
  <c r="D733" i="2"/>
  <c r="D732" i="2"/>
  <c r="D728" i="2"/>
  <c r="D727" i="2"/>
  <c r="D726" i="2"/>
  <c r="D725" i="2"/>
  <c r="D724" i="2"/>
  <c r="D723" i="2"/>
  <c r="D721" i="2"/>
  <c r="D719" i="2"/>
  <c r="D718" i="2"/>
  <c r="D717" i="2"/>
  <c r="D716" i="2"/>
  <c r="D715" i="2"/>
  <c r="D714" i="2"/>
  <c r="D713" i="2"/>
  <c r="D712" i="2"/>
  <c r="D711" i="2"/>
  <c r="D710" i="2"/>
  <c r="D709" i="2"/>
  <c r="D708" i="2"/>
  <c r="D707" i="2"/>
  <c r="D706" i="2"/>
  <c r="D705" i="2"/>
  <c r="D704" i="2"/>
  <c r="D703" i="2"/>
  <c r="D702" i="2"/>
  <c r="D701" i="2"/>
  <c r="D700" i="2"/>
  <c r="D697" i="2"/>
  <c r="D696" i="2"/>
  <c r="D694" i="2"/>
  <c r="D693" i="2"/>
  <c r="D692" i="2"/>
  <c r="D690" i="2"/>
  <c r="D689" i="2"/>
  <c r="D687" i="2"/>
  <c r="D685" i="2"/>
  <c r="D684" i="2"/>
  <c r="D683" i="2"/>
  <c r="D682" i="2"/>
  <c r="D681" i="2"/>
  <c r="D680" i="2"/>
  <c r="D679" i="2"/>
  <c r="D677" i="2"/>
  <c r="D676" i="2"/>
  <c r="D675" i="2"/>
  <c r="D674" i="2"/>
  <c r="D673" i="2"/>
  <c r="D672" i="2"/>
  <c r="D671" i="2"/>
  <c r="D670" i="2"/>
  <c r="D669" i="2"/>
  <c r="D668" i="2"/>
  <c r="D666" i="2"/>
  <c r="D665" i="2"/>
  <c r="D663" i="2"/>
  <c r="D662" i="2"/>
  <c r="D661" i="2"/>
  <c r="D659" i="2"/>
  <c r="D658" i="2"/>
  <c r="D657" i="2"/>
  <c r="D656" i="2"/>
  <c r="D655" i="2"/>
  <c r="D654" i="2"/>
  <c r="D653" i="2"/>
  <c r="D652" i="2"/>
  <c r="D651" i="2"/>
  <c r="D650" i="2"/>
  <c r="D649" i="2"/>
  <c r="D648" i="2"/>
  <c r="D647" i="2"/>
  <c r="D646" i="2"/>
  <c r="D645" i="2"/>
  <c r="D644" i="2"/>
  <c r="D643" i="2"/>
  <c r="D642" i="2"/>
  <c r="D641" i="2"/>
  <c r="D640" i="2"/>
  <c r="D638" i="2"/>
  <c r="D637" i="2"/>
  <c r="D636" i="2"/>
  <c r="D635" i="2"/>
  <c r="D634" i="2"/>
  <c r="D633" i="2"/>
  <c r="D632" i="2"/>
  <c r="D631" i="2"/>
  <c r="D630" i="2"/>
  <c r="D629" i="2"/>
  <c r="D628" i="2"/>
  <c r="D627" i="2"/>
  <c r="D626" i="2"/>
  <c r="D625" i="2"/>
  <c r="D624" i="2"/>
  <c r="D623" i="2"/>
  <c r="D622" i="2"/>
  <c r="D621" i="2"/>
  <c r="D620" i="2"/>
  <c r="D619" i="2"/>
  <c r="D618" i="2"/>
  <c r="D617" i="2"/>
  <c r="D616" i="2"/>
  <c r="D615" i="2"/>
  <c r="D613" i="2"/>
  <c r="D612" i="2"/>
  <c r="D611" i="2"/>
  <c r="D610" i="2"/>
  <c r="D609" i="2"/>
  <c r="D608" i="2"/>
  <c r="D607" i="2"/>
  <c r="D606" i="2"/>
  <c r="D605" i="2"/>
  <c r="D603" i="2"/>
  <c r="D601" i="2"/>
  <c r="D600" i="2"/>
  <c r="D599" i="2"/>
  <c r="D598" i="2"/>
  <c r="D597" i="2"/>
  <c r="D596" i="2"/>
  <c r="D595" i="2"/>
  <c r="D594" i="2"/>
  <c r="D593" i="2"/>
  <c r="D592" i="2"/>
  <c r="D591" i="2"/>
  <c r="D590" i="2"/>
  <c r="D589" i="2"/>
  <c r="D588" i="2"/>
  <c r="D587" i="2"/>
  <c r="D586" i="2"/>
  <c r="D585" i="2"/>
  <c r="D582" i="2"/>
  <c r="D581" i="2"/>
  <c r="D578" i="2"/>
  <c r="D577" i="2"/>
  <c r="D576" i="2"/>
  <c r="D575" i="2"/>
  <c r="D574" i="2"/>
  <c r="D573" i="2"/>
  <c r="D572" i="2"/>
  <c r="D571" i="2"/>
  <c r="D569" i="2"/>
  <c r="D568" i="2"/>
  <c r="D565" i="2"/>
  <c r="D564" i="2"/>
  <c r="D563" i="2"/>
  <c r="D562" i="2"/>
  <c r="D561" i="2"/>
  <c r="D559" i="2"/>
  <c r="D558" i="2"/>
  <c r="D557" i="2"/>
  <c r="D555" i="2"/>
  <c r="D554" i="2"/>
  <c r="D553" i="2"/>
  <c r="D552" i="2"/>
  <c r="D551" i="2"/>
  <c r="D550" i="2"/>
  <c r="D549" i="2"/>
  <c r="D548" i="2"/>
  <c r="D545" i="2"/>
  <c r="D544" i="2"/>
  <c r="D542" i="2"/>
  <c r="D541" i="2"/>
  <c r="D540" i="2"/>
  <c r="D537" i="2"/>
  <c r="D536" i="2"/>
  <c r="D535" i="2"/>
  <c r="D533" i="2"/>
  <c r="D532" i="2"/>
  <c r="D531" i="2"/>
  <c r="D530" i="2"/>
  <c r="D529" i="2"/>
  <c r="D527" i="2"/>
  <c r="D525" i="2"/>
  <c r="D522" i="2"/>
  <c r="D521" i="2"/>
  <c r="D520" i="2"/>
  <c r="D517" i="2"/>
  <c r="D515" i="2"/>
  <c r="D514" i="2"/>
  <c r="D513" i="2"/>
  <c r="D511" i="2"/>
  <c r="D510" i="2"/>
  <c r="D509" i="2"/>
  <c r="D508" i="2"/>
  <c r="D506" i="2"/>
  <c r="D505" i="2"/>
  <c r="D503" i="2"/>
  <c r="D502" i="2"/>
  <c r="D499" i="2"/>
  <c r="D497" i="2"/>
  <c r="D496" i="2"/>
  <c r="D495" i="2"/>
  <c r="D494" i="2"/>
  <c r="D493" i="2"/>
  <c r="D492" i="2"/>
  <c r="D491" i="2"/>
  <c r="D489" i="2"/>
  <c r="D488" i="2"/>
  <c r="D487" i="2"/>
  <c r="D486" i="2"/>
  <c r="D484" i="2"/>
  <c r="D483" i="2"/>
  <c r="D482" i="2"/>
  <c r="D480" i="2"/>
  <c r="D479" i="2"/>
  <c r="D475" i="2"/>
  <c r="D474" i="2"/>
  <c r="D473" i="2"/>
  <c r="D472" i="2"/>
  <c r="D471" i="2"/>
  <c r="D470" i="2"/>
  <c r="D469" i="2"/>
  <c r="D468" i="2"/>
  <c r="D467" i="2"/>
  <c r="D465" i="2"/>
  <c r="D464" i="2"/>
  <c r="D463" i="2"/>
  <c r="D462" i="2"/>
  <c r="D461" i="2"/>
  <c r="D460" i="2"/>
  <c r="D459" i="2"/>
  <c r="D458" i="2"/>
  <c r="D457" i="2"/>
  <c r="D456" i="2"/>
  <c r="D455" i="2"/>
  <c r="D453" i="2"/>
  <c r="D452" i="2"/>
  <c r="D451" i="2"/>
  <c r="D450" i="2"/>
  <c r="D447" i="2"/>
  <c r="D446" i="2"/>
  <c r="D441" i="2"/>
  <c r="D440" i="2"/>
  <c r="D439" i="2"/>
  <c r="D438" i="2"/>
  <c r="D437" i="2"/>
  <c r="D436" i="2"/>
  <c r="D435" i="2"/>
  <c r="D433" i="2"/>
  <c r="D432" i="2"/>
  <c r="D431" i="2"/>
  <c r="D430" i="2"/>
  <c r="D424" i="2"/>
  <c r="D421" i="2"/>
  <c r="D420" i="2"/>
  <c r="D419" i="2"/>
  <c r="D418" i="2"/>
  <c r="D417" i="2"/>
  <c r="D416" i="2"/>
  <c r="D414" i="2"/>
  <c r="D413" i="2"/>
  <c r="D412" i="2"/>
  <c r="D411" i="2"/>
  <c r="D410" i="2"/>
  <c r="D409" i="2"/>
  <c r="D408" i="2"/>
  <c r="D407" i="2"/>
  <c r="D406" i="2"/>
  <c r="D405" i="2"/>
  <c r="D404" i="2"/>
  <c r="D403" i="2"/>
  <c r="D401" i="2"/>
  <c r="D399" i="2"/>
  <c r="D398" i="2"/>
  <c r="D397" i="2"/>
  <c r="D396" i="2"/>
  <c r="D394" i="2"/>
  <c r="D393" i="2"/>
  <c r="D392" i="2"/>
  <c r="D391" i="2"/>
  <c r="D388" i="2"/>
  <c r="D387" i="2"/>
  <c r="D384" i="2"/>
  <c r="D374" i="2"/>
  <c r="D372" i="2"/>
  <c r="D371" i="2"/>
  <c r="D370" i="2"/>
  <c r="D369" i="2"/>
  <c r="D368" i="2"/>
  <c r="D365" i="2"/>
  <c r="D362" i="2"/>
  <c r="D361" i="2"/>
  <c r="D358" i="2"/>
  <c r="D357" i="2"/>
  <c r="D356" i="2"/>
  <c r="D355" i="2"/>
  <c r="D351" i="2"/>
  <c r="D349" i="2"/>
  <c r="D348" i="2"/>
  <c r="D347" i="2"/>
  <c r="D346" i="2"/>
  <c r="D345" i="2"/>
  <c r="D344" i="2"/>
  <c r="D343" i="2"/>
  <c r="D342" i="2"/>
  <c r="D341" i="2"/>
  <c r="D340" i="2"/>
  <c r="D339" i="2"/>
  <c r="D338" i="2"/>
  <c r="D337" i="2"/>
  <c r="D336" i="2"/>
  <c r="D333" i="2"/>
  <c r="D332" i="2"/>
  <c r="D330" i="2"/>
  <c r="D329" i="2"/>
  <c r="D328" i="2"/>
  <c r="D326" i="2"/>
  <c r="D325" i="2"/>
  <c r="D324" i="2"/>
  <c r="D323" i="2"/>
  <c r="D322" i="2"/>
  <c r="D321" i="2"/>
  <c r="D320" i="2"/>
  <c r="D319" i="2"/>
  <c r="D318" i="2"/>
  <c r="D317" i="2"/>
  <c r="D313" i="2"/>
  <c r="D309" i="2"/>
  <c r="D305" i="2"/>
  <c r="D304" i="2"/>
  <c r="D303" i="2"/>
  <c r="D302" i="2"/>
  <c r="D301" i="2"/>
  <c r="D298" i="2"/>
  <c r="D296" i="2"/>
  <c r="D293" i="2"/>
  <c r="D289" i="2"/>
  <c r="D288" i="2"/>
  <c r="D287" i="2"/>
  <c r="D286" i="2"/>
  <c r="D285" i="2"/>
  <c r="D284" i="2"/>
  <c r="D283" i="2"/>
  <c r="D282" i="2"/>
  <c r="D281" i="2"/>
  <c r="D280" i="2"/>
  <c r="D279" i="2"/>
  <c r="D278" i="2"/>
  <c r="D277" i="2"/>
  <c r="D274" i="2"/>
  <c r="D273" i="2"/>
  <c r="D271" i="2"/>
  <c r="D269" i="2"/>
  <c r="D268" i="2"/>
  <c r="D266" i="2"/>
  <c r="D265" i="2"/>
  <c r="D264" i="2"/>
  <c r="D263" i="2"/>
  <c r="D262" i="2"/>
  <c r="D261" i="2"/>
  <c r="D260" i="2"/>
  <c r="D258" i="2"/>
  <c r="D255" i="2"/>
  <c r="D254" i="2"/>
  <c r="D253" i="2"/>
  <c r="D252" i="2"/>
  <c r="D251" i="2"/>
  <c r="D248" i="2"/>
  <c r="D245" i="2"/>
  <c r="D244" i="2"/>
  <c r="D241" i="2"/>
  <c r="D240" i="2"/>
  <c r="D238" i="2"/>
  <c r="D237" i="2"/>
  <c r="D234" i="2"/>
  <c r="D233" i="2"/>
  <c r="D232" i="2"/>
  <c r="D231" i="2"/>
  <c r="D229" i="2"/>
  <c r="D228" i="2"/>
  <c r="D226" i="2"/>
  <c r="D225" i="2"/>
  <c r="D224" i="2"/>
  <c r="D223" i="2"/>
  <c r="D221" i="2"/>
  <c r="D220" i="2"/>
  <c r="D217" i="2"/>
  <c r="D215" i="2"/>
  <c r="D214" i="2"/>
  <c r="D212" i="2"/>
  <c r="D211" i="2"/>
  <c r="D210" i="2"/>
  <c r="D209" i="2"/>
  <c r="D208" i="2"/>
  <c r="D207" i="2"/>
  <c r="D205" i="2"/>
  <c r="D203" i="2"/>
  <c r="D202" i="2"/>
  <c r="D200" i="2"/>
  <c r="D197" i="2"/>
  <c r="D196" i="2"/>
  <c r="D195" i="2"/>
  <c r="D193" i="2"/>
  <c r="D189" i="2"/>
  <c r="D188" i="2"/>
  <c r="D187" i="2"/>
  <c r="D186" i="2"/>
  <c r="D185" i="2"/>
  <c r="D184" i="2"/>
  <c r="D183" i="2"/>
  <c r="D182" i="2"/>
  <c r="D181" i="2"/>
  <c r="D180" i="2"/>
  <c r="D179" i="2"/>
  <c r="D178" i="2"/>
  <c r="D177" i="2"/>
  <c r="D175" i="2"/>
  <c r="D174" i="2"/>
  <c r="D173" i="2"/>
  <c r="D169" i="2"/>
  <c r="D167" i="2"/>
  <c r="D166" i="2"/>
  <c r="D165" i="2"/>
  <c r="D163" i="2"/>
  <c r="D162" i="2"/>
  <c r="D161" i="2"/>
  <c r="D158" i="2"/>
  <c r="D157" i="2"/>
  <c r="D156" i="2"/>
  <c r="D155" i="2"/>
  <c r="D151" i="2"/>
  <c r="D150" i="2"/>
  <c r="D149" i="2"/>
  <c r="D147" i="2"/>
  <c r="D145" i="2"/>
  <c r="D144" i="2"/>
  <c r="D142" i="2"/>
  <c r="D140" i="2"/>
  <c r="D139" i="2"/>
  <c r="D133" i="2"/>
  <c r="D131" i="2"/>
  <c r="D130" i="2"/>
  <c r="D129" i="2"/>
  <c r="D118" i="2"/>
  <c r="D116" i="2"/>
  <c r="D115" i="2"/>
  <c r="D114" i="2"/>
  <c r="D113" i="2"/>
  <c r="D112" i="2"/>
  <c r="D111" i="2"/>
  <c r="D110" i="2"/>
  <c r="D109" i="2"/>
  <c r="D106" i="2"/>
  <c r="D101" i="2"/>
  <c r="D98" i="2"/>
  <c r="D97" i="2"/>
  <c r="D94" i="2"/>
  <c r="D93" i="2"/>
  <c r="D91" i="2"/>
  <c r="D85" i="2"/>
  <c r="D84" i="2"/>
  <c r="D83" i="2"/>
  <c r="D77" i="2"/>
  <c r="D74" i="2"/>
  <c r="D72" i="2"/>
  <c r="D71" i="2"/>
  <c r="D69" i="2"/>
  <c r="D63" i="2"/>
  <c r="D62" i="2"/>
  <c r="D60" i="2"/>
  <c r="D59" i="2"/>
  <c r="D56" i="2"/>
  <c r="D54" i="2"/>
  <c r="D53" i="2"/>
  <c r="D52" i="2"/>
  <c r="D49" i="2"/>
  <c r="D48" i="2"/>
  <c r="D47" i="2"/>
  <c r="D46" i="2"/>
  <c r="D45" i="2"/>
  <c r="D44" i="2"/>
  <c r="D39" i="2"/>
  <c r="D37" i="2"/>
  <c r="D35" i="2"/>
  <c r="D31" i="2"/>
  <c r="D29" i="2"/>
  <c r="D26" i="2"/>
  <c r="D25" i="2"/>
  <c r="D24" i="2"/>
  <c r="D20" i="2"/>
  <c r="D19" i="2"/>
  <c r="D17" i="2"/>
  <c r="D15" i="2"/>
  <c r="D13" i="2"/>
  <c r="D11" i="2"/>
  <c r="D9" i="2"/>
  <c r="D8" i="2"/>
  <c r="D6" i="2"/>
  <c r="D3330" i="4"/>
  <c r="D3338" i="4"/>
  <c r="D3342" i="4"/>
  <c r="D3350" i="4"/>
  <c r="D3354" i="4"/>
  <c r="D3358" i="4"/>
  <c r="D3362" i="4"/>
  <c r="D3366" i="4"/>
  <c r="D3370" i="4"/>
  <c r="D3374" i="4"/>
  <c r="D3382" i="4"/>
  <c r="D3390" i="4"/>
  <c r="D3394" i="4"/>
  <c r="D3402" i="4"/>
  <c r="D3410" i="4"/>
  <c r="D3414" i="4"/>
  <c r="D3418" i="4"/>
  <c r="D3422" i="4"/>
  <c r="D3426" i="4"/>
  <c r="D3430" i="4"/>
  <c r="D3434" i="4"/>
  <c r="D3438" i="4"/>
  <c r="D3442" i="4"/>
  <c r="D3446" i="4"/>
  <c r="D3458" i="4"/>
  <c r="D3462" i="4"/>
  <c r="D3466" i="4"/>
  <c r="D8" i="4"/>
  <c r="D12" i="4"/>
  <c r="D16" i="4"/>
  <c r="D20" i="4"/>
  <c r="D24" i="4"/>
  <c r="D28" i="4"/>
  <c r="D32" i="4"/>
  <c r="D36" i="4"/>
  <c r="D40" i="4"/>
  <c r="D44" i="4"/>
  <c r="D48" i="4"/>
  <c r="D52" i="4"/>
  <c r="D56" i="4"/>
  <c r="D60" i="4"/>
  <c r="D64" i="4"/>
  <c r="D68" i="4"/>
  <c r="D72" i="4"/>
  <c r="D76" i="4"/>
  <c r="D80" i="4"/>
  <c r="D84" i="4"/>
  <c r="D88" i="4"/>
  <c r="D92" i="4"/>
  <c r="D96" i="4"/>
  <c r="D100" i="4"/>
  <c r="D104" i="4"/>
  <c r="D108" i="4"/>
  <c r="D112" i="4"/>
  <c r="D116" i="4"/>
  <c r="D120" i="4"/>
  <c r="D124" i="4"/>
  <c r="D128" i="4"/>
  <c r="D132" i="4"/>
  <c r="D136" i="4"/>
  <c r="D140" i="4"/>
  <c r="D144" i="4"/>
  <c r="D148" i="4"/>
  <c r="D152" i="4"/>
  <c r="D156" i="4"/>
  <c r="D160" i="4"/>
  <c r="D164" i="4"/>
  <c r="D168" i="4"/>
  <c r="D172" i="4"/>
  <c r="D176" i="4"/>
  <c r="D180" i="4"/>
  <c r="D408" i="4"/>
  <c r="D412" i="4"/>
  <c r="D416" i="4"/>
  <c r="D420" i="4"/>
  <c r="D424" i="4"/>
  <c r="D428" i="4"/>
  <c r="D432" i="4"/>
  <c r="D436" i="4"/>
  <c r="D440" i="4"/>
  <c r="D444" i="4"/>
  <c r="D448" i="4"/>
  <c r="D452" i="4"/>
  <c r="D456" i="4"/>
  <c r="D460" i="4"/>
  <c r="D464" i="4"/>
  <c r="D468" i="4"/>
  <c r="D472" i="4"/>
  <c r="D476" i="4"/>
  <c r="D480" i="4"/>
  <c r="D484" i="4"/>
  <c r="D488" i="4"/>
  <c r="D492" i="4"/>
  <c r="D496" i="4"/>
  <c r="D500" i="4"/>
  <c r="D504" i="4"/>
  <c r="D508" i="4"/>
  <c r="D512" i="4"/>
  <c r="D516" i="4"/>
  <c r="D520" i="4"/>
  <c r="D524" i="4"/>
  <c r="D528" i="4"/>
  <c r="D532" i="4"/>
  <c r="D536" i="4"/>
  <c r="D540" i="4"/>
  <c r="D544" i="4"/>
  <c r="D548" i="4"/>
  <c r="D552" i="4"/>
  <c r="D556" i="4"/>
  <c r="D560" i="4"/>
  <c r="D564" i="4"/>
  <c r="D568" i="4"/>
  <c r="D572" i="4"/>
  <c r="D576" i="4"/>
  <c r="D580" i="4"/>
  <c r="D584" i="4"/>
  <c r="D588" i="4"/>
  <c r="D592" i="4"/>
  <c r="D596" i="4"/>
  <c r="D600" i="4"/>
  <c r="D604" i="4"/>
  <c r="D608" i="4"/>
  <c r="D612" i="4"/>
  <c r="D616" i="4"/>
  <c r="D620" i="4"/>
  <c r="D624" i="4"/>
  <c r="D628" i="4"/>
  <c r="D632" i="4"/>
  <c r="D636" i="4"/>
  <c r="D640" i="4"/>
  <c r="D644" i="4"/>
  <c r="D648" i="4"/>
  <c r="D652" i="4"/>
  <c r="D656" i="4"/>
  <c r="D660" i="4"/>
  <c r="D664" i="4"/>
  <c r="D668" i="4"/>
  <c r="D672" i="4"/>
  <c r="D676" i="4"/>
  <c r="D680" i="4"/>
  <c r="D684" i="4"/>
  <c r="D688" i="4"/>
  <c r="D692" i="4"/>
  <c r="D696" i="4"/>
  <c r="D700" i="4"/>
  <c r="D704" i="4"/>
  <c r="D708" i="4"/>
  <c r="D712" i="4"/>
  <c r="D716" i="4"/>
  <c r="D720" i="4"/>
  <c r="D724" i="4"/>
  <c r="D728" i="4"/>
  <c r="D732" i="4"/>
  <c r="D736" i="4"/>
  <c r="D740" i="4"/>
  <c r="D744" i="4"/>
  <c r="D748" i="4"/>
  <c r="D752" i="4"/>
  <c r="D756" i="4"/>
  <c r="D760" i="4"/>
  <c r="D764" i="4"/>
  <c r="D768" i="4"/>
  <c r="D772" i="4"/>
  <c r="D776" i="4"/>
  <c r="D780" i="4"/>
  <c r="D784" i="4"/>
  <c r="D788" i="4"/>
  <c r="D792" i="4"/>
  <c r="D796" i="4"/>
  <c r="D800" i="4"/>
  <c r="D804" i="4"/>
  <c r="D808" i="4"/>
  <c r="D812" i="4"/>
  <c r="D816" i="4"/>
  <c r="D820" i="4"/>
  <c r="D824" i="4"/>
  <c r="D828" i="4"/>
  <c r="D832" i="4"/>
  <c r="D836" i="4"/>
  <c r="D840" i="4"/>
  <c r="D844" i="4"/>
  <c r="D848" i="4"/>
  <c r="D852" i="4"/>
  <c r="D856" i="4"/>
  <c r="D860" i="4"/>
  <c r="D864" i="4"/>
  <c r="D868" i="4"/>
  <c r="D872" i="4"/>
  <c r="D876" i="4"/>
  <c r="D880" i="4"/>
  <c r="D884" i="4"/>
  <c r="D888" i="4"/>
  <c r="D892" i="4"/>
  <c r="D896" i="4"/>
  <c r="D900" i="4"/>
  <c r="D904" i="4"/>
  <c r="D908" i="4"/>
  <c r="D912" i="4"/>
  <c r="D916" i="4"/>
  <c r="D920" i="4"/>
  <c r="D924" i="4"/>
  <c r="D928" i="4"/>
  <c r="D932" i="4"/>
  <c r="D936" i="4"/>
  <c r="D940" i="4"/>
  <c r="D944" i="4"/>
  <c r="D948" i="4"/>
  <c r="D952" i="4"/>
  <c r="D956" i="4"/>
  <c r="D960" i="4"/>
  <c r="D964" i="4"/>
  <c r="D968" i="4"/>
  <c r="D972" i="4"/>
  <c r="D976" i="4"/>
  <c r="D980" i="4"/>
  <c r="D984" i="4"/>
  <c r="D988" i="4"/>
  <c r="D992" i="4"/>
  <c r="D996" i="4"/>
  <c r="D1000" i="4"/>
  <c r="D1004" i="4"/>
  <c r="D1008" i="4"/>
  <c r="D1012" i="4"/>
  <c r="D1016" i="4"/>
  <c r="D1020" i="4"/>
  <c r="D1024" i="4"/>
  <c r="D1028" i="4"/>
  <c r="D1032" i="4"/>
  <c r="D1036" i="4"/>
  <c r="D1040" i="4"/>
  <c r="D1044" i="4"/>
  <c r="D1048" i="4"/>
  <c r="D1052" i="4"/>
  <c r="D1056" i="4"/>
  <c r="D1060" i="4"/>
  <c r="D1064" i="4"/>
  <c r="D1068" i="4"/>
  <c r="D1072" i="4"/>
  <c r="D1076" i="4"/>
  <c r="D1080" i="4"/>
  <c r="D1084" i="4"/>
  <c r="D1088" i="4"/>
  <c r="D1092" i="4"/>
  <c r="D1096" i="4"/>
  <c r="D1100" i="4"/>
  <c r="D1104" i="4"/>
  <c r="D1108" i="4"/>
  <c r="D1112" i="4"/>
  <c r="D1116" i="4"/>
  <c r="D1120" i="4"/>
  <c r="D1124" i="4"/>
  <c r="D1128" i="4"/>
  <c r="D1132" i="4"/>
  <c r="D1136" i="4"/>
  <c r="D1140" i="4"/>
  <c r="D1144" i="4"/>
  <c r="D1148" i="4"/>
  <c r="D1152" i="4"/>
  <c r="D1156" i="4"/>
  <c r="D1160" i="4"/>
  <c r="D1164" i="4"/>
  <c r="D1168" i="4"/>
  <c r="D1172" i="4"/>
  <c r="D1176" i="4"/>
  <c r="D1180" i="4"/>
  <c r="D1184" i="4"/>
  <c r="D1188" i="4"/>
  <c r="D1192" i="4"/>
  <c r="D1196" i="4"/>
  <c r="D1200" i="4"/>
  <c r="D1204" i="4"/>
  <c r="D1208" i="4"/>
  <c r="D1212" i="4"/>
  <c r="D1216" i="4"/>
  <c r="D1220" i="4"/>
  <c r="D1224" i="4"/>
  <c r="D1228" i="4"/>
  <c r="D1232" i="4"/>
  <c r="D1236" i="4"/>
  <c r="D1240" i="4"/>
  <c r="D1244" i="4"/>
  <c r="D1248" i="4"/>
  <c r="D1252" i="4"/>
  <c r="D1256" i="4"/>
  <c r="D1260" i="4"/>
  <c r="D1264" i="4"/>
  <c r="D1268" i="4"/>
  <c r="D1272" i="4"/>
  <c r="D1276" i="4"/>
  <c r="D1280" i="4"/>
  <c r="D1284" i="4"/>
  <c r="D1288" i="4"/>
  <c r="D1292" i="4"/>
  <c r="D1296" i="4"/>
  <c r="D1300" i="4"/>
  <c r="D1304" i="4"/>
  <c r="D1308" i="4"/>
  <c r="D1312" i="4"/>
  <c r="D1316" i="4"/>
  <c r="D1320" i="4"/>
  <c r="D1324" i="4"/>
  <c r="D1328" i="4"/>
  <c r="D1332" i="4"/>
  <c r="D1336" i="4"/>
  <c r="D1340" i="4"/>
  <c r="D1344" i="4"/>
  <c r="D1348" i="4"/>
  <c r="D1352" i="4"/>
  <c r="D1356" i="4"/>
  <c r="D1360" i="4"/>
  <c r="D1364" i="4"/>
  <c r="D1368" i="4"/>
  <c r="D1372" i="4"/>
  <c r="D1376" i="4"/>
  <c r="D1380" i="4"/>
  <c r="D1384" i="4"/>
  <c r="D1388" i="4"/>
  <c r="D1392" i="4"/>
  <c r="D1396" i="4"/>
  <c r="D1400" i="4"/>
  <c r="D1404" i="4"/>
  <c r="D1408" i="4"/>
  <c r="D1412" i="4"/>
  <c r="D1416" i="4"/>
  <c r="D1420" i="4"/>
  <c r="D1424" i="4"/>
  <c r="D1428" i="4"/>
  <c r="D1432" i="4"/>
  <c r="D1436" i="4"/>
  <c r="D1440" i="4"/>
  <c r="D1444" i="4"/>
  <c r="D1448" i="4"/>
  <c r="D1452" i="4"/>
  <c r="D1456" i="4"/>
  <c r="D1460" i="4"/>
  <c r="D1464" i="4"/>
  <c r="D1468" i="4"/>
  <c r="D1472" i="4"/>
  <c r="D1476" i="4"/>
  <c r="D2804" i="4"/>
  <c r="D2808" i="4"/>
  <c r="D2816" i="4"/>
  <c r="D2828" i="4"/>
  <c r="D2844" i="4"/>
  <c r="D2848" i="4"/>
  <c r="D2860" i="4"/>
  <c r="D2864" i="4"/>
  <c r="D2876" i="4"/>
  <c r="D2896" i="4"/>
  <c r="D2908" i="4"/>
  <c r="D2912" i="4"/>
  <c r="D2916" i="4"/>
  <c r="D3450" i="4"/>
  <c r="D3454" i="4"/>
  <c r="D3470" i="4"/>
  <c r="D2920" i="4"/>
  <c r="D2884" i="4"/>
  <c r="D2888" i="4"/>
  <c r="D1480" i="4"/>
  <c r="D1484" i="4"/>
  <c r="D1488" i="4"/>
  <c r="D1492" i="4"/>
  <c r="D1496" i="4"/>
  <c r="D1500" i="4"/>
  <c r="D1504" i="4"/>
  <c r="D1508" i="4"/>
  <c r="D1512" i="4"/>
  <c r="D1516" i="4"/>
  <c r="D1520" i="4"/>
  <c r="D1524" i="4"/>
  <c r="D1528" i="4"/>
  <c r="D1532" i="4"/>
  <c r="D1536" i="4"/>
  <c r="D1540" i="4"/>
  <c r="D1544" i="4"/>
  <c r="D1548" i="4"/>
  <c r="D1552" i="4"/>
  <c r="D1556" i="4"/>
  <c r="D1560" i="4"/>
  <c r="D1564" i="4"/>
  <c r="D1568" i="4"/>
  <c r="D1572" i="4"/>
  <c r="D1576" i="4"/>
  <c r="D2924" i="4"/>
  <c r="D2928" i="4"/>
  <c r="D2932" i="4"/>
  <c r="D2936" i="4"/>
  <c r="D2948" i="4"/>
  <c r="D2952" i="4"/>
  <c r="D2964" i="4"/>
  <c r="D2972" i="4"/>
  <c r="D2980" i="4"/>
  <c r="D2984" i="4"/>
  <c r="D2992" i="4"/>
  <c r="D3008" i="4"/>
  <c r="D3012" i="4"/>
  <c r="D3016" i="4"/>
  <c r="D3024" i="4"/>
  <c r="D3028" i="4"/>
  <c r="D3032" i="4"/>
  <c r="D3076" i="4"/>
  <c r="D3080" i="4"/>
  <c r="D3088" i="4"/>
  <c r="D3092" i="4"/>
  <c r="D3100" i="4"/>
  <c r="D3104" i="4"/>
  <c r="D3120" i="4"/>
  <c r="D3172" i="4"/>
  <c r="D3188" i="4"/>
  <c r="D3192" i="4"/>
  <c r="D3196" i="4"/>
  <c r="D3200" i="4"/>
  <c r="D3204" i="4"/>
  <c r="D3208" i="4"/>
  <c r="D3232" i="4"/>
  <c r="D3236" i="4"/>
  <c r="D3264" i="4"/>
  <c r="D3268" i="4"/>
  <c r="D3272" i="4"/>
  <c r="D3280" i="4"/>
  <c r="D3284" i="4"/>
  <c r="D3288" i="4"/>
  <c r="D3296" i="4"/>
  <c r="D3304" i="4"/>
  <c r="D3312" i="4"/>
  <c r="D3316" i="4"/>
  <c r="D3324" i="4"/>
  <c r="D3328" i="4"/>
  <c r="D3332" i="4"/>
  <c r="D3336" i="4"/>
  <c r="D3344" i="4"/>
  <c r="D3348" i="4"/>
  <c r="D3356" i="4"/>
  <c r="D3364" i="4"/>
  <c r="D3368" i="4"/>
  <c r="D3372" i="4"/>
  <c r="D3376" i="4"/>
  <c r="D3380" i="4"/>
  <c r="D3384" i="4"/>
  <c r="D3388" i="4"/>
  <c r="D3392" i="4"/>
  <c r="D3396" i="4"/>
  <c r="D3400" i="4"/>
  <c r="D2708" i="4"/>
  <c r="D2716" i="4"/>
  <c r="D2724" i="4"/>
  <c r="D2728" i="4"/>
  <c r="D2736" i="4"/>
  <c r="D2744" i="4"/>
  <c r="D2752" i="4"/>
  <c r="D2764" i="4"/>
  <c r="D2772" i="4"/>
  <c r="D2776" i="4"/>
  <c r="D2788" i="4"/>
  <c r="D2792" i="4"/>
  <c r="D3474" i="4"/>
  <c r="D3478" i="4"/>
  <c r="D3482" i="4"/>
  <c r="D3486" i="4"/>
  <c r="D3490" i="4"/>
  <c r="D3494" i="4"/>
  <c r="D3498" i="4"/>
  <c r="D3502" i="4"/>
  <c r="D3506" i="4"/>
  <c r="D3510" i="4"/>
  <c r="D3514" i="4"/>
  <c r="D3518" i="4"/>
  <c r="D3522" i="4"/>
  <c r="D3526" i="4"/>
  <c r="D3530" i="4"/>
  <c r="D3534" i="4"/>
  <c r="D3538" i="4"/>
  <c r="D3542" i="4"/>
  <c r="D3546" i="4"/>
  <c r="D3550" i="4"/>
  <c r="D3554" i="4"/>
  <c r="D3558" i="4"/>
  <c r="D3562" i="4"/>
  <c r="D3566" i="4"/>
  <c r="D3570" i="4"/>
  <c r="D3574" i="4"/>
  <c r="D11" i="4"/>
  <c r="D15" i="4"/>
  <c r="D19" i="4"/>
  <c r="D23" i="4"/>
  <c r="D27" i="4"/>
  <c r="D31" i="4"/>
  <c r="D35" i="4"/>
  <c r="D39" i="4"/>
  <c r="D43" i="4"/>
  <c r="D10" i="4"/>
  <c r="D14" i="4"/>
  <c r="D18" i="4"/>
  <c r="D22" i="4"/>
  <c r="D26" i="4"/>
  <c r="D30" i="4"/>
  <c r="D34" i="4"/>
  <c r="D38" i="4"/>
  <c r="D42" i="4"/>
  <c r="D46" i="4"/>
  <c r="D50" i="4"/>
  <c r="D54" i="4"/>
  <c r="D58" i="4"/>
  <c r="D62" i="4"/>
  <c r="D66" i="4"/>
  <c r="D70" i="4"/>
  <c r="D74" i="4"/>
  <c r="D78" i="4"/>
  <c r="D3176" i="4"/>
  <c r="D47" i="4"/>
  <c r="D51" i="4"/>
  <c r="D55" i="4"/>
  <c r="D2359" i="4"/>
  <c r="D2363" i="4"/>
  <c r="D2367" i="4"/>
  <c r="D2371" i="4"/>
  <c r="D2375" i="4"/>
  <c r="D2379" i="4"/>
  <c r="D2391" i="4"/>
  <c r="D2395" i="4"/>
  <c r="D2399" i="4"/>
  <c r="D2403" i="4"/>
  <c r="D2407" i="4"/>
  <c r="D2411" i="4"/>
  <c r="D82" i="4"/>
  <c r="D86" i="4"/>
  <c r="D90" i="4"/>
  <c r="D94" i="4"/>
  <c r="D98" i="4"/>
  <c r="D102" i="4"/>
  <c r="D106" i="4"/>
  <c r="D110" i="4"/>
  <c r="D114" i="4"/>
  <c r="D118" i="4"/>
  <c r="D122" i="4"/>
  <c r="D126" i="4"/>
  <c r="D130" i="4"/>
  <c r="D134" i="4"/>
  <c r="D138" i="4"/>
  <c r="D142" i="4"/>
  <c r="D146" i="4"/>
  <c r="D150" i="4"/>
  <c r="D154" i="4"/>
  <c r="D158" i="4"/>
  <c r="D162" i="4"/>
  <c r="D166" i="4"/>
  <c r="D170" i="4"/>
  <c r="D174" i="4"/>
  <c r="D178" i="4"/>
  <c r="D182" i="4"/>
  <c r="D186" i="4"/>
  <c r="D190" i="4"/>
  <c r="D194" i="4"/>
  <c r="D198" i="4"/>
  <c r="D202" i="4"/>
  <c r="D206" i="4"/>
  <c r="D210" i="4"/>
  <c r="D214" i="4"/>
  <c r="D218" i="4"/>
  <c r="D222" i="4"/>
  <c r="D226" i="4"/>
  <c r="D230" i="4"/>
  <c r="D234" i="4"/>
  <c r="D238" i="4"/>
  <c r="D242" i="4"/>
  <c r="D246" i="4"/>
  <c r="D250" i="4"/>
  <c r="D254" i="4"/>
  <c r="D258" i="4"/>
  <c r="D262" i="4"/>
  <c r="D266" i="4"/>
  <c r="D270" i="4"/>
  <c r="D274" i="4"/>
  <c r="D278" i="4"/>
  <c r="D282" i="4"/>
  <c r="D286" i="4"/>
  <c r="D290" i="4"/>
  <c r="D294" i="4"/>
  <c r="D298" i="4"/>
  <c r="D302" i="4"/>
  <c r="D306" i="4"/>
  <c r="D310" i="4"/>
  <c r="D314" i="4"/>
  <c r="D318" i="4"/>
  <c r="D322" i="4"/>
  <c r="D326" i="4"/>
  <c r="D330" i="4"/>
  <c r="D334" i="4"/>
  <c r="D338" i="4"/>
  <c r="D342" i="4"/>
  <c r="D346" i="4"/>
  <c r="D350" i="4"/>
  <c r="D354" i="4"/>
  <c r="D358" i="4"/>
  <c r="D362" i="4"/>
  <c r="D366" i="4"/>
  <c r="D370" i="4"/>
  <c r="D374" i="4"/>
  <c r="D378" i="4"/>
  <c r="D382" i="4"/>
  <c r="D386" i="4"/>
  <c r="D390" i="4"/>
  <c r="D394" i="4"/>
  <c r="D398" i="4"/>
  <c r="D402" i="4"/>
  <c r="D406" i="4"/>
  <c r="D410" i="4"/>
  <c r="D414" i="4"/>
  <c r="D418" i="4"/>
  <c r="D422" i="4"/>
  <c r="D426" i="4"/>
  <c r="D430" i="4"/>
  <c r="D434" i="4"/>
  <c r="D438" i="4"/>
  <c r="D442" i="4"/>
  <c r="D446" i="4"/>
  <c r="D450" i="4"/>
  <c r="D454" i="4"/>
  <c r="D458" i="4"/>
  <c r="D462" i="4"/>
  <c r="D466" i="4"/>
  <c r="D470" i="4"/>
  <c r="D474" i="4"/>
  <c r="D478" i="4"/>
  <c r="D482" i="4"/>
  <c r="D486" i="4"/>
  <c r="D490" i="4"/>
  <c r="D494" i="4"/>
  <c r="D498" i="4"/>
  <c r="D502" i="4"/>
  <c r="D506" i="4"/>
  <c r="D510" i="4"/>
  <c r="D514" i="4"/>
  <c r="D518" i="4"/>
  <c r="D522" i="4"/>
  <c r="D526" i="4"/>
  <c r="D530" i="4"/>
  <c r="D534" i="4"/>
  <c r="D538" i="4"/>
  <c r="D542" i="4"/>
  <c r="D546" i="4"/>
  <c r="D550" i="4"/>
  <c r="D554" i="4"/>
  <c r="D558" i="4"/>
  <c r="D562" i="4"/>
  <c r="D566" i="4"/>
  <c r="D570" i="4"/>
  <c r="D574" i="4"/>
  <c r="D578" i="4"/>
  <c r="D582" i="4"/>
  <c r="D586" i="4"/>
  <c r="D590" i="4"/>
  <c r="D594" i="4"/>
  <c r="D598" i="4"/>
  <c r="D602" i="4"/>
  <c r="D606" i="4"/>
  <c r="D610" i="4"/>
  <c r="D654" i="4"/>
  <c r="D658" i="4"/>
  <c r="D662" i="4"/>
  <c r="D666" i="4"/>
  <c r="D670" i="4"/>
  <c r="D674" i="4"/>
  <c r="D678" i="4"/>
  <c r="D682" i="4"/>
  <c r="D686" i="4"/>
  <c r="D690" i="4"/>
  <c r="D694" i="4"/>
  <c r="D698" i="4"/>
  <c r="D702" i="4"/>
  <c r="D706" i="4"/>
  <c r="D710" i="4"/>
  <c r="D714" i="4"/>
  <c r="D718" i="4"/>
  <c r="D722" i="4"/>
  <c r="D726" i="4"/>
  <c r="D730" i="4"/>
  <c r="D734" i="4"/>
  <c r="D738" i="4"/>
  <c r="D742" i="4"/>
  <c r="D746" i="4"/>
  <c r="D750" i="4"/>
  <c r="D754" i="4"/>
  <c r="D758" i="4"/>
  <c r="D762" i="4"/>
  <c r="D766" i="4"/>
  <c r="D770" i="4"/>
  <c r="D774" i="4"/>
  <c r="D778" i="4"/>
  <c r="D782" i="4"/>
  <c r="D874" i="4"/>
  <c r="D878" i="4"/>
  <c r="D882" i="4"/>
  <c r="D886" i="4"/>
  <c r="D890" i="4"/>
  <c r="D894" i="4"/>
  <c r="D898" i="4"/>
  <c r="D902" i="4"/>
  <c r="D906" i="4"/>
  <c r="D910" i="4"/>
  <c r="D914" i="4"/>
  <c r="D918" i="4"/>
  <c r="D922" i="4"/>
  <c r="D926" i="4"/>
  <c r="D930" i="4"/>
  <c r="D934" i="4"/>
  <c r="D938" i="4"/>
  <c r="D942" i="4"/>
  <c r="D946" i="4"/>
  <c r="D950" i="4"/>
  <c r="D954" i="4"/>
  <c r="D958" i="4"/>
  <c r="D962" i="4"/>
  <c r="D966" i="4"/>
  <c r="D970" i="4"/>
  <c r="D974" i="4"/>
  <c r="D978" i="4"/>
  <c r="D982" i="4"/>
  <c r="D986" i="4"/>
  <c r="D990" i="4"/>
  <c r="D994" i="4"/>
  <c r="D998" i="4"/>
  <c r="D1002" i="4"/>
  <c r="D1006" i="4"/>
  <c r="D1010" i="4"/>
  <c r="D1014" i="4"/>
  <c r="D1018" i="4"/>
  <c r="D1022" i="4"/>
  <c r="D1026" i="4"/>
  <c r="D1030" i="4"/>
  <c r="D1034" i="4"/>
  <c r="D1038" i="4"/>
  <c r="D1042" i="4"/>
  <c r="D1046" i="4"/>
  <c r="D1050" i="4"/>
  <c r="D1054" i="4"/>
  <c r="D1058" i="4"/>
  <c r="D1062" i="4"/>
  <c r="D1066" i="4"/>
  <c r="D1070" i="4"/>
  <c r="D1074" i="4"/>
  <c r="D1078" i="4"/>
  <c r="D1082" i="4"/>
  <c r="D1086" i="4"/>
  <c r="D1090" i="4"/>
  <c r="D1094" i="4"/>
  <c r="D1098" i="4"/>
  <c r="D1102" i="4"/>
  <c r="D1106" i="4"/>
  <c r="D1110" i="4"/>
  <c r="D1114" i="4"/>
  <c r="D1118" i="4"/>
  <c r="D1122" i="4"/>
  <c r="D1126" i="4"/>
  <c r="D1130" i="4"/>
  <c r="D1134" i="4"/>
  <c r="D1138" i="4"/>
  <c r="D1142" i="4"/>
  <c r="D1146" i="4"/>
  <c r="D1150" i="4"/>
  <c r="D1154" i="4"/>
  <c r="D1158" i="4"/>
  <c r="D1162" i="4"/>
  <c r="D1166" i="4"/>
  <c r="D1170" i="4"/>
  <c r="D1174" i="4"/>
  <c r="D1178" i="4"/>
  <c r="D1182" i="4"/>
  <c r="D1186" i="4"/>
  <c r="D1190" i="4"/>
  <c r="D1194" i="4"/>
  <c r="D1198" i="4"/>
  <c r="D1202" i="4"/>
  <c r="D1206" i="4"/>
  <c r="D1210" i="4"/>
  <c r="D1214" i="4"/>
  <c r="D1218" i="4"/>
  <c r="D1222" i="4"/>
  <c r="D1226" i="4"/>
  <c r="D1230" i="4"/>
  <c r="D1234" i="4"/>
  <c r="D1238" i="4"/>
  <c r="D1242" i="4"/>
  <c r="D1246" i="4"/>
  <c r="D1250" i="4"/>
  <c r="D1254" i="4"/>
  <c r="D1258" i="4"/>
  <c r="D1262" i="4"/>
  <c r="D1266" i="4"/>
  <c r="D1270" i="4"/>
  <c r="D1274" i="4"/>
  <c r="D1278" i="4"/>
  <c r="D1282" i="4"/>
  <c r="D1286" i="4"/>
  <c r="D1290" i="4"/>
  <c r="D1581" i="4"/>
  <c r="D1585" i="4"/>
  <c r="D1294" i="4"/>
  <c r="D1298" i="4"/>
  <c r="D1302" i="4"/>
  <c r="D1306" i="4"/>
  <c r="D1310" i="4"/>
  <c r="D1314" i="4"/>
  <c r="D1318" i="4"/>
  <c r="D1322" i="4"/>
  <c r="D1326" i="4"/>
  <c r="D1330" i="4"/>
  <c r="D1334" i="4"/>
  <c r="D1338" i="4"/>
  <c r="D1342" i="4"/>
  <c r="D1346" i="4"/>
  <c r="D1350" i="4"/>
  <c r="D1354" i="4"/>
  <c r="D1358" i="4"/>
  <c r="D1362" i="4"/>
  <c r="D1366" i="4"/>
  <c r="D1370" i="4"/>
  <c r="D1374" i="4"/>
  <c r="D1378" i="4"/>
  <c r="D1382" i="4"/>
  <c r="D1386" i="4"/>
  <c r="D1390" i="4"/>
  <c r="D1394" i="4"/>
  <c r="D1398" i="4"/>
  <c r="D1402" i="4"/>
  <c r="D1406" i="4"/>
  <c r="D1410" i="4"/>
  <c r="D1414" i="4"/>
  <c r="D1418" i="4"/>
  <c r="D1422" i="4"/>
  <c r="D1426" i="4"/>
  <c r="D1430" i="4"/>
  <c r="D1434" i="4"/>
  <c r="D1438" i="4"/>
  <c r="D1442" i="4"/>
  <c r="D1446" i="4"/>
  <c r="D1450" i="4"/>
  <c r="D1454" i="4"/>
  <c r="D1458" i="4"/>
  <c r="D1462" i="4"/>
  <c r="D1466" i="4"/>
  <c r="D1470" i="4"/>
  <c r="D1474" i="4"/>
  <c r="D1478" i="4"/>
  <c r="D1482" i="4"/>
  <c r="D1486" i="4"/>
  <c r="D1490" i="4"/>
  <c r="D1494" i="4"/>
  <c r="D1498" i="4"/>
  <c r="D1502" i="4"/>
  <c r="D1506" i="4"/>
  <c r="D1510" i="4"/>
  <c r="D1514" i="4"/>
  <c r="D1518" i="4"/>
  <c r="D1522" i="4"/>
  <c r="D1526" i="4"/>
  <c r="D1530" i="4"/>
  <c r="D1534" i="4"/>
  <c r="D1538" i="4"/>
  <c r="D1542" i="4"/>
  <c r="D1546" i="4"/>
  <c r="D1550" i="4"/>
  <c r="D1554" i="4"/>
  <c r="D1558" i="4"/>
  <c r="D1562" i="4"/>
  <c r="D1566" i="4"/>
  <c r="D1570" i="4"/>
  <c r="D1574" i="4"/>
  <c r="D1590" i="4"/>
  <c r="D1594" i="4"/>
  <c r="D1598" i="4"/>
  <c r="D1602" i="4"/>
  <c r="D1606" i="4"/>
  <c r="D1610" i="4"/>
  <c r="D1614" i="4"/>
  <c r="D1618" i="4"/>
  <c r="D1622" i="4"/>
  <c r="D1626" i="4"/>
  <c r="D1630" i="4"/>
  <c r="D1634" i="4"/>
  <c r="D1638" i="4"/>
  <c r="D1642" i="4"/>
  <c r="D1646" i="4"/>
  <c r="D1650" i="4"/>
  <c r="D1654" i="4"/>
  <c r="D1658" i="4"/>
  <c r="D1662" i="4"/>
  <c r="D1666" i="4"/>
  <c r="D1670" i="4"/>
  <c r="D1674" i="4"/>
  <c r="D1678" i="4"/>
  <c r="D1682" i="4"/>
  <c r="D1686" i="4"/>
  <c r="D1690" i="4"/>
  <c r="D1694" i="4"/>
  <c r="D1698" i="4"/>
  <c r="D1702" i="4"/>
  <c r="D1706" i="4"/>
  <c r="D1710" i="4"/>
  <c r="D1714" i="4"/>
  <c r="D1718" i="4"/>
  <c r="D1722" i="4"/>
  <c r="D1726" i="4"/>
  <c r="D1730" i="4"/>
  <c r="D1734" i="4"/>
  <c r="D1738" i="4"/>
  <c r="D1742" i="4"/>
  <c r="D1746" i="4"/>
  <c r="D1750" i="4"/>
  <c r="D1754" i="4"/>
  <c r="D1758" i="4"/>
  <c r="D1762" i="4"/>
  <c r="D1766" i="4"/>
  <c r="D1770" i="4"/>
  <c r="D1774" i="4"/>
  <c r="D1778" i="4"/>
  <c r="D1782" i="4"/>
  <c r="D1786" i="4"/>
  <c r="D1790" i="4"/>
  <c r="D1794" i="4"/>
  <c r="D1798" i="4"/>
  <c r="D1802" i="4"/>
  <c r="D1806" i="4"/>
  <c r="D1810" i="4"/>
  <c r="D1814" i="4"/>
  <c r="D1818" i="4"/>
  <c r="D1822" i="4"/>
  <c r="D1826" i="4"/>
  <c r="D1830" i="4"/>
  <c r="D1834" i="4"/>
  <c r="D1838" i="4"/>
  <c r="D1842" i="4"/>
  <c r="D1846" i="4"/>
  <c r="D1850" i="4"/>
  <c r="D1854" i="4"/>
  <c r="D1858" i="4"/>
  <c r="D1862" i="4"/>
  <c r="D1866" i="4"/>
  <c r="D1870" i="4"/>
  <c r="D1874" i="4"/>
  <c r="D1878" i="4"/>
  <c r="D1882" i="4"/>
  <c r="D1886" i="4"/>
  <c r="D1890" i="4"/>
  <c r="D1894" i="4"/>
  <c r="D1898" i="4"/>
  <c r="D1902" i="4"/>
  <c r="D1906" i="4"/>
  <c r="D1910" i="4"/>
  <c r="D1914" i="4"/>
  <c r="D1918" i="4"/>
  <c r="D1922" i="4"/>
  <c r="D1926" i="4"/>
  <c r="D1930" i="4"/>
  <c r="D1934" i="4"/>
  <c r="D1938" i="4"/>
  <c r="D1942" i="4"/>
  <c r="D1946" i="4"/>
  <c r="D1950" i="4"/>
  <c r="D1954" i="4"/>
  <c r="D1958" i="4"/>
  <c r="D1962" i="4"/>
  <c r="D1966" i="4"/>
  <c r="D1970" i="4"/>
  <c r="D1974" i="4"/>
  <c r="D1978" i="4"/>
  <c r="D1982" i="4"/>
  <c r="D2209" i="4"/>
  <c r="D2213" i="4"/>
  <c r="D2217" i="4"/>
  <c r="D2221" i="4"/>
  <c r="D2225" i="4"/>
  <c r="D2229" i="4"/>
  <c r="D2233" i="4"/>
  <c r="D2237" i="4"/>
  <c r="D2241" i="4"/>
  <c r="D2245" i="4"/>
  <c r="D2249" i="4"/>
  <c r="D2253" i="4"/>
  <c r="D3404" i="4"/>
  <c r="D1986" i="4"/>
  <c r="D1990" i="4"/>
  <c r="D1994" i="4"/>
  <c r="D1998" i="4"/>
  <c r="D2002" i="4"/>
  <c r="D2006" i="4"/>
  <c r="D2010" i="4"/>
  <c r="D2014" i="4"/>
  <c r="D2018" i="4"/>
  <c r="D2022" i="4"/>
  <c r="D2026" i="4"/>
  <c r="D2030" i="4"/>
  <c r="D2034" i="4"/>
  <c r="D2038" i="4"/>
  <c r="D2042" i="4"/>
  <c r="D2046" i="4"/>
  <c r="D2050" i="4"/>
  <c r="D2054" i="4"/>
  <c r="D2058" i="4"/>
  <c r="D2062" i="4"/>
  <c r="D2066" i="4"/>
  <c r="D2070" i="4"/>
  <c r="D2074" i="4"/>
  <c r="D2078" i="4"/>
  <c r="D2082" i="4"/>
  <c r="D2086" i="4"/>
  <c r="D2090" i="4"/>
  <c r="D2094" i="4"/>
  <c r="D2098" i="4"/>
  <c r="D2102" i="4"/>
  <c r="D2106" i="4"/>
  <c r="D2110" i="4"/>
  <c r="D2114" i="4"/>
  <c r="D2118" i="4"/>
  <c r="D2122" i="4"/>
  <c r="D2126" i="4"/>
  <c r="D2130" i="4"/>
  <c r="D2134" i="4"/>
  <c r="D2138" i="4"/>
  <c r="D2142" i="4"/>
  <c r="D2146" i="4"/>
  <c r="D2150" i="4"/>
  <c r="D2154" i="4"/>
  <c r="D2158" i="4"/>
  <c r="D2162" i="4"/>
  <c r="D2166" i="4"/>
  <c r="D2170" i="4"/>
  <c r="D2174" i="4"/>
  <c r="D2178" i="4"/>
  <c r="D2182" i="4"/>
  <c r="D2186" i="4"/>
  <c r="D2190" i="4"/>
  <c r="D2194" i="4"/>
  <c r="D2198" i="4"/>
  <c r="D2582" i="4"/>
  <c r="D2594" i="4"/>
  <c r="D2602" i="4"/>
  <c r="D2606" i="4"/>
  <c r="D2618" i="4"/>
  <c r="D2626" i="4"/>
  <c r="D2630" i="4"/>
  <c r="D2634" i="4"/>
  <c r="D2638" i="4"/>
  <c r="D2650" i="4"/>
  <c r="D2654" i="4"/>
  <c r="D2666" i="4"/>
  <c r="D2670" i="4"/>
  <c r="D2678" i="4"/>
  <c r="D2694" i="4"/>
  <c r="D2698" i="4"/>
  <c r="D2730" i="4"/>
  <c r="D2734" i="4"/>
  <c r="D2738" i="4"/>
  <c r="D2742" i="4"/>
  <c r="D2746" i="4"/>
  <c r="D2750" i="4"/>
  <c r="D2754" i="4"/>
  <c r="D2758" i="4"/>
  <c r="D2778" i="4"/>
  <c r="D2782" i="4"/>
  <c r="D2794" i="4"/>
  <c r="D2798" i="4"/>
  <c r="D2810" i="4"/>
  <c r="D2818" i="4"/>
  <c r="D2822" i="4"/>
  <c r="D184" i="4"/>
  <c r="D188" i="4"/>
  <c r="D192" i="4"/>
  <c r="D196" i="4"/>
  <c r="D200" i="4"/>
  <c r="D204" i="4"/>
  <c r="D208" i="4"/>
  <c r="D212" i="4"/>
  <c r="D216" i="4"/>
  <c r="D220" i="4"/>
  <c r="D224" i="4"/>
  <c r="D228" i="4"/>
  <c r="D232" i="4"/>
  <c r="D236" i="4"/>
  <c r="D240" i="4"/>
  <c r="D244" i="4"/>
  <c r="D248" i="4"/>
  <c r="D252" i="4"/>
  <c r="D256" i="4"/>
  <c r="D260" i="4"/>
  <c r="D264" i="4"/>
  <c r="D268" i="4"/>
  <c r="D272" i="4"/>
  <c r="D276" i="4"/>
  <c r="D280" i="4"/>
  <c r="D284" i="4"/>
  <c r="D288" i="4"/>
  <c r="D292" i="4"/>
  <c r="D296" i="4"/>
  <c r="D300" i="4"/>
  <c r="D304" i="4"/>
  <c r="D308" i="4"/>
  <c r="D312" i="4"/>
  <c r="D316" i="4"/>
  <c r="D320" i="4"/>
  <c r="D324" i="4"/>
  <c r="D328" i="4"/>
  <c r="D332" i="4"/>
  <c r="D336" i="4"/>
  <c r="D340" i="4"/>
  <c r="D344" i="4"/>
  <c r="D348" i="4"/>
  <c r="D352" i="4"/>
  <c r="D356" i="4"/>
  <c r="D360" i="4"/>
  <c r="D364" i="4"/>
  <c r="D368" i="4"/>
  <c r="D372" i="4"/>
  <c r="D376" i="4"/>
  <c r="D380" i="4"/>
  <c r="D384" i="4"/>
  <c r="D388" i="4"/>
  <c r="D392" i="4"/>
  <c r="D396" i="4"/>
  <c r="D400" i="4"/>
  <c r="D404" i="4"/>
  <c r="D2208" i="4"/>
  <c r="D2212" i="4"/>
  <c r="D2216" i="4"/>
  <c r="D2220" i="4"/>
  <c r="D2224" i="4"/>
  <c r="D2228" i="4"/>
  <c r="D2232" i="4"/>
  <c r="D2236" i="4"/>
  <c r="D2240" i="4"/>
  <c r="D2244" i="4"/>
  <c r="D2248" i="4"/>
  <c r="D2252" i="4"/>
  <c r="D3095" i="4"/>
  <c r="D3107" i="4"/>
  <c r="D3111" i="4"/>
  <c r="D3115" i="4"/>
  <c r="D3123" i="4"/>
  <c r="D3127" i="4"/>
  <c r="D3131" i="4"/>
  <c r="D614" i="4"/>
  <c r="D618" i="4"/>
  <c r="D622" i="4"/>
  <c r="D626" i="4"/>
  <c r="D630" i="4"/>
  <c r="D634" i="4"/>
  <c r="D638" i="4"/>
  <c r="D642" i="4"/>
  <c r="D646" i="4"/>
  <c r="D650" i="4"/>
  <c r="D3408" i="4"/>
  <c r="D3135" i="4"/>
  <c r="D3139" i="4"/>
  <c r="D3143" i="4"/>
  <c r="D3147" i="4"/>
  <c r="D3151" i="4"/>
  <c r="D3155" i="4"/>
  <c r="D3159" i="4"/>
  <c r="D3163" i="4"/>
  <c r="D3179" i="4"/>
  <c r="D3183" i="4"/>
  <c r="D3211" i="4"/>
  <c r="D3215" i="4"/>
  <c r="D3219" i="4"/>
  <c r="D3223" i="4"/>
  <c r="D3227" i="4"/>
  <c r="D3239" i="4"/>
  <c r="D3243" i="4"/>
  <c r="D3247" i="4"/>
  <c r="D3251" i="4"/>
  <c r="D3255" i="4"/>
  <c r="D3259" i="4"/>
  <c r="D3271" i="4"/>
  <c r="D3275" i="4"/>
  <c r="D3291" i="4"/>
  <c r="D3299" i="4"/>
  <c r="D3303" i="4"/>
  <c r="D3307" i="4"/>
  <c r="D3311" i="4"/>
  <c r="D3319" i="4"/>
  <c r="D3323" i="4"/>
  <c r="D3331" i="4"/>
  <c r="D3339" i="4"/>
  <c r="D3343" i="4"/>
  <c r="D3347" i="4"/>
  <c r="D3351" i="4"/>
  <c r="D3355" i="4"/>
  <c r="D3359" i="4"/>
  <c r="D3367" i="4"/>
  <c r="D3375" i="4"/>
  <c r="D3383" i="4"/>
  <c r="D3387" i="4"/>
  <c r="D3395" i="4"/>
  <c r="D3403" i="4"/>
  <c r="D3411" i="4"/>
  <c r="D3415" i="4"/>
  <c r="D3419" i="4"/>
  <c r="D3423" i="4"/>
  <c r="D3427" i="4"/>
  <c r="D3431" i="4"/>
  <c r="D3435" i="4"/>
  <c r="D3439" i="4"/>
  <c r="D3443" i="4"/>
  <c r="D3447" i="4"/>
  <c r="D3451" i="4"/>
  <c r="D3455" i="4"/>
  <c r="D3459" i="4"/>
  <c r="D3463" i="4"/>
  <c r="D3467" i="4"/>
  <c r="D3471" i="4"/>
  <c r="D3475" i="4"/>
  <c r="D3479" i="4"/>
  <c r="D3483" i="4"/>
  <c r="D3487" i="4"/>
  <c r="D3491" i="4"/>
  <c r="D3495" i="4"/>
  <c r="D3499" i="4"/>
  <c r="D3503" i="4"/>
  <c r="D3507" i="4"/>
  <c r="D3511" i="4"/>
  <c r="D3515" i="4"/>
  <c r="D3519" i="4"/>
  <c r="D3523" i="4"/>
  <c r="D3527" i="4"/>
  <c r="D3531" i="4"/>
  <c r="D3535" i="4"/>
  <c r="D3539" i="4"/>
  <c r="D3543" i="4"/>
  <c r="D3547" i="4"/>
  <c r="D3551" i="4"/>
  <c r="D3555" i="4"/>
  <c r="D3559" i="4"/>
  <c r="D3563" i="4"/>
  <c r="D3567" i="4"/>
  <c r="D3571" i="4"/>
  <c r="D1768" i="4"/>
  <c r="D1772" i="4"/>
  <c r="D1776" i="4"/>
  <c r="D1780" i="4"/>
  <c r="D1784" i="4"/>
  <c r="D1788" i="4"/>
  <c r="D1792" i="4"/>
  <c r="D1796" i="4"/>
  <c r="D1800" i="4"/>
  <c r="D1804" i="4"/>
  <c r="D1579" i="4"/>
  <c r="D1583" i="4"/>
  <c r="D1587" i="4"/>
  <c r="D1808" i="4"/>
  <c r="D1812" i="4"/>
  <c r="D1816" i="4"/>
  <c r="D1820" i="4"/>
  <c r="D1824" i="4"/>
  <c r="D1828" i="4"/>
  <c r="D1832" i="4"/>
  <c r="D1836" i="4"/>
  <c r="D1840" i="4"/>
  <c r="D1844" i="4"/>
  <c r="D1848" i="4"/>
  <c r="D1852" i="4"/>
  <c r="D1856" i="4"/>
  <c r="D1860" i="4"/>
  <c r="D1864" i="4"/>
  <c r="D1868" i="4"/>
  <c r="D1872" i="4"/>
  <c r="D1876" i="4"/>
  <c r="D1880" i="4"/>
  <c r="D1884" i="4"/>
  <c r="D1888" i="4"/>
  <c r="D1892" i="4"/>
  <c r="D1896" i="4"/>
  <c r="D1900" i="4"/>
  <c r="D1904" i="4"/>
  <c r="D1908" i="4"/>
  <c r="D1912" i="4"/>
  <c r="D1916" i="4"/>
  <c r="D1920" i="4"/>
  <c r="D1924" i="4"/>
  <c r="D1928" i="4"/>
  <c r="D1932" i="4"/>
  <c r="D1936" i="4"/>
  <c r="D1940" i="4"/>
  <c r="D1944" i="4"/>
  <c r="D1948" i="4"/>
  <c r="D1952" i="4"/>
  <c r="D1956" i="4"/>
  <c r="D1960" i="4"/>
  <c r="D1964" i="4"/>
  <c r="D1968" i="4"/>
  <c r="D1972" i="4"/>
  <c r="D1976" i="4"/>
  <c r="D1980" i="4"/>
  <c r="D1984" i="4"/>
  <c r="D1988" i="4"/>
  <c r="D1992" i="4"/>
  <c r="D1996" i="4"/>
  <c r="D2000" i="4"/>
  <c r="D2004" i="4"/>
  <c r="D2008" i="4"/>
  <c r="D2012" i="4"/>
  <c r="D2016" i="4"/>
  <c r="D2020" i="4"/>
  <c r="D2024" i="4"/>
  <c r="D2028" i="4"/>
  <c r="D2032" i="4"/>
  <c r="D2036" i="4"/>
  <c r="D2040" i="4"/>
  <c r="D2044" i="4"/>
  <c r="D2048" i="4"/>
  <c r="D2052" i="4"/>
  <c r="D2056" i="4"/>
  <c r="D2060" i="4"/>
  <c r="D2064" i="4"/>
  <c r="D2068" i="4"/>
  <c r="D2072" i="4"/>
  <c r="D2076" i="4"/>
  <c r="D2080" i="4"/>
  <c r="D2084" i="4"/>
  <c r="D2088" i="4"/>
  <c r="D2092" i="4"/>
  <c r="D2096" i="4"/>
  <c r="D2100" i="4"/>
  <c r="D2104" i="4"/>
  <c r="D2108" i="4"/>
  <c r="D2112" i="4"/>
  <c r="D2116" i="4"/>
  <c r="D2120" i="4"/>
  <c r="D2124" i="4"/>
  <c r="D2128" i="4"/>
  <c r="D2132" i="4"/>
  <c r="D2136" i="4"/>
  <c r="D2140" i="4"/>
  <c r="D2144" i="4"/>
  <c r="D2210" i="4"/>
  <c r="D2214" i="4"/>
  <c r="D2218" i="4"/>
  <c r="D2222" i="4"/>
  <c r="D2226" i="4"/>
  <c r="D2230" i="4"/>
  <c r="D2234" i="4"/>
  <c r="D2238" i="4"/>
  <c r="D2242" i="4"/>
  <c r="D2246" i="4"/>
  <c r="D2250" i="4"/>
  <c r="D2254" i="4"/>
  <c r="D2423" i="4"/>
  <c r="D2427" i="4"/>
  <c r="D2431" i="4"/>
  <c r="D2435" i="4"/>
  <c r="D2439" i="4"/>
  <c r="D2443" i="4"/>
  <c r="D2463" i="4"/>
  <c r="D2467" i="4"/>
  <c r="D2475" i="4"/>
  <c r="D2479" i="4"/>
  <c r="D2487" i="4"/>
  <c r="D2507" i="4"/>
  <c r="D2519" i="4"/>
  <c r="D2531" i="4"/>
  <c r="D2535" i="4"/>
  <c r="D2559" i="4"/>
  <c r="D2563" i="4"/>
  <c r="D2567" i="4"/>
  <c r="D2571" i="4"/>
  <c r="D2591" i="4"/>
  <c r="D2595" i="4"/>
  <c r="D2599" i="4"/>
  <c r="D2603" i="4"/>
  <c r="D2615" i="4"/>
  <c r="D2619" i="4"/>
  <c r="D2623" i="4"/>
  <c r="D2627" i="4"/>
  <c r="D2635" i="4"/>
  <c r="D2647" i="4"/>
  <c r="D2651" i="4"/>
  <c r="D2663" i="4"/>
  <c r="D2667" i="4"/>
  <c r="D2683" i="4"/>
  <c r="D2687" i="4"/>
  <c r="D2703" i="4"/>
  <c r="D2711" i="4"/>
  <c r="D2719" i="4"/>
  <c r="D2727" i="4"/>
  <c r="D2731" i="4"/>
  <c r="D2739" i="4"/>
  <c r="D2747" i="4"/>
  <c r="D2755" i="4"/>
  <c r="D2767" i="4"/>
  <c r="D2775" i="4"/>
  <c r="D2779" i="4"/>
  <c r="D2791" i="4"/>
  <c r="D2795" i="4"/>
  <c r="D2807" i="4"/>
  <c r="D2811" i="4"/>
  <c r="D2815" i="4"/>
  <c r="D2819" i="4"/>
  <c r="D2835" i="4"/>
  <c r="D2847" i="4"/>
  <c r="D2851" i="4"/>
  <c r="D2863" i="4"/>
  <c r="D2867" i="4"/>
  <c r="D2879" i="4"/>
  <c r="D2887" i="4"/>
  <c r="D2891" i="4"/>
  <c r="D2895" i="4"/>
  <c r="D2899" i="4"/>
  <c r="D2911" i="4"/>
  <c r="D2935" i="4"/>
  <c r="D2939" i="4"/>
  <c r="D2951" i="4"/>
  <c r="D2955" i="4"/>
  <c r="D2967" i="4"/>
  <c r="D2975" i="4"/>
  <c r="D2983" i="4"/>
  <c r="D2987" i="4"/>
  <c r="D2991" i="4"/>
  <c r="D2995" i="4"/>
  <c r="D3003" i="4"/>
  <c r="D3019" i="4"/>
  <c r="D3035" i="4"/>
  <c r="D3039" i="4"/>
  <c r="D3043" i="4"/>
  <c r="D3047" i="4"/>
  <c r="D3051" i="4"/>
  <c r="D3055" i="4"/>
  <c r="D3059" i="4"/>
  <c r="D3063" i="4"/>
  <c r="D3067" i="4"/>
  <c r="D3071" i="4"/>
  <c r="D3083" i="4"/>
  <c r="D7" i="4"/>
  <c r="D1592" i="4"/>
  <c r="D1596" i="4"/>
  <c r="D1600" i="4"/>
  <c r="D1604" i="4"/>
  <c r="D1608" i="4"/>
  <c r="D1612" i="4"/>
  <c r="D1616" i="4"/>
  <c r="D1620" i="4"/>
  <c r="D1624" i="4"/>
  <c r="D1628" i="4"/>
  <c r="D1632" i="4"/>
  <c r="D1636" i="4"/>
  <c r="D1640" i="4"/>
  <c r="D1644" i="4"/>
  <c r="D1648" i="4"/>
  <c r="D1652" i="4"/>
  <c r="D1656" i="4"/>
  <c r="D1660" i="4"/>
  <c r="D1664" i="4"/>
  <c r="D1668" i="4"/>
  <c r="D1672" i="4"/>
  <c r="D1676" i="4"/>
  <c r="D1680" i="4"/>
  <c r="D1684" i="4"/>
  <c r="D1688" i="4"/>
  <c r="D1692" i="4"/>
  <c r="D1696" i="4"/>
  <c r="D1700" i="4"/>
  <c r="D1704" i="4"/>
  <c r="D1708" i="4"/>
  <c r="D1712" i="4"/>
  <c r="D1716" i="4"/>
  <c r="D1720" i="4"/>
  <c r="D1724" i="4"/>
  <c r="D1728" i="4"/>
  <c r="D1732" i="4"/>
  <c r="D1736" i="4"/>
  <c r="D1740" i="4"/>
  <c r="D1744" i="4"/>
  <c r="D1748" i="4"/>
  <c r="D1752" i="4"/>
  <c r="D1756" i="4"/>
  <c r="D1760" i="4"/>
  <c r="D1764" i="4"/>
  <c r="D59" i="4"/>
  <c r="D63" i="4"/>
  <c r="D67" i="4"/>
  <c r="D71" i="4"/>
  <c r="D75" i="4"/>
  <c r="D79" i="4"/>
  <c r="D83" i="4"/>
  <c r="D87" i="4"/>
  <c r="D91" i="4"/>
  <c r="D95" i="4"/>
  <c r="D99" i="4"/>
  <c r="D103" i="4"/>
  <c r="D107" i="4"/>
  <c r="D111" i="4"/>
  <c r="D115" i="4"/>
  <c r="D119" i="4"/>
  <c r="D123" i="4"/>
  <c r="D127" i="4"/>
  <c r="D131" i="4"/>
  <c r="D135" i="4"/>
  <c r="D139" i="4"/>
  <c r="D143" i="4"/>
  <c r="D147" i="4"/>
  <c r="D151" i="4"/>
  <c r="D155" i="4"/>
  <c r="D159" i="4"/>
  <c r="D163" i="4"/>
  <c r="D167" i="4"/>
  <c r="D171" i="4"/>
  <c r="D175" i="4"/>
  <c r="D179" i="4"/>
  <c r="D183" i="4"/>
  <c r="D187" i="4"/>
  <c r="D191" i="4"/>
  <c r="D195" i="4"/>
  <c r="D199" i="4"/>
  <c r="D203" i="4"/>
  <c r="D207" i="4"/>
  <c r="D211" i="4"/>
  <c r="D215" i="4"/>
  <c r="D219" i="4"/>
  <c r="D223" i="4"/>
  <c r="D227" i="4"/>
  <c r="D231" i="4"/>
  <c r="D235" i="4"/>
  <c r="D239" i="4"/>
  <c r="D243" i="4"/>
  <c r="D247" i="4"/>
  <c r="D251" i="4"/>
  <c r="D255" i="4"/>
  <c r="D259" i="4"/>
  <c r="D263" i="4"/>
  <c r="D267" i="4"/>
  <c r="D271" i="4"/>
  <c r="D275" i="4"/>
  <c r="D279" i="4"/>
  <c r="D283" i="4"/>
  <c r="D287" i="4"/>
  <c r="D291" i="4"/>
  <c r="D295" i="4"/>
  <c r="D299" i="4"/>
  <c r="D303" i="4"/>
  <c r="D307" i="4"/>
  <c r="D311" i="4"/>
  <c r="D315" i="4"/>
  <c r="D319" i="4"/>
  <c r="D323" i="4"/>
  <c r="D327" i="4"/>
  <c r="D331" i="4"/>
  <c r="D335" i="4"/>
  <c r="D339" i="4"/>
  <c r="D343" i="4"/>
  <c r="D347" i="4"/>
  <c r="D351" i="4"/>
  <c r="D355" i="4"/>
  <c r="D359" i="4"/>
  <c r="D363" i="4"/>
  <c r="D367" i="4"/>
  <c r="D371" i="4"/>
  <c r="D375" i="4"/>
  <c r="D379" i="4"/>
  <c r="D383" i="4"/>
  <c r="D1580" i="4"/>
  <c r="D1584" i="4"/>
  <c r="D1588" i="4"/>
  <c r="D13" i="4"/>
  <c r="D17" i="4"/>
  <c r="D21" i="4"/>
  <c r="D25" i="4"/>
  <c r="D29" i="4"/>
  <c r="D33" i="4"/>
  <c r="D37" i="4"/>
  <c r="D41" i="4"/>
  <c r="D45" i="4"/>
  <c r="D49" i="4"/>
  <c r="D53" i="4"/>
  <c r="D57" i="4"/>
  <c r="D61" i="4"/>
  <c r="D65" i="4"/>
  <c r="D69" i="4"/>
  <c r="D73" i="4"/>
  <c r="D77" i="4"/>
  <c r="D81" i="4"/>
  <c r="D85" i="4"/>
  <c r="D89" i="4"/>
  <c r="D93" i="4"/>
  <c r="D97" i="4"/>
  <c r="D101" i="4"/>
  <c r="D105" i="4"/>
  <c r="D109" i="4"/>
  <c r="D113" i="4"/>
  <c r="D117" i="4"/>
  <c r="D121" i="4"/>
  <c r="D125" i="4"/>
  <c r="D129" i="4"/>
  <c r="D133" i="4"/>
  <c r="D137" i="4"/>
  <c r="D141" i="4"/>
  <c r="D145" i="4"/>
  <c r="D149" i="4"/>
  <c r="D153" i="4"/>
  <c r="D157" i="4"/>
  <c r="D161" i="4"/>
  <c r="D165" i="4"/>
  <c r="D169" i="4"/>
  <c r="D173" i="4"/>
  <c r="D177" i="4"/>
  <c r="D181" i="4"/>
  <c r="D185" i="4"/>
  <c r="D189" i="4"/>
  <c r="D193" i="4"/>
  <c r="D197" i="4"/>
  <c r="D201" i="4"/>
  <c r="D205" i="4"/>
  <c r="D209" i="4"/>
  <c r="D213" i="4"/>
  <c r="D217" i="4"/>
  <c r="D221" i="4"/>
  <c r="D225" i="4"/>
  <c r="D229" i="4"/>
  <c r="D233" i="4"/>
  <c r="D237" i="4"/>
  <c r="D241" i="4"/>
  <c r="D245" i="4"/>
  <c r="D249" i="4"/>
  <c r="D253" i="4"/>
  <c r="D257" i="4"/>
  <c r="D261" i="4"/>
  <c r="D265" i="4"/>
  <c r="D269" i="4"/>
  <c r="D273" i="4"/>
  <c r="D277" i="4"/>
  <c r="D281" i="4"/>
  <c r="D285" i="4"/>
  <c r="D289" i="4"/>
  <c r="D293" i="4"/>
  <c r="D297" i="4"/>
  <c r="D301" i="4"/>
  <c r="D305" i="4"/>
  <c r="D309" i="4"/>
  <c r="D313" i="4"/>
  <c r="D317" i="4"/>
  <c r="D321" i="4"/>
  <c r="D325" i="4"/>
  <c r="D329" i="4"/>
  <c r="D333" i="4"/>
  <c r="D337" i="4"/>
  <c r="D341" i="4"/>
  <c r="D345" i="4"/>
  <c r="D349" i="4"/>
  <c r="D353" i="4"/>
  <c r="D357" i="4"/>
  <c r="D361" i="4"/>
  <c r="D365" i="4"/>
  <c r="D369" i="4"/>
  <c r="D373" i="4"/>
  <c r="D377" i="4"/>
  <c r="D381" i="4"/>
  <c r="D385" i="4"/>
  <c r="D1578" i="4"/>
  <c r="D1582" i="4"/>
  <c r="D1586" i="4"/>
  <c r="D2148" i="4"/>
  <c r="D2152" i="4"/>
  <c r="D2156" i="4"/>
  <c r="D2160" i="4"/>
  <c r="D2164" i="4"/>
  <c r="D2168" i="4"/>
  <c r="D2172" i="4"/>
  <c r="D2176" i="4"/>
  <c r="D2180" i="4"/>
  <c r="D2184" i="4"/>
  <c r="D2188" i="4"/>
  <c r="D2192" i="4"/>
  <c r="D2196" i="4"/>
  <c r="D2200" i="4"/>
  <c r="D2204" i="4"/>
  <c r="D2256" i="4"/>
  <c r="D2260" i="4"/>
  <c r="D2264" i="4"/>
  <c r="D2268" i="4"/>
  <c r="D2272" i="4"/>
  <c r="D2276" i="4"/>
  <c r="D2280" i="4"/>
  <c r="D2284" i="4"/>
  <c r="D2288" i="4"/>
  <c r="D2292" i="4"/>
  <c r="D2296" i="4"/>
  <c r="D2300" i="4"/>
  <c r="D2304" i="4"/>
  <c r="D2308" i="4"/>
  <c r="D2312" i="4"/>
  <c r="D2316" i="4"/>
  <c r="D2320" i="4"/>
  <c r="D2324" i="4"/>
  <c r="D2328" i="4"/>
  <c r="D2332" i="4"/>
  <c r="D2336" i="4"/>
  <c r="D2340" i="4"/>
  <c r="D2344" i="4"/>
  <c r="D2348" i="4"/>
  <c r="D2352" i="4"/>
  <c r="D2356" i="4"/>
  <c r="D2368" i="4"/>
  <c r="D2372" i="4"/>
  <c r="D2376" i="4"/>
  <c r="D2380" i="4"/>
  <c r="D2384" i="4"/>
  <c r="D2388" i="4"/>
  <c r="D2400" i="4"/>
  <c r="D2404" i="4"/>
  <c r="D2408" i="4"/>
  <c r="D2412" i="4"/>
  <c r="D2416" i="4"/>
  <c r="D2420" i="4"/>
  <c r="D2440" i="4"/>
  <c r="D2444" i="4"/>
  <c r="D2448" i="4"/>
  <c r="D2452" i="4"/>
  <c r="D2468" i="4"/>
  <c r="D2480" i="4"/>
  <c r="D2488" i="4"/>
  <c r="D2492" i="4"/>
  <c r="D2500" i="4"/>
  <c r="D2520" i="4"/>
  <c r="D2524" i="4"/>
  <c r="D2536" i="4"/>
  <c r="D2548" i="4"/>
  <c r="D2556" i="4"/>
  <c r="D2560" i="4"/>
  <c r="D2568" i="4"/>
  <c r="D2580" i="4"/>
  <c r="D2588" i="4"/>
  <c r="D2592" i="4"/>
  <c r="D2600" i="4"/>
  <c r="D2612" i="4"/>
  <c r="D2616" i="4"/>
  <c r="D2624" i="4"/>
  <c r="D2632" i="4"/>
  <c r="D2644" i="4"/>
  <c r="D2648" i="4"/>
  <c r="D2660" i="4"/>
  <c r="D2664" i="4"/>
  <c r="D2676" i="4"/>
  <c r="D2692" i="4"/>
  <c r="D2696" i="4"/>
  <c r="D2700" i="4"/>
  <c r="D2257" i="4"/>
  <c r="D2261" i="4"/>
  <c r="D2265" i="4"/>
  <c r="D2269" i="4"/>
  <c r="D2273" i="4"/>
  <c r="D2277" i="4"/>
  <c r="D2281" i="4"/>
  <c r="D2285" i="4"/>
  <c r="D2289" i="4"/>
  <c r="D2293" i="4"/>
  <c r="D2297" i="4"/>
  <c r="D2301" i="4"/>
  <c r="D2305" i="4"/>
  <c r="D2309" i="4"/>
  <c r="D2313" i="4"/>
  <c r="D2317" i="4"/>
  <c r="D2321" i="4"/>
  <c r="D2325" i="4"/>
  <c r="D2329" i="4"/>
  <c r="D2333" i="4"/>
  <c r="D2337" i="4"/>
  <c r="D2341" i="4"/>
  <c r="D2345" i="4"/>
  <c r="D2349" i="4"/>
  <c r="D2353" i="4"/>
  <c r="D2357" i="4"/>
  <c r="D2361" i="4"/>
  <c r="D2381" i="4"/>
  <c r="D2385" i="4"/>
  <c r="D2389" i="4"/>
  <c r="D2393" i="4"/>
  <c r="D2405" i="4"/>
  <c r="D2409" i="4"/>
  <c r="D2413" i="4"/>
  <c r="D2417" i="4"/>
  <c r="D2421" i="4"/>
  <c r="D2425" i="4"/>
  <c r="D2445" i="4"/>
  <c r="D2449" i="4"/>
  <c r="D2453" i="4"/>
  <c r="D2457" i="4"/>
  <c r="D2469" i="4"/>
  <c r="D2473" i="4"/>
  <c r="D2481" i="4"/>
  <c r="D2493" i="4"/>
  <c r="D2501" i="4"/>
  <c r="D2513" i="4"/>
  <c r="D2525" i="4"/>
  <c r="D2202" i="4"/>
  <c r="D2206" i="4"/>
  <c r="D2211" i="4"/>
  <c r="D2215" i="4"/>
  <c r="D2219" i="4"/>
  <c r="D2223" i="4"/>
  <c r="D2227" i="4"/>
  <c r="D2231" i="4"/>
  <c r="D2235" i="4"/>
  <c r="D2239" i="4"/>
  <c r="D2243" i="4"/>
  <c r="D2247" i="4"/>
  <c r="D2251" i="4"/>
  <c r="D2258" i="4"/>
  <c r="D2262" i="4"/>
  <c r="D2266" i="4"/>
  <c r="D2270" i="4"/>
  <c r="D2274" i="4"/>
  <c r="D2278" i="4"/>
  <c r="D2282" i="4"/>
  <c r="D2286" i="4"/>
  <c r="D2290" i="4"/>
  <c r="D2294" i="4"/>
  <c r="D2298" i="4"/>
  <c r="D2302" i="4"/>
  <c r="D2306" i="4"/>
  <c r="D2310" i="4"/>
  <c r="D2314" i="4"/>
  <c r="D2318" i="4"/>
  <c r="D2322" i="4"/>
  <c r="D2326" i="4"/>
  <c r="D2330" i="4"/>
  <c r="D2334" i="4"/>
  <c r="D2338" i="4"/>
  <c r="D2342" i="4"/>
  <c r="D2346" i="4"/>
  <c r="D2350" i="4"/>
  <c r="D2354" i="4"/>
  <c r="D2358" i="4"/>
  <c r="D2362" i="4"/>
  <c r="D2366" i="4"/>
  <c r="D2370" i="4"/>
  <c r="D2382" i="4"/>
  <c r="D2386" i="4"/>
  <c r="D2390" i="4"/>
  <c r="D2394" i="4"/>
  <c r="D2398" i="4"/>
  <c r="D2402" i="4"/>
  <c r="D2414" i="4"/>
  <c r="D2418" i="4"/>
  <c r="D2422" i="4"/>
  <c r="D2426" i="4"/>
  <c r="D2430" i="4"/>
  <c r="D2434" i="4"/>
  <c r="D2454" i="4"/>
  <c r="D2458" i="4"/>
  <c r="D2462" i="4"/>
  <c r="D2466" i="4"/>
  <c r="D2474" i="4"/>
  <c r="D2486" i="4"/>
  <c r="D2494" i="4"/>
  <c r="D2506" i="4"/>
  <c r="D2530" i="4"/>
  <c r="D2542" i="4"/>
  <c r="D2562" i="4"/>
  <c r="D2570" i="4"/>
  <c r="D2574" i="4"/>
  <c r="D2830" i="4"/>
  <c r="D2838" i="4"/>
  <c r="D2850" i="4"/>
  <c r="D2854" i="4"/>
  <c r="D2866" i="4"/>
  <c r="D2870" i="4"/>
  <c r="D2890" i="4"/>
  <c r="D2898" i="4"/>
  <c r="D2902" i="4"/>
  <c r="D2914" i="4"/>
  <c r="D2918" i="4"/>
  <c r="D2922" i="4"/>
  <c r="D2926" i="4"/>
  <c r="D2930" i="4"/>
  <c r="D2938" i="4"/>
  <c r="D2942" i="4"/>
  <c r="D2954" i="4"/>
  <c r="D2958" i="4"/>
  <c r="D2553" i="4"/>
  <c r="D2557" i="4"/>
  <c r="D2565" i="4"/>
  <c r="D2577" i="4"/>
  <c r="D2585" i="4"/>
  <c r="D2589" i="4"/>
  <c r="D2597" i="4"/>
  <c r="D2609" i="4"/>
  <c r="D2613" i="4"/>
  <c r="D2621" i="4"/>
  <c r="D2641" i="4"/>
  <c r="D2645" i="4"/>
  <c r="D2657" i="4"/>
  <c r="D2661" i="4"/>
  <c r="D2673" i="4"/>
  <c r="D2681" i="4"/>
  <c r="D2685" i="4"/>
  <c r="D2689" i="4"/>
  <c r="D2701" i="4"/>
  <c r="D2705" i="4"/>
  <c r="D2709" i="4"/>
  <c r="D2713" i="4"/>
  <c r="D2717" i="4"/>
  <c r="D2721" i="4"/>
  <c r="D2725" i="4"/>
  <c r="D2761" i="4"/>
  <c r="D2765" i="4"/>
  <c r="D2769" i="4"/>
  <c r="D2773" i="4"/>
  <c r="D2785" i="4"/>
  <c r="D2789" i="4"/>
  <c r="D2801" i="4"/>
  <c r="D2805" i="4"/>
  <c r="D2813" i="4"/>
  <c r="D2825" i="4"/>
  <c r="D2833" i="4"/>
  <c r="D2841" i="4"/>
  <c r="D2845" i="4"/>
  <c r="D2857" i="4"/>
  <c r="D2861" i="4"/>
  <c r="D2873" i="4"/>
  <c r="D2877" i="4"/>
  <c r="D2881" i="4"/>
  <c r="D2885" i="4"/>
  <c r="D2893" i="4"/>
  <c r="D2905" i="4"/>
  <c r="D2909" i="4"/>
  <c r="D2933" i="4"/>
  <c r="D2945" i="4"/>
  <c r="D2949" i="4"/>
  <c r="D2961" i="4"/>
  <c r="D2965" i="4"/>
  <c r="D2969" i="4"/>
  <c r="D2973" i="4"/>
  <c r="D2977" i="4"/>
  <c r="D2981" i="4"/>
  <c r="D2989" i="4"/>
  <c r="D3001" i="4"/>
  <c r="D3009" i="4"/>
  <c r="D3013" i="4"/>
  <c r="D3025" i="4"/>
  <c r="D3029" i="4"/>
  <c r="D3077" i="4"/>
  <c r="D3081" i="4"/>
  <c r="D3089" i="4"/>
  <c r="D3093" i="4"/>
  <c r="D2986" i="4"/>
  <c r="D2994" i="4"/>
  <c r="D2998" i="4"/>
  <c r="D3006" i="4"/>
  <c r="D3018" i="4"/>
  <c r="D3022" i="4"/>
  <c r="D3034" i="4"/>
  <c r="D3038" i="4"/>
  <c r="D3042" i="4"/>
  <c r="D3046" i="4"/>
  <c r="D3050" i="4"/>
  <c r="D3054" i="4"/>
  <c r="D3058" i="4"/>
  <c r="D3062" i="4"/>
  <c r="D3066" i="4"/>
  <c r="D3070" i="4"/>
  <c r="D3074" i="4"/>
  <c r="D3086" i="4"/>
  <c r="D3106" i="4"/>
  <c r="D3110" i="4"/>
  <c r="D3114" i="4"/>
  <c r="D3118" i="4"/>
  <c r="D3126" i="4"/>
  <c r="D3130" i="4"/>
  <c r="D3134" i="4"/>
  <c r="D3138" i="4"/>
  <c r="D3142" i="4"/>
  <c r="D3146" i="4"/>
  <c r="D3150" i="4"/>
  <c r="D3154" i="4"/>
  <c r="D3158" i="4"/>
  <c r="D3162" i="4"/>
  <c r="D3166" i="4"/>
  <c r="D3178" i="4"/>
  <c r="D3182" i="4"/>
  <c r="D3186" i="4"/>
  <c r="D3210" i="4"/>
  <c r="D3214" i="4"/>
  <c r="D3218" i="4"/>
  <c r="D3222" i="4"/>
  <c r="D3226" i="4"/>
  <c r="D3230" i="4"/>
  <c r="D3262" i="4"/>
  <c r="D3266" i="4"/>
  <c r="D3270" i="4"/>
  <c r="D3274" i="4"/>
  <c r="D3278" i="4"/>
  <c r="D3286" i="4"/>
  <c r="D3298" i="4"/>
  <c r="D3302" i="4"/>
  <c r="D3306" i="4"/>
  <c r="D3310" i="4"/>
  <c r="D3314" i="4"/>
  <c r="D3318" i="4"/>
  <c r="D3322" i="4"/>
  <c r="D3097" i="4"/>
  <c r="D3101" i="4"/>
  <c r="D3121" i="4"/>
  <c r="D3169" i="4"/>
  <c r="D3173" i="4"/>
  <c r="D3189" i="4"/>
  <c r="D3193" i="4"/>
  <c r="D3197" i="4"/>
  <c r="D3201" i="4"/>
  <c r="D3205" i="4"/>
  <c r="D3233" i="4"/>
  <c r="D3237" i="4"/>
  <c r="D3241" i="4"/>
  <c r="D3245" i="4"/>
  <c r="D3249" i="4"/>
  <c r="D3253" i="4"/>
  <c r="D3257" i="4"/>
  <c r="D3265" i="4"/>
  <c r="D3273" i="4"/>
  <c r="D3281" i="4"/>
  <c r="D3285" i="4"/>
  <c r="D3289" i="4"/>
  <c r="D3293" i="4"/>
  <c r="D3297" i="4"/>
  <c r="D3305" i="4"/>
  <c r="D3313" i="4"/>
  <c r="D3317" i="4"/>
  <c r="D3325" i="4"/>
  <c r="D3329" i="4"/>
  <c r="D3333" i="4"/>
  <c r="D3337" i="4"/>
  <c r="D3341" i="4"/>
  <c r="D3345" i="4"/>
  <c r="D3349" i="4"/>
  <c r="D3369" i="4"/>
  <c r="D3373" i="4"/>
  <c r="D3377" i="4"/>
  <c r="D3381" i="4"/>
  <c r="D3385" i="4"/>
  <c r="D3393" i="4"/>
  <c r="D3397" i="4"/>
  <c r="D3401" i="4"/>
  <c r="D3405" i="4"/>
  <c r="D3409" i="4"/>
  <c r="D3413" i="4"/>
  <c r="D3417" i="4"/>
  <c r="D3421" i="4"/>
  <c r="D3425" i="4"/>
  <c r="D3429" i="4"/>
  <c r="D3433" i="4"/>
  <c r="D3437" i="4"/>
  <c r="D3441" i="4"/>
  <c r="D3445" i="4"/>
  <c r="D3449" i="4"/>
  <c r="D3453" i="4"/>
  <c r="D3457" i="4"/>
  <c r="D3461" i="4"/>
  <c r="D3465" i="4"/>
  <c r="D3469" i="4"/>
  <c r="D3473" i="4"/>
  <c r="D3477" i="4"/>
  <c r="D3481" i="4"/>
  <c r="D3485" i="4"/>
  <c r="D3489" i="4"/>
  <c r="D3493" i="4"/>
  <c r="D3497" i="4"/>
  <c r="D3501" i="4"/>
  <c r="D3505" i="4"/>
  <c r="D3509" i="4"/>
  <c r="D3513" i="4"/>
  <c r="D3517" i="4"/>
  <c r="D3521" i="4"/>
  <c r="D3525" i="4"/>
  <c r="D3529" i="4"/>
  <c r="D3533" i="4"/>
  <c r="D3537" i="4"/>
  <c r="D3541" i="4"/>
  <c r="D3545" i="4"/>
  <c r="D3549" i="4"/>
  <c r="D3553" i="4"/>
  <c r="D3557" i="4"/>
  <c r="D3561" i="4"/>
  <c r="D3565" i="4"/>
  <c r="D3569" i="4"/>
  <c r="D3573" i="4"/>
  <c r="D786" i="4"/>
  <c r="D790" i="4"/>
  <c r="D794" i="4"/>
  <c r="D798" i="4"/>
  <c r="D802" i="4"/>
  <c r="D806" i="4"/>
  <c r="D810" i="4"/>
  <c r="D814" i="4"/>
  <c r="D818" i="4"/>
  <c r="D822" i="4"/>
  <c r="D826" i="4"/>
  <c r="D830" i="4"/>
  <c r="D834" i="4"/>
  <c r="D838" i="4"/>
  <c r="D842" i="4"/>
  <c r="D846" i="4"/>
  <c r="D850" i="4"/>
  <c r="D854" i="4"/>
  <c r="D858" i="4"/>
  <c r="D862" i="4"/>
  <c r="D866" i="4"/>
  <c r="D870" i="4"/>
  <c r="D5" i="4"/>
  <c r="D6" i="4"/>
  <c r="D389" i="4"/>
  <c r="D393" i="4"/>
  <c r="D397" i="4"/>
  <c r="D401" i="4"/>
  <c r="D405" i="4"/>
  <c r="D409" i="4"/>
  <c r="D413" i="4"/>
  <c r="D417" i="4"/>
  <c r="D421" i="4"/>
  <c r="D425" i="4"/>
  <c r="D429" i="4"/>
  <c r="D433" i="4"/>
  <c r="D437" i="4"/>
  <c r="D441" i="4"/>
  <c r="D445" i="4"/>
  <c r="D449" i="4"/>
  <c r="D453" i="4"/>
  <c r="D457" i="4"/>
  <c r="D461" i="4"/>
  <c r="D465" i="4"/>
  <c r="D469" i="4"/>
  <c r="D473" i="4"/>
  <c r="D477" i="4"/>
  <c r="D481" i="4"/>
  <c r="D485" i="4"/>
  <c r="D489" i="4"/>
  <c r="D493" i="4"/>
  <c r="D497" i="4"/>
  <c r="D501" i="4"/>
  <c r="D505" i="4"/>
  <c r="D509" i="4"/>
  <c r="D513" i="4"/>
  <c r="D517" i="4"/>
  <c r="D521" i="4"/>
  <c r="D525" i="4"/>
  <c r="D529" i="4"/>
  <c r="D533" i="4"/>
  <c r="D537" i="4"/>
  <c r="D541" i="4"/>
  <c r="D545" i="4"/>
  <c r="D549" i="4"/>
  <c r="D553" i="4"/>
  <c r="D557" i="4"/>
  <c r="D561" i="4"/>
  <c r="D565" i="4"/>
  <c r="D569" i="4"/>
  <c r="D573" i="4"/>
  <c r="D577" i="4"/>
  <c r="D581" i="4"/>
  <c r="D585" i="4"/>
  <c r="D589" i="4"/>
  <c r="D593" i="4"/>
  <c r="D597" i="4"/>
  <c r="D601" i="4"/>
  <c r="D605" i="4"/>
  <c r="D609" i="4"/>
  <c r="D613" i="4"/>
  <c r="D617" i="4"/>
  <c r="D621" i="4"/>
  <c r="D625" i="4"/>
  <c r="D629" i="4"/>
  <c r="D633" i="4"/>
  <c r="D637" i="4"/>
  <c r="D641" i="4"/>
  <c r="D645" i="4"/>
  <c r="D649" i="4"/>
  <c r="D653" i="4"/>
  <c r="D657" i="4"/>
  <c r="D661" i="4"/>
  <c r="D665" i="4"/>
  <c r="D669" i="4"/>
  <c r="D673" i="4"/>
  <c r="D677" i="4"/>
  <c r="D681" i="4"/>
  <c r="D685" i="4"/>
  <c r="D689" i="4"/>
  <c r="D693" i="4"/>
  <c r="D697" i="4"/>
  <c r="D701" i="4"/>
  <c r="D705" i="4"/>
  <c r="D709" i="4"/>
  <c r="D713" i="4"/>
  <c r="D717" i="4"/>
  <c r="D721" i="4"/>
  <c r="D725" i="4"/>
  <c r="D729" i="4"/>
  <c r="D733" i="4"/>
  <c r="D737" i="4"/>
  <c r="D741" i="4"/>
  <c r="D745" i="4"/>
  <c r="D749" i="4"/>
  <c r="D753" i="4"/>
  <c r="D757" i="4"/>
  <c r="D761" i="4"/>
  <c r="D765" i="4"/>
  <c r="D769" i="4"/>
  <c r="D773" i="4"/>
  <c r="D777" i="4"/>
  <c r="D781" i="4"/>
  <c r="D785" i="4"/>
  <c r="D789" i="4"/>
  <c r="D793" i="4"/>
  <c r="D797" i="4"/>
  <c r="D801" i="4"/>
  <c r="D805" i="4"/>
  <c r="D809" i="4"/>
  <c r="D813" i="4"/>
  <c r="D817" i="4"/>
  <c r="D821" i="4"/>
  <c r="D825" i="4"/>
  <c r="D829" i="4"/>
  <c r="D833" i="4"/>
  <c r="D837" i="4"/>
  <c r="D841" i="4"/>
  <c r="D845" i="4"/>
  <c r="D849" i="4"/>
  <c r="D853" i="4"/>
  <c r="D857" i="4"/>
  <c r="D861" i="4"/>
  <c r="D865" i="4"/>
  <c r="D869" i="4"/>
  <c r="D873" i="4"/>
  <c r="D877" i="4"/>
  <c r="D881" i="4"/>
  <c r="D885" i="4"/>
  <c r="D889" i="4"/>
  <c r="D893" i="4"/>
  <c r="D897" i="4"/>
  <c r="D901" i="4"/>
  <c r="D905" i="4"/>
  <c r="D909" i="4"/>
  <c r="D913" i="4"/>
  <c r="D917" i="4"/>
  <c r="D921" i="4"/>
  <c r="D925" i="4"/>
  <c r="D929" i="4"/>
  <c r="D933" i="4"/>
  <c r="D937" i="4"/>
  <c r="D941" i="4"/>
  <c r="D945" i="4"/>
  <c r="D949" i="4"/>
  <c r="D953" i="4"/>
  <c r="D957" i="4"/>
  <c r="D961" i="4"/>
  <c r="D965" i="4"/>
  <c r="D969" i="4"/>
  <c r="D973" i="4"/>
  <c r="D977" i="4"/>
  <c r="D981" i="4"/>
  <c r="D985" i="4"/>
  <c r="D989" i="4"/>
  <c r="D993" i="4"/>
  <c r="D997" i="4"/>
  <c r="D1001" i="4"/>
  <c r="D1005" i="4"/>
  <c r="D1009" i="4"/>
  <c r="D1013" i="4"/>
  <c r="D1017" i="4"/>
  <c r="D1021" i="4"/>
  <c r="D1025" i="4"/>
  <c r="D1029" i="4"/>
  <c r="D1033" i="4"/>
  <c r="D1037" i="4"/>
  <c r="D1041" i="4"/>
  <c r="D1045" i="4"/>
  <c r="D1049" i="4"/>
  <c r="D1053" i="4"/>
  <c r="D1057" i="4"/>
  <c r="D1061" i="4"/>
  <c r="D1065" i="4"/>
  <c r="D1069" i="4"/>
  <c r="D1073" i="4"/>
  <c r="D1077" i="4"/>
  <c r="D1081" i="4"/>
  <c r="D1085" i="4"/>
  <c r="D1089" i="4"/>
  <c r="D1093" i="4"/>
  <c r="D1097" i="4"/>
  <c r="D1101" i="4"/>
  <c r="D1105" i="4"/>
  <c r="D1109" i="4"/>
  <c r="D1113" i="4"/>
  <c r="D1117" i="4"/>
  <c r="D1121" i="4"/>
  <c r="D1125" i="4"/>
  <c r="D1129" i="4"/>
  <c r="D1133" i="4"/>
  <c r="D1137" i="4"/>
  <c r="D1141" i="4"/>
  <c r="D1145" i="4"/>
  <c r="D1149" i="4"/>
  <c r="D1153" i="4"/>
  <c r="D1157" i="4"/>
  <c r="D1161" i="4"/>
  <c r="D1165" i="4"/>
  <c r="D1169" i="4"/>
  <c r="D1173" i="4"/>
  <c r="D1177" i="4"/>
  <c r="D1181" i="4"/>
  <c r="D1185" i="4"/>
  <c r="D1189" i="4"/>
  <c r="D1193" i="4"/>
  <c r="D1197" i="4"/>
  <c r="D1201" i="4"/>
  <c r="D1205" i="4"/>
  <c r="D1209" i="4"/>
  <c r="D1213" i="4"/>
  <c r="D1217" i="4"/>
  <c r="D1221" i="4"/>
  <c r="D1225" i="4"/>
  <c r="D1229" i="4"/>
  <c r="D1233" i="4"/>
  <c r="D1237" i="4"/>
  <c r="D1241" i="4"/>
  <c r="D1245" i="4"/>
  <c r="D1249" i="4"/>
  <c r="D1253" i="4"/>
  <c r="D1257" i="4"/>
  <c r="D1261" i="4"/>
  <c r="D1265" i="4"/>
  <c r="D1269" i="4"/>
  <c r="D1273" i="4"/>
  <c r="D1277" i="4"/>
  <c r="D1281" i="4"/>
  <c r="D1285" i="4"/>
  <c r="D1289" i="4"/>
  <c r="D1293" i="4"/>
  <c r="D1297" i="4"/>
  <c r="D1301" i="4"/>
  <c r="D1305" i="4"/>
  <c r="D1309" i="4"/>
  <c r="D1313" i="4"/>
  <c r="D1317" i="4"/>
  <c r="D1321" i="4"/>
  <c r="D1325" i="4"/>
  <c r="D1329" i="4"/>
  <c r="D1333" i="4"/>
  <c r="D1337" i="4"/>
  <c r="D1341" i="4"/>
  <c r="D1345" i="4"/>
  <c r="D1349" i="4"/>
  <c r="D1353" i="4"/>
  <c r="D1357" i="4"/>
  <c r="D1361" i="4"/>
  <c r="D1365" i="4"/>
  <c r="D1369" i="4"/>
  <c r="D1373" i="4"/>
  <c r="D1377" i="4"/>
  <c r="D1381" i="4"/>
  <c r="D1385" i="4"/>
  <c r="D1389" i="4"/>
  <c r="D1393" i="4"/>
  <c r="D1397" i="4"/>
  <c r="D1401" i="4"/>
  <c r="D1405" i="4"/>
  <c r="D1409" i="4"/>
  <c r="D1413" i="4"/>
  <c r="D1417" i="4"/>
  <c r="D1421" i="4"/>
  <c r="D1425" i="4"/>
  <c r="D1429" i="4"/>
  <c r="D1433" i="4"/>
  <c r="D1437" i="4"/>
  <c r="D1441" i="4"/>
  <c r="D1445" i="4"/>
  <c r="D1449" i="4"/>
  <c r="D1453" i="4"/>
  <c r="D1457" i="4"/>
  <c r="D1461" i="4"/>
  <c r="D1465" i="4"/>
  <c r="D1469" i="4"/>
  <c r="D1473" i="4"/>
  <c r="D1477" i="4"/>
  <c r="D1481" i="4"/>
  <c r="D1485" i="4"/>
  <c r="D1489" i="4"/>
  <c r="D1493" i="4"/>
  <c r="D1497" i="4"/>
  <c r="D1501" i="4"/>
  <c r="D1505" i="4"/>
  <c r="D1509" i="4"/>
  <c r="D1513" i="4"/>
  <c r="D1517" i="4"/>
  <c r="D1521" i="4"/>
  <c r="D1525" i="4"/>
  <c r="D1529" i="4"/>
  <c r="D1533" i="4"/>
  <c r="D1537" i="4"/>
  <c r="D1541" i="4"/>
  <c r="D1545" i="4"/>
  <c r="D1549" i="4"/>
  <c r="D1553" i="4"/>
  <c r="D1557" i="4"/>
  <c r="D1561" i="4"/>
  <c r="D1565" i="4"/>
  <c r="D1569" i="4"/>
  <c r="D1573" i="4"/>
  <c r="D1577" i="4"/>
  <c r="D3" i="4"/>
  <c r="D387" i="4"/>
  <c r="D391" i="4"/>
  <c r="D395" i="4"/>
  <c r="D399" i="4"/>
  <c r="D403" i="4"/>
  <c r="D407" i="4"/>
  <c r="D411" i="4"/>
  <c r="D415" i="4"/>
  <c r="D419" i="4"/>
  <c r="D423" i="4"/>
  <c r="D427" i="4"/>
  <c r="D431" i="4"/>
  <c r="D435" i="4"/>
  <c r="D439" i="4"/>
  <c r="D443" i="4"/>
  <c r="D447" i="4"/>
  <c r="D451" i="4"/>
  <c r="D455" i="4"/>
  <c r="D459" i="4"/>
  <c r="D463" i="4"/>
  <c r="D467" i="4"/>
  <c r="D471" i="4"/>
  <c r="D475" i="4"/>
  <c r="D479" i="4"/>
  <c r="D483" i="4"/>
  <c r="D487" i="4"/>
  <c r="D491" i="4"/>
  <c r="D495" i="4"/>
  <c r="D499" i="4"/>
  <c r="D503" i="4"/>
  <c r="D507" i="4"/>
  <c r="D511" i="4"/>
  <c r="D515" i="4"/>
  <c r="D519" i="4"/>
  <c r="D523" i="4"/>
  <c r="D527" i="4"/>
  <c r="D531" i="4"/>
  <c r="D535" i="4"/>
  <c r="D539" i="4"/>
  <c r="D543" i="4"/>
  <c r="D547" i="4"/>
  <c r="D551" i="4"/>
  <c r="D555" i="4"/>
  <c r="D559" i="4"/>
  <c r="D563" i="4"/>
  <c r="D567" i="4"/>
  <c r="D571" i="4"/>
  <c r="D575" i="4"/>
  <c r="D579" i="4"/>
  <c r="D583" i="4"/>
  <c r="D587" i="4"/>
  <c r="D591" i="4"/>
  <c r="D595" i="4"/>
  <c r="D599" i="4"/>
  <c r="D603" i="4"/>
  <c r="D607" i="4"/>
  <c r="D611" i="4"/>
  <c r="D615" i="4"/>
  <c r="D619" i="4"/>
  <c r="D623" i="4"/>
  <c r="D627" i="4"/>
  <c r="D631" i="4"/>
  <c r="D635" i="4"/>
  <c r="D639" i="4"/>
  <c r="D643" i="4"/>
  <c r="D647" i="4"/>
  <c r="D651" i="4"/>
  <c r="D655" i="4"/>
  <c r="D659" i="4"/>
  <c r="D663" i="4"/>
  <c r="D667" i="4"/>
  <c r="D671" i="4"/>
  <c r="D675" i="4"/>
  <c r="D679" i="4"/>
  <c r="D683" i="4"/>
  <c r="D687" i="4"/>
  <c r="D691" i="4"/>
  <c r="D695" i="4"/>
  <c r="D699" i="4"/>
  <c r="D703" i="4"/>
  <c r="D707" i="4"/>
  <c r="D711" i="4"/>
  <c r="D715" i="4"/>
  <c r="D719" i="4"/>
  <c r="D723" i="4"/>
  <c r="D727" i="4"/>
  <c r="D731" i="4"/>
  <c r="D735" i="4"/>
  <c r="D739" i="4"/>
  <c r="D743" i="4"/>
  <c r="D747" i="4"/>
  <c r="D751" i="4"/>
  <c r="D755" i="4"/>
  <c r="D759" i="4"/>
  <c r="D763" i="4"/>
  <c r="D767" i="4"/>
  <c r="D771" i="4"/>
  <c r="D775" i="4"/>
  <c r="D779" i="4"/>
  <c r="D783" i="4"/>
  <c r="D787" i="4"/>
  <c r="D791" i="4"/>
  <c r="D795" i="4"/>
  <c r="D799" i="4"/>
  <c r="D803" i="4"/>
  <c r="D807" i="4"/>
  <c r="D811" i="4"/>
  <c r="D815" i="4"/>
  <c r="D819" i="4"/>
  <c r="D823" i="4"/>
  <c r="D827" i="4"/>
  <c r="D831" i="4"/>
  <c r="D835" i="4"/>
  <c r="D839" i="4"/>
  <c r="D843" i="4"/>
  <c r="D847" i="4"/>
  <c r="D851" i="4"/>
  <c r="D855" i="4"/>
  <c r="D859" i="4"/>
  <c r="D863" i="4"/>
  <c r="D867" i="4"/>
  <c r="D871" i="4"/>
  <c r="D875" i="4"/>
  <c r="D879" i="4"/>
  <c r="D883" i="4"/>
  <c r="D887" i="4"/>
  <c r="D891" i="4"/>
  <c r="D895" i="4"/>
  <c r="D899" i="4"/>
  <c r="D903" i="4"/>
  <c r="D907" i="4"/>
  <c r="D911" i="4"/>
  <c r="D915" i="4"/>
  <c r="D919" i="4"/>
  <c r="D923" i="4"/>
  <c r="D927" i="4"/>
  <c r="D931" i="4"/>
  <c r="D935" i="4"/>
  <c r="D939" i="4"/>
  <c r="D943" i="4"/>
  <c r="D947" i="4"/>
  <c r="D951" i="4"/>
  <c r="D955" i="4"/>
  <c r="D959" i="4"/>
  <c r="D963" i="4"/>
  <c r="D967" i="4"/>
  <c r="D971" i="4"/>
  <c r="D975" i="4"/>
  <c r="D979" i="4"/>
  <c r="D983" i="4"/>
  <c r="D987" i="4"/>
  <c r="D991" i="4"/>
  <c r="D995" i="4"/>
  <c r="D999" i="4"/>
  <c r="D1003" i="4"/>
  <c r="D1007" i="4"/>
  <c r="D1011" i="4"/>
  <c r="D1015" i="4"/>
  <c r="D1019" i="4"/>
  <c r="D1023" i="4"/>
  <c r="D1027" i="4"/>
  <c r="D1031" i="4"/>
  <c r="D1035" i="4"/>
  <c r="D1039" i="4"/>
  <c r="D1043" i="4"/>
  <c r="D1047" i="4"/>
  <c r="D1051" i="4"/>
  <c r="D1055" i="4"/>
  <c r="D1059" i="4"/>
  <c r="D1063" i="4"/>
  <c r="D1067" i="4"/>
  <c r="D1071" i="4"/>
  <c r="D1075" i="4"/>
  <c r="D1079" i="4"/>
  <c r="D1083" i="4"/>
  <c r="D1087" i="4"/>
  <c r="D1091" i="4"/>
  <c r="D1095" i="4"/>
  <c r="D1099" i="4"/>
  <c r="D1103" i="4"/>
  <c r="D1107" i="4"/>
  <c r="D1111" i="4"/>
  <c r="D1115" i="4"/>
  <c r="D1119" i="4"/>
  <c r="D1123" i="4"/>
  <c r="D1127" i="4"/>
  <c r="D1131" i="4"/>
  <c r="D1135" i="4"/>
  <c r="D1139" i="4"/>
  <c r="D1143" i="4"/>
  <c r="D1147" i="4"/>
  <c r="D1151" i="4"/>
  <c r="D1155" i="4"/>
  <c r="D1159" i="4"/>
  <c r="D1163" i="4"/>
  <c r="D1167" i="4"/>
  <c r="D1171" i="4"/>
  <c r="D1175" i="4"/>
  <c r="D1179" i="4"/>
  <c r="D1183" i="4"/>
  <c r="D1187" i="4"/>
  <c r="D1191" i="4"/>
  <c r="D1195" i="4"/>
  <c r="D1199" i="4"/>
  <c r="D1203" i="4"/>
  <c r="D1207" i="4"/>
  <c r="D1211" i="4"/>
  <c r="D1215" i="4"/>
  <c r="D1219" i="4"/>
  <c r="D1223" i="4"/>
  <c r="D1227" i="4"/>
  <c r="D1231" i="4"/>
  <c r="D1235" i="4"/>
  <c r="D1239" i="4"/>
  <c r="D1243" i="4"/>
  <c r="D1247" i="4"/>
  <c r="D1251" i="4"/>
  <c r="D1255" i="4"/>
  <c r="D1259" i="4"/>
  <c r="D1263" i="4"/>
  <c r="D1267" i="4"/>
  <c r="D1271" i="4"/>
  <c r="D1275" i="4"/>
  <c r="D1279" i="4"/>
  <c r="D1283" i="4"/>
  <c r="D1287" i="4"/>
  <c r="D1291" i="4"/>
  <c r="D1295" i="4"/>
  <c r="D1299" i="4"/>
  <c r="D1303" i="4"/>
  <c r="D1307" i="4"/>
  <c r="D1311" i="4"/>
  <c r="D1315" i="4"/>
  <c r="D1319" i="4"/>
  <c r="D1323" i="4"/>
  <c r="D1327" i="4"/>
  <c r="D1331" i="4"/>
  <c r="D1335" i="4"/>
  <c r="D1339" i="4"/>
  <c r="D1343" i="4"/>
  <c r="D1347" i="4"/>
  <c r="D1351" i="4"/>
  <c r="D1355" i="4"/>
  <c r="D1359" i="4"/>
  <c r="D1363" i="4"/>
  <c r="D1367" i="4"/>
  <c r="D1371" i="4"/>
  <c r="D1375" i="4"/>
  <c r="D1379" i="4"/>
  <c r="D1383" i="4"/>
  <c r="D1387" i="4"/>
  <c r="D1391" i="4"/>
  <c r="D1395" i="4"/>
  <c r="D1399" i="4"/>
  <c r="D1403" i="4"/>
  <c r="D1407" i="4"/>
  <c r="D1411" i="4"/>
  <c r="D1415" i="4"/>
  <c r="D1419" i="4"/>
  <c r="D1423" i="4"/>
  <c r="D1427" i="4"/>
  <c r="D1431" i="4"/>
  <c r="D1435" i="4"/>
  <c r="D1439" i="4"/>
  <c r="D1443" i="4"/>
  <c r="D1447" i="4"/>
  <c r="D1451" i="4"/>
  <c r="D1455" i="4"/>
  <c r="D1459" i="4"/>
  <c r="D1463" i="4"/>
  <c r="D1467" i="4"/>
  <c r="D1471" i="4"/>
  <c r="D1475" i="4"/>
  <c r="D1479" i="4"/>
  <c r="D1483" i="4"/>
  <c r="D1487" i="4"/>
  <c r="D1491" i="4"/>
  <c r="D1495" i="4"/>
  <c r="D1499" i="4"/>
  <c r="D1503" i="4"/>
  <c r="D1507" i="4"/>
  <c r="D1511" i="4"/>
  <c r="D1515" i="4"/>
  <c r="D1519" i="4"/>
  <c r="D1523" i="4"/>
  <c r="D1527" i="4"/>
  <c r="D1531" i="4"/>
  <c r="D1535" i="4"/>
  <c r="D1539" i="4"/>
  <c r="D1543" i="4"/>
  <c r="D1547" i="4"/>
  <c r="D1551" i="4"/>
  <c r="D1555" i="4"/>
  <c r="D1559" i="4"/>
  <c r="D1563" i="4"/>
  <c r="D1567" i="4"/>
  <c r="D1571" i="4"/>
  <c r="D1575" i="4"/>
  <c r="D1591" i="4"/>
  <c r="D1595" i="4"/>
  <c r="D1599" i="4"/>
  <c r="D1603" i="4"/>
  <c r="D1607" i="4"/>
  <c r="D1611" i="4"/>
  <c r="D1615" i="4"/>
  <c r="D1619" i="4"/>
  <c r="D1623" i="4"/>
  <c r="D1627" i="4"/>
  <c r="D1631" i="4"/>
  <c r="D1635" i="4"/>
  <c r="D1639" i="4"/>
  <c r="D1643" i="4"/>
  <c r="D1647" i="4"/>
  <c r="D1651" i="4"/>
  <c r="D1655" i="4"/>
  <c r="D1659" i="4"/>
  <c r="D1663" i="4"/>
  <c r="D1667" i="4"/>
  <c r="D1671" i="4"/>
  <c r="D1675" i="4"/>
  <c r="D1679" i="4"/>
  <c r="D1683" i="4"/>
  <c r="D1687" i="4"/>
  <c r="D1691" i="4"/>
  <c r="D1695" i="4"/>
  <c r="D1699" i="4"/>
  <c r="D1703" i="4"/>
  <c r="D1707" i="4"/>
  <c r="D1711" i="4"/>
  <c r="D1715" i="4"/>
  <c r="D1719" i="4"/>
  <c r="D1723" i="4"/>
  <c r="D1727" i="4"/>
  <c r="D1731" i="4"/>
  <c r="D1735" i="4"/>
  <c r="D1739" i="4"/>
  <c r="D1743" i="4"/>
  <c r="D1747" i="4"/>
  <c r="D1751" i="4"/>
  <c r="D1755" i="4"/>
  <c r="D1759" i="4"/>
  <c r="D1763" i="4"/>
  <c r="D1767" i="4"/>
  <c r="D1771" i="4"/>
  <c r="D1775" i="4"/>
  <c r="D1779" i="4"/>
  <c r="D1783" i="4"/>
  <c r="D1787" i="4"/>
  <c r="D1791" i="4"/>
  <c r="D1795" i="4"/>
  <c r="D1799" i="4"/>
  <c r="D1803" i="4"/>
  <c r="D1807" i="4"/>
  <c r="D1811" i="4"/>
  <c r="D1815" i="4"/>
  <c r="D1819" i="4"/>
  <c r="D1823" i="4"/>
  <c r="D1827" i="4"/>
  <c r="D1831" i="4"/>
  <c r="D1835" i="4"/>
  <c r="D1839" i="4"/>
  <c r="D1843" i="4"/>
  <c r="D1847" i="4"/>
  <c r="D1851" i="4"/>
  <c r="D1855" i="4"/>
  <c r="D1859" i="4"/>
  <c r="D1863" i="4"/>
  <c r="D1867" i="4"/>
  <c r="D1871" i="4"/>
  <c r="D1875" i="4"/>
  <c r="D1879" i="4"/>
  <c r="D1883" i="4"/>
  <c r="D1887" i="4"/>
  <c r="D1891" i="4"/>
  <c r="D1895" i="4"/>
  <c r="D1899" i="4"/>
  <c r="D1903" i="4"/>
  <c r="D1907" i="4"/>
  <c r="D1911" i="4"/>
  <c r="D1915" i="4"/>
  <c r="D1919" i="4"/>
  <c r="D1923" i="4"/>
  <c r="D1927" i="4"/>
  <c r="D1931" i="4"/>
  <c r="D1935" i="4"/>
  <c r="D1939" i="4"/>
  <c r="D1943" i="4"/>
  <c r="D1947" i="4"/>
  <c r="D1951" i="4"/>
  <c r="D1955" i="4"/>
  <c r="D1959" i="4"/>
  <c r="D1963" i="4"/>
  <c r="D1967" i="4"/>
  <c r="D1971" i="4"/>
  <c r="D1975" i="4"/>
  <c r="D1979" i="4"/>
  <c r="D1983" i="4"/>
  <c r="D1987" i="4"/>
  <c r="D1991" i="4"/>
  <c r="D1995" i="4"/>
  <c r="D1999" i="4"/>
  <c r="D2003" i="4"/>
  <c r="D2007" i="4"/>
  <c r="D2011" i="4"/>
  <c r="D2015" i="4"/>
  <c r="D2019" i="4"/>
  <c r="D2023" i="4"/>
  <c r="D2027" i="4"/>
  <c r="D2031" i="4"/>
  <c r="D2035" i="4"/>
  <c r="D2039" i="4"/>
  <c r="D2043" i="4"/>
  <c r="D2047" i="4"/>
  <c r="D2051" i="4"/>
  <c r="D2055" i="4"/>
  <c r="D2059" i="4"/>
  <c r="D2063" i="4"/>
  <c r="D2067" i="4"/>
  <c r="D2071" i="4"/>
  <c r="D2075" i="4"/>
  <c r="D2079" i="4"/>
  <c r="D2083" i="4"/>
  <c r="D2087" i="4"/>
  <c r="D2091" i="4"/>
  <c r="D2095" i="4"/>
  <c r="D2099" i="4"/>
  <c r="D2103" i="4"/>
  <c r="D2107" i="4"/>
  <c r="D2111" i="4"/>
  <c r="D2115" i="4"/>
  <c r="D2119" i="4"/>
  <c r="D2123" i="4"/>
  <c r="D2127" i="4"/>
  <c r="D2131" i="4"/>
  <c r="D2135" i="4"/>
  <c r="D2139" i="4"/>
  <c r="D2143" i="4"/>
  <c r="D2147" i="4"/>
  <c r="D2151" i="4"/>
  <c r="D2155" i="4"/>
  <c r="D2159" i="4"/>
  <c r="D2163" i="4"/>
  <c r="D2167" i="4"/>
  <c r="D2171" i="4"/>
  <c r="D2175" i="4"/>
  <c r="D2179" i="4"/>
  <c r="D2183" i="4"/>
  <c r="D2187" i="4"/>
  <c r="D2191" i="4"/>
  <c r="D2195" i="4"/>
  <c r="D2199" i="4"/>
  <c r="D2203" i="4"/>
  <c r="D2207" i="4"/>
  <c r="D1589" i="4"/>
  <c r="D1593" i="4"/>
  <c r="D1597" i="4"/>
  <c r="D1601" i="4"/>
  <c r="D1605" i="4"/>
  <c r="D1609" i="4"/>
  <c r="D1613" i="4"/>
  <c r="D1617" i="4"/>
  <c r="D1621" i="4"/>
  <c r="D1625" i="4"/>
  <c r="D1629" i="4"/>
  <c r="D1633" i="4"/>
  <c r="D1637" i="4"/>
  <c r="D1641" i="4"/>
  <c r="D1645" i="4"/>
  <c r="D1649" i="4"/>
  <c r="D1653" i="4"/>
  <c r="D1657" i="4"/>
  <c r="D1661" i="4"/>
  <c r="D1665" i="4"/>
  <c r="D1669" i="4"/>
  <c r="D1673" i="4"/>
  <c r="D1677" i="4"/>
  <c r="D1681" i="4"/>
  <c r="D1685" i="4"/>
  <c r="D1689" i="4"/>
  <c r="D1693" i="4"/>
  <c r="D1697" i="4"/>
  <c r="D1701" i="4"/>
  <c r="D1705" i="4"/>
  <c r="D1709" i="4"/>
  <c r="D1713" i="4"/>
  <c r="D1717" i="4"/>
  <c r="D1721" i="4"/>
  <c r="D1725" i="4"/>
  <c r="D1729" i="4"/>
  <c r="D1733" i="4"/>
  <c r="D1737" i="4"/>
  <c r="D1741" i="4"/>
  <c r="D1745" i="4"/>
  <c r="D1749" i="4"/>
  <c r="D1753" i="4"/>
  <c r="D1757" i="4"/>
  <c r="D1761" i="4"/>
  <c r="D1765" i="4"/>
  <c r="D1769" i="4"/>
  <c r="D1773" i="4"/>
  <c r="D1777" i="4"/>
  <c r="D1781" i="4"/>
  <c r="D1785" i="4"/>
  <c r="D1789" i="4"/>
  <c r="D1793" i="4"/>
  <c r="D1797" i="4"/>
  <c r="D1801" i="4"/>
  <c r="D1805" i="4"/>
  <c r="D1809" i="4"/>
  <c r="D1813" i="4"/>
  <c r="D1817" i="4"/>
  <c r="D1821" i="4"/>
  <c r="D1825" i="4"/>
  <c r="D1829" i="4"/>
  <c r="D1833" i="4"/>
  <c r="D1837" i="4"/>
  <c r="D1841" i="4"/>
  <c r="D1845" i="4"/>
  <c r="D1849" i="4"/>
  <c r="D1853" i="4"/>
  <c r="D1857" i="4"/>
  <c r="D1861" i="4"/>
  <c r="D1865" i="4"/>
  <c r="D1869" i="4"/>
  <c r="D1873" i="4"/>
  <c r="D1877" i="4"/>
  <c r="D1881" i="4"/>
  <c r="D1885" i="4"/>
  <c r="D1889" i="4"/>
  <c r="D1893" i="4"/>
  <c r="D1897" i="4"/>
  <c r="D1901" i="4"/>
  <c r="D1905" i="4"/>
  <c r="D1909" i="4"/>
  <c r="D1913" i="4"/>
  <c r="D1917" i="4"/>
  <c r="D1921" i="4"/>
  <c r="D1925" i="4"/>
  <c r="D1929" i="4"/>
  <c r="D1933" i="4"/>
  <c r="D1937" i="4"/>
  <c r="D1941" i="4"/>
  <c r="D1945" i="4"/>
  <c r="D1949" i="4"/>
  <c r="D1953" i="4"/>
  <c r="D1957" i="4"/>
  <c r="D1961" i="4"/>
  <c r="D1965" i="4"/>
  <c r="D1969" i="4"/>
  <c r="D1973" i="4"/>
  <c r="D1977" i="4"/>
  <c r="D1981" i="4"/>
  <c r="D1985" i="4"/>
  <c r="D1989" i="4"/>
  <c r="D1993" i="4"/>
  <c r="D1997" i="4"/>
  <c r="D2001" i="4"/>
  <c r="D2005" i="4"/>
  <c r="D2009" i="4"/>
  <c r="D2013" i="4"/>
  <c r="D2017" i="4"/>
  <c r="D2021" i="4"/>
  <c r="D2025" i="4"/>
  <c r="D2029" i="4"/>
  <c r="D2033" i="4"/>
  <c r="D2037" i="4"/>
  <c r="D2041" i="4"/>
  <c r="D2045" i="4"/>
  <c r="D2049" i="4"/>
  <c r="D2053" i="4"/>
  <c r="D2057" i="4"/>
  <c r="D2061" i="4"/>
  <c r="D2065" i="4"/>
  <c r="D2069" i="4"/>
  <c r="D2073" i="4"/>
  <c r="D2077" i="4"/>
  <c r="D2081" i="4"/>
  <c r="D2085" i="4"/>
  <c r="D2089" i="4"/>
  <c r="D2093" i="4"/>
  <c r="D2097" i="4"/>
  <c r="D2101" i="4"/>
  <c r="D2105" i="4"/>
  <c r="D2109" i="4"/>
  <c r="D2113" i="4"/>
  <c r="D2117" i="4"/>
  <c r="D2121" i="4"/>
  <c r="D2125" i="4"/>
  <c r="D2129" i="4"/>
  <c r="D2133" i="4"/>
  <c r="D2137" i="4"/>
  <c r="D2141" i="4"/>
  <c r="D2145" i="4"/>
  <c r="D2149" i="4"/>
  <c r="D2153" i="4"/>
  <c r="D2157" i="4"/>
  <c r="D2161" i="4"/>
  <c r="D2165" i="4"/>
  <c r="D2169" i="4"/>
  <c r="D2173" i="4"/>
  <c r="D2177" i="4"/>
  <c r="D2181" i="4"/>
  <c r="D2185" i="4"/>
  <c r="D2189" i="4"/>
  <c r="D2193" i="4"/>
  <c r="D2197" i="4"/>
  <c r="D2201" i="4"/>
  <c r="D2205" i="4"/>
  <c r="D2255" i="4"/>
  <c r="D2259" i="4"/>
  <c r="D2263" i="4"/>
  <c r="D2267" i="4"/>
  <c r="D2271" i="4"/>
  <c r="D2275" i="4"/>
  <c r="D2279" i="4"/>
  <c r="D2283" i="4"/>
  <c r="D2287" i="4"/>
  <c r="D2291" i="4"/>
  <c r="D2295" i="4"/>
  <c r="D2299" i="4"/>
  <c r="D2303" i="4"/>
  <c r="D2307" i="4"/>
  <c r="D2311" i="4"/>
  <c r="D2315" i="4"/>
  <c r="D2319" i="4"/>
  <c r="D2323" i="4"/>
  <c r="D2327" i="4"/>
  <c r="D2331" i="4"/>
  <c r="D2335" i="4"/>
  <c r="D2339" i="4"/>
  <c r="D2343" i="4"/>
  <c r="D2347" i="4"/>
  <c r="D2351" i="4"/>
  <c r="D2373" i="4"/>
  <c r="D2377" i="4"/>
  <c r="D2498" i="4"/>
  <c r="D2499" i="4"/>
  <c r="D2505" i="4"/>
  <c r="D2511" i="4"/>
  <c r="D2512" i="4"/>
  <c r="D2518" i="4"/>
  <c r="D2523" i="4"/>
  <c r="D2529" i="4"/>
  <c r="D2534" i="4"/>
  <c r="D2540" i="4"/>
  <c r="D2541" i="4"/>
  <c r="D2546" i="4"/>
  <c r="D2547" i="4"/>
  <c r="D2551" i="4"/>
  <c r="D2355" i="4"/>
  <c r="D2360" i="4"/>
  <c r="D2364" i="4"/>
  <c r="D2365" i="4"/>
  <c r="D2369" i="4"/>
  <c r="D2374" i="4"/>
  <c r="D2378" i="4"/>
  <c r="D2383" i="4"/>
  <c r="D2387" i="4"/>
  <c r="D2392" i="4"/>
  <c r="D2396" i="4"/>
  <c r="D2397" i="4"/>
  <c r="D2401" i="4"/>
  <c r="D2406" i="4"/>
  <c r="D2410" i="4"/>
  <c r="D2415" i="4"/>
  <c r="D2419" i="4"/>
  <c r="D2424" i="4"/>
  <c r="D2428" i="4"/>
  <c r="D2429" i="4"/>
  <c r="D2433" i="4"/>
  <c r="D2438" i="4"/>
  <c r="D2442" i="4"/>
  <c r="D2447" i="4"/>
  <c r="D2451" i="4"/>
  <c r="D2456" i="4"/>
  <c r="D2460" i="4"/>
  <c r="D2461" i="4"/>
  <c r="D2465" i="4"/>
  <c r="D2471" i="4"/>
  <c r="D2472" i="4"/>
  <c r="D2478" i="4"/>
  <c r="D2484" i="4"/>
  <c r="D2485" i="4"/>
  <c r="D2490" i="4"/>
  <c r="D2491" i="4"/>
  <c r="D2497" i="4"/>
  <c r="D2503" i="4"/>
  <c r="D2504" i="4"/>
  <c r="D2510" i="4"/>
  <c r="D2516" i="4"/>
  <c r="D2517" i="4"/>
  <c r="D2522" i="4"/>
  <c r="D2527" i="4"/>
  <c r="D2528" i="4"/>
  <c r="D2533" i="4"/>
  <c r="D2538" i="4"/>
  <c r="D2539" i="4"/>
  <c r="D2545" i="4"/>
  <c r="D2550" i="4"/>
  <c r="D2432" i="4"/>
  <c r="D2436" i="4"/>
  <c r="D2437" i="4"/>
  <c r="D2441" i="4"/>
  <c r="D2446" i="4"/>
  <c r="D2450" i="4"/>
  <c r="D2455" i="4"/>
  <c r="D2459" i="4"/>
  <c r="D2464" i="4"/>
  <c r="D2470" i="4"/>
  <c r="D2476" i="4"/>
  <c r="D2477" i="4"/>
  <c r="D2482" i="4"/>
  <c r="D2483" i="4"/>
  <c r="D2489" i="4"/>
  <c r="D2495" i="4"/>
  <c r="D2496" i="4"/>
  <c r="D2502" i="4"/>
  <c r="D2508" i="4"/>
  <c r="D2509" i="4"/>
  <c r="D2514" i="4"/>
  <c r="D2515" i="4"/>
  <c r="D2521" i="4"/>
  <c r="D2526" i="4"/>
  <c r="D2532" i="4"/>
  <c r="D2537" i="4"/>
  <c r="D2543" i="4"/>
  <c r="D2544" i="4"/>
  <c r="D2549" i="4"/>
  <c r="D2552" i="4"/>
  <c r="D2558" i="4"/>
  <c r="D2564" i="4"/>
  <c r="D2569" i="4"/>
  <c r="D2575" i="4"/>
  <c r="D2576" i="4"/>
  <c r="D2581" i="4"/>
  <c r="D2586" i="4"/>
  <c r="D2587" i="4"/>
  <c r="D2593" i="4"/>
  <c r="D2598" i="4"/>
  <c r="D2604" i="4"/>
  <c r="D2605" i="4"/>
  <c r="D2610" i="4"/>
  <c r="D2611" i="4"/>
  <c r="D2617" i="4"/>
  <c r="D2622" i="4"/>
  <c r="D2628" i="4"/>
  <c r="D2629" i="4"/>
  <c r="D2633" i="4"/>
  <c r="D2639" i="4"/>
  <c r="D2640" i="4"/>
  <c r="D2646" i="4"/>
  <c r="D2652" i="4"/>
  <c r="D2653" i="4"/>
  <c r="D2658" i="4"/>
  <c r="D2659" i="4"/>
  <c r="D2665" i="4"/>
  <c r="D2671" i="4"/>
  <c r="D2672" i="4"/>
  <c r="D2677" i="4"/>
  <c r="D2682" i="4"/>
  <c r="D2686" i="4"/>
  <c r="D2690" i="4"/>
  <c r="D2691" i="4"/>
  <c r="D2695" i="4"/>
  <c r="D2699" i="4"/>
  <c r="D2704" i="4"/>
  <c r="D2710" i="4"/>
  <c r="D2714" i="4"/>
  <c r="D2715" i="4"/>
  <c r="D2720" i="4"/>
  <c r="D2726" i="4"/>
  <c r="D2732" i="4"/>
  <c r="D2733" i="4"/>
  <c r="D2737" i="4"/>
  <c r="D2743" i="4"/>
  <c r="D2748" i="4"/>
  <c r="D2749" i="4"/>
  <c r="D2753" i="4"/>
  <c r="D2759" i="4"/>
  <c r="D2760" i="4"/>
  <c r="D2766" i="4"/>
  <c r="D2770" i="4"/>
  <c r="D2771" i="4"/>
  <c r="D2777" i="4"/>
  <c r="D2783" i="4"/>
  <c r="D2784" i="4"/>
  <c r="D2790" i="4"/>
  <c r="D2796" i="4"/>
  <c r="D2797" i="4"/>
  <c r="D2802" i="4"/>
  <c r="D2803" i="4"/>
  <c r="D2809" i="4"/>
  <c r="D2814" i="4"/>
  <c r="D2820" i="4"/>
  <c r="D2821" i="4"/>
  <c r="D2826" i="4"/>
  <c r="D2827" i="4"/>
  <c r="D2831" i="4"/>
  <c r="D2832" i="4"/>
  <c r="D2836" i="4"/>
  <c r="D2837" i="4"/>
  <c r="D2842" i="4"/>
  <c r="D2843" i="4"/>
  <c r="D2849" i="4"/>
  <c r="D2855" i="4"/>
  <c r="D2856" i="4"/>
  <c r="D2862" i="4"/>
  <c r="D2868" i="4"/>
  <c r="D2869" i="4"/>
  <c r="D2874" i="4"/>
  <c r="D2875" i="4"/>
  <c r="D2880" i="4"/>
  <c r="D2886" i="4"/>
  <c r="D2892" i="4"/>
  <c r="D2897" i="4"/>
  <c r="D2903" i="4"/>
  <c r="D2904" i="4"/>
  <c r="D2910" i="4"/>
  <c r="D2915" i="4"/>
  <c r="D2919" i="4"/>
  <c r="D2923" i="4"/>
  <c r="D2927" i="4"/>
  <c r="D2931" i="4"/>
  <c r="D2937" i="4"/>
  <c r="D2943" i="4"/>
  <c r="D2944" i="4"/>
  <c r="D2950" i="4"/>
  <c r="D2956" i="4"/>
  <c r="D2957" i="4"/>
  <c r="D2962" i="4"/>
  <c r="D2963" i="4"/>
  <c r="D2968" i="4"/>
  <c r="D2974" i="4"/>
  <c r="D2978" i="4"/>
  <c r="D2979" i="4"/>
  <c r="D2985" i="4"/>
  <c r="D2990" i="4"/>
  <c r="D2996" i="4"/>
  <c r="D2997" i="4"/>
  <c r="D3002" i="4"/>
  <c r="D3007" i="4"/>
  <c r="D3014" i="4"/>
  <c r="D3015" i="4"/>
  <c r="D3020" i="4"/>
  <c r="D3021" i="4"/>
  <c r="D3026" i="4"/>
  <c r="D3027" i="4"/>
  <c r="D3033" i="4"/>
  <c r="D3040" i="4"/>
  <c r="D3041" i="4"/>
  <c r="D3048" i="4"/>
  <c r="D3049" i="4"/>
  <c r="D3056" i="4"/>
  <c r="D3057" i="4"/>
  <c r="D3064" i="4"/>
  <c r="D3065" i="4"/>
  <c r="D3072" i="4"/>
  <c r="D3073" i="4"/>
  <c r="D3078" i="4"/>
  <c r="D3079" i="4"/>
  <c r="D3084" i="4"/>
  <c r="D3085" i="4"/>
  <c r="D3090" i="4"/>
  <c r="D3091" i="4"/>
  <c r="D3096" i="4"/>
  <c r="D3102" i="4"/>
  <c r="D3103" i="4"/>
  <c r="D3108" i="4"/>
  <c r="D3109" i="4"/>
  <c r="D3116" i="4"/>
  <c r="D3117" i="4"/>
  <c r="D3122" i="4"/>
  <c r="D3128" i="4"/>
  <c r="D3129" i="4"/>
  <c r="D3136" i="4"/>
  <c r="D3137" i="4"/>
  <c r="D3144" i="4"/>
  <c r="D3145" i="4"/>
  <c r="D3152" i="4"/>
  <c r="D3153" i="4"/>
  <c r="D3160" i="4"/>
  <c r="D3161" i="4"/>
  <c r="D3168" i="4"/>
  <c r="D3174" i="4"/>
  <c r="D3175" i="4"/>
  <c r="D3180" i="4"/>
  <c r="D3181" i="4"/>
  <c r="D3187" i="4"/>
  <c r="D3194" i="4"/>
  <c r="D3195" i="4"/>
  <c r="D3202" i="4"/>
  <c r="D3203" i="4"/>
  <c r="D3209" i="4"/>
  <c r="D3216" i="4"/>
  <c r="D3217" i="4"/>
  <c r="D3224" i="4"/>
  <c r="D3225" i="4"/>
  <c r="D3231" i="4"/>
  <c r="D3238" i="4"/>
  <c r="D3242" i="4"/>
  <c r="D3246" i="4"/>
  <c r="D3250" i="4"/>
  <c r="D3254" i="4"/>
  <c r="D3258" i="4"/>
  <c r="D3263" i="4"/>
  <c r="D3269" i="4"/>
  <c r="D3276" i="4"/>
  <c r="D3277" i="4"/>
  <c r="D3282" i="4"/>
  <c r="D3283" i="4"/>
  <c r="D3290" i="4"/>
  <c r="D3294" i="4"/>
  <c r="D3295" i="4"/>
  <c r="D3300" i="4"/>
  <c r="D3301" i="4"/>
  <c r="D3308" i="4"/>
  <c r="D3309" i="4"/>
  <c r="D3315" i="4"/>
  <c r="D3320" i="4"/>
  <c r="D3321" i="4"/>
  <c r="D3326" i="4"/>
  <c r="D3327" i="4"/>
  <c r="D3334" i="4"/>
  <c r="D3335" i="4"/>
  <c r="D3340" i="4"/>
  <c r="D3346" i="4"/>
  <c r="D3352" i="4"/>
  <c r="D3353" i="4"/>
  <c r="D3360" i="4"/>
  <c r="D3361" i="4"/>
  <c r="D3365" i="4"/>
  <c r="D3371" i="4"/>
  <c r="D3378" i="4"/>
  <c r="D3379" i="4"/>
  <c r="D3386" i="4"/>
  <c r="D3391" i="4"/>
  <c r="D3398" i="4"/>
  <c r="D3399" i="4"/>
  <c r="D3406" i="4"/>
  <c r="D3407" i="4"/>
  <c r="D3412" i="4"/>
  <c r="D3416" i="4"/>
  <c r="D3420" i="4"/>
  <c r="D3424" i="4"/>
  <c r="D3428" i="4"/>
  <c r="D3432" i="4"/>
  <c r="D3436" i="4"/>
  <c r="D3440" i="4"/>
  <c r="D3444" i="4"/>
  <c r="D3448" i="4"/>
  <c r="D3452" i="4"/>
  <c r="D3456" i="4"/>
  <c r="D3460" i="4"/>
  <c r="D3464" i="4"/>
  <c r="D3468" i="4"/>
  <c r="D3472" i="4"/>
  <c r="D3476" i="4"/>
  <c r="D3480" i="4"/>
  <c r="D3484" i="4"/>
  <c r="D3488" i="4"/>
  <c r="D3492" i="4"/>
  <c r="D3496" i="4"/>
  <c r="D3500" i="4"/>
  <c r="D3504" i="4"/>
  <c r="D3508" i="4"/>
  <c r="D3512" i="4"/>
  <c r="D3516" i="4"/>
  <c r="D3520" i="4"/>
  <c r="D3524" i="4"/>
  <c r="D3528" i="4"/>
  <c r="D3532" i="4"/>
  <c r="D3536" i="4"/>
  <c r="D3540" i="4"/>
  <c r="D3544" i="4"/>
  <c r="D3548" i="4"/>
  <c r="D3552" i="4"/>
  <c r="D3556" i="4"/>
  <c r="D3560" i="4"/>
  <c r="D3564" i="4"/>
  <c r="D3568" i="4"/>
  <c r="D3572" i="4"/>
  <c r="D2554" i="4"/>
  <c r="D2555" i="4"/>
  <c r="D2561" i="4"/>
  <c r="D2566" i="4"/>
  <c r="D2572" i="4"/>
  <c r="D2573" i="4"/>
  <c r="D2578" i="4"/>
  <c r="D2579" i="4"/>
  <c r="D2583" i="4"/>
  <c r="D2584" i="4"/>
  <c r="D2590" i="4"/>
  <c r="D2596" i="4"/>
  <c r="D2601" i="4"/>
  <c r="D2607" i="4"/>
  <c r="D2608" i="4"/>
  <c r="D2614" i="4"/>
  <c r="D2620" i="4"/>
  <c r="D2625" i="4"/>
  <c r="D2631" i="4"/>
  <c r="D2636" i="4"/>
  <c r="D2637" i="4"/>
  <c r="D2642" i="4"/>
  <c r="D2643" i="4"/>
  <c r="D2649" i="4"/>
  <c r="D2655" i="4"/>
  <c r="D2656" i="4"/>
  <c r="D2662" i="4"/>
  <c r="D2668" i="4"/>
  <c r="D2669" i="4"/>
  <c r="D2674" i="4"/>
  <c r="D2675" i="4"/>
  <c r="D2679" i="4"/>
  <c r="D2680" i="4"/>
  <c r="D2684" i="4"/>
  <c r="D2688" i="4"/>
  <c r="D2693" i="4"/>
  <c r="D2697" i="4"/>
  <c r="D2702" i="4"/>
  <c r="D2706" i="4"/>
  <c r="D2707" i="4"/>
  <c r="D2712" i="4"/>
  <c r="D2718" i="4"/>
  <c r="D2722" i="4"/>
  <c r="D2723" i="4"/>
  <c r="D2729" i="4"/>
  <c r="D2735" i="4"/>
  <c r="D2740" i="4"/>
  <c r="D2741" i="4"/>
  <c r="D2745" i="4"/>
  <c r="D2751" i="4"/>
  <c r="D2756" i="4"/>
  <c r="D2757" i="4"/>
  <c r="D2762" i="4"/>
  <c r="D2763" i="4"/>
  <c r="D2768" i="4"/>
  <c r="D2774" i="4"/>
  <c r="D2780" i="4"/>
  <c r="D2781" i="4"/>
  <c r="D2786" i="4"/>
  <c r="D2787" i="4"/>
  <c r="D2793" i="4"/>
  <c r="D2799" i="4"/>
  <c r="D2800" i="4"/>
  <c r="D2806" i="4"/>
  <c r="D2812" i="4"/>
  <c r="D2817" i="4"/>
  <c r="D2823" i="4"/>
  <c r="D2824" i="4"/>
  <c r="D2829" i="4"/>
  <c r="D2834" i="4"/>
  <c r="D2839" i="4"/>
  <c r="D2840" i="4"/>
  <c r="D2846" i="4"/>
  <c r="D2852" i="4"/>
  <c r="D2853" i="4"/>
  <c r="D2858" i="4"/>
  <c r="D2859" i="4"/>
  <c r="D2865" i="4"/>
  <c r="D2871" i="4"/>
  <c r="D2872" i="4"/>
  <c r="D2878" i="4"/>
  <c r="D2882" i="4"/>
  <c r="D2883" i="4"/>
  <c r="D2889" i="4"/>
  <c r="D2894" i="4"/>
  <c r="D2900" i="4"/>
  <c r="D2901" i="4"/>
  <c r="D2906" i="4"/>
  <c r="D2907" i="4"/>
  <c r="D2913" i="4"/>
  <c r="D2917" i="4"/>
  <c r="D2921" i="4"/>
  <c r="D2925" i="4"/>
  <c r="D2929" i="4"/>
  <c r="D2934" i="4"/>
  <c r="D2940" i="4"/>
  <c r="D2941" i="4"/>
  <c r="D2946" i="4"/>
  <c r="D2947" i="4"/>
  <c r="D2953" i="4"/>
  <c r="D2959" i="4"/>
  <c r="D2960" i="4"/>
  <c r="D2966" i="4"/>
  <c r="D2970" i="4"/>
  <c r="D2971" i="4"/>
  <c r="D2976" i="4"/>
  <c r="D2982" i="4"/>
  <c r="D2988" i="4"/>
  <c r="D2993" i="4"/>
  <c r="D2999" i="4"/>
  <c r="D3000" i="4"/>
  <c r="D3004" i="4"/>
  <c r="D3005" i="4"/>
  <c r="D3010" i="4"/>
  <c r="D3011" i="4"/>
  <c r="D3017" i="4"/>
  <c r="D3023" i="4"/>
  <c r="D3030" i="4"/>
  <c r="D3031" i="4"/>
  <c r="D3036" i="4"/>
  <c r="D3037" i="4"/>
  <c r="D3044" i="4"/>
  <c r="D3045" i="4"/>
  <c r="D3052" i="4"/>
  <c r="D3053" i="4"/>
  <c r="D3060" i="4"/>
  <c r="D3061" i="4"/>
  <c r="D3068" i="4"/>
  <c r="D3069" i="4"/>
  <c r="D3075" i="4"/>
  <c r="D3082" i="4"/>
  <c r="D3087" i="4"/>
  <c r="D3094" i="4"/>
  <c r="D3098" i="4"/>
  <c r="D3099" i="4"/>
  <c r="D3105" i="4"/>
  <c r="D3112" i="4"/>
  <c r="D3113" i="4"/>
  <c r="D3119" i="4"/>
  <c r="D3124" i="4"/>
  <c r="D3125" i="4"/>
  <c r="D3132" i="4"/>
  <c r="D3133" i="4"/>
  <c r="D3140" i="4"/>
  <c r="D3141" i="4"/>
  <c r="D3148" i="4"/>
  <c r="D3149" i="4"/>
  <c r="D3156" i="4"/>
  <c r="D3157" i="4"/>
  <c r="D3164" i="4"/>
  <c r="D3165" i="4"/>
  <c r="D3170" i="4"/>
  <c r="D3171" i="4"/>
  <c r="D3177" i="4"/>
  <c r="D3184" i="4"/>
  <c r="D3185" i="4"/>
  <c r="D3190" i="4"/>
  <c r="D3191" i="4"/>
  <c r="D3198" i="4"/>
  <c r="D3199" i="4"/>
  <c r="D3206" i="4"/>
  <c r="D3207" i="4"/>
  <c r="D3212" i="4"/>
  <c r="D3213" i="4"/>
  <c r="D3220" i="4"/>
  <c r="D3221" i="4"/>
  <c r="D3228" i="4"/>
  <c r="D3229" i="4"/>
  <c r="D3234" i="4"/>
  <c r="D3235" i="4"/>
  <c r="D3240" i="4"/>
  <c r="D3244" i="4"/>
  <c r="D3248" i="4"/>
  <c r="D3252" i="4"/>
  <c r="D3256" i="4"/>
  <c r="D3260" i="4"/>
  <c r="D3261" i="4"/>
  <c r="D3267" i="4"/>
  <c r="D3279" i="4"/>
  <c r="D3287" i="4"/>
  <c r="D3292" i="4"/>
  <c r="D3357" i="4"/>
  <c r="D3363" i="4"/>
  <c r="D3389" i="4"/>
  <c r="D4" i="4"/>
  <c r="D9" i="4"/>
  <c r="G7" i="2" l="1"/>
  <c r="G9" i="2"/>
  <c r="G8" i="2"/>
  <c r="G6" i="2"/>
  <c r="G5" i="2"/>
  <c r="F3529" i="4"/>
  <c r="H3529" i="4" s="1"/>
  <c r="F3509" i="4"/>
  <c r="H3509" i="4" s="1"/>
  <c r="F3465" i="4"/>
  <c r="H3465" i="4" s="1"/>
  <c r="F3445" i="4"/>
  <c r="H3445" i="4" s="1"/>
  <c r="E3422" i="4"/>
  <c r="G3422" i="4" s="1"/>
  <c r="F3387" i="4"/>
  <c r="H3387" i="4" s="1"/>
  <c r="F3350" i="4"/>
  <c r="H3350" i="4" s="1"/>
  <c r="E3331" i="4"/>
  <c r="G3331" i="4" s="1"/>
  <c r="F3573" i="4"/>
  <c r="H3573" i="4" s="1"/>
  <c r="E3553" i="4"/>
  <c r="G3553" i="4" s="1"/>
  <c r="E3489" i="4"/>
  <c r="G3489" i="4" s="1"/>
  <c r="F3569" i="4"/>
  <c r="H3569" i="4" s="1"/>
  <c r="F3549" i="4"/>
  <c r="H3549" i="4" s="1"/>
  <c r="F3505" i="4"/>
  <c r="H3505" i="4" s="1"/>
  <c r="F3441" i="4"/>
  <c r="H3441" i="4" s="1"/>
  <c r="F3421" i="4"/>
  <c r="H3421" i="4" s="1"/>
  <c r="E3387" i="4"/>
  <c r="G3387" i="4" s="1"/>
  <c r="E2386" i="4"/>
  <c r="G2386" i="4" s="1"/>
  <c r="F3517" i="4"/>
  <c r="H3517" i="4" s="1"/>
  <c r="E3529" i="4"/>
  <c r="G3529" i="4" s="1"/>
  <c r="E3497" i="4"/>
  <c r="G3497" i="4" s="1"/>
  <c r="E3465" i="4"/>
  <c r="G3465" i="4" s="1"/>
  <c r="E3350" i="4"/>
  <c r="G3350" i="4" s="1"/>
  <c r="F3324" i="4"/>
  <c r="H3324" i="4" s="1"/>
  <c r="F3317" i="4"/>
  <c r="H3317" i="4" s="1"/>
  <c r="F3541" i="4"/>
  <c r="H3541" i="4" s="1"/>
  <c r="E3521" i="4"/>
  <c r="G3521" i="4" s="1"/>
  <c r="F3473" i="4"/>
  <c r="H3473" i="4" s="1"/>
  <c r="F3453" i="4"/>
  <c r="H3453" i="4" s="1"/>
  <c r="E3336" i="4"/>
  <c r="G3336" i="4" s="1"/>
  <c r="F3413" i="4"/>
  <c r="H3413" i="4" s="1"/>
  <c r="F3485" i="4"/>
  <c r="H3485" i="4" s="1"/>
  <c r="E3241" i="4"/>
  <c r="G3241" i="4" s="1"/>
  <c r="E3166" i="4"/>
  <c r="G3166" i="4" s="1"/>
  <c r="F3028" i="4"/>
  <c r="H3028" i="4" s="1"/>
  <c r="F2996" i="4"/>
  <c r="H2996" i="4" s="1"/>
  <c r="F2957" i="4"/>
  <c r="H2957" i="4" s="1"/>
  <c r="E2906" i="4"/>
  <c r="G2906" i="4" s="1"/>
  <c r="E2876" i="4"/>
  <c r="G2876" i="4" s="1"/>
  <c r="E2792" i="4"/>
  <c r="G2792" i="4" s="1"/>
  <c r="E2653" i="4"/>
  <c r="G2653" i="4" s="1"/>
  <c r="F2614" i="4"/>
  <c r="H2614" i="4" s="1"/>
  <c r="E3356" i="4"/>
  <c r="G3356" i="4" s="1"/>
  <c r="E2832" i="4"/>
  <c r="G2832" i="4" s="1"/>
  <c r="F2467" i="4"/>
  <c r="H2467" i="4" s="1"/>
  <c r="F3561" i="4"/>
  <c r="H3561" i="4" s="1"/>
  <c r="F3497" i="4"/>
  <c r="H3497" i="4" s="1"/>
  <c r="F3477" i="4"/>
  <c r="H3477" i="4" s="1"/>
  <c r="E3457" i="4"/>
  <c r="G3457" i="4" s="1"/>
  <c r="F3433" i="4"/>
  <c r="H3433" i="4" s="1"/>
  <c r="E3342" i="4"/>
  <c r="G3342" i="4" s="1"/>
  <c r="F3292" i="4"/>
  <c r="H3292" i="4" s="1"/>
  <c r="E2841" i="4"/>
  <c r="G2841" i="4" s="1"/>
  <c r="F2755" i="4"/>
  <c r="H2755" i="4" s="1"/>
  <c r="E2596" i="4"/>
  <c r="G2596" i="4" s="1"/>
  <c r="F3565" i="4"/>
  <c r="H3565" i="4" s="1"/>
  <c r="F3533" i="4"/>
  <c r="H3533" i="4" s="1"/>
  <c r="E3561" i="4"/>
  <c r="G3561" i="4" s="1"/>
  <c r="F3537" i="4"/>
  <c r="H3537" i="4" s="1"/>
  <c r="E3433" i="4"/>
  <c r="G3433" i="4" s="1"/>
  <c r="E3402" i="4"/>
  <c r="G3402" i="4" s="1"/>
  <c r="E3317" i="4"/>
  <c r="G3317" i="4" s="1"/>
  <c r="E2879" i="4"/>
  <c r="G2879" i="4" s="1"/>
  <c r="E2915" i="4"/>
  <c r="G2915" i="4" s="1"/>
  <c r="E2513" i="4"/>
  <c r="G2513" i="4" s="1"/>
  <c r="F2780" i="4"/>
  <c r="H2780" i="4" s="1"/>
  <c r="E2747" i="4"/>
  <c r="G2747" i="4" s="1"/>
  <c r="E2860" i="4"/>
  <c r="G2860" i="4" s="1"/>
  <c r="F2403" i="4"/>
  <c r="H2403" i="4" s="1"/>
  <c r="E3212" i="4"/>
  <c r="G3212" i="4" s="1"/>
  <c r="E3099" i="4"/>
  <c r="G3099" i="4" s="1"/>
  <c r="E3062" i="4"/>
  <c r="G3062" i="4" s="1"/>
  <c r="E2939" i="4"/>
  <c r="G2939" i="4" s="1"/>
  <c r="F2824" i="4"/>
  <c r="H2824" i="4" s="1"/>
  <c r="F2697" i="4"/>
  <c r="H2697" i="4" s="1"/>
  <c r="E2666" i="4"/>
  <c r="G2666" i="4" s="1"/>
  <c r="F2631" i="4"/>
  <c r="H2631" i="4" s="1"/>
  <c r="F3342" i="4"/>
  <c r="H3342" i="4" s="1"/>
  <c r="F2784" i="4"/>
  <c r="H2784" i="4" s="1"/>
  <c r="E2719" i="4"/>
  <c r="G2719" i="4" s="1"/>
  <c r="F2572" i="4"/>
  <c r="H2572" i="4" s="1"/>
  <c r="E3545" i="4"/>
  <c r="G3545" i="4" s="1"/>
  <c r="E3513" i="4"/>
  <c r="G3513" i="4" s="1"/>
  <c r="F3501" i="4"/>
  <c r="H3501" i="4" s="1"/>
  <c r="E3490" i="4"/>
  <c r="G3490" i="4" s="1"/>
  <c r="F3469" i="4"/>
  <c r="H3469" i="4" s="1"/>
  <c r="E3449" i="4"/>
  <c r="G3449" i="4" s="1"/>
  <c r="F3437" i="4"/>
  <c r="H3437" i="4" s="1"/>
  <c r="F3422" i="4"/>
  <c r="H3422" i="4" s="1"/>
  <c r="F3409" i="4"/>
  <c r="H3409" i="4" s="1"/>
  <c r="E3388" i="4"/>
  <c r="G3388" i="4" s="1"/>
  <c r="E3349" i="4"/>
  <c r="G3349" i="4" s="1"/>
  <c r="E3332" i="4"/>
  <c r="G3332" i="4" s="1"/>
  <c r="E3323" i="4"/>
  <c r="G3323" i="4" s="1"/>
  <c r="F3308" i="4"/>
  <c r="H3308" i="4" s="1"/>
  <c r="F2921" i="4"/>
  <c r="H2921" i="4" s="1"/>
  <c r="E2811" i="4"/>
  <c r="G2811" i="4" s="1"/>
  <c r="F2634" i="4"/>
  <c r="H2634" i="4" s="1"/>
  <c r="F2622" i="4"/>
  <c r="H2622" i="4" s="1"/>
  <c r="E2532" i="4"/>
  <c r="G2532" i="4" s="1"/>
  <c r="F2463" i="4"/>
  <c r="H2463" i="4" s="1"/>
  <c r="E2449" i="4"/>
  <c r="G2449" i="4" s="1"/>
  <c r="E2446" i="4"/>
  <c r="G2446" i="4" s="1"/>
  <c r="E2414" i="4"/>
  <c r="G2414" i="4" s="1"/>
  <c r="F2584" i="4"/>
  <c r="H2584" i="4" s="1"/>
  <c r="F3572" i="4"/>
  <c r="H3572" i="4" s="1"/>
  <c r="F3558" i="4"/>
  <c r="H3558" i="4" s="1"/>
  <c r="F3542" i="4"/>
  <c r="H3542" i="4" s="1"/>
  <c r="F3526" i="4"/>
  <c r="H3526" i="4" s="1"/>
  <c r="F3510" i="4"/>
  <c r="H3510" i="4" s="1"/>
  <c r="F3494" i="4"/>
  <c r="H3494" i="4" s="1"/>
  <c r="F3478" i="4"/>
  <c r="H3478" i="4" s="1"/>
  <c r="F3462" i="4"/>
  <c r="H3462" i="4" s="1"/>
  <c r="F3446" i="4"/>
  <c r="H3446" i="4" s="1"/>
  <c r="F3430" i="4"/>
  <c r="H3430" i="4" s="1"/>
  <c r="E3415" i="4"/>
  <c r="G3415" i="4" s="1"/>
  <c r="F3392" i="4"/>
  <c r="H3392" i="4" s="1"/>
  <c r="E3378" i="4"/>
  <c r="G3378" i="4" s="1"/>
  <c r="E3281" i="4"/>
  <c r="G3281" i="4" s="1"/>
  <c r="E2801" i="4"/>
  <c r="G2801" i="4" s="1"/>
  <c r="E2717" i="4"/>
  <c r="G2717" i="4" s="1"/>
  <c r="E2689" i="4"/>
  <c r="G2689" i="4" s="1"/>
  <c r="E2640" i="4"/>
  <c r="G2640" i="4" s="1"/>
  <c r="E3452" i="4"/>
  <c r="G3452" i="4" s="1"/>
  <c r="E3322" i="4"/>
  <c r="G3322" i="4" s="1"/>
  <c r="E3458" i="4"/>
  <c r="G3458" i="4" s="1"/>
  <c r="F2664" i="4"/>
  <c r="H2664" i="4" s="1"/>
  <c r="F2433" i="4"/>
  <c r="H2433" i="4" s="1"/>
  <c r="E2399" i="4"/>
  <c r="G2399" i="4" s="1"/>
  <c r="E3202" i="4"/>
  <c r="G3202" i="4" s="1"/>
  <c r="E3420" i="4"/>
  <c r="G3420" i="4" s="1"/>
  <c r="E3554" i="4"/>
  <c r="G3554" i="4" s="1"/>
  <c r="E2567" i="4"/>
  <c r="G2567" i="4" s="1"/>
  <c r="F2549" i="4"/>
  <c r="H2549" i="4" s="1"/>
  <c r="E2500" i="4"/>
  <c r="G2500" i="4" s="1"/>
  <c r="E2482" i="4"/>
  <c r="G2482" i="4" s="1"/>
  <c r="E2464" i="4"/>
  <c r="G2464" i="4" s="1"/>
  <c r="F3557" i="4"/>
  <c r="H3557" i="4" s="1"/>
  <c r="E3537" i="4"/>
  <c r="G3537" i="4" s="1"/>
  <c r="F3513" i="4"/>
  <c r="H3513" i="4" s="1"/>
  <c r="F3481" i="4"/>
  <c r="H3481" i="4" s="1"/>
  <c r="E3473" i="4"/>
  <c r="G3473" i="4" s="1"/>
  <c r="F3449" i="4"/>
  <c r="H3449" i="4" s="1"/>
  <c r="E3441" i="4"/>
  <c r="G3441" i="4" s="1"/>
  <c r="F3429" i="4"/>
  <c r="H3429" i="4" s="1"/>
  <c r="F3414" i="4"/>
  <c r="H3414" i="4" s="1"/>
  <c r="F3378" i="4"/>
  <c r="H3378" i="4" s="1"/>
  <c r="F3332" i="4"/>
  <c r="H3332" i="4" s="1"/>
  <c r="E3324" i="4"/>
  <c r="G3324" i="4" s="1"/>
  <c r="E2931" i="4"/>
  <c r="G2931" i="4" s="1"/>
  <c r="F2900" i="4"/>
  <c r="H2900" i="4" s="1"/>
  <c r="E2869" i="4"/>
  <c r="G2869" i="4" s="1"/>
  <c r="E2826" i="4"/>
  <c r="G2826" i="4" s="1"/>
  <c r="F2750" i="4"/>
  <c r="H2750" i="4" s="1"/>
  <c r="F2717" i="4"/>
  <c r="H2717" i="4" s="1"/>
  <c r="E2679" i="4"/>
  <c r="G2679" i="4" s="1"/>
  <c r="E2643" i="4"/>
  <c r="G2643" i="4" s="1"/>
  <c r="E2618" i="4"/>
  <c r="G2618" i="4" s="1"/>
  <c r="F2586" i="4"/>
  <c r="H2586" i="4" s="1"/>
  <c r="E3573" i="4"/>
  <c r="G3573" i="4" s="1"/>
  <c r="E3546" i="4"/>
  <c r="G3546" i="4" s="1"/>
  <c r="E3514" i="4"/>
  <c r="G3514" i="4" s="1"/>
  <c r="E3482" i="4"/>
  <c r="G3482" i="4" s="1"/>
  <c r="E3450" i="4"/>
  <c r="G3450" i="4" s="1"/>
  <c r="F3415" i="4"/>
  <c r="H3415" i="4" s="1"/>
  <c r="F3404" i="4"/>
  <c r="H3404" i="4" s="1"/>
  <c r="E3348" i="4"/>
  <c r="G3348" i="4" s="1"/>
  <c r="E3316" i="4"/>
  <c r="G3316" i="4" s="1"/>
  <c r="F3294" i="4"/>
  <c r="H3294" i="4" s="1"/>
  <c r="E2949" i="4"/>
  <c r="G2949" i="4" s="1"/>
  <c r="E2892" i="4"/>
  <c r="G2892" i="4" s="1"/>
  <c r="F2801" i="4"/>
  <c r="H2801" i="4" s="1"/>
  <c r="E2783" i="4"/>
  <c r="G2783" i="4" s="1"/>
  <c r="E2773" i="4"/>
  <c r="G2773" i="4" s="1"/>
  <c r="F2740" i="4"/>
  <c r="H2740" i="4" s="1"/>
  <c r="E2708" i="4"/>
  <c r="G2708" i="4" s="1"/>
  <c r="E2663" i="4"/>
  <c r="G2663" i="4" s="1"/>
  <c r="E2628" i="4"/>
  <c r="G2628" i="4" s="1"/>
  <c r="F2616" i="4"/>
  <c r="H2616" i="4" s="1"/>
  <c r="E3516" i="4"/>
  <c r="G3516" i="4" s="1"/>
  <c r="E3385" i="4"/>
  <c r="G3385" i="4" s="1"/>
  <c r="E2907" i="4"/>
  <c r="G2907" i="4" s="1"/>
  <c r="E3522" i="4"/>
  <c r="G3522" i="4" s="1"/>
  <c r="F3325" i="4"/>
  <c r="H3325" i="4" s="1"/>
  <c r="F2486" i="4"/>
  <c r="H2486" i="4" s="1"/>
  <c r="E2437" i="4"/>
  <c r="G2437" i="4" s="1"/>
  <c r="F2418" i="4"/>
  <c r="H2418" i="4" s="1"/>
  <c r="E2405" i="4"/>
  <c r="G2405" i="4" s="1"/>
  <c r="F2391" i="4"/>
  <c r="H2391" i="4" s="1"/>
  <c r="E2377" i="4"/>
  <c r="G2377" i="4" s="1"/>
  <c r="F2567" i="4"/>
  <c r="H2567" i="4" s="1"/>
  <c r="E2686" i="4"/>
  <c r="G2686" i="4" s="1"/>
  <c r="F2654" i="4"/>
  <c r="H2654" i="4" s="1"/>
  <c r="E3548" i="4"/>
  <c r="G3548" i="4" s="1"/>
  <c r="E2685" i="4"/>
  <c r="G2685" i="4" s="1"/>
  <c r="E3416" i="4"/>
  <c r="G3416" i="4" s="1"/>
  <c r="F2435" i="4"/>
  <c r="H2435" i="4" s="1"/>
  <c r="E2450" i="4"/>
  <c r="G2450" i="4" s="1"/>
  <c r="E3569" i="4"/>
  <c r="G3569" i="4" s="1"/>
  <c r="F3545" i="4"/>
  <c r="H3545" i="4" s="1"/>
  <c r="F3525" i="4"/>
  <c r="H3525" i="4" s="1"/>
  <c r="E3505" i="4"/>
  <c r="G3505" i="4" s="1"/>
  <c r="I3505" i="4" s="1"/>
  <c r="F3493" i="4"/>
  <c r="H3493" i="4" s="1"/>
  <c r="F3461" i="4"/>
  <c r="H3461" i="4" s="1"/>
  <c r="F3553" i="4"/>
  <c r="H3553" i="4" s="1"/>
  <c r="F3521" i="4"/>
  <c r="H3521" i="4" s="1"/>
  <c r="F3489" i="4"/>
  <c r="H3489" i="4" s="1"/>
  <c r="E3481" i="4"/>
  <c r="G3481" i="4" s="1"/>
  <c r="F3457" i="4"/>
  <c r="H3457" i="4" s="1"/>
  <c r="E3414" i="4"/>
  <c r="G3414" i="4" s="1"/>
  <c r="I3414" i="4" s="1"/>
  <c r="E3362" i="4"/>
  <c r="G3362" i="4" s="1"/>
  <c r="E3290" i="4"/>
  <c r="G3290" i="4" s="1"/>
  <c r="E3484" i="4"/>
  <c r="G3484" i="4" s="1"/>
  <c r="F2625" i="4"/>
  <c r="H2625" i="4" s="1"/>
  <c r="F2743" i="4"/>
  <c r="H2743" i="4" s="1"/>
  <c r="E2498" i="4"/>
  <c r="G2498" i="4" s="1"/>
  <c r="F3424" i="4"/>
  <c r="H3424" i="4" s="1"/>
  <c r="F2399" i="4"/>
  <c r="H2399" i="4" s="1"/>
  <c r="E3279" i="4"/>
  <c r="G3279" i="4" s="1"/>
  <c r="F3279" i="4"/>
  <c r="H3279" i="4" s="1"/>
  <c r="F3278" i="4"/>
  <c r="H3278" i="4" s="1"/>
  <c r="E3278" i="4"/>
  <c r="G3278" i="4" s="1"/>
  <c r="E3232" i="4"/>
  <c r="G3232" i="4" s="1"/>
  <c r="F3232" i="4"/>
  <c r="H3232" i="4" s="1"/>
  <c r="E3189" i="4"/>
  <c r="G3189" i="4" s="1"/>
  <c r="F3189" i="4"/>
  <c r="H3189" i="4" s="1"/>
  <c r="E3188" i="4"/>
  <c r="G3188" i="4" s="1"/>
  <c r="F3188" i="4"/>
  <c r="H3188" i="4" s="1"/>
  <c r="E3143" i="4"/>
  <c r="G3143" i="4" s="1"/>
  <c r="F3143" i="4"/>
  <c r="H3143" i="4" s="1"/>
  <c r="F3142" i="4"/>
  <c r="H3142" i="4" s="1"/>
  <c r="E3142" i="4"/>
  <c r="G3142" i="4" s="1"/>
  <c r="F3140" i="4"/>
  <c r="H3140" i="4" s="1"/>
  <c r="E3055" i="4"/>
  <c r="G3055" i="4" s="1"/>
  <c r="F3055" i="4"/>
  <c r="H3055" i="4" s="1"/>
  <c r="F3054" i="4"/>
  <c r="H3054" i="4" s="1"/>
  <c r="E3053" i="4"/>
  <c r="G3053" i="4" s="1"/>
  <c r="F3053" i="4"/>
  <c r="H3053" i="4" s="1"/>
  <c r="F3051" i="4"/>
  <c r="H3051" i="4" s="1"/>
  <c r="E3054" i="4"/>
  <c r="G3054" i="4" s="1"/>
  <c r="I3054" i="4" s="1"/>
  <c r="E3358" i="4"/>
  <c r="G3358" i="4" s="1"/>
  <c r="F3227" i="4"/>
  <c r="H3227" i="4" s="1"/>
  <c r="E3162" i="4"/>
  <c r="G3162" i="4" s="1"/>
  <c r="E3102" i="4"/>
  <c r="G3102" i="4" s="1"/>
  <c r="E3025" i="4"/>
  <c r="G3025" i="4" s="1"/>
  <c r="F3162" i="4"/>
  <c r="H3162" i="4" s="1"/>
  <c r="F3133" i="4"/>
  <c r="H3133" i="4" s="1"/>
  <c r="E3408" i="4"/>
  <c r="G3408" i="4" s="1"/>
  <c r="F3408" i="4"/>
  <c r="H3408" i="4" s="1"/>
  <c r="F3406" i="4"/>
  <c r="H3406" i="4" s="1"/>
  <c r="E3406" i="4"/>
  <c r="G3406" i="4" s="1"/>
  <c r="E3393" i="4"/>
  <c r="G3393" i="4" s="1"/>
  <c r="E3401" i="4"/>
  <c r="G3401" i="4" s="1"/>
  <c r="E3407" i="4"/>
  <c r="G3407" i="4" s="1"/>
  <c r="F3393" i="4"/>
  <c r="H3393" i="4" s="1"/>
  <c r="F3401" i="4"/>
  <c r="H3401" i="4" s="1"/>
  <c r="F3407" i="4"/>
  <c r="H3407" i="4" s="1"/>
  <c r="E3368" i="4"/>
  <c r="G3368" i="4" s="1"/>
  <c r="F3043" i="4"/>
  <c r="H3043" i="4" s="1"/>
  <c r="E3263" i="4"/>
  <c r="G3263" i="4" s="1"/>
  <c r="F3263" i="4"/>
  <c r="H3263" i="4" s="1"/>
  <c r="F3262" i="4"/>
  <c r="H3262" i="4" s="1"/>
  <c r="E3218" i="4"/>
  <c r="G3218" i="4" s="1"/>
  <c r="F3218" i="4"/>
  <c r="H3218" i="4" s="1"/>
  <c r="E3159" i="4"/>
  <c r="G3159" i="4" s="1"/>
  <c r="F3159" i="4"/>
  <c r="H3159" i="4" s="1"/>
  <c r="F3158" i="4"/>
  <c r="H3158" i="4" s="1"/>
  <c r="E3157" i="4"/>
  <c r="G3157" i="4" s="1"/>
  <c r="F3157" i="4"/>
  <c r="H3157" i="4" s="1"/>
  <c r="E3158" i="4"/>
  <c r="G3158" i="4" s="1"/>
  <c r="E3124" i="4"/>
  <c r="G3124" i="4" s="1"/>
  <c r="F3124" i="4"/>
  <c r="H3124" i="4" s="1"/>
  <c r="F3123" i="4"/>
  <c r="H3123" i="4" s="1"/>
  <c r="E3123" i="4"/>
  <c r="G3123" i="4" s="1"/>
  <c r="E3071" i="4"/>
  <c r="G3071" i="4" s="1"/>
  <c r="F3071" i="4"/>
  <c r="H3071" i="4" s="1"/>
  <c r="F3070" i="4"/>
  <c r="H3070" i="4" s="1"/>
  <c r="E3069" i="4"/>
  <c r="G3069" i="4" s="1"/>
  <c r="F3069" i="4"/>
  <c r="H3069" i="4" s="1"/>
  <c r="E3070" i="4"/>
  <c r="G3070" i="4" s="1"/>
  <c r="E3023" i="4"/>
  <c r="G3023" i="4" s="1"/>
  <c r="F3023" i="4"/>
  <c r="H3023" i="4" s="1"/>
  <c r="E3022" i="4"/>
  <c r="G3022" i="4" s="1"/>
  <c r="F3022" i="4"/>
  <c r="H3022" i="4" s="1"/>
  <c r="E3007" i="4"/>
  <c r="G3007" i="4" s="1"/>
  <c r="F3007" i="4"/>
  <c r="H3007" i="4" s="1"/>
  <c r="E3006" i="4"/>
  <c r="G3006" i="4" s="1"/>
  <c r="E3005" i="4"/>
  <c r="G3005" i="4" s="1"/>
  <c r="F3005" i="4"/>
  <c r="H3005" i="4" s="1"/>
  <c r="F3002" i="4"/>
  <c r="H3002" i="4" s="1"/>
  <c r="F3006" i="4"/>
  <c r="H3006" i="4" s="1"/>
  <c r="E2972" i="4"/>
  <c r="G2972" i="4" s="1"/>
  <c r="F2972" i="4"/>
  <c r="H2972" i="4" s="1"/>
  <c r="E2970" i="4"/>
  <c r="G2970" i="4" s="1"/>
  <c r="E2971" i="4"/>
  <c r="G2971" i="4" s="1"/>
  <c r="F2971" i="4"/>
  <c r="H2971" i="4" s="1"/>
  <c r="F3177" i="4"/>
  <c r="H3177" i="4" s="1"/>
  <c r="E3114" i="4"/>
  <c r="G3114" i="4" s="1"/>
  <c r="E3286" i="4"/>
  <c r="G3286" i="4" s="1"/>
  <c r="F3286" i="4"/>
  <c r="H3286" i="4" s="1"/>
  <c r="F3284" i="4"/>
  <c r="H3284" i="4" s="1"/>
  <c r="E3283" i="4"/>
  <c r="G3283" i="4" s="1"/>
  <c r="F3283" i="4"/>
  <c r="H3283" i="4" s="1"/>
  <c r="E3285" i="4"/>
  <c r="G3285" i="4" s="1"/>
  <c r="F3281" i="4"/>
  <c r="H3281" i="4" s="1"/>
  <c r="E3284" i="4"/>
  <c r="G3284" i="4" s="1"/>
  <c r="F3285" i="4"/>
  <c r="H3285" i="4" s="1"/>
  <c r="E3252" i="4"/>
  <c r="G3252" i="4" s="1"/>
  <c r="E3224" i="4"/>
  <c r="G3224" i="4" s="1"/>
  <c r="E3191" i="4"/>
  <c r="G3191" i="4" s="1"/>
  <c r="F3114" i="4"/>
  <c r="H3114" i="4" s="1"/>
  <c r="E3058" i="4"/>
  <c r="G3058" i="4" s="1"/>
  <c r="F2994" i="4"/>
  <c r="H2994" i="4" s="1"/>
  <c r="E2958" i="4"/>
  <c r="G2958" i="4" s="1"/>
  <c r="F3358" i="4"/>
  <c r="H3358" i="4" s="1"/>
  <c r="F3233" i="4"/>
  <c r="H3233" i="4" s="1"/>
  <c r="E3082" i="4"/>
  <c r="G3082" i="4" s="1"/>
  <c r="E3014" i="4"/>
  <c r="G3014" i="4" s="1"/>
  <c r="E3391" i="4"/>
  <c r="G3391" i="4" s="1"/>
  <c r="F3256" i="4"/>
  <c r="H3256" i="4" s="1"/>
  <c r="E3376" i="4"/>
  <c r="G3376" i="4" s="1"/>
  <c r="F3376" i="4"/>
  <c r="H3376" i="4" s="1"/>
  <c r="F3374" i="4"/>
  <c r="H3374" i="4" s="1"/>
  <c r="E3373" i="4"/>
  <c r="G3373" i="4" s="1"/>
  <c r="F3373" i="4"/>
  <c r="H3373" i="4" s="1"/>
  <c r="E3374" i="4"/>
  <c r="G3374" i="4" s="1"/>
  <c r="E3361" i="4"/>
  <c r="G3361" i="4" s="1"/>
  <c r="E3367" i="4"/>
  <c r="G3367" i="4" s="1"/>
  <c r="E3375" i="4"/>
  <c r="G3375" i="4" s="1"/>
  <c r="F3361" i="4"/>
  <c r="H3361" i="4" s="1"/>
  <c r="F3367" i="4"/>
  <c r="H3367" i="4" s="1"/>
  <c r="F3375" i="4"/>
  <c r="H3375" i="4" s="1"/>
  <c r="E3248" i="4"/>
  <c r="G3248" i="4" s="1"/>
  <c r="F3248" i="4"/>
  <c r="H3248" i="4" s="1"/>
  <c r="E3204" i="4"/>
  <c r="G3204" i="4" s="1"/>
  <c r="F3204" i="4"/>
  <c r="H3204" i="4" s="1"/>
  <c r="E3175" i="4"/>
  <c r="G3175" i="4" s="1"/>
  <c r="F3175" i="4"/>
  <c r="H3175" i="4" s="1"/>
  <c r="F3174" i="4"/>
  <c r="H3174" i="4" s="1"/>
  <c r="E3173" i="4"/>
  <c r="G3173" i="4" s="1"/>
  <c r="F3173" i="4"/>
  <c r="H3173" i="4" s="1"/>
  <c r="E3174" i="4"/>
  <c r="G3174" i="4" s="1"/>
  <c r="E3106" i="4"/>
  <c r="G3106" i="4" s="1"/>
  <c r="F3106" i="4"/>
  <c r="H3106" i="4" s="1"/>
  <c r="F3105" i="4"/>
  <c r="H3105" i="4" s="1"/>
  <c r="E3105" i="4"/>
  <c r="G3105" i="4" s="1"/>
  <c r="F3102" i="4"/>
  <c r="H3102" i="4" s="1"/>
  <c r="E3087" i="4"/>
  <c r="G3087" i="4" s="1"/>
  <c r="F3087" i="4"/>
  <c r="H3087" i="4" s="1"/>
  <c r="F3086" i="4"/>
  <c r="H3086" i="4" s="1"/>
  <c r="E3085" i="4"/>
  <c r="G3085" i="4" s="1"/>
  <c r="F3085" i="4"/>
  <c r="H3085" i="4" s="1"/>
  <c r="E3086" i="4"/>
  <c r="G3086" i="4" s="1"/>
  <c r="F3036" i="4"/>
  <c r="H3036" i="4" s="1"/>
  <c r="E3036" i="4"/>
  <c r="G3036" i="4" s="1"/>
  <c r="E3035" i="4"/>
  <c r="G3035" i="4" s="1"/>
  <c r="F3035" i="4"/>
  <c r="H3035" i="4" s="1"/>
  <c r="E2989" i="4"/>
  <c r="G2989" i="4" s="1"/>
  <c r="F2989" i="4"/>
  <c r="H2989" i="4" s="1"/>
  <c r="E2988" i="4"/>
  <c r="G2988" i="4" s="1"/>
  <c r="F2988" i="4"/>
  <c r="H2988" i="4" s="1"/>
  <c r="E2986" i="4"/>
  <c r="G2986" i="4" s="1"/>
  <c r="E3264" i="4"/>
  <c r="G3264" i="4" s="1"/>
  <c r="F3146" i="4"/>
  <c r="H3146" i="4" s="1"/>
  <c r="E3074" i="4"/>
  <c r="G3074" i="4" s="1"/>
  <c r="E3008" i="4"/>
  <c r="G3008" i="4" s="1"/>
  <c r="E3230" i="4"/>
  <c r="G3230" i="4" s="1"/>
  <c r="F2970" i="4"/>
  <c r="H2970" i="4" s="1"/>
  <c r="E2967" i="4"/>
  <c r="G2967" i="4" s="1"/>
  <c r="F3025" i="4"/>
  <c r="H3025" i="4" s="1"/>
  <c r="E3394" i="4"/>
  <c r="G3394" i="4" s="1"/>
  <c r="E3357" i="4"/>
  <c r="G3357" i="4" s="1"/>
  <c r="E3306" i="4"/>
  <c r="G3306" i="4" s="1"/>
  <c r="F3306" i="4"/>
  <c r="H3306" i="4" s="1"/>
  <c r="F3303" i="4"/>
  <c r="H3303" i="4" s="1"/>
  <c r="E3304" i="4"/>
  <c r="G3304" i="4" s="1"/>
  <c r="F3304" i="4"/>
  <c r="H3304" i="4" s="1"/>
  <c r="F3300" i="4"/>
  <c r="H3300" i="4" s="1"/>
  <c r="E3303" i="4"/>
  <c r="G3303" i="4" s="1"/>
  <c r="I3303" i="4" s="1"/>
  <c r="F3291" i="4"/>
  <c r="H3291" i="4" s="1"/>
  <c r="E3305" i="4"/>
  <c r="G3305" i="4" s="1"/>
  <c r="E3292" i="4"/>
  <c r="G3292" i="4" s="1"/>
  <c r="F3305" i="4"/>
  <c r="H3305" i="4" s="1"/>
  <c r="E3262" i="4"/>
  <c r="G3262" i="4" s="1"/>
  <c r="E3130" i="4"/>
  <c r="G3130" i="4" s="1"/>
  <c r="E3000" i="4"/>
  <c r="G3000" i="4" s="1"/>
  <c r="E3108" i="4"/>
  <c r="G3108" i="4" s="1"/>
  <c r="F3139" i="4"/>
  <c r="H3139" i="4" s="1"/>
  <c r="E3275" i="4"/>
  <c r="G3275" i="4" s="1"/>
  <c r="F3275" i="4"/>
  <c r="H3275" i="4" s="1"/>
  <c r="E3274" i="4"/>
  <c r="G3274" i="4" s="1"/>
  <c r="F3274" i="4"/>
  <c r="H3274" i="4" s="1"/>
  <c r="E3259" i="4"/>
  <c r="G3259" i="4" s="1"/>
  <c r="F3259" i="4"/>
  <c r="H3259" i="4" s="1"/>
  <c r="E3258" i="4"/>
  <c r="G3258" i="4" s="1"/>
  <c r="F3258" i="4"/>
  <c r="H3258" i="4" s="1"/>
  <c r="E3247" i="4"/>
  <c r="G3247" i="4" s="1"/>
  <c r="F3247" i="4"/>
  <c r="H3247" i="4" s="1"/>
  <c r="F3246" i="4"/>
  <c r="H3246" i="4" s="1"/>
  <c r="E3245" i="4"/>
  <c r="G3245" i="4" s="1"/>
  <c r="F3245" i="4"/>
  <c r="H3245" i="4" s="1"/>
  <c r="E3231" i="4"/>
  <c r="G3231" i="4" s="1"/>
  <c r="F3231" i="4"/>
  <c r="H3231" i="4" s="1"/>
  <c r="F3230" i="4"/>
  <c r="H3230" i="4" s="1"/>
  <c r="E3229" i="4"/>
  <c r="G3229" i="4" s="1"/>
  <c r="F3229" i="4"/>
  <c r="H3229" i="4" s="1"/>
  <c r="E3217" i="4"/>
  <c r="G3217" i="4" s="1"/>
  <c r="F3217" i="4"/>
  <c r="H3217" i="4" s="1"/>
  <c r="F3216" i="4"/>
  <c r="H3216" i="4" s="1"/>
  <c r="E3215" i="4"/>
  <c r="G3215" i="4" s="1"/>
  <c r="F3215" i="4"/>
  <c r="H3215" i="4" s="1"/>
  <c r="E3203" i="4"/>
  <c r="G3203" i="4" s="1"/>
  <c r="F3203" i="4"/>
  <c r="H3203" i="4" s="1"/>
  <c r="F3202" i="4"/>
  <c r="H3202" i="4" s="1"/>
  <c r="E3201" i="4"/>
  <c r="G3201" i="4" s="1"/>
  <c r="F3201" i="4"/>
  <c r="H3201" i="4" s="1"/>
  <c r="E3184" i="4"/>
  <c r="G3184" i="4" s="1"/>
  <c r="F3184" i="4"/>
  <c r="H3184" i="4" s="1"/>
  <c r="E3168" i="4"/>
  <c r="G3168" i="4" s="1"/>
  <c r="F3168" i="4"/>
  <c r="H3168" i="4" s="1"/>
  <c r="E3152" i="4"/>
  <c r="G3152" i="4" s="1"/>
  <c r="F3152" i="4"/>
  <c r="H3152" i="4" s="1"/>
  <c r="E3138" i="4"/>
  <c r="G3138" i="4" s="1"/>
  <c r="F3138" i="4"/>
  <c r="H3138" i="4" s="1"/>
  <c r="E3137" i="4"/>
  <c r="G3137" i="4" s="1"/>
  <c r="F3137" i="4"/>
  <c r="H3137" i="4" s="1"/>
  <c r="E3118" i="4"/>
  <c r="G3118" i="4" s="1"/>
  <c r="F3118" i="4"/>
  <c r="H3118" i="4" s="1"/>
  <c r="E3101" i="4"/>
  <c r="G3101" i="4" s="1"/>
  <c r="F3101" i="4"/>
  <c r="H3101" i="4" s="1"/>
  <c r="F3099" i="4"/>
  <c r="H3099" i="4" s="1"/>
  <c r="E3100" i="4"/>
  <c r="G3100" i="4" s="1"/>
  <c r="F3100" i="4"/>
  <c r="H3100" i="4" s="1"/>
  <c r="E3080" i="4"/>
  <c r="G3080" i="4" s="1"/>
  <c r="F3080" i="4"/>
  <c r="H3080" i="4" s="1"/>
  <c r="E3064" i="4"/>
  <c r="G3064" i="4" s="1"/>
  <c r="F3064" i="4"/>
  <c r="H3064" i="4" s="1"/>
  <c r="E3050" i="4"/>
  <c r="G3050" i="4" s="1"/>
  <c r="F3050" i="4"/>
  <c r="H3050" i="4" s="1"/>
  <c r="E3030" i="4"/>
  <c r="G3030" i="4" s="1"/>
  <c r="F3030" i="4"/>
  <c r="H3030" i="4" s="1"/>
  <c r="E3019" i="4"/>
  <c r="G3019" i="4" s="1"/>
  <c r="F3019" i="4"/>
  <c r="H3019" i="4" s="1"/>
  <c r="E3001" i="4"/>
  <c r="G3001" i="4" s="1"/>
  <c r="F3001" i="4"/>
  <c r="H3001" i="4" s="1"/>
  <c r="F3000" i="4"/>
  <c r="H3000" i="4" s="1"/>
  <c r="E2999" i="4"/>
  <c r="G2999" i="4" s="1"/>
  <c r="F2999" i="4"/>
  <c r="H2999" i="4" s="1"/>
  <c r="E2985" i="4"/>
  <c r="G2985" i="4" s="1"/>
  <c r="F2985" i="4"/>
  <c r="H2985" i="4" s="1"/>
  <c r="F2984" i="4"/>
  <c r="H2984" i="4" s="1"/>
  <c r="E2983" i="4"/>
  <c r="G2983" i="4" s="1"/>
  <c r="F2983" i="4"/>
  <c r="H2983" i="4" s="1"/>
  <c r="F2966" i="4"/>
  <c r="H2966" i="4" s="1"/>
  <c r="E2966" i="4"/>
  <c r="G2966" i="4" s="1"/>
  <c r="E2953" i="4"/>
  <c r="G2953" i="4" s="1"/>
  <c r="F2953" i="4"/>
  <c r="H2953" i="4" s="1"/>
  <c r="F2952" i="4"/>
  <c r="H2952" i="4" s="1"/>
  <c r="E2951" i="4"/>
  <c r="G2951" i="4" s="1"/>
  <c r="F2951" i="4"/>
  <c r="H2951" i="4" s="1"/>
  <c r="E2935" i="4"/>
  <c r="G2935" i="4" s="1"/>
  <c r="F2889" i="4"/>
  <c r="H2889" i="4" s="1"/>
  <c r="E2857" i="4"/>
  <c r="G2857" i="4" s="1"/>
  <c r="F2786" i="4"/>
  <c r="H2786" i="4" s="1"/>
  <c r="F2774" i="4"/>
  <c r="H2774" i="4" s="1"/>
  <c r="F2758" i="4"/>
  <c r="H2758" i="4" s="1"/>
  <c r="F2706" i="4"/>
  <c r="H2706" i="4" s="1"/>
  <c r="F2680" i="4"/>
  <c r="H2680" i="4" s="1"/>
  <c r="F2649" i="4"/>
  <c r="H2649" i="4" s="1"/>
  <c r="E2608" i="4"/>
  <c r="G2608" i="4" s="1"/>
  <c r="E2578" i="4"/>
  <c r="G2578" i="4" s="1"/>
  <c r="E3568" i="4"/>
  <c r="G3568" i="4" s="1"/>
  <c r="E3552" i="4"/>
  <c r="G3552" i="4" s="1"/>
  <c r="E3536" i="4"/>
  <c r="G3536" i="4" s="1"/>
  <c r="E3520" i="4"/>
  <c r="G3520" i="4" s="1"/>
  <c r="E3504" i="4"/>
  <c r="G3504" i="4" s="1"/>
  <c r="E3488" i="4"/>
  <c r="G3488" i="4" s="1"/>
  <c r="E3472" i="4"/>
  <c r="G3472" i="4" s="1"/>
  <c r="E3456" i="4"/>
  <c r="G3456" i="4" s="1"/>
  <c r="E3440" i="4"/>
  <c r="G3440" i="4" s="1"/>
  <c r="E3409" i="4"/>
  <c r="G3409" i="4" s="1"/>
  <c r="E3386" i="4"/>
  <c r="G3386" i="4" s="1"/>
  <c r="E3321" i="4"/>
  <c r="G3321" i="4" s="1"/>
  <c r="F3312" i="4"/>
  <c r="H3312" i="4" s="1"/>
  <c r="F3276" i="4"/>
  <c r="H3276" i="4" s="1"/>
  <c r="F3260" i="4"/>
  <c r="H3260" i="4" s="1"/>
  <c r="F3242" i="4"/>
  <c r="H3242" i="4" s="1"/>
  <c r="E3205" i="4"/>
  <c r="G3205" i="4" s="1"/>
  <c r="F3192" i="4"/>
  <c r="H3192" i="4" s="1"/>
  <c r="E3140" i="4"/>
  <c r="G3140" i="4" s="1"/>
  <c r="F3126" i="4"/>
  <c r="H3126" i="4" s="1"/>
  <c r="E3051" i="4"/>
  <c r="G3051" i="4" s="1"/>
  <c r="F3038" i="4"/>
  <c r="H3038" i="4" s="1"/>
  <c r="E3020" i="4"/>
  <c r="G3020" i="4" s="1"/>
  <c r="F3003" i="4"/>
  <c r="H3003" i="4" s="1"/>
  <c r="F2986" i="4"/>
  <c r="H2986" i="4" s="1"/>
  <c r="F2973" i="4"/>
  <c r="H2973" i="4" s="1"/>
  <c r="F2955" i="4"/>
  <c r="H2955" i="4" s="1"/>
  <c r="E2937" i="4"/>
  <c r="G2937" i="4" s="1"/>
  <c r="E2921" i="4"/>
  <c r="G2921" i="4" s="1"/>
  <c r="I2921" i="4" s="1"/>
  <c r="F2898" i="4"/>
  <c r="H2898" i="4" s="1"/>
  <c r="F2886" i="4"/>
  <c r="H2886" i="4" s="1"/>
  <c r="F2866" i="4"/>
  <c r="H2866" i="4" s="1"/>
  <c r="E2854" i="4"/>
  <c r="G2854" i="4" s="1"/>
  <c r="E2844" i="4"/>
  <c r="G2844" i="4" s="1"/>
  <c r="E2827" i="4"/>
  <c r="G2827" i="4" s="1"/>
  <c r="F2813" i="4"/>
  <c r="H2813" i="4" s="1"/>
  <c r="F2795" i="4"/>
  <c r="H2795" i="4" s="1"/>
  <c r="E2766" i="4"/>
  <c r="G2766" i="4" s="1"/>
  <c r="F2749" i="4"/>
  <c r="H2749" i="4" s="1"/>
  <c r="F2732" i="4"/>
  <c r="H2732" i="4" s="1"/>
  <c r="F2713" i="4"/>
  <c r="H2713" i="4" s="1"/>
  <c r="F2700" i="4"/>
  <c r="H2700" i="4" s="1"/>
  <c r="F2683" i="4"/>
  <c r="H2683" i="4" s="1"/>
  <c r="E2669" i="4"/>
  <c r="G2669" i="4" s="1"/>
  <c r="F2651" i="4"/>
  <c r="H2651" i="4" s="1"/>
  <c r="E2635" i="4"/>
  <c r="G2635" i="4" s="1"/>
  <c r="F2621" i="4"/>
  <c r="H2621" i="4" s="1"/>
  <c r="E2604" i="4"/>
  <c r="G2604" i="4" s="1"/>
  <c r="F2587" i="4"/>
  <c r="H2587" i="4" s="1"/>
  <c r="E3572" i="4"/>
  <c r="G3572" i="4" s="1"/>
  <c r="E3540" i="4"/>
  <c r="G3540" i="4" s="1"/>
  <c r="E3508" i="4"/>
  <c r="G3508" i="4" s="1"/>
  <c r="E3476" i="4"/>
  <c r="G3476" i="4" s="1"/>
  <c r="E3444" i="4"/>
  <c r="G3444" i="4" s="1"/>
  <c r="E3412" i="4"/>
  <c r="G3412" i="4" s="1"/>
  <c r="E3195" i="4"/>
  <c r="G3195" i="4" s="1"/>
  <c r="F2834" i="4"/>
  <c r="H2834" i="4" s="1"/>
  <c r="F2804" i="4"/>
  <c r="H2804" i="4" s="1"/>
  <c r="E2711" i="4"/>
  <c r="G2711" i="4" s="1"/>
  <c r="F2589" i="4"/>
  <c r="H2589" i="4" s="1"/>
  <c r="E3389" i="4"/>
  <c r="G3389" i="4" s="1"/>
  <c r="E2885" i="4"/>
  <c r="G2885" i="4" s="1"/>
  <c r="E2563" i="4"/>
  <c r="G2563" i="4" s="1"/>
  <c r="F2563" i="4"/>
  <c r="H2563" i="4" s="1"/>
  <c r="E2545" i="4"/>
  <c r="G2545" i="4" s="1"/>
  <c r="F2545" i="4"/>
  <c r="H2545" i="4" s="1"/>
  <c r="F2544" i="4"/>
  <c r="H2544" i="4" s="1"/>
  <c r="E2543" i="4"/>
  <c r="G2543" i="4" s="1"/>
  <c r="F2543" i="4"/>
  <c r="H2543" i="4" s="1"/>
  <c r="F2528" i="4"/>
  <c r="H2528" i="4" s="1"/>
  <c r="E2528" i="4"/>
  <c r="G2528" i="4" s="1"/>
  <c r="E2514" i="4"/>
  <c r="G2514" i="4" s="1"/>
  <c r="F2514" i="4"/>
  <c r="H2514" i="4" s="1"/>
  <c r="F2513" i="4"/>
  <c r="H2513" i="4" s="1"/>
  <c r="E2511" i="4"/>
  <c r="G2511" i="4" s="1"/>
  <c r="F2511" i="4"/>
  <c r="H2511" i="4" s="1"/>
  <c r="F2512" i="4"/>
  <c r="H2512" i="4" s="1"/>
  <c r="F2496" i="4"/>
  <c r="H2496" i="4" s="1"/>
  <c r="E2496" i="4"/>
  <c r="G2496" i="4" s="1"/>
  <c r="E2478" i="4"/>
  <c r="G2478" i="4" s="1"/>
  <c r="F2478" i="4"/>
  <c r="H2478" i="4" s="1"/>
  <c r="F2477" i="4"/>
  <c r="H2477" i="4" s="1"/>
  <c r="E2476" i="4"/>
  <c r="G2476" i="4" s="1"/>
  <c r="F2476" i="4"/>
  <c r="H2476" i="4" s="1"/>
  <c r="E2460" i="4"/>
  <c r="G2460" i="4" s="1"/>
  <c r="F2460" i="4"/>
  <c r="H2460" i="4" s="1"/>
  <c r="E2459" i="4"/>
  <c r="G2459" i="4" s="1"/>
  <c r="E2458" i="4"/>
  <c r="G2458" i="4" s="1"/>
  <c r="F3008" i="4"/>
  <c r="H3008" i="4" s="1"/>
  <c r="E2886" i="4"/>
  <c r="G2886" i="4" s="1"/>
  <c r="E2445" i="4"/>
  <c r="G2445" i="4" s="1"/>
  <c r="E2428" i="4"/>
  <c r="G2428" i="4" s="1"/>
  <c r="F2413" i="4"/>
  <c r="H2413" i="4" s="1"/>
  <c r="E2394" i="4"/>
  <c r="G2394" i="4" s="1"/>
  <c r="F2382" i="4"/>
  <c r="H2382" i="4" s="1"/>
  <c r="F2458" i="4"/>
  <c r="H2458" i="4" s="1"/>
  <c r="F2426" i="4"/>
  <c r="H2426" i="4" s="1"/>
  <c r="F2394" i="4"/>
  <c r="H2394" i="4" s="1"/>
  <c r="F2538" i="4"/>
  <c r="H2538" i="4" s="1"/>
  <c r="E2390" i="4"/>
  <c r="G2390" i="4" s="1"/>
  <c r="E2477" i="4"/>
  <c r="G2477" i="4" s="1"/>
  <c r="E2441" i="4"/>
  <c r="G2441" i="4" s="1"/>
  <c r="F2459" i="4"/>
  <c r="H2459" i="4" s="1"/>
  <c r="E3271" i="4"/>
  <c r="G3271" i="4" s="1"/>
  <c r="F3271" i="4"/>
  <c r="H3271" i="4" s="1"/>
  <c r="F3270" i="4"/>
  <c r="H3270" i="4" s="1"/>
  <c r="E3254" i="4"/>
  <c r="G3254" i="4" s="1"/>
  <c r="F3254" i="4"/>
  <c r="H3254" i="4" s="1"/>
  <c r="E3240" i="4"/>
  <c r="G3240" i="4" s="1"/>
  <c r="F3240" i="4"/>
  <c r="H3240" i="4" s="1"/>
  <c r="E3226" i="4"/>
  <c r="G3226" i="4" s="1"/>
  <c r="F3226" i="4"/>
  <c r="H3226" i="4" s="1"/>
  <c r="E3210" i="4"/>
  <c r="G3210" i="4" s="1"/>
  <c r="F3210" i="4"/>
  <c r="H3210" i="4" s="1"/>
  <c r="E3196" i="4"/>
  <c r="G3196" i="4" s="1"/>
  <c r="F3196" i="4"/>
  <c r="H3196" i="4" s="1"/>
  <c r="F3195" i="4"/>
  <c r="H3195" i="4" s="1"/>
  <c r="E3183" i="4"/>
  <c r="G3183" i="4" s="1"/>
  <c r="F3183" i="4"/>
  <c r="H3183" i="4" s="1"/>
  <c r="F3182" i="4"/>
  <c r="H3182" i="4" s="1"/>
  <c r="E3181" i="4"/>
  <c r="G3181" i="4" s="1"/>
  <c r="F3181" i="4"/>
  <c r="H3181" i="4" s="1"/>
  <c r="E3167" i="4"/>
  <c r="G3167" i="4" s="1"/>
  <c r="F3167" i="4"/>
  <c r="H3167" i="4" s="1"/>
  <c r="F3166" i="4"/>
  <c r="H3166" i="4" s="1"/>
  <c r="E3165" i="4"/>
  <c r="G3165" i="4" s="1"/>
  <c r="F3165" i="4"/>
  <c r="H3165" i="4" s="1"/>
  <c r="E3151" i="4"/>
  <c r="G3151" i="4" s="1"/>
  <c r="F3151" i="4"/>
  <c r="H3151" i="4" s="1"/>
  <c r="F3150" i="4"/>
  <c r="H3150" i="4" s="1"/>
  <c r="E3149" i="4"/>
  <c r="G3149" i="4" s="1"/>
  <c r="F3149" i="4"/>
  <c r="H3149" i="4" s="1"/>
  <c r="E3132" i="4"/>
  <c r="G3132" i="4" s="1"/>
  <c r="F3132" i="4"/>
  <c r="H3132" i="4" s="1"/>
  <c r="E3117" i="4"/>
  <c r="G3117" i="4" s="1"/>
  <c r="F3117" i="4"/>
  <c r="H3117" i="4" s="1"/>
  <c r="E3116" i="4"/>
  <c r="G3116" i="4" s="1"/>
  <c r="F3116" i="4"/>
  <c r="H3116" i="4" s="1"/>
  <c r="E3094" i="4"/>
  <c r="G3094" i="4" s="1"/>
  <c r="F3094" i="4"/>
  <c r="H3094" i="4" s="1"/>
  <c r="E3093" i="4"/>
  <c r="G3093" i="4" s="1"/>
  <c r="F3093" i="4"/>
  <c r="H3093" i="4" s="1"/>
  <c r="E3079" i="4"/>
  <c r="G3079" i="4" s="1"/>
  <c r="F3079" i="4"/>
  <c r="H3079" i="4" s="1"/>
  <c r="F3078" i="4"/>
  <c r="H3078" i="4" s="1"/>
  <c r="E3077" i="4"/>
  <c r="G3077" i="4" s="1"/>
  <c r="F3077" i="4"/>
  <c r="H3077" i="4" s="1"/>
  <c r="E3063" i="4"/>
  <c r="G3063" i="4" s="1"/>
  <c r="F3063" i="4"/>
  <c r="H3063" i="4" s="1"/>
  <c r="F3062" i="4"/>
  <c r="H3062" i="4" s="1"/>
  <c r="E3061" i="4"/>
  <c r="G3061" i="4" s="1"/>
  <c r="F3061" i="4"/>
  <c r="H3061" i="4" s="1"/>
  <c r="E3049" i="4"/>
  <c r="G3049" i="4" s="1"/>
  <c r="F3049" i="4"/>
  <c r="H3049" i="4" s="1"/>
  <c r="F3048" i="4"/>
  <c r="H3048" i="4" s="1"/>
  <c r="E3047" i="4"/>
  <c r="G3047" i="4" s="1"/>
  <c r="F3047" i="4"/>
  <c r="H3047" i="4" s="1"/>
  <c r="E3029" i="4"/>
  <c r="G3029" i="4" s="1"/>
  <c r="F3029" i="4"/>
  <c r="H3029" i="4" s="1"/>
  <c r="E3028" i="4"/>
  <c r="G3028" i="4" s="1"/>
  <c r="E3027" i="4"/>
  <c r="G3027" i="4" s="1"/>
  <c r="F3027" i="4"/>
  <c r="H3027" i="4" s="1"/>
  <c r="F3018" i="4"/>
  <c r="H3018" i="4" s="1"/>
  <c r="E3018" i="4"/>
  <c r="G3018" i="4" s="1"/>
  <c r="E3017" i="4"/>
  <c r="G3017" i="4" s="1"/>
  <c r="F3017" i="4"/>
  <c r="H3017" i="4" s="1"/>
  <c r="E2995" i="4"/>
  <c r="G2995" i="4" s="1"/>
  <c r="F2995" i="4"/>
  <c r="H2995" i="4" s="1"/>
  <c r="E2994" i="4"/>
  <c r="G2994" i="4" s="1"/>
  <c r="E2979" i="4"/>
  <c r="G2979" i="4" s="1"/>
  <c r="F2979" i="4"/>
  <c r="H2979" i="4" s="1"/>
  <c r="E2965" i="4"/>
  <c r="G2965" i="4" s="1"/>
  <c r="F2965" i="4"/>
  <c r="H2965" i="4" s="1"/>
  <c r="E2964" i="4"/>
  <c r="G2964" i="4" s="1"/>
  <c r="F2964" i="4"/>
  <c r="H2964" i="4" s="1"/>
  <c r="E2948" i="4"/>
  <c r="G2948" i="4" s="1"/>
  <c r="F2948" i="4"/>
  <c r="H2948" i="4" s="1"/>
  <c r="F2947" i="4"/>
  <c r="H2947" i="4" s="1"/>
  <c r="E2932" i="4"/>
  <c r="G2932" i="4" s="1"/>
  <c r="F2932" i="4"/>
  <c r="H2932" i="4" s="1"/>
  <c r="F2931" i="4"/>
  <c r="H2931" i="4" s="1"/>
  <c r="E2930" i="4"/>
  <c r="G2930" i="4" s="1"/>
  <c r="F2930" i="4"/>
  <c r="H2930" i="4" s="1"/>
  <c r="E2919" i="4"/>
  <c r="G2919" i="4" s="1"/>
  <c r="F2919" i="4"/>
  <c r="H2919" i="4" s="1"/>
  <c r="F2917" i="4"/>
  <c r="H2917" i="4" s="1"/>
  <c r="E2918" i="4"/>
  <c r="G2918" i="4" s="1"/>
  <c r="F2918" i="4"/>
  <c r="H2918" i="4" s="1"/>
  <c r="E2901" i="4"/>
  <c r="G2901" i="4" s="1"/>
  <c r="F2901" i="4"/>
  <c r="H2901" i="4" s="1"/>
  <c r="E2900" i="4"/>
  <c r="G2900" i="4" s="1"/>
  <c r="F2884" i="4"/>
  <c r="H2884" i="4" s="1"/>
  <c r="E2884" i="4"/>
  <c r="G2884" i="4" s="1"/>
  <c r="F2883" i="4"/>
  <c r="H2883" i="4" s="1"/>
  <c r="F2882" i="4"/>
  <c r="H2882" i="4" s="1"/>
  <c r="E2882" i="4"/>
  <c r="G2882" i="4" s="1"/>
  <c r="E2871" i="4"/>
  <c r="G2871" i="4" s="1"/>
  <c r="F2871" i="4"/>
  <c r="H2871" i="4" s="1"/>
  <c r="F2869" i="4"/>
  <c r="H2869" i="4" s="1"/>
  <c r="F2870" i="4"/>
  <c r="H2870" i="4" s="1"/>
  <c r="E2870" i="4"/>
  <c r="G2870" i="4" s="1"/>
  <c r="E2853" i="4"/>
  <c r="G2853" i="4" s="1"/>
  <c r="F2853" i="4"/>
  <c r="H2853" i="4" s="1"/>
  <c r="E2852" i="4"/>
  <c r="G2852" i="4" s="1"/>
  <c r="F2836" i="4"/>
  <c r="H2836" i="4" s="1"/>
  <c r="E2836" i="4"/>
  <c r="G2836" i="4" s="1"/>
  <c r="E2834" i="4"/>
  <c r="G2834" i="4" s="1"/>
  <c r="E2835" i="4"/>
  <c r="G2835" i="4" s="1"/>
  <c r="F2835" i="4"/>
  <c r="H2835" i="4" s="1"/>
  <c r="F2818" i="4"/>
  <c r="H2818" i="4" s="1"/>
  <c r="E2818" i="4"/>
  <c r="G2818" i="4" s="1"/>
  <c r="E2817" i="4"/>
  <c r="G2817" i="4" s="1"/>
  <c r="F2817" i="4"/>
  <c r="H2817" i="4" s="1"/>
  <c r="F2800" i="4"/>
  <c r="H2800" i="4" s="1"/>
  <c r="E2800" i="4"/>
  <c r="G2800" i="4" s="1"/>
  <c r="F2782" i="4"/>
  <c r="H2782" i="4" s="1"/>
  <c r="E2782" i="4"/>
  <c r="G2782" i="4" s="1"/>
  <c r="F2770" i="4"/>
  <c r="H2770" i="4" s="1"/>
  <c r="E2770" i="4"/>
  <c r="G2770" i="4" s="1"/>
  <c r="E2769" i="4"/>
  <c r="G2769" i="4" s="1"/>
  <c r="F2769" i="4"/>
  <c r="H2769" i="4" s="1"/>
  <c r="F2754" i="4"/>
  <c r="H2754" i="4" s="1"/>
  <c r="E2754" i="4"/>
  <c r="G2754" i="4" s="1"/>
  <c r="E2753" i="4"/>
  <c r="G2753" i="4" s="1"/>
  <c r="F2753" i="4"/>
  <c r="H2753" i="4" s="1"/>
  <c r="E2737" i="4"/>
  <c r="G2737" i="4" s="1"/>
  <c r="F2737" i="4"/>
  <c r="H2737" i="4" s="1"/>
  <c r="F2735" i="4"/>
  <c r="H2735" i="4" s="1"/>
  <c r="F2736" i="4"/>
  <c r="H2736" i="4" s="1"/>
  <c r="E2736" i="4"/>
  <c r="G2736" i="4" s="1"/>
  <c r="E2721" i="4"/>
  <c r="G2721" i="4" s="1"/>
  <c r="F2721" i="4"/>
  <c r="H2721" i="4" s="1"/>
  <c r="F2719" i="4"/>
  <c r="H2719" i="4" s="1"/>
  <c r="F2720" i="4"/>
  <c r="H2720" i="4" s="1"/>
  <c r="E2720" i="4"/>
  <c r="G2720" i="4" s="1"/>
  <c r="E2703" i="4"/>
  <c r="G2703" i="4" s="1"/>
  <c r="F2703" i="4"/>
  <c r="H2703" i="4" s="1"/>
  <c r="E2702" i="4"/>
  <c r="G2702" i="4" s="1"/>
  <c r="E2693" i="4"/>
  <c r="G2693" i="4" s="1"/>
  <c r="F2693" i="4"/>
  <c r="H2693" i="4" s="1"/>
  <c r="E2692" i="4"/>
  <c r="G2692" i="4" s="1"/>
  <c r="E2675" i="4"/>
  <c r="G2675" i="4" s="1"/>
  <c r="F2675" i="4"/>
  <c r="H2675" i="4" s="1"/>
  <c r="E2661" i="4"/>
  <c r="G2661" i="4" s="1"/>
  <c r="F2661" i="4"/>
  <c r="H2661" i="4" s="1"/>
  <c r="F2660" i="4"/>
  <c r="H2660" i="4" s="1"/>
  <c r="E2644" i="4"/>
  <c r="G2644" i="4" s="1"/>
  <c r="F2644" i="4"/>
  <c r="H2644" i="4" s="1"/>
  <c r="F2643" i="4"/>
  <c r="H2643" i="4" s="1"/>
  <c r="E2642" i="4"/>
  <c r="G2642" i="4" s="1"/>
  <c r="F2642" i="4"/>
  <c r="H2642" i="4" s="1"/>
  <c r="E2626" i="4"/>
  <c r="G2626" i="4" s="1"/>
  <c r="F2626" i="4"/>
  <c r="H2626" i="4" s="1"/>
  <c r="E2625" i="4"/>
  <c r="G2625" i="4" s="1"/>
  <c r="E2603" i="4"/>
  <c r="G2603" i="4" s="1"/>
  <c r="F2603" i="4"/>
  <c r="H2603" i="4" s="1"/>
  <c r="E2592" i="4"/>
  <c r="G2592" i="4" s="1"/>
  <c r="F2592" i="4"/>
  <c r="H2592" i="4" s="1"/>
  <c r="E2574" i="4"/>
  <c r="G2574" i="4" s="1"/>
  <c r="F2574" i="4"/>
  <c r="H2574" i="4" s="1"/>
  <c r="E3567" i="4"/>
  <c r="G3567" i="4" s="1"/>
  <c r="F3567" i="4"/>
  <c r="H3567" i="4" s="1"/>
  <c r="F3564" i="4"/>
  <c r="H3564" i="4" s="1"/>
  <c r="E3566" i="4"/>
  <c r="G3566" i="4" s="1"/>
  <c r="F3566" i="4"/>
  <c r="H3566" i="4" s="1"/>
  <c r="E3551" i="4"/>
  <c r="G3551" i="4" s="1"/>
  <c r="F3551" i="4"/>
  <c r="H3551" i="4" s="1"/>
  <c r="F3548" i="4"/>
  <c r="H3548" i="4" s="1"/>
  <c r="E3550" i="4"/>
  <c r="G3550" i="4" s="1"/>
  <c r="F3550" i="4"/>
  <c r="H3550" i="4" s="1"/>
  <c r="E3535" i="4"/>
  <c r="G3535" i="4" s="1"/>
  <c r="F3535" i="4"/>
  <c r="H3535" i="4" s="1"/>
  <c r="F3532" i="4"/>
  <c r="H3532" i="4" s="1"/>
  <c r="E3534" i="4"/>
  <c r="G3534" i="4" s="1"/>
  <c r="F3534" i="4"/>
  <c r="H3534" i="4" s="1"/>
  <c r="E3519" i="4"/>
  <c r="G3519" i="4" s="1"/>
  <c r="F3519" i="4"/>
  <c r="H3519" i="4" s="1"/>
  <c r="F3516" i="4"/>
  <c r="H3516" i="4" s="1"/>
  <c r="E3518" i="4"/>
  <c r="G3518" i="4" s="1"/>
  <c r="F3518" i="4"/>
  <c r="H3518" i="4" s="1"/>
  <c r="E3503" i="4"/>
  <c r="G3503" i="4" s="1"/>
  <c r="F3503" i="4"/>
  <c r="H3503" i="4" s="1"/>
  <c r="F3500" i="4"/>
  <c r="H3500" i="4" s="1"/>
  <c r="E3502" i="4"/>
  <c r="G3502" i="4" s="1"/>
  <c r="F3502" i="4"/>
  <c r="H3502" i="4" s="1"/>
  <c r="E3487" i="4"/>
  <c r="G3487" i="4" s="1"/>
  <c r="F3487" i="4"/>
  <c r="H3487" i="4" s="1"/>
  <c r="F3484" i="4"/>
  <c r="H3484" i="4" s="1"/>
  <c r="E3486" i="4"/>
  <c r="G3486" i="4" s="1"/>
  <c r="F3486" i="4"/>
  <c r="H3486" i="4" s="1"/>
  <c r="E3471" i="4"/>
  <c r="G3471" i="4" s="1"/>
  <c r="F3471" i="4"/>
  <c r="H3471" i="4" s="1"/>
  <c r="F3468" i="4"/>
  <c r="H3468" i="4" s="1"/>
  <c r="E3470" i="4"/>
  <c r="G3470" i="4" s="1"/>
  <c r="F3470" i="4"/>
  <c r="H3470" i="4" s="1"/>
  <c r="E3455" i="4"/>
  <c r="G3455" i="4" s="1"/>
  <c r="F3455" i="4"/>
  <c r="H3455" i="4" s="1"/>
  <c r="F3452" i="4"/>
  <c r="H3452" i="4" s="1"/>
  <c r="E3454" i="4"/>
  <c r="G3454" i="4" s="1"/>
  <c r="F3454" i="4"/>
  <c r="H3454" i="4" s="1"/>
  <c r="E3439" i="4"/>
  <c r="G3439" i="4" s="1"/>
  <c r="F3439" i="4"/>
  <c r="H3439" i="4" s="1"/>
  <c r="F3436" i="4"/>
  <c r="H3436" i="4" s="1"/>
  <c r="E3438" i="4"/>
  <c r="G3438" i="4" s="1"/>
  <c r="F3438" i="4"/>
  <c r="H3438" i="4" s="1"/>
  <c r="E3425" i="4"/>
  <c r="G3425" i="4" s="1"/>
  <c r="F3425" i="4"/>
  <c r="H3425" i="4" s="1"/>
  <c r="E3423" i="4"/>
  <c r="G3423" i="4" s="1"/>
  <c r="F3420" i="4"/>
  <c r="H3420" i="4" s="1"/>
  <c r="F3423" i="4"/>
  <c r="H3423" i="4" s="1"/>
  <c r="E3419" i="4"/>
  <c r="G3419" i="4" s="1"/>
  <c r="E3424" i="4"/>
  <c r="G3424" i="4" s="1"/>
  <c r="F3419" i="4"/>
  <c r="H3419" i="4" s="1"/>
  <c r="E3405" i="4"/>
  <c r="G3405" i="4" s="1"/>
  <c r="F3405" i="4"/>
  <c r="H3405" i="4" s="1"/>
  <c r="F3399" i="4"/>
  <c r="H3399" i="4" s="1"/>
  <c r="E3403" i="4"/>
  <c r="G3403" i="4" s="1"/>
  <c r="E3400" i="4"/>
  <c r="G3400" i="4" s="1"/>
  <c r="E3404" i="4"/>
  <c r="G3404" i="4" s="1"/>
  <c r="I3404" i="4" s="1"/>
  <c r="F3403" i="4"/>
  <c r="H3403" i="4" s="1"/>
  <c r="F3400" i="4"/>
  <c r="H3400" i="4" s="1"/>
  <c r="E3384" i="4"/>
  <c r="G3384" i="4" s="1"/>
  <c r="F3384" i="4"/>
  <c r="H3384" i="4" s="1"/>
  <c r="E3383" i="4"/>
  <c r="G3383" i="4" s="1"/>
  <c r="F3383" i="4"/>
  <c r="H3383" i="4" s="1"/>
  <c r="E3371" i="4"/>
  <c r="G3371" i="4" s="1"/>
  <c r="F3371" i="4"/>
  <c r="H3371" i="4" s="1"/>
  <c r="E3370" i="4"/>
  <c r="G3370" i="4" s="1"/>
  <c r="E3369" i="4"/>
  <c r="G3369" i="4" s="1"/>
  <c r="F3366" i="4"/>
  <c r="H3366" i="4" s="1"/>
  <c r="F3370" i="4"/>
  <c r="H3370" i="4" s="1"/>
  <c r="F3369" i="4"/>
  <c r="H3369" i="4" s="1"/>
  <c r="E3353" i="4"/>
  <c r="G3353" i="4" s="1"/>
  <c r="F3353" i="4"/>
  <c r="H3353" i="4" s="1"/>
  <c r="F3348" i="4"/>
  <c r="H3348" i="4" s="1"/>
  <c r="E3347" i="4"/>
  <c r="G3347" i="4" s="1"/>
  <c r="E3352" i="4"/>
  <c r="G3352" i="4" s="1"/>
  <c r="E3351" i="4"/>
  <c r="G3351" i="4" s="1"/>
  <c r="F3347" i="4"/>
  <c r="H3347" i="4" s="1"/>
  <c r="E3339" i="4"/>
  <c r="G3339" i="4" s="1"/>
  <c r="F3339" i="4"/>
  <c r="H3339" i="4" s="1"/>
  <c r="E3338" i="4"/>
  <c r="G3338" i="4" s="1"/>
  <c r="F3337" i="4"/>
  <c r="H3337" i="4" s="1"/>
  <c r="F3338" i="4"/>
  <c r="H3338" i="4" s="1"/>
  <c r="E3335" i="4"/>
  <c r="G3335" i="4" s="1"/>
  <c r="F3335" i="4"/>
  <c r="H3335" i="4" s="1"/>
  <c r="E3320" i="4"/>
  <c r="G3320" i="4" s="1"/>
  <c r="F3320" i="4"/>
  <c r="H3320" i="4" s="1"/>
  <c r="E3309" i="4"/>
  <c r="G3309" i="4" s="1"/>
  <c r="F3309" i="4"/>
  <c r="H3309" i="4" s="1"/>
  <c r="E3307" i="4"/>
  <c r="G3307" i="4" s="1"/>
  <c r="F3307" i="4"/>
  <c r="H3307" i="4" s="1"/>
  <c r="E3308" i="4"/>
  <c r="G3308" i="4" s="1"/>
  <c r="E3295" i="4"/>
  <c r="G3295" i="4" s="1"/>
  <c r="F3295" i="4"/>
  <c r="H3295" i="4" s="1"/>
  <c r="F3293" i="4"/>
  <c r="H3293" i="4" s="1"/>
  <c r="F3290" i="4"/>
  <c r="H3290" i="4" s="1"/>
  <c r="E3289" i="4"/>
  <c r="G3289" i="4" s="1"/>
  <c r="E3294" i="4"/>
  <c r="G3294" i="4" s="1"/>
  <c r="F3289" i="4"/>
  <c r="H3289" i="4" s="1"/>
  <c r="E3273" i="4"/>
  <c r="G3273" i="4" s="1"/>
  <c r="F3273" i="4"/>
  <c r="H3273" i="4" s="1"/>
  <c r="E3272" i="4"/>
  <c r="G3272" i="4" s="1"/>
  <c r="E3257" i="4"/>
  <c r="G3257" i="4" s="1"/>
  <c r="F3257" i="4"/>
  <c r="H3257" i="4" s="1"/>
  <c r="E3255" i="4"/>
  <c r="G3255" i="4" s="1"/>
  <c r="E3256" i="4"/>
  <c r="G3256" i="4" s="1"/>
  <c r="F3255" i="4"/>
  <c r="H3255" i="4" s="1"/>
  <c r="E3236" i="4"/>
  <c r="G3236" i="4" s="1"/>
  <c r="F3236" i="4"/>
  <c r="H3236" i="4" s="1"/>
  <c r="E3221" i="4"/>
  <c r="G3221" i="4" s="1"/>
  <c r="F3221" i="4"/>
  <c r="H3221" i="4" s="1"/>
  <c r="E3219" i="4"/>
  <c r="G3219" i="4" s="1"/>
  <c r="F3219" i="4"/>
  <c r="H3219" i="4" s="1"/>
  <c r="E3220" i="4"/>
  <c r="G3220" i="4" s="1"/>
  <c r="E3200" i="4"/>
  <c r="G3200" i="4" s="1"/>
  <c r="F3200" i="4"/>
  <c r="H3200" i="4" s="1"/>
  <c r="E3187" i="4"/>
  <c r="G3187" i="4" s="1"/>
  <c r="F3187" i="4"/>
  <c r="H3187" i="4" s="1"/>
  <c r="F3186" i="4"/>
  <c r="H3186" i="4" s="1"/>
  <c r="E3185" i="4"/>
  <c r="G3185" i="4" s="1"/>
  <c r="F3185" i="4"/>
  <c r="H3185" i="4" s="1"/>
  <c r="E3171" i="4"/>
  <c r="G3171" i="4" s="1"/>
  <c r="F3171" i="4"/>
  <c r="H3171" i="4" s="1"/>
  <c r="F3169" i="4"/>
  <c r="H3169" i="4" s="1"/>
  <c r="E3170" i="4"/>
  <c r="G3170" i="4" s="1"/>
  <c r="E3155" i="4"/>
  <c r="G3155" i="4" s="1"/>
  <c r="F3155" i="4"/>
  <c r="H3155" i="4" s="1"/>
  <c r="E3153" i="4"/>
  <c r="G3153" i="4" s="1"/>
  <c r="F3153" i="4"/>
  <c r="H3153" i="4" s="1"/>
  <c r="E3154" i="4"/>
  <c r="G3154" i="4" s="1"/>
  <c r="E3136" i="4"/>
  <c r="G3136" i="4" s="1"/>
  <c r="F3136" i="4"/>
  <c r="H3136" i="4" s="1"/>
  <c r="E3122" i="4"/>
  <c r="G3122" i="4" s="1"/>
  <c r="F3122" i="4"/>
  <c r="H3122" i="4" s="1"/>
  <c r="E3109" i="4"/>
  <c r="G3109" i="4" s="1"/>
  <c r="F3109" i="4"/>
  <c r="H3109" i="4" s="1"/>
  <c r="F3108" i="4"/>
  <c r="H3108" i="4" s="1"/>
  <c r="E3107" i="4"/>
  <c r="G3107" i="4" s="1"/>
  <c r="F3107" i="4"/>
  <c r="H3107" i="4" s="1"/>
  <c r="E3097" i="4"/>
  <c r="G3097" i="4" s="1"/>
  <c r="F3097" i="4"/>
  <c r="H3097" i="4" s="1"/>
  <c r="E3096" i="4"/>
  <c r="G3096" i="4" s="1"/>
  <c r="F3096" i="4"/>
  <c r="H3096" i="4" s="1"/>
  <c r="E3095" i="4"/>
  <c r="G3095" i="4" s="1"/>
  <c r="F3095" i="4"/>
  <c r="H3095" i="4" s="1"/>
  <c r="E3083" i="4"/>
  <c r="G3083" i="4" s="1"/>
  <c r="F3083" i="4"/>
  <c r="H3083" i="4" s="1"/>
  <c r="E3081" i="4"/>
  <c r="G3081" i="4" s="1"/>
  <c r="F3082" i="4"/>
  <c r="H3082" i="4" s="1"/>
  <c r="F3081" i="4"/>
  <c r="H3081" i="4" s="1"/>
  <c r="E3067" i="4"/>
  <c r="G3067" i="4" s="1"/>
  <c r="F3067" i="4"/>
  <c r="H3067" i="4" s="1"/>
  <c r="E3065" i="4"/>
  <c r="G3065" i="4" s="1"/>
  <c r="F3065" i="4"/>
  <c r="H3065" i="4" s="1"/>
  <c r="E3066" i="4"/>
  <c r="G3066" i="4" s="1"/>
  <c r="E3046" i="4"/>
  <c r="G3046" i="4" s="1"/>
  <c r="F3046" i="4"/>
  <c r="H3046" i="4" s="1"/>
  <c r="E3034" i="4"/>
  <c r="G3034" i="4" s="1"/>
  <c r="F3034" i="4"/>
  <c r="H3034" i="4" s="1"/>
  <c r="E3016" i="4"/>
  <c r="G3016" i="4" s="1"/>
  <c r="F3016" i="4"/>
  <c r="H3016" i="4" s="1"/>
  <c r="F2998" i="4"/>
  <c r="H2998" i="4" s="1"/>
  <c r="E2998" i="4"/>
  <c r="G2998" i="4" s="1"/>
  <c r="F2982" i="4"/>
  <c r="H2982" i="4" s="1"/>
  <c r="E2982" i="4"/>
  <c r="G2982" i="4" s="1"/>
  <c r="E2969" i="4"/>
  <c r="G2969" i="4" s="1"/>
  <c r="F2969" i="4"/>
  <c r="H2969" i="4" s="1"/>
  <c r="F2967" i="4"/>
  <c r="H2967" i="4" s="1"/>
  <c r="E2968" i="4"/>
  <c r="G2968" i="4" s="1"/>
  <c r="E2950" i="4"/>
  <c r="G2950" i="4" s="1"/>
  <c r="F2950" i="4"/>
  <c r="H2950" i="4" s="1"/>
  <c r="F2949" i="4"/>
  <c r="H2949" i="4" s="1"/>
  <c r="E2934" i="4"/>
  <c r="G2934" i="4" s="1"/>
  <c r="F2934" i="4"/>
  <c r="H2934" i="4" s="1"/>
  <c r="F2933" i="4"/>
  <c r="H2933" i="4" s="1"/>
  <c r="E2916" i="4"/>
  <c r="G2916" i="4" s="1"/>
  <c r="F2916" i="4"/>
  <c r="H2916" i="4" s="1"/>
  <c r="F2915" i="4"/>
  <c r="H2915" i="4" s="1"/>
  <c r="E2914" i="4"/>
  <c r="G2914" i="4" s="1"/>
  <c r="F2914" i="4"/>
  <c r="H2914" i="4" s="1"/>
  <c r="F2894" i="4"/>
  <c r="H2894" i="4" s="1"/>
  <c r="E2894" i="4"/>
  <c r="G2894" i="4" s="1"/>
  <c r="E2881" i="4"/>
  <c r="G2881" i="4" s="1"/>
  <c r="F2881" i="4"/>
  <c r="H2881" i="4" s="1"/>
  <c r="F2879" i="4"/>
  <c r="H2879" i="4" s="1"/>
  <c r="E2880" i="4"/>
  <c r="G2880" i="4" s="1"/>
  <c r="F2880" i="4"/>
  <c r="H2880" i="4" s="1"/>
  <c r="E2862" i="4"/>
  <c r="G2862" i="4" s="1"/>
  <c r="F2862" i="4"/>
  <c r="H2862" i="4" s="1"/>
  <c r="E2851" i="4"/>
  <c r="G2851" i="4" s="1"/>
  <c r="F2851" i="4"/>
  <c r="H2851" i="4" s="1"/>
  <c r="E2840" i="4"/>
  <c r="G2840" i="4" s="1"/>
  <c r="F2840" i="4"/>
  <c r="H2840" i="4" s="1"/>
  <c r="E2822" i="4"/>
  <c r="G2822" i="4" s="1"/>
  <c r="F2822" i="4"/>
  <c r="H2822" i="4" s="1"/>
  <c r="E2809" i="4"/>
  <c r="G2809" i="4" s="1"/>
  <c r="F2809" i="4"/>
  <c r="H2809" i="4" s="1"/>
  <c r="E2807" i="4"/>
  <c r="G2807" i="4" s="1"/>
  <c r="F2807" i="4"/>
  <c r="H2807" i="4" s="1"/>
  <c r="F2808" i="4"/>
  <c r="H2808" i="4" s="1"/>
  <c r="F2790" i="4"/>
  <c r="H2790" i="4" s="1"/>
  <c r="E2790" i="4"/>
  <c r="G2790" i="4" s="1"/>
  <c r="F2778" i="4"/>
  <c r="H2778" i="4" s="1"/>
  <c r="E2778" i="4"/>
  <c r="G2778" i="4" s="1"/>
  <c r="E2777" i="4"/>
  <c r="G2777" i="4" s="1"/>
  <c r="F2777" i="4"/>
  <c r="H2777" i="4" s="1"/>
  <c r="F2762" i="4"/>
  <c r="H2762" i="4" s="1"/>
  <c r="E2762" i="4"/>
  <c r="G2762" i="4" s="1"/>
  <c r="E2761" i="4"/>
  <c r="G2761" i="4" s="1"/>
  <c r="F2761" i="4"/>
  <c r="H2761" i="4" s="1"/>
  <c r="E2745" i="4"/>
  <c r="G2745" i="4" s="1"/>
  <c r="F2745" i="4"/>
  <c r="H2745" i="4" s="1"/>
  <c r="F2744" i="4"/>
  <c r="H2744" i="4" s="1"/>
  <c r="E2743" i="4"/>
  <c r="G2743" i="4" s="1"/>
  <c r="E2729" i="4"/>
  <c r="G2729" i="4" s="1"/>
  <c r="F2729" i="4"/>
  <c r="H2729" i="4" s="1"/>
  <c r="E2728" i="4"/>
  <c r="G2728" i="4" s="1"/>
  <c r="E2727" i="4"/>
  <c r="G2727" i="4" s="1"/>
  <c r="F2727" i="4"/>
  <c r="H2727" i="4" s="1"/>
  <c r="F2710" i="4"/>
  <c r="H2710" i="4" s="1"/>
  <c r="E2710" i="4"/>
  <c r="G2710" i="4" s="1"/>
  <c r="F2696" i="4"/>
  <c r="H2696" i="4" s="1"/>
  <c r="E2696" i="4"/>
  <c r="G2696" i="4" s="1"/>
  <c r="E2695" i="4"/>
  <c r="G2695" i="4" s="1"/>
  <c r="F2695" i="4"/>
  <c r="H2695" i="4" s="1"/>
  <c r="F2678" i="4"/>
  <c r="H2678" i="4" s="1"/>
  <c r="E2678" i="4"/>
  <c r="G2678" i="4" s="1"/>
  <c r="E2665" i="4"/>
  <c r="G2665" i="4" s="1"/>
  <c r="F2665" i="4"/>
  <c r="H2665" i="4" s="1"/>
  <c r="F2663" i="4"/>
  <c r="H2663" i="4" s="1"/>
  <c r="E2664" i="4"/>
  <c r="G2664" i="4" s="1"/>
  <c r="I2664" i="4" s="1"/>
  <c r="E2648" i="4"/>
  <c r="G2648" i="4" s="1"/>
  <c r="F2648" i="4"/>
  <c r="H2648" i="4" s="1"/>
  <c r="E2630" i="4"/>
  <c r="G2630" i="4" s="1"/>
  <c r="F2630" i="4"/>
  <c r="H2630" i="4" s="1"/>
  <c r="F2617" i="4"/>
  <c r="H2617" i="4" s="1"/>
  <c r="E2617" i="4"/>
  <c r="G2617" i="4" s="1"/>
  <c r="E2616" i="4"/>
  <c r="G2616" i="4" s="1"/>
  <c r="E2600" i="4"/>
  <c r="G2600" i="4" s="1"/>
  <c r="F2600" i="4"/>
  <c r="H2600" i="4" s="1"/>
  <c r="E2599" i="4"/>
  <c r="G2599" i="4" s="1"/>
  <c r="F2599" i="4"/>
  <c r="H2599" i="4" s="1"/>
  <c r="E2583" i="4"/>
  <c r="G2583" i="4" s="1"/>
  <c r="F2583" i="4"/>
  <c r="H2583" i="4" s="1"/>
  <c r="E2582" i="4"/>
  <c r="G2582" i="4" s="1"/>
  <c r="F2582" i="4"/>
  <c r="H2582" i="4" s="1"/>
  <c r="F2581" i="4"/>
  <c r="H2581" i="4" s="1"/>
  <c r="E3564" i="4"/>
  <c r="G3564" i="4" s="1"/>
  <c r="E3532" i="4"/>
  <c r="G3532" i="4" s="1"/>
  <c r="E3500" i="4"/>
  <c r="G3500" i="4" s="1"/>
  <c r="E3468" i="4"/>
  <c r="G3468" i="4" s="1"/>
  <c r="E3436" i="4"/>
  <c r="G3436" i="4" s="1"/>
  <c r="E3341" i="4"/>
  <c r="G3341" i="4" s="1"/>
  <c r="E3310" i="4"/>
  <c r="G3310" i="4" s="1"/>
  <c r="E3246" i="4"/>
  <c r="G3246" i="4" s="1"/>
  <c r="I3246" i="4" s="1"/>
  <c r="E3216" i="4"/>
  <c r="G3216" i="4" s="1"/>
  <c r="E3182" i="4"/>
  <c r="G3182" i="4" s="1"/>
  <c r="E3150" i="4"/>
  <c r="G3150" i="4" s="1"/>
  <c r="E3112" i="4"/>
  <c r="G3112" i="4" s="1"/>
  <c r="E3078" i="4"/>
  <c r="G3078" i="4" s="1"/>
  <c r="I3078" i="4" s="1"/>
  <c r="E3048" i="4"/>
  <c r="G3048" i="4" s="1"/>
  <c r="E3011" i="4"/>
  <c r="G3011" i="4" s="1"/>
  <c r="E2984" i="4"/>
  <c r="G2984" i="4" s="1"/>
  <c r="I2984" i="4" s="1"/>
  <c r="E2952" i="4"/>
  <c r="G2952" i="4" s="1"/>
  <c r="E2924" i="4"/>
  <c r="G2924" i="4" s="1"/>
  <c r="E2895" i="4"/>
  <c r="G2895" i="4" s="1"/>
  <c r="E2863" i="4"/>
  <c r="G2863" i="4" s="1"/>
  <c r="E2829" i="4"/>
  <c r="G2829" i="4" s="1"/>
  <c r="E2797" i="4"/>
  <c r="G2797" i="4" s="1"/>
  <c r="E2763" i="4"/>
  <c r="G2763" i="4" s="1"/>
  <c r="E2735" i="4"/>
  <c r="G2735" i="4" s="1"/>
  <c r="I2735" i="4" s="1"/>
  <c r="F2702" i="4"/>
  <c r="H2702" i="4" s="1"/>
  <c r="E2667" i="4"/>
  <c r="G2667" i="4" s="1"/>
  <c r="E2638" i="4"/>
  <c r="G2638" i="4" s="1"/>
  <c r="F2613" i="4"/>
  <c r="H2613" i="4" s="1"/>
  <c r="E3570" i="4"/>
  <c r="G3570" i="4" s="1"/>
  <c r="E3538" i="4"/>
  <c r="G3538" i="4" s="1"/>
  <c r="E3506" i="4"/>
  <c r="G3506" i="4" s="1"/>
  <c r="E3474" i="4"/>
  <c r="G3474" i="4" s="1"/>
  <c r="E3442" i="4"/>
  <c r="G3442" i="4" s="1"/>
  <c r="E3337" i="4"/>
  <c r="G3337" i="4" s="1"/>
  <c r="E3169" i="4"/>
  <c r="G3169" i="4" s="1"/>
  <c r="E3037" i="4"/>
  <c r="G3037" i="4" s="1"/>
  <c r="E2941" i="4"/>
  <c r="G2941" i="4" s="1"/>
  <c r="E2867" i="4"/>
  <c r="G2867" i="4" s="1"/>
  <c r="F2728" i="4"/>
  <c r="H2728" i="4" s="1"/>
  <c r="E2593" i="4"/>
  <c r="G2593" i="4" s="1"/>
  <c r="F3377" i="4"/>
  <c r="H3377" i="4" s="1"/>
  <c r="F3272" i="4"/>
  <c r="H3272" i="4" s="1"/>
  <c r="F3205" i="4"/>
  <c r="H3205" i="4" s="1"/>
  <c r="F3074" i="4"/>
  <c r="H3074" i="4" s="1"/>
  <c r="E2820" i="4"/>
  <c r="G2820" i="4" s="1"/>
  <c r="E2700" i="4"/>
  <c r="G2700" i="4" s="1"/>
  <c r="I2700" i="4" s="1"/>
  <c r="E2569" i="4"/>
  <c r="G2569" i="4" s="1"/>
  <c r="F2569" i="4"/>
  <c r="H2569" i="4" s="1"/>
  <c r="E2552" i="4"/>
  <c r="G2552" i="4" s="1"/>
  <c r="F2552" i="4"/>
  <c r="H2552" i="4" s="1"/>
  <c r="F2536" i="4"/>
  <c r="H2536" i="4" s="1"/>
  <c r="E2536" i="4"/>
  <c r="G2536" i="4" s="1"/>
  <c r="E2522" i="4"/>
  <c r="G2522" i="4" s="1"/>
  <c r="F2522" i="4"/>
  <c r="H2522" i="4" s="1"/>
  <c r="F2504" i="4"/>
  <c r="H2504" i="4" s="1"/>
  <c r="E2504" i="4"/>
  <c r="G2504" i="4" s="1"/>
  <c r="E2490" i="4"/>
  <c r="G2490" i="4" s="1"/>
  <c r="F2490" i="4"/>
  <c r="H2490" i="4" s="1"/>
  <c r="E2475" i="4"/>
  <c r="G2475" i="4" s="1"/>
  <c r="F2475" i="4"/>
  <c r="H2475" i="4" s="1"/>
  <c r="E2457" i="4"/>
  <c r="G2457" i="4" s="1"/>
  <c r="F2457" i="4"/>
  <c r="H2457" i="4" s="1"/>
  <c r="E2443" i="4"/>
  <c r="G2443" i="4" s="1"/>
  <c r="F2443" i="4"/>
  <c r="H2443" i="4" s="1"/>
  <c r="F2441" i="4"/>
  <c r="H2441" i="4" s="1"/>
  <c r="E2439" i="4"/>
  <c r="G2439" i="4" s="1"/>
  <c r="E2442" i="4"/>
  <c r="G2442" i="4" s="1"/>
  <c r="F2439" i="4"/>
  <c r="H2439" i="4" s="1"/>
  <c r="F2442" i="4"/>
  <c r="H2442" i="4" s="1"/>
  <c r="F2440" i="4"/>
  <c r="H2440" i="4" s="1"/>
  <c r="E2425" i="4"/>
  <c r="G2425" i="4" s="1"/>
  <c r="F2425" i="4"/>
  <c r="H2425" i="4" s="1"/>
  <c r="E2424" i="4"/>
  <c r="G2424" i="4" s="1"/>
  <c r="F2423" i="4"/>
  <c r="H2423" i="4" s="1"/>
  <c r="E2422" i="4"/>
  <c r="G2422" i="4" s="1"/>
  <c r="E2421" i="4"/>
  <c r="G2421" i="4" s="1"/>
  <c r="F2422" i="4"/>
  <c r="H2422" i="4" s="1"/>
  <c r="F2421" i="4"/>
  <c r="H2421" i="4" s="1"/>
  <c r="E2411" i="4"/>
  <c r="G2411" i="4" s="1"/>
  <c r="F2411" i="4"/>
  <c r="H2411" i="4" s="1"/>
  <c r="E2407" i="4"/>
  <c r="G2407" i="4" s="1"/>
  <c r="E2410" i="4"/>
  <c r="G2410" i="4" s="1"/>
  <c r="F2407" i="4"/>
  <c r="H2407" i="4" s="1"/>
  <c r="F2410" i="4"/>
  <c r="H2410" i="4" s="1"/>
  <c r="E2409" i="4"/>
  <c r="G2409" i="4" s="1"/>
  <c r="E2408" i="4"/>
  <c r="G2408" i="4" s="1"/>
  <c r="E2393" i="4"/>
  <c r="G2393" i="4" s="1"/>
  <c r="F2393" i="4"/>
  <c r="H2393" i="4" s="1"/>
  <c r="E2389" i="4"/>
  <c r="G2389" i="4" s="1"/>
  <c r="F2389" i="4"/>
  <c r="H2389" i="4" s="1"/>
  <c r="E2379" i="4"/>
  <c r="G2379" i="4" s="1"/>
  <c r="F2379" i="4"/>
  <c r="H2379" i="4" s="1"/>
  <c r="F2377" i="4"/>
  <c r="H2377" i="4" s="1"/>
  <c r="E2375" i="4"/>
  <c r="G2375" i="4" s="1"/>
  <c r="F2375" i="4"/>
  <c r="H2375" i="4" s="1"/>
  <c r="E2378" i="4"/>
  <c r="G2378" i="4" s="1"/>
  <c r="E2376" i="4"/>
  <c r="G2376" i="4" s="1"/>
  <c r="F3352" i="4"/>
  <c r="H3352" i="4" s="1"/>
  <c r="F3220" i="4"/>
  <c r="H3220" i="4" s="1"/>
  <c r="E2974" i="4"/>
  <c r="G2974" i="4" s="1"/>
  <c r="E2808" i="4"/>
  <c r="G2808" i="4" s="1"/>
  <c r="I2808" i="4" s="1"/>
  <c r="F2689" i="4"/>
  <c r="H2689" i="4" s="1"/>
  <c r="E2581" i="4"/>
  <c r="G2581" i="4" s="1"/>
  <c r="F2565" i="4"/>
  <c r="H2565" i="4" s="1"/>
  <c r="E2565" i="4"/>
  <c r="G2565" i="4" s="1"/>
  <c r="E2548" i="4"/>
  <c r="G2548" i="4" s="1"/>
  <c r="F2548" i="4"/>
  <c r="H2548" i="4" s="1"/>
  <c r="F2530" i="4"/>
  <c r="H2530" i="4" s="1"/>
  <c r="E2530" i="4"/>
  <c r="G2530" i="4" s="1"/>
  <c r="E2512" i="4"/>
  <c r="G2512" i="4" s="1"/>
  <c r="F2481" i="4"/>
  <c r="H2481" i="4" s="1"/>
  <c r="F2449" i="4"/>
  <c r="H2449" i="4" s="1"/>
  <c r="F2417" i="4"/>
  <c r="H2417" i="4" s="1"/>
  <c r="F2385" i="4"/>
  <c r="H2385" i="4" s="1"/>
  <c r="F3154" i="4"/>
  <c r="H3154" i="4" s="1"/>
  <c r="E2520" i="4"/>
  <c r="G2520" i="4" s="1"/>
  <c r="F2409" i="4"/>
  <c r="H2409" i="4" s="1"/>
  <c r="F2910" i="4"/>
  <c r="H2910" i="4" s="1"/>
  <c r="E2561" i="4"/>
  <c r="G2561" i="4" s="1"/>
  <c r="E2431" i="4"/>
  <c r="G2431" i="4" s="1"/>
  <c r="E3318" i="4"/>
  <c r="G3318" i="4" s="1"/>
  <c r="E2544" i="4"/>
  <c r="G2544" i="4" s="1"/>
  <c r="E2432" i="4"/>
  <c r="G2432" i="4" s="1"/>
  <c r="E3344" i="4"/>
  <c r="G3344" i="4" s="1"/>
  <c r="F2378" i="4"/>
  <c r="H2378" i="4" s="1"/>
  <c r="F2550" i="4"/>
  <c r="H2550" i="4" s="1"/>
  <c r="E2744" i="4"/>
  <c r="G2744" i="4" s="1"/>
  <c r="E3565" i="4"/>
  <c r="G3565" i="4" s="1"/>
  <c r="E3557" i="4"/>
  <c r="G3557" i="4" s="1"/>
  <c r="E3549" i="4"/>
  <c r="G3549" i="4" s="1"/>
  <c r="E3541" i="4"/>
  <c r="G3541" i="4" s="1"/>
  <c r="E3533" i="4"/>
  <c r="G3533" i="4" s="1"/>
  <c r="E3525" i="4"/>
  <c r="G3525" i="4" s="1"/>
  <c r="E3517" i="4"/>
  <c r="G3517" i="4" s="1"/>
  <c r="E3509" i="4"/>
  <c r="G3509" i="4" s="1"/>
  <c r="E3501" i="4"/>
  <c r="G3501" i="4" s="1"/>
  <c r="E3493" i="4"/>
  <c r="G3493" i="4" s="1"/>
  <c r="E3485" i="4"/>
  <c r="G3485" i="4" s="1"/>
  <c r="E3477" i="4"/>
  <c r="G3477" i="4" s="1"/>
  <c r="E3469" i="4"/>
  <c r="G3469" i="4" s="1"/>
  <c r="E3461" i="4"/>
  <c r="G3461" i="4" s="1"/>
  <c r="E3453" i="4"/>
  <c r="G3453" i="4" s="1"/>
  <c r="E3445" i="4"/>
  <c r="G3445" i="4" s="1"/>
  <c r="E3437" i="4"/>
  <c r="G3437" i="4" s="1"/>
  <c r="E3429" i="4"/>
  <c r="G3429" i="4" s="1"/>
  <c r="E3421" i="4"/>
  <c r="G3421" i="4" s="1"/>
  <c r="E3413" i="4"/>
  <c r="G3413" i="4" s="1"/>
  <c r="F3402" i="4"/>
  <c r="H3402" i="4" s="1"/>
  <c r="F3394" i="4"/>
  <c r="H3394" i="4" s="1"/>
  <c r="F3388" i="4"/>
  <c r="H3388" i="4" s="1"/>
  <c r="E3382" i="4"/>
  <c r="G3382" i="4" s="1"/>
  <c r="F3382" i="4"/>
  <c r="H3382" i="4" s="1"/>
  <c r="E3381" i="4"/>
  <c r="G3381" i="4" s="1"/>
  <c r="F3381" i="4"/>
  <c r="H3381" i="4" s="1"/>
  <c r="F3368" i="4"/>
  <c r="H3368" i="4" s="1"/>
  <c r="F3362" i="4"/>
  <c r="H3362" i="4" s="1"/>
  <c r="F3357" i="4"/>
  <c r="H3357" i="4" s="1"/>
  <c r="F3349" i="4"/>
  <c r="H3349" i="4" s="1"/>
  <c r="F3336" i="4"/>
  <c r="H3336" i="4" s="1"/>
  <c r="F3331" i="4"/>
  <c r="H3331" i="4" s="1"/>
  <c r="F3323" i="4"/>
  <c r="H3323" i="4" s="1"/>
  <c r="E3311" i="4"/>
  <c r="G3311" i="4" s="1"/>
  <c r="F3311" i="4"/>
  <c r="H3311" i="4" s="1"/>
  <c r="F3310" i="4"/>
  <c r="H3310" i="4" s="1"/>
  <c r="E3298" i="4"/>
  <c r="G3298" i="4" s="1"/>
  <c r="F3298" i="4"/>
  <c r="H3298" i="4" s="1"/>
  <c r="E3297" i="4"/>
  <c r="G3297" i="4" s="1"/>
  <c r="F3297" i="4"/>
  <c r="H3297" i="4" s="1"/>
  <c r="E3291" i="4"/>
  <c r="G3291" i="4" s="1"/>
  <c r="I3291" i="4" s="1"/>
  <c r="E3280" i="4"/>
  <c r="G3280" i="4" s="1"/>
  <c r="F3280" i="4"/>
  <c r="H3280" i="4" s="1"/>
  <c r="E3267" i="4"/>
  <c r="G3267" i="4" s="1"/>
  <c r="F3267" i="4"/>
  <c r="H3267" i="4" s="1"/>
  <c r="E3266" i="4"/>
  <c r="G3266" i="4" s="1"/>
  <c r="F3266" i="4"/>
  <c r="H3266" i="4" s="1"/>
  <c r="E3253" i="4"/>
  <c r="G3253" i="4" s="1"/>
  <c r="F3253" i="4"/>
  <c r="H3253" i="4" s="1"/>
  <c r="F3252" i="4"/>
  <c r="H3252" i="4" s="1"/>
  <c r="E3251" i="4"/>
  <c r="G3251" i="4" s="1"/>
  <c r="F3251" i="4"/>
  <c r="H3251" i="4" s="1"/>
  <c r="E3239" i="4"/>
  <c r="G3239" i="4" s="1"/>
  <c r="F3239" i="4"/>
  <c r="H3239" i="4" s="1"/>
  <c r="F3238" i="4"/>
  <c r="H3238" i="4" s="1"/>
  <c r="E3237" i="4"/>
  <c r="G3237" i="4" s="1"/>
  <c r="F3237" i="4"/>
  <c r="H3237" i="4" s="1"/>
  <c r="E3556" i="4"/>
  <c r="G3556" i="4" s="1"/>
  <c r="E3524" i="4"/>
  <c r="G3524" i="4" s="1"/>
  <c r="E3492" i="4"/>
  <c r="G3492" i="4" s="1"/>
  <c r="E3460" i="4"/>
  <c r="G3460" i="4" s="1"/>
  <c r="E3428" i="4"/>
  <c r="G3428" i="4" s="1"/>
  <c r="E3399" i="4"/>
  <c r="G3399" i="4" s="1"/>
  <c r="E3366" i="4"/>
  <c r="G3366" i="4" s="1"/>
  <c r="E3330" i="4"/>
  <c r="G3330" i="4" s="1"/>
  <c r="E3270" i="4"/>
  <c r="G3270" i="4" s="1"/>
  <c r="I3270" i="4" s="1"/>
  <c r="E3238" i="4"/>
  <c r="G3238" i="4" s="1"/>
  <c r="I3238" i="4" s="1"/>
  <c r="E3208" i="4"/>
  <c r="G3208" i="4" s="1"/>
  <c r="E3041" i="4"/>
  <c r="G3041" i="4" s="1"/>
  <c r="E2977" i="4"/>
  <c r="G2977" i="4" s="1"/>
  <c r="E2947" i="4"/>
  <c r="G2947" i="4" s="1"/>
  <c r="E2917" i="4"/>
  <c r="G2917" i="4" s="1"/>
  <c r="E2883" i="4"/>
  <c r="G2883" i="4" s="1"/>
  <c r="F2852" i="4"/>
  <c r="H2852" i="4" s="1"/>
  <c r="E2823" i="4"/>
  <c r="G2823" i="4" s="1"/>
  <c r="E2791" i="4"/>
  <c r="G2791" i="4" s="1"/>
  <c r="E2757" i="4"/>
  <c r="G2757" i="4" s="1"/>
  <c r="F2724" i="4"/>
  <c r="H2724" i="4" s="1"/>
  <c r="F2692" i="4"/>
  <c r="H2692" i="4" s="1"/>
  <c r="E2660" i="4"/>
  <c r="G2660" i="4" s="1"/>
  <c r="E2632" i="4"/>
  <c r="G2632" i="4" s="1"/>
  <c r="E2607" i="4"/>
  <c r="G2607" i="4" s="1"/>
  <c r="E3562" i="4"/>
  <c r="G3562" i="4" s="1"/>
  <c r="E3530" i="4"/>
  <c r="G3530" i="4" s="1"/>
  <c r="E3498" i="4"/>
  <c r="G3498" i="4" s="1"/>
  <c r="E3466" i="4"/>
  <c r="G3466" i="4" s="1"/>
  <c r="E3434" i="4"/>
  <c r="G3434" i="4" s="1"/>
  <c r="E3293" i="4"/>
  <c r="G3293" i="4" s="1"/>
  <c r="I3293" i="4" s="1"/>
  <c r="E3134" i="4"/>
  <c r="G3134" i="4" s="1"/>
  <c r="E2933" i="4"/>
  <c r="G2933" i="4" s="1"/>
  <c r="E2838" i="4"/>
  <c r="G2838" i="4" s="1"/>
  <c r="F2682" i="4"/>
  <c r="H2682" i="4" s="1"/>
  <c r="E2579" i="4"/>
  <c r="G2579" i="4" s="1"/>
  <c r="F2520" i="4"/>
  <c r="H2520" i="4" s="1"/>
  <c r="E2486" i="4"/>
  <c r="G2486" i="4" s="1"/>
  <c r="E2467" i="4"/>
  <c r="G2467" i="4" s="1"/>
  <c r="F2454" i="4"/>
  <c r="H2454" i="4" s="1"/>
  <c r="F3351" i="4"/>
  <c r="H3351" i="4" s="1"/>
  <c r="F3264" i="4"/>
  <c r="H3264" i="4" s="1"/>
  <c r="F3170" i="4"/>
  <c r="H3170" i="4" s="1"/>
  <c r="F2968" i="4"/>
  <c r="H2968" i="4" s="1"/>
  <c r="E2794" i="4"/>
  <c r="G2794" i="4" s="1"/>
  <c r="E2670" i="4"/>
  <c r="G2670" i="4" s="1"/>
  <c r="F3326" i="4"/>
  <c r="H3326" i="4" s="1"/>
  <c r="F3197" i="4"/>
  <c r="H3197" i="4" s="1"/>
  <c r="F3066" i="4"/>
  <c r="H3066" i="4" s="1"/>
  <c r="F2909" i="4"/>
  <c r="H2909" i="4" s="1"/>
  <c r="F2765" i="4"/>
  <c r="H2765" i="4" s="1"/>
  <c r="F2640" i="4"/>
  <c r="H2640" i="4" s="1"/>
  <c r="F2575" i="4"/>
  <c r="H2575" i="4" s="1"/>
  <c r="F2505" i="4"/>
  <c r="H2505" i="4" s="1"/>
  <c r="E2472" i="4"/>
  <c r="G2472" i="4" s="1"/>
  <c r="E2440" i="4"/>
  <c r="G2440" i="4" s="1"/>
  <c r="F2408" i="4"/>
  <c r="H2408" i="4" s="1"/>
  <c r="F2376" i="4"/>
  <c r="H2376" i="4" s="1"/>
  <c r="E2814" i="4"/>
  <c r="G2814" i="4" s="1"/>
  <c r="F2494" i="4"/>
  <c r="H2494" i="4" s="1"/>
  <c r="F2400" i="4"/>
  <c r="H2400" i="4" s="1"/>
  <c r="E2849" i="4"/>
  <c r="G2849" i="4" s="1"/>
  <c r="E2539" i="4"/>
  <c r="G2539" i="4" s="1"/>
  <c r="E2423" i="4"/>
  <c r="G2423" i="4" s="1"/>
  <c r="E3120" i="4"/>
  <c r="G3120" i="4" s="1"/>
  <c r="E2487" i="4"/>
  <c r="G2487" i="4" s="1"/>
  <c r="F2424" i="4"/>
  <c r="H2424" i="4" s="1"/>
  <c r="E3186" i="4"/>
  <c r="G3186" i="4" s="1"/>
  <c r="E3044" i="4"/>
  <c r="G3044" i="4" s="1"/>
  <c r="F2493" i="4"/>
  <c r="H2493" i="4" s="1"/>
  <c r="F2604" i="4"/>
  <c r="H2604" i="4" s="1"/>
  <c r="E3225" i="4"/>
  <c r="G3225" i="4" s="1"/>
  <c r="F3225" i="4"/>
  <c r="H3225" i="4" s="1"/>
  <c r="E3209" i="4"/>
  <c r="G3209" i="4" s="1"/>
  <c r="F3209" i="4"/>
  <c r="H3209" i="4" s="1"/>
  <c r="E3190" i="4"/>
  <c r="G3190" i="4" s="1"/>
  <c r="F3190" i="4"/>
  <c r="H3190" i="4" s="1"/>
  <c r="E3176" i="4"/>
  <c r="G3176" i="4" s="1"/>
  <c r="F3176" i="4"/>
  <c r="H3176" i="4" s="1"/>
  <c r="E3160" i="4"/>
  <c r="G3160" i="4" s="1"/>
  <c r="F3160" i="4"/>
  <c r="H3160" i="4" s="1"/>
  <c r="E3144" i="4"/>
  <c r="G3144" i="4" s="1"/>
  <c r="F3144" i="4"/>
  <c r="H3144" i="4" s="1"/>
  <c r="E3131" i="4"/>
  <c r="G3131" i="4" s="1"/>
  <c r="F3131" i="4"/>
  <c r="H3131" i="4" s="1"/>
  <c r="E3113" i="4"/>
  <c r="G3113" i="4" s="1"/>
  <c r="F3113" i="4"/>
  <c r="H3113" i="4" s="1"/>
  <c r="E3088" i="4"/>
  <c r="G3088" i="4" s="1"/>
  <c r="F3088" i="4"/>
  <c r="H3088" i="4" s="1"/>
  <c r="E3072" i="4"/>
  <c r="G3072" i="4" s="1"/>
  <c r="F3072" i="4"/>
  <c r="H3072" i="4" s="1"/>
  <c r="E3056" i="4"/>
  <c r="G3056" i="4" s="1"/>
  <c r="F3056" i="4"/>
  <c r="H3056" i="4" s="1"/>
  <c r="E3042" i="4"/>
  <c r="G3042" i="4" s="1"/>
  <c r="F3042" i="4"/>
  <c r="H3042" i="4" s="1"/>
  <c r="E3024" i="4"/>
  <c r="G3024" i="4" s="1"/>
  <c r="F3024" i="4"/>
  <c r="H3024" i="4" s="1"/>
  <c r="E3012" i="4"/>
  <c r="G3012" i="4" s="1"/>
  <c r="F3012" i="4"/>
  <c r="H3012" i="4" s="1"/>
  <c r="F2990" i="4"/>
  <c r="H2990" i="4" s="1"/>
  <c r="E2990" i="4"/>
  <c r="G2990" i="4" s="1"/>
  <c r="F2978" i="4"/>
  <c r="H2978" i="4" s="1"/>
  <c r="E2978" i="4"/>
  <c r="G2978" i="4" s="1"/>
  <c r="E2960" i="4"/>
  <c r="G2960" i="4" s="1"/>
  <c r="F2960" i="4"/>
  <c r="H2960" i="4" s="1"/>
  <c r="E2944" i="4"/>
  <c r="G2944" i="4" s="1"/>
  <c r="F2944" i="4"/>
  <c r="H2944" i="4" s="1"/>
  <c r="E2926" i="4"/>
  <c r="G2926" i="4" s="1"/>
  <c r="F2926" i="4"/>
  <c r="H2926" i="4" s="1"/>
  <c r="E2913" i="4"/>
  <c r="G2913" i="4" s="1"/>
  <c r="F2913" i="4"/>
  <c r="H2913" i="4" s="1"/>
  <c r="F2897" i="4"/>
  <c r="H2897" i="4" s="1"/>
  <c r="E2897" i="4"/>
  <c r="G2897" i="4" s="1"/>
  <c r="E2878" i="4"/>
  <c r="G2878" i="4" s="1"/>
  <c r="F2878" i="4"/>
  <c r="H2878" i="4" s="1"/>
  <c r="E2865" i="4"/>
  <c r="G2865" i="4" s="1"/>
  <c r="F2865" i="4"/>
  <c r="H2865" i="4" s="1"/>
  <c r="E2848" i="4"/>
  <c r="G2848" i="4" s="1"/>
  <c r="F2848" i="4"/>
  <c r="H2848" i="4" s="1"/>
  <c r="E2831" i="4"/>
  <c r="G2831" i="4" s="1"/>
  <c r="F2831" i="4"/>
  <c r="H2831" i="4" s="1"/>
  <c r="F2812" i="4"/>
  <c r="H2812" i="4" s="1"/>
  <c r="E2812" i="4"/>
  <c r="G2812" i="4" s="1"/>
  <c r="E2799" i="4"/>
  <c r="G2799" i="4" s="1"/>
  <c r="F2799" i="4"/>
  <c r="H2799" i="4" s="1"/>
  <c r="E2781" i="4"/>
  <c r="G2781" i="4" s="1"/>
  <c r="F2781" i="4"/>
  <c r="H2781" i="4" s="1"/>
  <c r="F2764" i="4"/>
  <c r="H2764" i="4" s="1"/>
  <c r="E2764" i="4"/>
  <c r="G2764" i="4" s="1"/>
  <c r="F2748" i="4"/>
  <c r="H2748" i="4" s="1"/>
  <c r="E2748" i="4"/>
  <c r="G2748" i="4" s="1"/>
  <c r="E2731" i="4"/>
  <c r="G2731" i="4" s="1"/>
  <c r="F2731" i="4"/>
  <c r="H2731" i="4" s="1"/>
  <c r="F2716" i="4"/>
  <c r="H2716" i="4" s="1"/>
  <c r="E2716" i="4"/>
  <c r="G2716" i="4" s="1"/>
  <c r="E2699" i="4"/>
  <c r="G2699" i="4" s="1"/>
  <c r="F2699" i="4"/>
  <c r="H2699" i="4" s="1"/>
  <c r="F2688" i="4"/>
  <c r="H2688" i="4" s="1"/>
  <c r="E2688" i="4"/>
  <c r="G2688" i="4" s="1"/>
  <c r="F2674" i="4"/>
  <c r="H2674" i="4" s="1"/>
  <c r="E2674" i="4"/>
  <c r="G2674" i="4" s="1"/>
  <c r="E2656" i="4"/>
  <c r="G2656" i="4" s="1"/>
  <c r="F2656" i="4"/>
  <c r="H2656" i="4" s="1"/>
  <c r="E2639" i="4"/>
  <c r="G2639" i="4" s="1"/>
  <c r="F2639" i="4"/>
  <c r="H2639" i="4" s="1"/>
  <c r="E2620" i="4"/>
  <c r="G2620" i="4" s="1"/>
  <c r="F2620" i="4"/>
  <c r="H2620" i="4" s="1"/>
  <c r="E2602" i="4"/>
  <c r="G2602" i="4" s="1"/>
  <c r="F2602" i="4"/>
  <c r="H2602" i="4" s="1"/>
  <c r="E2591" i="4"/>
  <c r="G2591" i="4" s="1"/>
  <c r="F2591" i="4"/>
  <c r="H2591" i="4" s="1"/>
  <c r="F2573" i="4"/>
  <c r="H2573" i="4" s="1"/>
  <c r="E2573" i="4"/>
  <c r="G2573" i="4" s="1"/>
  <c r="E3563" i="4"/>
  <c r="G3563" i="4" s="1"/>
  <c r="F3563" i="4"/>
  <c r="H3563" i="4" s="1"/>
  <c r="E3547" i="4"/>
  <c r="G3547" i="4" s="1"/>
  <c r="F3547" i="4"/>
  <c r="H3547" i="4" s="1"/>
  <c r="E3531" i="4"/>
  <c r="G3531" i="4" s="1"/>
  <c r="F3531" i="4"/>
  <c r="H3531" i="4" s="1"/>
  <c r="E3515" i="4"/>
  <c r="G3515" i="4" s="1"/>
  <c r="F3515" i="4"/>
  <c r="H3515" i="4" s="1"/>
  <c r="E3499" i="4"/>
  <c r="G3499" i="4" s="1"/>
  <c r="F3499" i="4"/>
  <c r="H3499" i="4" s="1"/>
  <c r="E3483" i="4"/>
  <c r="G3483" i="4" s="1"/>
  <c r="F3483" i="4"/>
  <c r="H3483" i="4" s="1"/>
  <c r="E3467" i="4"/>
  <c r="G3467" i="4" s="1"/>
  <c r="F3467" i="4"/>
  <c r="H3467" i="4" s="1"/>
  <c r="E3451" i="4"/>
  <c r="G3451" i="4" s="1"/>
  <c r="F3451" i="4"/>
  <c r="H3451" i="4" s="1"/>
  <c r="E3435" i="4"/>
  <c r="G3435" i="4" s="1"/>
  <c r="F3435" i="4"/>
  <c r="H3435" i="4" s="1"/>
  <c r="E3418" i="4"/>
  <c r="G3418" i="4" s="1"/>
  <c r="F3418" i="4"/>
  <c r="H3418" i="4" s="1"/>
  <c r="E3398" i="4"/>
  <c r="G3398" i="4" s="1"/>
  <c r="F3398" i="4"/>
  <c r="H3398" i="4" s="1"/>
  <c r="E3380" i="4"/>
  <c r="G3380" i="4" s="1"/>
  <c r="F3380" i="4"/>
  <c r="H3380" i="4" s="1"/>
  <c r="E3365" i="4"/>
  <c r="G3365" i="4" s="1"/>
  <c r="F3365" i="4"/>
  <c r="H3365" i="4" s="1"/>
  <c r="E3346" i="4"/>
  <c r="G3346" i="4" s="1"/>
  <c r="F3346" i="4"/>
  <c r="H3346" i="4" s="1"/>
  <c r="E3334" i="4"/>
  <c r="G3334" i="4" s="1"/>
  <c r="F3334" i="4"/>
  <c r="H3334" i="4" s="1"/>
  <c r="E3319" i="4"/>
  <c r="G3319" i="4" s="1"/>
  <c r="F3319" i="4"/>
  <c r="H3319" i="4" s="1"/>
  <c r="E3302" i="4"/>
  <c r="G3302" i="4" s="1"/>
  <c r="F3302" i="4"/>
  <c r="H3302" i="4" s="1"/>
  <c r="E3288" i="4"/>
  <c r="G3288" i="4" s="1"/>
  <c r="F3288" i="4"/>
  <c r="H3288" i="4" s="1"/>
  <c r="E3269" i="4"/>
  <c r="G3269" i="4" s="1"/>
  <c r="F3269" i="4"/>
  <c r="H3269" i="4" s="1"/>
  <c r="E3250" i="4"/>
  <c r="G3250" i="4" s="1"/>
  <c r="F3250" i="4"/>
  <c r="H3250" i="4" s="1"/>
  <c r="E3235" i="4"/>
  <c r="G3235" i="4" s="1"/>
  <c r="F3235" i="4"/>
  <c r="H3235" i="4" s="1"/>
  <c r="E3214" i="4"/>
  <c r="G3214" i="4" s="1"/>
  <c r="F3214" i="4"/>
  <c r="H3214" i="4" s="1"/>
  <c r="E3199" i="4"/>
  <c r="G3199" i="4" s="1"/>
  <c r="F3199" i="4"/>
  <c r="H3199" i="4" s="1"/>
  <c r="E3180" i="4"/>
  <c r="G3180" i="4" s="1"/>
  <c r="F3180" i="4"/>
  <c r="H3180" i="4" s="1"/>
  <c r="E3164" i="4"/>
  <c r="G3164" i="4" s="1"/>
  <c r="F3164" i="4"/>
  <c r="H3164" i="4" s="1"/>
  <c r="E3148" i="4"/>
  <c r="G3148" i="4" s="1"/>
  <c r="F3148" i="4"/>
  <c r="H3148" i="4" s="1"/>
  <c r="E3135" i="4"/>
  <c r="G3135" i="4" s="1"/>
  <c r="F3135" i="4"/>
  <c r="H3135" i="4" s="1"/>
  <c r="E3121" i="4"/>
  <c r="G3121" i="4" s="1"/>
  <c r="F3121" i="4"/>
  <c r="H3121" i="4" s="1"/>
  <c r="E3104" i="4"/>
  <c r="G3104" i="4" s="1"/>
  <c r="F3104" i="4"/>
  <c r="H3104" i="4" s="1"/>
  <c r="E3092" i="4"/>
  <c r="G3092" i="4" s="1"/>
  <c r="F3092" i="4"/>
  <c r="H3092" i="4" s="1"/>
  <c r="E3076" i="4"/>
  <c r="G3076" i="4" s="1"/>
  <c r="F3076" i="4"/>
  <c r="H3076" i="4" s="1"/>
  <c r="F3060" i="4"/>
  <c r="H3060" i="4" s="1"/>
  <c r="E3060" i="4"/>
  <c r="G3060" i="4" s="1"/>
  <c r="E3045" i="4"/>
  <c r="G3045" i="4" s="1"/>
  <c r="F3045" i="4"/>
  <c r="H3045" i="4" s="1"/>
  <c r="E3033" i="4"/>
  <c r="G3033" i="4" s="1"/>
  <c r="F3033" i="4"/>
  <c r="H3033" i="4" s="1"/>
  <c r="E3015" i="4"/>
  <c r="G3015" i="4" s="1"/>
  <c r="F3015" i="4"/>
  <c r="H3015" i="4" s="1"/>
  <c r="E2997" i="4"/>
  <c r="G2997" i="4" s="1"/>
  <c r="F2997" i="4"/>
  <c r="H2997" i="4" s="1"/>
  <c r="E2981" i="4"/>
  <c r="G2981" i="4" s="1"/>
  <c r="F2981" i="4"/>
  <c r="H2981" i="4" s="1"/>
  <c r="E2963" i="4"/>
  <c r="G2963" i="4" s="1"/>
  <c r="F2963" i="4"/>
  <c r="H2963" i="4" s="1"/>
  <c r="E2946" i="4"/>
  <c r="G2946" i="4" s="1"/>
  <c r="F2946" i="4"/>
  <c r="H2946" i="4" s="1"/>
  <c r="E2929" i="4"/>
  <c r="G2929" i="4" s="1"/>
  <c r="F2929" i="4"/>
  <c r="H2929" i="4" s="1"/>
  <c r="E2911" i="4"/>
  <c r="G2911" i="4" s="1"/>
  <c r="F2911" i="4"/>
  <c r="H2911" i="4" s="1"/>
  <c r="E2893" i="4"/>
  <c r="G2893" i="4" s="1"/>
  <c r="F2893" i="4"/>
  <c r="H2893" i="4" s="1"/>
  <c r="E2875" i="4"/>
  <c r="G2875" i="4" s="1"/>
  <c r="F2875" i="4"/>
  <c r="H2875" i="4" s="1"/>
  <c r="E2861" i="4"/>
  <c r="G2861" i="4" s="1"/>
  <c r="F2861" i="4"/>
  <c r="H2861" i="4" s="1"/>
  <c r="F2850" i="4"/>
  <c r="H2850" i="4" s="1"/>
  <c r="E2850" i="4"/>
  <c r="G2850" i="4" s="1"/>
  <c r="E2839" i="4"/>
  <c r="G2839" i="4" s="1"/>
  <c r="F2839" i="4"/>
  <c r="H2839" i="4" s="1"/>
  <c r="E2821" i="4"/>
  <c r="G2821" i="4" s="1"/>
  <c r="F2821" i="4"/>
  <c r="H2821" i="4" s="1"/>
  <c r="E2803" i="4"/>
  <c r="G2803" i="4" s="1"/>
  <c r="F2803" i="4"/>
  <c r="H2803" i="4" s="1"/>
  <c r="E2789" i="4"/>
  <c r="G2789" i="4" s="1"/>
  <c r="F2789" i="4"/>
  <c r="H2789" i="4" s="1"/>
  <c r="F2772" i="4"/>
  <c r="H2772" i="4" s="1"/>
  <c r="E2772" i="4"/>
  <c r="G2772" i="4" s="1"/>
  <c r="F2756" i="4"/>
  <c r="H2756" i="4" s="1"/>
  <c r="E2756" i="4"/>
  <c r="G2756" i="4" s="1"/>
  <c r="E2739" i="4"/>
  <c r="G2739" i="4" s="1"/>
  <c r="F2739" i="4"/>
  <c r="H2739" i="4" s="1"/>
  <c r="E2723" i="4"/>
  <c r="G2723" i="4" s="1"/>
  <c r="F2723" i="4"/>
  <c r="H2723" i="4" s="1"/>
  <c r="E2709" i="4"/>
  <c r="G2709" i="4" s="1"/>
  <c r="F2709" i="4"/>
  <c r="H2709" i="4" s="1"/>
  <c r="E2691" i="4"/>
  <c r="G2691" i="4" s="1"/>
  <c r="F2691" i="4"/>
  <c r="H2691" i="4" s="1"/>
  <c r="E2677" i="4"/>
  <c r="G2677" i="4" s="1"/>
  <c r="F2677" i="4"/>
  <c r="H2677" i="4" s="1"/>
  <c r="E2659" i="4"/>
  <c r="G2659" i="4" s="1"/>
  <c r="F2659" i="4"/>
  <c r="H2659" i="4" s="1"/>
  <c r="E2647" i="4"/>
  <c r="G2647" i="4" s="1"/>
  <c r="F2647" i="4"/>
  <c r="H2647" i="4" s="1"/>
  <c r="E2629" i="4"/>
  <c r="G2629" i="4" s="1"/>
  <c r="F2629" i="4"/>
  <c r="H2629" i="4" s="1"/>
  <c r="E2612" i="4"/>
  <c r="G2612" i="4" s="1"/>
  <c r="F2612" i="4"/>
  <c r="H2612" i="4" s="1"/>
  <c r="E2595" i="4"/>
  <c r="G2595" i="4" s="1"/>
  <c r="F2595" i="4"/>
  <c r="H2595" i="4" s="1"/>
  <c r="E2577" i="4"/>
  <c r="G2577" i="4" s="1"/>
  <c r="F2577" i="4"/>
  <c r="H2577" i="4" s="1"/>
  <c r="F3568" i="4"/>
  <c r="H3568" i="4" s="1"/>
  <c r="F3560" i="4"/>
  <c r="H3560" i="4" s="1"/>
  <c r="F3552" i="4"/>
  <c r="H3552" i="4" s="1"/>
  <c r="F3544" i="4"/>
  <c r="H3544" i="4" s="1"/>
  <c r="F3536" i="4"/>
  <c r="H3536" i="4" s="1"/>
  <c r="F3528" i="4"/>
  <c r="H3528" i="4" s="1"/>
  <c r="F3520" i="4"/>
  <c r="H3520" i="4" s="1"/>
  <c r="F3512" i="4"/>
  <c r="H3512" i="4" s="1"/>
  <c r="F3504" i="4"/>
  <c r="H3504" i="4" s="1"/>
  <c r="F3496" i="4"/>
  <c r="H3496" i="4" s="1"/>
  <c r="F3488" i="4"/>
  <c r="H3488" i="4" s="1"/>
  <c r="F3480" i="4"/>
  <c r="H3480" i="4" s="1"/>
  <c r="F3472" i="4"/>
  <c r="H3472" i="4" s="1"/>
  <c r="F3464" i="4"/>
  <c r="H3464" i="4" s="1"/>
  <c r="F3456" i="4"/>
  <c r="H3456" i="4" s="1"/>
  <c r="F3448" i="4"/>
  <c r="H3448" i="4" s="1"/>
  <c r="F3440" i="4"/>
  <c r="H3440" i="4" s="1"/>
  <c r="F3432" i="4"/>
  <c r="H3432" i="4" s="1"/>
  <c r="F3427" i="4"/>
  <c r="H3427" i="4" s="1"/>
  <c r="F3411" i="4"/>
  <c r="H3411" i="4" s="1"/>
  <c r="F3386" i="4"/>
  <c r="H3386" i="4" s="1"/>
  <c r="F3360" i="4"/>
  <c r="H3360" i="4" s="1"/>
  <c r="F3355" i="4"/>
  <c r="H3355" i="4" s="1"/>
  <c r="F3329" i="4"/>
  <c r="H3329" i="4" s="1"/>
  <c r="F3321" i="4"/>
  <c r="H3321" i="4" s="1"/>
  <c r="F3315" i="4"/>
  <c r="H3315" i="4" s="1"/>
  <c r="F3223" i="4"/>
  <c r="H3223" i="4" s="1"/>
  <c r="F3207" i="4"/>
  <c r="H3207" i="4" s="1"/>
  <c r="F3129" i="4"/>
  <c r="H3129" i="4" s="1"/>
  <c r="F3111" i="4"/>
  <c r="H3111" i="4" s="1"/>
  <c r="E3010" i="4"/>
  <c r="G3010" i="4" s="1"/>
  <c r="F2943" i="4"/>
  <c r="H2943" i="4" s="1"/>
  <c r="F2935" i="4"/>
  <c r="H2935" i="4" s="1"/>
  <c r="F2912" i="4"/>
  <c r="H2912" i="4" s="1"/>
  <c r="E2896" i="4"/>
  <c r="G2896" i="4" s="1"/>
  <c r="E2889" i="4"/>
  <c r="G2889" i="4" s="1"/>
  <c r="F2864" i="4"/>
  <c r="H2864" i="4" s="1"/>
  <c r="F2857" i="4"/>
  <c r="H2857" i="4" s="1"/>
  <c r="F2847" i="4"/>
  <c r="H2847" i="4" s="1"/>
  <c r="F2830" i="4"/>
  <c r="H2830" i="4" s="1"/>
  <c r="E2810" i="4"/>
  <c r="G2810" i="4" s="1"/>
  <c r="E2798" i="4"/>
  <c r="G2798" i="4" s="1"/>
  <c r="E2786" i="4"/>
  <c r="G2786" i="4" s="1"/>
  <c r="I2786" i="4" s="1"/>
  <c r="E2774" i="4"/>
  <c r="G2774" i="4" s="1"/>
  <c r="I2774" i="4" s="1"/>
  <c r="E2758" i="4"/>
  <c r="G2758" i="4" s="1"/>
  <c r="I2758" i="4" s="1"/>
  <c r="E2746" i="4"/>
  <c r="G2746" i="4" s="1"/>
  <c r="E2730" i="4"/>
  <c r="G2730" i="4" s="1"/>
  <c r="F2715" i="4"/>
  <c r="H2715" i="4" s="1"/>
  <c r="E2706" i="4"/>
  <c r="G2706" i="4" s="1"/>
  <c r="E2680" i="4"/>
  <c r="G2680" i="4" s="1"/>
  <c r="F2673" i="4"/>
  <c r="H2673" i="4" s="1"/>
  <c r="E2649" i="4"/>
  <c r="G2649" i="4" s="1"/>
  <c r="F2637" i="4"/>
  <c r="H2637" i="4" s="1"/>
  <c r="E2619" i="4"/>
  <c r="G2619" i="4" s="1"/>
  <c r="F2608" i="4"/>
  <c r="H2608" i="4" s="1"/>
  <c r="F2601" i="4"/>
  <c r="H2601" i="4" s="1"/>
  <c r="F2590" i="4"/>
  <c r="H2590" i="4" s="1"/>
  <c r="F3574" i="4"/>
  <c r="H3574" i="4" s="1"/>
  <c r="F3363" i="4"/>
  <c r="H3363" i="4" s="1"/>
  <c r="F3333" i="4"/>
  <c r="H3333" i="4" s="1"/>
  <c r="F3178" i="4"/>
  <c r="H3178" i="4" s="1"/>
  <c r="F3125" i="4"/>
  <c r="H3125" i="4" s="1"/>
  <c r="F3073" i="4"/>
  <c r="H3073" i="4" s="1"/>
  <c r="F3020" i="4"/>
  <c r="H3020" i="4" s="1"/>
  <c r="F2980" i="4"/>
  <c r="H2980" i="4" s="1"/>
  <c r="F2954" i="4"/>
  <c r="H2954" i="4" s="1"/>
  <c r="F2945" i="4"/>
  <c r="H2945" i="4" s="1"/>
  <c r="F2937" i="4"/>
  <c r="H2937" i="4" s="1"/>
  <c r="F2928" i="4"/>
  <c r="H2928" i="4" s="1"/>
  <c r="E2898" i="4"/>
  <c r="G2898" i="4" s="1"/>
  <c r="F2854" i="4"/>
  <c r="H2854" i="4" s="1"/>
  <c r="E2788" i="4"/>
  <c r="G2788" i="4" s="1"/>
  <c r="F2771" i="4"/>
  <c r="H2771" i="4" s="1"/>
  <c r="E2732" i="4"/>
  <c r="G2732" i="4" s="1"/>
  <c r="I2732" i="4" s="1"/>
  <c r="F2669" i="4"/>
  <c r="H2669" i="4" s="1"/>
  <c r="E2651" i="4"/>
  <c r="G2651" i="4" s="1"/>
  <c r="F2610" i="4"/>
  <c r="H2610" i="4" s="1"/>
  <c r="F2578" i="4"/>
  <c r="H2578" i="4" s="1"/>
  <c r="E2562" i="4"/>
  <c r="G2562" i="4" s="1"/>
  <c r="F2562" i="4"/>
  <c r="H2562" i="4" s="1"/>
  <c r="E2540" i="4"/>
  <c r="G2540" i="4" s="1"/>
  <c r="F2540" i="4"/>
  <c r="H2540" i="4" s="1"/>
  <c r="E2527" i="4"/>
  <c r="G2527" i="4" s="1"/>
  <c r="F2527" i="4"/>
  <c r="H2527" i="4" s="1"/>
  <c r="E2508" i="4"/>
  <c r="G2508" i="4" s="1"/>
  <c r="F2508" i="4"/>
  <c r="H2508" i="4" s="1"/>
  <c r="E2495" i="4"/>
  <c r="G2495" i="4" s="1"/>
  <c r="F2495" i="4"/>
  <c r="H2495" i="4" s="1"/>
  <c r="E2474" i="4"/>
  <c r="G2474" i="4" s="1"/>
  <c r="F2474" i="4"/>
  <c r="H2474" i="4" s="1"/>
  <c r="F2456" i="4"/>
  <c r="H2456" i="4" s="1"/>
  <c r="E2456" i="4"/>
  <c r="G2456" i="4" s="1"/>
  <c r="E3377" i="4"/>
  <c r="G3377" i="4" s="1"/>
  <c r="E3325" i="4"/>
  <c r="G3325" i="4" s="1"/>
  <c r="E3233" i="4"/>
  <c r="G3233" i="4" s="1"/>
  <c r="I3233" i="4" s="1"/>
  <c r="E3139" i="4"/>
  <c r="G3139" i="4" s="1"/>
  <c r="F2820" i="4"/>
  <c r="H2820" i="4" s="1"/>
  <c r="F2794" i="4"/>
  <c r="H2794" i="4" s="1"/>
  <c r="E2755" i="4"/>
  <c r="G2755" i="4" s="1"/>
  <c r="F2708" i="4"/>
  <c r="H2708" i="4" s="1"/>
  <c r="F2670" i="4"/>
  <c r="H2670" i="4" s="1"/>
  <c r="E2634" i="4"/>
  <c r="G2634" i="4" s="1"/>
  <c r="E2564" i="4"/>
  <c r="G2564" i="4" s="1"/>
  <c r="F2564" i="4"/>
  <c r="H2564" i="4" s="1"/>
  <c r="E2547" i="4"/>
  <c r="G2547" i="4" s="1"/>
  <c r="F2547" i="4"/>
  <c r="H2547" i="4" s="1"/>
  <c r="E2535" i="4"/>
  <c r="G2535" i="4" s="1"/>
  <c r="F2535" i="4"/>
  <c r="H2535" i="4" s="1"/>
  <c r="E2516" i="4"/>
  <c r="G2516" i="4" s="1"/>
  <c r="F2516" i="4"/>
  <c r="H2516" i="4" s="1"/>
  <c r="E2503" i="4"/>
  <c r="G2503" i="4" s="1"/>
  <c r="F2503" i="4"/>
  <c r="H2503" i="4" s="1"/>
  <c r="E2484" i="4"/>
  <c r="G2484" i="4" s="1"/>
  <c r="F2484" i="4"/>
  <c r="H2484" i="4" s="1"/>
  <c r="E2470" i="4"/>
  <c r="G2470" i="4" s="1"/>
  <c r="F2470" i="4"/>
  <c r="H2470" i="4" s="1"/>
  <c r="E2452" i="4"/>
  <c r="G2452" i="4" s="1"/>
  <c r="F2452" i="4"/>
  <c r="H2452" i="4" s="1"/>
  <c r="E2438" i="4"/>
  <c r="G2438" i="4" s="1"/>
  <c r="F2438" i="4"/>
  <c r="H2438" i="4" s="1"/>
  <c r="E2420" i="4"/>
  <c r="G2420" i="4" s="1"/>
  <c r="F2420" i="4"/>
  <c r="H2420" i="4" s="1"/>
  <c r="E2406" i="4"/>
  <c r="G2406" i="4" s="1"/>
  <c r="F2406" i="4"/>
  <c r="H2406" i="4" s="1"/>
  <c r="E2388" i="4"/>
  <c r="G2388" i="4" s="1"/>
  <c r="F2388" i="4"/>
  <c r="H2388" i="4" s="1"/>
  <c r="E2374" i="4"/>
  <c r="G2374" i="4" s="1"/>
  <c r="F2374" i="4"/>
  <c r="H2374" i="4" s="1"/>
  <c r="E3326" i="4"/>
  <c r="G3326" i="4" s="1"/>
  <c r="E3197" i="4"/>
  <c r="G3197" i="4" s="1"/>
  <c r="E3043" i="4"/>
  <c r="G3043" i="4" s="1"/>
  <c r="F3014" i="4"/>
  <c r="H3014" i="4" s="1"/>
  <c r="F2974" i="4"/>
  <c r="H2974" i="4" s="1"/>
  <c r="E2909" i="4"/>
  <c r="G2909" i="4" s="1"/>
  <c r="F2860" i="4"/>
  <c r="H2860" i="4" s="1"/>
  <c r="F2826" i="4"/>
  <c r="H2826" i="4" s="1"/>
  <c r="E2765" i="4"/>
  <c r="G2765" i="4" s="1"/>
  <c r="E2622" i="4"/>
  <c r="G2622" i="4" s="1"/>
  <c r="I2622" i="4" s="1"/>
  <c r="E2586" i="4"/>
  <c r="G2586" i="4" s="1"/>
  <c r="E2575" i="4"/>
  <c r="G2575" i="4" s="1"/>
  <c r="I2575" i="4" s="1"/>
  <c r="E2560" i="4"/>
  <c r="G2560" i="4" s="1"/>
  <c r="F2560" i="4"/>
  <c r="H2560" i="4" s="1"/>
  <c r="E2542" i="4"/>
  <c r="G2542" i="4" s="1"/>
  <c r="F2542" i="4"/>
  <c r="H2542" i="4" s="1"/>
  <c r="E2524" i="4"/>
  <c r="G2524" i="4" s="1"/>
  <c r="F2524" i="4"/>
  <c r="H2524" i="4" s="1"/>
  <c r="E2505" i="4"/>
  <c r="G2505" i="4" s="1"/>
  <c r="F2498" i="4"/>
  <c r="H2498" i="4" s="1"/>
  <c r="E2481" i="4"/>
  <c r="G2481" i="4" s="1"/>
  <c r="I2481" i="4" s="1"/>
  <c r="F2472" i="4"/>
  <c r="H2472" i="4" s="1"/>
  <c r="E2435" i="4"/>
  <c r="G2435" i="4" s="1"/>
  <c r="E2426" i="4"/>
  <c r="G2426" i="4" s="1"/>
  <c r="E2417" i="4"/>
  <c r="G2417" i="4" s="1"/>
  <c r="E2403" i="4"/>
  <c r="G2403" i="4" s="1"/>
  <c r="E2385" i="4"/>
  <c r="G2385" i="4" s="1"/>
  <c r="F2814" i="4"/>
  <c r="H2814" i="4" s="1"/>
  <c r="E2572" i="4"/>
  <c r="G2572" i="4" s="1"/>
  <c r="E2538" i="4"/>
  <c r="G2538" i="4" s="1"/>
  <c r="E2494" i="4"/>
  <c r="G2494" i="4" s="1"/>
  <c r="I2494" i="4" s="1"/>
  <c r="F2464" i="4"/>
  <c r="H2464" i="4" s="1"/>
  <c r="E2418" i="4"/>
  <c r="G2418" i="4" s="1"/>
  <c r="E2400" i="4"/>
  <c r="G2400" i="4" s="1"/>
  <c r="F3287" i="4"/>
  <c r="H3287" i="4" s="1"/>
  <c r="E2866" i="4"/>
  <c r="G2866" i="4" s="1"/>
  <c r="F2837" i="4"/>
  <c r="H2837" i="4" s="1"/>
  <c r="F2827" i="4"/>
  <c r="H2827" i="4" s="1"/>
  <c r="F2646" i="4"/>
  <c r="H2646" i="4" s="1"/>
  <c r="F2526" i="4"/>
  <c r="H2526" i="4" s="1"/>
  <c r="F2482" i="4"/>
  <c r="H2482" i="4" s="1"/>
  <c r="F2473" i="4"/>
  <c r="H2473" i="4" s="1"/>
  <c r="F2427" i="4"/>
  <c r="H2427" i="4" s="1"/>
  <c r="F2419" i="4"/>
  <c r="H2419" i="4" s="1"/>
  <c r="F2401" i="4"/>
  <c r="H2401" i="4" s="1"/>
  <c r="F2927" i="4"/>
  <c r="H2927" i="4" s="1"/>
  <c r="E2549" i="4"/>
  <c r="G2549" i="4" s="1"/>
  <c r="F2500" i="4"/>
  <c r="H2500" i="4" s="1"/>
  <c r="F2445" i="4"/>
  <c r="H2445" i="4" s="1"/>
  <c r="F2436" i="4"/>
  <c r="H2436" i="4" s="1"/>
  <c r="F2428" i="4"/>
  <c r="H2428" i="4" s="1"/>
  <c r="F2390" i="4"/>
  <c r="H2390" i="4" s="1"/>
  <c r="F2381" i="4"/>
  <c r="H2381" i="4" s="1"/>
  <c r="E2372" i="4"/>
  <c r="G2372" i="4" s="1"/>
  <c r="F3198" i="4"/>
  <c r="H3198" i="4" s="1"/>
  <c r="F2532" i="4"/>
  <c r="H2532" i="4" s="1"/>
  <c r="F3044" i="4"/>
  <c r="H3044" i="4" s="1"/>
  <c r="E2996" i="4"/>
  <c r="G2996" i="4" s="1"/>
  <c r="F2892" i="4"/>
  <c r="H2892" i="4" s="1"/>
  <c r="E2550" i="4"/>
  <c r="G2550" i="4" s="1"/>
  <c r="I2550" i="4" s="1"/>
  <c r="E2493" i="4"/>
  <c r="G2493" i="4" s="1"/>
  <c r="I2493" i="4" s="1"/>
  <c r="E2391" i="4"/>
  <c r="G2391" i="4" s="1"/>
  <c r="E3133" i="4"/>
  <c r="G3133" i="4" s="1"/>
  <c r="E2959" i="4"/>
  <c r="G2959" i="4" s="1"/>
  <c r="F2959" i="4"/>
  <c r="H2959" i="4" s="1"/>
  <c r="E2940" i="4"/>
  <c r="G2940" i="4" s="1"/>
  <c r="F2940" i="4"/>
  <c r="H2940" i="4" s="1"/>
  <c r="E2925" i="4"/>
  <c r="G2925" i="4" s="1"/>
  <c r="F2925" i="4"/>
  <c r="H2925" i="4" s="1"/>
  <c r="F2908" i="4"/>
  <c r="H2908" i="4" s="1"/>
  <c r="E2908" i="4"/>
  <c r="G2908" i="4" s="1"/>
  <c r="E2891" i="4"/>
  <c r="G2891" i="4" s="1"/>
  <c r="F2891" i="4"/>
  <c r="H2891" i="4" s="1"/>
  <c r="E2877" i="4"/>
  <c r="G2877" i="4" s="1"/>
  <c r="F2877" i="4"/>
  <c r="H2877" i="4" s="1"/>
  <c r="E2859" i="4"/>
  <c r="G2859" i="4" s="1"/>
  <c r="F2859" i="4"/>
  <c r="H2859" i="4" s="1"/>
  <c r="E2843" i="4"/>
  <c r="G2843" i="4" s="1"/>
  <c r="F2843" i="4"/>
  <c r="H2843" i="4" s="1"/>
  <c r="E2825" i="4"/>
  <c r="G2825" i="4" s="1"/>
  <c r="F2825" i="4"/>
  <c r="H2825" i="4" s="1"/>
  <c r="F2806" i="4"/>
  <c r="H2806" i="4" s="1"/>
  <c r="E2806" i="4"/>
  <c r="G2806" i="4" s="1"/>
  <c r="E2793" i="4"/>
  <c r="G2793" i="4" s="1"/>
  <c r="F2793" i="4"/>
  <c r="H2793" i="4" s="1"/>
  <c r="F2776" i="4"/>
  <c r="H2776" i="4" s="1"/>
  <c r="E2776" i="4"/>
  <c r="G2776" i="4" s="1"/>
  <c r="F2760" i="4"/>
  <c r="H2760" i="4" s="1"/>
  <c r="E2760" i="4"/>
  <c r="G2760" i="4" s="1"/>
  <c r="F2742" i="4"/>
  <c r="H2742" i="4" s="1"/>
  <c r="E2742" i="4"/>
  <c r="G2742" i="4" s="1"/>
  <c r="F2726" i="4"/>
  <c r="H2726" i="4" s="1"/>
  <c r="E2726" i="4"/>
  <c r="G2726" i="4" s="1"/>
  <c r="F2712" i="4"/>
  <c r="H2712" i="4" s="1"/>
  <c r="E2712" i="4"/>
  <c r="G2712" i="4" s="1"/>
  <c r="F2698" i="4"/>
  <c r="H2698" i="4" s="1"/>
  <c r="E2698" i="4"/>
  <c r="G2698" i="4" s="1"/>
  <c r="E2687" i="4"/>
  <c r="G2687" i="4" s="1"/>
  <c r="F2687" i="4"/>
  <c r="H2687" i="4" s="1"/>
  <c r="F2668" i="4"/>
  <c r="H2668" i="4" s="1"/>
  <c r="E2668" i="4"/>
  <c r="G2668" i="4" s="1"/>
  <c r="E2655" i="4"/>
  <c r="G2655" i="4" s="1"/>
  <c r="F2655" i="4"/>
  <c r="H2655" i="4" s="1"/>
  <c r="F2633" i="4"/>
  <c r="H2633" i="4" s="1"/>
  <c r="E2633" i="4"/>
  <c r="G2633" i="4" s="1"/>
  <c r="E2615" i="4"/>
  <c r="G2615" i="4" s="1"/>
  <c r="F2615" i="4"/>
  <c r="H2615" i="4" s="1"/>
  <c r="E2598" i="4"/>
  <c r="G2598" i="4" s="1"/>
  <c r="F2598" i="4"/>
  <c r="H2598" i="4" s="1"/>
  <c r="E2585" i="4"/>
  <c r="G2585" i="4" s="1"/>
  <c r="F2585" i="4"/>
  <c r="H2585" i="4" s="1"/>
  <c r="E3559" i="4"/>
  <c r="G3559" i="4" s="1"/>
  <c r="F3559" i="4"/>
  <c r="H3559" i="4" s="1"/>
  <c r="E3543" i="4"/>
  <c r="G3543" i="4" s="1"/>
  <c r="F3543" i="4"/>
  <c r="H3543" i="4" s="1"/>
  <c r="E3527" i="4"/>
  <c r="G3527" i="4" s="1"/>
  <c r="F3527" i="4"/>
  <c r="H3527" i="4" s="1"/>
  <c r="E3511" i="4"/>
  <c r="G3511" i="4" s="1"/>
  <c r="F3511" i="4"/>
  <c r="H3511" i="4" s="1"/>
  <c r="E3495" i="4"/>
  <c r="G3495" i="4" s="1"/>
  <c r="F3495" i="4"/>
  <c r="H3495" i="4" s="1"/>
  <c r="E3479" i="4"/>
  <c r="G3479" i="4" s="1"/>
  <c r="F3479" i="4"/>
  <c r="H3479" i="4" s="1"/>
  <c r="E3463" i="4"/>
  <c r="G3463" i="4" s="1"/>
  <c r="F3463" i="4"/>
  <c r="H3463" i="4" s="1"/>
  <c r="E3447" i="4"/>
  <c r="G3447" i="4" s="1"/>
  <c r="F3447" i="4"/>
  <c r="H3447" i="4" s="1"/>
  <c r="E3431" i="4"/>
  <c r="G3431" i="4" s="1"/>
  <c r="F3431" i="4"/>
  <c r="H3431" i="4" s="1"/>
  <c r="E3417" i="4"/>
  <c r="G3417" i="4" s="1"/>
  <c r="F3417" i="4"/>
  <c r="H3417" i="4" s="1"/>
  <c r="E3397" i="4"/>
  <c r="G3397" i="4" s="1"/>
  <c r="F3397" i="4"/>
  <c r="H3397" i="4" s="1"/>
  <c r="E3379" i="4"/>
  <c r="G3379" i="4" s="1"/>
  <c r="F3379" i="4"/>
  <c r="H3379" i="4" s="1"/>
  <c r="E3359" i="4"/>
  <c r="G3359" i="4" s="1"/>
  <c r="F3359" i="4"/>
  <c r="H3359" i="4" s="1"/>
  <c r="E3345" i="4"/>
  <c r="G3345" i="4" s="1"/>
  <c r="F3345" i="4"/>
  <c r="H3345" i="4" s="1"/>
  <c r="E3328" i="4"/>
  <c r="G3328" i="4" s="1"/>
  <c r="F3328" i="4"/>
  <c r="H3328" i="4" s="1"/>
  <c r="E3314" i="4"/>
  <c r="G3314" i="4" s="1"/>
  <c r="F3314" i="4"/>
  <c r="H3314" i="4" s="1"/>
  <c r="E3301" i="4"/>
  <c r="G3301" i="4" s="1"/>
  <c r="F3301" i="4"/>
  <c r="H3301" i="4" s="1"/>
  <c r="E3282" i="4"/>
  <c r="G3282" i="4" s="1"/>
  <c r="F3282" i="4"/>
  <c r="H3282" i="4" s="1"/>
  <c r="E3265" i="4"/>
  <c r="G3265" i="4" s="1"/>
  <c r="F3265" i="4"/>
  <c r="H3265" i="4" s="1"/>
  <c r="E3244" i="4"/>
  <c r="G3244" i="4" s="1"/>
  <c r="F3244" i="4"/>
  <c r="H3244" i="4" s="1"/>
  <c r="E3228" i="4"/>
  <c r="G3228" i="4" s="1"/>
  <c r="F3228" i="4"/>
  <c r="H3228" i="4" s="1"/>
  <c r="E3213" i="4"/>
  <c r="G3213" i="4" s="1"/>
  <c r="F3213" i="4"/>
  <c r="H3213" i="4" s="1"/>
  <c r="E3194" i="4"/>
  <c r="G3194" i="4" s="1"/>
  <c r="F3194" i="4"/>
  <c r="H3194" i="4" s="1"/>
  <c r="E3179" i="4"/>
  <c r="G3179" i="4" s="1"/>
  <c r="F3179" i="4"/>
  <c r="H3179" i="4" s="1"/>
  <c r="E3163" i="4"/>
  <c r="G3163" i="4" s="1"/>
  <c r="F3163" i="4"/>
  <c r="H3163" i="4" s="1"/>
  <c r="E3147" i="4"/>
  <c r="G3147" i="4" s="1"/>
  <c r="F3147" i="4"/>
  <c r="H3147" i="4" s="1"/>
  <c r="E3128" i="4"/>
  <c r="G3128" i="4" s="1"/>
  <c r="F3128" i="4"/>
  <c r="H3128" i="4" s="1"/>
  <c r="E3115" i="4"/>
  <c r="G3115" i="4" s="1"/>
  <c r="F3115" i="4"/>
  <c r="H3115" i="4" s="1"/>
  <c r="E3103" i="4"/>
  <c r="G3103" i="4" s="1"/>
  <c r="F3103" i="4"/>
  <c r="H3103" i="4" s="1"/>
  <c r="E3091" i="4"/>
  <c r="G3091" i="4" s="1"/>
  <c r="F3091" i="4"/>
  <c r="H3091" i="4" s="1"/>
  <c r="E3075" i="4"/>
  <c r="G3075" i="4" s="1"/>
  <c r="F3075" i="4"/>
  <c r="H3075" i="4" s="1"/>
  <c r="E3059" i="4"/>
  <c r="G3059" i="4" s="1"/>
  <c r="F3059" i="4"/>
  <c r="H3059" i="4" s="1"/>
  <c r="E3040" i="4"/>
  <c r="G3040" i="4" s="1"/>
  <c r="F3040" i="4"/>
  <c r="H3040" i="4" s="1"/>
  <c r="E3026" i="4"/>
  <c r="G3026" i="4" s="1"/>
  <c r="F3026" i="4"/>
  <c r="H3026" i="4" s="1"/>
  <c r="E3009" i="4"/>
  <c r="G3009" i="4" s="1"/>
  <c r="F3009" i="4"/>
  <c r="H3009" i="4" s="1"/>
  <c r="E2993" i="4"/>
  <c r="G2993" i="4" s="1"/>
  <c r="F2993" i="4"/>
  <c r="H2993" i="4" s="1"/>
  <c r="E2976" i="4"/>
  <c r="G2976" i="4" s="1"/>
  <c r="F2976" i="4"/>
  <c r="H2976" i="4" s="1"/>
  <c r="E2962" i="4"/>
  <c r="G2962" i="4" s="1"/>
  <c r="F2962" i="4"/>
  <c r="H2962" i="4" s="1"/>
  <c r="E2942" i="4"/>
  <c r="G2942" i="4" s="1"/>
  <c r="F2942" i="4"/>
  <c r="H2942" i="4" s="1"/>
  <c r="E2923" i="4"/>
  <c r="G2923" i="4" s="1"/>
  <c r="F2923" i="4"/>
  <c r="H2923" i="4" s="1"/>
  <c r="F2905" i="4"/>
  <c r="H2905" i="4" s="1"/>
  <c r="E2905" i="4"/>
  <c r="G2905" i="4" s="1"/>
  <c r="F2888" i="4"/>
  <c r="H2888" i="4" s="1"/>
  <c r="E2888" i="4"/>
  <c r="G2888" i="4" s="1"/>
  <c r="F2874" i="4"/>
  <c r="H2874" i="4" s="1"/>
  <c r="E2874" i="4"/>
  <c r="G2874" i="4" s="1"/>
  <c r="E2856" i="4"/>
  <c r="G2856" i="4" s="1"/>
  <c r="F2856" i="4"/>
  <c r="H2856" i="4" s="1"/>
  <c r="E2846" i="4"/>
  <c r="G2846" i="4" s="1"/>
  <c r="F2846" i="4"/>
  <c r="H2846" i="4" s="1"/>
  <c r="E2833" i="4"/>
  <c r="G2833" i="4" s="1"/>
  <c r="F2833" i="4"/>
  <c r="H2833" i="4" s="1"/>
  <c r="F2816" i="4"/>
  <c r="H2816" i="4" s="1"/>
  <c r="E2816" i="4"/>
  <c r="G2816" i="4" s="1"/>
  <c r="F2802" i="4"/>
  <c r="H2802" i="4" s="1"/>
  <c r="E2802" i="4"/>
  <c r="G2802" i="4" s="1"/>
  <c r="E2785" i="4"/>
  <c r="G2785" i="4" s="1"/>
  <c r="F2785" i="4"/>
  <c r="H2785" i="4" s="1"/>
  <c r="F2768" i="4"/>
  <c r="H2768" i="4" s="1"/>
  <c r="E2768" i="4"/>
  <c r="G2768" i="4" s="1"/>
  <c r="F2752" i="4"/>
  <c r="H2752" i="4" s="1"/>
  <c r="E2752" i="4"/>
  <c r="G2752" i="4" s="1"/>
  <c r="F2734" i="4"/>
  <c r="H2734" i="4" s="1"/>
  <c r="E2734" i="4"/>
  <c r="G2734" i="4" s="1"/>
  <c r="F2718" i="4"/>
  <c r="H2718" i="4" s="1"/>
  <c r="E2718" i="4"/>
  <c r="G2718" i="4" s="1"/>
  <c r="E2705" i="4"/>
  <c r="G2705" i="4" s="1"/>
  <c r="F2705" i="4"/>
  <c r="H2705" i="4" s="1"/>
  <c r="F2690" i="4"/>
  <c r="H2690" i="4" s="1"/>
  <c r="E2690" i="4"/>
  <c r="G2690" i="4" s="1"/>
  <c r="F2672" i="4"/>
  <c r="H2672" i="4" s="1"/>
  <c r="E2672" i="4"/>
  <c r="G2672" i="4" s="1"/>
  <c r="E2658" i="4"/>
  <c r="G2658" i="4" s="1"/>
  <c r="F2658" i="4"/>
  <c r="H2658" i="4" s="1"/>
  <c r="F2641" i="4"/>
  <c r="H2641" i="4" s="1"/>
  <c r="E2641" i="4"/>
  <c r="G2641" i="4" s="1"/>
  <c r="E2624" i="4"/>
  <c r="G2624" i="4" s="1"/>
  <c r="F2624" i="4"/>
  <c r="H2624" i="4" s="1"/>
  <c r="E2606" i="4"/>
  <c r="G2606" i="4" s="1"/>
  <c r="F2606" i="4"/>
  <c r="H2606" i="4" s="1"/>
  <c r="E2594" i="4"/>
  <c r="G2594" i="4" s="1"/>
  <c r="F2594" i="4"/>
  <c r="H2594" i="4" s="1"/>
  <c r="E2571" i="4"/>
  <c r="G2571" i="4" s="1"/>
  <c r="F2571" i="4"/>
  <c r="H2571" i="4" s="1"/>
  <c r="E3560" i="4"/>
  <c r="G3560" i="4" s="1"/>
  <c r="E3544" i="4"/>
  <c r="G3544" i="4" s="1"/>
  <c r="E3528" i="4"/>
  <c r="G3528" i="4" s="1"/>
  <c r="E3512" i="4"/>
  <c r="G3512" i="4" s="1"/>
  <c r="E3496" i="4"/>
  <c r="G3496" i="4" s="1"/>
  <c r="E3480" i="4"/>
  <c r="G3480" i="4" s="1"/>
  <c r="E3464" i="4"/>
  <c r="G3464" i="4" s="1"/>
  <c r="E3448" i="4"/>
  <c r="G3448" i="4" s="1"/>
  <c r="E3432" i="4"/>
  <c r="G3432" i="4" s="1"/>
  <c r="E3427" i="4"/>
  <c r="G3427" i="4" s="1"/>
  <c r="E3411" i="4"/>
  <c r="G3411" i="4" s="1"/>
  <c r="E3392" i="4"/>
  <c r="G3392" i="4" s="1"/>
  <c r="E3360" i="4"/>
  <c r="G3360" i="4" s="1"/>
  <c r="E3355" i="4"/>
  <c r="G3355" i="4" s="1"/>
  <c r="E3329" i="4"/>
  <c r="G3329" i="4" s="1"/>
  <c r="E3315" i="4"/>
  <c r="G3315" i="4" s="1"/>
  <c r="E3223" i="4"/>
  <c r="G3223" i="4" s="1"/>
  <c r="E3207" i="4"/>
  <c r="G3207" i="4" s="1"/>
  <c r="E3129" i="4"/>
  <c r="G3129" i="4" s="1"/>
  <c r="E3111" i="4"/>
  <c r="G3111" i="4" s="1"/>
  <c r="F3010" i="4"/>
  <c r="H3010" i="4" s="1"/>
  <c r="E2957" i="4"/>
  <c r="G2957" i="4" s="1"/>
  <c r="E2943" i="4"/>
  <c r="G2943" i="4" s="1"/>
  <c r="E2912" i="4"/>
  <c r="G2912" i="4" s="1"/>
  <c r="F2906" i="4"/>
  <c r="H2906" i="4" s="1"/>
  <c r="F2896" i="4"/>
  <c r="H2896" i="4" s="1"/>
  <c r="E2864" i="4"/>
  <c r="G2864" i="4" s="1"/>
  <c r="E2847" i="4"/>
  <c r="G2847" i="4" s="1"/>
  <c r="I2847" i="4" s="1"/>
  <c r="E2830" i="4"/>
  <c r="G2830" i="4" s="1"/>
  <c r="I2830" i="4" s="1"/>
  <c r="E2824" i="4"/>
  <c r="G2824" i="4" s="1"/>
  <c r="I2824" i="4" s="1"/>
  <c r="F2810" i="4"/>
  <c r="H2810" i="4" s="1"/>
  <c r="F2798" i="4"/>
  <c r="H2798" i="4" s="1"/>
  <c r="F2792" i="4"/>
  <c r="H2792" i="4" s="1"/>
  <c r="F2746" i="4"/>
  <c r="H2746" i="4" s="1"/>
  <c r="F2730" i="4"/>
  <c r="H2730" i="4" s="1"/>
  <c r="E2715" i="4"/>
  <c r="G2715" i="4" s="1"/>
  <c r="E2697" i="4"/>
  <c r="G2697" i="4" s="1"/>
  <c r="F2686" i="4"/>
  <c r="H2686" i="4" s="1"/>
  <c r="E2673" i="4"/>
  <c r="G2673" i="4" s="1"/>
  <c r="F2666" i="4"/>
  <c r="H2666" i="4" s="1"/>
  <c r="E2654" i="4"/>
  <c r="G2654" i="4" s="1"/>
  <c r="I2654" i="4" s="1"/>
  <c r="E2637" i="4"/>
  <c r="G2637" i="4" s="1"/>
  <c r="I2637" i="4" s="1"/>
  <c r="E2631" i="4"/>
  <c r="G2631" i="4" s="1"/>
  <c r="F2619" i="4"/>
  <c r="H2619" i="4" s="1"/>
  <c r="E2614" i="4"/>
  <c r="G2614" i="4" s="1"/>
  <c r="E2601" i="4"/>
  <c r="G2601" i="4" s="1"/>
  <c r="E2590" i="4"/>
  <c r="G2590" i="4" s="1"/>
  <c r="E3574" i="4"/>
  <c r="G3574" i="4" s="1"/>
  <c r="E3558" i="4"/>
  <c r="G3558" i="4" s="1"/>
  <c r="E3542" i="4"/>
  <c r="G3542" i="4" s="1"/>
  <c r="E3526" i="4"/>
  <c r="G3526" i="4" s="1"/>
  <c r="E3510" i="4"/>
  <c r="G3510" i="4" s="1"/>
  <c r="E3494" i="4"/>
  <c r="G3494" i="4" s="1"/>
  <c r="E3478" i="4"/>
  <c r="G3478" i="4" s="1"/>
  <c r="E3462" i="4"/>
  <c r="G3462" i="4" s="1"/>
  <c r="E3446" i="4"/>
  <c r="G3446" i="4" s="1"/>
  <c r="E3430" i="4"/>
  <c r="G3430" i="4" s="1"/>
  <c r="E3363" i="4"/>
  <c r="G3363" i="4" s="1"/>
  <c r="E3333" i="4"/>
  <c r="G3333" i="4" s="1"/>
  <c r="E3227" i="4"/>
  <c r="G3227" i="4" s="1"/>
  <c r="E3178" i="4"/>
  <c r="G3178" i="4" s="1"/>
  <c r="E3146" i="4"/>
  <c r="G3146" i="4" s="1"/>
  <c r="E3125" i="4"/>
  <c r="G3125" i="4" s="1"/>
  <c r="I3125" i="4" s="1"/>
  <c r="E3073" i="4"/>
  <c r="G3073" i="4" s="1"/>
  <c r="I3073" i="4" s="1"/>
  <c r="E2980" i="4"/>
  <c r="G2980" i="4" s="1"/>
  <c r="E2954" i="4"/>
  <c r="G2954" i="4" s="1"/>
  <c r="E2945" i="4"/>
  <c r="G2945" i="4" s="1"/>
  <c r="E2928" i="4"/>
  <c r="G2928" i="4" s="1"/>
  <c r="F2788" i="4"/>
  <c r="H2788" i="4" s="1"/>
  <c r="E2771" i="4"/>
  <c r="G2771" i="4" s="1"/>
  <c r="I2771" i="4" s="1"/>
  <c r="E2610" i="4"/>
  <c r="G2610" i="4" s="1"/>
  <c r="E2584" i="4"/>
  <c r="G2584" i="4" s="1"/>
  <c r="E2556" i="4"/>
  <c r="G2556" i="4" s="1"/>
  <c r="F2556" i="4"/>
  <c r="H2556" i="4" s="1"/>
  <c r="E2534" i="4"/>
  <c r="G2534" i="4" s="1"/>
  <c r="F2534" i="4"/>
  <c r="H2534" i="4" s="1"/>
  <c r="E2521" i="4"/>
  <c r="G2521" i="4" s="1"/>
  <c r="F2521" i="4"/>
  <c r="H2521" i="4" s="1"/>
  <c r="E2502" i="4"/>
  <c r="G2502" i="4" s="1"/>
  <c r="F2502" i="4"/>
  <c r="H2502" i="4" s="1"/>
  <c r="E2489" i="4"/>
  <c r="G2489" i="4" s="1"/>
  <c r="F2489" i="4"/>
  <c r="H2489" i="4" s="1"/>
  <c r="E2469" i="4"/>
  <c r="G2469" i="4" s="1"/>
  <c r="F2469" i="4"/>
  <c r="H2469" i="4" s="1"/>
  <c r="E2455" i="4"/>
  <c r="G2455" i="4" s="1"/>
  <c r="F2455" i="4"/>
  <c r="H2455" i="4" s="1"/>
  <c r="F3395" i="4"/>
  <c r="H3395" i="4" s="1"/>
  <c r="F3364" i="4"/>
  <c r="H3364" i="4" s="1"/>
  <c r="F3268" i="4"/>
  <c r="H3268" i="4" s="1"/>
  <c r="F3161" i="4"/>
  <c r="H3161" i="4" s="1"/>
  <c r="F3013" i="4"/>
  <c r="H3013" i="4" s="1"/>
  <c r="F2903" i="4"/>
  <c r="H2903" i="4" s="1"/>
  <c r="F2873" i="4"/>
  <c r="H2873" i="4" s="1"/>
  <c r="E2738" i="4"/>
  <c r="G2738" i="4" s="1"/>
  <c r="E2704" i="4"/>
  <c r="G2704" i="4" s="1"/>
  <c r="E2657" i="4"/>
  <c r="G2657" i="4" s="1"/>
  <c r="F2611" i="4"/>
  <c r="H2611" i="4" s="1"/>
  <c r="E2558" i="4"/>
  <c r="G2558" i="4" s="1"/>
  <c r="F2558" i="4"/>
  <c r="H2558" i="4" s="1"/>
  <c r="E2546" i="4"/>
  <c r="G2546" i="4" s="1"/>
  <c r="F2546" i="4"/>
  <c r="H2546" i="4" s="1"/>
  <c r="E2529" i="4"/>
  <c r="G2529" i="4" s="1"/>
  <c r="F2529" i="4"/>
  <c r="H2529" i="4" s="1"/>
  <c r="E2510" i="4"/>
  <c r="G2510" i="4" s="1"/>
  <c r="F2510" i="4"/>
  <c r="H2510" i="4" s="1"/>
  <c r="E2497" i="4"/>
  <c r="G2497" i="4" s="1"/>
  <c r="F2497" i="4"/>
  <c r="H2497" i="4" s="1"/>
  <c r="F2480" i="4"/>
  <c r="H2480" i="4" s="1"/>
  <c r="E2480" i="4"/>
  <c r="G2480" i="4" s="1"/>
  <c r="F2466" i="4"/>
  <c r="H2466" i="4" s="1"/>
  <c r="E2466" i="4"/>
  <c r="G2466" i="4" s="1"/>
  <c r="E2448" i="4"/>
  <c r="G2448" i="4" s="1"/>
  <c r="F2448" i="4"/>
  <c r="H2448" i="4" s="1"/>
  <c r="E2434" i="4"/>
  <c r="G2434" i="4" s="1"/>
  <c r="F2434" i="4"/>
  <c r="H2434" i="4" s="1"/>
  <c r="E2416" i="4"/>
  <c r="G2416" i="4" s="1"/>
  <c r="F2416" i="4"/>
  <c r="H2416" i="4" s="1"/>
  <c r="E2402" i="4"/>
  <c r="G2402" i="4" s="1"/>
  <c r="F2402" i="4"/>
  <c r="H2402" i="4" s="1"/>
  <c r="E2384" i="4"/>
  <c r="G2384" i="4" s="1"/>
  <c r="F2384" i="4"/>
  <c r="H2384" i="4" s="1"/>
  <c r="F3396" i="4"/>
  <c r="H3396" i="4" s="1"/>
  <c r="F3343" i="4"/>
  <c r="H3343" i="4" s="1"/>
  <c r="F3299" i="4"/>
  <c r="H3299" i="4" s="1"/>
  <c r="F3234" i="4"/>
  <c r="H3234" i="4" s="1"/>
  <c r="F3211" i="4"/>
  <c r="H3211" i="4" s="1"/>
  <c r="F3119" i="4"/>
  <c r="H3119" i="4" s="1"/>
  <c r="F3089" i="4"/>
  <c r="H3089" i="4" s="1"/>
  <c r="F3057" i="4"/>
  <c r="H3057" i="4" s="1"/>
  <c r="F3031" i="4"/>
  <c r="H3031" i="4" s="1"/>
  <c r="F2991" i="4"/>
  <c r="H2991" i="4" s="1"/>
  <c r="F2961" i="4"/>
  <c r="H2961" i="4" s="1"/>
  <c r="E2904" i="4"/>
  <c r="G2904" i="4" s="1"/>
  <c r="E2722" i="4"/>
  <c r="G2722" i="4" s="1"/>
  <c r="F2645" i="4"/>
  <c r="H2645" i="4" s="1"/>
  <c r="F2576" i="4"/>
  <c r="H2576" i="4" s="1"/>
  <c r="E2570" i="4"/>
  <c r="G2570" i="4" s="1"/>
  <c r="F2570" i="4"/>
  <c r="H2570" i="4" s="1"/>
  <c r="E2559" i="4"/>
  <c r="G2559" i="4" s="1"/>
  <c r="F2559" i="4"/>
  <c r="H2559" i="4" s="1"/>
  <c r="E2537" i="4"/>
  <c r="G2537" i="4" s="1"/>
  <c r="F2537" i="4"/>
  <c r="H2537" i="4" s="1"/>
  <c r="E2518" i="4"/>
  <c r="G2518" i="4" s="1"/>
  <c r="F2518" i="4"/>
  <c r="H2518" i="4" s="1"/>
  <c r="F2499" i="4"/>
  <c r="H2499" i="4" s="1"/>
  <c r="F2492" i="4"/>
  <c r="H2492" i="4" s="1"/>
  <c r="F2485" i="4"/>
  <c r="H2485" i="4" s="1"/>
  <c r="F2471" i="4"/>
  <c r="H2471" i="4" s="1"/>
  <c r="F2462" i="4"/>
  <c r="H2462" i="4" s="1"/>
  <c r="F2453" i="4"/>
  <c r="H2453" i="4" s="1"/>
  <c r="F2444" i="4"/>
  <c r="H2444" i="4" s="1"/>
  <c r="F2430" i="4"/>
  <c r="H2430" i="4" s="1"/>
  <c r="F2412" i="4"/>
  <c r="H2412" i="4" s="1"/>
  <c r="F2398" i="4"/>
  <c r="H2398" i="4" s="1"/>
  <c r="F2380" i="4"/>
  <c r="H2380" i="4" s="1"/>
  <c r="F3249" i="4"/>
  <c r="H3249" i="4" s="1"/>
  <c r="F3090" i="4"/>
  <c r="H3090" i="4" s="1"/>
  <c r="F2555" i="4"/>
  <c r="H2555" i="4" s="1"/>
  <c r="F2525" i="4"/>
  <c r="H2525" i="4" s="1"/>
  <c r="F2507" i="4"/>
  <c r="H2507" i="4" s="1"/>
  <c r="F2468" i="4"/>
  <c r="H2468" i="4" s="1"/>
  <c r="F2404" i="4"/>
  <c r="H2404" i="4" s="1"/>
  <c r="E2396" i="4"/>
  <c r="G2396" i="4" s="1"/>
  <c r="F2396" i="4"/>
  <c r="H2396" i="4" s="1"/>
  <c r="E3287" i="4"/>
  <c r="G3287" i="4" s="1"/>
  <c r="E2837" i="4"/>
  <c r="G2837" i="4" s="1"/>
  <c r="I2837" i="4" s="1"/>
  <c r="E2646" i="4"/>
  <c r="G2646" i="4" s="1"/>
  <c r="E2526" i="4"/>
  <c r="G2526" i="4" s="1"/>
  <c r="E2473" i="4"/>
  <c r="G2473" i="4" s="1"/>
  <c r="E2427" i="4"/>
  <c r="G2427" i="4" s="1"/>
  <c r="E2419" i="4"/>
  <c r="G2419" i="4" s="1"/>
  <c r="E2401" i="4"/>
  <c r="G2401" i="4" s="1"/>
  <c r="E3177" i="4"/>
  <c r="G3177" i="4" s="1"/>
  <c r="I3177" i="4" s="1"/>
  <c r="E2927" i="4"/>
  <c r="G2927" i="4" s="1"/>
  <c r="E2454" i="4"/>
  <c r="G2454" i="4" s="1"/>
  <c r="E2436" i="4"/>
  <c r="G2436" i="4" s="1"/>
  <c r="E2381" i="4"/>
  <c r="G2381" i="4" s="1"/>
  <c r="F2372" i="4"/>
  <c r="H2372" i="4" s="1"/>
  <c r="E3198" i="4"/>
  <c r="G3198" i="4" s="1"/>
  <c r="E2433" i="4"/>
  <c r="G2433" i="4" s="1"/>
  <c r="I2433" i="4" s="1"/>
  <c r="F2373" i="4"/>
  <c r="H2373" i="4" s="1"/>
  <c r="F3032" i="4"/>
  <c r="H3032" i="4" s="1"/>
  <c r="F2992" i="4"/>
  <c r="H2992" i="4" s="1"/>
  <c r="F2554" i="4"/>
  <c r="H2554" i="4" s="1"/>
  <c r="F2506" i="4"/>
  <c r="H2506" i="4" s="1"/>
  <c r="E2488" i="4"/>
  <c r="G2488" i="4" s="1"/>
  <c r="F2395" i="4"/>
  <c r="H2395" i="4" s="1"/>
  <c r="F2387" i="4"/>
  <c r="H2387" i="4" s="1"/>
  <c r="F3145" i="4"/>
  <c r="H3145" i="4" s="1"/>
  <c r="E2676" i="4"/>
  <c r="G2676" i="4" s="1"/>
  <c r="F2519" i="4"/>
  <c r="H2519" i="4" s="1"/>
  <c r="E2936" i="4"/>
  <c r="G2936" i="4" s="1"/>
  <c r="F2936" i="4"/>
  <c r="H2936" i="4" s="1"/>
  <c r="E2920" i="4"/>
  <c r="G2920" i="4" s="1"/>
  <c r="F2920" i="4"/>
  <c r="H2920" i="4" s="1"/>
  <c r="F2902" i="4"/>
  <c r="H2902" i="4" s="1"/>
  <c r="E2902" i="4"/>
  <c r="G2902" i="4" s="1"/>
  <c r="F2890" i="4"/>
  <c r="H2890" i="4" s="1"/>
  <c r="E2890" i="4"/>
  <c r="G2890" i="4" s="1"/>
  <c r="E2872" i="4"/>
  <c r="G2872" i="4" s="1"/>
  <c r="F2872" i="4"/>
  <c r="H2872" i="4" s="1"/>
  <c r="F2858" i="4"/>
  <c r="H2858" i="4" s="1"/>
  <c r="E2858" i="4"/>
  <c r="G2858" i="4" s="1"/>
  <c r="F2842" i="4"/>
  <c r="H2842" i="4" s="1"/>
  <c r="E2842" i="4"/>
  <c r="G2842" i="4" s="1"/>
  <c r="E2819" i="4"/>
  <c r="G2819" i="4" s="1"/>
  <c r="F2819" i="4"/>
  <c r="H2819" i="4" s="1"/>
  <c r="E2805" i="4"/>
  <c r="G2805" i="4" s="1"/>
  <c r="F2805" i="4"/>
  <c r="H2805" i="4" s="1"/>
  <c r="E2787" i="4"/>
  <c r="G2787" i="4" s="1"/>
  <c r="F2787" i="4"/>
  <c r="H2787" i="4" s="1"/>
  <c r="E2775" i="4"/>
  <c r="G2775" i="4" s="1"/>
  <c r="F2775" i="4"/>
  <c r="H2775" i="4" s="1"/>
  <c r="E2759" i="4"/>
  <c r="G2759" i="4" s="1"/>
  <c r="F2759" i="4"/>
  <c r="H2759" i="4" s="1"/>
  <c r="E2741" i="4"/>
  <c r="G2741" i="4" s="1"/>
  <c r="F2741" i="4"/>
  <c r="H2741" i="4" s="1"/>
  <c r="E2725" i="4"/>
  <c r="G2725" i="4" s="1"/>
  <c r="F2725" i="4"/>
  <c r="H2725" i="4" s="1"/>
  <c r="E2707" i="4"/>
  <c r="G2707" i="4" s="1"/>
  <c r="F2707" i="4"/>
  <c r="H2707" i="4" s="1"/>
  <c r="F2694" i="4"/>
  <c r="H2694" i="4" s="1"/>
  <c r="E2694" i="4"/>
  <c r="G2694" i="4" s="1"/>
  <c r="E2681" i="4"/>
  <c r="G2681" i="4" s="1"/>
  <c r="F2681" i="4"/>
  <c r="H2681" i="4" s="1"/>
  <c r="F2662" i="4"/>
  <c r="H2662" i="4" s="1"/>
  <c r="E2662" i="4"/>
  <c r="G2662" i="4" s="1"/>
  <c r="E2650" i="4"/>
  <c r="G2650" i="4" s="1"/>
  <c r="F2650" i="4"/>
  <c r="H2650" i="4" s="1"/>
  <c r="E2627" i="4"/>
  <c r="G2627" i="4" s="1"/>
  <c r="F2627" i="4"/>
  <c r="H2627" i="4" s="1"/>
  <c r="E2609" i="4"/>
  <c r="G2609" i="4" s="1"/>
  <c r="F2609" i="4"/>
  <c r="H2609" i="4" s="1"/>
  <c r="F2597" i="4"/>
  <c r="H2597" i="4" s="1"/>
  <c r="E2597" i="4"/>
  <c r="G2597" i="4" s="1"/>
  <c r="E2580" i="4"/>
  <c r="G2580" i="4" s="1"/>
  <c r="F2580" i="4"/>
  <c r="H2580" i="4" s="1"/>
  <c r="E3571" i="4"/>
  <c r="G3571" i="4" s="1"/>
  <c r="F3571" i="4"/>
  <c r="H3571" i="4" s="1"/>
  <c r="E3555" i="4"/>
  <c r="G3555" i="4" s="1"/>
  <c r="F3555" i="4"/>
  <c r="H3555" i="4" s="1"/>
  <c r="E3539" i="4"/>
  <c r="G3539" i="4" s="1"/>
  <c r="F3539" i="4"/>
  <c r="H3539" i="4" s="1"/>
  <c r="E3523" i="4"/>
  <c r="G3523" i="4" s="1"/>
  <c r="F3523" i="4"/>
  <c r="H3523" i="4" s="1"/>
  <c r="E3507" i="4"/>
  <c r="G3507" i="4" s="1"/>
  <c r="F3507" i="4"/>
  <c r="H3507" i="4" s="1"/>
  <c r="E3491" i="4"/>
  <c r="G3491" i="4" s="1"/>
  <c r="F3491" i="4"/>
  <c r="H3491" i="4" s="1"/>
  <c r="E3475" i="4"/>
  <c r="G3475" i="4" s="1"/>
  <c r="F3475" i="4"/>
  <c r="H3475" i="4" s="1"/>
  <c r="E3459" i="4"/>
  <c r="G3459" i="4" s="1"/>
  <c r="F3459" i="4"/>
  <c r="H3459" i="4" s="1"/>
  <c r="E3443" i="4"/>
  <c r="G3443" i="4" s="1"/>
  <c r="F3443" i="4"/>
  <c r="H3443" i="4" s="1"/>
  <c r="E3426" i="4"/>
  <c r="G3426" i="4" s="1"/>
  <c r="F3426" i="4"/>
  <c r="H3426" i="4" s="1"/>
  <c r="E3410" i="4"/>
  <c r="G3410" i="4" s="1"/>
  <c r="F3410" i="4"/>
  <c r="H3410" i="4" s="1"/>
  <c r="E3390" i="4"/>
  <c r="G3390" i="4" s="1"/>
  <c r="F3390" i="4"/>
  <c r="H3390" i="4" s="1"/>
  <c r="E3372" i="4"/>
  <c r="G3372" i="4" s="1"/>
  <c r="F3372" i="4"/>
  <c r="H3372" i="4" s="1"/>
  <c r="E3354" i="4"/>
  <c r="G3354" i="4" s="1"/>
  <c r="F3354" i="4"/>
  <c r="H3354" i="4" s="1"/>
  <c r="E3340" i="4"/>
  <c r="G3340" i="4" s="1"/>
  <c r="F3340" i="4"/>
  <c r="H3340" i="4" s="1"/>
  <c r="E3327" i="4"/>
  <c r="G3327" i="4" s="1"/>
  <c r="F3327" i="4"/>
  <c r="H3327" i="4" s="1"/>
  <c r="E3313" i="4"/>
  <c r="G3313" i="4" s="1"/>
  <c r="F3313" i="4"/>
  <c r="H3313" i="4" s="1"/>
  <c r="E3296" i="4"/>
  <c r="G3296" i="4" s="1"/>
  <c r="F3296" i="4"/>
  <c r="H3296" i="4" s="1"/>
  <c r="E3277" i="4"/>
  <c r="G3277" i="4" s="1"/>
  <c r="F3277" i="4"/>
  <c r="H3277" i="4" s="1"/>
  <c r="E3261" i="4"/>
  <c r="G3261" i="4" s="1"/>
  <c r="F3261" i="4"/>
  <c r="H3261" i="4" s="1"/>
  <c r="E3243" i="4"/>
  <c r="G3243" i="4" s="1"/>
  <c r="F3243" i="4"/>
  <c r="H3243" i="4" s="1"/>
  <c r="E3222" i="4"/>
  <c r="G3222" i="4" s="1"/>
  <c r="F3222" i="4"/>
  <c r="H3222" i="4" s="1"/>
  <c r="E3206" i="4"/>
  <c r="G3206" i="4" s="1"/>
  <c r="F3206" i="4"/>
  <c r="H3206" i="4" s="1"/>
  <c r="E3193" i="4"/>
  <c r="G3193" i="4" s="1"/>
  <c r="F3193" i="4"/>
  <c r="H3193" i="4" s="1"/>
  <c r="E3172" i="4"/>
  <c r="G3172" i="4" s="1"/>
  <c r="F3172" i="4"/>
  <c r="H3172" i="4" s="1"/>
  <c r="E3156" i="4"/>
  <c r="G3156" i="4" s="1"/>
  <c r="F3156" i="4"/>
  <c r="H3156" i="4" s="1"/>
  <c r="E3141" i="4"/>
  <c r="G3141" i="4" s="1"/>
  <c r="F3141" i="4"/>
  <c r="H3141" i="4" s="1"/>
  <c r="E3127" i="4"/>
  <c r="G3127" i="4" s="1"/>
  <c r="F3127" i="4"/>
  <c r="H3127" i="4" s="1"/>
  <c r="E3110" i="4"/>
  <c r="G3110" i="4" s="1"/>
  <c r="F3110" i="4"/>
  <c r="H3110" i="4" s="1"/>
  <c r="E3098" i="4"/>
  <c r="G3098" i="4" s="1"/>
  <c r="F3098" i="4"/>
  <c r="H3098" i="4" s="1"/>
  <c r="E3084" i="4"/>
  <c r="G3084" i="4" s="1"/>
  <c r="F3084" i="4"/>
  <c r="H3084" i="4" s="1"/>
  <c r="F3068" i="4"/>
  <c r="H3068" i="4" s="1"/>
  <c r="E3068" i="4"/>
  <c r="G3068" i="4" s="1"/>
  <c r="F3052" i="4"/>
  <c r="H3052" i="4" s="1"/>
  <c r="E3052" i="4"/>
  <c r="G3052" i="4" s="1"/>
  <c r="E3039" i="4"/>
  <c r="G3039" i="4" s="1"/>
  <c r="F3039" i="4"/>
  <c r="H3039" i="4" s="1"/>
  <c r="E3021" i="4"/>
  <c r="G3021" i="4" s="1"/>
  <c r="F3021" i="4"/>
  <c r="H3021" i="4" s="1"/>
  <c r="E3004" i="4"/>
  <c r="G3004" i="4" s="1"/>
  <c r="F3004" i="4"/>
  <c r="H3004" i="4" s="1"/>
  <c r="E2987" i="4"/>
  <c r="G2987" i="4" s="1"/>
  <c r="F2987" i="4"/>
  <c r="H2987" i="4" s="1"/>
  <c r="E2975" i="4"/>
  <c r="G2975" i="4" s="1"/>
  <c r="F2975" i="4"/>
  <c r="H2975" i="4" s="1"/>
  <c r="E2956" i="4"/>
  <c r="G2956" i="4" s="1"/>
  <c r="F2956" i="4"/>
  <c r="H2956" i="4" s="1"/>
  <c r="E2938" i="4"/>
  <c r="G2938" i="4" s="1"/>
  <c r="F2938" i="4"/>
  <c r="H2938" i="4" s="1"/>
  <c r="E2922" i="4"/>
  <c r="G2922" i="4" s="1"/>
  <c r="F2922" i="4"/>
  <c r="H2922" i="4" s="1"/>
  <c r="E2899" i="4"/>
  <c r="G2899" i="4" s="1"/>
  <c r="F2899" i="4"/>
  <c r="H2899" i="4" s="1"/>
  <c r="E2887" i="4"/>
  <c r="G2887" i="4" s="1"/>
  <c r="F2887" i="4"/>
  <c r="H2887" i="4" s="1"/>
  <c r="E2868" i="4"/>
  <c r="G2868" i="4" s="1"/>
  <c r="F2868" i="4"/>
  <c r="H2868" i="4" s="1"/>
  <c r="E2855" i="4"/>
  <c r="G2855" i="4" s="1"/>
  <c r="F2855" i="4"/>
  <c r="H2855" i="4" s="1"/>
  <c r="E2845" i="4"/>
  <c r="G2845" i="4" s="1"/>
  <c r="F2845" i="4"/>
  <c r="H2845" i="4" s="1"/>
  <c r="F2828" i="4"/>
  <c r="H2828" i="4" s="1"/>
  <c r="E2828" i="4"/>
  <c r="G2828" i="4" s="1"/>
  <c r="E2815" i="4"/>
  <c r="G2815" i="4" s="1"/>
  <c r="F2815" i="4"/>
  <c r="H2815" i="4" s="1"/>
  <c r="F2796" i="4"/>
  <c r="H2796" i="4" s="1"/>
  <c r="E2796" i="4"/>
  <c r="G2796" i="4" s="1"/>
  <c r="E2779" i="4"/>
  <c r="G2779" i="4" s="1"/>
  <c r="F2779" i="4"/>
  <c r="H2779" i="4" s="1"/>
  <c r="E2767" i="4"/>
  <c r="G2767" i="4" s="1"/>
  <c r="F2767" i="4"/>
  <c r="H2767" i="4" s="1"/>
  <c r="E2751" i="4"/>
  <c r="G2751" i="4" s="1"/>
  <c r="F2751" i="4"/>
  <c r="H2751" i="4" s="1"/>
  <c r="E2733" i="4"/>
  <c r="G2733" i="4" s="1"/>
  <c r="F2733" i="4"/>
  <c r="H2733" i="4" s="1"/>
  <c r="F2714" i="4"/>
  <c r="H2714" i="4" s="1"/>
  <c r="E2714" i="4"/>
  <c r="G2714" i="4" s="1"/>
  <c r="E2701" i="4"/>
  <c r="G2701" i="4" s="1"/>
  <c r="F2701" i="4"/>
  <c r="H2701" i="4" s="1"/>
  <c r="F2684" i="4"/>
  <c r="H2684" i="4" s="1"/>
  <c r="E2684" i="4"/>
  <c r="G2684" i="4" s="1"/>
  <c r="E2671" i="4"/>
  <c r="G2671" i="4" s="1"/>
  <c r="F2671" i="4"/>
  <c r="H2671" i="4" s="1"/>
  <c r="E2652" i="4"/>
  <c r="G2652" i="4" s="1"/>
  <c r="F2652" i="4"/>
  <c r="H2652" i="4" s="1"/>
  <c r="E2636" i="4"/>
  <c r="G2636" i="4" s="1"/>
  <c r="F2636" i="4"/>
  <c r="H2636" i="4" s="1"/>
  <c r="E2623" i="4"/>
  <c r="G2623" i="4" s="1"/>
  <c r="F2623" i="4"/>
  <c r="H2623" i="4" s="1"/>
  <c r="F2605" i="4"/>
  <c r="H2605" i="4" s="1"/>
  <c r="E2605" i="4"/>
  <c r="G2605" i="4" s="1"/>
  <c r="E2588" i="4"/>
  <c r="G2588" i="4" s="1"/>
  <c r="F2588" i="4"/>
  <c r="H2588" i="4" s="1"/>
  <c r="F3556" i="4"/>
  <c r="H3556" i="4" s="1"/>
  <c r="F3540" i="4"/>
  <c r="H3540" i="4" s="1"/>
  <c r="F3524" i="4"/>
  <c r="H3524" i="4" s="1"/>
  <c r="F3508" i="4"/>
  <c r="H3508" i="4" s="1"/>
  <c r="F3492" i="4"/>
  <c r="H3492" i="4" s="1"/>
  <c r="F3476" i="4"/>
  <c r="H3476" i="4" s="1"/>
  <c r="F3460" i="4"/>
  <c r="H3460" i="4" s="1"/>
  <c r="F3444" i="4"/>
  <c r="H3444" i="4" s="1"/>
  <c r="F3428" i="4"/>
  <c r="H3428" i="4" s="1"/>
  <c r="F3412" i="4"/>
  <c r="H3412" i="4" s="1"/>
  <c r="F3391" i="4"/>
  <c r="H3391" i="4" s="1"/>
  <c r="F3385" i="4"/>
  <c r="H3385" i="4" s="1"/>
  <c r="F3356" i="4"/>
  <c r="H3356" i="4" s="1"/>
  <c r="F3341" i="4"/>
  <c r="H3341" i="4" s="1"/>
  <c r="F3330" i="4"/>
  <c r="H3330" i="4" s="1"/>
  <c r="F3322" i="4"/>
  <c r="H3322" i="4" s="1"/>
  <c r="F3316" i="4"/>
  <c r="H3316" i="4" s="1"/>
  <c r="F3224" i="4"/>
  <c r="H3224" i="4" s="1"/>
  <c r="F3208" i="4"/>
  <c r="H3208" i="4" s="1"/>
  <c r="F3130" i="4"/>
  <c r="H3130" i="4" s="1"/>
  <c r="F3112" i="4"/>
  <c r="H3112" i="4" s="1"/>
  <c r="F3041" i="4"/>
  <c r="H3041" i="4" s="1"/>
  <c r="F3011" i="4"/>
  <c r="H3011" i="4" s="1"/>
  <c r="F2977" i="4"/>
  <c r="H2977" i="4" s="1"/>
  <c r="F2958" i="4"/>
  <c r="H2958" i="4" s="1"/>
  <c r="F2939" i="4"/>
  <c r="H2939" i="4" s="1"/>
  <c r="F2924" i="4"/>
  <c r="H2924" i="4" s="1"/>
  <c r="F2907" i="4"/>
  <c r="H2907" i="4" s="1"/>
  <c r="F2895" i="4"/>
  <c r="H2895" i="4" s="1"/>
  <c r="F2876" i="4"/>
  <c r="H2876" i="4" s="1"/>
  <c r="F2863" i="4"/>
  <c r="H2863" i="4" s="1"/>
  <c r="F2841" i="4"/>
  <c r="H2841" i="4" s="1"/>
  <c r="F2829" i="4"/>
  <c r="H2829" i="4" s="1"/>
  <c r="F2823" i="4"/>
  <c r="H2823" i="4" s="1"/>
  <c r="F2811" i="4"/>
  <c r="H2811" i="4" s="1"/>
  <c r="E2804" i="4"/>
  <c r="G2804" i="4" s="1"/>
  <c r="I2804" i="4" s="1"/>
  <c r="F2797" i="4"/>
  <c r="H2797" i="4" s="1"/>
  <c r="F2791" i="4"/>
  <c r="H2791" i="4" s="1"/>
  <c r="E2780" i="4"/>
  <c r="G2780" i="4" s="1"/>
  <c r="F2773" i="4"/>
  <c r="H2773" i="4" s="1"/>
  <c r="F2763" i="4"/>
  <c r="H2763" i="4" s="1"/>
  <c r="F2757" i="4"/>
  <c r="H2757" i="4" s="1"/>
  <c r="F2747" i="4"/>
  <c r="H2747" i="4" s="1"/>
  <c r="E2740" i="4"/>
  <c r="G2740" i="4" s="1"/>
  <c r="E2724" i="4"/>
  <c r="G2724" i="4" s="1"/>
  <c r="F2711" i="4"/>
  <c r="H2711" i="4" s="1"/>
  <c r="F2685" i="4"/>
  <c r="H2685" i="4" s="1"/>
  <c r="F2679" i="4"/>
  <c r="H2679" i="4" s="1"/>
  <c r="F2667" i="4"/>
  <c r="H2667" i="4" s="1"/>
  <c r="F2653" i="4"/>
  <c r="H2653" i="4" s="1"/>
  <c r="F2638" i="4"/>
  <c r="H2638" i="4" s="1"/>
  <c r="F2632" i="4"/>
  <c r="H2632" i="4" s="1"/>
  <c r="F2618" i="4"/>
  <c r="H2618" i="4" s="1"/>
  <c r="E2613" i="4"/>
  <c r="G2613" i="4" s="1"/>
  <c r="I2613" i="4" s="1"/>
  <c r="F2607" i="4"/>
  <c r="H2607" i="4" s="1"/>
  <c r="F2596" i="4"/>
  <c r="H2596" i="4" s="1"/>
  <c r="E2589" i="4"/>
  <c r="G2589" i="4" s="1"/>
  <c r="F3570" i="4"/>
  <c r="H3570" i="4" s="1"/>
  <c r="F3562" i="4"/>
  <c r="H3562" i="4" s="1"/>
  <c r="F3554" i="4"/>
  <c r="H3554" i="4" s="1"/>
  <c r="F3546" i="4"/>
  <c r="H3546" i="4" s="1"/>
  <c r="F3538" i="4"/>
  <c r="H3538" i="4" s="1"/>
  <c r="F3530" i="4"/>
  <c r="H3530" i="4" s="1"/>
  <c r="F3522" i="4"/>
  <c r="H3522" i="4" s="1"/>
  <c r="F3514" i="4"/>
  <c r="H3514" i="4" s="1"/>
  <c r="F3506" i="4"/>
  <c r="H3506" i="4" s="1"/>
  <c r="F3498" i="4"/>
  <c r="H3498" i="4" s="1"/>
  <c r="F3490" i="4"/>
  <c r="H3490" i="4" s="1"/>
  <c r="F3482" i="4"/>
  <c r="H3482" i="4" s="1"/>
  <c r="F3474" i="4"/>
  <c r="H3474" i="4" s="1"/>
  <c r="F3466" i="4"/>
  <c r="H3466" i="4" s="1"/>
  <c r="F3458" i="4"/>
  <c r="H3458" i="4" s="1"/>
  <c r="F3450" i="4"/>
  <c r="H3450" i="4" s="1"/>
  <c r="F3442" i="4"/>
  <c r="H3442" i="4" s="1"/>
  <c r="F3434" i="4"/>
  <c r="H3434" i="4" s="1"/>
  <c r="F3416" i="4"/>
  <c r="H3416" i="4" s="1"/>
  <c r="F3389" i="4"/>
  <c r="H3389" i="4" s="1"/>
  <c r="F3241" i="4"/>
  <c r="H3241" i="4" s="1"/>
  <c r="F3191" i="4"/>
  <c r="H3191" i="4" s="1"/>
  <c r="F3134" i="4"/>
  <c r="H3134" i="4" s="1"/>
  <c r="F3037" i="4"/>
  <c r="H3037" i="4" s="1"/>
  <c r="E3002" i="4"/>
  <c r="G3002" i="4" s="1"/>
  <c r="F2941" i="4"/>
  <c r="H2941" i="4" s="1"/>
  <c r="F2885" i="4"/>
  <c r="H2885" i="4" s="1"/>
  <c r="F2867" i="4"/>
  <c r="H2867" i="4" s="1"/>
  <c r="F2838" i="4"/>
  <c r="H2838" i="4" s="1"/>
  <c r="E2784" i="4"/>
  <c r="G2784" i="4" s="1"/>
  <c r="E2750" i="4"/>
  <c r="G2750" i="4" s="1"/>
  <c r="E2682" i="4"/>
  <c r="G2682" i="4" s="1"/>
  <c r="F2628" i="4"/>
  <c r="H2628" i="4" s="1"/>
  <c r="F2593" i="4"/>
  <c r="H2593" i="4" s="1"/>
  <c r="F2579" i="4"/>
  <c r="H2579" i="4" s="1"/>
  <c r="E2568" i="4"/>
  <c r="G2568" i="4" s="1"/>
  <c r="F2568" i="4"/>
  <c r="H2568" i="4" s="1"/>
  <c r="E2551" i="4"/>
  <c r="G2551" i="4" s="1"/>
  <c r="F2551" i="4"/>
  <c r="H2551" i="4" s="1"/>
  <c r="E2533" i="4"/>
  <c r="G2533" i="4" s="1"/>
  <c r="F2533" i="4"/>
  <c r="H2533" i="4" s="1"/>
  <c r="E2515" i="4"/>
  <c r="G2515" i="4" s="1"/>
  <c r="F2515" i="4"/>
  <c r="H2515" i="4" s="1"/>
  <c r="E2501" i="4"/>
  <c r="G2501" i="4" s="1"/>
  <c r="F2501" i="4"/>
  <c r="H2501" i="4" s="1"/>
  <c r="E2483" i="4"/>
  <c r="G2483" i="4" s="1"/>
  <c r="F2483" i="4"/>
  <c r="H2483" i="4" s="1"/>
  <c r="E2465" i="4"/>
  <c r="G2465" i="4" s="1"/>
  <c r="F2465" i="4"/>
  <c r="H2465" i="4" s="1"/>
  <c r="E2451" i="4"/>
  <c r="G2451" i="4" s="1"/>
  <c r="F2451" i="4"/>
  <c r="H2451" i="4" s="1"/>
  <c r="E3395" i="4"/>
  <c r="G3395" i="4" s="1"/>
  <c r="E3364" i="4"/>
  <c r="G3364" i="4" s="1"/>
  <c r="E3276" i="4"/>
  <c r="G3276" i="4" s="1"/>
  <c r="E3268" i="4"/>
  <c r="G3268" i="4" s="1"/>
  <c r="I3268" i="4" s="1"/>
  <c r="E3260" i="4"/>
  <c r="G3260" i="4" s="1"/>
  <c r="I3260" i="4" s="1"/>
  <c r="E3242" i="4"/>
  <c r="G3242" i="4" s="1"/>
  <c r="I3242" i="4" s="1"/>
  <c r="E3192" i="4"/>
  <c r="G3192" i="4" s="1"/>
  <c r="E3161" i="4"/>
  <c r="G3161" i="4" s="1"/>
  <c r="E3126" i="4"/>
  <c r="G3126" i="4" s="1"/>
  <c r="E3038" i="4"/>
  <c r="G3038" i="4" s="1"/>
  <c r="E3013" i="4"/>
  <c r="G3013" i="4" s="1"/>
  <c r="E3003" i="4"/>
  <c r="G3003" i="4" s="1"/>
  <c r="E2973" i="4"/>
  <c r="G2973" i="4" s="1"/>
  <c r="E2955" i="4"/>
  <c r="G2955" i="4" s="1"/>
  <c r="E2903" i="4"/>
  <c r="G2903" i="4" s="1"/>
  <c r="I2903" i="4" s="1"/>
  <c r="E2873" i="4"/>
  <c r="G2873" i="4" s="1"/>
  <c r="I2873" i="4" s="1"/>
  <c r="F2738" i="4"/>
  <c r="H2738" i="4" s="1"/>
  <c r="F2704" i="4"/>
  <c r="H2704" i="4" s="1"/>
  <c r="E2683" i="4"/>
  <c r="G2683" i="4" s="1"/>
  <c r="F2657" i="4"/>
  <c r="H2657" i="4" s="1"/>
  <c r="E2621" i="4"/>
  <c r="G2621" i="4" s="1"/>
  <c r="I2621" i="4" s="1"/>
  <c r="E2611" i="4"/>
  <c r="G2611" i="4" s="1"/>
  <c r="F2557" i="4"/>
  <c r="H2557" i="4" s="1"/>
  <c r="E2557" i="4"/>
  <c r="G2557" i="4" s="1"/>
  <c r="E2541" i="4"/>
  <c r="G2541" i="4" s="1"/>
  <c r="F2541" i="4"/>
  <c r="H2541" i="4" s="1"/>
  <c r="E2523" i="4"/>
  <c r="G2523" i="4" s="1"/>
  <c r="F2523" i="4"/>
  <c r="H2523" i="4" s="1"/>
  <c r="E2509" i="4"/>
  <c r="G2509" i="4" s="1"/>
  <c r="F2509" i="4"/>
  <c r="H2509" i="4" s="1"/>
  <c r="E2491" i="4"/>
  <c r="G2491" i="4" s="1"/>
  <c r="F2491" i="4"/>
  <c r="H2491" i="4" s="1"/>
  <c r="E2479" i="4"/>
  <c r="G2479" i="4" s="1"/>
  <c r="F2479" i="4"/>
  <c r="H2479" i="4" s="1"/>
  <c r="E2461" i="4"/>
  <c r="G2461" i="4" s="1"/>
  <c r="F2461" i="4"/>
  <c r="H2461" i="4" s="1"/>
  <c r="E2447" i="4"/>
  <c r="G2447" i="4" s="1"/>
  <c r="F2447" i="4"/>
  <c r="H2447" i="4" s="1"/>
  <c r="E2429" i="4"/>
  <c r="G2429" i="4" s="1"/>
  <c r="F2429" i="4"/>
  <c r="H2429" i="4" s="1"/>
  <c r="E2415" i="4"/>
  <c r="G2415" i="4" s="1"/>
  <c r="F2415" i="4"/>
  <c r="H2415" i="4" s="1"/>
  <c r="E2397" i="4"/>
  <c r="G2397" i="4" s="1"/>
  <c r="F2397" i="4"/>
  <c r="H2397" i="4" s="1"/>
  <c r="E2383" i="4"/>
  <c r="G2383" i="4" s="1"/>
  <c r="F2383" i="4"/>
  <c r="H2383" i="4" s="1"/>
  <c r="E3396" i="4"/>
  <c r="G3396" i="4" s="1"/>
  <c r="E3343" i="4"/>
  <c r="G3343" i="4" s="1"/>
  <c r="E3312" i="4"/>
  <c r="G3312" i="4" s="1"/>
  <c r="E3299" i="4"/>
  <c r="G3299" i="4" s="1"/>
  <c r="E3234" i="4"/>
  <c r="G3234" i="4" s="1"/>
  <c r="E3211" i="4"/>
  <c r="G3211" i="4" s="1"/>
  <c r="E3119" i="4"/>
  <c r="G3119" i="4" s="1"/>
  <c r="E3089" i="4"/>
  <c r="G3089" i="4" s="1"/>
  <c r="E3057" i="4"/>
  <c r="G3057" i="4" s="1"/>
  <c r="E3031" i="4"/>
  <c r="G3031" i="4" s="1"/>
  <c r="E2991" i="4"/>
  <c r="G2991" i="4" s="1"/>
  <c r="E2961" i="4"/>
  <c r="G2961" i="4" s="1"/>
  <c r="F2904" i="4"/>
  <c r="H2904" i="4" s="1"/>
  <c r="F2844" i="4"/>
  <c r="H2844" i="4" s="1"/>
  <c r="E2813" i="4"/>
  <c r="G2813" i="4" s="1"/>
  <c r="E2795" i="4"/>
  <c r="G2795" i="4" s="1"/>
  <c r="F2722" i="4"/>
  <c r="H2722" i="4" s="1"/>
  <c r="E2713" i="4"/>
  <c r="G2713" i="4" s="1"/>
  <c r="E2645" i="4"/>
  <c r="G2645" i="4" s="1"/>
  <c r="F2635" i="4"/>
  <c r="H2635" i="4" s="1"/>
  <c r="E2576" i="4"/>
  <c r="G2576" i="4" s="1"/>
  <c r="I2576" i="4" s="1"/>
  <c r="E2566" i="4"/>
  <c r="G2566" i="4" s="1"/>
  <c r="F2566" i="4"/>
  <c r="H2566" i="4" s="1"/>
  <c r="E2553" i="4"/>
  <c r="G2553" i="4" s="1"/>
  <c r="F2553" i="4"/>
  <c r="H2553" i="4" s="1"/>
  <c r="E2531" i="4"/>
  <c r="G2531" i="4" s="1"/>
  <c r="F2531" i="4"/>
  <c r="H2531" i="4" s="1"/>
  <c r="E2517" i="4"/>
  <c r="G2517" i="4" s="1"/>
  <c r="F2517" i="4"/>
  <c r="H2517" i="4" s="1"/>
  <c r="E2499" i="4"/>
  <c r="G2499" i="4" s="1"/>
  <c r="I2499" i="4" s="1"/>
  <c r="E2492" i="4"/>
  <c r="G2492" i="4" s="1"/>
  <c r="I2492" i="4" s="1"/>
  <c r="E2485" i="4"/>
  <c r="G2485" i="4" s="1"/>
  <c r="I2485" i="4" s="1"/>
  <c r="E2471" i="4"/>
  <c r="G2471" i="4" s="1"/>
  <c r="I2471" i="4" s="1"/>
  <c r="E2462" i="4"/>
  <c r="G2462" i="4" s="1"/>
  <c r="I2462" i="4" s="1"/>
  <c r="E2453" i="4"/>
  <c r="G2453" i="4" s="1"/>
  <c r="I2453" i="4" s="1"/>
  <c r="E2444" i="4"/>
  <c r="G2444" i="4" s="1"/>
  <c r="I2444" i="4" s="1"/>
  <c r="E2430" i="4"/>
  <c r="G2430" i="4" s="1"/>
  <c r="I2430" i="4" s="1"/>
  <c r="E2412" i="4"/>
  <c r="G2412" i="4" s="1"/>
  <c r="I2412" i="4" s="1"/>
  <c r="E2398" i="4"/>
  <c r="G2398" i="4" s="1"/>
  <c r="I2398" i="4" s="1"/>
  <c r="E2380" i="4"/>
  <c r="G2380" i="4" s="1"/>
  <c r="I2380" i="4" s="1"/>
  <c r="E3249" i="4"/>
  <c r="G3249" i="4" s="1"/>
  <c r="I3249" i="4" s="1"/>
  <c r="E3090" i="4"/>
  <c r="G3090" i="4" s="1"/>
  <c r="I3090" i="4" s="1"/>
  <c r="F2766" i="4"/>
  <c r="H2766" i="4" s="1"/>
  <c r="E2555" i="4"/>
  <c r="G2555" i="4" s="1"/>
  <c r="E2525" i="4"/>
  <c r="G2525" i="4" s="1"/>
  <c r="E2507" i="4"/>
  <c r="G2507" i="4" s="1"/>
  <c r="E2468" i="4"/>
  <c r="G2468" i="4" s="1"/>
  <c r="E2413" i="4"/>
  <c r="G2413" i="4" s="1"/>
  <c r="E2404" i="4"/>
  <c r="G2404" i="4" s="1"/>
  <c r="E2392" i="4"/>
  <c r="G2392" i="4" s="1"/>
  <c r="F2392" i="4"/>
  <c r="H2392" i="4" s="1"/>
  <c r="E3300" i="4"/>
  <c r="G3300" i="4" s="1"/>
  <c r="F3212" i="4"/>
  <c r="H3212" i="4" s="1"/>
  <c r="F3058" i="4"/>
  <c r="H3058" i="4" s="1"/>
  <c r="E2910" i="4"/>
  <c r="G2910" i="4" s="1"/>
  <c r="F2849" i="4"/>
  <c r="H2849" i="4" s="1"/>
  <c r="F2832" i="4"/>
  <c r="H2832" i="4" s="1"/>
  <c r="F2783" i="4"/>
  <c r="H2783" i="4" s="1"/>
  <c r="F2561" i="4"/>
  <c r="H2561" i="4" s="1"/>
  <c r="F2539" i="4"/>
  <c r="H2539" i="4" s="1"/>
  <c r="F2431" i="4"/>
  <c r="H2431" i="4" s="1"/>
  <c r="F2414" i="4"/>
  <c r="H2414" i="4" s="1"/>
  <c r="F2405" i="4"/>
  <c r="H2405" i="4" s="1"/>
  <c r="F3318" i="4"/>
  <c r="H3318" i="4" s="1"/>
  <c r="F3120" i="4"/>
  <c r="H3120" i="4" s="1"/>
  <c r="F2487" i="4"/>
  <c r="H2487" i="4" s="1"/>
  <c r="F2450" i="4"/>
  <c r="H2450" i="4" s="1"/>
  <c r="F2432" i="4"/>
  <c r="H2432" i="4" s="1"/>
  <c r="F2386" i="4"/>
  <c r="H2386" i="4" s="1"/>
  <c r="F3344" i="4"/>
  <c r="H3344" i="4" s="1"/>
  <c r="F2446" i="4"/>
  <c r="H2446" i="4" s="1"/>
  <c r="F2437" i="4"/>
  <c r="H2437" i="4" s="1"/>
  <c r="E2463" i="4"/>
  <c r="G2463" i="4" s="1"/>
  <c r="E2382" i="4"/>
  <c r="G2382" i="4" s="1"/>
  <c r="E2373" i="4"/>
  <c r="G2373" i="4" s="1"/>
  <c r="E3032" i="4"/>
  <c r="G3032" i="4" s="1"/>
  <c r="E2992" i="4"/>
  <c r="G2992" i="4" s="1"/>
  <c r="E2554" i="4"/>
  <c r="G2554" i="4" s="1"/>
  <c r="E2506" i="4"/>
  <c r="G2506" i="4" s="1"/>
  <c r="F2488" i="4"/>
  <c r="H2488" i="4" s="1"/>
  <c r="E2395" i="4"/>
  <c r="G2395" i="4" s="1"/>
  <c r="E2387" i="4"/>
  <c r="G2387" i="4" s="1"/>
  <c r="E3145" i="4"/>
  <c r="G3145" i="4" s="1"/>
  <c r="E2749" i="4"/>
  <c r="G2749" i="4" s="1"/>
  <c r="F2676" i="4"/>
  <c r="H2676" i="4" s="1"/>
  <c r="E2587" i="4"/>
  <c r="G2587" i="4" s="1"/>
  <c r="E2519" i="4"/>
  <c r="G2519" i="4" s="1"/>
  <c r="I3028" i="4" l="1"/>
  <c r="I2587" i="4"/>
  <c r="I2649" i="4"/>
  <c r="I2413" i="4"/>
  <c r="I2795" i="4"/>
  <c r="I2996" i="4"/>
  <c r="I3312" i="4"/>
  <c r="I3478" i="4"/>
  <c r="I3292" i="4"/>
  <c r="I2387" i="4"/>
  <c r="I2554" i="4"/>
  <c r="I2507" i="4"/>
  <c r="I2713" i="4"/>
  <c r="I2684" i="4"/>
  <c r="I2714" i="4"/>
  <c r="I3068" i="4"/>
  <c r="I2842" i="4"/>
  <c r="I2902" i="4"/>
  <c r="I3287" i="4"/>
  <c r="I2480" i="4"/>
  <c r="I3223" i="4"/>
  <c r="I2426" i="4"/>
  <c r="I3139" i="4"/>
  <c r="I2456" i="4"/>
  <c r="I2651" i="4"/>
  <c r="I2772" i="4"/>
  <c r="I3060" i="4"/>
  <c r="I2573" i="4"/>
  <c r="I2674" i="4"/>
  <c r="I2764" i="4"/>
  <c r="I2897" i="4"/>
  <c r="I2990" i="4"/>
  <c r="I2512" i="4"/>
  <c r="I2617" i="4"/>
  <c r="I2710" i="4"/>
  <c r="I2982" i="4"/>
  <c r="I2736" i="4"/>
  <c r="I2836" i="4"/>
  <c r="I3462" i="4"/>
  <c r="I2631" i="4"/>
  <c r="I2973" i="4"/>
  <c r="I2957" i="4"/>
  <c r="I2463" i="4"/>
  <c r="I3192" i="4"/>
  <c r="I3276" i="4"/>
  <c r="I2584" i="4"/>
  <c r="I2435" i="4"/>
  <c r="I3429" i="4"/>
  <c r="I2382" i="4"/>
  <c r="I3211" i="4"/>
  <c r="I3161" i="4"/>
  <c r="I2381" i="4"/>
  <c r="I2658" i="4"/>
  <c r="I2785" i="4"/>
  <c r="I2976" i="4"/>
  <c r="I3009" i="4"/>
  <c r="I3103" i="4"/>
  <c r="I2544" i="4"/>
  <c r="I3337" i="4"/>
  <c r="I2404" i="4"/>
  <c r="I2683" i="4"/>
  <c r="I2780" i="4"/>
  <c r="I2749" i="4"/>
  <c r="I3032" i="4"/>
  <c r="I3300" i="4"/>
  <c r="I2555" i="4"/>
  <c r="I2955" i="4"/>
  <c r="I3038" i="4"/>
  <c r="I3002" i="4"/>
  <c r="I2605" i="4"/>
  <c r="I2796" i="4"/>
  <c r="I2828" i="4"/>
  <c r="I3052" i="4"/>
  <c r="I2597" i="4"/>
  <c r="I2662" i="4"/>
  <c r="I2694" i="4"/>
  <c r="I2858" i="4"/>
  <c r="I2890" i="4"/>
  <c r="I2466" i="4"/>
  <c r="I2610" i="4"/>
  <c r="I2590" i="4"/>
  <c r="I2864" i="4"/>
  <c r="I3129" i="4"/>
  <c r="I2538" i="4"/>
  <c r="I2909" i="4"/>
  <c r="I2634" i="4"/>
  <c r="I3031" i="4"/>
  <c r="I3178" i="4"/>
  <c r="I2614" i="4"/>
  <c r="I2594" i="4"/>
  <c r="I2846" i="4"/>
  <c r="I2942" i="4"/>
  <c r="I3075" i="4"/>
  <c r="I2625" i="4"/>
  <c r="I3409" i="4"/>
  <c r="I2750" i="4"/>
  <c r="I2980" i="4"/>
  <c r="I2624" i="4"/>
  <c r="I3040" i="4"/>
  <c r="I3128" i="4"/>
  <c r="I2889" i="4"/>
  <c r="I3048" i="4"/>
  <c r="I2401" i="4"/>
  <c r="I2928" i="4"/>
  <c r="I3227" i="4"/>
  <c r="I2549" i="4"/>
  <c r="I2385" i="4"/>
  <c r="I2505" i="4"/>
  <c r="I2755" i="4"/>
  <c r="I2883" i="4"/>
  <c r="I2952" i="4"/>
  <c r="I3216" i="4"/>
  <c r="I2994" i="4"/>
  <c r="I3262" i="4"/>
  <c r="I2813" i="4"/>
  <c r="I3126" i="4"/>
  <c r="I2589" i="4"/>
  <c r="I2418" i="4"/>
  <c r="I2392" i="4"/>
  <c r="I2531" i="4"/>
  <c r="I2566" i="4"/>
  <c r="I3003" i="4"/>
  <c r="I2740" i="4"/>
  <c r="I2537" i="4"/>
  <c r="I2570" i="4"/>
  <c r="I2455" i="4"/>
  <c r="I2489" i="4"/>
  <c r="I2521" i="4"/>
  <c r="I2556" i="4"/>
  <c r="I3430" i="4"/>
  <c r="I2697" i="4"/>
  <c r="I3163" i="4"/>
  <c r="I3194" i="4"/>
  <c r="I3228" i="4"/>
  <c r="I3265" i="4"/>
  <c r="I3301" i="4"/>
  <c r="I2598" i="4"/>
  <c r="I2793" i="4"/>
  <c r="I2825" i="4"/>
  <c r="I2859" i="4"/>
  <c r="I2891" i="4"/>
  <c r="I2925" i="4"/>
  <c r="I2959" i="4"/>
  <c r="I2866" i="4"/>
  <c r="I3266" i="4"/>
  <c r="I3280" i="4"/>
  <c r="I3311" i="4"/>
  <c r="I2548" i="4"/>
  <c r="I2375" i="4"/>
  <c r="I2582" i="4"/>
  <c r="I2599" i="4"/>
  <c r="I2728" i="4"/>
  <c r="I2761" i="4"/>
  <c r="I2777" i="4"/>
  <c r="I2934" i="4"/>
  <c r="I3065" i="4"/>
  <c r="I3122" i="4"/>
  <c r="I3187" i="4"/>
  <c r="I3295" i="4"/>
  <c r="I3405" i="4"/>
  <c r="I2642" i="4"/>
  <c r="I2675" i="4"/>
  <c r="I2737" i="4"/>
  <c r="I2853" i="4"/>
  <c r="I2930" i="4"/>
  <c r="I2964" i="4"/>
  <c r="I2979" i="4"/>
  <c r="I3029" i="4"/>
  <c r="I3077" i="4"/>
  <c r="I3165" i="4"/>
  <c r="I3183" i="4"/>
  <c r="I2886" i="4"/>
  <c r="I2784" i="4"/>
  <c r="I3133" i="4"/>
  <c r="I2586" i="4"/>
  <c r="I3043" i="4"/>
  <c r="I2376" i="4"/>
  <c r="I2407" i="4"/>
  <c r="I3081" i="4"/>
  <c r="I2519" i="4"/>
  <c r="I2645" i="4"/>
  <c r="I2991" i="4"/>
  <c r="I3119" i="4"/>
  <c r="I2682" i="4"/>
  <c r="I2927" i="4"/>
  <c r="I2954" i="4"/>
  <c r="I2524" i="4"/>
  <c r="I2560" i="4"/>
  <c r="I2765" i="4"/>
  <c r="I2388" i="4"/>
  <c r="I2420" i="4"/>
  <c r="I2452" i="4"/>
  <c r="I2484" i="4"/>
  <c r="I2516" i="4"/>
  <c r="I2547" i="4"/>
  <c r="I2474" i="4"/>
  <c r="I2508" i="4"/>
  <c r="I2540" i="4"/>
  <c r="I2706" i="4"/>
  <c r="I2595" i="4"/>
  <c r="I2629" i="4"/>
  <c r="I2659" i="4"/>
  <c r="I2691" i="4"/>
  <c r="I2723" i="4"/>
  <c r="I2789" i="4"/>
  <c r="I2821" i="4"/>
  <c r="I2875" i="4"/>
  <c r="I2911" i="4"/>
  <c r="I2946" i="4"/>
  <c r="I2981" i="4"/>
  <c r="I3015" i="4"/>
  <c r="I3045" i="4"/>
  <c r="I3104" i="4"/>
  <c r="I3343" i="4"/>
  <c r="I2557" i="4"/>
  <c r="I2473" i="4"/>
  <c r="I2904" i="4"/>
  <c r="I3044" i="4"/>
  <c r="I2794" i="4"/>
  <c r="I2933" i="4"/>
  <c r="I3428" i="4"/>
  <c r="I3517" i="4"/>
  <c r="I2395" i="4"/>
  <c r="I2992" i="4"/>
  <c r="I2525" i="4"/>
  <c r="I3013" i="4"/>
  <c r="I2436" i="4"/>
  <c r="I2912" i="4"/>
  <c r="I3111" i="4"/>
  <c r="I3315" i="4"/>
  <c r="I2641" i="4"/>
  <c r="I2672" i="4"/>
  <c r="I2734" i="4"/>
  <c r="I2768" i="4"/>
  <c r="I2802" i="4"/>
  <c r="I2888" i="4"/>
  <c r="I2712" i="4"/>
  <c r="I2742" i="4"/>
  <c r="I2776" i="4"/>
  <c r="I2806" i="4"/>
  <c r="I2908" i="4"/>
  <c r="I2730" i="4"/>
  <c r="I2896" i="4"/>
  <c r="I3186" i="4"/>
  <c r="I2757" i="4"/>
  <c r="I3041" i="4"/>
  <c r="I2530" i="4"/>
  <c r="I2565" i="4"/>
  <c r="I3135" i="4"/>
  <c r="I3164" i="4"/>
  <c r="I3199" i="4"/>
  <c r="I3235" i="4"/>
  <c r="I3269" i="4"/>
  <c r="I3302" i="4"/>
  <c r="I2591" i="4"/>
  <c r="I2620" i="4"/>
  <c r="I2656" i="4"/>
  <c r="I2781" i="4"/>
  <c r="I2848" i="4"/>
  <c r="I2878" i="4"/>
  <c r="I2913" i="4"/>
  <c r="I2944" i="4"/>
  <c r="I3012" i="4"/>
  <c r="I3042" i="4"/>
  <c r="I3072" i="4"/>
  <c r="I3113" i="4"/>
  <c r="I3144" i="4"/>
  <c r="I3176" i="4"/>
  <c r="I3209" i="4"/>
  <c r="I3251" i="4"/>
  <c r="I3297" i="4"/>
  <c r="I3413" i="4"/>
  <c r="I2581" i="4"/>
  <c r="I2379" i="4"/>
  <c r="I2393" i="4"/>
  <c r="I2411" i="4"/>
  <c r="I2425" i="4"/>
  <c r="I2443" i="4"/>
  <c r="I2475" i="4"/>
  <c r="I2569" i="4"/>
  <c r="I2616" i="4"/>
  <c r="I2630" i="4"/>
  <c r="I2727" i="4"/>
  <c r="I2743" i="4"/>
  <c r="I2807" i="4"/>
  <c r="I2822" i="4"/>
  <c r="I2851" i="4"/>
  <c r="I2880" i="4"/>
  <c r="I2950" i="4"/>
  <c r="I2969" i="4"/>
  <c r="I3034" i="4"/>
  <c r="I3083" i="4"/>
  <c r="I3096" i="4"/>
  <c r="I3107" i="4"/>
  <c r="I3155" i="4"/>
  <c r="I3171" i="4"/>
  <c r="I3221" i="4"/>
  <c r="I3307" i="4"/>
  <c r="I3518" i="4"/>
  <c r="I2574" i="4"/>
  <c r="I2603" i="4"/>
  <c r="I2644" i="4"/>
  <c r="I2693" i="4"/>
  <c r="I2721" i="4"/>
  <c r="I2900" i="4"/>
  <c r="I2918" i="4"/>
  <c r="I2932" i="4"/>
  <c r="I2995" i="4"/>
  <c r="I3061" i="4"/>
  <c r="I3079" i="4"/>
  <c r="I3094" i="4"/>
  <c r="I3117" i="4"/>
  <c r="I3149" i="4"/>
  <c r="I3167" i="4"/>
  <c r="I3196" i="4"/>
  <c r="I3226" i="4"/>
  <c r="I3254" i="4"/>
  <c r="I2476" i="4"/>
  <c r="I2511" i="4"/>
  <c r="I2563" i="4"/>
  <c r="I3019" i="4"/>
  <c r="I3050" i="4"/>
  <c r="I3080" i="4"/>
  <c r="I3215" i="4"/>
  <c r="I3231" i="4"/>
  <c r="I2989" i="4"/>
  <c r="I3174" i="4"/>
  <c r="I3283" i="4"/>
  <c r="I3114" i="4"/>
  <c r="I3069" i="4"/>
  <c r="I3158" i="4"/>
  <c r="I3055" i="4"/>
  <c r="I3378" i="4"/>
  <c r="I2410" i="4"/>
  <c r="I2439" i="4"/>
  <c r="I2867" i="4"/>
  <c r="I2667" i="4"/>
  <c r="I2797" i="4"/>
  <c r="I3182" i="4"/>
  <c r="I3341" i="4"/>
  <c r="I3170" i="4"/>
  <c r="I3255" i="4"/>
  <c r="I3289" i="4"/>
  <c r="I3338" i="4"/>
  <c r="I2935" i="4"/>
  <c r="I2985" i="4"/>
  <c r="I3101" i="4"/>
  <c r="I3137" i="4"/>
  <c r="I3152" i="4"/>
  <c r="I3184" i="4"/>
  <c r="I3229" i="4"/>
  <c r="I3247" i="4"/>
  <c r="I3259" i="4"/>
  <c r="I3275" i="4"/>
  <c r="I3305" i="4"/>
  <c r="I3306" i="4"/>
  <c r="I3074" i="4"/>
  <c r="I3086" i="4"/>
  <c r="I3175" i="4"/>
  <c r="I3248" i="4"/>
  <c r="I3376" i="4"/>
  <c r="I3007" i="4"/>
  <c r="I3023" i="4"/>
  <c r="I3159" i="4"/>
  <c r="I3025" i="4"/>
  <c r="I3053" i="4"/>
  <c r="I3143" i="4"/>
  <c r="I3189" i="4"/>
  <c r="I2663" i="4"/>
  <c r="I2567" i="4"/>
  <c r="I2399" i="4"/>
  <c r="I2717" i="4"/>
  <c r="I3332" i="4"/>
  <c r="I2424" i="4"/>
  <c r="I2820" i="4"/>
  <c r="I2829" i="4"/>
  <c r="I2762" i="4"/>
  <c r="I2778" i="4"/>
  <c r="I3308" i="4"/>
  <c r="I3369" i="4"/>
  <c r="I2692" i="4"/>
  <c r="I2782" i="4"/>
  <c r="I2870" i="4"/>
  <c r="I2884" i="4"/>
  <c r="I3051" i="4"/>
  <c r="I3205" i="4"/>
  <c r="I3285" i="4"/>
  <c r="I3102" i="4"/>
  <c r="I3142" i="4"/>
  <c r="I2686" i="4"/>
  <c r="I2869" i="4"/>
  <c r="I2482" i="4"/>
  <c r="I3494" i="4"/>
  <c r="I3432" i="4"/>
  <c r="I3431" i="4"/>
  <c r="I3527" i="4"/>
  <c r="I3057" i="4"/>
  <c r="I2397" i="4"/>
  <c r="I2523" i="4"/>
  <c r="I2483" i="4"/>
  <c r="I2623" i="4"/>
  <c r="I2815" i="4"/>
  <c r="I2899" i="4"/>
  <c r="I3004" i="4"/>
  <c r="I3156" i="4"/>
  <c r="I3261" i="4"/>
  <c r="I3327" i="4"/>
  <c r="I3459" i="4"/>
  <c r="I3523" i="4"/>
  <c r="I2609" i="4"/>
  <c r="I2707" i="4"/>
  <c r="I2805" i="4"/>
  <c r="I2936" i="4"/>
  <c r="I2526" i="4"/>
  <c r="I2384" i="4"/>
  <c r="I2657" i="4"/>
  <c r="I3574" i="4"/>
  <c r="I2715" i="4"/>
  <c r="I3448" i="4"/>
  <c r="I2542" i="4"/>
  <c r="I2406" i="4"/>
  <c r="I2503" i="4"/>
  <c r="I2495" i="4"/>
  <c r="I2647" i="4"/>
  <c r="I2709" i="4"/>
  <c r="I2893" i="4"/>
  <c r="I2997" i="4"/>
  <c r="I3148" i="4"/>
  <c r="I3250" i="4"/>
  <c r="I3346" i="4"/>
  <c r="I3451" i="4"/>
  <c r="I3547" i="4"/>
  <c r="I2639" i="4"/>
  <c r="I2731" i="4"/>
  <c r="I2831" i="4"/>
  <c r="I2926" i="4"/>
  <c r="I3024" i="4"/>
  <c r="I3160" i="4"/>
  <c r="I2440" i="4"/>
  <c r="I3134" i="4"/>
  <c r="I3330" i="4"/>
  <c r="I3239" i="4"/>
  <c r="I3525" i="4"/>
  <c r="I3318" i="4"/>
  <c r="I2409" i="4"/>
  <c r="I2457" i="4"/>
  <c r="I2552" i="4"/>
  <c r="I3564" i="4"/>
  <c r="I2553" i="4"/>
  <c r="I3089" i="4"/>
  <c r="I3198" i="4"/>
  <c r="I2454" i="4"/>
  <c r="I2419" i="4"/>
  <c r="I2646" i="4"/>
  <c r="I2396" i="4"/>
  <c r="I2518" i="4"/>
  <c r="I2559" i="4"/>
  <c r="I2704" i="4"/>
  <c r="I2469" i="4"/>
  <c r="I2502" i="4"/>
  <c r="I2534" i="4"/>
  <c r="I2945" i="4"/>
  <c r="I3333" i="4"/>
  <c r="I3526" i="4"/>
  <c r="I2673" i="4"/>
  <c r="I3496" i="4"/>
  <c r="I3397" i="4"/>
  <c r="I3559" i="4"/>
  <c r="I3234" i="4"/>
  <c r="I2429" i="4"/>
  <c r="I2491" i="4"/>
  <c r="I2515" i="4"/>
  <c r="I2588" i="4"/>
  <c r="I2779" i="4"/>
  <c r="I2868" i="4"/>
  <c r="I2975" i="4"/>
  <c r="I3098" i="4"/>
  <c r="I3193" i="4"/>
  <c r="I3296" i="4"/>
  <c r="I3390" i="4"/>
  <c r="I3426" i="4"/>
  <c r="I3555" i="4"/>
  <c r="I2650" i="4"/>
  <c r="I2741" i="4"/>
  <c r="I2448" i="4"/>
  <c r="I2510" i="4"/>
  <c r="I3510" i="4"/>
  <c r="I3512" i="4"/>
  <c r="I2374" i="4"/>
  <c r="I2470" i="4"/>
  <c r="I2564" i="4"/>
  <c r="I2562" i="4"/>
  <c r="I3010" i="4"/>
  <c r="I2577" i="4"/>
  <c r="I2677" i="4"/>
  <c r="I2803" i="4"/>
  <c r="I2861" i="4"/>
  <c r="I2963" i="4"/>
  <c r="I3092" i="4"/>
  <c r="I3180" i="4"/>
  <c r="I3288" i="4"/>
  <c r="I3380" i="4"/>
  <c r="I3483" i="4"/>
  <c r="I2865" i="4"/>
  <c r="I2960" i="4"/>
  <c r="I3056" i="4"/>
  <c r="I3131" i="4"/>
  <c r="I3225" i="4"/>
  <c r="I2632" i="4"/>
  <c r="I3298" i="4"/>
  <c r="I3381" i="4"/>
  <c r="I3461" i="4"/>
  <c r="I3557" i="4"/>
  <c r="I2490" i="4"/>
  <c r="I2941" i="4"/>
  <c r="I3570" i="4"/>
  <c r="I3436" i="4"/>
  <c r="I2840" i="4"/>
  <c r="I2517" i="4"/>
  <c r="I2961" i="4"/>
  <c r="I3299" i="4"/>
  <c r="I2611" i="4"/>
  <c r="I3364" i="4"/>
  <c r="I3145" i="4"/>
  <c r="I2506" i="4"/>
  <c r="I2373" i="4"/>
  <c r="I2910" i="4"/>
  <c r="I2468" i="4"/>
  <c r="I2383" i="4"/>
  <c r="I2415" i="4"/>
  <c r="I2447" i="4"/>
  <c r="I2479" i="4"/>
  <c r="I2509" i="4"/>
  <c r="I2541" i="4"/>
  <c r="I3395" i="4"/>
  <c r="I2465" i="4"/>
  <c r="I2501" i="4"/>
  <c r="I2533" i="4"/>
  <c r="I2568" i="4"/>
  <c r="I2724" i="4"/>
  <c r="I2636" i="4"/>
  <c r="I2671" i="4"/>
  <c r="I2701" i="4"/>
  <c r="I2733" i="4"/>
  <c r="I2767" i="4"/>
  <c r="I2855" i="4"/>
  <c r="I2887" i="4"/>
  <c r="I2922" i="4"/>
  <c r="I2956" i="4"/>
  <c r="I2987" i="4"/>
  <c r="I3021" i="4"/>
  <c r="I3084" i="4"/>
  <c r="I3110" i="4"/>
  <c r="I3141" i="4"/>
  <c r="I3172" i="4"/>
  <c r="I3206" i="4"/>
  <c r="I3243" i="4"/>
  <c r="I3277" i="4"/>
  <c r="I3313" i="4"/>
  <c r="I3340" i="4"/>
  <c r="I3372" i="4"/>
  <c r="I3410" i="4"/>
  <c r="I3443" i="4"/>
  <c r="I3475" i="4"/>
  <c r="I3507" i="4"/>
  <c r="I3539" i="4"/>
  <c r="I3571" i="4"/>
  <c r="I2627" i="4"/>
  <c r="I2725" i="4"/>
  <c r="I2759" i="4"/>
  <c r="I2787" i="4"/>
  <c r="I2819" i="4"/>
  <c r="I2920" i="4"/>
  <c r="I2676" i="4"/>
  <c r="I2488" i="4"/>
  <c r="I2427" i="4"/>
  <c r="I2722" i="4"/>
  <c r="I2402" i="4"/>
  <c r="I2434" i="4"/>
  <c r="I2497" i="4"/>
  <c r="I2529" i="4"/>
  <c r="I2558" i="4"/>
  <c r="I2738" i="4"/>
  <c r="I3146" i="4"/>
  <c r="I3363" i="4"/>
  <c r="I3542" i="4"/>
  <c r="I2601" i="4"/>
  <c r="I3207" i="4"/>
  <c r="I3355" i="4"/>
  <c r="I3427" i="4"/>
  <c r="I3480" i="4"/>
  <c r="I3544" i="4"/>
  <c r="I2690" i="4"/>
  <c r="I2718" i="4"/>
  <c r="I2752" i="4"/>
  <c r="I2816" i="4"/>
  <c r="I2874" i="4"/>
  <c r="I2905" i="4"/>
  <c r="I3360" i="4"/>
  <c r="I3560" i="4"/>
  <c r="I3359" i="4"/>
  <c r="I3495" i="4"/>
  <c r="I2788" i="4"/>
  <c r="I3120" i="4"/>
  <c r="I3466" i="4"/>
  <c r="I2607" i="4"/>
  <c r="I2977" i="4"/>
  <c r="I3556" i="4"/>
  <c r="I3421" i="4"/>
  <c r="I3453" i="4"/>
  <c r="I3485" i="4"/>
  <c r="I3549" i="4"/>
  <c r="I2408" i="4"/>
  <c r="I3538" i="4"/>
  <c r="I2924" i="4"/>
  <c r="I3532" i="4"/>
  <c r="I2968" i="4"/>
  <c r="I3351" i="4"/>
  <c r="I3371" i="4"/>
  <c r="I3384" i="4"/>
  <c r="I3400" i="4"/>
  <c r="I3425" i="4"/>
  <c r="I3470" i="4"/>
  <c r="I3487" i="4"/>
  <c r="I3534" i="4"/>
  <c r="I3551" i="4"/>
  <c r="I2702" i="4"/>
  <c r="I2441" i="4"/>
  <c r="I2394" i="4"/>
  <c r="I2885" i="4"/>
  <c r="I3444" i="4"/>
  <c r="I3572" i="4"/>
  <c r="I2635" i="4"/>
  <c r="I2766" i="4"/>
  <c r="I2844" i="4"/>
  <c r="I3488" i="4"/>
  <c r="I3552" i="4"/>
  <c r="I3130" i="4"/>
  <c r="I2967" i="4"/>
  <c r="I3375" i="4"/>
  <c r="I3082" i="4"/>
  <c r="I3224" i="4"/>
  <c r="I3401" i="4"/>
  <c r="I3358" i="4"/>
  <c r="I3484" i="4"/>
  <c r="I3385" i="4"/>
  <c r="I2783" i="4"/>
  <c r="I3546" i="4"/>
  <c r="I2643" i="4"/>
  <c r="I2826" i="4"/>
  <c r="I3324" i="4"/>
  <c r="I2464" i="4"/>
  <c r="I3322" i="4"/>
  <c r="I2811" i="4"/>
  <c r="I3490" i="4"/>
  <c r="I2939" i="4"/>
  <c r="I2513" i="4"/>
  <c r="I3402" i="4"/>
  <c r="I2841" i="4"/>
  <c r="I3457" i="4"/>
  <c r="I2653" i="4"/>
  <c r="I3241" i="4"/>
  <c r="I3497" i="4"/>
  <c r="I3387" i="4"/>
  <c r="I3558" i="4"/>
  <c r="I3328" i="4"/>
  <c r="I3463" i="4"/>
  <c r="I3396" i="4"/>
  <c r="I2461" i="4"/>
  <c r="I2451" i="4"/>
  <c r="I2551" i="4"/>
  <c r="I2652" i="4"/>
  <c r="I2751" i="4"/>
  <c r="I2845" i="4"/>
  <c r="I2938" i="4"/>
  <c r="I3039" i="4"/>
  <c r="I3127" i="4"/>
  <c r="I3222" i="4"/>
  <c r="I3354" i="4"/>
  <c r="I3491" i="4"/>
  <c r="I2580" i="4"/>
  <c r="I2681" i="4"/>
  <c r="I2775" i="4"/>
  <c r="I2872" i="4"/>
  <c r="I2416" i="4"/>
  <c r="I2546" i="4"/>
  <c r="I3446" i="4"/>
  <c r="I3392" i="4"/>
  <c r="I2438" i="4"/>
  <c r="I2535" i="4"/>
  <c r="I2527" i="4"/>
  <c r="I2612" i="4"/>
  <c r="I2739" i="4"/>
  <c r="I2839" i="4"/>
  <c r="I2929" i="4"/>
  <c r="I3033" i="4"/>
  <c r="I3121" i="4"/>
  <c r="I3214" i="4"/>
  <c r="I3319" i="4"/>
  <c r="I3418" i="4"/>
  <c r="I3515" i="4"/>
  <c r="I2602" i="4"/>
  <c r="I2699" i="4"/>
  <c r="I2799" i="4"/>
  <c r="I3088" i="4"/>
  <c r="I3190" i="4"/>
  <c r="I2423" i="4"/>
  <c r="I2579" i="4"/>
  <c r="I3498" i="4"/>
  <c r="I3460" i="4"/>
  <c r="I3493" i="4"/>
  <c r="I2389" i="4"/>
  <c r="I2522" i="4"/>
  <c r="I3442" i="4"/>
  <c r="I2648" i="4"/>
  <c r="I2665" i="4"/>
  <c r="I2695" i="4"/>
  <c r="I2809" i="4"/>
  <c r="I2862" i="4"/>
  <c r="I2916" i="4"/>
  <c r="I3016" i="4"/>
  <c r="I3046" i="4"/>
  <c r="I3095" i="4"/>
  <c r="I3097" i="4"/>
  <c r="I3153" i="4"/>
  <c r="I3185" i="4"/>
  <c r="I3219" i="4"/>
  <c r="I3236" i="4"/>
  <c r="I3273" i="4"/>
  <c r="I3309" i="4"/>
  <c r="I3335" i="4"/>
  <c r="I3352" i="4"/>
  <c r="I3353" i="4"/>
  <c r="I3403" i="4"/>
  <c r="I3439" i="4"/>
  <c r="I3486" i="4"/>
  <c r="I3503" i="4"/>
  <c r="I3550" i="4"/>
  <c r="I3567" i="4"/>
  <c r="I2592" i="4"/>
  <c r="I2871" i="4"/>
  <c r="I2901" i="4"/>
  <c r="I3017" i="4"/>
  <c r="I3027" i="4"/>
  <c r="I3049" i="4"/>
  <c r="I3093" i="4"/>
  <c r="I3116" i="4"/>
  <c r="I3132" i="4"/>
  <c r="I3181" i="4"/>
  <c r="I3210" i="4"/>
  <c r="I3240" i="4"/>
  <c r="I2477" i="4"/>
  <c r="I2460" i="4"/>
  <c r="I2545" i="4"/>
  <c r="I3389" i="4"/>
  <c r="I3476" i="4"/>
  <c r="I2854" i="4"/>
  <c r="I3440" i="4"/>
  <c r="I3504" i="4"/>
  <c r="I3568" i="4"/>
  <c r="I2953" i="4"/>
  <c r="I2983" i="4"/>
  <c r="I3001" i="4"/>
  <c r="I3030" i="4"/>
  <c r="I3064" i="4"/>
  <c r="I3100" i="4"/>
  <c r="I3203" i="4"/>
  <c r="I3245" i="4"/>
  <c r="I3304" i="4"/>
  <c r="I3357" i="4"/>
  <c r="I2988" i="4"/>
  <c r="I3035" i="4"/>
  <c r="I3087" i="4"/>
  <c r="I3173" i="4"/>
  <c r="I3367" i="4"/>
  <c r="I3373" i="4"/>
  <c r="I3058" i="4"/>
  <c r="I3252" i="4"/>
  <c r="I2972" i="4"/>
  <c r="I3005" i="4"/>
  <c r="I3070" i="4"/>
  <c r="I3157" i="4"/>
  <c r="I3263" i="4"/>
  <c r="I3393" i="4"/>
  <c r="I3408" i="4"/>
  <c r="I2498" i="4"/>
  <c r="I3290" i="4"/>
  <c r="I3481" i="4"/>
  <c r="I3416" i="4"/>
  <c r="I2405" i="4"/>
  <c r="I3516" i="4"/>
  <c r="I2708" i="4"/>
  <c r="I3316" i="4"/>
  <c r="I3450" i="4"/>
  <c r="I3573" i="4"/>
  <c r="I2679" i="4"/>
  <c r="I3441" i="4"/>
  <c r="I3554" i="4"/>
  <c r="I3452" i="4"/>
  <c r="I2801" i="4"/>
  <c r="I3415" i="4"/>
  <c r="I2414" i="4"/>
  <c r="I2532" i="4"/>
  <c r="I3349" i="4"/>
  <c r="I2719" i="4"/>
  <c r="I2666" i="4"/>
  <c r="I2943" i="4"/>
  <c r="I3329" i="4"/>
  <c r="I3411" i="4"/>
  <c r="I3464" i="4"/>
  <c r="I3528" i="4"/>
  <c r="I2571" i="4"/>
  <c r="I2606" i="4"/>
  <c r="I2705" i="4"/>
  <c r="I2833" i="4"/>
  <c r="I2856" i="4"/>
  <c r="I2923" i="4"/>
  <c r="I2962" i="4"/>
  <c r="I2993" i="4"/>
  <c r="I3026" i="4"/>
  <c r="I3059" i="4"/>
  <c r="I3091" i="4"/>
  <c r="I3115" i="4"/>
  <c r="I3147" i="4"/>
  <c r="I3179" i="4"/>
  <c r="I3213" i="4"/>
  <c r="I3244" i="4"/>
  <c r="I3282" i="4"/>
  <c r="I3314" i="4"/>
  <c r="I3345" i="4"/>
  <c r="I3379" i="4"/>
  <c r="I3417" i="4"/>
  <c r="I3447" i="4"/>
  <c r="I3479" i="4"/>
  <c r="I3511" i="4"/>
  <c r="I3543" i="4"/>
  <c r="I2585" i="4"/>
  <c r="I2615" i="4"/>
  <c r="I2655" i="4"/>
  <c r="I2687" i="4"/>
  <c r="I2843" i="4"/>
  <c r="I2877" i="4"/>
  <c r="I2940" i="4"/>
  <c r="I2391" i="4"/>
  <c r="I2400" i="4"/>
  <c r="I2403" i="4"/>
  <c r="I3197" i="4"/>
  <c r="I3325" i="4"/>
  <c r="I2898" i="4"/>
  <c r="I2619" i="4"/>
  <c r="I2680" i="4"/>
  <c r="I2746" i="4"/>
  <c r="I2798" i="4"/>
  <c r="I2756" i="4"/>
  <c r="I2850" i="4"/>
  <c r="I2688" i="4"/>
  <c r="I2716" i="4"/>
  <c r="I2748" i="4"/>
  <c r="I2812" i="4"/>
  <c r="I2978" i="4"/>
  <c r="I2539" i="4"/>
  <c r="I2814" i="4"/>
  <c r="I2472" i="4"/>
  <c r="I2467" i="4"/>
  <c r="I3530" i="4"/>
  <c r="I2660" i="4"/>
  <c r="I2791" i="4"/>
  <c r="I2917" i="4"/>
  <c r="I3208" i="4"/>
  <c r="I3366" i="4"/>
  <c r="I3492" i="4"/>
  <c r="I3237" i="4"/>
  <c r="I3253" i="4"/>
  <c r="I3267" i="4"/>
  <c r="I3437" i="4"/>
  <c r="I3469" i="4"/>
  <c r="I3501" i="4"/>
  <c r="I3533" i="4"/>
  <c r="I3565" i="4"/>
  <c r="I3344" i="4"/>
  <c r="I2431" i="4"/>
  <c r="I2520" i="4"/>
  <c r="I2974" i="4"/>
  <c r="I2378" i="4"/>
  <c r="I2421" i="4"/>
  <c r="I2504" i="4"/>
  <c r="I2536" i="4"/>
  <c r="I2593" i="4"/>
  <c r="I3037" i="4"/>
  <c r="I3474" i="4"/>
  <c r="I2863" i="4"/>
  <c r="I3112" i="4"/>
  <c r="I3468" i="4"/>
  <c r="I2583" i="4"/>
  <c r="I2600" i="4"/>
  <c r="I2678" i="4"/>
  <c r="I2696" i="4"/>
  <c r="I2729" i="4"/>
  <c r="I2745" i="4"/>
  <c r="I2881" i="4"/>
  <c r="I2914" i="4"/>
  <c r="I2998" i="4"/>
  <c r="I3066" i="4"/>
  <c r="I3067" i="4"/>
  <c r="I3109" i="4"/>
  <c r="I3136" i="4"/>
  <c r="I3200" i="4"/>
  <c r="I3257" i="4"/>
  <c r="I3339" i="4"/>
  <c r="I3347" i="4"/>
  <c r="I3370" i="4"/>
  <c r="I3383" i="4"/>
  <c r="I3424" i="4"/>
  <c r="I3423" i="4"/>
  <c r="I3438" i="4"/>
  <c r="I3455" i="4"/>
  <c r="I3502" i="4"/>
  <c r="I3519" i="4"/>
  <c r="I3566" i="4"/>
  <c r="I2626" i="4"/>
  <c r="I2661" i="4"/>
  <c r="I2703" i="4"/>
  <c r="I2753" i="4"/>
  <c r="I2769" i="4"/>
  <c r="I2817" i="4"/>
  <c r="I2835" i="4"/>
  <c r="I2852" i="4"/>
  <c r="I2882" i="4"/>
  <c r="I2919" i="4"/>
  <c r="I2948" i="4"/>
  <c r="I2965" i="4"/>
  <c r="I3018" i="4"/>
  <c r="I3047" i="4"/>
  <c r="I3063" i="4"/>
  <c r="I3151" i="4"/>
  <c r="I3271" i="4"/>
  <c r="I2390" i="4"/>
  <c r="I2428" i="4"/>
  <c r="I2458" i="4"/>
  <c r="I2478" i="4"/>
  <c r="I2514" i="4"/>
  <c r="I2543" i="4"/>
  <c r="I3195" i="4"/>
  <c r="I3508" i="4"/>
  <c r="I2604" i="4"/>
  <c r="I2669" i="4"/>
  <c r="I2937" i="4"/>
  <c r="I3321" i="4"/>
  <c r="I3456" i="4"/>
  <c r="I3520" i="4"/>
  <c r="I2578" i="4"/>
  <c r="I2857" i="4"/>
  <c r="I2951" i="4"/>
  <c r="I2966" i="4"/>
  <c r="I2999" i="4"/>
  <c r="I3118" i="4"/>
  <c r="I3138" i="4"/>
  <c r="I3168" i="4"/>
  <c r="I3201" i="4"/>
  <c r="I3217" i="4"/>
  <c r="I3258" i="4"/>
  <c r="I3274" i="4"/>
  <c r="I3108" i="4"/>
  <c r="I3394" i="4"/>
  <c r="I3230" i="4"/>
  <c r="I3264" i="4"/>
  <c r="I3036" i="4"/>
  <c r="I3085" i="4"/>
  <c r="I3106" i="4"/>
  <c r="I3204" i="4"/>
  <c r="I3361" i="4"/>
  <c r="I3391" i="4"/>
  <c r="I3286" i="4"/>
  <c r="I2971" i="4"/>
  <c r="I3006" i="4"/>
  <c r="I3022" i="4"/>
  <c r="I3071" i="4"/>
  <c r="I3124" i="4"/>
  <c r="I3218" i="4"/>
  <c r="I3406" i="4"/>
  <c r="I3162" i="4"/>
  <c r="I3188" i="4"/>
  <c r="I3232" i="4"/>
  <c r="I3279" i="4"/>
  <c r="I3362" i="4"/>
  <c r="I3569" i="4"/>
  <c r="I2685" i="4"/>
  <c r="I3522" i="4"/>
  <c r="I2892" i="4"/>
  <c r="I3348" i="4"/>
  <c r="I3482" i="4"/>
  <c r="I3537" i="4"/>
  <c r="I2500" i="4"/>
  <c r="I3420" i="4"/>
  <c r="I2640" i="4"/>
  <c r="I3281" i="4"/>
  <c r="I2446" i="4"/>
  <c r="I3388" i="4"/>
  <c r="I3449" i="4"/>
  <c r="I3513" i="4"/>
  <c r="I3099" i="4"/>
  <c r="I2747" i="4"/>
  <c r="I2879" i="4"/>
  <c r="I2596" i="4"/>
  <c r="I3342" i="4"/>
  <c r="I3356" i="4"/>
  <c r="I2876" i="4"/>
  <c r="I3521" i="4"/>
  <c r="I3350" i="4"/>
  <c r="I3489" i="4"/>
  <c r="I2633" i="4"/>
  <c r="I2668" i="4"/>
  <c r="I2698" i="4"/>
  <c r="I2726" i="4"/>
  <c r="I2760" i="4"/>
  <c r="I2572" i="4"/>
  <c r="I2417" i="4"/>
  <c r="I3326" i="4"/>
  <c r="I3377" i="4"/>
  <c r="I2810" i="4"/>
  <c r="I3076" i="4"/>
  <c r="I3334" i="4"/>
  <c r="I3365" i="4"/>
  <c r="I3398" i="4"/>
  <c r="I3435" i="4"/>
  <c r="I3467" i="4"/>
  <c r="I3499" i="4"/>
  <c r="I3531" i="4"/>
  <c r="I3563" i="4"/>
  <c r="I2487" i="4"/>
  <c r="I2849" i="4"/>
  <c r="I2670" i="4"/>
  <c r="I2486" i="4"/>
  <c r="I2838" i="4"/>
  <c r="I3434" i="4"/>
  <c r="I3562" i="4"/>
  <c r="I2823" i="4"/>
  <c r="I2947" i="4"/>
  <c r="I3399" i="4"/>
  <c r="I3524" i="4"/>
  <c r="I3382" i="4"/>
  <c r="I3445" i="4"/>
  <c r="I3477" i="4"/>
  <c r="I3509" i="4"/>
  <c r="I3541" i="4"/>
  <c r="I2744" i="4"/>
  <c r="I2432" i="4"/>
  <c r="I2561" i="4"/>
  <c r="I2422" i="4"/>
  <c r="I2442" i="4"/>
  <c r="I3169" i="4"/>
  <c r="I3506" i="4"/>
  <c r="I2638" i="4"/>
  <c r="I2763" i="4"/>
  <c r="I2895" i="4"/>
  <c r="I3011" i="4"/>
  <c r="I3150" i="4"/>
  <c r="I3310" i="4"/>
  <c r="I3500" i="4"/>
  <c r="I2790" i="4"/>
  <c r="I2894" i="4"/>
  <c r="I3154" i="4"/>
  <c r="I3220" i="4"/>
  <c r="I3256" i="4"/>
  <c r="I3272" i="4"/>
  <c r="I3294" i="4"/>
  <c r="I3320" i="4"/>
  <c r="I3419" i="4"/>
  <c r="I3454" i="4"/>
  <c r="I3471" i="4"/>
  <c r="I3535" i="4"/>
  <c r="I2720" i="4"/>
  <c r="I2754" i="4"/>
  <c r="I2770" i="4"/>
  <c r="I2800" i="4"/>
  <c r="I2818" i="4"/>
  <c r="I2834" i="4"/>
  <c r="I2445" i="4"/>
  <c r="I2459" i="4"/>
  <c r="I2496" i="4"/>
  <c r="I2528" i="4"/>
  <c r="I2711" i="4"/>
  <c r="I3412" i="4"/>
  <c r="I3540" i="4"/>
  <c r="I2827" i="4"/>
  <c r="I3020" i="4"/>
  <c r="I3140" i="4"/>
  <c r="I3386" i="4"/>
  <c r="I3472" i="4"/>
  <c r="I3536" i="4"/>
  <c r="I2608" i="4"/>
  <c r="I3000" i="4"/>
  <c r="I3008" i="4"/>
  <c r="I2986" i="4"/>
  <c r="I3105" i="4"/>
  <c r="I3374" i="4"/>
  <c r="I3014" i="4"/>
  <c r="I2958" i="4"/>
  <c r="I3191" i="4"/>
  <c r="I3284" i="4"/>
  <c r="I2970" i="4"/>
  <c r="I3123" i="4"/>
  <c r="I3368" i="4"/>
  <c r="I3407" i="4"/>
  <c r="I3278" i="4"/>
  <c r="I2450" i="4"/>
  <c r="I3548" i="4"/>
  <c r="I2377" i="4"/>
  <c r="I2437" i="4"/>
  <c r="I2907" i="4"/>
  <c r="I2628" i="4"/>
  <c r="I2773" i="4"/>
  <c r="I2949" i="4"/>
  <c r="I3514" i="4"/>
  <c r="I2618" i="4"/>
  <c r="I2931" i="4"/>
  <c r="I3473" i="4"/>
  <c r="I3202" i="4"/>
  <c r="I3458" i="4"/>
  <c r="I2689" i="4"/>
  <c r="I2449" i="4"/>
  <c r="I3323" i="4"/>
  <c r="I3545" i="4"/>
  <c r="I3212" i="4"/>
  <c r="I3317" i="4"/>
  <c r="I3561" i="4"/>
  <c r="I2906" i="4"/>
  <c r="I3166" i="4"/>
  <c r="I3336" i="4"/>
  <c r="I3465" i="4"/>
  <c r="I2386" i="4"/>
  <c r="I3553" i="4"/>
  <c r="I3422" i="4"/>
  <c r="I3062" i="4"/>
  <c r="I2860" i="4"/>
  <c r="I2915" i="4"/>
  <c r="I3433" i="4"/>
  <c r="I2832" i="4"/>
  <c r="I2792" i="4"/>
  <c r="I3529" i="4"/>
  <c r="I3331" i="4"/>
  <c r="I2372" i="4"/>
  <c r="J2372" i="4" s="1"/>
  <c r="M2373" i="4" s="1"/>
  <c r="L2373" i="4" l="1"/>
  <c r="K2373" i="4"/>
  <c r="J2373" i="4"/>
  <c r="M2374" i="4" s="1"/>
  <c r="L2374" i="4" l="1"/>
  <c r="K2374" i="4"/>
  <c r="J2374" i="4"/>
  <c r="M2375" i="4" s="1"/>
  <c r="T2375" i="4"/>
  <c r="V2375" i="4" s="1"/>
  <c r="U2375" i="4"/>
  <c r="W2375" i="4" s="1"/>
  <c r="S2375" i="4"/>
  <c r="U2374" i="4"/>
  <c r="W2374" i="4" s="1"/>
  <c r="S2374" i="4"/>
  <c r="T2374" i="4"/>
  <c r="K2375" i="4" l="1"/>
  <c r="N2375" i="4" s="1"/>
  <c r="L2375" i="4"/>
  <c r="J2375" i="4"/>
  <c r="M2376" i="4" s="1"/>
  <c r="X2375" i="4"/>
  <c r="Y2375" i="4" s="1"/>
  <c r="V2374" i="4"/>
  <c r="X2374" i="4" s="1"/>
  <c r="Y2374" i="4" s="1"/>
  <c r="S2376" i="4"/>
  <c r="T2376" i="4"/>
  <c r="U2376" i="4"/>
  <c r="K2376" i="4" l="1"/>
  <c r="N2376" i="4" s="1"/>
  <c r="L2376" i="4"/>
  <c r="J2376" i="4"/>
  <c r="M2377" i="4" s="1"/>
  <c r="O2375" i="4"/>
  <c r="P2375" i="4" s="1"/>
  <c r="S2377" i="4"/>
  <c r="T2377" i="4"/>
  <c r="U2377" i="4"/>
  <c r="K2377" i="4" l="1"/>
  <c r="N2377" i="4" s="1"/>
  <c r="L2377" i="4"/>
  <c r="J2377" i="4"/>
  <c r="M2378" i="4" s="1"/>
  <c r="O2376" i="4"/>
  <c r="P2376" i="4" s="1"/>
  <c r="L2378" i="4" l="1"/>
  <c r="K2378" i="4"/>
  <c r="N2378" i="4" s="1"/>
  <c r="J2378" i="4"/>
  <c r="M2379" i="4" s="1"/>
  <c r="O2377" i="4"/>
  <c r="O2378" i="4" l="1"/>
  <c r="U2378" i="4" s="1"/>
  <c r="R2378" i="4" s="1"/>
  <c r="P2377" i="4"/>
  <c r="T2378" i="4"/>
  <c r="Q2378" i="4" s="1"/>
  <c r="S2378" i="4" s="1"/>
  <c r="K2379" i="4"/>
  <c r="N2379" i="4" s="1"/>
  <c r="L2379" i="4"/>
  <c r="J2379" i="4"/>
  <c r="M2380" i="4" s="1"/>
  <c r="P2378" i="4" l="1"/>
  <c r="T2379" i="4"/>
  <c r="Q2379" i="4" s="1"/>
  <c r="S2379" i="4" s="1"/>
  <c r="K2380" i="4"/>
  <c r="N2380" i="4" s="1"/>
  <c r="L2380" i="4"/>
  <c r="J2380" i="4"/>
  <c r="M2381" i="4" s="1"/>
  <c r="O2379" i="4"/>
  <c r="U2379" i="4" l="1"/>
  <c r="R2379" i="4" s="1"/>
  <c r="T2380" i="4"/>
  <c r="Q2380" i="4" s="1"/>
  <c r="S2380" i="4" s="1"/>
  <c r="P2379" i="4"/>
  <c r="K2381" i="4"/>
  <c r="N2381" i="4" s="1"/>
  <c r="L2381" i="4"/>
  <c r="J2381" i="4"/>
  <c r="M2382" i="4" s="1"/>
  <c r="O2380" i="4"/>
  <c r="T2381" i="4" l="1"/>
  <c r="Q2381" i="4" s="1"/>
  <c r="S2381" i="4" s="1"/>
  <c r="U2380" i="4"/>
  <c r="R2380" i="4" s="1"/>
  <c r="P2380" i="4"/>
  <c r="L2382" i="4"/>
  <c r="K2382" i="4"/>
  <c r="N2382" i="4" s="1"/>
  <c r="J2382" i="4"/>
  <c r="M2383" i="4" s="1"/>
  <c r="O2381" i="4"/>
  <c r="U2381" i="4" s="1"/>
  <c r="R2381" i="4" s="1"/>
  <c r="T2382" i="4" l="1"/>
  <c r="Q2382" i="4" s="1"/>
  <c r="S2382" i="4" s="1"/>
  <c r="P2381" i="4"/>
  <c r="K2383" i="4"/>
  <c r="N2383" i="4" s="1"/>
  <c r="L2383" i="4"/>
  <c r="J2383" i="4"/>
  <c r="M2384" i="4" s="1"/>
  <c r="O2382" i="4"/>
  <c r="U2382" i="4" l="1"/>
  <c r="R2382" i="4" s="1"/>
  <c r="T2383" i="4"/>
  <c r="Q2383" i="4" s="1"/>
  <c r="S2383" i="4" s="1"/>
  <c r="P2382" i="4"/>
  <c r="K2384" i="4"/>
  <c r="N2384" i="4" s="1"/>
  <c r="L2384" i="4"/>
  <c r="J2384" i="4"/>
  <c r="M2385" i="4" s="1"/>
  <c r="O2383" i="4"/>
  <c r="T2384" i="4" l="1"/>
  <c r="Q2384" i="4" s="1"/>
  <c r="S2384" i="4" s="1"/>
  <c r="U2383" i="4"/>
  <c r="R2383" i="4" s="1"/>
  <c r="P2383" i="4"/>
  <c r="K2385" i="4"/>
  <c r="N2385" i="4" s="1"/>
  <c r="L2385" i="4"/>
  <c r="J2385" i="4"/>
  <c r="M2386" i="4" s="1"/>
  <c r="O2384" i="4"/>
  <c r="U2384" i="4" s="1"/>
  <c r="R2384" i="4" s="1"/>
  <c r="T2385" i="4" l="1"/>
  <c r="Q2385" i="4" s="1"/>
  <c r="P2384" i="4"/>
  <c r="L2386" i="4"/>
  <c r="K2386" i="4"/>
  <c r="N2386" i="4" s="1"/>
  <c r="J2386" i="4"/>
  <c r="M2387" i="4" s="1"/>
  <c r="O2385" i="4"/>
  <c r="U2385" i="4" l="1"/>
  <c r="R2385" i="4" s="1"/>
  <c r="T2386" i="4"/>
  <c r="P2385" i="4"/>
  <c r="K2387" i="4"/>
  <c r="N2387" i="4" s="1"/>
  <c r="L2387" i="4"/>
  <c r="J2387" i="4"/>
  <c r="M2388" i="4" s="1"/>
  <c r="O2386" i="4"/>
  <c r="S2386" i="4" l="1"/>
  <c r="T2387" i="4"/>
  <c r="Q2386" i="4"/>
  <c r="V2386" i="4" s="1"/>
  <c r="P2386" i="4"/>
  <c r="U2386" i="4"/>
  <c r="K2388" i="4"/>
  <c r="N2388" i="4" s="1"/>
  <c r="L2388" i="4"/>
  <c r="J2388" i="4"/>
  <c r="M2389" i="4" s="1"/>
  <c r="O2387" i="4"/>
  <c r="Q2387" i="4" l="1"/>
  <c r="V2387" i="4" s="1"/>
  <c r="S2387" i="4"/>
  <c r="P2387" i="4"/>
  <c r="T2388" i="4"/>
  <c r="U2387" i="4"/>
  <c r="R2386" i="4"/>
  <c r="K2389" i="4"/>
  <c r="N2389" i="4" s="1"/>
  <c r="L2389" i="4"/>
  <c r="J2389" i="4"/>
  <c r="M2390" i="4" s="1"/>
  <c r="O2388" i="4"/>
  <c r="W2386" i="4" l="1"/>
  <c r="X2386" i="4" s="1"/>
  <c r="Y2386" i="4" s="1"/>
  <c r="R2387" i="4"/>
  <c r="W2387" i="4" s="1"/>
  <c r="X2387" i="4" s="1"/>
  <c r="Y2387" i="4" s="1"/>
  <c r="Q2388" i="4"/>
  <c r="V2388" i="4" s="1"/>
  <c r="S2388" i="4"/>
  <c r="P2388" i="4"/>
  <c r="U2388" i="4"/>
  <c r="T2389" i="4"/>
  <c r="L2390" i="4"/>
  <c r="K2390" i="4"/>
  <c r="N2390" i="4" s="1"/>
  <c r="J2390" i="4"/>
  <c r="M2391" i="4" s="1"/>
  <c r="O2389" i="4"/>
  <c r="R2388" i="4" l="1"/>
  <c r="W2388" i="4" s="1"/>
  <c r="X2388" i="4" s="1"/>
  <c r="Y2388" i="4" s="1"/>
  <c r="Q2389" i="4"/>
  <c r="V2389" i="4" s="1"/>
  <c r="S2389" i="4"/>
  <c r="P2389" i="4"/>
  <c r="T2390" i="4"/>
  <c r="U2389" i="4"/>
  <c r="K2391" i="4"/>
  <c r="N2391" i="4" s="1"/>
  <c r="T2391" i="4" s="1"/>
  <c r="L2391" i="4"/>
  <c r="J2391" i="4"/>
  <c r="M2392" i="4" s="1"/>
  <c r="O2390" i="4"/>
  <c r="R2389" i="4" l="1"/>
  <c r="W2389" i="4" s="1"/>
  <c r="X2389" i="4" s="1"/>
  <c r="Y2389" i="4" s="1"/>
  <c r="Q2390" i="4"/>
  <c r="V2390" i="4" s="1"/>
  <c r="S2390" i="4"/>
  <c r="Q2391" i="4"/>
  <c r="V2391" i="4" s="1"/>
  <c r="S2391" i="4"/>
  <c r="P2390" i="4"/>
  <c r="U2390" i="4"/>
  <c r="K2392" i="4"/>
  <c r="N2392" i="4" s="1"/>
  <c r="T2392" i="4" s="1"/>
  <c r="L2392" i="4"/>
  <c r="J2392" i="4"/>
  <c r="M2393" i="4" s="1"/>
  <c r="O2391" i="4"/>
  <c r="R2390" i="4" l="1"/>
  <c r="W2390" i="4" s="1"/>
  <c r="X2390" i="4" s="1"/>
  <c r="Y2390" i="4" s="1"/>
  <c r="Q2392" i="4"/>
  <c r="V2392" i="4" s="1"/>
  <c r="S2392" i="4"/>
  <c r="P2391" i="4"/>
  <c r="U2391" i="4"/>
  <c r="K2393" i="4"/>
  <c r="N2393" i="4" s="1"/>
  <c r="T2393" i="4" s="1"/>
  <c r="L2393" i="4"/>
  <c r="J2393" i="4"/>
  <c r="O2392" i="4"/>
  <c r="R2391" i="4" l="1"/>
  <c r="W2391" i="4" s="1"/>
  <c r="X2391" i="4" s="1"/>
  <c r="Y2391" i="4" s="1"/>
  <c r="Q2393" i="4"/>
  <c r="V2393" i="4" s="1"/>
  <c r="S2393" i="4"/>
  <c r="P2392" i="4"/>
  <c r="U2392" i="4"/>
  <c r="K2394" i="4"/>
  <c r="N2394" i="4" s="1"/>
  <c r="T2394" i="4" s="1"/>
  <c r="L2394" i="4"/>
  <c r="M2394" i="4"/>
  <c r="J2394" i="4"/>
  <c r="O2393" i="4"/>
  <c r="R2392" i="4" l="1"/>
  <c r="W2392" i="4" s="1"/>
  <c r="X2392" i="4" s="1"/>
  <c r="Y2392" i="4" s="1"/>
  <c r="Q2394" i="4"/>
  <c r="V2394" i="4" s="1"/>
  <c r="S2394" i="4"/>
  <c r="P2393" i="4"/>
  <c r="U2393" i="4"/>
  <c r="M2395" i="4"/>
  <c r="K2395" i="4"/>
  <c r="N2395" i="4" s="1"/>
  <c r="T2395" i="4" s="1"/>
  <c r="L2395" i="4"/>
  <c r="O2394" i="4"/>
  <c r="J2395" i="4"/>
  <c r="R2393" i="4" l="1"/>
  <c r="W2393" i="4" s="1"/>
  <c r="X2393" i="4" s="1"/>
  <c r="Y2393" i="4" s="1"/>
  <c r="Q2395" i="4"/>
  <c r="V2395" i="4" s="1"/>
  <c r="S2395" i="4"/>
  <c r="P2394" i="4"/>
  <c r="U2394" i="4"/>
  <c r="O2395" i="4"/>
  <c r="L2396" i="4"/>
  <c r="M2396" i="4"/>
  <c r="K2396" i="4"/>
  <c r="N2396" i="4" s="1"/>
  <c r="J2396" i="4"/>
  <c r="R2394" i="4" l="1"/>
  <c r="W2394" i="4" s="1"/>
  <c r="X2394" i="4" s="1"/>
  <c r="Y2394" i="4" s="1"/>
  <c r="T2396" i="4"/>
  <c r="P2395" i="4"/>
  <c r="U2395" i="4"/>
  <c r="L2397" i="4"/>
  <c r="M2397" i="4"/>
  <c r="K2397" i="4"/>
  <c r="N2397" i="4" s="1"/>
  <c r="O2396" i="4"/>
  <c r="U2396" i="4" s="1"/>
  <c r="J2397" i="4"/>
  <c r="R2396" i="4" l="1"/>
  <c r="W2396" i="4" s="1"/>
  <c r="R2395" i="4"/>
  <c r="W2395" i="4" s="1"/>
  <c r="X2395" i="4" s="1"/>
  <c r="Y2395" i="4" s="1"/>
  <c r="Q2396" i="4"/>
  <c r="V2396" i="4" s="1"/>
  <c r="S2396" i="4"/>
  <c r="P2396" i="4"/>
  <c r="T2397" i="4"/>
  <c r="O2397" i="4"/>
  <c r="U2397" i="4" s="1"/>
  <c r="L2398" i="4"/>
  <c r="K2398" i="4"/>
  <c r="N2398" i="4" s="1"/>
  <c r="M2398" i="4"/>
  <c r="J2398" i="4"/>
  <c r="X2396" i="4" l="1"/>
  <c r="Y2396" i="4" s="1"/>
  <c r="R2397" i="4"/>
  <c r="W2397" i="4" s="1"/>
  <c r="Q2397" i="4"/>
  <c r="V2397" i="4" s="1"/>
  <c r="S2397" i="4"/>
  <c r="P2397" i="4"/>
  <c r="T2398" i="4"/>
  <c r="O2398" i="4"/>
  <c r="U2398" i="4" s="1"/>
  <c r="K2399" i="4"/>
  <c r="N2399" i="4" s="1"/>
  <c r="L2399" i="4"/>
  <c r="M2399" i="4"/>
  <c r="J2399" i="4"/>
  <c r="X2397" i="4" l="1"/>
  <c r="Y2397" i="4" s="1"/>
  <c r="R2398" i="4"/>
  <c r="W2398" i="4" s="1"/>
  <c r="Q2398" i="4"/>
  <c r="V2398" i="4" s="1"/>
  <c r="S2398" i="4"/>
  <c r="P2398" i="4"/>
  <c r="T2399" i="4"/>
  <c r="L2400" i="4"/>
  <c r="K2400" i="4"/>
  <c r="N2400" i="4" s="1"/>
  <c r="M2400" i="4"/>
  <c r="O2399" i="4"/>
  <c r="J2400" i="4"/>
  <c r="N2374" i="4"/>
  <c r="X2398" i="4" l="1"/>
  <c r="Y2398" i="4" s="1"/>
  <c r="Q2399" i="4"/>
  <c r="V2399" i="4" s="1"/>
  <c r="S2399" i="4"/>
  <c r="P2399" i="4"/>
  <c r="U2399" i="4"/>
  <c r="T2400" i="4"/>
  <c r="J2401" i="4"/>
  <c r="K2401" i="4"/>
  <c r="N2401" i="4" s="1"/>
  <c r="T2401" i="4" s="1"/>
  <c r="L2401" i="4"/>
  <c r="M2401" i="4"/>
  <c r="O2400" i="4"/>
  <c r="S2385" i="4"/>
  <c r="O2374" i="4"/>
  <c r="P2374" i="4" s="1"/>
  <c r="V2376" i="4"/>
  <c r="R2399" i="4" l="1"/>
  <c r="W2399" i="4" s="1"/>
  <c r="X2399" i="4" s="1"/>
  <c r="Y2399" i="4" s="1"/>
  <c r="Q2401" i="4"/>
  <c r="V2401" i="4" s="1"/>
  <c r="S2401" i="4"/>
  <c r="Q2400" i="4"/>
  <c r="V2400" i="4" s="1"/>
  <c r="S2400" i="4"/>
  <c r="P2400" i="4"/>
  <c r="U2400" i="4"/>
  <c r="O2401" i="4"/>
  <c r="U2401" i="4" s="1"/>
  <c r="J2402" i="4"/>
  <c r="L2402" i="4"/>
  <c r="K2402" i="4"/>
  <c r="N2402" i="4" s="1"/>
  <c r="M2402" i="4"/>
  <c r="V2377" i="4"/>
  <c r="X2376" i="4"/>
  <c r="Y2376" i="4" s="1"/>
  <c r="W2376" i="4"/>
  <c r="R2401" i="4" l="1"/>
  <c r="W2401" i="4" s="1"/>
  <c r="X2401" i="4" s="1"/>
  <c r="Y2401" i="4" s="1"/>
  <c r="R2400" i="4"/>
  <c r="W2400" i="4" s="1"/>
  <c r="X2400" i="4" s="1"/>
  <c r="Y2400" i="4" s="1"/>
  <c r="P2401" i="4"/>
  <c r="T2402" i="4"/>
  <c r="O2402" i="4"/>
  <c r="U2402" i="4" s="1"/>
  <c r="J2403" i="4"/>
  <c r="M2403" i="4"/>
  <c r="K2403" i="4"/>
  <c r="N2403" i="4" s="1"/>
  <c r="L2403" i="4"/>
  <c r="W2377" i="4"/>
  <c r="V2378" i="4"/>
  <c r="X2377" i="4"/>
  <c r="Y2377" i="4" s="1"/>
  <c r="R2402" i="4" l="1"/>
  <c r="W2402" i="4" s="1"/>
  <c r="Q2402" i="4"/>
  <c r="V2402" i="4" s="1"/>
  <c r="S2402" i="4"/>
  <c r="P2402" i="4"/>
  <c r="T2403" i="4"/>
  <c r="J2404" i="4"/>
  <c r="L2404" i="4"/>
  <c r="M2404" i="4"/>
  <c r="K2404" i="4"/>
  <c r="N2404" i="4" s="1"/>
  <c r="O2403" i="4"/>
  <c r="U2403" i="4" s="1"/>
  <c r="V2379" i="4"/>
  <c r="X2378" i="4"/>
  <c r="Y2378" i="4" s="1"/>
  <c r="W2378" i="4"/>
  <c r="X2402" i="4" l="1"/>
  <c r="Y2402" i="4" s="1"/>
  <c r="R2403" i="4"/>
  <c r="W2403" i="4" s="1"/>
  <c r="Q2403" i="4"/>
  <c r="V2403" i="4" s="1"/>
  <c r="S2403" i="4"/>
  <c r="P2403" i="4"/>
  <c r="T2404" i="4"/>
  <c r="O2404" i="4"/>
  <c r="U2404" i="4" s="1"/>
  <c r="J2405" i="4"/>
  <c r="L2405" i="4"/>
  <c r="M2405" i="4"/>
  <c r="K2405" i="4"/>
  <c r="N2405" i="4" s="1"/>
  <c r="W2379" i="4"/>
  <c r="V2380" i="4"/>
  <c r="X2379" i="4"/>
  <c r="Y2379" i="4" s="1"/>
  <c r="X2403" i="4" l="1"/>
  <c r="Y2403" i="4" s="1"/>
  <c r="R2404" i="4"/>
  <c r="W2404" i="4" s="1"/>
  <c r="Q2404" i="4"/>
  <c r="V2404" i="4" s="1"/>
  <c r="S2404" i="4"/>
  <c r="P2404" i="4"/>
  <c r="T2405" i="4"/>
  <c r="O2405" i="4"/>
  <c r="U2405" i="4" s="1"/>
  <c r="J2406" i="4"/>
  <c r="L2406" i="4"/>
  <c r="K2406" i="4"/>
  <c r="N2406" i="4" s="1"/>
  <c r="M2406" i="4"/>
  <c r="V2381" i="4"/>
  <c r="X2380" i="4"/>
  <c r="Y2380" i="4" s="1"/>
  <c r="W2380" i="4"/>
  <c r="X2404" i="4" l="1"/>
  <c r="Y2404" i="4" s="1"/>
  <c r="R2405" i="4"/>
  <c r="W2405" i="4" s="1"/>
  <c r="Q2405" i="4"/>
  <c r="V2405" i="4" s="1"/>
  <c r="S2405" i="4"/>
  <c r="P2405" i="4"/>
  <c r="T2406" i="4"/>
  <c r="J2407" i="4"/>
  <c r="K2407" i="4"/>
  <c r="N2407" i="4" s="1"/>
  <c r="L2407" i="4"/>
  <c r="M2407" i="4"/>
  <c r="O2406" i="4"/>
  <c r="U2406" i="4" s="1"/>
  <c r="W2381" i="4"/>
  <c r="V2382" i="4"/>
  <c r="X2381" i="4"/>
  <c r="Y2381" i="4" s="1"/>
  <c r="X2405" i="4" l="1"/>
  <c r="Y2405" i="4" s="1"/>
  <c r="R2406" i="4"/>
  <c r="W2406" i="4" s="1"/>
  <c r="Q2406" i="4"/>
  <c r="V2406" i="4" s="1"/>
  <c r="S2406" i="4"/>
  <c r="P2406" i="4"/>
  <c r="T2407" i="4"/>
  <c r="O2407" i="4"/>
  <c r="U2407" i="4" s="1"/>
  <c r="J2408" i="4"/>
  <c r="L2408" i="4"/>
  <c r="K2408" i="4"/>
  <c r="N2408" i="4" s="1"/>
  <c r="M2408" i="4"/>
  <c r="V2383" i="4"/>
  <c r="X2382" i="4"/>
  <c r="Y2382" i="4" s="1"/>
  <c r="W2382" i="4"/>
  <c r="X2406" i="4" l="1"/>
  <c r="Y2406" i="4" s="1"/>
  <c r="R2407" i="4"/>
  <c r="W2407" i="4" s="1"/>
  <c r="Q2407" i="4"/>
  <c r="V2407" i="4" s="1"/>
  <c r="S2407" i="4"/>
  <c r="P2407" i="4"/>
  <c r="T2408" i="4"/>
  <c r="J2409" i="4"/>
  <c r="K2409" i="4"/>
  <c r="N2409" i="4" s="1"/>
  <c r="L2409" i="4"/>
  <c r="M2409" i="4"/>
  <c r="O2408" i="4"/>
  <c r="U2408" i="4" s="1"/>
  <c r="W2383" i="4"/>
  <c r="V2384" i="4"/>
  <c r="X2383" i="4"/>
  <c r="Y2383" i="4" s="1"/>
  <c r="X2407" i="4" l="1"/>
  <c r="Y2407" i="4" s="1"/>
  <c r="R2408" i="4"/>
  <c r="W2408" i="4" s="1"/>
  <c r="Q2408" i="4"/>
  <c r="V2408" i="4" s="1"/>
  <c r="S2408" i="4"/>
  <c r="P2408" i="4"/>
  <c r="T2409" i="4"/>
  <c r="O2409" i="4"/>
  <c r="U2409" i="4" s="1"/>
  <c r="J2410" i="4"/>
  <c r="L2410" i="4"/>
  <c r="K2410" i="4"/>
  <c r="N2410" i="4" s="1"/>
  <c r="M2410" i="4"/>
  <c r="W2384" i="4"/>
  <c r="V2385" i="4"/>
  <c r="X2384" i="4"/>
  <c r="Y2384" i="4" s="1"/>
  <c r="X2408" i="4" l="1"/>
  <c r="Y2408" i="4" s="1"/>
  <c r="R2409" i="4"/>
  <c r="W2409" i="4" s="1"/>
  <c r="Q2409" i="4"/>
  <c r="V2409" i="4" s="1"/>
  <c r="S2409" i="4"/>
  <c r="P2409" i="4"/>
  <c r="T2410" i="4"/>
  <c r="O2410" i="4"/>
  <c r="U2410" i="4" s="1"/>
  <c r="J2411" i="4"/>
  <c r="M2411" i="4"/>
  <c r="K2411" i="4"/>
  <c r="N2411" i="4" s="1"/>
  <c r="L2411" i="4"/>
  <c r="W2385" i="4"/>
  <c r="X2385" i="4" s="1"/>
  <c r="Y2385" i="4" s="1"/>
  <c r="X2409" i="4" l="1"/>
  <c r="Y2409" i="4" s="1"/>
  <c r="R2410" i="4"/>
  <c r="W2410" i="4" s="1"/>
  <c r="Q2410" i="4"/>
  <c r="V2410" i="4" s="1"/>
  <c r="S2410" i="4"/>
  <c r="P2410" i="4"/>
  <c r="T2411" i="4"/>
  <c r="J2412" i="4"/>
  <c r="L2412" i="4"/>
  <c r="M2412" i="4"/>
  <c r="K2412" i="4"/>
  <c r="N2412" i="4" s="1"/>
  <c r="O2411" i="4"/>
  <c r="U2411" i="4" s="1"/>
  <c r="X2410" i="4" l="1"/>
  <c r="Y2410" i="4" s="1"/>
  <c r="R2411" i="4"/>
  <c r="W2411" i="4" s="1"/>
  <c r="Q2411" i="4"/>
  <c r="V2411" i="4" s="1"/>
  <c r="S2411" i="4"/>
  <c r="P2411" i="4"/>
  <c r="T2412" i="4"/>
  <c r="O2412" i="4"/>
  <c r="U2412" i="4" s="1"/>
  <c r="J2413" i="4"/>
  <c r="L2413" i="4"/>
  <c r="M2413" i="4"/>
  <c r="K2413" i="4"/>
  <c r="N2413" i="4" s="1"/>
  <c r="X2411" i="4" l="1"/>
  <c r="Y2411" i="4" s="1"/>
  <c r="R2412" i="4"/>
  <c r="W2412" i="4" s="1"/>
  <c r="Q2412" i="4"/>
  <c r="V2412" i="4" s="1"/>
  <c r="S2412" i="4"/>
  <c r="P2412" i="4"/>
  <c r="T2413" i="4"/>
  <c r="J2414" i="4"/>
  <c r="L2414" i="4"/>
  <c r="K2414" i="4"/>
  <c r="N2414" i="4" s="1"/>
  <c r="M2414" i="4"/>
  <c r="O2413" i="4"/>
  <c r="U2413" i="4" s="1"/>
  <c r="X2412" i="4" l="1"/>
  <c r="Y2412" i="4" s="1"/>
  <c r="R2413" i="4"/>
  <c r="W2413" i="4" s="1"/>
  <c r="Q2413" i="4"/>
  <c r="V2413" i="4" s="1"/>
  <c r="S2413" i="4"/>
  <c r="P2413" i="4"/>
  <c r="T2414" i="4"/>
  <c r="O2414" i="4"/>
  <c r="U2414" i="4" s="1"/>
  <c r="J2415" i="4"/>
  <c r="K2415" i="4"/>
  <c r="N2415" i="4" s="1"/>
  <c r="L2415" i="4"/>
  <c r="M2415" i="4"/>
  <c r="X2413" i="4" l="1"/>
  <c r="Y2413" i="4" s="1"/>
  <c r="R2414" i="4"/>
  <c r="W2414" i="4" s="1"/>
  <c r="Q2414" i="4"/>
  <c r="V2414" i="4" s="1"/>
  <c r="S2414" i="4"/>
  <c r="P2414" i="4"/>
  <c r="T2415" i="4"/>
  <c r="O2415" i="4"/>
  <c r="U2415" i="4" s="1"/>
  <c r="J2416" i="4"/>
  <c r="L2416" i="4"/>
  <c r="K2416" i="4"/>
  <c r="N2416" i="4" s="1"/>
  <c r="M2416" i="4"/>
  <c r="X2414" i="4" l="1"/>
  <c r="Y2414" i="4" s="1"/>
  <c r="R2415" i="4"/>
  <c r="W2415" i="4" s="1"/>
  <c r="Q2415" i="4"/>
  <c r="V2415" i="4" s="1"/>
  <c r="S2415" i="4"/>
  <c r="P2415" i="4"/>
  <c r="T2416" i="4"/>
  <c r="J2417" i="4"/>
  <c r="K2417" i="4"/>
  <c r="N2417" i="4" s="1"/>
  <c r="L2417" i="4"/>
  <c r="M2417" i="4"/>
  <c r="O2416" i="4"/>
  <c r="U2416" i="4" s="1"/>
  <c r="X2415" i="4" l="1"/>
  <c r="Y2415" i="4" s="1"/>
  <c r="R2416" i="4"/>
  <c r="W2416" i="4" s="1"/>
  <c r="Q2416" i="4"/>
  <c r="V2416" i="4" s="1"/>
  <c r="X2416" i="4" s="1"/>
  <c r="Y2416" i="4" s="1"/>
  <c r="S2416" i="4"/>
  <c r="P2416" i="4"/>
  <c r="T2417" i="4"/>
  <c r="O2417" i="4"/>
  <c r="U2417" i="4" s="1"/>
  <c r="J2418" i="4"/>
  <c r="L2418" i="4"/>
  <c r="K2418" i="4"/>
  <c r="N2418" i="4" s="1"/>
  <c r="M2418" i="4"/>
  <c r="R2417" i="4" l="1"/>
  <c r="W2417" i="4" s="1"/>
  <c r="Q2417" i="4"/>
  <c r="V2417" i="4" s="1"/>
  <c r="S2417" i="4"/>
  <c r="P2417" i="4"/>
  <c r="T2418" i="4"/>
  <c r="O2418" i="4"/>
  <c r="U2418" i="4" s="1"/>
  <c r="J2419" i="4"/>
  <c r="M2419" i="4"/>
  <c r="K2419" i="4"/>
  <c r="N2419" i="4" s="1"/>
  <c r="L2419" i="4"/>
  <c r="X2417" i="4" l="1"/>
  <c r="Y2417" i="4" s="1"/>
  <c r="R2418" i="4"/>
  <c r="W2418" i="4" s="1"/>
  <c r="Q2418" i="4"/>
  <c r="V2418" i="4" s="1"/>
  <c r="S2418" i="4"/>
  <c r="P2418" i="4"/>
  <c r="T2419" i="4"/>
  <c r="J2420" i="4"/>
  <c r="L2420" i="4"/>
  <c r="M2420" i="4"/>
  <c r="K2420" i="4"/>
  <c r="N2420" i="4" s="1"/>
  <c r="O2419" i="4"/>
  <c r="U2419" i="4" s="1"/>
  <c r="X2418" i="4" l="1"/>
  <c r="Y2418" i="4" s="1"/>
  <c r="R2419" i="4"/>
  <c r="W2419" i="4" s="1"/>
  <c r="Q2419" i="4"/>
  <c r="V2419" i="4" s="1"/>
  <c r="S2419" i="4"/>
  <c r="P2419" i="4"/>
  <c r="T2420" i="4"/>
  <c r="O2420" i="4"/>
  <c r="U2420" i="4" s="1"/>
  <c r="J2421" i="4"/>
  <c r="L2421" i="4"/>
  <c r="M2421" i="4"/>
  <c r="K2421" i="4"/>
  <c r="N2421" i="4" s="1"/>
  <c r="X2419" i="4" l="1"/>
  <c r="Y2419" i="4" s="1"/>
  <c r="R2420" i="4"/>
  <c r="W2420" i="4" s="1"/>
  <c r="Q2420" i="4"/>
  <c r="V2420" i="4" s="1"/>
  <c r="S2420" i="4"/>
  <c r="P2420" i="4"/>
  <c r="T2421" i="4"/>
  <c r="J2422" i="4"/>
  <c r="L2422" i="4"/>
  <c r="K2422" i="4"/>
  <c r="N2422" i="4" s="1"/>
  <c r="M2422" i="4"/>
  <c r="O2421" i="4"/>
  <c r="U2421" i="4" s="1"/>
  <c r="X2420" i="4" l="1"/>
  <c r="Y2420" i="4" s="1"/>
  <c r="R2421" i="4"/>
  <c r="W2421" i="4" s="1"/>
  <c r="Q2421" i="4"/>
  <c r="V2421" i="4" s="1"/>
  <c r="S2421" i="4"/>
  <c r="P2421" i="4"/>
  <c r="T2422" i="4"/>
  <c r="O2422" i="4"/>
  <c r="U2422" i="4" s="1"/>
  <c r="J2423" i="4"/>
  <c r="K2423" i="4"/>
  <c r="N2423" i="4" s="1"/>
  <c r="L2423" i="4"/>
  <c r="M2423" i="4"/>
  <c r="X2421" i="4" l="1"/>
  <c r="Y2421" i="4" s="1"/>
  <c r="R2422" i="4"/>
  <c r="W2422" i="4" s="1"/>
  <c r="Q2422" i="4"/>
  <c r="V2422" i="4" s="1"/>
  <c r="S2422" i="4"/>
  <c r="P2422" i="4"/>
  <c r="T2423" i="4"/>
  <c r="O2423" i="4"/>
  <c r="U2423" i="4" s="1"/>
  <c r="J2424" i="4"/>
  <c r="L2424" i="4"/>
  <c r="K2424" i="4"/>
  <c r="N2424" i="4" s="1"/>
  <c r="M2424" i="4"/>
  <c r="X2422" i="4" l="1"/>
  <c r="Y2422" i="4" s="1"/>
  <c r="R2423" i="4"/>
  <c r="W2423" i="4" s="1"/>
  <c r="Q2423" i="4"/>
  <c r="V2423" i="4" s="1"/>
  <c r="S2423" i="4"/>
  <c r="P2423" i="4"/>
  <c r="T2424" i="4"/>
  <c r="J2425" i="4"/>
  <c r="K2425" i="4"/>
  <c r="N2425" i="4" s="1"/>
  <c r="L2425" i="4"/>
  <c r="M2425" i="4"/>
  <c r="O2424" i="4"/>
  <c r="U2424" i="4" s="1"/>
  <c r="X2423" i="4" l="1"/>
  <c r="Y2423" i="4" s="1"/>
  <c r="R2424" i="4"/>
  <c r="W2424" i="4" s="1"/>
  <c r="Q2424" i="4"/>
  <c r="V2424" i="4" s="1"/>
  <c r="S2424" i="4"/>
  <c r="P2424" i="4"/>
  <c r="T2425" i="4"/>
  <c r="O2425" i="4"/>
  <c r="U2425" i="4" s="1"/>
  <c r="J2426" i="4"/>
  <c r="L2426" i="4"/>
  <c r="K2426" i="4"/>
  <c r="N2426" i="4" s="1"/>
  <c r="M2426" i="4"/>
  <c r="X2424" i="4" l="1"/>
  <c r="Y2424" i="4" s="1"/>
  <c r="R2425" i="4"/>
  <c r="W2425" i="4" s="1"/>
  <c r="Q2425" i="4"/>
  <c r="V2425" i="4" s="1"/>
  <c r="S2425" i="4"/>
  <c r="P2425" i="4"/>
  <c r="T2426" i="4"/>
  <c r="J2427" i="4"/>
  <c r="M2427" i="4"/>
  <c r="K2427" i="4"/>
  <c r="N2427" i="4" s="1"/>
  <c r="L2427" i="4"/>
  <c r="O2426" i="4"/>
  <c r="U2426" i="4" s="1"/>
  <c r="X2425" i="4" l="1"/>
  <c r="Y2425" i="4" s="1"/>
  <c r="R2426" i="4"/>
  <c r="W2426" i="4" s="1"/>
  <c r="Q2426" i="4"/>
  <c r="V2426" i="4" s="1"/>
  <c r="S2426" i="4"/>
  <c r="P2426" i="4"/>
  <c r="T2427" i="4"/>
  <c r="O2427" i="4"/>
  <c r="U2427" i="4" s="1"/>
  <c r="J2428" i="4"/>
  <c r="L2428" i="4"/>
  <c r="M2428" i="4"/>
  <c r="K2428" i="4"/>
  <c r="N2428" i="4" s="1"/>
  <c r="X2426" i="4" l="1"/>
  <c r="Y2426" i="4" s="1"/>
  <c r="R2427" i="4"/>
  <c r="W2427" i="4" s="1"/>
  <c r="Q2427" i="4"/>
  <c r="V2427" i="4" s="1"/>
  <c r="S2427" i="4"/>
  <c r="P2427" i="4"/>
  <c r="T2428" i="4"/>
  <c r="J2429" i="4"/>
  <c r="L2429" i="4"/>
  <c r="M2429" i="4"/>
  <c r="K2429" i="4"/>
  <c r="N2429" i="4" s="1"/>
  <c r="O2428" i="4"/>
  <c r="U2428" i="4" s="1"/>
  <c r="X2427" i="4" l="1"/>
  <c r="Y2427" i="4" s="1"/>
  <c r="R2428" i="4"/>
  <c r="W2428" i="4" s="1"/>
  <c r="Q2428" i="4"/>
  <c r="V2428" i="4" s="1"/>
  <c r="S2428" i="4"/>
  <c r="P2428" i="4"/>
  <c r="T2429" i="4"/>
  <c r="O2429" i="4"/>
  <c r="U2429" i="4" s="1"/>
  <c r="J2430" i="4"/>
  <c r="L2430" i="4"/>
  <c r="K2430" i="4"/>
  <c r="N2430" i="4" s="1"/>
  <c r="M2430" i="4"/>
  <c r="X2428" i="4" l="1"/>
  <c r="Y2428" i="4" s="1"/>
  <c r="R2429" i="4"/>
  <c r="W2429" i="4" s="1"/>
  <c r="Q2429" i="4"/>
  <c r="V2429" i="4" s="1"/>
  <c r="S2429" i="4"/>
  <c r="P2429" i="4"/>
  <c r="T2430" i="4"/>
  <c r="J2431" i="4"/>
  <c r="K2431" i="4"/>
  <c r="N2431" i="4" s="1"/>
  <c r="T2431" i="4" s="1"/>
  <c r="L2431" i="4"/>
  <c r="M2431" i="4"/>
  <c r="O2430" i="4"/>
  <c r="X2429" i="4" l="1"/>
  <c r="Y2429" i="4" s="1"/>
  <c r="Q2431" i="4"/>
  <c r="V2431" i="4" s="1"/>
  <c r="S2431" i="4"/>
  <c r="Q2430" i="4"/>
  <c r="V2430" i="4" s="1"/>
  <c r="S2430" i="4"/>
  <c r="P2430" i="4"/>
  <c r="U2430" i="4"/>
  <c r="O2431" i="4"/>
  <c r="U2431" i="4" s="1"/>
  <c r="J2432" i="4"/>
  <c r="L2432" i="4"/>
  <c r="K2432" i="4"/>
  <c r="N2432" i="4" s="1"/>
  <c r="M2432" i="4"/>
  <c r="R2430" i="4" l="1"/>
  <c r="W2430" i="4" s="1"/>
  <c r="X2430" i="4" s="1"/>
  <c r="Y2430" i="4" s="1"/>
  <c r="R2431" i="4"/>
  <c r="W2431" i="4" s="1"/>
  <c r="X2431" i="4" s="1"/>
  <c r="Y2431" i="4" s="1"/>
  <c r="T2432" i="4"/>
  <c r="P2431" i="4"/>
  <c r="J2433" i="4"/>
  <c r="K2433" i="4"/>
  <c r="N2433" i="4" s="1"/>
  <c r="L2433" i="4"/>
  <c r="M2433" i="4"/>
  <c r="O2432" i="4"/>
  <c r="U2432" i="4" s="1"/>
  <c r="R2432" i="4" l="1"/>
  <c r="W2432" i="4" s="1"/>
  <c r="Q2432" i="4"/>
  <c r="V2432" i="4" s="1"/>
  <c r="S2432" i="4"/>
  <c r="P2432" i="4"/>
  <c r="T2433" i="4"/>
  <c r="O2433" i="4"/>
  <c r="U2433" i="4" s="1"/>
  <c r="J2434" i="4"/>
  <c r="L2434" i="4"/>
  <c r="K2434" i="4"/>
  <c r="N2434" i="4" s="1"/>
  <c r="M2434" i="4"/>
  <c r="X2432" i="4" l="1"/>
  <c r="Y2432" i="4" s="1"/>
  <c r="R2433" i="4"/>
  <c r="W2433" i="4" s="1"/>
  <c r="Q2433" i="4"/>
  <c r="V2433" i="4" s="1"/>
  <c r="S2433" i="4"/>
  <c r="P2433" i="4"/>
  <c r="T2434" i="4"/>
  <c r="J2435" i="4"/>
  <c r="M2435" i="4"/>
  <c r="K2435" i="4"/>
  <c r="N2435" i="4" s="1"/>
  <c r="L2435" i="4"/>
  <c r="O2434" i="4"/>
  <c r="U2434" i="4" s="1"/>
  <c r="X2433" i="4" l="1"/>
  <c r="Y2433" i="4" s="1"/>
  <c r="R2434" i="4"/>
  <c r="W2434" i="4" s="1"/>
  <c r="Q2434" i="4"/>
  <c r="V2434" i="4" s="1"/>
  <c r="S2434" i="4"/>
  <c r="P2434" i="4"/>
  <c r="T2435" i="4"/>
  <c r="O2435" i="4"/>
  <c r="U2435" i="4" s="1"/>
  <c r="J2436" i="4"/>
  <c r="L2436" i="4"/>
  <c r="M2436" i="4"/>
  <c r="K2436" i="4"/>
  <c r="N2436" i="4" s="1"/>
  <c r="X2434" i="4" l="1"/>
  <c r="Y2434" i="4" s="1"/>
  <c r="R2435" i="4"/>
  <c r="W2435" i="4" s="1"/>
  <c r="Q2435" i="4"/>
  <c r="V2435" i="4" s="1"/>
  <c r="S2435" i="4"/>
  <c r="P2435" i="4"/>
  <c r="T2436" i="4"/>
  <c r="J2437" i="4"/>
  <c r="L2437" i="4"/>
  <c r="M2437" i="4"/>
  <c r="K2437" i="4"/>
  <c r="N2437" i="4" s="1"/>
  <c r="O2436" i="4"/>
  <c r="U2436" i="4" s="1"/>
  <c r="X2435" i="4" l="1"/>
  <c r="Y2435" i="4" s="1"/>
  <c r="R2436" i="4"/>
  <c r="W2436" i="4" s="1"/>
  <c r="Q2436" i="4"/>
  <c r="V2436" i="4" s="1"/>
  <c r="S2436" i="4"/>
  <c r="P2436" i="4"/>
  <c r="T2437" i="4"/>
  <c r="O2437" i="4"/>
  <c r="U2437" i="4" s="1"/>
  <c r="J2438" i="4"/>
  <c r="L2438" i="4"/>
  <c r="K2438" i="4"/>
  <c r="N2438" i="4" s="1"/>
  <c r="M2438" i="4"/>
  <c r="X2436" i="4" l="1"/>
  <c r="Y2436" i="4" s="1"/>
  <c r="R2437" i="4"/>
  <c r="W2437" i="4" s="1"/>
  <c r="Q2437" i="4"/>
  <c r="V2437" i="4" s="1"/>
  <c r="S2437" i="4"/>
  <c r="P2437" i="4"/>
  <c r="T2438" i="4"/>
  <c r="J2439" i="4"/>
  <c r="K2439" i="4"/>
  <c r="N2439" i="4" s="1"/>
  <c r="L2439" i="4"/>
  <c r="M2439" i="4"/>
  <c r="O2438" i="4"/>
  <c r="X2437" i="4" l="1"/>
  <c r="Y2437" i="4" s="1"/>
  <c r="Q2438" i="4"/>
  <c r="V2438" i="4" s="1"/>
  <c r="S2438" i="4"/>
  <c r="P2438" i="4"/>
  <c r="U2438" i="4"/>
  <c r="T2439" i="4"/>
  <c r="O2439" i="4"/>
  <c r="J2440" i="4"/>
  <c r="L2440" i="4"/>
  <c r="K2440" i="4"/>
  <c r="N2440" i="4" s="1"/>
  <c r="T2440" i="4" s="1"/>
  <c r="M2440" i="4"/>
  <c r="R2438" i="4" l="1"/>
  <c r="W2438" i="4" s="1"/>
  <c r="X2438" i="4" s="1"/>
  <c r="Y2438" i="4" s="1"/>
  <c r="Q2440" i="4"/>
  <c r="V2440" i="4" s="1"/>
  <c r="S2440" i="4"/>
  <c r="Q2439" i="4"/>
  <c r="V2439" i="4" s="1"/>
  <c r="S2439" i="4"/>
  <c r="P2439" i="4"/>
  <c r="U2439" i="4"/>
  <c r="J2441" i="4"/>
  <c r="K2441" i="4"/>
  <c r="N2441" i="4" s="1"/>
  <c r="T2441" i="4" s="1"/>
  <c r="L2441" i="4"/>
  <c r="M2441" i="4"/>
  <c r="O2440" i="4"/>
  <c r="U2440" i="4" s="1"/>
  <c r="R2440" i="4" l="1"/>
  <c r="W2440" i="4" s="1"/>
  <c r="X2440" i="4" s="1"/>
  <c r="Y2440" i="4" s="1"/>
  <c r="R2439" i="4"/>
  <c r="W2439" i="4" s="1"/>
  <c r="X2439" i="4" s="1"/>
  <c r="Y2439" i="4" s="1"/>
  <c r="Q2441" i="4"/>
  <c r="V2441" i="4" s="1"/>
  <c r="S2441" i="4"/>
  <c r="P2440" i="4"/>
  <c r="O2441" i="4"/>
  <c r="J2442" i="4"/>
  <c r="L2442" i="4"/>
  <c r="K2442" i="4"/>
  <c r="N2442" i="4" s="1"/>
  <c r="M2442" i="4"/>
  <c r="P2441" i="4" l="1"/>
  <c r="U2441" i="4"/>
  <c r="T2442" i="4"/>
  <c r="J2443" i="4"/>
  <c r="M2443" i="4"/>
  <c r="K2443" i="4"/>
  <c r="N2443" i="4" s="1"/>
  <c r="L2443" i="4"/>
  <c r="O2442" i="4"/>
  <c r="R2441" i="4" l="1"/>
  <c r="W2441" i="4" s="1"/>
  <c r="X2441" i="4" s="1"/>
  <c r="Y2441" i="4" s="1"/>
  <c r="Q2442" i="4"/>
  <c r="V2442" i="4" s="1"/>
  <c r="S2442" i="4"/>
  <c r="T2443" i="4"/>
  <c r="P2442" i="4"/>
  <c r="U2442" i="4"/>
  <c r="O2443" i="4"/>
  <c r="U2443" i="4" s="1"/>
  <c r="J2444" i="4"/>
  <c r="L2444" i="4"/>
  <c r="M2444" i="4"/>
  <c r="K2444" i="4"/>
  <c r="N2444" i="4" s="1"/>
  <c r="R2442" i="4" l="1"/>
  <c r="W2442" i="4" s="1"/>
  <c r="X2442" i="4" s="1"/>
  <c r="Y2442" i="4" s="1"/>
  <c r="R2443" i="4"/>
  <c r="W2443" i="4" s="1"/>
  <c r="Q2443" i="4"/>
  <c r="V2443" i="4" s="1"/>
  <c r="S2443" i="4"/>
  <c r="P2443" i="4"/>
  <c r="T2444" i="4"/>
  <c r="J2445" i="4"/>
  <c r="L2445" i="4"/>
  <c r="M2445" i="4"/>
  <c r="K2445" i="4"/>
  <c r="N2445" i="4" s="1"/>
  <c r="O2444" i="4"/>
  <c r="U2444" i="4" s="1"/>
  <c r="X2443" i="4" l="1"/>
  <c r="Y2443" i="4" s="1"/>
  <c r="R2444" i="4"/>
  <c r="W2444" i="4" s="1"/>
  <c r="Q2444" i="4"/>
  <c r="V2444" i="4" s="1"/>
  <c r="S2444" i="4"/>
  <c r="P2444" i="4"/>
  <c r="T2445" i="4"/>
  <c r="O2445" i="4"/>
  <c r="U2445" i="4" s="1"/>
  <c r="J2446" i="4"/>
  <c r="L2446" i="4"/>
  <c r="K2446" i="4"/>
  <c r="N2446" i="4" s="1"/>
  <c r="M2446" i="4"/>
  <c r="X2444" i="4" l="1"/>
  <c r="Y2444" i="4" s="1"/>
  <c r="R2445" i="4"/>
  <c r="W2445" i="4" s="1"/>
  <c r="Q2445" i="4"/>
  <c r="V2445" i="4" s="1"/>
  <c r="S2445" i="4"/>
  <c r="P2445" i="4"/>
  <c r="T2446" i="4"/>
  <c r="J2447" i="4"/>
  <c r="K2447" i="4"/>
  <c r="N2447" i="4" s="1"/>
  <c r="L2447" i="4"/>
  <c r="M2447" i="4"/>
  <c r="O2446" i="4"/>
  <c r="U2446" i="4" s="1"/>
  <c r="X2445" i="4" l="1"/>
  <c r="Y2445" i="4" s="1"/>
  <c r="R2446" i="4"/>
  <c r="W2446" i="4" s="1"/>
  <c r="Q2446" i="4"/>
  <c r="V2446" i="4" s="1"/>
  <c r="S2446" i="4"/>
  <c r="P2446" i="4"/>
  <c r="T2447" i="4"/>
  <c r="O2447" i="4"/>
  <c r="U2447" i="4" s="1"/>
  <c r="J2448" i="4"/>
  <c r="L2448" i="4"/>
  <c r="K2448" i="4"/>
  <c r="N2448" i="4" s="1"/>
  <c r="M2448" i="4"/>
  <c r="X2446" i="4" l="1"/>
  <c r="Y2446" i="4" s="1"/>
  <c r="R2447" i="4"/>
  <c r="W2447" i="4" s="1"/>
  <c r="Q2447" i="4"/>
  <c r="V2447" i="4" s="1"/>
  <c r="S2447" i="4"/>
  <c r="P2447" i="4"/>
  <c r="T2448" i="4"/>
  <c r="J2449" i="4"/>
  <c r="K2449" i="4"/>
  <c r="N2449" i="4" s="1"/>
  <c r="L2449" i="4"/>
  <c r="M2449" i="4"/>
  <c r="O2448" i="4"/>
  <c r="X2447" i="4" l="1"/>
  <c r="Y2447" i="4" s="1"/>
  <c r="Q2448" i="4"/>
  <c r="V2448" i="4" s="1"/>
  <c r="S2448" i="4"/>
  <c r="P2448" i="4"/>
  <c r="U2448" i="4"/>
  <c r="T2449" i="4"/>
  <c r="O2449" i="4"/>
  <c r="U2449" i="4" s="1"/>
  <c r="J2450" i="4"/>
  <c r="L2450" i="4"/>
  <c r="K2450" i="4"/>
  <c r="N2450" i="4" s="1"/>
  <c r="M2450" i="4"/>
  <c r="R2449" i="4" l="1"/>
  <c r="W2449" i="4" s="1"/>
  <c r="R2448" i="4"/>
  <c r="W2448" i="4" s="1"/>
  <c r="X2448" i="4" s="1"/>
  <c r="Y2448" i="4" s="1"/>
  <c r="Q2449" i="4"/>
  <c r="V2449" i="4" s="1"/>
  <c r="S2449" i="4"/>
  <c r="T2450" i="4"/>
  <c r="P2449" i="4"/>
  <c r="J2451" i="4"/>
  <c r="L2451" i="4"/>
  <c r="M2451" i="4"/>
  <c r="K2451" i="4"/>
  <c r="N2451" i="4" s="1"/>
  <c r="O2450" i="4"/>
  <c r="U2450" i="4" s="1"/>
  <c r="X2449" i="4" l="1"/>
  <c r="Y2449" i="4" s="1"/>
  <c r="R2450" i="4"/>
  <c r="W2450" i="4" s="1"/>
  <c r="Q2450" i="4"/>
  <c r="V2450" i="4" s="1"/>
  <c r="S2450" i="4"/>
  <c r="P2450" i="4"/>
  <c r="T2451" i="4"/>
  <c r="O2451" i="4"/>
  <c r="U2451" i="4" s="1"/>
  <c r="J2452" i="4"/>
  <c r="K2452" i="4"/>
  <c r="N2452" i="4" s="1"/>
  <c r="L2452" i="4"/>
  <c r="M2452" i="4"/>
  <c r="X2450" i="4" l="1"/>
  <c r="Y2450" i="4" s="1"/>
  <c r="R2451" i="4"/>
  <c r="W2451" i="4" s="1"/>
  <c r="Q2451" i="4"/>
  <c r="V2451" i="4" s="1"/>
  <c r="S2451" i="4"/>
  <c r="P2451" i="4"/>
  <c r="T2452" i="4"/>
  <c r="J2453" i="4"/>
  <c r="L2453" i="4"/>
  <c r="M2453" i="4"/>
  <c r="K2453" i="4"/>
  <c r="N2453" i="4" s="1"/>
  <c r="O2452" i="4"/>
  <c r="U2452" i="4" s="1"/>
  <c r="X2451" i="4" l="1"/>
  <c r="Y2451" i="4" s="1"/>
  <c r="R2452" i="4"/>
  <c r="W2452" i="4" s="1"/>
  <c r="Q2452" i="4"/>
  <c r="V2452" i="4" s="1"/>
  <c r="S2452" i="4"/>
  <c r="P2452" i="4"/>
  <c r="T2453" i="4"/>
  <c r="O2453" i="4"/>
  <c r="U2453" i="4" s="1"/>
  <c r="J2454" i="4"/>
  <c r="K2454" i="4"/>
  <c r="N2454" i="4" s="1"/>
  <c r="L2454" i="4"/>
  <c r="M2454" i="4"/>
  <c r="X2452" i="4" l="1"/>
  <c r="Y2452" i="4" s="1"/>
  <c r="R2453" i="4"/>
  <c r="W2453" i="4" s="1"/>
  <c r="Q2453" i="4"/>
  <c r="V2453" i="4" s="1"/>
  <c r="S2453" i="4"/>
  <c r="P2453" i="4"/>
  <c r="T2454" i="4"/>
  <c r="O2454" i="4"/>
  <c r="U2454" i="4" s="1"/>
  <c r="J2455" i="4"/>
  <c r="L2455" i="4"/>
  <c r="M2455" i="4"/>
  <c r="K2455" i="4"/>
  <c r="N2455" i="4" s="1"/>
  <c r="X2453" i="4" l="1"/>
  <c r="Y2453" i="4" s="1"/>
  <c r="R2454" i="4"/>
  <c r="W2454" i="4" s="1"/>
  <c r="Q2454" i="4"/>
  <c r="V2454" i="4" s="1"/>
  <c r="S2454" i="4"/>
  <c r="P2454" i="4"/>
  <c r="T2455" i="4"/>
  <c r="J2456" i="4"/>
  <c r="K2456" i="4"/>
  <c r="N2456" i="4" s="1"/>
  <c r="L2456" i="4"/>
  <c r="M2456" i="4"/>
  <c r="O2455" i="4"/>
  <c r="U2455" i="4" s="1"/>
  <c r="X2454" i="4" l="1"/>
  <c r="Y2454" i="4" s="1"/>
  <c r="R2455" i="4"/>
  <c r="W2455" i="4" s="1"/>
  <c r="Q2455" i="4"/>
  <c r="V2455" i="4" s="1"/>
  <c r="S2455" i="4"/>
  <c r="P2455" i="4"/>
  <c r="T2456" i="4"/>
  <c r="O2456" i="4"/>
  <c r="U2456" i="4" s="1"/>
  <c r="J2457" i="4"/>
  <c r="L2457" i="4"/>
  <c r="M2457" i="4"/>
  <c r="K2457" i="4"/>
  <c r="N2457" i="4" s="1"/>
  <c r="X2455" i="4" l="1"/>
  <c r="Y2455" i="4" s="1"/>
  <c r="R2456" i="4"/>
  <c r="W2456" i="4" s="1"/>
  <c r="Q2456" i="4"/>
  <c r="V2456" i="4" s="1"/>
  <c r="S2456" i="4"/>
  <c r="P2456" i="4"/>
  <c r="T2457" i="4"/>
  <c r="O2457" i="4"/>
  <c r="U2457" i="4" s="1"/>
  <c r="J2458" i="4"/>
  <c r="K2458" i="4"/>
  <c r="N2458" i="4" s="1"/>
  <c r="L2458" i="4"/>
  <c r="M2458" i="4"/>
  <c r="X2456" i="4" l="1"/>
  <c r="Y2456" i="4" s="1"/>
  <c r="R2457" i="4"/>
  <c r="W2457" i="4" s="1"/>
  <c r="Q2457" i="4"/>
  <c r="V2457" i="4" s="1"/>
  <c r="S2457" i="4"/>
  <c r="P2457" i="4"/>
  <c r="T2458" i="4"/>
  <c r="O2458" i="4"/>
  <c r="U2458" i="4" s="1"/>
  <c r="J2459" i="4"/>
  <c r="L2459" i="4"/>
  <c r="M2459" i="4"/>
  <c r="K2459" i="4"/>
  <c r="N2459" i="4" s="1"/>
  <c r="X2457" i="4" l="1"/>
  <c r="Y2457" i="4" s="1"/>
  <c r="R2458" i="4"/>
  <c r="W2458" i="4" s="1"/>
  <c r="Q2458" i="4"/>
  <c r="V2458" i="4" s="1"/>
  <c r="S2458" i="4"/>
  <c r="P2458" i="4"/>
  <c r="T2459" i="4"/>
  <c r="J2460" i="4"/>
  <c r="K2460" i="4"/>
  <c r="N2460" i="4" s="1"/>
  <c r="L2460" i="4"/>
  <c r="M2460" i="4"/>
  <c r="O2459" i="4"/>
  <c r="U2459" i="4" s="1"/>
  <c r="X2458" i="4" l="1"/>
  <c r="Y2458" i="4" s="1"/>
  <c r="R2459" i="4"/>
  <c r="W2459" i="4" s="1"/>
  <c r="Q2459" i="4"/>
  <c r="V2459" i="4" s="1"/>
  <c r="S2459" i="4"/>
  <c r="P2459" i="4"/>
  <c r="T2460" i="4"/>
  <c r="O2460" i="4"/>
  <c r="U2460" i="4" s="1"/>
  <c r="J2461" i="4"/>
  <c r="L2461" i="4"/>
  <c r="M2461" i="4"/>
  <c r="K2461" i="4"/>
  <c r="N2461" i="4" s="1"/>
  <c r="X2459" i="4" l="1"/>
  <c r="Y2459" i="4" s="1"/>
  <c r="R2460" i="4"/>
  <c r="W2460" i="4" s="1"/>
  <c r="Q2460" i="4"/>
  <c r="V2460" i="4" s="1"/>
  <c r="S2460" i="4"/>
  <c r="P2460" i="4"/>
  <c r="T2461" i="4"/>
  <c r="J2462" i="4"/>
  <c r="K2462" i="4"/>
  <c r="N2462" i="4" s="1"/>
  <c r="L2462" i="4"/>
  <c r="M2462" i="4"/>
  <c r="O2461" i="4"/>
  <c r="U2461" i="4" s="1"/>
  <c r="X2460" i="4" l="1"/>
  <c r="Y2460" i="4" s="1"/>
  <c r="R2461" i="4"/>
  <c r="W2461" i="4" s="1"/>
  <c r="Q2461" i="4"/>
  <c r="V2461" i="4" s="1"/>
  <c r="S2461" i="4"/>
  <c r="P2461" i="4"/>
  <c r="T2462" i="4"/>
  <c r="O2462" i="4"/>
  <c r="U2462" i="4" s="1"/>
  <c r="J2463" i="4"/>
  <c r="L2463" i="4"/>
  <c r="M2463" i="4"/>
  <c r="K2463" i="4"/>
  <c r="N2463" i="4" s="1"/>
  <c r="X2461" i="4" l="1"/>
  <c r="Y2461" i="4" s="1"/>
  <c r="R2462" i="4"/>
  <c r="W2462" i="4" s="1"/>
  <c r="Q2462" i="4"/>
  <c r="V2462" i="4" s="1"/>
  <c r="X2462" i="4" s="1"/>
  <c r="Y2462" i="4" s="1"/>
  <c r="S2462" i="4"/>
  <c r="P2462" i="4"/>
  <c r="T2463" i="4"/>
  <c r="J2464" i="4"/>
  <c r="L2464" i="4"/>
  <c r="M2464" i="4"/>
  <c r="K2464" i="4"/>
  <c r="N2464" i="4" s="1"/>
  <c r="O2463" i="4"/>
  <c r="U2463" i="4" s="1"/>
  <c r="R2463" i="4" l="1"/>
  <c r="W2463" i="4" s="1"/>
  <c r="Q2463" i="4"/>
  <c r="V2463" i="4" s="1"/>
  <c r="S2463" i="4"/>
  <c r="P2463" i="4"/>
  <c r="T2464" i="4"/>
  <c r="O2464" i="4"/>
  <c r="U2464" i="4" s="1"/>
  <c r="J2465" i="4"/>
  <c r="M2465" i="4"/>
  <c r="K2465" i="4"/>
  <c r="N2465" i="4" s="1"/>
  <c r="L2465" i="4"/>
  <c r="X2463" i="4" l="1"/>
  <c r="Y2463" i="4" s="1"/>
  <c r="R2464" i="4"/>
  <c r="W2464" i="4" s="1"/>
  <c r="Q2464" i="4"/>
  <c r="V2464" i="4" s="1"/>
  <c r="S2464" i="4"/>
  <c r="P2464" i="4"/>
  <c r="T2465" i="4"/>
  <c r="J2466" i="4"/>
  <c r="K2466" i="4"/>
  <c r="N2466" i="4" s="1"/>
  <c r="L2466" i="4"/>
  <c r="M2466" i="4"/>
  <c r="O2465" i="4"/>
  <c r="U2465" i="4" s="1"/>
  <c r="X2464" i="4" l="1"/>
  <c r="Y2464" i="4" s="1"/>
  <c r="R2465" i="4"/>
  <c r="W2465" i="4" s="1"/>
  <c r="Q2465" i="4"/>
  <c r="V2465" i="4" s="1"/>
  <c r="S2465" i="4"/>
  <c r="P2465" i="4"/>
  <c r="T2466" i="4"/>
  <c r="O2466" i="4"/>
  <c r="U2466" i="4" s="1"/>
  <c r="J2467" i="4"/>
  <c r="M2467" i="4"/>
  <c r="K2467" i="4"/>
  <c r="N2467" i="4" s="1"/>
  <c r="L2467" i="4"/>
  <c r="X2465" i="4" l="1"/>
  <c r="Y2465" i="4" s="1"/>
  <c r="R2466" i="4"/>
  <c r="W2466" i="4" s="1"/>
  <c r="Q2466" i="4"/>
  <c r="V2466" i="4" s="1"/>
  <c r="S2466" i="4"/>
  <c r="P2466" i="4"/>
  <c r="T2467" i="4"/>
  <c r="J2468" i="4"/>
  <c r="K2468" i="4"/>
  <c r="N2468" i="4" s="1"/>
  <c r="T2468" i="4" s="1"/>
  <c r="L2468" i="4"/>
  <c r="M2468" i="4"/>
  <c r="O2467" i="4"/>
  <c r="U2467" i="4" s="1"/>
  <c r="X2466" i="4" l="1"/>
  <c r="Y2466" i="4" s="1"/>
  <c r="R2467" i="4"/>
  <c r="W2467" i="4" s="1"/>
  <c r="Q2467" i="4"/>
  <c r="V2467" i="4" s="1"/>
  <c r="S2467" i="4"/>
  <c r="Q2468" i="4"/>
  <c r="V2468" i="4" s="1"/>
  <c r="S2468" i="4"/>
  <c r="P2467" i="4"/>
  <c r="O2468" i="4"/>
  <c r="J2469" i="4"/>
  <c r="M2469" i="4"/>
  <c r="K2469" i="4"/>
  <c r="N2469" i="4" s="1"/>
  <c r="L2469" i="4"/>
  <c r="X2467" i="4" l="1"/>
  <c r="Y2467" i="4" s="1"/>
  <c r="P2468" i="4"/>
  <c r="U2468" i="4"/>
  <c r="T2469" i="4"/>
  <c r="J2470" i="4"/>
  <c r="K2470" i="4"/>
  <c r="N2470" i="4" s="1"/>
  <c r="L2470" i="4"/>
  <c r="M2470" i="4"/>
  <c r="O2469" i="4"/>
  <c r="R2468" i="4" l="1"/>
  <c r="W2468" i="4" s="1"/>
  <c r="X2468" i="4" s="1"/>
  <c r="Y2468" i="4" s="1"/>
  <c r="Q2469" i="4"/>
  <c r="V2469" i="4" s="1"/>
  <c r="S2469" i="4"/>
  <c r="P2469" i="4"/>
  <c r="U2469" i="4"/>
  <c r="T2470" i="4"/>
  <c r="O2470" i="4"/>
  <c r="J2471" i="4"/>
  <c r="M2471" i="4"/>
  <c r="K2471" i="4"/>
  <c r="N2471" i="4" s="1"/>
  <c r="T2471" i="4" s="1"/>
  <c r="L2471" i="4"/>
  <c r="R2469" i="4" l="1"/>
  <c r="W2469" i="4" s="1"/>
  <c r="X2469" i="4" s="1"/>
  <c r="Y2469" i="4" s="1"/>
  <c r="Q2471" i="4"/>
  <c r="V2471" i="4" s="1"/>
  <c r="S2471" i="4"/>
  <c r="Q2470" i="4"/>
  <c r="V2470" i="4" s="1"/>
  <c r="S2470" i="4"/>
  <c r="P2470" i="4"/>
  <c r="U2470" i="4"/>
  <c r="J2472" i="4"/>
  <c r="K2472" i="4"/>
  <c r="N2472" i="4" s="1"/>
  <c r="T2472" i="4" s="1"/>
  <c r="L2472" i="4"/>
  <c r="M2472" i="4"/>
  <c r="O2471" i="4"/>
  <c r="R2470" i="4" l="1"/>
  <c r="W2470" i="4" s="1"/>
  <c r="X2470" i="4" s="1"/>
  <c r="Y2470" i="4" s="1"/>
  <c r="Q2472" i="4"/>
  <c r="V2472" i="4" s="1"/>
  <c r="S2472" i="4"/>
  <c r="P2471" i="4"/>
  <c r="U2471" i="4"/>
  <c r="O2472" i="4"/>
  <c r="U2472" i="4" s="1"/>
  <c r="J2473" i="4"/>
  <c r="M2473" i="4"/>
  <c r="K2473" i="4"/>
  <c r="N2473" i="4" s="1"/>
  <c r="T2473" i="4" s="1"/>
  <c r="L2473" i="4"/>
  <c r="R2472" i="4" l="1"/>
  <c r="W2472" i="4" s="1"/>
  <c r="X2472" i="4" s="1"/>
  <c r="Y2472" i="4" s="1"/>
  <c r="R2471" i="4"/>
  <c r="W2471" i="4" s="1"/>
  <c r="X2471" i="4" s="1"/>
  <c r="Y2471" i="4" s="1"/>
  <c r="Q2473" i="4"/>
  <c r="V2473" i="4" s="1"/>
  <c r="S2473" i="4"/>
  <c r="P2472" i="4"/>
  <c r="J2474" i="4"/>
  <c r="K2474" i="4"/>
  <c r="N2474" i="4" s="1"/>
  <c r="L2474" i="4"/>
  <c r="M2474" i="4"/>
  <c r="O2473" i="4"/>
  <c r="P2473" i="4" l="1"/>
  <c r="U2473" i="4"/>
  <c r="T2474" i="4"/>
  <c r="O2474" i="4"/>
  <c r="J2475" i="4"/>
  <c r="M2475" i="4"/>
  <c r="K2475" i="4"/>
  <c r="N2475" i="4" s="1"/>
  <c r="T2475" i="4" s="1"/>
  <c r="L2475" i="4"/>
  <c r="R2473" i="4" l="1"/>
  <c r="W2473" i="4" s="1"/>
  <c r="X2473" i="4" s="1"/>
  <c r="Y2473" i="4" s="1"/>
  <c r="Q2475" i="4"/>
  <c r="V2475" i="4" s="1"/>
  <c r="S2475" i="4"/>
  <c r="Q2474" i="4"/>
  <c r="V2474" i="4" s="1"/>
  <c r="S2474" i="4"/>
  <c r="P2474" i="4"/>
  <c r="U2474" i="4"/>
  <c r="J2476" i="4"/>
  <c r="K2476" i="4"/>
  <c r="N2476" i="4" s="1"/>
  <c r="L2476" i="4"/>
  <c r="M2476" i="4"/>
  <c r="O2475" i="4"/>
  <c r="U2475" i="4" s="1"/>
  <c r="R2475" i="4" l="1"/>
  <c r="W2475" i="4" s="1"/>
  <c r="X2475" i="4" s="1"/>
  <c r="Y2475" i="4" s="1"/>
  <c r="R2474" i="4"/>
  <c r="W2474" i="4" s="1"/>
  <c r="X2474" i="4" s="1"/>
  <c r="Y2474" i="4" s="1"/>
  <c r="P2475" i="4"/>
  <c r="T2476" i="4"/>
  <c r="O2476" i="4"/>
  <c r="U2476" i="4" s="1"/>
  <c r="J2477" i="4"/>
  <c r="M2477" i="4"/>
  <c r="K2477" i="4"/>
  <c r="N2477" i="4" s="1"/>
  <c r="L2477" i="4"/>
  <c r="R2476" i="4" l="1"/>
  <c r="W2476" i="4" s="1"/>
  <c r="Q2476" i="4"/>
  <c r="V2476" i="4" s="1"/>
  <c r="S2476" i="4"/>
  <c r="P2476" i="4"/>
  <c r="T2477" i="4"/>
  <c r="J2478" i="4"/>
  <c r="K2478" i="4"/>
  <c r="N2478" i="4" s="1"/>
  <c r="L2478" i="4"/>
  <c r="M2478" i="4"/>
  <c r="O2477" i="4"/>
  <c r="U2477" i="4" s="1"/>
  <c r="X2476" i="4" l="1"/>
  <c r="Y2476" i="4" s="1"/>
  <c r="R2477" i="4"/>
  <c r="W2477" i="4" s="1"/>
  <c r="Q2477" i="4"/>
  <c r="V2477" i="4" s="1"/>
  <c r="S2477" i="4"/>
  <c r="P2477" i="4"/>
  <c r="T2478" i="4"/>
  <c r="O2478" i="4"/>
  <c r="U2478" i="4" s="1"/>
  <c r="J2479" i="4"/>
  <c r="M2479" i="4"/>
  <c r="K2479" i="4"/>
  <c r="N2479" i="4" s="1"/>
  <c r="L2479" i="4"/>
  <c r="X2477" i="4" l="1"/>
  <c r="Y2477" i="4" s="1"/>
  <c r="R2478" i="4"/>
  <c r="W2478" i="4" s="1"/>
  <c r="Q2478" i="4"/>
  <c r="V2478" i="4" s="1"/>
  <c r="S2478" i="4"/>
  <c r="P2478" i="4"/>
  <c r="T2479" i="4"/>
  <c r="J2480" i="4"/>
  <c r="K2480" i="4"/>
  <c r="N2480" i="4" s="1"/>
  <c r="L2480" i="4"/>
  <c r="M2480" i="4"/>
  <c r="O2479" i="4"/>
  <c r="X2478" i="4" l="1"/>
  <c r="Y2478" i="4" s="1"/>
  <c r="Q2479" i="4"/>
  <c r="V2479" i="4" s="1"/>
  <c r="S2479" i="4"/>
  <c r="P2479" i="4"/>
  <c r="U2479" i="4"/>
  <c r="T2480" i="4"/>
  <c r="O2480" i="4"/>
  <c r="J2481" i="4"/>
  <c r="M2481" i="4"/>
  <c r="K2481" i="4"/>
  <c r="N2481" i="4" s="1"/>
  <c r="L2481" i="4"/>
  <c r="R2479" i="4" l="1"/>
  <c r="W2479" i="4" s="1"/>
  <c r="X2479" i="4" s="1"/>
  <c r="Y2479" i="4" s="1"/>
  <c r="Q2480" i="4"/>
  <c r="V2480" i="4" s="1"/>
  <c r="S2480" i="4"/>
  <c r="T2481" i="4"/>
  <c r="P2480" i="4"/>
  <c r="U2480" i="4"/>
  <c r="J2482" i="4"/>
  <c r="K2482" i="4"/>
  <c r="N2482" i="4" s="1"/>
  <c r="L2482" i="4"/>
  <c r="M2482" i="4"/>
  <c r="O2481" i="4"/>
  <c r="U2481" i="4" s="1"/>
  <c r="R2480" i="4" l="1"/>
  <c r="W2480" i="4" s="1"/>
  <c r="X2480" i="4" s="1"/>
  <c r="Y2480" i="4" s="1"/>
  <c r="R2481" i="4"/>
  <c r="W2481" i="4" s="1"/>
  <c r="Q2481" i="4"/>
  <c r="V2481" i="4" s="1"/>
  <c r="S2481" i="4"/>
  <c r="P2481" i="4"/>
  <c r="T2482" i="4"/>
  <c r="O2482" i="4"/>
  <c r="U2482" i="4" s="1"/>
  <c r="J2483" i="4"/>
  <c r="M2483" i="4"/>
  <c r="K2483" i="4"/>
  <c r="N2483" i="4" s="1"/>
  <c r="L2483" i="4"/>
  <c r="X2481" i="4" l="1"/>
  <c r="Y2481" i="4" s="1"/>
  <c r="R2482" i="4"/>
  <c r="W2482" i="4" s="1"/>
  <c r="Q2482" i="4"/>
  <c r="V2482" i="4" s="1"/>
  <c r="S2482" i="4"/>
  <c r="P2482" i="4"/>
  <c r="T2483" i="4"/>
  <c r="J2484" i="4"/>
  <c r="K2484" i="4"/>
  <c r="N2484" i="4" s="1"/>
  <c r="L2484" i="4"/>
  <c r="M2484" i="4"/>
  <c r="O2483" i="4"/>
  <c r="U2483" i="4" s="1"/>
  <c r="X2482" i="4" l="1"/>
  <c r="Y2482" i="4" s="1"/>
  <c r="R2483" i="4"/>
  <c r="W2483" i="4" s="1"/>
  <c r="Q2483" i="4"/>
  <c r="V2483" i="4" s="1"/>
  <c r="S2483" i="4"/>
  <c r="P2483" i="4"/>
  <c r="T2484" i="4"/>
  <c r="O2484" i="4"/>
  <c r="U2484" i="4" s="1"/>
  <c r="J2485" i="4"/>
  <c r="M2485" i="4"/>
  <c r="K2485" i="4"/>
  <c r="N2485" i="4" s="1"/>
  <c r="L2485" i="4"/>
  <c r="X2483" i="4" l="1"/>
  <c r="Y2483" i="4" s="1"/>
  <c r="R2484" i="4"/>
  <c r="W2484" i="4" s="1"/>
  <c r="Q2484" i="4"/>
  <c r="V2484" i="4" s="1"/>
  <c r="S2484" i="4"/>
  <c r="P2484" i="4"/>
  <c r="T2485" i="4"/>
  <c r="J2486" i="4"/>
  <c r="K2486" i="4"/>
  <c r="N2486" i="4" s="1"/>
  <c r="L2486" i="4"/>
  <c r="M2486" i="4"/>
  <c r="O2485" i="4"/>
  <c r="U2485" i="4" s="1"/>
  <c r="X2484" i="4" l="1"/>
  <c r="Y2484" i="4" s="1"/>
  <c r="R2485" i="4"/>
  <c r="W2485" i="4" s="1"/>
  <c r="Q2485" i="4"/>
  <c r="V2485" i="4" s="1"/>
  <c r="S2485" i="4"/>
  <c r="P2485" i="4"/>
  <c r="T2486" i="4"/>
  <c r="O2486" i="4"/>
  <c r="U2486" i="4" s="1"/>
  <c r="J2487" i="4"/>
  <c r="M2487" i="4"/>
  <c r="K2487" i="4"/>
  <c r="N2487" i="4" s="1"/>
  <c r="L2487" i="4"/>
  <c r="X2485" i="4" l="1"/>
  <c r="Y2485" i="4" s="1"/>
  <c r="R2486" i="4"/>
  <c r="W2486" i="4" s="1"/>
  <c r="Q2486" i="4"/>
  <c r="V2486" i="4" s="1"/>
  <c r="S2486" i="4"/>
  <c r="P2486" i="4"/>
  <c r="T2487" i="4"/>
  <c r="J2488" i="4"/>
  <c r="K2488" i="4"/>
  <c r="N2488" i="4" s="1"/>
  <c r="L2488" i="4"/>
  <c r="M2488" i="4"/>
  <c r="O2487" i="4"/>
  <c r="U2487" i="4" s="1"/>
  <c r="X2486" i="4" l="1"/>
  <c r="Y2486" i="4" s="1"/>
  <c r="R2487" i="4"/>
  <c r="W2487" i="4" s="1"/>
  <c r="Q2487" i="4"/>
  <c r="V2487" i="4" s="1"/>
  <c r="S2487" i="4"/>
  <c r="P2487" i="4"/>
  <c r="T2488" i="4"/>
  <c r="O2488" i="4"/>
  <c r="U2488" i="4" s="1"/>
  <c r="J2489" i="4"/>
  <c r="M2489" i="4"/>
  <c r="K2489" i="4"/>
  <c r="N2489" i="4" s="1"/>
  <c r="L2489" i="4"/>
  <c r="X2487" i="4" l="1"/>
  <c r="Y2487" i="4" s="1"/>
  <c r="R2488" i="4"/>
  <c r="W2488" i="4" s="1"/>
  <c r="Q2488" i="4"/>
  <c r="V2488" i="4" s="1"/>
  <c r="S2488" i="4"/>
  <c r="P2488" i="4"/>
  <c r="T2489" i="4"/>
  <c r="J2490" i="4"/>
  <c r="K2490" i="4"/>
  <c r="N2490" i="4" s="1"/>
  <c r="L2490" i="4"/>
  <c r="M2490" i="4"/>
  <c r="O2489" i="4"/>
  <c r="U2489" i="4" s="1"/>
  <c r="X2488" i="4" l="1"/>
  <c r="Y2488" i="4" s="1"/>
  <c r="R2489" i="4"/>
  <c r="W2489" i="4" s="1"/>
  <c r="Q2489" i="4"/>
  <c r="V2489" i="4" s="1"/>
  <c r="S2489" i="4"/>
  <c r="P2489" i="4"/>
  <c r="T2490" i="4"/>
  <c r="O2490" i="4"/>
  <c r="U2490" i="4" s="1"/>
  <c r="J2491" i="4"/>
  <c r="M2491" i="4"/>
  <c r="K2491" i="4"/>
  <c r="N2491" i="4" s="1"/>
  <c r="L2491" i="4"/>
  <c r="X2489" i="4" l="1"/>
  <c r="Y2489" i="4" s="1"/>
  <c r="R2490" i="4"/>
  <c r="W2490" i="4" s="1"/>
  <c r="Q2490" i="4"/>
  <c r="V2490" i="4" s="1"/>
  <c r="S2490" i="4"/>
  <c r="P2490" i="4"/>
  <c r="T2491" i="4"/>
  <c r="J2492" i="4"/>
  <c r="K2492" i="4"/>
  <c r="N2492" i="4" s="1"/>
  <c r="T2492" i="4" s="1"/>
  <c r="L2492" i="4"/>
  <c r="M2492" i="4"/>
  <c r="O2491" i="4"/>
  <c r="X2490" i="4" l="1"/>
  <c r="Y2490" i="4" s="1"/>
  <c r="Q2491" i="4"/>
  <c r="V2491" i="4" s="1"/>
  <c r="S2491" i="4"/>
  <c r="Q2492" i="4"/>
  <c r="V2492" i="4" s="1"/>
  <c r="S2492" i="4"/>
  <c r="P2491" i="4"/>
  <c r="U2491" i="4"/>
  <c r="O2492" i="4"/>
  <c r="U2492" i="4" s="1"/>
  <c r="J2493" i="4"/>
  <c r="M2493" i="4"/>
  <c r="K2493" i="4"/>
  <c r="N2493" i="4" s="1"/>
  <c r="L2493" i="4"/>
  <c r="R2491" i="4" l="1"/>
  <c r="W2491" i="4" s="1"/>
  <c r="X2491" i="4" s="1"/>
  <c r="Y2491" i="4" s="1"/>
  <c r="R2492" i="4"/>
  <c r="W2492" i="4" s="1"/>
  <c r="X2492" i="4" s="1"/>
  <c r="Y2492" i="4" s="1"/>
  <c r="T2493" i="4"/>
  <c r="P2492" i="4"/>
  <c r="J2494" i="4"/>
  <c r="K2494" i="4"/>
  <c r="N2494" i="4" s="1"/>
  <c r="L2494" i="4"/>
  <c r="M2494" i="4"/>
  <c r="O2493" i="4"/>
  <c r="Q2493" i="4" l="1"/>
  <c r="V2493" i="4" s="1"/>
  <c r="S2493" i="4"/>
  <c r="P2493" i="4"/>
  <c r="U2493" i="4"/>
  <c r="T2494" i="4"/>
  <c r="O2494" i="4"/>
  <c r="J2495" i="4"/>
  <c r="M2495" i="4"/>
  <c r="K2495" i="4"/>
  <c r="N2495" i="4" s="1"/>
  <c r="T2495" i="4" s="1"/>
  <c r="L2495" i="4"/>
  <c r="R2493" i="4" l="1"/>
  <c r="W2493" i="4" s="1"/>
  <c r="X2493" i="4" s="1"/>
  <c r="Y2493" i="4" s="1"/>
  <c r="Q2495" i="4"/>
  <c r="V2495" i="4" s="1"/>
  <c r="S2495" i="4"/>
  <c r="Q2494" i="4"/>
  <c r="V2494" i="4" s="1"/>
  <c r="S2494" i="4"/>
  <c r="P2494" i="4"/>
  <c r="U2494" i="4"/>
  <c r="J2496" i="4"/>
  <c r="K2496" i="4"/>
  <c r="N2496" i="4" s="1"/>
  <c r="T2496" i="4" s="1"/>
  <c r="L2496" i="4"/>
  <c r="M2496" i="4"/>
  <c r="O2495" i="4"/>
  <c r="U2495" i="4" s="1"/>
  <c r="R2495" i="4" l="1"/>
  <c r="W2495" i="4" s="1"/>
  <c r="X2495" i="4" s="1"/>
  <c r="Y2495" i="4" s="1"/>
  <c r="R2494" i="4"/>
  <c r="W2494" i="4" s="1"/>
  <c r="X2494" i="4" s="1"/>
  <c r="Y2494" i="4" s="1"/>
  <c r="Q2496" i="4"/>
  <c r="V2496" i="4" s="1"/>
  <c r="S2496" i="4"/>
  <c r="P2495" i="4"/>
  <c r="O2496" i="4"/>
  <c r="J2497" i="4"/>
  <c r="M2497" i="4"/>
  <c r="K2497" i="4"/>
  <c r="N2497" i="4" s="1"/>
  <c r="L2497" i="4"/>
  <c r="P2496" i="4" l="1"/>
  <c r="U2496" i="4"/>
  <c r="T2497" i="4"/>
  <c r="J2498" i="4"/>
  <c r="K2498" i="4"/>
  <c r="N2498" i="4" s="1"/>
  <c r="L2498" i="4"/>
  <c r="M2498" i="4"/>
  <c r="O2497" i="4"/>
  <c r="R2496" i="4" l="1"/>
  <c r="W2496" i="4" s="1"/>
  <c r="X2496" i="4" s="1"/>
  <c r="Y2496" i="4" s="1"/>
  <c r="Q2497" i="4"/>
  <c r="V2497" i="4" s="1"/>
  <c r="S2497" i="4"/>
  <c r="T2498" i="4"/>
  <c r="P2497" i="4"/>
  <c r="U2497" i="4"/>
  <c r="O2498" i="4"/>
  <c r="J2499" i="4"/>
  <c r="M2499" i="4"/>
  <c r="K2499" i="4"/>
  <c r="N2499" i="4" s="1"/>
  <c r="L2499" i="4"/>
  <c r="R2497" i="4" l="1"/>
  <c r="W2497" i="4" s="1"/>
  <c r="X2497" i="4" s="1"/>
  <c r="Y2497" i="4" s="1"/>
  <c r="Q2498" i="4"/>
  <c r="V2498" i="4" s="1"/>
  <c r="S2498" i="4"/>
  <c r="P2498" i="4"/>
  <c r="T2499" i="4"/>
  <c r="U2498" i="4"/>
  <c r="J2500" i="4"/>
  <c r="K2500" i="4"/>
  <c r="N2500" i="4" s="1"/>
  <c r="L2500" i="4"/>
  <c r="M2500" i="4"/>
  <c r="O2499" i="4"/>
  <c r="U2499" i="4" s="1"/>
  <c r="R2498" i="4" l="1"/>
  <c r="W2498" i="4" s="1"/>
  <c r="X2498" i="4" s="1"/>
  <c r="Y2498" i="4" s="1"/>
  <c r="R2499" i="4"/>
  <c r="W2499" i="4" s="1"/>
  <c r="Q2499" i="4"/>
  <c r="V2499" i="4" s="1"/>
  <c r="S2499" i="4"/>
  <c r="T2500" i="4"/>
  <c r="P2499" i="4"/>
  <c r="O2500" i="4"/>
  <c r="J2501" i="4"/>
  <c r="M2501" i="4"/>
  <c r="K2501" i="4"/>
  <c r="N2501" i="4" s="1"/>
  <c r="L2501" i="4"/>
  <c r="X2499" i="4" l="1"/>
  <c r="Y2499" i="4" s="1"/>
  <c r="Q2500" i="4"/>
  <c r="V2500" i="4" s="1"/>
  <c r="S2500" i="4"/>
  <c r="P2500" i="4"/>
  <c r="U2500" i="4"/>
  <c r="T2501" i="4"/>
  <c r="J2502" i="4"/>
  <c r="K2502" i="4"/>
  <c r="N2502" i="4" s="1"/>
  <c r="L2502" i="4"/>
  <c r="M2502" i="4"/>
  <c r="O2501" i="4"/>
  <c r="U2501" i="4" s="1"/>
  <c r="R2501" i="4" l="1"/>
  <c r="W2501" i="4" s="1"/>
  <c r="R2500" i="4"/>
  <c r="W2500" i="4" s="1"/>
  <c r="X2500" i="4" s="1"/>
  <c r="Y2500" i="4" s="1"/>
  <c r="Q2501" i="4"/>
  <c r="V2501" i="4" s="1"/>
  <c r="S2501" i="4"/>
  <c r="T2502" i="4"/>
  <c r="P2501" i="4"/>
  <c r="O2502" i="4"/>
  <c r="U2502" i="4" s="1"/>
  <c r="J2503" i="4"/>
  <c r="M2503" i="4"/>
  <c r="K2503" i="4"/>
  <c r="N2503" i="4" s="1"/>
  <c r="L2503" i="4"/>
  <c r="X2501" i="4" l="1"/>
  <c r="Y2501" i="4" s="1"/>
  <c r="R2502" i="4"/>
  <c r="W2502" i="4" s="1"/>
  <c r="Q2502" i="4"/>
  <c r="V2502" i="4" s="1"/>
  <c r="S2502" i="4"/>
  <c r="P2502" i="4"/>
  <c r="T2503" i="4"/>
  <c r="J2504" i="4"/>
  <c r="K2504" i="4"/>
  <c r="N2504" i="4" s="1"/>
  <c r="L2504" i="4"/>
  <c r="M2504" i="4"/>
  <c r="O2503" i="4"/>
  <c r="U2503" i="4" s="1"/>
  <c r="X2502" i="4" l="1"/>
  <c r="Y2502" i="4" s="1"/>
  <c r="R2503" i="4"/>
  <c r="W2503" i="4" s="1"/>
  <c r="Q2503" i="4"/>
  <c r="V2503" i="4" s="1"/>
  <c r="S2503" i="4"/>
  <c r="P2503" i="4"/>
  <c r="T2504" i="4"/>
  <c r="O2504" i="4"/>
  <c r="U2504" i="4" s="1"/>
  <c r="J2505" i="4"/>
  <c r="M2505" i="4"/>
  <c r="K2505" i="4"/>
  <c r="N2505" i="4" s="1"/>
  <c r="L2505" i="4"/>
  <c r="X2503" i="4" l="1"/>
  <c r="Y2503" i="4" s="1"/>
  <c r="R2504" i="4"/>
  <c r="W2504" i="4" s="1"/>
  <c r="Q2504" i="4"/>
  <c r="V2504" i="4" s="1"/>
  <c r="S2504" i="4"/>
  <c r="T2505" i="4"/>
  <c r="P2504" i="4"/>
  <c r="J2506" i="4"/>
  <c r="K2506" i="4"/>
  <c r="N2506" i="4" s="1"/>
  <c r="L2506" i="4"/>
  <c r="M2506" i="4"/>
  <c r="O2505" i="4"/>
  <c r="U2505" i="4" s="1"/>
  <c r="X2504" i="4" l="1"/>
  <c r="Y2504" i="4" s="1"/>
  <c r="R2505" i="4"/>
  <c r="W2505" i="4" s="1"/>
  <c r="Q2505" i="4"/>
  <c r="V2505" i="4" s="1"/>
  <c r="S2505" i="4"/>
  <c r="P2505" i="4"/>
  <c r="T2506" i="4"/>
  <c r="O2506" i="4"/>
  <c r="U2506" i="4" s="1"/>
  <c r="J2507" i="4"/>
  <c r="M2507" i="4"/>
  <c r="K2507" i="4"/>
  <c r="N2507" i="4" s="1"/>
  <c r="L2507" i="4"/>
  <c r="X2505" i="4" l="1"/>
  <c r="Y2505" i="4" s="1"/>
  <c r="R2506" i="4"/>
  <c r="W2506" i="4" s="1"/>
  <c r="Q2506" i="4"/>
  <c r="V2506" i="4" s="1"/>
  <c r="S2506" i="4"/>
  <c r="P2506" i="4"/>
  <c r="T2507" i="4"/>
  <c r="J2508" i="4"/>
  <c r="K2508" i="4"/>
  <c r="N2508" i="4" s="1"/>
  <c r="L2508" i="4"/>
  <c r="M2508" i="4"/>
  <c r="O2507" i="4"/>
  <c r="X2506" i="4" l="1"/>
  <c r="Y2506" i="4" s="1"/>
  <c r="Q2507" i="4"/>
  <c r="V2507" i="4" s="1"/>
  <c r="S2507" i="4"/>
  <c r="P2507" i="4"/>
  <c r="U2507" i="4"/>
  <c r="T2508" i="4"/>
  <c r="O2508" i="4"/>
  <c r="U2508" i="4" s="1"/>
  <c r="J2509" i="4"/>
  <c r="M2509" i="4"/>
  <c r="K2509" i="4"/>
  <c r="N2509" i="4" s="1"/>
  <c r="T2509" i="4" s="1"/>
  <c r="L2509" i="4"/>
  <c r="R2508" i="4" l="1"/>
  <c r="W2508" i="4" s="1"/>
  <c r="R2507" i="4"/>
  <c r="W2507" i="4" s="1"/>
  <c r="X2507" i="4" s="1"/>
  <c r="Y2507" i="4" s="1"/>
  <c r="Q2509" i="4"/>
  <c r="V2509" i="4" s="1"/>
  <c r="S2509" i="4"/>
  <c r="Q2508" i="4"/>
  <c r="V2508" i="4" s="1"/>
  <c r="X2508" i="4" s="1"/>
  <c r="Y2508" i="4" s="1"/>
  <c r="S2508" i="4"/>
  <c r="P2508" i="4"/>
  <c r="J2510" i="4"/>
  <c r="K2510" i="4"/>
  <c r="N2510" i="4" s="1"/>
  <c r="L2510" i="4"/>
  <c r="M2510" i="4"/>
  <c r="O2509" i="4"/>
  <c r="P2509" i="4" l="1"/>
  <c r="T2510" i="4"/>
  <c r="U2509" i="4"/>
  <c r="O2510" i="4"/>
  <c r="U2510" i="4" s="1"/>
  <c r="J2511" i="4"/>
  <c r="M2511" i="4"/>
  <c r="K2511" i="4"/>
  <c r="N2511" i="4" s="1"/>
  <c r="L2511" i="4"/>
  <c r="R2509" i="4" l="1"/>
  <c r="W2509" i="4" s="1"/>
  <c r="X2509" i="4" s="1"/>
  <c r="Y2509" i="4" s="1"/>
  <c r="R2510" i="4"/>
  <c r="W2510" i="4" s="1"/>
  <c r="Q2510" i="4"/>
  <c r="V2510" i="4" s="1"/>
  <c r="S2510" i="4"/>
  <c r="P2510" i="4"/>
  <c r="T2511" i="4"/>
  <c r="J2512" i="4"/>
  <c r="K2512" i="4"/>
  <c r="N2512" i="4" s="1"/>
  <c r="T2512" i="4" s="1"/>
  <c r="L2512" i="4"/>
  <c r="M2512" i="4"/>
  <c r="O2511" i="4"/>
  <c r="U2511" i="4" s="1"/>
  <c r="X2510" i="4" l="1"/>
  <c r="Y2510" i="4" s="1"/>
  <c r="R2511" i="4"/>
  <c r="W2511" i="4" s="1"/>
  <c r="Q2511" i="4"/>
  <c r="V2511" i="4" s="1"/>
  <c r="S2511" i="4"/>
  <c r="Q2512" i="4"/>
  <c r="V2512" i="4" s="1"/>
  <c r="S2512" i="4"/>
  <c r="P2511" i="4"/>
  <c r="O2512" i="4"/>
  <c r="J2513" i="4"/>
  <c r="M2513" i="4"/>
  <c r="K2513" i="4"/>
  <c r="N2513" i="4" s="1"/>
  <c r="L2513" i="4"/>
  <c r="X2511" i="4" l="1"/>
  <c r="Y2511" i="4" s="1"/>
  <c r="P2512" i="4"/>
  <c r="U2512" i="4"/>
  <c r="T2513" i="4"/>
  <c r="J2514" i="4"/>
  <c r="K2514" i="4"/>
  <c r="N2514" i="4" s="1"/>
  <c r="L2514" i="4"/>
  <c r="M2514" i="4"/>
  <c r="O2513" i="4"/>
  <c r="R2512" i="4" l="1"/>
  <c r="W2512" i="4" s="1"/>
  <c r="X2512" i="4" s="1"/>
  <c r="Y2512" i="4" s="1"/>
  <c r="Q2513" i="4"/>
  <c r="V2513" i="4" s="1"/>
  <c r="S2513" i="4"/>
  <c r="T2514" i="4"/>
  <c r="P2513" i="4"/>
  <c r="U2513" i="4"/>
  <c r="O2514" i="4"/>
  <c r="U2514" i="4" s="1"/>
  <c r="J2515" i="4"/>
  <c r="M2515" i="4"/>
  <c r="L2515" i="4"/>
  <c r="K2515" i="4"/>
  <c r="N2515" i="4" s="1"/>
  <c r="R2514" i="4" l="1"/>
  <c r="W2514" i="4" s="1"/>
  <c r="R2513" i="4"/>
  <c r="W2513" i="4" s="1"/>
  <c r="X2513" i="4" s="1"/>
  <c r="Y2513" i="4" s="1"/>
  <c r="Q2514" i="4"/>
  <c r="V2514" i="4" s="1"/>
  <c r="S2514" i="4"/>
  <c r="P2514" i="4"/>
  <c r="T2515" i="4"/>
  <c r="J2516" i="4"/>
  <c r="K2516" i="4"/>
  <c r="N2516" i="4" s="1"/>
  <c r="L2516" i="4"/>
  <c r="M2516" i="4"/>
  <c r="O2515" i="4"/>
  <c r="U2515" i="4" s="1"/>
  <c r="X2514" i="4" l="1"/>
  <c r="Y2514" i="4" s="1"/>
  <c r="R2515" i="4"/>
  <c r="W2515" i="4" s="1"/>
  <c r="Q2515" i="4"/>
  <c r="V2515" i="4" s="1"/>
  <c r="S2515" i="4"/>
  <c r="P2515" i="4"/>
  <c r="T2516" i="4"/>
  <c r="O2516" i="4"/>
  <c r="U2516" i="4" s="1"/>
  <c r="J2517" i="4"/>
  <c r="M2517" i="4"/>
  <c r="K2517" i="4"/>
  <c r="N2517" i="4" s="1"/>
  <c r="L2517" i="4"/>
  <c r="X2515" i="4" l="1"/>
  <c r="Y2515" i="4" s="1"/>
  <c r="R2516" i="4"/>
  <c r="W2516" i="4" s="1"/>
  <c r="Q2516" i="4"/>
  <c r="V2516" i="4" s="1"/>
  <c r="S2516" i="4"/>
  <c r="P2516" i="4"/>
  <c r="T2517" i="4"/>
  <c r="J2518" i="4"/>
  <c r="K2518" i="4"/>
  <c r="N2518" i="4" s="1"/>
  <c r="L2518" i="4"/>
  <c r="M2518" i="4"/>
  <c r="O2517" i="4"/>
  <c r="U2517" i="4" s="1"/>
  <c r="X2516" i="4" l="1"/>
  <c r="Y2516" i="4" s="1"/>
  <c r="R2517" i="4"/>
  <c r="W2517" i="4" s="1"/>
  <c r="Q2517" i="4"/>
  <c r="V2517" i="4" s="1"/>
  <c r="S2517" i="4"/>
  <c r="P2517" i="4"/>
  <c r="T2518" i="4"/>
  <c r="O2518" i="4"/>
  <c r="U2518" i="4" s="1"/>
  <c r="J2519" i="4"/>
  <c r="M2519" i="4"/>
  <c r="K2519" i="4"/>
  <c r="N2519" i="4" s="1"/>
  <c r="L2519" i="4"/>
  <c r="X2517" i="4" l="1"/>
  <c r="Y2517" i="4" s="1"/>
  <c r="R2518" i="4"/>
  <c r="W2518" i="4" s="1"/>
  <c r="Q2518" i="4"/>
  <c r="V2518" i="4" s="1"/>
  <c r="S2518" i="4"/>
  <c r="P2518" i="4"/>
  <c r="T2519" i="4"/>
  <c r="J2520" i="4"/>
  <c r="K2520" i="4"/>
  <c r="N2520" i="4" s="1"/>
  <c r="L2520" i="4"/>
  <c r="M2520" i="4"/>
  <c r="O2519" i="4"/>
  <c r="U2519" i="4" s="1"/>
  <c r="X2518" i="4" l="1"/>
  <c r="Y2518" i="4" s="1"/>
  <c r="R2519" i="4"/>
  <c r="W2519" i="4" s="1"/>
  <c r="Q2519" i="4"/>
  <c r="V2519" i="4" s="1"/>
  <c r="S2519" i="4"/>
  <c r="P2519" i="4"/>
  <c r="T2520" i="4"/>
  <c r="O2520" i="4"/>
  <c r="U2520" i="4" s="1"/>
  <c r="J2521" i="4"/>
  <c r="M2521" i="4"/>
  <c r="K2521" i="4"/>
  <c r="N2521" i="4" s="1"/>
  <c r="L2521" i="4"/>
  <c r="X2519" i="4" l="1"/>
  <c r="Y2519" i="4" s="1"/>
  <c r="R2520" i="4"/>
  <c r="W2520" i="4" s="1"/>
  <c r="Q2520" i="4"/>
  <c r="V2520" i="4" s="1"/>
  <c r="S2520" i="4"/>
  <c r="P2520" i="4"/>
  <c r="T2521" i="4"/>
  <c r="J2522" i="4"/>
  <c r="K2522" i="4"/>
  <c r="N2522" i="4" s="1"/>
  <c r="L2522" i="4"/>
  <c r="M2522" i="4"/>
  <c r="O2521" i="4"/>
  <c r="U2521" i="4" s="1"/>
  <c r="X2520" i="4" l="1"/>
  <c r="Y2520" i="4" s="1"/>
  <c r="R2521" i="4"/>
  <c r="W2521" i="4" s="1"/>
  <c r="Q2521" i="4"/>
  <c r="V2521" i="4" s="1"/>
  <c r="S2521" i="4"/>
  <c r="P2521" i="4"/>
  <c r="T2522" i="4"/>
  <c r="O2522" i="4"/>
  <c r="U2522" i="4" s="1"/>
  <c r="J2523" i="4"/>
  <c r="M2523" i="4"/>
  <c r="K2523" i="4"/>
  <c r="N2523" i="4" s="1"/>
  <c r="L2523" i="4"/>
  <c r="X2521" i="4" l="1"/>
  <c r="Y2521" i="4" s="1"/>
  <c r="R2522" i="4"/>
  <c r="W2522" i="4" s="1"/>
  <c r="Q2522" i="4"/>
  <c r="V2522" i="4" s="1"/>
  <c r="S2522" i="4"/>
  <c r="P2522" i="4"/>
  <c r="T2523" i="4"/>
  <c r="J2524" i="4"/>
  <c r="K2524" i="4"/>
  <c r="N2524" i="4" s="1"/>
  <c r="T2524" i="4" s="1"/>
  <c r="L2524" i="4"/>
  <c r="M2524" i="4"/>
  <c r="O2523" i="4"/>
  <c r="X2522" i="4" l="1"/>
  <c r="Y2522" i="4" s="1"/>
  <c r="Q2524" i="4"/>
  <c r="V2524" i="4" s="1"/>
  <c r="S2524" i="4"/>
  <c r="Q2523" i="4"/>
  <c r="V2523" i="4" s="1"/>
  <c r="S2523" i="4"/>
  <c r="P2523" i="4"/>
  <c r="U2523" i="4"/>
  <c r="O2524" i="4"/>
  <c r="J2525" i="4"/>
  <c r="M2525" i="4"/>
  <c r="K2525" i="4"/>
  <c r="N2525" i="4" s="1"/>
  <c r="T2525" i="4" s="1"/>
  <c r="L2525" i="4"/>
  <c r="R2523" i="4" l="1"/>
  <c r="W2523" i="4" s="1"/>
  <c r="X2523" i="4" s="1"/>
  <c r="Y2523" i="4" s="1"/>
  <c r="Q2525" i="4"/>
  <c r="V2525" i="4" s="1"/>
  <c r="S2525" i="4"/>
  <c r="P2524" i="4"/>
  <c r="U2524" i="4"/>
  <c r="J2526" i="4"/>
  <c r="K2526" i="4"/>
  <c r="N2526" i="4" s="1"/>
  <c r="T2526" i="4" s="1"/>
  <c r="L2526" i="4"/>
  <c r="M2526" i="4"/>
  <c r="O2525" i="4"/>
  <c r="U2525" i="4" s="1"/>
  <c r="R2525" i="4" l="1"/>
  <c r="W2525" i="4" s="1"/>
  <c r="X2525" i="4" s="1"/>
  <c r="Y2525" i="4" s="1"/>
  <c r="R2524" i="4"/>
  <c r="W2524" i="4" s="1"/>
  <c r="X2524" i="4" s="1"/>
  <c r="Y2524" i="4" s="1"/>
  <c r="Q2526" i="4"/>
  <c r="V2526" i="4" s="1"/>
  <c r="S2526" i="4"/>
  <c r="P2525" i="4"/>
  <c r="O2526" i="4"/>
  <c r="J2527" i="4"/>
  <c r="M2527" i="4"/>
  <c r="K2527" i="4"/>
  <c r="N2527" i="4" s="1"/>
  <c r="L2527" i="4"/>
  <c r="P2526" i="4" l="1"/>
  <c r="U2526" i="4"/>
  <c r="T2527" i="4"/>
  <c r="J2528" i="4"/>
  <c r="K2528" i="4"/>
  <c r="N2528" i="4" s="1"/>
  <c r="L2528" i="4"/>
  <c r="M2528" i="4"/>
  <c r="O2527" i="4"/>
  <c r="R2526" i="4" l="1"/>
  <c r="W2526" i="4" s="1"/>
  <c r="X2526" i="4" s="1"/>
  <c r="Y2526" i="4" s="1"/>
  <c r="Q2527" i="4"/>
  <c r="V2527" i="4" s="1"/>
  <c r="S2527" i="4"/>
  <c r="T2528" i="4"/>
  <c r="P2527" i="4"/>
  <c r="U2527" i="4"/>
  <c r="O2528" i="4"/>
  <c r="U2528" i="4" s="1"/>
  <c r="J2529" i="4"/>
  <c r="M2529" i="4"/>
  <c r="K2529" i="4"/>
  <c r="N2529" i="4" s="1"/>
  <c r="L2529" i="4"/>
  <c r="R2527" i="4" l="1"/>
  <c r="W2527" i="4" s="1"/>
  <c r="X2527" i="4" s="1"/>
  <c r="Y2527" i="4" s="1"/>
  <c r="R2528" i="4"/>
  <c r="W2528" i="4" s="1"/>
  <c r="Q2528" i="4"/>
  <c r="V2528" i="4" s="1"/>
  <c r="S2528" i="4"/>
  <c r="P2528" i="4"/>
  <c r="T2529" i="4"/>
  <c r="J2530" i="4"/>
  <c r="K2530" i="4"/>
  <c r="N2530" i="4" s="1"/>
  <c r="L2530" i="4"/>
  <c r="M2530" i="4"/>
  <c r="O2529" i="4"/>
  <c r="U2529" i="4" s="1"/>
  <c r="X2528" i="4" l="1"/>
  <c r="Y2528" i="4" s="1"/>
  <c r="R2529" i="4"/>
  <c r="W2529" i="4" s="1"/>
  <c r="Q2529" i="4"/>
  <c r="V2529" i="4" s="1"/>
  <c r="S2529" i="4"/>
  <c r="P2529" i="4"/>
  <c r="T2530" i="4"/>
  <c r="O2530" i="4"/>
  <c r="U2530" i="4" s="1"/>
  <c r="J2531" i="4"/>
  <c r="M2531" i="4"/>
  <c r="L2531" i="4"/>
  <c r="K2531" i="4"/>
  <c r="N2531" i="4" s="1"/>
  <c r="X2529" i="4" l="1"/>
  <c r="Y2529" i="4" s="1"/>
  <c r="R2530" i="4"/>
  <c r="W2530" i="4" s="1"/>
  <c r="Q2530" i="4"/>
  <c r="V2530" i="4" s="1"/>
  <c r="S2530" i="4"/>
  <c r="P2530" i="4"/>
  <c r="T2531" i="4"/>
  <c r="J2532" i="4"/>
  <c r="K2532" i="4"/>
  <c r="N2532" i="4" s="1"/>
  <c r="L2532" i="4"/>
  <c r="M2532" i="4"/>
  <c r="O2531" i="4"/>
  <c r="X2530" i="4" l="1"/>
  <c r="Y2530" i="4" s="1"/>
  <c r="Q2531" i="4"/>
  <c r="V2531" i="4" s="1"/>
  <c r="S2531" i="4"/>
  <c r="P2531" i="4"/>
  <c r="U2531" i="4"/>
  <c r="T2532" i="4"/>
  <c r="O2532" i="4"/>
  <c r="J2533" i="4"/>
  <c r="M2533" i="4"/>
  <c r="K2533" i="4"/>
  <c r="N2533" i="4" s="1"/>
  <c r="T2533" i="4" s="1"/>
  <c r="L2533" i="4"/>
  <c r="R2531" i="4" l="1"/>
  <c r="W2531" i="4" s="1"/>
  <c r="X2531" i="4" s="1"/>
  <c r="Y2531" i="4" s="1"/>
  <c r="Q2533" i="4"/>
  <c r="V2533" i="4" s="1"/>
  <c r="S2533" i="4"/>
  <c r="Q2532" i="4"/>
  <c r="V2532" i="4" s="1"/>
  <c r="S2532" i="4"/>
  <c r="P2532" i="4"/>
  <c r="U2532" i="4"/>
  <c r="J2534" i="4"/>
  <c r="K2534" i="4"/>
  <c r="N2534" i="4" s="1"/>
  <c r="T2534" i="4" s="1"/>
  <c r="L2534" i="4"/>
  <c r="M2534" i="4"/>
  <c r="O2533" i="4"/>
  <c r="U2533" i="4" s="1"/>
  <c r="R2533" i="4" l="1"/>
  <c r="W2533" i="4" s="1"/>
  <c r="X2533" i="4" s="1"/>
  <c r="Y2533" i="4" s="1"/>
  <c r="R2532" i="4"/>
  <c r="W2532" i="4" s="1"/>
  <c r="X2532" i="4" s="1"/>
  <c r="Y2532" i="4" s="1"/>
  <c r="Q2534" i="4"/>
  <c r="V2534" i="4" s="1"/>
  <c r="S2534" i="4"/>
  <c r="P2533" i="4"/>
  <c r="O2534" i="4"/>
  <c r="J2535" i="4"/>
  <c r="M2535" i="4"/>
  <c r="K2535" i="4"/>
  <c r="N2535" i="4" s="1"/>
  <c r="L2535" i="4"/>
  <c r="P2534" i="4" l="1"/>
  <c r="U2534" i="4"/>
  <c r="T2535" i="4"/>
  <c r="J2536" i="4"/>
  <c r="K2536" i="4"/>
  <c r="N2536" i="4" s="1"/>
  <c r="L2536" i="4"/>
  <c r="M2536" i="4"/>
  <c r="O2535" i="4"/>
  <c r="R2534" i="4" l="1"/>
  <c r="W2534" i="4" s="1"/>
  <c r="X2534" i="4" s="1"/>
  <c r="Y2534" i="4" s="1"/>
  <c r="Q2535" i="4"/>
  <c r="V2535" i="4" s="1"/>
  <c r="S2535" i="4"/>
  <c r="P2535" i="4"/>
  <c r="U2535" i="4"/>
  <c r="T2536" i="4"/>
  <c r="O2536" i="4"/>
  <c r="U2536" i="4" s="1"/>
  <c r="J2537" i="4"/>
  <c r="M2537" i="4"/>
  <c r="K2537" i="4"/>
  <c r="N2537" i="4" s="1"/>
  <c r="L2537" i="4"/>
  <c r="R2535" i="4" l="1"/>
  <c r="W2535" i="4" s="1"/>
  <c r="X2535" i="4" s="1"/>
  <c r="Y2535" i="4" s="1"/>
  <c r="R2536" i="4"/>
  <c r="W2536" i="4" s="1"/>
  <c r="Q2536" i="4"/>
  <c r="V2536" i="4" s="1"/>
  <c r="S2536" i="4"/>
  <c r="P2536" i="4"/>
  <c r="T2537" i="4"/>
  <c r="J2538" i="4"/>
  <c r="K2538" i="4"/>
  <c r="N2538" i="4" s="1"/>
  <c r="T2538" i="4" s="1"/>
  <c r="L2538" i="4"/>
  <c r="M2538" i="4"/>
  <c r="O2537" i="4"/>
  <c r="X2536" i="4" l="1"/>
  <c r="Y2536" i="4" s="1"/>
  <c r="Q2537" i="4"/>
  <c r="V2537" i="4" s="1"/>
  <c r="S2537" i="4"/>
  <c r="Q2538" i="4"/>
  <c r="V2538" i="4" s="1"/>
  <c r="S2538" i="4"/>
  <c r="P2537" i="4"/>
  <c r="U2537" i="4"/>
  <c r="O2538" i="4"/>
  <c r="U2538" i="4" s="1"/>
  <c r="J2539" i="4"/>
  <c r="M2539" i="4"/>
  <c r="K2539" i="4"/>
  <c r="N2539" i="4" s="1"/>
  <c r="L2539" i="4"/>
  <c r="R2537" i="4" l="1"/>
  <c r="W2537" i="4" s="1"/>
  <c r="X2537" i="4" s="1"/>
  <c r="Y2537" i="4" s="1"/>
  <c r="R2538" i="4"/>
  <c r="W2538" i="4" s="1"/>
  <c r="X2538" i="4" s="1"/>
  <c r="Y2538" i="4" s="1"/>
  <c r="T2539" i="4"/>
  <c r="P2538" i="4"/>
  <c r="J2540" i="4"/>
  <c r="K2540" i="4"/>
  <c r="N2540" i="4" s="1"/>
  <c r="L2540" i="4"/>
  <c r="M2540" i="4"/>
  <c r="O2539" i="4"/>
  <c r="U2539" i="4" s="1"/>
  <c r="R2539" i="4" l="1"/>
  <c r="W2539" i="4" s="1"/>
  <c r="Q2539" i="4"/>
  <c r="V2539" i="4" s="1"/>
  <c r="S2539" i="4"/>
  <c r="P2539" i="4"/>
  <c r="T2540" i="4"/>
  <c r="O2540" i="4"/>
  <c r="U2540" i="4" s="1"/>
  <c r="J2541" i="4"/>
  <c r="M2541" i="4"/>
  <c r="K2541" i="4"/>
  <c r="N2541" i="4" s="1"/>
  <c r="L2541" i="4"/>
  <c r="X2539" i="4" l="1"/>
  <c r="Y2539" i="4" s="1"/>
  <c r="R2540" i="4"/>
  <c r="W2540" i="4" s="1"/>
  <c r="Q2540" i="4"/>
  <c r="V2540" i="4" s="1"/>
  <c r="S2540" i="4"/>
  <c r="P2540" i="4"/>
  <c r="T2541" i="4"/>
  <c r="J2542" i="4"/>
  <c r="K2542" i="4"/>
  <c r="N2542" i="4" s="1"/>
  <c r="L2542" i="4"/>
  <c r="M2542" i="4"/>
  <c r="O2541" i="4"/>
  <c r="U2541" i="4" s="1"/>
  <c r="X2540" i="4" l="1"/>
  <c r="Y2540" i="4" s="1"/>
  <c r="R2541" i="4"/>
  <c r="W2541" i="4" s="1"/>
  <c r="Q2541" i="4"/>
  <c r="V2541" i="4" s="1"/>
  <c r="S2541" i="4"/>
  <c r="P2541" i="4"/>
  <c r="T2542" i="4"/>
  <c r="O2542" i="4"/>
  <c r="U2542" i="4" s="1"/>
  <c r="J2543" i="4"/>
  <c r="M2543" i="4"/>
  <c r="K2543" i="4"/>
  <c r="N2543" i="4" s="1"/>
  <c r="L2543" i="4"/>
  <c r="X2541" i="4" l="1"/>
  <c r="Y2541" i="4" s="1"/>
  <c r="R2542" i="4"/>
  <c r="W2542" i="4" s="1"/>
  <c r="Q2542" i="4"/>
  <c r="V2542" i="4" s="1"/>
  <c r="S2542" i="4"/>
  <c r="P2542" i="4"/>
  <c r="T2543" i="4"/>
  <c r="J2544" i="4"/>
  <c r="K2544" i="4"/>
  <c r="N2544" i="4" s="1"/>
  <c r="L2544" i="4"/>
  <c r="M2544" i="4"/>
  <c r="O2543" i="4"/>
  <c r="U2543" i="4" s="1"/>
  <c r="X2542" i="4" l="1"/>
  <c r="Y2542" i="4" s="1"/>
  <c r="R2543" i="4"/>
  <c r="W2543" i="4" s="1"/>
  <c r="Q2543" i="4"/>
  <c r="V2543" i="4" s="1"/>
  <c r="S2543" i="4"/>
  <c r="P2543" i="4"/>
  <c r="T2544" i="4"/>
  <c r="O2544" i="4"/>
  <c r="U2544" i="4" s="1"/>
  <c r="J2545" i="4"/>
  <c r="M2545" i="4"/>
  <c r="K2545" i="4"/>
  <c r="N2545" i="4" s="1"/>
  <c r="L2545" i="4"/>
  <c r="X2543" i="4" l="1"/>
  <c r="Y2543" i="4" s="1"/>
  <c r="R2544" i="4"/>
  <c r="W2544" i="4" s="1"/>
  <c r="Q2544" i="4"/>
  <c r="V2544" i="4" s="1"/>
  <c r="S2544" i="4"/>
  <c r="P2544" i="4"/>
  <c r="T2545" i="4"/>
  <c r="J2546" i="4"/>
  <c r="M2546" i="4"/>
  <c r="K2546" i="4"/>
  <c r="N2546" i="4" s="1"/>
  <c r="L2546" i="4"/>
  <c r="O2545" i="4"/>
  <c r="X2544" i="4" l="1"/>
  <c r="Y2544" i="4" s="1"/>
  <c r="Q2545" i="4"/>
  <c r="V2545" i="4" s="1"/>
  <c r="S2545" i="4"/>
  <c r="P2545" i="4"/>
  <c r="U2545" i="4"/>
  <c r="T2546" i="4"/>
  <c r="O2546" i="4"/>
  <c r="J2547" i="4"/>
  <c r="L2547" i="4"/>
  <c r="M2547" i="4"/>
  <c r="K2547" i="4"/>
  <c r="N2547" i="4" s="1"/>
  <c r="T2547" i="4" s="1"/>
  <c r="R2545" i="4" l="1"/>
  <c r="W2545" i="4" s="1"/>
  <c r="X2545" i="4" s="1"/>
  <c r="Y2545" i="4" s="1"/>
  <c r="Q2547" i="4"/>
  <c r="V2547" i="4" s="1"/>
  <c r="S2547" i="4"/>
  <c r="Q2546" i="4"/>
  <c r="V2546" i="4" s="1"/>
  <c r="S2546" i="4"/>
  <c r="P2546" i="4"/>
  <c r="U2546" i="4"/>
  <c r="J2548" i="4"/>
  <c r="L2548" i="4"/>
  <c r="M2548" i="4"/>
  <c r="K2548" i="4"/>
  <c r="N2548" i="4" s="1"/>
  <c r="O2547" i="4"/>
  <c r="U2547" i="4" s="1"/>
  <c r="R2547" i="4" l="1"/>
  <c r="W2547" i="4" s="1"/>
  <c r="X2547" i="4" s="1"/>
  <c r="Y2547" i="4" s="1"/>
  <c r="R2546" i="4"/>
  <c r="W2546" i="4" s="1"/>
  <c r="X2546" i="4" s="1"/>
  <c r="Y2546" i="4" s="1"/>
  <c r="P2547" i="4"/>
  <c r="T2548" i="4"/>
  <c r="O2548" i="4"/>
  <c r="U2548" i="4" s="1"/>
  <c r="J2549" i="4"/>
  <c r="L2549" i="4"/>
  <c r="K2549" i="4"/>
  <c r="N2549" i="4" s="1"/>
  <c r="M2549" i="4"/>
  <c r="R2548" i="4" l="1"/>
  <c r="W2548" i="4" s="1"/>
  <c r="Q2548" i="4"/>
  <c r="V2548" i="4" s="1"/>
  <c r="S2548" i="4"/>
  <c r="P2548" i="4"/>
  <c r="T2549" i="4"/>
  <c r="J2550" i="4"/>
  <c r="K2550" i="4"/>
  <c r="N2550" i="4" s="1"/>
  <c r="L2550" i="4"/>
  <c r="M2550" i="4"/>
  <c r="O2549" i="4"/>
  <c r="X2548" i="4" l="1"/>
  <c r="Y2548" i="4" s="1"/>
  <c r="Q2549" i="4"/>
  <c r="V2549" i="4" s="1"/>
  <c r="S2549" i="4"/>
  <c r="P2549" i="4"/>
  <c r="U2549" i="4"/>
  <c r="T2550" i="4"/>
  <c r="O2550" i="4"/>
  <c r="J2551" i="4"/>
  <c r="L2551" i="4"/>
  <c r="K2551" i="4"/>
  <c r="N2551" i="4" s="1"/>
  <c r="M2551" i="4"/>
  <c r="R2549" i="4" l="1"/>
  <c r="W2549" i="4" s="1"/>
  <c r="X2549" i="4" s="1"/>
  <c r="Y2549" i="4" s="1"/>
  <c r="Q2550" i="4"/>
  <c r="V2550" i="4" s="1"/>
  <c r="S2550" i="4"/>
  <c r="T2551" i="4"/>
  <c r="P2550" i="4"/>
  <c r="U2550" i="4"/>
  <c r="J2552" i="4"/>
  <c r="K2552" i="4"/>
  <c r="N2552" i="4" s="1"/>
  <c r="L2552" i="4"/>
  <c r="M2552" i="4"/>
  <c r="O2551" i="4"/>
  <c r="U2551" i="4" s="1"/>
  <c r="R2550" i="4" l="1"/>
  <c r="W2550" i="4" s="1"/>
  <c r="X2550" i="4" s="1"/>
  <c r="Y2550" i="4" s="1"/>
  <c r="R2551" i="4"/>
  <c r="W2551" i="4" s="1"/>
  <c r="Q2551" i="4"/>
  <c r="V2551" i="4" s="1"/>
  <c r="S2551" i="4"/>
  <c r="P2551" i="4"/>
  <c r="T2552" i="4"/>
  <c r="O2552" i="4"/>
  <c r="U2552" i="4" s="1"/>
  <c r="J2553" i="4"/>
  <c r="L2553" i="4"/>
  <c r="K2553" i="4"/>
  <c r="N2553" i="4" s="1"/>
  <c r="M2553" i="4"/>
  <c r="X2551" i="4" l="1"/>
  <c r="Y2551" i="4" s="1"/>
  <c r="R2552" i="4"/>
  <c r="W2552" i="4" s="1"/>
  <c r="Q2552" i="4"/>
  <c r="V2552" i="4" s="1"/>
  <c r="S2552" i="4"/>
  <c r="P2552" i="4"/>
  <c r="T2553" i="4"/>
  <c r="J2554" i="4"/>
  <c r="M2554" i="4"/>
  <c r="K2554" i="4"/>
  <c r="N2554" i="4" s="1"/>
  <c r="L2554" i="4"/>
  <c r="O2553" i="4"/>
  <c r="U2553" i="4" s="1"/>
  <c r="X2552" i="4" l="1"/>
  <c r="Y2552" i="4" s="1"/>
  <c r="R2553" i="4"/>
  <c r="W2553" i="4" s="1"/>
  <c r="Q2553" i="4"/>
  <c r="V2553" i="4" s="1"/>
  <c r="S2553" i="4"/>
  <c r="P2553" i="4"/>
  <c r="T2554" i="4"/>
  <c r="O2554" i="4"/>
  <c r="U2554" i="4" s="1"/>
  <c r="J2555" i="4"/>
  <c r="L2555" i="4"/>
  <c r="M2555" i="4"/>
  <c r="K2555" i="4"/>
  <c r="N2555" i="4" s="1"/>
  <c r="X2553" i="4" l="1"/>
  <c r="Y2553" i="4" s="1"/>
  <c r="R2554" i="4"/>
  <c r="W2554" i="4" s="1"/>
  <c r="Q2554" i="4"/>
  <c r="V2554" i="4" s="1"/>
  <c r="S2554" i="4"/>
  <c r="P2554" i="4"/>
  <c r="T2555" i="4"/>
  <c r="J2556" i="4"/>
  <c r="L2556" i="4"/>
  <c r="M2556" i="4"/>
  <c r="K2556" i="4"/>
  <c r="N2556" i="4" s="1"/>
  <c r="O2555" i="4"/>
  <c r="U2555" i="4" s="1"/>
  <c r="X2554" i="4" l="1"/>
  <c r="Y2554" i="4" s="1"/>
  <c r="R2555" i="4"/>
  <c r="W2555" i="4" s="1"/>
  <c r="Q2555" i="4"/>
  <c r="V2555" i="4" s="1"/>
  <c r="S2555" i="4"/>
  <c r="P2555" i="4"/>
  <c r="T2556" i="4"/>
  <c r="O2556" i="4"/>
  <c r="U2556" i="4" s="1"/>
  <c r="J2557" i="4"/>
  <c r="L2557" i="4"/>
  <c r="K2557" i="4"/>
  <c r="N2557" i="4" s="1"/>
  <c r="M2557" i="4"/>
  <c r="X2555" i="4" l="1"/>
  <c r="Y2555" i="4" s="1"/>
  <c r="R2556" i="4"/>
  <c r="W2556" i="4" s="1"/>
  <c r="Q2556" i="4"/>
  <c r="V2556" i="4" s="1"/>
  <c r="S2556" i="4"/>
  <c r="P2556" i="4"/>
  <c r="T2557" i="4"/>
  <c r="J2558" i="4"/>
  <c r="K2558" i="4"/>
  <c r="N2558" i="4" s="1"/>
  <c r="L2558" i="4"/>
  <c r="M2558" i="4"/>
  <c r="O2557" i="4"/>
  <c r="U2557" i="4" s="1"/>
  <c r="X2556" i="4" l="1"/>
  <c r="Y2556" i="4" s="1"/>
  <c r="R2557" i="4"/>
  <c r="W2557" i="4" s="1"/>
  <c r="Q2557" i="4"/>
  <c r="V2557" i="4" s="1"/>
  <c r="S2557" i="4"/>
  <c r="P2557" i="4"/>
  <c r="T2558" i="4"/>
  <c r="O2558" i="4"/>
  <c r="U2558" i="4" s="1"/>
  <c r="J2559" i="4"/>
  <c r="L2559" i="4"/>
  <c r="K2559" i="4"/>
  <c r="N2559" i="4" s="1"/>
  <c r="M2559" i="4"/>
  <c r="X2557" i="4" l="1"/>
  <c r="Y2557" i="4" s="1"/>
  <c r="R2558" i="4"/>
  <c r="W2558" i="4" s="1"/>
  <c r="Q2558" i="4"/>
  <c r="V2558" i="4" s="1"/>
  <c r="S2558" i="4"/>
  <c r="P2558" i="4"/>
  <c r="T2559" i="4"/>
  <c r="J2560" i="4"/>
  <c r="K2560" i="4"/>
  <c r="N2560" i="4" s="1"/>
  <c r="L2560" i="4"/>
  <c r="M2560" i="4"/>
  <c r="O2559" i="4"/>
  <c r="U2559" i="4" s="1"/>
  <c r="X2558" i="4" l="1"/>
  <c r="Y2558" i="4" s="1"/>
  <c r="R2559" i="4"/>
  <c r="W2559" i="4" s="1"/>
  <c r="Q2559" i="4"/>
  <c r="V2559" i="4" s="1"/>
  <c r="S2559" i="4"/>
  <c r="P2559" i="4"/>
  <c r="T2560" i="4"/>
  <c r="O2560" i="4"/>
  <c r="U2560" i="4" s="1"/>
  <c r="J2561" i="4"/>
  <c r="L2561" i="4"/>
  <c r="K2561" i="4"/>
  <c r="N2561" i="4" s="1"/>
  <c r="M2561" i="4"/>
  <c r="X2559" i="4" l="1"/>
  <c r="Y2559" i="4" s="1"/>
  <c r="R2560" i="4"/>
  <c r="W2560" i="4" s="1"/>
  <c r="Q2560" i="4"/>
  <c r="V2560" i="4" s="1"/>
  <c r="S2560" i="4"/>
  <c r="P2560" i="4"/>
  <c r="T2561" i="4"/>
  <c r="J2562" i="4"/>
  <c r="M2562" i="4"/>
  <c r="K2562" i="4"/>
  <c r="N2562" i="4" s="1"/>
  <c r="L2562" i="4"/>
  <c r="O2561" i="4"/>
  <c r="U2561" i="4" s="1"/>
  <c r="X2560" i="4" l="1"/>
  <c r="Y2560" i="4" s="1"/>
  <c r="R2561" i="4"/>
  <c r="W2561" i="4" s="1"/>
  <c r="Q2561" i="4"/>
  <c r="V2561" i="4" s="1"/>
  <c r="S2561" i="4"/>
  <c r="P2561" i="4"/>
  <c r="T2562" i="4"/>
  <c r="O2562" i="4"/>
  <c r="U2562" i="4" s="1"/>
  <c r="J2563" i="4"/>
  <c r="L2563" i="4"/>
  <c r="M2563" i="4"/>
  <c r="K2563" i="4"/>
  <c r="N2563" i="4" s="1"/>
  <c r="X2561" i="4" l="1"/>
  <c r="Y2561" i="4" s="1"/>
  <c r="R2562" i="4"/>
  <c r="W2562" i="4" s="1"/>
  <c r="Q2562" i="4"/>
  <c r="V2562" i="4" s="1"/>
  <c r="S2562" i="4"/>
  <c r="P2562" i="4"/>
  <c r="T2563" i="4"/>
  <c r="J2564" i="4"/>
  <c r="L2564" i="4"/>
  <c r="M2564" i="4"/>
  <c r="K2564" i="4"/>
  <c r="N2564" i="4" s="1"/>
  <c r="O2563" i="4"/>
  <c r="U2563" i="4" s="1"/>
  <c r="X2562" i="4" l="1"/>
  <c r="Y2562" i="4" s="1"/>
  <c r="R2563" i="4"/>
  <c r="W2563" i="4" s="1"/>
  <c r="Q2563" i="4"/>
  <c r="V2563" i="4" s="1"/>
  <c r="S2563" i="4"/>
  <c r="P2563" i="4"/>
  <c r="T2564" i="4"/>
  <c r="O2564" i="4"/>
  <c r="U2564" i="4" s="1"/>
  <c r="J2565" i="4"/>
  <c r="L2565" i="4"/>
  <c r="K2565" i="4"/>
  <c r="N2565" i="4" s="1"/>
  <c r="M2565" i="4"/>
  <c r="X2563" i="4" l="1"/>
  <c r="Y2563" i="4" s="1"/>
  <c r="R2564" i="4"/>
  <c r="W2564" i="4" s="1"/>
  <c r="Q2564" i="4"/>
  <c r="V2564" i="4" s="1"/>
  <c r="S2564" i="4"/>
  <c r="P2564" i="4"/>
  <c r="T2565" i="4"/>
  <c r="J2566" i="4"/>
  <c r="K2566" i="4"/>
  <c r="N2566" i="4" s="1"/>
  <c r="L2566" i="4"/>
  <c r="M2566" i="4"/>
  <c r="O2565" i="4"/>
  <c r="X2564" i="4" l="1"/>
  <c r="Y2564" i="4" s="1"/>
  <c r="Q2565" i="4"/>
  <c r="V2565" i="4" s="1"/>
  <c r="S2565" i="4"/>
  <c r="P2565" i="4"/>
  <c r="U2565" i="4"/>
  <c r="T2566" i="4"/>
  <c r="O2566" i="4"/>
  <c r="J2567" i="4"/>
  <c r="L2567" i="4"/>
  <c r="K2567" i="4"/>
  <c r="N2567" i="4" s="1"/>
  <c r="M2567" i="4"/>
  <c r="R2565" i="4" l="1"/>
  <c r="W2565" i="4" s="1"/>
  <c r="X2565" i="4" s="1"/>
  <c r="Y2565" i="4" s="1"/>
  <c r="Q2566" i="4"/>
  <c r="V2566" i="4" s="1"/>
  <c r="S2566" i="4"/>
  <c r="T2567" i="4"/>
  <c r="P2566" i="4"/>
  <c r="U2566" i="4"/>
  <c r="J2568" i="4"/>
  <c r="K2568" i="4"/>
  <c r="N2568" i="4" s="1"/>
  <c r="L2568" i="4"/>
  <c r="M2568" i="4"/>
  <c r="O2567" i="4"/>
  <c r="U2567" i="4" s="1"/>
  <c r="R2567" i="4" l="1"/>
  <c r="W2567" i="4" s="1"/>
  <c r="R2566" i="4"/>
  <c r="W2566" i="4" s="1"/>
  <c r="X2566" i="4" s="1"/>
  <c r="Y2566" i="4" s="1"/>
  <c r="Q2567" i="4"/>
  <c r="V2567" i="4" s="1"/>
  <c r="S2567" i="4"/>
  <c r="P2567" i="4"/>
  <c r="T2568" i="4"/>
  <c r="O2568" i="4"/>
  <c r="U2568" i="4" s="1"/>
  <c r="J2569" i="4"/>
  <c r="L2569" i="4"/>
  <c r="K2569" i="4"/>
  <c r="N2569" i="4" s="1"/>
  <c r="M2569" i="4"/>
  <c r="X2567" i="4" l="1"/>
  <c r="Y2567" i="4" s="1"/>
  <c r="R2568" i="4"/>
  <c r="W2568" i="4" s="1"/>
  <c r="Q2568" i="4"/>
  <c r="V2568" i="4" s="1"/>
  <c r="S2568" i="4"/>
  <c r="P2568" i="4"/>
  <c r="T2569" i="4"/>
  <c r="J2570" i="4"/>
  <c r="M2570" i="4"/>
  <c r="K2570" i="4"/>
  <c r="N2570" i="4" s="1"/>
  <c r="L2570" i="4"/>
  <c r="O2569" i="4"/>
  <c r="U2569" i="4" s="1"/>
  <c r="X2568" i="4" l="1"/>
  <c r="Y2568" i="4" s="1"/>
  <c r="R2569" i="4"/>
  <c r="W2569" i="4" s="1"/>
  <c r="Q2569" i="4"/>
  <c r="V2569" i="4" s="1"/>
  <c r="S2569" i="4"/>
  <c r="P2569" i="4"/>
  <c r="T2570" i="4"/>
  <c r="O2570" i="4"/>
  <c r="U2570" i="4" s="1"/>
  <c r="J2571" i="4"/>
  <c r="L2571" i="4"/>
  <c r="M2571" i="4"/>
  <c r="K2571" i="4"/>
  <c r="N2571" i="4" s="1"/>
  <c r="X2569" i="4" l="1"/>
  <c r="Y2569" i="4" s="1"/>
  <c r="R2570" i="4"/>
  <c r="W2570" i="4" s="1"/>
  <c r="Q2570" i="4"/>
  <c r="V2570" i="4" s="1"/>
  <c r="S2570" i="4"/>
  <c r="P2570" i="4"/>
  <c r="T2571" i="4"/>
  <c r="O2571" i="4"/>
  <c r="U2571" i="4" s="1"/>
  <c r="J2572" i="4"/>
  <c r="L2572" i="4"/>
  <c r="M2572" i="4"/>
  <c r="K2572" i="4"/>
  <c r="N2572" i="4" s="1"/>
  <c r="X2570" i="4" l="1"/>
  <c r="Y2570" i="4" s="1"/>
  <c r="R2571" i="4"/>
  <c r="W2571" i="4" s="1"/>
  <c r="Q2571" i="4"/>
  <c r="V2571" i="4" s="1"/>
  <c r="S2571" i="4"/>
  <c r="P2571" i="4"/>
  <c r="T2572" i="4"/>
  <c r="J2573" i="4"/>
  <c r="L2573" i="4"/>
  <c r="K2573" i="4"/>
  <c r="N2573" i="4" s="1"/>
  <c r="M2573" i="4"/>
  <c r="O2572" i="4"/>
  <c r="U2572" i="4" s="1"/>
  <c r="X2571" i="4" l="1"/>
  <c r="Y2571" i="4" s="1"/>
  <c r="R2572" i="4"/>
  <c r="W2572" i="4" s="1"/>
  <c r="Q2572" i="4"/>
  <c r="V2572" i="4" s="1"/>
  <c r="S2572" i="4"/>
  <c r="P2572" i="4"/>
  <c r="T2573" i="4"/>
  <c r="O2573" i="4"/>
  <c r="U2573" i="4" s="1"/>
  <c r="J2574" i="4"/>
  <c r="K2574" i="4"/>
  <c r="N2574" i="4" s="1"/>
  <c r="L2574" i="4"/>
  <c r="M2574" i="4"/>
  <c r="X2572" i="4" l="1"/>
  <c r="Y2572" i="4" s="1"/>
  <c r="R2573" i="4"/>
  <c r="W2573" i="4" s="1"/>
  <c r="Q2573" i="4"/>
  <c r="V2573" i="4" s="1"/>
  <c r="S2573" i="4"/>
  <c r="P2573" i="4"/>
  <c r="T2574" i="4"/>
  <c r="O2574" i="4"/>
  <c r="U2574" i="4" s="1"/>
  <c r="J2575" i="4"/>
  <c r="L2575" i="4"/>
  <c r="K2575" i="4"/>
  <c r="N2575" i="4" s="1"/>
  <c r="M2575" i="4"/>
  <c r="X2573" i="4" l="1"/>
  <c r="Y2573" i="4" s="1"/>
  <c r="R2574" i="4"/>
  <c r="W2574" i="4" s="1"/>
  <c r="Q2574" i="4"/>
  <c r="V2574" i="4" s="1"/>
  <c r="S2574" i="4"/>
  <c r="P2574" i="4"/>
  <c r="T2575" i="4"/>
  <c r="J2576" i="4"/>
  <c r="K2576" i="4"/>
  <c r="N2576" i="4" s="1"/>
  <c r="L2576" i="4"/>
  <c r="M2576" i="4"/>
  <c r="O2575" i="4"/>
  <c r="U2575" i="4" s="1"/>
  <c r="X2574" i="4" l="1"/>
  <c r="Y2574" i="4" s="1"/>
  <c r="R2575" i="4"/>
  <c r="W2575" i="4" s="1"/>
  <c r="Q2575" i="4"/>
  <c r="V2575" i="4" s="1"/>
  <c r="S2575" i="4"/>
  <c r="P2575" i="4"/>
  <c r="T2576" i="4"/>
  <c r="O2576" i="4"/>
  <c r="U2576" i="4" s="1"/>
  <c r="J2577" i="4"/>
  <c r="L2577" i="4"/>
  <c r="K2577" i="4"/>
  <c r="N2577" i="4" s="1"/>
  <c r="M2577" i="4"/>
  <c r="X2575" i="4" l="1"/>
  <c r="Y2575" i="4" s="1"/>
  <c r="R2576" i="4"/>
  <c r="W2576" i="4" s="1"/>
  <c r="Q2576" i="4"/>
  <c r="V2576" i="4" s="1"/>
  <c r="S2576" i="4"/>
  <c r="P2576" i="4"/>
  <c r="T2577" i="4"/>
  <c r="J2578" i="4"/>
  <c r="M2578" i="4"/>
  <c r="K2578" i="4"/>
  <c r="N2578" i="4" s="1"/>
  <c r="L2578" i="4"/>
  <c r="O2577" i="4"/>
  <c r="U2577" i="4" s="1"/>
  <c r="X2576" i="4" l="1"/>
  <c r="Y2576" i="4" s="1"/>
  <c r="R2577" i="4"/>
  <c r="W2577" i="4" s="1"/>
  <c r="Q2577" i="4"/>
  <c r="V2577" i="4" s="1"/>
  <c r="S2577" i="4"/>
  <c r="P2577" i="4"/>
  <c r="T2578" i="4"/>
  <c r="O2578" i="4"/>
  <c r="U2578" i="4" s="1"/>
  <c r="J2579" i="4"/>
  <c r="L2579" i="4"/>
  <c r="M2579" i="4"/>
  <c r="K2579" i="4"/>
  <c r="N2579" i="4" s="1"/>
  <c r="X2577" i="4" l="1"/>
  <c r="Y2577" i="4" s="1"/>
  <c r="R2578" i="4"/>
  <c r="W2578" i="4" s="1"/>
  <c r="Q2578" i="4"/>
  <c r="V2578" i="4" s="1"/>
  <c r="S2578" i="4"/>
  <c r="P2578" i="4"/>
  <c r="T2579" i="4"/>
  <c r="J2580" i="4"/>
  <c r="L2580" i="4"/>
  <c r="M2580" i="4"/>
  <c r="K2580" i="4"/>
  <c r="N2580" i="4" s="1"/>
  <c r="O2579" i="4"/>
  <c r="X2578" i="4" l="1"/>
  <c r="Y2578" i="4" s="1"/>
  <c r="Q2579" i="4"/>
  <c r="V2579" i="4" s="1"/>
  <c r="S2579" i="4"/>
  <c r="P2579" i="4"/>
  <c r="U2579" i="4"/>
  <c r="T2580" i="4"/>
  <c r="O2580" i="4"/>
  <c r="J2581" i="4"/>
  <c r="L2581" i="4"/>
  <c r="K2581" i="4"/>
  <c r="N2581" i="4" s="1"/>
  <c r="T2581" i="4" s="1"/>
  <c r="M2581" i="4"/>
  <c r="R2579" i="4" l="1"/>
  <c r="W2579" i="4" s="1"/>
  <c r="X2579" i="4" s="1"/>
  <c r="Y2579" i="4" s="1"/>
  <c r="Q2581" i="4"/>
  <c r="V2581" i="4" s="1"/>
  <c r="S2581" i="4"/>
  <c r="Q2580" i="4"/>
  <c r="V2580" i="4" s="1"/>
  <c r="S2580" i="4"/>
  <c r="P2580" i="4"/>
  <c r="U2580" i="4"/>
  <c r="J2582" i="4"/>
  <c r="K2582" i="4"/>
  <c r="N2582" i="4" s="1"/>
  <c r="T2582" i="4" s="1"/>
  <c r="L2582" i="4"/>
  <c r="M2582" i="4"/>
  <c r="O2581" i="4"/>
  <c r="U2581" i="4" s="1"/>
  <c r="R2580" i="4" l="1"/>
  <c r="W2580" i="4" s="1"/>
  <c r="X2580" i="4" s="1"/>
  <c r="Y2580" i="4" s="1"/>
  <c r="R2581" i="4"/>
  <c r="W2581" i="4" s="1"/>
  <c r="X2581" i="4" s="1"/>
  <c r="Y2581" i="4" s="1"/>
  <c r="Q2582" i="4"/>
  <c r="V2582" i="4" s="1"/>
  <c r="S2582" i="4"/>
  <c r="P2581" i="4"/>
  <c r="O2582" i="4"/>
  <c r="J2583" i="4"/>
  <c r="L2583" i="4"/>
  <c r="K2583" i="4"/>
  <c r="N2583" i="4" s="1"/>
  <c r="M2583" i="4"/>
  <c r="P2582" i="4" l="1"/>
  <c r="U2582" i="4"/>
  <c r="T2583" i="4"/>
  <c r="J2584" i="4"/>
  <c r="K2584" i="4"/>
  <c r="N2584" i="4" s="1"/>
  <c r="T2584" i="4" s="1"/>
  <c r="L2584" i="4"/>
  <c r="M2584" i="4"/>
  <c r="O2583" i="4"/>
  <c r="R2582" i="4" l="1"/>
  <c r="W2582" i="4" s="1"/>
  <c r="X2582" i="4" s="1"/>
  <c r="Y2582" i="4" s="1"/>
  <c r="Q2583" i="4"/>
  <c r="V2583" i="4" s="1"/>
  <c r="S2583" i="4"/>
  <c r="Q2584" i="4"/>
  <c r="V2584" i="4" s="1"/>
  <c r="S2584" i="4"/>
  <c r="P2583" i="4"/>
  <c r="U2583" i="4"/>
  <c r="O2584" i="4"/>
  <c r="U2584" i="4" s="1"/>
  <c r="J2585" i="4"/>
  <c r="L2585" i="4"/>
  <c r="K2585" i="4"/>
  <c r="N2585" i="4" s="1"/>
  <c r="M2585" i="4"/>
  <c r="R2584" i="4" l="1"/>
  <c r="W2584" i="4" s="1"/>
  <c r="X2584" i="4" s="1"/>
  <c r="Y2584" i="4" s="1"/>
  <c r="R2583" i="4"/>
  <c r="W2583" i="4" s="1"/>
  <c r="X2583" i="4" s="1"/>
  <c r="Y2583" i="4" s="1"/>
  <c r="T2585" i="4"/>
  <c r="P2584" i="4"/>
  <c r="J2586" i="4"/>
  <c r="M2586" i="4"/>
  <c r="K2586" i="4"/>
  <c r="N2586" i="4" s="1"/>
  <c r="L2586" i="4"/>
  <c r="O2585" i="4"/>
  <c r="U2585" i="4" s="1"/>
  <c r="R2585" i="4" l="1"/>
  <c r="W2585" i="4" s="1"/>
  <c r="Q2585" i="4"/>
  <c r="V2585" i="4" s="1"/>
  <c r="S2585" i="4"/>
  <c r="P2585" i="4"/>
  <c r="T2586" i="4"/>
  <c r="O2586" i="4"/>
  <c r="U2586" i="4" s="1"/>
  <c r="J2587" i="4"/>
  <c r="L2587" i="4"/>
  <c r="M2587" i="4"/>
  <c r="K2587" i="4"/>
  <c r="N2587" i="4" s="1"/>
  <c r="X2585" i="4" l="1"/>
  <c r="Y2585" i="4" s="1"/>
  <c r="R2586" i="4"/>
  <c r="W2586" i="4" s="1"/>
  <c r="Q2586" i="4"/>
  <c r="V2586" i="4" s="1"/>
  <c r="S2586" i="4"/>
  <c r="P2586" i="4"/>
  <c r="T2587" i="4"/>
  <c r="J2588" i="4"/>
  <c r="L2588" i="4"/>
  <c r="M2588" i="4"/>
  <c r="K2588" i="4"/>
  <c r="N2588" i="4" s="1"/>
  <c r="O2587" i="4"/>
  <c r="U2587" i="4" s="1"/>
  <c r="X2586" i="4" l="1"/>
  <c r="Y2586" i="4" s="1"/>
  <c r="R2587" i="4"/>
  <c r="W2587" i="4" s="1"/>
  <c r="Q2587" i="4"/>
  <c r="V2587" i="4" s="1"/>
  <c r="S2587" i="4"/>
  <c r="P2587" i="4"/>
  <c r="T2588" i="4"/>
  <c r="O2588" i="4"/>
  <c r="U2588" i="4" s="1"/>
  <c r="J2589" i="4"/>
  <c r="L2589" i="4"/>
  <c r="K2589" i="4"/>
  <c r="N2589" i="4" s="1"/>
  <c r="M2589" i="4"/>
  <c r="X2587" i="4" l="1"/>
  <c r="Y2587" i="4" s="1"/>
  <c r="R2588" i="4"/>
  <c r="W2588" i="4" s="1"/>
  <c r="Q2588" i="4"/>
  <c r="V2588" i="4" s="1"/>
  <c r="S2588" i="4"/>
  <c r="P2588" i="4"/>
  <c r="T2589" i="4"/>
  <c r="J2590" i="4"/>
  <c r="K2590" i="4"/>
  <c r="N2590" i="4" s="1"/>
  <c r="L2590" i="4"/>
  <c r="M2590" i="4"/>
  <c r="O2589" i="4"/>
  <c r="U2589" i="4" s="1"/>
  <c r="X2588" i="4" l="1"/>
  <c r="Y2588" i="4" s="1"/>
  <c r="R2589" i="4"/>
  <c r="W2589" i="4" s="1"/>
  <c r="Q2589" i="4"/>
  <c r="V2589" i="4" s="1"/>
  <c r="S2589" i="4"/>
  <c r="P2589" i="4"/>
  <c r="T2590" i="4"/>
  <c r="O2590" i="4"/>
  <c r="U2590" i="4" s="1"/>
  <c r="J2591" i="4"/>
  <c r="L2591" i="4"/>
  <c r="K2591" i="4"/>
  <c r="N2591" i="4" s="1"/>
  <c r="M2591" i="4"/>
  <c r="X2589" i="4" l="1"/>
  <c r="Y2589" i="4" s="1"/>
  <c r="R2590" i="4"/>
  <c r="W2590" i="4" s="1"/>
  <c r="Q2590" i="4"/>
  <c r="V2590" i="4" s="1"/>
  <c r="S2590" i="4"/>
  <c r="P2590" i="4"/>
  <c r="T2591" i="4"/>
  <c r="J2592" i="4"/>
  <c r="K2592" i="4"/>
  <c r="N2592" i="4" s="1"/>
  <c r="L2592" i="4"/>
  <c r="M2592" i="4"/>
  <c r="O2591" i="4"/>
  <c r="U2591" i="4" s="1"/>
  <c r="X2590" i="4" l="1"/>
  <c r="Y2590" i="4" s="1"/>
  <c r="R2591" i="4"/>
  <c r="W2591" i="4" s="1"/>
  <c r="Q2591" i="4"/>
  <c r="V2591" i="4" s="1"/>
  <c r="S2591" i="4"/>
  <c r="P2591" i="4"/>
  <c r="T2592" i="4"/>
  <c r="O2592" i="4"/>
  <c r="U2592" i="4" s="1"/>
  <c r="J2593" i="4"/>
  <c r="L2593" i="4"/>
  <c r="K2593" i="4"/>
  <c r="N2593" i="4" s="1"/>
  <c r="M2593" i="4"/>
  <c r="X2591" i="4" l="1"/>
  <c r="Y2591" i="4" s="1"/>
  <c r="R2592" i="4"/>
  <c r="W2592" i="4" s="1"/>
  <c r="Q2592" i="4"/>
  <c r="V2592" i="4" s="1"/>
  <c r="S2592" i="4"/>
  <c r="P2592" i="4"/>
  <c r="T2593" i="4"/>
  <c r="J2594" i="4"/>
  <c r="M2594" i="4"/>
  <c r="K2594" i="4"/>
  <c r="N2594" i="4" s="1"/>
  <c r="L2594" i="4"/>
  <c r="O2593" i="4"/>
  <c r="U2593" i="4" s="1"/>
  <c r="X2592" i="4" l="1"/>
  <c r="Y2592" i="4" s="1"/>
  <c r="R2593" i="4"/>
  <c r="W2593" i="4" s="1"/>
  <c r="Q2593" i="4"/>
  <c r="V2593" i="4" s="1"/>
  <c r="S2593" i="4"/>
  <c r="P2593" i="4"/>
  <c r="T2594" i="4"/>
  <c r="O2594" i="4"/>
  <c r="U2594" i="4" s="1"/>
  <c r="J2595" i="4"/>
  <c r="L2595" i="4"/>
  <c r="M2595" i="4"/>
  <c r="K2595" i="4"/>
  <c r="N2595" i="4" s="1"/>
  <c r="X2593" i="4" l="1"/>
  <c r="Y2593" i="4" s="1"/>
  <c r="R2594" i="4"/>
  <c r="W2594" i="4" s="1"/>
  <c r="Q2594" i="4"/>
  <c r="V2594" i="4" s="1"/>
  <c r="S2594" i="4"/>
  <c r="P2594" i="4"/>
  <c r="T2595" i="4"/>
  <c r="J2596" i="4"/>
  <c r="L2596" i="4"/>
  <c r="M2596" i="4"/>
  <c r="K2596" i="4"/>
  <c r="N2596" i="4" s="1"/>
  <c r="O2595" i="4"/>
  <c r="U2595" i="4" s="1"/>
  <c r="X2594" i="4" l="1"/>
  <c r="Y2594" i="4" s="1"/>
  <c r="R2595" i="4"/>
  <c r="W2595" i="4" s="1"/>
  <c r="Q2595" i="4"/>
  <c r="V2595" i="4" s="1"/>
  <c r="S2595" i="4"/>
  <c r="P2595" i="4"/>
  <c r="T2596" i="4"/>
  <c r="O2596" i="4"/>
  <c r="U2596" i="4" s="1"/>
  <c r="J2597" i="4"/>
  <c r="L2597" i="4"/>
  <c r="K2597" i="4"/>
  <c r="N2597" i="4" s="1"/>
  <c r="M2597" i="4"/>
  <c r="X2595" i="4" l="1"/>
  <c r="Y2595" i="4" s="1"/>
  <c r="R2596" i="4"/>
  <c r="W2596" i="4" s="1"/>
  <c r="Q2596" i="4"/>
  <c r="V2596" i="4" s="1"/>
  <c r="S2596" i="4"/>
  <c r="P2596" i="4"/>
  <c r="T2597" i="4"/>
  <c r="J2598" i="4"/>
  <c r="K2598" i="4"/>
  <c r="N2598" i="4" s="1"/>
  <c r="L2598" i="4"/>
  <c r="M2598" i="4"/>
  <c r="O2597" i="4"/>
  <c r="U2597" i="4" s="1"/>
  <c r="X2596" i="4" l="1"/>
  <c r="Y2596" i="4" s="1"/>
  <c r="R2597" i="4"/>
  <c r="W2597" i="4" s="1"/>
  <c r="Q2597" i="4"/>
  <c r="V2597" i="4" s="1"/>
  <c r="S2597" i="4"/>
  <c r="P2597" i="4"/>
  <c r="T2598" i="4"/>
  <c r="O2598" i="4"/>
  <c r="U2598" i="4" s="1"/>
  <c r="J2599" i="4"/>
  <c r="L2599" i="4"/>
  <c r="K2599" i="4"/>
  <c r="N2599" i="4" s="1"/>
  <c r="M2599" i="4"/>
  <c r="X2597" i="4" l="1"/>
  <c r="Y2597" i="4" s="1"/>
  <c r="R2598" i="4"/>
  <c r="W2598" i="4" s="1"/>
  <c r="Q2598" i="4"/>
  <c r="V2598" i="4" s="1"/>
  <c r="S2598" i="4"/>
  <c r="P2598" i="4"/>
  <c r="T2599" i="4"/>
  <c r="J2600" i="4"/>
  <c r="K2600" i="4"/>
  <c r="N2600" i="4" s="1"/>
  <c r="L2600" i="4"/>
  <c r="M2600" i="4"/>
  <c r="O2599" i="4"/>
  <c r="U2599" i="4" s="1"/>
  <c r="X2598" i="4" l="1"/>
  <c r="Y2598" i="4" s="1"/>
  <c r="R2599" i="4"/>
  <c r="W2599" i="4" s="1"/>
  <c r="Q2599" i="4"/>
  <c r="V2599" i="4" s="1"/>
  <c r="S2599" i="4"/>
  <c r="P2599" i="4"/>
  <c r="T2600" i="4"/>
  <c r="O2600" i="4"/>
  <c r="U2600" i="4" s="1"/>
  <c r="J2601" i="4"/>
  <c r="L2601" i="4"/>
  <c r="K2601" i="4"/>
  <c r="N2601" i="4" s="1"/>
  <c r="M2601" i="4"/>
  <c r="X2599" i="4" l="1"/>
  <c r="Y2599" i="4" s="1"/>
  <c r="R2600" i="4"/>
  <c r="W2600" i="4" s="1"/>
  <c r="Q2600" i="4"/>
  <c r="V2600" i="4" s="1"/>
  <c r="S2600" i="4"/>
  <c r="P2600" i="4"/>
  <c r="T2601" i="4"/>
  <c r="J2602" i="4"/>
  <c r="M2602" i="4"/>
  <c r="K2602" i="4"/>
  <c r="N2602" i="4" s="1"/>
  <c r="L2602" i="4"/>
  <c r="O2601" i="4"/>
  <c r="U2601" i="4" s="1"/>
  <c r="X2600" i="4" l="1"/>
  <c r="Y2600" i="4" s="1"/>
  <c r="R2601" i="4"/>
  <c r="W2601" i="4" s="1"/>
  <c r="Q2601" i="4"/>
  <c r="V2601" i="4" s="1"/>
  <c r="S2601" i="4"/>
  <c r="P2601" i="4"/>
  <c r="T2602" i="4"/>
  <c r="O2602" i="4"/>
  <c r="U2602" i="4" s="1"/>
  <c r="J2603" i="4"/>
  <c r="L2603" i="4"/>
  <c r="M2603" i="4"/>
  <c r="K2603" i="4"/>
  <c r="N2603" i="4" s="1"/>
  <c r="X2601" i="4" l="1"/>
  <c r="Y2601" i="4" s="1"/>
  <c r="R2602" i="4"/>
  <c r="W2602" i="4" s="1"/>
  <c r="Q2602" i="4"/>
  <c r="V2602" i="4" s="1"/>
  <c r="S2602" i="4"/>
  <c r="P2602" i="4"/>
  <c r="T2603" i="4"/>
  <c r="J2604" i="4"/>
  <c r="L2604" i="4"/>
  <c r="M2604" i="4"/>
  <c r="K2604" i="4"/>
  <c r="N2604" i="4" s="1"/>
  <c r="O2603" i="4"/>
  <c r="U2603" i="4" s="1"/>
  <c r="X2602" i="4" l="1"/>
  <c r="Y2602" i="4" s="1"/>
  <c r="R2603" i="4"/>
  <c r="W2603" i="4" s="1"/>
  <c r="Q2603" i="4"/>
  <c r="V2603" i="4" s="1"/>
  <c r="S2603" i="4"/>
  <c r="P2603" i="4"/>
  <c r="T2604" i="4"/>
  <c r="O2604" i="4"/>
  <c r="U2604" i="4" s="1"/>
  <c r="J2605" i="4"/>
  <c r="L2605" i="4"/>
  <c r="K2605" i="4"/>
  <c r="N2605" i="4" s="1"/>
  <c r="M2605" i="4"/>
  <c r="X2603" i="4" l="1"/>
  <c r="Y2603" i="4" s="1"/>
  <c r="R2604" i="4"/>
  <c r="W2604" i="4" s="1"/>
  <c r="Q2604" i="4"/>
  <c r="V2604" i="4" s="1"/>
  <c r="S2604" i="4"/>
  <c r="P2604" i="4"/>
  <c r="T2605" i="4"/>
  <c r="J2606" i="4"/>
  <c r="K2606" i="4"/>
  <c r="N2606" i="4" s="1"/>
  <c r="L2606" i="4"/>
  <c r="M2606" i="4"/>
  <c r="O2605" i="4"/>
  <c r="U2605" i="4" s="1"/>
  <c r="X2604" i="4" l="1"/>
  <c r="Y2604" i="4" s="1"/>
  <c r="R2605" i="4"/>
  <c r="W2605" i="4" s="1"/>
  <c r="Q2605" i="4"/>
  <c r="V2605" i="4" s="1"/>
  <c r="S2605" i="4"/>
  <c r="P2605" i="4"/>
  <c r="T2606" i="4"/>
  <c r="O2606" i="4"/>
  <c r="U2606" i="4" s="1"/>
  <c r="J2607" i="4"/>
  <c r="L2607" i="4"/>
  <c r="K2607" i="4"/>
  <c r="N2607" i="4" s="1"/>
  <c r="M2607" i="4"/>
  <c r="X2605" i="4" l="1"/>
  <c r="Y2605" i="4" s="1"/>
  <c r="R2606" i="4"/>
  <c r="W2606" i="4" s="1"/>
  <c r="Q2606" i="4"/>
  <c r="V2606" i="4" s="1"/>
  <c r="S2606" i="4"/>
  <c r="P2606" i="4"/>
  <c r="T2607" i="4"/>
  <c r="J2608" i="4"/>
  <c r="K2608" i="4"/>
  <c r="N2608" i="4" s="1"/>
  <c r="L2608" i="4"/>
  <c r="M2608" i="4"/>
  <c r="O2607" i="4"/>
  <c r="U2607" i="4" s="1"/>
  <c r="X2606" i="4" l="1"/>
  <c r="Y2606" i="4" s="1"/>
  <c r="R2607" i="4"/>
  <c r="W2607" i="4" s="1"/>
  <c r="Q2607" i="4"/>
  <c r="V2607" i="4" s="1"/>
  <c r="S2607" i="4"/>
  <c r="P2607" i="4"/>
  <c r="T2608" i="4"/>
  <c r="J2609" i="4"/>
  <c r="L2609" i="4"/>
  <c r="K2609" i="4"/>
  <c r="N2609" i="4" s="1"/>
  <c r="M2609" i="4"/>
  <c r="O2608" i="4"/>
  <c r="U2608" i="4" s="1"/>
  <c r="X2607" i="4" l="1"/>
  <c r="Y2607" i="4" s="1"/>
  <c r="R2608" i="4"/>
  <c r="W2608" i="4" s="1"/>
  <c r="Q2608" i="4"/>
  <c r="V2608" i="4" s="1"/>
  <c r="S2608" i="4"/>
  <c r="P2608" i="4"/>
  <c r="T2609" i="4"/>
  <c r="O2609" i="4"/>
  <c r="U2609" i="4" s="1"/>
  <c r="J2610" i="4"/>
  <c r="M2610" i="4"/>
  <c r="K2610" i="4"/>
  <c r="N2610" i="4" s="1"/>
  <c r="L2610" i="4"/>
  <c r="X2608" i="4" l="1"/>
  <c r="Y2608" i="4" s="1"/>
  <c r="R2609" i="4"/>
  <c r="W2609" i="4" s="1"/>
  <c r="Q2609" i="4"/>
  <c r="V2609" i="4" s="1"/>
  <c r="S2609" i="4"/>
  <c r="P2609" i="4"/>
  <c r="T2610" i="4"/>
  <c r="J2611" i="4"/>
  <c r="L2611" i="4"/>
  <c r="M2611" i="4"/>
  <c r="K2611" i="4"/>
  <c r="N2611" i="4" s="1"/>
  <c r="T2611" i="4" s="1"/>
  <c r="O2610" i="4"/>
  <c r="X2609" i="4" l="1"/>
  <c r="Y2609" i="4" s="1"/>
  <c r="Q2610" i="4"/>
  <c r="V2610" i="4" s="1"/>
  <c r="S2610" i="4"/>
  <c r="Q2611" i="4"/>
  <c r="V2611" i="4" s="1"/>
  <c r="S2611" i="4"/>
  <c r="P2610" i="4"/>
  <c r="U2610" i="4"/>
  <c r="O2611" i="4"/>
  <c r="U2611" i="4" s="1"/>
  <c r="J2612" i="4"/>
  <c r="L2612" i="4"/>
  <c r="M2612" i="4"/>
  <c r="K2612" i="4"/>
  <c r="N2612" i="4" s="1"/>
  <c r="T2612" i="4" s="1"/>
  <c r="R2610" i="4" l="1"/>
  <c r="W2610" i="4" s="1"/>
  <c r="X2610" i="4" s="1"/>
  <c r="Y2610" i="4" s="1"/>
  <c r="R2611" i="4"/>
  <c r="W2611" i="4" s="1"/>
  <c r="X2611" i="4" s="1"/>
  <c r="Y2611" i="4" s="1"/>
  <c r="Q2612" i="4"/>
  <c r="V2612" i="4" s="1"/>
  <c r="S2612" i="4"/>
  <c r="P2611" i="4"/>
  <c r="J2613" i="4"/>
  <c r="L2613" i="4"/>
  <c r="K2613" i="4"/>
  <c r="N2613" i="4" s="1"/>
  <c r="M2613" i="4"/>
  <c r="O2612" i="4"/>
  <c r="U2612" i="4" s="1"/>
  <c r="R2612" i="4" l="1"/>
  <c r="W2612" i="4" s="1"/>
  <c r="X2612" i="4" s="1"/>
  <c r="Y2612" i="4" s="1"/>
  <c r="P2612" i="4"/>
  <c r="T2613" i="4"/>
  <c r="O2613" i="4"/>
  <c r="U2613" i="4" s="1"/>
  <c r="J2614" i="4"/>
  <c r="K2614" i="4"/>
  <c r="N2614" i="4" s="1"/>
  <c r="L2614" i="4"/>
  <c r="M2614" i="4"/>
  <c r="R2613" i="4" l="1"/>
  <c r="W2613" i="4" s="1"/>
  <c r="Q2613" i="4"/>
  <c r="V2613" i="4" s="1"/>
  <c r="S2613" i="4"/>
  <c r="T2614" i="4"/>
  <c r="P2613" i="4"/>
  <c r="J2615" i="4"/>
  <c r="L2615" i="4"/>
  <c r="K2615" i="4"/>
  <c r="N2615" i="4" s="1"/>
  <c r="M2615" i="4"/>
  <c r="O2614" i="4"/>
  <c r="U2614" i="4" s="1"/>
  <c r="X2613" i="4" l="1"/>
  <c r="Y2613" i="4" s="1"/>
  <c r="R2614" i="4"/>
  <c r="W2614" i="4" s="1"/>
  <c r="Q2614" i="4"/>
  <c r="V2614" i="4" s="1"/>
  <c r="S2614" i="4"/>
  <c r="P2614" i="4"/>
  <c r="T2615" i="4"/>
  <c r="O2615" i="4"/>
  <c r="U2615" i="4" s="1"/>
  <c r="J2616" i="4"/>
  <c r="K2616" i="4"/>
  <c r="N2616" i="4" s="1"/>
  <c r="L2616" i="4"/>
  <c r="M2616" i="4"/>
  <c r="X2614" i="4" l="1"/>
  <c r="Y2614" i="4" s="1"/>
  <c r="R2615" i="4"/>
  <c r="W2615" i="4" s="1"/>
  <c r="Q2615" i="4"/>
  <c r="V2615" i="4" s="1"/>
  <c r="S2615" i="4"/>
  <c r="P2615" i="4"/>
  <c r="T2616" i="4"/>
  <c r="O2616" i="4"/>
  <c r="U2616" i="4" s="1"/>
  <c r="J2617" i="4"/>
  <c r="L2617" i="4"/>
  <c r="K2617" i="4"/>
  <c r="N2617" i="4" s="1"/>
  <c r="M2617" i="4"/>
  <c r="X2615" i="4" l="1"/>
  <c r="Y2615" i="4" s="1"/>
  <c r="R2616" i="4"/>
  <c r="W2616" i="4" s="1"/>
  <c r="Q2616" i="4"/>
  <c r="V2616" i="4" s="1"/>
  <c r="S2616" i="4"/>
  <c r="P2616" i="4"/>
  <c r="T2617" i="4"/>
  <c r="J2618" i="4"/>
  <c r="M2618" i="4"/>
  <c r="K2618" i="4"/>
  <c r="N2618" i="4" s="1"/>
  <c r="L2618" i="4"/>
  <c r="O2617" i="4"/>
  <c r="U2617" i="4" s="1"/>
  <c r="X2616" i="4" l="1"/>
  <c r="Y2616" i="4" s="1"/>
  <c r="R2617" i="4"/>
  <c r="W2617" i="4" s="1"/>
  <c r="Q2617" i="4"/>
  <c r="V2617" i="4" s="1"/>
  <c r="S2617" i="4"/>
  <c r="P2617" i="4"/>
  <c r="T2618" i="4"/>
  <c r="O2618" i="4"/>
  <c r="U2618" i="4" s="1"/>
  <c r="J2619" i="4"/>
  <c r="L2619" i="4"/>
  <c r="M2619" i="4"/>
  <c r="K2619" i="4"/>
  <c r="N2619" i="4" s="1"/>
  <c r="X2617" i="4" l="1"/>
  <c r="Y2617" i="4" s="1"/>
  <c r="R2618" i="4"/>
  <c r="W2618" i="4" s="1"/>
  <c r="Q2618" i="4"/>
  <c r="V2618" i="4" s="1"/>
  <c r="S2618" i="4"/>
  <c r="P2618" i="4"/>
  <c r="T2619" i="4"/>
  <c r="J2620" i="4"/>
  <c r="L2620" i="4"/>
  <c r="M2620" i="4"/>
  <c r="K2620" i="4"/>
  <c r="N2620" i="4" s="1"/>
  <c r="O2619" i="4"/>
  <c r="U2619" i="4" s="1"/>
  <c r="X2618" i="4" l="1"/>
  <c r="Y2618" i="4" s="1"/>
  <c r="R2619" i="4"/>
  <c r="W2619" i="4" s="1"/>
  <c r="Q2619" i="4"/>
  <c r="V2619" i="4" s="1"/>
  <c r="S2619" i="4"/>
  <c r="P2619" i="4"/>
  <c r="T2620" i="4"/>
  <c r="O2620" i="4"/>
  <c r="U2620" i="4" s="1"/>
  <c r="J2621" i="4"/>
  <c r="L2621" i="4"/>
  <c r="K2621" i="4"/>
  <c r="N2621" i="4" s="1"/>
  <c r="M2621" i="4"/>
  <c r="X2619" i="4" l="1"/>
  <c r="Y2619" i="4" s="1"/>
  <c r="R2620" i="4"/>
  <c r="W2620" i="4" s="1"/>
  <c r="Q2620" i="4"/>
  <c r="V2620" i="4" s="1"/>
  <c r="S2620" i="4"/>
  <c r="P2620" i="4"/>
  <c r="T2621" i="4"/>
  <c r="J2622" i="4"/>
  <c r="K2622" i="4"/>
  <c r="N2622" i="4" s="1"/>
  <c r="L2622" i="4"/>
  <c r="M2622" i="4"/>
  <c r="O2621" i="4"/>
  <c r="U2621" i="4" s="1"/>
  <c r="X2620" i="4" l="1"/>
  <c r="Y2620" i="4" s="1"/>
  <c r="R2621" i="4"/>
  <c r="W2621" i="4" s="1"/>
  <c r="Q2621" i="4"/>
  <c r="V2621" i="4" s="1"/>
  <c r="S2621" i="4"/>
  <c r="P2621" i="4"/>
  <c r="T2622" i="4"/>
  <c r="O2622" i="4"/>
  <c r="U2622" i="4" s="1"/>
  <c r="J2623" i="4"/>
  <c r="L2623" i="4"/>
  <c r="K2623" i="4"/>
  <c r="N2623" i="4" s="1"/>
  <c r="M2623" i="4"/>
  <c r="X2621" i="4" l="1"/>
  <c r="Y2621" i="4" s="1"/>
  <c r="R2622" i="4"/>
  <c r="W2622" i="4" s="1"/>
  <c r="Q2622" i="4"/>
  <c r="V2622" i="4" s="1"/>
  <c r="S2622" i="4"/>
  <c r="P2622" i="4"/>
  <c r="T2623" i="4"/>
  <c r="J2624" i="4"/>
  <c r="K2624" i="4"/>
  <c r="N2624" i="4" s="1"/>
  <c r="L2624" i="4"/>
  <c r="M2624" i="4"/>
  <c r="O2623" i="4"/>
  <c r="U2623" i="4" s="1"/>
  <c r="X2622" i="4" l="1"/>
  <c r="Y2622" i="4" s="1"/>
  <c r="R2623" i="4"/>
  <c r="W2623" i="4" s="1"/>
  <c r="Q2623" i="4"/>
  <c r="V2623" i="4" s="1"/>
  <c r="S2623" i="4"/>
  <c r="P2623" i="4"/>
  <c r="T2624" i="4"/>
  <c r="O2624" i="4"/>
  <c r="U2624" i="4" s="1"/>
  <c r="J2625" i="4"/>
  <c r="L2625" i="4"/>
  <c r="K2625" i="4"/>
  <c r="N2625" i="4" s="1"/>
  <c r="M2625" i="4"/>
  <c r="X2623" i="4" l="1"/>
  <c r="Y2623" i="4" s="1"/>
  <c r="R2624" i="4"/>
  <c r="W2624" i="4" s="1"/>
  <c r="Q2624" i="4"/>
  <c r="V2624" i="4" s="1"/>
  <c r="S2624" i="4"/>
  <c r="P2624" i="4"/>
  <c r="T2625" i="4"/>
  <c r="J2626" i="4"/>
  <c r="L2626" i="4"/>
  <c r="M2626" i="4"/>
  <c r="K2626" i="4"/>
  <c r="N2626" i="4" s="1"/>
  <c r="O2625" i="4"/>
  <c r="U2625" i="4" s="1"/>
  <c r="X2624" i="4" l="1"/>
  <c r="Y2624" i="4" s="1"/>
  <c r="R2625" i="4"/>
  <c r="W2625" i="4" s="1"/>
  <c r="Q2625" i="4"/>
  <c r="V2625" i="4" s="1"/>
  <c r="S2625" i="4"/>
  <c r="P2625" i="4"/>
  <c r="T2626" i="4"/>
  <c r="O2626" i="4"/>
  <c r="U2626" i="4" s="1"/>
  <c r="J2627" i="4"/>
  <c r="K2627" i="4"/>
  <c r="N2627" i="4" s="1"/>
  <c r="L2627" i="4"/>
  <c r="M2627" i="4"/>
  <c r="X2625" i="4" l="1"/>
  <c r="Y2625" i="4" s="1"/>
  <c r="R2626" i="4"/>
  <c r="W2626" i="4" s="1"/>
  <c r="Q2626" i="4"/>
  <c r="V2626" i="4" s="1"/>
  <c r="S2626" i="4"/>
  <c r="P2626" i="4"/>
  <c r="T2627" i="4"/>
  <c r="O2627" i="4"/>
  <c r="U2627" i="4" s="1"/>
  <c r="J2628" i="4"/>
  <c r="L2628" i="4"/>
  <c r="M2628" i="4"/>
  <c r="K2628" i="4"/>
  <c r="N2628" i="4" s="1"/>
  <c r="X2626" i="4" l="1"/>
  <c r="Y2626" i="4" s="1"/>
  <c r="R2627" i="4"/>
  <c r="W2627" i="4" s="1"/>
  <c r="Q2627" i="4"/>
  <c r="V2627" i="4" s="1"/>
  <c r="S2627" i="4"/>
  <c r="P2627" i="4"/>
  <c r="T2628" i="4"/>
  <c r="J2629" i="4"/>
  <c r="K2629" i="4"/>
  <c r="N2629" i="4" s="1"/>
  <c r="L2629" i="4"/>
  <c r="M2629" i="4"/>
  <c r="O2628" i="4"/>
  <c r="U2628" i="4" s="1"/>
  <c r="X2627" i="4" l="1"/>
  <c r="Y2627" i="4" s="1"/>
  <c r="R2628" i="4"/>
  <c r="W2628" i="4" s="1"/>
  <c r="Q2628" i="4"/>
  <c r="V2628" i="4" s="1"/>
  <c r="S2628" i="4"/>
  <c r="P2628" i="4"/>
  <c r="T2629" i="4"/>
  <c r="O2629" i="4"/>
  <c r="U2629" i="4" s="1"/>
  <c r="J2630" i="4"/>
  <c r="L2630" i="4"/>
  <c r="M2630" i="4"/>
  <c r="K2630" i="4"/>
  <c r="N2630" i="4" s="1"/>
  <c r="X2628" i="4" l="1"/>
  <c r="Y2628" i="4" s="1"/>
  <c r="R2629" i="4"/>
  <c r="W2629" i="4" s="1"/>
  <c r="Q2629" i="4"/>
  <c r="V2629" i="4" s="1"/>
  <c r="S2629" i="4"/>
  <c r="P2629" i="4"/>
  <c r="T2630" i="4"/>
  <c r="J2631" i="4"/>
  <c r="K2631" i="4"/>
  <c r="N2631" i="4" s="1"/>
  <c r="L2631" i="4"/>
  <c r="M2631" i="4"/>
  <c r="O2630" i="4"/>
  <c r="U2630" i="4" s="1"/>
  <c r="X2629" i="4" l="1"/>
  <c r="Y2629" i="4" s="1"/>
  <c r="R2630" i="4"/>
  <c r="W2630" i="4" s="1"/>
  <c r="Q2630" i="4"/>
  <c r="V2630" i="4" s="1"/>
  <c r="S2630" i="4"/>
  <c r="P2630" i="4"/>
  <c r="T2631" i="4"/>
  <c r="O2631" i="4"/>
  <c r="U2631" i="4" s="1"/>
  <c r="J2632" i="4"/>
  <c r="L2632" i="4"/>
  <c r="M2632" i="4"/>
  <c r="K2632" i="4"/>
  <c r="N2632" i="4" s="1"/>
  <c r="X2630" i="4" l="1"/>
  <c r="Y2630" i="4" s="1"/>
  <c r="R2631" i="4"/>
  <c r="W2631" i="4" s="1"/>
  <c r="Q2631" i="4"/>
  <c r="V2631" i="4" s="1"/>
  <c r="S2631" i="4"/>
  <c r="P2631" i="4"/>
  <c r="T2632" i="4"/>
  <c r="J2633" i="4"/>
  <c r="K2633" i="4"/>
  <c r="N2633" i="4" s="1"/>
  <c r="L2633" i="4"/>
  <c r="M2633" i="4"/>
  <c r="O2632" i="4"/>
  <c r="U2632" i="4" s="1"/>
  <c r="X2631" i="4" l="1"/>
  <c r="Y2631" i="4" s="1"/>
  <c r="R2632" i="4"/>
  <c r="W2632" i="4" s="1"/>
  <c r="Q2632" i="4"/>
  <c r="V2632" i="4" s="1"/>
  <c r="S2632" i="4"/>
  <c r="P2632" i="4"/>
  <c r="T2633" i="4"/>
  <c r="O2633" i="4"/>
  <c r="U2633" i="4" s="1"/>
  <c r="J2634" i="4"/>
  <c r="L2634" i="4"/>
  <c r="M2634" i="4"/>
  <c r="K2634" i="4"/>
  <c r="N2634" i="4" s="1"/>
  <c r="X2632" i="4" l="1"/>
  <c r="Y2632" i="4" s="1"/>
  <c r="R2633" i="4"/>
  <c r="W2633" i="4" s="1"/>
  <c r="Q2633" i="4"/>
  <c r="V2633" i="4" s="1"/>
  <c r="S2633" i="4"/>
  <c r="P2633" i="4"/>
  <c r="T2634" i="4"/>
  <c r="J2635" i="4"/>
  <c r="K2635" i="4"/>
  <c r="N2635" i="4" s="1"/>
  <c r="L2635" i="4"/>
  <c r="M2635" i="4"/>
  <c r="O2634" i="4"/>
  <c r="U2634" i="4" s="1"/>
  <c r="X2633" i="4" l="1"/>
  <c r="Y2633" i="4" s="1"/>
  <c r="R2634" i="4"/>
  <c r="W2634" i="4" s="1"/>
  <c r="Q2634" i="4"/>
  <c r="V2634" i="4" s="1"/>
  <c r="S2634" i="4"/>
  <c r="P2634" i="4"/>
  <c r="T2635" i="4"/>
  <c r="O2635" i="4"/>
  <c r="U2635" i="4" s="1"/>
  <c r="J2636" i="4"/>
  <c r="L2636" i="4"/>
  <c r="M2636" i="4"/>
  <c r="K2636" i="4"/>
  <c r="N2636" i="4" s="1"/>
  <c r="X2634" i="4" l="1"/>
  <c r="Y2634" i="4" s="1"/>
  <c r="R2635" i="4"/>
  <c r="W2635" i="4" s="1"/>
  <c r="Q2635" i="4"/>
  <c r="V2635" i="4" s="1"/>
  <c r="S2635" i="4"/>
  <c r="P2635" i="4"/>
  <c r="T2636" i="4"/>
  <c r="O2636" i="4"/>
  <c r="U2636" i="4" s="1"/>
  <c r="J2637" i="4"/>
  <c r="K2637" i="4"/>
  <c r="N2637" i="4" s="1"/>
  <c r="L2637" i="4"/>
  <c r="M2637" i="4"/>
  <c r="X2635" i="4" l="1"/>
  <c r="Y2635" i="4" s="1"/>
  <c r="R2636" i="4"/>
  <c r="W2636" i="4" s="1"/>
  <c r="Q2636" i="4"/>
  <c r="V2636" i="4" s="1"/>
  <c r="S2636" i="4"/>
  <c r="P2636" i="4"/>
  <c r="T2637" i="4"/>
  <c r="O2637" i="4"/>
  <c r="U2637" i="4" s="1"/>
  <c r="J2638" i="4"/>
  <c r="L2638" i="4"/>
  <c r="M2638" i="4"/>
  <c r="K2638" i="4"/>
  <c r="N2638" i="4" s="1"/>
  <c r="X2636" i="4" l="1"/>
  <c r="Y2636" i="4" s="1"/>
  <c r="R2637" i="4"/>
  <c r="W2637" i="4" s="1"/>
  <c r="Q2637" i="4"/>
  <c r="V2637" i="4" s="1"/>
  <c r="S2637" i="4"/>
  <c r="P2637" i="4"/>
  <c r="T2638" i="4"/>
  <c r="J2639" i="4"/>
  <c r="K2639" i="4"/>
  <c r="N2639" i="4" s="1"/>
  <c r="T2639" i="4" s="1"/>
  <c r="L2639" i="4"/>
  <c r="M2639" i="4"/>
  <c r="O2638" i="4"/>
  <c r="U2638" i="4" s="1"/>
  <c r="X2637" i="4" l="1"/>
  <c r="Y2637" i="4" s="1"/>
  <c r="R2638" i="4"/>
  <c r="W2638" i="4" s="1"/>
  <c r="Q2638" i="4"/>
  <c r="V2638" i="4" s="1"/>
  <c r="S2638" i="4"/>
  <c r="Q2639" i="4"/>
  <c r="V2639" i="4" s="1"/>
  <c r="S2639" i="4"/>
  <c r="P2638" i="4"/>
  <c r="O2639" i="4"/>
  <c r="J2640" i="4"/>
  <c r="L2640" i="4"/>
  <c r="M2640" i="4"/>
  <c r="K2640" i="4"/>
  <c r="N2640" i="4" s="1"/>
  <c r="T2640" i="4" s="1"/>
  <c r="X2638" i="4" l="1"/>
  <c r="Y2638" i="4" s="1"/>
  <c r="Q2640" i="4"/>
  <c r="V2640" i="4" s="1"/>
  <c r="S2640" i="4"/>
  <c r="P2639" i="4"/>
  <c r="U2639" i="4"/>
  <c r="J2641" i="4"/>
  <c r="K2641" i="4"/>
  <c r="N2641" i="4" s="1"/>
  <c r="T2641" i="4" s="1"/>
  <c r="L2641" i="4"/>
  <c r="M2641" i="4"/>
  <c r="O2640" i="4"/>
  <c r="U2640" i="4" s="1"/>
  <c r="R2640" i="4" l="1"/>
  <c r="W2640" i="4" s="1"/>
  <c r="X2640" i="4" s="1"/>
  <c r="Y2640" i="4" s="1"/>
  <c r="R2639" i="4"/>
  <c r="W2639" i="4" s="1"/>
  <c r="X2639" i="4" s="1"/>
  <c r="Y2639" i="4" s="1"/>
  <c r="Q2641" i="4"/>
  <c r="V2641" i="4" s="1"/>
  <c r="S2641" i="4"/>
  <c r="P2640" i="4"/>
  <c r="O2641" i="4"/>
  <c r="J2642" i="4"/>
  <c r="L2642" i="4"/>
  <c r="M2642" i="4"/>
  <c r="K2642" i="4"/>
  <c r="N2642" i="4" s="1"/>
  <c r="P2641" i="4" l="1"/>
  <c r="U2641" i="4"/>
  <c r="T2642" i="4"/>
  <c r="J2643" i="4"/>
  <c r="K2643" i="4"/>
  <c r="N2643" i="4" s="1"/>
  <c r="L2643" i="4"/>
  <c r="M2643" i="4"/>
  <c r="O2642" i="4"/>
  <c r="R2641" i="4" l="1"/>
  <c r="W2641" i="4" s="1"/>
  <c r="X2641" i="4" s="1"/>
  <c r="Y2641" i="4" s="1"/>
  <c r="Q2642" i="4"/>
  <c r="V2642" i="4" s="1"/>
  <c r="S2642" i="4"/>
  <c r="T2643" i="4"/>
  <c r="P2642" i="4"/>
  <c r="U2642" i="4"/>
  <c r="O2643" i="4"/>
  <c r="U2643" i="4" s="1"/>
  <c r="J2644" i="4"/>
  <c r="L2644" i="4"/>
  <c r="M2644" i="4"/>
  <c r="K2644" i="4"/>
  <c r="N2644" i="4" s="1"/>
  <c r="R2642" i="4" l="1"/>
  <c r="W2642" i="4" s="1"/>
  <c r="X2642" i="4" s="1"/>
  <c r="Y2642" i="4" s="1"/>
  <c r="R2643" i="4"/>
  <c r="W2643" i="4" s="1"/>
  <c r="Q2643" i="4"/>
  <c r="V2643" i="4" s="1"/>
  <c r="S2643" i="4"/>
  <c r="P2643" i="4"/>
  <c r="T2644" i="4"/>
  <c r="J2645" i="4"/>
  <c r="K2645" i="4"/>
  <c r="N2645" i="4" s="1"/>
  <c r="L2645" i="4"/>
  <c r="M2645" i="4"/>
  <c r="O2644" i="4"/>
  <c r="U2644" i="4" s="1"/>
  <c r="X2643" i="4" l="1"/>
  <c r="Y2643" i="4" s="1"/>
  <c r="R2644" i="4"/>
  <c r="W2644" i="4" s="1"/>
  <c r="Q2644" i="4"/>
  <c r="V2644" i="4" s="1"/>
  <c r="S2644" i="4"/>
  <c r="P2644" i="4"/>
  <c r="T2645" i="4"/>
  <c r="O2645" i="4"/>
  <c r="U2645" i="4" s="1"/>
  <c r="J2646" i="4"/>
  <c r="L2646" i="4"/>
  <c r="M2646" i="4"/>
  <c r="K2646" i="4"/>
  <c r="N2646" i="4" s="1"/>
  <c r="X2644" i="4" l="1"/>
  <c r="Y2644" i="4" s="1"/>
  <c r="R2645" i="4"/>
  <c r="W2645" i="4" s="1"/>
  <c r="Q2645" i="4"/>
  <c r="V2645" i="4" s="1"/>
  <c r="S2645" i="4"/>
  <c r="P2645" i="4"/>
  <c r="T2646" i="4"/>
  <c r="J2647" i="4"/>
  <c r="K2647" i="4"/>
  <c r="N2647" i="4" s="1"/>
  <c r="L2647" i="4"/>
  <c r="M2647" i="4"/>
  <c r="O2646" i="4"/>
  <c r="U2646" i="4" s="1"/>
  <c r="X2645" i="4" l="1"/>
  <c r="Y2645" i="4" s="1"/>
  <c r="R2646" i="4"/>
  <c r="W2646" i="4" s="1"/>
  <c r="Q2646" i="4"/>
  <c r="V2646" i="4" s="1"/>
  <c r="S2646" i="4"/>
  <c r="P2646" i="4"/>
  <c r="T2647" i="4"/>
  <c r="O2647" i="4"/>
  <c r="U2647" i="4" s="1"/>
  <c r="J2648" i="4"/>
  <c r="L2648" i="4"/>
  <c r="M2648" i="4"/>
  <c r="K2648" i="4"/>
  <c r="N2648" i="4" s="1"/>
  <c r="X2646" i="4" l="1"/>
  <c r="Y2646" i="4" s="1"/>
  <c r="R2647" i="4"/>
  <c r="W2647" i="4" s="1"/>
  <c r="Q2647" i="4"/>
  <c r="V2647" i="4" s="1"/>
  <c r="S2647" i="4"/>
  <c r="P2647" i="4"/>
  <c r="T2648" i="4"/>
  <c r="J2649" i="4"/>
  <c r="K2649" i="4"/>
  <c r="N2649" i="4" s="1"/>
  <c r="L2649" i="4"/>
  <c r="M2649" i="4"/>
  <c r="O2648" i="4"/>
  <c r="X2647" i="4" l="1"/>
  <c r="Y2647" i="4" s="1"/>
  <c r="Q2648" i="4"/>
  <c r="V2648" i="4" s="1"/>
  <c r="S2648" i="4"/>
  <c r="P2648" i="4"/>
  <c r="U2648" i="4"/>
  <c r="T2649" i="4"/>
  <c r="O2649" i="4"/>
  <c r="J2650" i="4"/>
  <c r="L2650" i="4"/>
  <c r="M2650" i="4"/>
  <c r="K2650" i="4"/>
  <c r="N2650" i="4" s="1"/>
  <c r="T2650" i="4" s="1"/>
  <c r="R2648" i="4" l="1"/>
  <c r="W2648" i="4" s="1"/>
  <c r="X2648" i="4" s="1"/>
  <c r="Y2648" i="4" s="1"/>
  <c r="Q2650" i="4"/>
  <c r="V2650" i="4" s="1"/>
  <c r="S2650" i="4"/>
  <c r="Q2649" i="4"/>
  <c r="V2649" i="4" s="1"/>
  <c r="S2649" i="4"/>
  <c r="P2649" i="4"/>
  <c r="U2649" i="4"/>
  <c r="J2651" i="4"/>
  <c r="K2651" i="4"/>
  <c r="N2651" i="4" s="1"/>
  <c r="L2651" i="4"/>
  <c r="M2651" i="4"/>
  <c r="O2650" i="4"/>
  <c r="U2650" i="4" s="1"/>
  <c r="R2650" i="4" l="1"/>
  <c r="W2650" i="4" s="1"/>
  <c r="X2650" i="4" s="1"/>
  <c r="Y2650" i="4" s="1"/>
  <c r="R2649" i="4"/>
  <c r="W2649" i="4" s="1"/>
  <c r="X2649" i="4" s="1"/>
  <c r="Y2649" i="4" s="1"/>
  <c r="P2650" i="4"/>
  <c r="T2651" i="4"/>
  <c r="O2651" i="4"/>
  <c r="U2651" i="4" s="1"/>
  <c r="J2652" i="4"/>
  <c r="L2652" i="4"/>
  <c r="M2652" i="4"/>
  <c r="K2652" i="4"/>
  <c r="N2652" i="4" s="1"/>
  <c r="R2651" i="4" l="1"/>
  <c r="W2651" i="4" s="1"/>
  <c r="Q2651" i="4"/>
  <c r="V2651" i="4" s="1"/>
  <c r="S2651" i="4"/>
  <c r="P2651" i="4"/>
  <c r="T2652" i="4"/>
  <c r="J2653" i="4"/>
  <c r="K2653" i="4"/>
  <c r="N2653" i="4" s="1"/>
  <c r="L2653" i="4"/>
  <c r="M2653" i="4"/>
  <c r="O2652" i="4"/>
  <c r="U2652" i="4" s="1"/>
  <c r="X2651" i="4" l="1"/>
  <c r="Y2651" i="4" s="1"/>
  <c r="R2652" i="4"/>
  <c r="W2652" i="4" s="1"/>
  <c r="Q2652" i="4"/>
  <c r="V2652" i="4" s="1"/>
  <c r="S2652" i="4"/>
  <c r="P2652" i="4"/>
  <c r="T2653" i="4"/>
  <c r="O2653" i="4"/>
  <c r="U2653" i="4" s="1"/>
  <c r="J2654" i="4"/>
  <c r="M2654" i="4"/>
  <c r="L2654" i="4"/>
  <c r="K2654" i="4"/>
  <c r="N2654" i="4" s="1"/>
  <c r="X2652" i="4" l="1"/>
  <c r="Y2652" i="4" s="1"/>
  <c r="R2653" i="4"/>
  <c r="W2653" i="4" s="1"/>
  <c r="Q2653" i="4"/>
  <c r="V2653" i="4" s="1"/>
  <c r="S2653" i="4"/>
  <c r="P2653" i="4"/>
  <c r="T2654" i="4"/>
  <c r="J2655" i="4"/>
  <c r="K2655" i="4"/>
  <c r="N2655" i="4" s="1"/>
  <c r="L2655" i="4"/>
  <c r="M2655" i="4"/>
  <c r="O2654" i="4"/>
  <c r="X2653" i="4" l="1"/>
  <c r="Y2653" i="4" s="1"/>
  <c r="Q2654" i="4"/>
  <c r="V2654" i="4" s="1"/>
  <c r="S2654" i="4"/>
  <c r="P2654" i="4"/>
  <c r="U2654" i="4"/>
  <c r="T2655" i="4"/>
  <c r="O2655" i="4"/>
  <c r="J2656" i="4"/>
  <c r="M2656" i="4"/>
  <c r="K2656" i="4"/>
  <c r="N2656" i="4" s="1"/>
  <c r="T2656" i="4" s="1"/>
  <c r="L2656" i="4"/>
  <c r="R2654" i="4" l="1"/>
  <c r="W2654" i="4" s="1"/>
  <c r="X2654" i="4" s="1"/>
  <c r="Y2654" i="4" s="1"/>
  <c r="Q2656" i="4"/>
  <c r="V2656" i="4" s="1"/>
  <c r="S2656" i="4"/>
  <c r="Q2655" i="4"/>
  <c r="V2655" i="4" s="1"/>
  <c r="S2655" i="4"/>
  <c r="P2655" i="4"/>
  <c r="U2655" i="4"/>
  <c r="J2657" i="4"/>
  <c r="K2657" i="4"/>
  <c r="N2657" i="4" s="1"/>
  <c r="T2657" i="4" s="1"/>
  <c r="L2657" i="4"/>
  <c r="M2657" i="4"/>
  <c r="O2656" i="4"/>
  <c r="U2656" i="4" s="1"/>
  <c r="R2655" i="4" l="1"/>
  <c r="W2655" i="4" s="1"/>
  <c r="X2655" i="4" s="1"/>
  <c r="Y2655" i="4" s="1"/>
  <c r="R2656" i="4"/>
  <c r="W2656" i="4" s="1"/>
  <c r="X2656" i="4" s="1"/>
  <c r="Y2656" i="4" s="1"/>
  <c r="Q2657" i="4"/>
  <c r="V2657" i="4" s="1"/>
  <c r="S2657" i="4"/>
  <c r="P2656" i="4"/>
  <c r="O2657" i="4"/>
  <c r="J2658" i="4"/>
  <c r="M2658" i="4"/>
  <c r="K2658" i="4"/>
  <c r="N2658" i="4" s="1"/>
  <c r="L2658" i="4"/>
  <c r="P2657" i="4" l="1"/>
  <c r="U2657" i="4"/>
  <c r="T2658" i="4"/>
  <c r="J2659" i="4"/>
  <c r="K2659" i="4"/>
  <c r="N2659" i="4" s="1"/>
  <c r="L2659" i="4"/>
  <c r="M2659" i="4"/>
  <c r="O2658" i="4"/>
  <c r="R2657" i="4" l="1"/>
  <c r="W2657" i="4" s="1"/>
  <c r="X2657" i="4" s="1"/>
  <c r="Y2657" i="4" s="1"/>
  <c r="Q2658" i="4"/>
  <c r="V2658" i="4" s="1"/>
  <c r="S2658" i="4"/>
  <c r="P2658" i="4"/>
  <c r="T2659" i="4"/>
  <c r="U2658" i="4"/>
  <c r="O2659" i="4"/>
  <c r="J2660" i="4"/>
  <c r="M2660" i="4"/>
  <c r="K2660" i="4"/>
  <c r="N2660" i="4" s="1"/>
  <c r="L2660" i="4"/>
  <c r="R2658" i="4" l="1"/>
  <c r="W2658" i="4" s="1"/>
  <c r="X2658" i="4" s="1"/>
  <c r="Y2658" i="4" s="1"/>
  <c r="Q2659" i="4"/>
  <c r="V2659" i="4" s="1"/>
  <c r="S2659" i="4"/>
  <c r="T2660" i="4"/>
  <c r="P2659" i="4"/>
  <c r="U2659" i="4"/>
  <c r="J2661" i="4"/>
  <c r="K2661" i="4"/>
  <c r="N2661" i="4" s="1"/>
  <c r="L2661" i="4"/>
  <c r="M2661" i="4"/>
  <c r="O2660" i="4"/>
  <c r="U2660" i="4" s="1"/>
  <c r="R2660" i="4" l="1"/>
  <c r="W2660" i="4" s="1"/>
  <c r="R2659" i="4"/>
  <c r="W2659" i="4" s="1"/>
  <c r="X2659" i="4" s="1"/>
  <c r="Y2659" i="4" s="1"/>
  <c r="Q2660" i="4"/>
  <c r="V2660" i="4" s="1"/>
  <c r="S2660" i="4"/>
  <c r="P2660" i="4"/>
  <c r="T2661" i="4"/>
  <c r="O2661" i="4"/>
  <c r="U2661" i="4" s="1"/>
  <c r="J2662" i="4"/>
  <c r="M2662" i="4"/>
  <c r="K2662" i="4"/>
  <c r="N2662" i="4" s="1"/>
  <c r="L2662" i="4"/>
  <c r="X2660" i="4" l="1"/>
  <c r="Y2660" i="4" s="1"/>
  <c r="R2661" i="4"/>
  <c r="W2661" i="4" s="1"/>
  <c r="Q2661" i="4"/>
  <c r="V2661" i="4" s="1"/>
  <c r="S2661" i="4"/>
  <c r="P2661" i="4"/>
  <c r="T2662" i="4"/>
  <c r="J2663" i="4"/>
  <c r="K2663" i="4"/>
  <c r="N2663" i="4" s="1"/>
  <c r="L2663" i="4"/>
  <c r="M2663" i="4"/>
  <c r="O2662" i="4"/>
  <c r="U2662" i="4" s="1"/>
  <c r="X2661" i="4" l="1"/>
  <c r="Y2661" i="4" s="1"/>
  <c r="R2662" i="4"/>
  <c r="W2662" i="4" s="1"/>
  <c r="Q2662" i="4"/>
  <c r="V2662" i="4" s="1"/>
  <c r="S2662" i="4"/>
  <c r="P2662" i="4"/>
  <c r="T2663" i="4"/>
  <c r="O2663" i="4"/>
  <c r="U2663" i="4" s="1"/>
  <c r="J2664" i="4"/>
  <c r="M2664" i="4"/>
  <c r="K2664" i="4"/>
  <c r="N2664" i="4" s="1"/>
  <c r="L2664" i="4"/>
  <c r="X2662" i="4" l="1"/>
  <c r="Y2662" i="4" s="1"/>
  <c r="R2663" i="4"/>
  <c r="W2663" i="4" s="1"/>
  <c r="Q2663" i="4"/>
  <c r="V2663" i="4" s="1"/>
  <c r="S2663" i="4"/>
  <c r="P2663" i="4"/>
  <c r="T2664" i="4"/>
  <c r="J2665" i="4"/>
  <c r="K2665" i="4"/>
  <c r="N2665" i="4" s="1"/>
  <c r="L2665" i="4"/>
  <c r="M2665" i="4"/>
  <c r="O2664" i="4"/>
  <c r="U2664" i="4" s="1"/>
  <c r="X2663" i="4" l="1"/>
  <c r="Y2663" i="4" s="1"/>
  <c r="R2664" i="4"/>
  <c r="W2664" i="4" s="1"/>
  <c r="Q2664" i="4"/>
  <c r="V2664" i="4" s="1"/>
  <c r="S2664" i="4"/>
  <c r="P2664" i="4"/>
  <c r="T2665" i="4"/>
  <c r="O2665" i="4"/>
  <c r="U2665" i="4" s="1"/>
  <c r="J2666" i="4"/>
  <c r="M2666" i="4"/>
  <c r="K2666" i="4"/>
  <c r="N2666" i="4" s="1"/>
  <c r="L2666" i="4"/>
  <c r="X2664" i="4" l="1"/>
  <c r="Y2664" i="4" s="1"/>
  <c r="R2665" i="4"/>
  <c r="W2665" i="4" s="1"/>
  <c r="Q2665" i="4"/>
  <c r="V2665" i="4" s="1"/>
  <c r="S2665" i="4"/>
  <c r="P2665" i="4"/>
  <c r="T2666" i="4"/>
  <c r="J2667" i="4"/>
  <c r="K2667" i="4"/>
  <c r="N2667" i="4" s="1"/>
  <c r="L2667" i="4"/>
  <c r="M2667" i="4"/>
  <c r="O2666" i="4"/>
  <c r="U2666" i="4" s="1"/>
  <c r="X2665" i="4" l="1"/>
  <c r="Y2665" i="4" s="1"/>
  <c r="R2666" i="4"/>
  <c r="W2666" i="4" s="1"/>
  <c r="Q2666" i="4"/>
  <c r="V2666" i="4" s="1"/>
  <c r="S2666" i="4"/>
  <c r="P2666" i="4"/>
  <c r="T2667" i="4"/>
  <c r="O2667" i="4"/>
  <c r="U2667" i="4" s="1"/>
  <c r="J2668" i="4"/>
  <c r="M2668" i="4"/>
  <c r="K2668" i="4"/>
  <c r="N2668" i="4" s="1"/>
  <c r="L2668" i="4"/>
  <c r="X2666" i="4" l="1"/>
  <c r="Y2666" i="4" s="1"/>
  <c r="R2667" i="4"/>
  <c r="W2667" i="4" s="1"/>
  <c r="Q2667" i="4"/>
  <c r="V2667" i="4" s="1"/>
  <c r="S2667" i="4"/>
  <c r="P2667" i="4"/>
  <c r="T2668" i="4"/>
  <c r="J2669" i="4"/>
  <c r="K2669" i="4"/>
  <c r="N2669" i="4" s="1"/>
  <c r="L2669" i="4"/>
  <c r="M2669" i="4"/>
  <c r="O2668" i="4"/>
  <c r="U2668" i="4" s="1"/>
  <c r="X2667" i="4" l="1"/>
  <c r="Y2667" i="4" s="1"/>
  <c r="R2668" i="4"/>
  <c r="W2668" i="4" s="1"/>
  <c r="Q2668" i="4"/>
  <c r="V2668" i="4" s="1"/>
  <c r="S2668" i="4"/>
  <c r="P2668" i="4"/>
  <c r="T2669" i="4"/>
  <c r="O2669" i="4"/>
  <c r="U2669" i="4" s="1"/>
  <c r="J2670" i="4"/>
  <c r="M2670" i="4"/>
  <c r="K2670" i="4"/>
  <c r="N2670" i="4" s="1"/>
  <c r="L2670" i="4"/>
  <c r="X2668" i="4" l="1"/>
  <c r="Y2668" i="4" s="1"/>
  <c r="R2669" i="4"/>
  <c r="W2669" i="4" s="1"/>
  <c r="Q2669" i="4"/>
  <c r="V2669" i="4" s="1"/>
  <c r="S2669" i="4"/>
  <c r="P2669" i="4"/>
  <c r="T2670" i="4"/>
  <c r="J2671" i="4"/>
  <c r="K2671" i="4"/>
  <c r="N2671" i="4" s="1"/>
  <c r="L2671" i="4"/>
  <c r="M2671" i="4"/>
  <c r="O2670" i="4"/>
  <c r="U2670" i="4" s="1"/>
  <c r="X2669" i="4" l="1"/>
  <c r="Y2669" i="4" s="1"/>
  <c r="R2670" i="4"/>
  <c r="W2670" i="4" s="1"/>
  <c r="Q2670" i="4"/>
  <c r="V2670" i="4" s="1"/>
  <c r="S2670" i="4"/>
  <c r="P2670" i="4"/>
  <c r="T2671" i="4"/>
  <c r="O2671" i="4"/>
  <c r="U2671" i="4" s="1"/>
  <c r="J2672" i="4"/>
  <c r="M2672" i="4"/>
  <c r="K2672" i="4"/>
  <c r="N2672" i="4" s="1"/>
  <c r="L2672" i="4"/>
  <c r="X2670" i="4" l="1"/>
  <c r="Y2670" i="4" s="1"/>
  <c r="R2671" i="4"/>
  <c r="W2671" i="4" s="1"/>
  <c r="Q2671" i="4"/>
  <c r="V2671" i="4" s="1"/>
  <c r="S2671" i="4"/>
  <c r="P2671" i="4"/>
  <c r="T2672" i="4"/>
  <c r="J2673" i="4"/>
  <c r="K2673" i="4"/>
  <c r="N2673" i="4" s="1"/>
  <c r="L2673" i="4"/>
  <c r="M2673" i="4"/>
  <c r="O2672" i="4"/>
  <c r="X2671" i="4" l="1"/>
  <c r="Y2671" i="4" s="1"/>
  <c r="Q2672" i="4"/>
  <c r="V2672" i="4" s="1"/>
  <c r="S2672" i="4"/>
  <c r="P2672" i="4"/>
  <c r="U2672" i="4"/>
  <c r="T2673" i="4"/>
  <c r="O2673" i="4"/>
  <c r="U2673" i="4" s="1"/>
  <c r="J2674" i="4"/>
  <c r="M2674" i="4"/>
  <c r="K2674" i="4"/>
  <c r="N2674" i="4" s="1"/>
  <c r="L2674" i="4"/>
  <c r="R2672" i="4" l="1"/>
  <c r="W2672" i="4" s="1"/>
  <c r="X2672" i="4" s="1"/>
  <c r="Y2672" i="4" s="1"/>
  <c r="R2673" i="4"/>
  <c r="W2673" i="4" s="1"/>
  <c r="Q2673" i="4"/>
  <c r="V2673" i="4" s="1"/>
  <c r="S2673" i="4"/>
  <c r="P2673" i="4"/>
  <c r="T2674" i="4"/>
  <c r="J2675" i="4"/>
  <c r="K2675" i="4"/>
  <c r="N2675" i="4" s="1"/>
  <c r="L2675" i="4"/>
  <c r="M2675" i="4"/>
  <c r="O2674" i="4"/>
  <c r="X2673" i="4" l="1"/>
  <c r="Y2673" i="4" s="1"/>
  <c r="Q2674" i="4"/>
  <c r="V2674" i="4" s="1"/>
  <c r="S2674" i="4"/>
  <c r="P2674" i="4"/>
  <c r="U2674" i="4"/>
  <c r="T2675" i="4"/>
  <c r="O2675" i="4"/>
  <c r="J2676" i="4"/>
  <c r="M2676" i="4"/>
  <c r="K2676" i="4"/>
  <c r="N2676" i="4" s="1"/>
  <c r="L2676" i="4"/>
  <c r="R2674" i="4" l="1"/>
  <c r="W2674" i="4" s="1"/>
  <c r="X2674" i="4" s="1"/>
  <c r="Y2674" i="4" s="1"/>
  <c r="Q2675" i="4"/>
  <c r="V2675" i="4" s="1"/>
  <c r="S2675" i="4"/>
  <c r="T2676" i="4"/>
  <c r="P2675" i="4"/>
  <c r="U2675" i="4"/>
  <c r="J2677" i="4"/>
  <c r="K2677" i="4"/>
  <c r="N2677" i="4" s="1"/>
  <c r="L2677" i="4"/>
  <c r="M2677" i="4"/>
  <c r="O2676" i="4"/>
  <c r="U2676" i="4" s="1"/>
  <c r="R2675" i="4" l="1"/>
  <c r="W2675" i="4" s="1"/>
  <c r="X2675" i="4" s="1"/>
  <c r="Y2675" i="4" s="1"/>
  <c r="R2676" i="4"/>
  <c r="W2676" i="4" s="1"/>
  <c r="Q2676" i="4"/>
  <c r="V2676" i="4" s="1"/>
  <c r="S2676" i="4"/>
  <c r="P2676" i="4"/>
  <c r="T2677" i="4"/>
  <c r="O2677" i="4"/>
  <c r="U2677" i="4" s="1"/>
  <c r="J2678" i="4"/>
  <c r="M2678" i="4"/>
  <c r="K2678" i="4"/>
  <c r="N2678" i="4" s="1"/>
  <c r="L2678" i="4"/>
  <c r="X2676" i="4" l="1"/>
  <c r="Y2676" i="4" s="1"/>
  <c r="R2677" i="4"/>
  <c r="W2677" i="4" s="1"/>
  <c r="Q2677" i="4"/>
  <c r="V2677" i="4" s="1"/>
  <c r="S2677" i="4"/>
  <c r="P2677" i="4"/>
  <c r="T2678" i="4"/>
  <c r="J2679" i="4"/>
  <c r="K2679" i="4"/>
  <c r="N2679" i="4" s="1"/>
  <c r="L2679" i="4"/>
  <c r="M2679" i="4"/>
  <c r="O2678" i="4"/>
  <c r="U2678" i="4" s="1"/>
  <c r="X2677" i="4" l="1"/>
  <c r="Y2677" i="4" s="1"/>
  <c r="R2678" i="4"/>
  <c r="W2678" i="4" s="1"/>
  <c r="Q2678" i="4"/>
  <c r="V2678" i="4" s="1"/>
  <c r="S2678" i="4"/>
  <c r="P2678" i="4"/>
  <c r="T2679" i="4"/>
  <c r="O2679" i="4"/>
  <c r="U2679" i="4" s="1"/>
  <c r="J2680" i="4"/>
  <c r="M2680" i="4"/>
  <c r="K2680" i="4"/>
  <c r="N2680" i="4" s="1"/>
  <c r="L2680" i="4"/>
  <c r="X2678" i="4" l="1"/>
  <c r="Y2678" i="4" s="1"/>
  <c r="R2679" i="4"/>
  <c r="W2679" i="4" s="1"/>
  <c r="Q2679" i="4"/>
  <c r="V2679" i="4" s="1"/>
  <c r="S2679" i="4"/>
  <c r="P2679" i="4"/>
  <c r="T2680" i="4"/>
  <c r="J2681" i="4"/>
  <c r="K2681" i="4"/>
  <c r="N2681" i="4" s="1"/>
  <c r="L2681" i="4"/>
  <c r="M2681" i="4"/>
  <c r="O2680" i="4"/>
  <c r="U2680" i="4" s="1"/>
  <c r="X2679" i="4" l="1"/>
  <c r="Y2679" i="4" s="1"/>
  <c r="R2680" i="4"/>
  <c r="W2680" i="4" s="1"/>
  <c r="Q2680" i="4"/>
  <c r="V2680" i="4" s="1"/>
  <c r="S2680" i="4"/>
  <c r="P2680" i="4"/>
  <c r="T2681" i="4"/>
  <c r="O2681" i="4"/>
  <c r="U2681" i="4" s="1"/>
  <c r="J2682" i="4"/>
  <c r="M2682" i="4"/>
  <c r="K2682" i="4"/>
  <c r="N2682" i="4" s="1"/>
  <c r="L2682" i="4"/>
  <c r="X2680" i="4" l="1"/>
  <c r="Y2680" i="4" s="1"/>
  <c r="R2681" i="4"/>
  <c r="W2681" i="4" s="1"/>
  <c r="Q2681" i="4"/>
  <c r="V2681" i="4" s="1"/>
  <c r="S2681" i="4"/>
  <c r="P2681" i="4"/>
  <c r="T2682" i="4"/>
  <c r="J2683" i="4"/>
  <c r="K2683" i="4"/>
  <c r="N2683" i="4" s="1"/>
  <c r="L2683" i="4"/>
  <c r="M2683" i="4"/>
  <c r="O2682" i="4"/>
  <c r="U2682" i="4" s="1"/>
  <c r="X2681" i="4" l="1"/>
  <c r="Y2681" i="4" s="1"/>
  <c r="R2682" i="4"/>
  <c r="W2682" i="4" s="1"/>
  <c r="Q2682" i="4"/>
  <c r="V2682" i="4" s="1"/>
  <c r="S2682" i="4"/>
  <c r="P2682" i="4"/>
  <c r="T2683" i="4"/>
  <c r="O2683" i="4"/>
  <c r="U2683" i="4" s="1"/>
  <c r="J2684" i="4"/>
  <c r="M2684" i="4"/>
  <c r="K2684" i="4"/>
  <c r="N2684" i="4" s="1"/>
  <c r="L2684" i="4"/>
  <c r="X2682" i="4" l="1"/>
  <c r="Y2682" i="4" s="1"/>
  <c r="R2683" i="4"/>
  <c r="W2683" i="4" s="1"/>
  <c r="Q2683" i="4"/>
  <c r="V2683" i="4" s="1"/>
  <c r="S2683" i="4"/>
  <c r="P2683" i="4"/>
  <c r="T2684" i="4"/>
  <c r="J2685" i="4"/>
  <c r="K2685" i="4"/>
  <c r="N2685" i="4" s="1"/>
  <c r="L2685" i="4"/>
  <c r="M2685" i="4"/>
  <c r="O2684" i="4"/>
  <c r="U2684" i="4" s="1"/>
  <c r="X2683" i="4" l="1"/>
  <c r="Y2683" i="4" s="1"/>
  <c r="R2684" i="4"/>
  <c r="W2684" i="4" s="1"/>
  <c r="Q2684" i="4"/>
  <c r="V2684" i="4" s="1"/>
  <c r="S2684" i="4"/>
  <c r="P2684" i="4"/>
  <c r="T2685" i="4"/>
  <c r="O2685" i="4"/>
  <c r="U2685" i="4" s="1"/>
  <c r="J2686" i="4"/>
  <c r="M2686" i="4"/>
  <c r="K2686" i="4"/>
  <c r="N2686" i="4" s="1"/>
  <c r="L2686" i="4"/>
  <c r="X2684" i="4" l="1"/>
  <c r="Y2684" i="4" s="1"/>
  <c r="R2685" i="4"/>
  <c r="W2685" i="4" s="1"/>
  <c r="Q2685" i="4"/>
  <c r="V2685" i="4" s="1"/>
  <c r="S2685" i="4"/>
  <c r="P2685" i="4"/>
  <c r="T2686" i="4"/>
  <c r="J2687" i="4"/>
  <c r="K2687" i="4"/>
  <c r="N2687" i="4" s="1"/>
  <c r="L2687" i="4"/>
  <c r="M2687" i="4"/>
  <c r="O2686" i="4"/>
  <c r="U2686" i="4" s="1"/>
  <c r="X2685" i="4" l="1"/>
  <c r="Y2685" i="4" s="1"/>
  <c r="R2686" i="4"/>
  <c r="W2686" i="4" s="1"/>
  <c r="Q2686" i="4"/>
  <c r="V2686" i="4" s="1"/>
  <c r="S2686" i="4"/>
  <c r="P2686" i="4"/>
  <c r="T2687" i="4"/>
  <c r="O2687" i="4"/>
  <c r="U2687" i="4" s="1"/>
  <c r="J2688" i="4"/>
  <c r="M2688" i="4"/>
  <c r="K2688" i="4"/>
  <c r="N2688" i="4" s="1"/>
  <c r="L2688" i="4"/>
  <c r="X2686" i="4" l="1"/>
  <c r="Y2686" i="4" s="1"/>
  <c r="R2687" i="4"/>
  <c r="W2687" i="4" s="1"/>
  <c r="Q2687" i="4"/>
  <c r="V2687" i="4" s="1"/>
  <c r="S2687" i="4"/>
  <c r="P2687" i="4"/>
  <c r="T2688" i="4"/>
  <c r="J2689" i="4"/>
  <c r="K2689" i="4"/>
  <c r="N2689" i="4" s="1"/>
  <c r="L2689" i="4"/>
  <c r="M2689" i="4"/>
  <c r="O2688" i="4"/>
  <c r="U2688" i="4" s="1"/>
  <c r="X2687" i="4" l="1"/>
  <c r="Y2687" i="4" s="1"/>
  <c r="R2688" i="4"/>
  <c r="W2688" i="4" s="1"/>
  <c r="Q2688" i="4"/>
  <c r="V2688" i="4" s="1"/>
  <c r="S2688" i="4"/>
  <c r="P2688" i="4"/>
  <c r="T2689" i="4"/>
  <c r="O2689" i="4"/>
  <c r="U2689" i="4" s="1"/>
  <c r="J2690" i="4"/>
  <c r="M2690" i="4"/>
  <c r="K2690" i="4"/>
  <c r="N2690" i="4" s="1"/>
  <c r="L2690" i="4"/>
  <c r="X2688" i="4" l="1"/>
  <c r="Y2688" i="4" s="1"/>
  <c r="R2689" i="4"/>
  <c r="W2689" i="4" s="1"/>
  <c r="Q2689" i="4"/>
  <c r="V2689" i="4" s="1"/>
  <c r="S2689" i="4"/>
  <c r="P2689" i="4"/>
  <c r="T2690" i="4"/>
  <c r="J2691" i="4"/>
  <c r="K2691" i="4"/>
  <c r="N2691" i="4" s="1"/>
  <c r="L2691" i="4"/>
  <c r="M2691" i="4"/>
  <c r="O2690" i="4"/>
  <c r="U2690" i="4" s="1"/>
  <c r="X2689" i="4" l="1"/>
  <c r="Y2689" i="4" s="1"/>
  <c r="R2690" i="4"/>
  <c r="W2690" i="4" s="1"/>
  <c r="Q2690" i="4"/>
  <c r="V2690" i="4" s="1"/>
  <c r="S2690" i="4"/>
  <c r="P2690" i="4"/>
  <c r="T2691" i="4"/>
  <c r="O2691" i="4"/>
  <c r="U2691" i="4" s="1"/>
  <c r="J2692" i="4"/>
  <c r="M2692" i="4"/>
  <c r="K2692" i="4"/>
  <c r="N2692" i="4" s="1"/>
  <c r="L2692" i="4"/>
  <c r="X2690" i="4" l="1"/>
  <c r="Y2690" i="4" s="1"/>
  <c r="R2691" i="4"/>
  <c r="W2691" i="4" s="1"/>
  <c r="Q2691" i="4"/>
  <c r="V2691" i="4" s="1"/>
  <c r="S2691" i="4"/>
  <c r="P2691" i="4"/>
  <c r="T2692" i="4"/>
  <c r="J2693" i="4"/>
  <c r="K2693" i="4"/>
  <c r="N2693" i="4" s="1"/>
  <c r="L2693" i="4"/>
  <c r="M2693" i="4"/>
  <c r="O2692" i="4"/>
  <c r="U2692" i="4" s="1"/>
  <c r="X2691" i="4" l="1"/>
  <c r="Y2691" i="4" s="1"/>
  <c r="R2692" i="4"/>
  <c r="W2692" i="4" s="1"/>
  <c r="Q2692" i="4"/>
  <c r="V2692" i="4" s="1"/>
  <c r="S2692" i="4"/>
  <c r="P2692" i="4"/>
  <c r="T2693" i="4"/>
  <c r="O2693" i="4"/>
  <c r="U2693" i="4" s="1"/>
  <c r="J2694" i="4"/>
  <c r="M2694" i="4"/>
  <c r="K2694" i="4"/>
  <c r="N2694" i="4" s="1"/>
  <c r="L2694" i="4"/>
  <c r="X2692" i="4" l="1"/>
  <c r="Y2692" i="4" s="1"/>
  <c r="R2693" i="4"/>
  <c r="W2693" i="4" s="1"/>
  <c r="Q2693" i="4"/>
  <c r="V2693" i="4" s="1"/>
  <c r="S2693" i="4"/>
  <c r="P2693" i="4"/>
  <c r="T2694" i="4"/>
  <c r="J2695" i="4"/>
  <c r="K2695" i="4"/>
  <c r="N2695" i="4" s="1"/>
  <c r="L2695" i="4"/>
  <c r="M2695" i="4"/>
  <c r="O2694" i="4"/>
  <c r="U2694" i="4" s="1"/>
  <c r="X2693" i="4" l="1"/>
  <c r="Y2693" i="4" s="1"/>
  <c r="R2694" i="4"/>
  <c r="W2694" i="4" s="1"/>
  <c r="Q2694" i="4"/>
  <c r="V2694" i="4" s="1"/>
  <c r="S2694" i="4"/>
  <c r="P2694" i="4"/>
  <c r="T2695" i="4"/>
  <c r="O2695" i="4"/>
  <c r="U2695" i="4" s="1"/>
  <c r="J2696" i="4"/>
  <c r="M2696" i="4"/>
  <c r="K2696" i="4"/>
  <c r="N2696" i="4" s="1"/>
  <c r="L2696" i="4"/>
  <c r="X2694" i="4" l="1"/>
  <c r="Y2694" i="4" s="1"/>
  <c r="R2695" i="4"/>
  <c r="W2695" i="4" s="1"/>
  <c r="Q2695" i="4"/>
  <c r="V2695" i="4" s="1"/>
  <c r="S2695" i="4"/>
  <c r="P2695" i="4"/>
  <c r="T2696" i="4"/>
  <c r="J2697" i="4"/>
  <c r="K2697" i="4"/>
  <c r="N2697" i="4" s="1"/>
  <c r="L2697" i="4"/>
  <c r="M2697" i="4"/>
  <c r="O2696" i="4"/>
  <c r="U2696" i="4" s="1"/>
  <c r="X2695" i="4" l="1"/>
  <c r="Y2695" i="4" s="1"/>
  <c r="R2696" i="4"/>
  <c r="W2696" i="4" s="1"/>
  <c r="Q2696" i="4"/>
  <c r="V2696" i="4" s="1"/>
  <c r="S2696" i="4"/>
  <c r="P2696" i="4"/>
  <c r="T2697" i="4"/>
  <c r="O2697" i="4"/>
  <c r="U2697" i="4" s="1"/>
  <c r="J2698" i="4"/>
  <c r="M2698" i="4"/>
  <c r="K2698" i="4"/>
  <c r="N2698" i="4" s="1"/>
  <c r="L2698" i="4"/>
  <c r="X2696" i="4" l="1"/>
  <c r="Y2696" i="4" s="1"/>
  <c r="R2697" i="4"/>
  <c r="W2697" i="4" s="1"/>
  <c r="Q2697" i="4"/>
  <c r="V2697" i="4" s="1"/>
  <c r="S2697" i="4"/>
  <c r="P2697" i="4"/>
  <c r="T2698" i="4"/>
  <c r="J2699" i="4"/>
  <c r="K2699" i="4"/>
  <c r="N2699" i="4" s="1"/>
  <c r="L2699" i="4"/>
  <c r="M2699" i="4"/>
  <c r="O2698" i="4"/>
  <c r="U2698" i="4" s="1"/>
  <c r="X2697" i="4" l="1"/>
  <c r="Y2697" i="4" s="1"/>
  <c r="R2698" i="4"/>
  <c r="W2698" i="4" s="1"/>
  <c r="Q2698" i="4"/>
  <c r="V2698" i="4" s="1"/>
  <c r="S2698" i="4"/>
  <c r="P2698" i="4"/>
  <c r="T2699" i="4"/>
  <c r="O2699" i="4"/>
  <c r="U2699" i="4" s="1"/>
  <c r="J2700" i="4"/>
  <c r="M2700" i="4"/>
  <c r="K2700" i="4"/>
  <c r="N2700" i="4" s="1"/>
  <c r="L2700" i="4"/>
  <c r="X2698" i="4" l="1"/>
  <c r="Y2698" i="4" s="1"/>
  <c r="R2699" i="4"/>
  <c r="W2699" i="4" s="1"/>
  <c r="Q2699" i="4"/>
  <c r="V2699" i="4" s="1"/>
  <c r="S2699" i="4"/>
  <c r="P2699" i="4"/>
  <c r="T2700" i="4"/>
  <c r="J2701" i="4"/>
  <c r="K2701" i="4"/>
  <c r="N2701" i="4" s="1"/>
  <c r="L2701" i="4"/>
  <c r="M2701" i="4"/>
  <c r="O2700" i="4"/>
  <c r="U2700" i="4" s="1"/>
  <c r="X2699" i="4" l="1"/>
  <c r="Y2699" i="4" s="1"/>
  <c r="R2700" i="4"/>
  <c r="W2700" i="4" s="1"/>
  <c r="Q2700" i="4"/>
  <c r="V2700" i="4" s="1"/>
  <c r="S2700" i="4"/>
  <c r="P2700" i="4"/>
  <c r="T2701" i="4"/>
  <c r="O2701" i="4"/>
  <c r="U2701" i="4" s="1"/>
  <c r="J2702" i="4"/>
  <c r="M2702" i="4"/>
  <c r="K2702" i="4"/>
  <c r="N2702" i="4" s="1"/>
  <c r="L2702" i="4"/>
  <c r="X2700" i="4" l="1"/>
  <c r="Y2700" i="4" s="1"/>
  <c r="R2701" i="4"/>
  <c r="W2701" i="4" s="1"/>
  <c r="Q2701" i="4"/>
  <c r="V2701" i="4" s="1"/>
  <c r="S2701" i="4"/>
  <c r="T2702" i="4"/>
  <c r="P2701" i="4"/>
  <c r="J2703" i="4"/>
  <c r="K2703" i="4"/>
  <c r="N2703" i="4" s="1"/>
  <c r="L2703" i="4"/>
  <c r="M2703" i="4"/>
  <c r="O2702" i="4"/>
  <c r="U2702" i="4" s="1"/>
  <c r="X2701" i="4" l="1"/>
  <c r="Y2701" i="4" s="1"/>
  <c r="R2702" i="4"/>
  <c r="W2702" i="4" s="1"/>
  <c r="Q2702" i="4"/>
  <c r="V2702" i="4" s="1"/>
  <c r="S2702" i="4"/>
  <c r="P2702" i="4"/>
  <c r="T2703" i="4"/>
  <c r="O2703" i="4"/>
  <c r="J2704" i="4"/>
  <c r="M2704" i="4"/>
  <c r="K2704" i="4"/>
  <c r="N2704" i="4" s="1"/>
  <c r="L2704" i="4"/>
  <c r="X2702" i="4" l="1"/>
  <c r="Y2702" i="4" s="1"/>
  <c r="Q2703" i="4"/>
  <c r="V2703" i="4" s="1"/>
  <c r="S2703" i="4"/>
  <c r="P2703" i="4"/>
  <c r="T2704" i="4"/>
  <c r="U2703" i="4"/>
  <c r="J2705" i="4"/>
  <c r="K2705" i="4"/>
  <c r="N2705" i="4" s="1"/>
  <c r="L2705" i="4"/>
  <c r="M2705" i="4"/>
  <c r="O2704" i="4"/>
  <c r="U2704" i="4" s="1"/>
  <c r="R2704" i="4" l="1"/>
  <c r="W2704" i="4" s="1"/>
  <c r="R2703" i="4"/>
  <c r="W2703" i="4" s="1"/>
  <c r="X2703" i="4" s="1"/>
  <c r="Y2703" i="4" s="1"/>
  <c r="Q2704" i="4"/>
  <c r="V2704" i="4" s="1"/>
  <c r="S2704" i="4"/>
  <c r="T2705" i="4"/>
  <c r="P2704" i="4"/>
  <c r="O2705" i="4"/>
  <c r="U2705" i="4" s="1"/>
  <c r="J2706" i="4"/>
  <c r="M2706" i="4"/>
  <c r="K2706" i="4"/>
  <c r="N2706" i="4" s="1"/>
  <c r="L2706" i="4"/>
  <c r="X2704" i="4" l="1"/>
  <c r="Y2704" i="4" s="1"/>
  <c r="R2705" i="4"/>
  <c r="W2705" i="4" s="1"/>
  <c r="Q2705" i="4"/>
  <c r="V2705" i="4" s="1"/>
  <c r="S2705" i="4"/>
  <c r="P2705" i="4"/>
  <c r="T2706" i="4"/>
  <c r="J2707" i="4"/>
  <c r="K2707" i="4"/>
  <c r="N2707" i="4" s="1"/>
  <c r="L2707" i="4"/>
  <c r="M2707" i="4"/>
  <c r="O2706" i="4"/>
  <c r="U2706" i="4" s="1"/>
  <c r="X2705" i="4" l="1"/>
  <c r="Y2705" i="4" s="1"/>
  <c r="R2706" i="4"/>
  <c r="W2706" i="4" s="1"/>
  <c r="Q2706" i="4"/>
  <c r="V2706" i="4" s="1"/>
  <c r="S2706" i="4"/>
  <c r="P2706" i="4"/>
  <c r="T2707" i="4"/>
  <c r="O2707" i="4"/>
  <c r="U2707" i="4" s="1"/>
  <c r="J2708" i="4"/>
  <c r="M2708" i="4"/>
  <c r="K2708" i="4"/>
  <c r="N2708" i="4" s="1"/>
  <c r="L2708" i="4"/>
  <c r="X2706" i="4" l="1"/>
  <c r="Y2706" i="4" s="1"/>
  <c r="R2707" i="4"/>
  <c r="W2707" i="4" s="1"/>
  <c r="Q2707" i="4"/>
  <c r="V2707" i="4" s="1"/>
  <c r="S2707" i="4"/>
  <c r="P2707" i="4"/>
  <c r="T2708" i="4"/>
  <c r="J2709" i="4"/>
  <c r="K2709" i="4"/>
  <c r="N2709" i="4" s="1"/>
  <c r="L2709" i="4"/>
  <c r="M2709" i="4"/>
  <c r="O2708" i="4"/>
  <c r="U2708" i="4" s="1"/>
  <c r="X2707" i="4" l="1"/>
  <c r="Y2707" i="4" s="1"/>
  <c r="R2708" i="4"/>
  <c r="W2708" i="4" s="1"/>
  <c r="Q2708" i="4"/>
  <c r="V2708" i="4" s="1"/>
  <c r="S2708" i="4"/>
  <c r="P2708" i="4"/>
  <c r="T2709" i="4"/>
  <c r="O2709" i="4"/>
  <c r="U2709" i="4" s="1"/>
  <c r="J2710" i="4"/>
  <c r="M2710" i="4"/>
  <c r="K2710" i="4"/>
  <c r="N2710" i="4" s="1"/>
  <c r="L2710" i="4"/>
  <c r="X2708" i="4" l="1"/>
  <c r="Y2708" i="4" s="1"/>
  <c r="R2709" i="4"/>
  <c r="W2709" i="4" s="1"/>
  <c r="Q2709" i="4"/>
  <c r="V2709" i="4" s="1"/>
  <c r="S2709" i="4"/>
  <c r="P2709" i="4"/>
  <c r="T2710" i="4"/>
  <c r="J2711" i="4"/>
  <c r="K2711" i="4"/>
  <c r="N2711" i="4" s="1"/>
  <c r="L2711" i="4"/>
  <c r="M2711" i="4"/>
  <c r="O2710" i="4"/>
  <c r="U2710" i="4" s="1"/>
  <c r="X2709" i="4" l="1"/>
  <c r="Y2709" i="4" s="1"/>
  <c r="R2710" i="4"/>
  <c r="W2710" i="4" s="1"/>
  <c r="Q2710" i="4"/>
  <c r="V2710" i="4" s="1"/>
  <c r="S2710" i="4"/>
  <c r="P2710" i="4"/>
  <c r="T2711" i="4"/>
  <c r="O2711" i="4"/>
  <c r="U2711" i="4" s="1"/>
  <c r="J2712" i="4"/>
  <c r="M2712" i="4"/>
  <c r="K2712" i="4"/>
  <c r="N2712" i="4" s="1"/>
  <c r="L2712" i="4"/>
  <c r="X2710" i="4" l="1"/>
  <c r="Y2710" i="4" s="1"/>
  <c r="R2711" i="4"/>
  <c r="W2711" i="4" s="1"/>
  <c r="Q2711" i="4"/>
  <c r="V2711" i="4" s="1"/>
  <c r="S2711" i="4"/>
  <c r="P2711" i="4"/>
  <c r="T2712" i="4"/>
  <c r="J2713" i="4"/>
  <c r="K2713" i="4"/>
  <c r="N2713" i="4" s="1"/>
  <c r="L2713" i="4"/>
  <c r="M2713" i="4"/>
  <c r="O2712" i="4"/>
  <c r="U2712" i="4" s="1"/>
  <c r="X2711" i="4" l="1"/>
  <c r="Y2711" i="4" s="1"/>
  <c r="R2712" i="4"/>
  <c r="W2712" i="4" s="1"/>
  <c r="Q2712" i="4"/>
  <c r="V2712" i="4" s="1"/>
  <c r="S2712" i="4"/>
  <c r="P2712" i="4"/>
  <c r="T2713" i="4"/>
  <c r="O2713" i="4"/>
  <c r="U2713" i="4" s="1"/>
  <c r="J2714" i="4"/>
  <c r="M2714" i="4"/>
  <c r="K2714" i="4"/>
  <c r="N2714" i="4" s="1"/>
  <c r="L2714" i="4"/>
  <c r="X2712" i="4" l="1"/>
  <c r="Y2712" i="4" s="1"/>
  <c r="R2713" i="4"/>
  <c r="W2713" i="4" s="1"/>
  <c r="Q2713" i="4"/>
  <c r="V2713" i="4" s="1"/>
  <c r="S2713" i="4"/>
  <c r="P2713" i="4"/>
  <c r="T2714" i="4"/>
  <c r="J2715" i="4"/>
  <c r="K2715" i="4"/>
  <c r="N2715" i="4" s="1"/>
  <c r="L2715" i="4"/>
  <c r="M2715" i="4"/>
  <c r="O2714" i="4"/>
  <c r="U2714" i="4" s="1"/>
  <c r="X2713" i="4" l="1"/>
  <c r="Y2713" i="4" s="1"/>
  <c r="R2714" i="4"/>
  <c r="W2714" i="4" s="1"/>
  <c r="Q2714" i="4"/>
  <c r="V2714" i="4" s="1"/>
  <c r="S2714" i="4"/>
  <c r="P2714" i="4"/>
  <c r="T2715" i="4"/>
  <c r="O2715" i="4"/>
  <c r="U2715" i="4" s="1"/>
  <c r="J2716" i="4"/>
  <c r="M2716" i="4"/>
  <c r="K2716" i="4"/>
  <c r="N2716" i="4" s="1"/>
  <c r="L2716" i="4"/>
  <c r="X2714" i="4" l="1"/>
  <c r="Y2714" i="4" s="1"/>
  <c r="R2715" i="4"/>
  <c r="W2715" i="4" s="1"/>
  <c r="Q2715" i="4"/>
  <c r="V2715" i="4" s="1"/>
  <c r="S2715" i="4"/>
  <c r="P2715" i="4"/>
  <c r="T2716" i="4"/>
  <c r="J2717" i="4"/>
  <c r="K2717" i="4"/>
  <c r="N2717" i="4" s="1"/>
  <c r="L2717" i="4"/>
  <c r="M2717" i="4"/>
  <c r="O2716" i="4"/>
  <c r="U2716" i="4" s="1"/>
  <c r="X2715" i="4" l="1"/>
  <c r="Y2715" i="4" s="1"/>
  <c r="R2716" i="4"/>
  <c r="W2716" i="4" s="1"/>
  <c r="Q2716" i="4"/>
  <c r="V2716" i="4" s="1"/>
  <c r="S2716" i="4"/>
  <c r="P2716" i="4"/>
  <c r="T2717" i="4"/>
  <c r="O2717" i="4"/>
  <c r="U2717" i="4" s="1"/>
  <c r="J2718" i="4"/>
  <c r="M2718" i="4"/>
  <c r="K2718" i="4"/>
  <c r="N2718" i="4" s="1"/>
  <c r="L2718" i="4"/>
  <c r="X2716" i="4" l="1"/>
  <c r="Y2716" i="4" s="1"/>
  <c r="R2717" i="4"/>
  <c r="W2717" i="4" s="1"/>
  <c r="Q2717" i="4"/>
  <c r="V2717" i="4" s="1"/>
  <c r="S2717" i="4"/>
  <c r="P2717" i="4"/>
  <c r="T2718" i="4"/>
  <c r="J2719" i="4"/>
  <c r="K2719" i="4"/>
  <c r="N2719" i="4" s="1"/>
  <c r="L2719" i="4"/>
  <c r="M2719" i="4"/>
  <c r="O2718" i="4"/>
  <c r="U2718" i="4" s="1"/>
  <c r="X2717" i="4" l="1"/>
  <c r="Y2717" i="4" s="1"/>
  <c r="R2718" i="4"/>
  <c r="W2718" i="4" s="1"/>
  <c r="Q2718" i="4"/>
  <c r="V2718" i="4" s="1"/>
  <c r="S2718" i="4"/>
  <c r="P2718" i="4"/>
  <c r="T2719" i="4"/>
  <c r="O2719" i="4"/>
  <c r="U2719" i="4" s="1"/>
  <c r="J2720" i="4"/>
  <c r="M2720" i="4"/>
  <c r="K2720" i="4"/>
  <c r="N2720" i="4" s="1"/>
  <c r="L2720" i="4"/>
  <c r="X2718" i="4" l="1"/>
  <c r="Y2718" i="4" s="1"/>
  <c r="R2719" i="4"/>
  <c r="W2719" i="4" s="1"/>
  <c r="Q2719" i="4"/>
  <c r="V2719" i="4" s="1"/>
  <c r="S2719" i="4"/>
  <c r="P2719" i="4"/>
  <c r="T2720" i="4"/>
  <c r="J2721" i="4"/>
  <c r="K2721" i="4"/>
  <c r="N2721" i="4" s="1"/>
  <c r="L2721" i="4"/>
  <c r="M2721" i="4"/>
  <c r="O2720" i="4"/>
  <c r="U2720" i="4" s="1"/>
  <c r="X2719" i="4" l="1"/>
  <c r="Y2719" i="4" s="1"/>
  <c r="R2720" i="4"/>
  <c r="W2720" i="4" s="1"/>
  <c r="Q2720" i="4"/>
  <c r="V2720" i="4" s="1"/>
  <c r="S2720" i="4"/>
  <c r="P2720" i="4"/>
  <c r="T2721" i="4"/>
  <c r="O2721" i="4"/>
  <c r="U2721" i="4" s="1"/>
  <c r="J2722" i="4"/>
  <c r="M2722" i="4"/>
  <c r="K2722" i="4"/>
  <c r="N2722" i="4" s="1"/>
  <c r="L2722" i="4"/>
  <c r="X2720" i="4" l="1"/>
  <c r="Y2720" i="4" s="1"/>
  <c r="R2721" i="4"/>
  <c r="W2721" i="4" s="1"/>
  <c r="Q2721" i="4"/>
  <c r="V2721" i="4" s="1"/>
  <c r="S2721" i="4"/>
  <c r="P2721" i="4"/>
  <c r="T2722" i="4"/>
  <c r="J2723" i="4"/>
  <c r="K2723" i="4"/>
  <c r="N2723" i="4" s="1"/>
  <c r="L2723" i="4"/>
  <c r="M2723" i="4"/>
  <c r="O2722" i="4"/>
  <c r="X2721" i="4" l="1"/>
  <c r="Y2721" i="4" s="1"/>
  <c r="Q2722" i="4"/>
  <c r="V2722" i="4" s="1"/>
  <c r="S2722" i="4"/>
  <c r="P2722" i="4"/>
  <c r="U2722" i="4"/>
  <c r="T2723" i="4"/>
  <c r="O2723" i="4"/>
  <c r="J2724" i="4"/>
  <c r="M2724" i="4"/>
  <c r="K2724" i="4"/>
  <c r="N2724" i="4" s="1"/>
  <c r="L2724" i="4"/>
  <c r="R2722" i="4" l="1"/>
  <c r="W2722" i="4" s="1"/>
  <c r="X2722" i="4" s="1"/>
  <c r="Y2722" i="4" s="1"/>
  <c r="Q2723" i="4"/>
  <c r="V2723" i="4" s="1"/>
  <c r="S2723" i="4"/>
  <c r="T2724" i="4"/>
  <c r="P2723" i="4"/>
  <c r="U2723" i="4"/>
  <c r="J2725" i="4"/>
  <c r="K2725" i="4"/>
  <c r="N2725" i="4" s="1"/>
  <c r="L2725" i="4"/>
  <c r="M2725" i="4"/>
  <c r="O2724" i="4"/>
  <c r="U2724" i="4" s="1"/>
  <c r="R2723" i="4" l="1"/>
  <c r="W2723" i="4" s="1"/>
  <c r="X2723" i="4" s="1"/>
  <c r="Y2723" i="4" s="1"/>
  <c r="R2724" i="4"/>
  <c r="W2724" i="4" s="1"/>
  <c r="Q2724" i="4"/>
  <c r="V2724" i="4" s="1"/>
  <c r="S2724" i="4"/>
  <c r="P2724" i="4"/>
  <c r="T2725" i="4"/>
  <c r="O2725" i="4"/>
  <c r="U2725" i="4" s="1"/>
  <c r="J2726" i="4"/>
  <c r="M2726" i="4"/>
  <c r="K2726" i="4"/>
  <c r="N2726" i="4" s="1"/>
  <c r="L2726" i="4"/>
  <c r="X2724" i="4" l="1"/>
  <c r="Y2724" i="4" s="1"/>
  <c r="R2725" i="4"/>
  <c r="W2725" i="4" s="1"/>
  <c r="Q2725" i="4"/>
  <c r="V2725" i="4" s="1"/>
  <c r="S2725" i="4"/>
  <c r="P2725" i="4"/>
  <c r="T2726" i="4"/>
  <c r="J2727" i="4"/>
  <c r="K2727" i="4"/>
  <c r="N2727" i="4" s="1"/>
  <c r="L2727" i="4"/>
  <c r="M2727" i="4"/>
  <c r="O2726" i="4"/>
  <c r="U2726" i="4" s="1"/>
  <c r="X2725" i="4" l="1"/>
  <c r="Y2725" i="4" s="1"/>
  <c r="R2726" i="4"/>
  <c r="W2726" i="4" s="1"/>
  <c r="Q2726" i="4"/>
  <c r="V2726" i="4" s="1"/>
  <c r="S2726" i="4"/>
  <c r="P2726" i="4"/>
  <c r="T2727" i="4"/>
  <c r="O2727" i="4"/>
  <c r="U2727" i="4" s="1"/>
  <c r="J2728" i="4"/>
  <c r="K2728" i="4"/>
  <c r="N2728" i="4" s="1"/>
  <c r="L2728" i="4"/>
  <c r="M2728" i="4"/>
  <c r="X2726" i="4" l="1"/>
  <c r="Y2726" i="4" s="1"/>
  <c r="R2727" i="4"/>
  <c r="W2727" i="4" s="1"/>
  <c r="Q2727" i="4"/>
  <c r="V2727" i="4" s="1"/>
  <c r="S2727" i="4"/>
  <c r="P2727" i="4"/>
  <c r="T2728" i="4"/>
  <c r="O2728" i="4"/>
  <c r="U2728" i="4" s="1"/>
  <c r="J2729" i="4"/>
  <c r="L2729" i="4"/>
  <c r="M2729" i="4"/>
  <c r="K2729" i="4"/>
  <c r="N2729" i="4" s="1"/>
  <c r="X2727" i="4" l="1"/>
  <c r="Y2727" i="4" s="1"/>
  <c r="R2728" i="4"/>
  <c r="W2728" i="4" s="1"/>
  <c r="Q2728" i="4"/>
  <c r="V2728" i="4" s="1"/>
  <c r="S2728" i="4"/>
  <c r="P2728" i="4"/>
  <c r="T2729" i="4"/>
  <c r="J2730" i="4"/>
  <c r="K2730" i="4"/>
  <c r="N2730" i="4" s="1"/>
  <c r="L2730" i="4"/>
  <c r="M2730" i="4"/>
  <c r="O2729" i="4"/>
  <c r="U2729" i="4" s="1"/>
  <c r="X2728" i="4" l="1"/>
  <c r="Y2728" i="4" s="1"/>
  <c r="R2729" i="4"/>
  <c r="W2729" i="4" s="1"/>
  <c r="Q2729" i="4"/>
  <c r="V2729" i="4" s="1"/>
  <c r="S2729" i="4"/>
  <c r="P2729" i="4"/>
  <c r="T2730" i="4"/>
  <c r="O2730" i="4"/>
  <c r="U2730" i="4" s="1"/>
  <c r="J2731" i="4"/>
  <c r="L2731" i="4"/>
  <c r="M2731" i="4"/>
  <c r="K2731" i="4"/>
  <c r="N2731" i="4" s="1"/>
  <c r="X2729" i="4" l="1"/>
  <c r="Y2729" i="4" s="1"/>
  <c r="R2730" i="4"/>
  <c r="W2730" i="4" s="1"/>
  <c r="Q2730" i="4"/>
  <c r="V2730" i="4" s="1"/>
  <c r="S2730" i="4"/>
  <c r="P2730" i="4"/>
  <c r="T2731" i="4"/>
  <c r="J2732" i="4"/>
  <c r="K2732" i="4"/>
  <c r="N2732" i="4" s="1"/>
  <c r="L2732" i="4"/>
  <c r="M2732" i="4"/>
  <c r="O2731" i="4"/>
  <c r="U2731" i="4" s="1"/>
  <c r="X2730" i="4" l="1"/>
  <c r="Y2730" i="4" s="1"/>
  <c r="R2731" i="4"/>
  <c r="W2731" i="4" s="1"/>
  <c r="Q2731" i="4"/>
  <c r="V2731" i="4" s="1"/>
  <c r="S2731" i="4"/>
  <c r="P2731" i="4"/>
  <c r="T2732" i="4"/>
  <c r="O2732" i="4"/>
  <c r="U2732" i="4" s="1"/>
  <c r="J2733" i="4"/>
  <c r="L2733" i="4"/>
  <c r="M2733" i="4"/>
  <c r="K2733" i="4"/>
  <c r="N2733" i="4" s="1"/>
  <c r="X2731" i="4" l="1"/>
  <c r="Y2731" i="4" s="1"/>
  <c r="R2732" i="4"/>
  <c r="W2732" i="4" s="1"/>
  <c r="Q2732" i="4"/>
  <c r="V2732" i="4" s="1"/>
  <c r="S2732" i="4"/>
  <c r="P2732" i="4"/>
  <c r="T2733" i="4"/>
  <c r="J2734" i="4"/>
  <c r="K2734" i="4"/>
  <c r="N2734" i="4" s="1"/>
  <c r="L2734" i="4"/>
  <c r="M2734" i="4"/>
  <c r="O2733" i="4"/>
  <c r="U2733" i="4" s="1"/>
  <c r="X2732" i="4" l="1"/>
  <c r="Y2732" i="4" s="1"/>
  <c r="R2733" i="4"/>
  <c r="W2733" i="4" s="1"/>
  <c r="Q2733" i="4"/>
  <c r="V2733" i="4" s="1"/>
  <c r="S2733" i="4"/>
  <c r="P2733" i="4"/>
  <c r="T2734" i="4"/>
  <c r="O2734" i="4"/>
  <c r="U2734" i="4" s="1"/>
  <c r="J2735" i="4"/>
  <c r="L2735" i="4"/>
  <c r="M2735" i="4"/>
  <c r="K2735" i="4"/>
  <c r="N2735" i="4" s="1"/>
  <c r="X2733" i="4" l="1"/>
  <c r="Y2733" i="4" s="1"/>
  <c r="R2734" i="4"/>
  <c r="W2734" i="4" s="1"/>
  <c r="Q2734" i="4"/>
  <c r="V2734" i="4" s="1"/>
  <c r="S2734" i="4"/>
  <c r="P2734" i="4"/>
  <c r="T2735" i="4"/>
  <c r="J2736" i="4"/>
  <c r="K2736" i="4"/>
  <c r="N2736" i="4" s="1"/>
  <c r="L2736" i="4"/>
  <c r="M2736" i="4"/>
  <c r="O2735" i="4"/>
  <c r="U2735" i="4" s="1"/>
  <c r="X2734" i="4" l="1"/>
  <c r="Y2734" i="4" s="1"/>
  <c r="R2735" i="4"/>
  <c r="W2735" i="4" s="1"/>
  <c r="Q2735" i="4"/>
  <c r="V2735" i="4" s="1"/>
  <c r="S2735" i="4"/>
  <c r="P2735" i="4"/>
  <c r="T2736" i="4"/>
  <c r="O2736" i="4"/>
  <c r="U2736" i="4" s="1"/>
  <c r="J2737" i="4"/>
  <c r="L2737" i="4"/>
  <c r="M2737" i="4"/>
  <c r="K2737" i="4"/>
  <c r="N2737" i="4" s="1"/>
  <c r="X2735" i="4" l="1"/>
  <c r="Y2735" i="4" s="1"/>
  <c r="R2736" i="4"/>
  <c r="W2736" i="4" s="1"/>
  <c r="Q2736" i="4"/>
  <c r="V2736" i="4" s="1"/>
  <c r="S2736" i="4"/>
  <c r="P2736" i="4"/>
  <c r="T2737" i="4"/>
  <c r="J2738" i="4"/>
  <c r="K2738" i="4"/>
  <c r="N2738" i="4" s="1"/>
  <c r="L2738" i="4"/>
  <c r="M2738" i="4"/>
  <c r="O2737" i="4"/>
  <c r="X2736" i="4" l="1"/>
  <c r="Y2736" i="4" s="1"/>
  <c r="Q2737" i="4"/>
  <c r="V2737" i="4" s="1"/>
  <c r="S2737" i="4"/>
  <c r="P2737" i="4"/>
  <c r="U2737" i="4"/>
  <c r="T2738" i="4"/>
  <c r="O2738" i="4"/>
  <c r="J2739" i="4"/>
  <c r="L2739" i="4"/>
  <c r="M2739" i="4"/>
  <c r="K2739" i="4"/>
  <c r="N2739" i="4" s="1"/>
  <c r="T2739" i="4" s="1"/>
  <c r="R2737" i="4" l="1"/>
  <c r="W2737" i="4" s="1"/>
  <c r="X2737" i="4" s="1"/>
  <c r="Y2737" i="4" s="1"/>
  <c r="Q2739" i="4"/>
  <c r="V2739" i="4" s="1"/>
  <c r="S2739" i="4"/>
  <c r="Q2738" i="4"/>
  <c r="V2738" i="4" s="1"/>
  <c r="S2738" i="4"/>
  <c r="P2738" i="4"/>
  <c r="U2738" i="4"/>
  <c r="J2740" i="4"/>
  <c r="K2740" i="4"/>
  <c r="N2740" i="4" s="1"/>
  <c r="L2740" i="4"/>
  <c r="M2740" i="4"/>
  <c r="O2739" i="4"/>
  <c r="U2739" i="4" s="1"/>
  <c r="R2738" i="4" l="1"/>
  <c r="W2738" i="4" s="1"/>
  <c r="X2738" i="4" s="1"/>
  <c r="Y2738" i="4" s="1"/>
  <c r="R2739" i="4"/>
  <c r="W2739" i="4" s="1"/>
  <c r="X2739" i="4" s="1"/>
  <c r="Y2739" i="4" s="1"/>
  <c r="P2739" i="4"/>
  <c r="T2740" i="4"/>
  <c r="O2740" i="4"/>
  <c r="U2740" i="4" s="1"/>
  <c r="J2741" i="4"/>
  <c r="L2741" i="4"/>
  <c r="M2741" i="4"/>
  <c r="K2741" i="4"/>
  <c r="N2741" i="4" s="1"/>
  <c r="R2740" i="4" l="1"/>
  <c r="W2740" i="4" s="1"/>
  <c r="Q2740" i="4"/>
  <c r="V2740" i="4" s="1"/>
  <c r="X2740" i="4" s="1"/>
  <c r="Y2740" i="4" s="1"/>
  <c r="S2740" i="4"/>
  <c r="P2740" i="4"/>
  <c r="T2741" i="4"/>
  <c r="J2742" i="4"/>
  <c r="K2742" i="4"/>
  <c r="N2742" i="4" s="1"/>
  <c r="L2742" i="4"/>
  <c r="M2742" i="4"/>
  <c r="O2741" i="4"/>
  <c r="U2741" i="4" s="1"/>
  <c r="R2741" i="4" l="1"/>
  <c r="W2741" i="4" s="1"/>
  <c r="Q2741" i="4"/>
  <c r="V2741" i="4" s="1"/>
  <c r="S2741" i="4"/>
  <c r="P2741" i="4"/>
  <c r="T2742" i="4"/>
  <c r="O2742" i="4"/>
  <c r="J2743" i="4"/>
  <c r="L2743" i="4"/>
  <c r="M2743" i="4"/>
  <c r="K2743" i="4"/>
  <c r="N2743" i="4" s="1"/>
  <c r="X2741" i="4" l="1"/>
  <c r="Y2741" i="4" s="1"/>
  <c r="Q2742" i="4"/>
  <c r="V2742" i="4" s="1"/>
  <c r="S2742" i="4"/>
  <c r="P2742" i="4"/>
  <c r="U2742" i="4"/>
  <c r="T2743" i="4"/>
  <c r="J2744" i="4"/>
  <c r="K2744" i="4"/>
  <c r="N2744" i="4" s="1"/>
  <c r="T2744" i="4" s="1"/>
  <c r="L2744" i="4"/>
  <c r="M2744" i="4"/>
  <c r="O2743" i="4"/>
  <c r="R2742" i="4" l="1"/>
  <c r="W2742" i="4" s="1"/>
  <c r="X2742" i="4" s="1"/>
  <c r="Y2742" i="4" s="1"/>
  <c r="Q2744" i="4"/>
  <c r="V2744" i="4" s="1"/>
  <c r="S2744" i="4"/>
  <c r="Q2743" i="4"/>
  <c r="V2743" i="4" s="1"/>
  <c r="S2743" i="4"/>
  <c r="P2743" i="4"/>
  <c r="U2743" i="4"/>
  <c r="O2744" i="4"/>
  <c r="U2744" i="4" s="1"/>
  <c r="J2745" i="4"/>
  <c r="L2745" i="4"/>
  <c r="M2745" i="4"/>
  <c r="K2745" i="4"/>
  <c r="N2745" i="4" s="1"/>
  <c r="T2745" i="4" s="1"/>
  <c r="R2744" i="4" l="1"/>
  <c r="W2744" i="4" s="1"/>
  <c r="X2744" i="4" s="1"/>
  <c r="Y2744" i="4" s="1"/>
  <c r="R2743" i="4"/>
  <c r="W2743" i="4" s="1"/>
  <c r="X2743" i="4" s="1"/>
  <c r="Y2743" i="4" s="1"/>
  <c r="Q2745" i="4"/>
  <c r="V2745" i="4" s="1"/>
  <c r="S2745" i="4"/>
  <c r="P2744" i="4"/>
  <c r="J2746" i="4"/>
  <c r="K2746" i="4"/>
  <c r="N2746" i="4" s="1"/>
  <c r="L2746" i="4"/>
  <c r="M2746" i="4"/>
  <c r="O2745" i="4"/>
  <c r="P2745" i="4" l="1"/>
  <c r="U2745" i="4"/>
  <c r="T2746" i="4"/>
  <c r="O2746" i="4"/>
  <c r="J2747" i="4"/>
  <c r="L2747" i="4"/>
  <c r="M2747" i="4"/>
  <c r="K2747" i="4"/>
  <c r="N2747" i="4" s="1"/>
  <c r="T2747" i="4" s="1"/>
  <c r="R2745" i="4" l="1"/>
  <c r="W2745" i="4" s="1"/>
  <c r="X2745" i="4" s="1"/>
  <c r="Y2745" i="4" s="1"/>
  <c r="Q2746" i="4"/>
  <c r="V2746" i="4" s="1"/>
  <c r="S2746" i="4"/>
  <c r="Q2747" i="4"/>
  <c r="V2747" i="4" s="1"/>
  <c r="S2747" i="4"/>
  <c r="P2746" i="4"/>
  <c r="U2746" i="4"/>
  <c r="J2748" i="4"/>
  <c r="K2748" i="4"/>
  <c r="N2748" i="4" s="1"/>
  <c r="L2748" i="4"/>
  <c r="M2748" i="4"/>
  <c r="O2747" i="4"/>
  <c r="R2746" i="4" l="1"/>
  <c r="W2746" i="4" s="1"/>
  <c r="X2746" i="4" s="1"/>
  <c r="Y2746" i="4" s="1"/>
  <c r="P2747" i="4"/>
  <c r="U2747" i="4"/>
  <c r="T2748" i="4"/>
  <c r="O2748" i="4"/>
  <c r="J2749" i="4"/>
  <c r="L2749" i="4"/>
  <c r="M2749" i="4"/>
  <c r="K2749" i="4"/>
  <c r="N2749" i="4" s="1"/>
  <c r="T2749" i="4" s="1"/>
  <c r="R2747" i="4" l="1"/>
  <c r="W2747" i="4" s="1"/>
  <c r="X2747" i="4" s="1"/>
  <c r="Y2747" i="4" s="1"/>
  <c r="Q2748" i="4"/>
  <c r="V2748" i="4" s="1"/>
  <c r="S2748" i="4"/>
  <c r="Q2749" i="4"/>
  <c r="V2749" i="4" s="1"/>
  <c r="S2749" i="4"/>
  <c r="P2748" i="4"/>
  <c r="U2748" i="4"/>
  <c r="J2750" i="4"/>
  <c r="K2750" i="4"/>
  <c r="N2750" i="4" s="1"/>
  <c r="L2750" i="4"/>
  <c r="M2750" i="4"/>
  <c r="O2749" i="4"/>
  <c r="U2749" i="4" s="1"/>
  <c r="R2749" i="4" l="1"/>
  <c r="W2749" i="4" s="1"/>
  <c r="X2749" i="4" s="1"/>
  <c r="Y2749" i="4" s="1"/>
  <c r="R2748" i="4"/>
  <c r="W2748" i="4" s="1"/>
  <c r="X2748" i="4" s="1"/>
  <c r="Y2748" i="4" s="1"/>
  <c r="P2749" i="4"/>
  <c r="T2750" i="4"/>
  <c r="O2750" i="4"/>
  <c r="J2751" i="4"/>
  <c r="L2751" i="4"/>
  <c r="M2751" i="4"/>
  <c r="K2751" i="4"/>
  <c r="N2751" i="4" s="1"/>
  <c r="Q2750" i="4" l="1"/>
  <c r="V2750" i="4" s="1"/>
  <c r="S2750" i="4"/>
  <c r="P2750" i="4"/>
  <c r="U2750" i="4"/>
  <c r="T2751" i="4"/>
  <c r="J2752" i="4"/>
  <c r="K2752" i="4"/>
  <c r="N2752" i="4" s="1"/>
  <c r="L2752" i="4"/>
  <c r="M2752" i="4"/>
  <c r="O2751" i="4"/>
  <c r="R2750" i="4" l="1"/>
  <c r="W2750" i="4" s="1"/>
  <c r="X2750" i="4" s="1"/>
  <c r="Y2750" i="4" s="1"/>
  <c r="Q2751" i="4"/>
  <c r="V2751" i="4" s="1"/>
  <c r="S2751" i="4"/>
  <c r="T2752" i="4"/>
  <c r="P2751" i="4"/>
  <c r="U2751" i="4"/>
  <c r="O2752" i="4"/>
  <c r="U2752" i="4" s="1"/>
  <c r="J2753" i="4"/>
  <c r="L2753" i="4"/>
  <c r="M2753" i="4"/>
  <c r="K2753" i="4"/>
  <c r="N2753" i="4" s="1"/>
  <c r="R2751" i="4" l="1"/>
  <c r="W2751" i="4" s="1"/>
  <c r="X2751" i="4" s="1"/>
  <c r="Y2751" i="4" s="1"/>
  <c r="R2752" i="4"/>
  <c r="W2752" i="4" s="1"/>
  <c r="Q2752" i="4"/>
  <c r="V2752" i="4" s="1"/>
  <c r="S2752" i="4"/>
  <c r="P2752" i="4"/>
  <c r="T2753" i="4"/>
  <c r="J2754" i="4"/>
  <c r="K2754" i="4"/>
  <c r="N2754" i="4" s="1"/>
  <c r="T2754" i="4" s="1"/>
  <c r="L2754" i="4"/>
  <c r="M2754" i="4"/>
  <c r="O2753" i="4"/>
  <c r="X2752" i="4" l="1"/>
  <c r="Y2752" i="4" s="1"/>
  <c r="Q2753" i="4"/>
  <c r="V2753" i="4" s="1"/>
  <c r="S2753" i="4"/>
  <c r="Q2754" i="4"/>
  <c r="V2754" i="4" s="1"/>
  <c r="S2754" i="4"/>
  <c r="P2753" i="4"/>
  <c r="U2753" i="4"/>
  <c r="O2754" i="4"/>
  <c r="U2754" i="4" s="1"/>
  <c r="J2755" i="4"/>
  <c r="L2755" i="4"/>
  <c r="M2755" i="4"/>
  <c r="K2755" i="4"/>
  <c r="N2755" i="4" s="1"/>
  <c r="T2755" i="4" s="1"/>
  <c r="R2753" i="4" l="1"/>
  <c r="W2753" i="4" s="1"/>
  <c r="X2753" i="4" s="1"/>
  <c r="Y2753" i="4" s="1"/>
  <c r="R2754" i="4"/>
  <c r="W2754" i="4" s="1"/>
  <c r="X2754" i="4" s="1"/>
  <c r="Y2754" i="4" s="1"/>
  <c r="Q2755" i="4"/>
  <c r="V2755" i="4" s="1"/>
  <c r="S2755" i="4"/>
  <c r="P2754" i="4"/>
  <c r="J2756" i="4"/>
  <c r="K2756" i="4"/>
  <c r="N2756" i="4" s="1"/>
  <c r="T2756" i="4" s="1"/>
  <c r="L2756" i="4"/>
  <c r="M2756" i="4"/>
  <c r="O2755" i="4"/>
  <c r="Q2756" i="4" l="1"/>
  <c r="V2756" i="4" s="1"/>
  <c r="S2756" i="4"/>
  <c r="P2755" i="4"/>
  <c r="U2755" i="4"/>
  <c r="O2756" i="4"/>
  <c r="U2756" i="4" s="1"/>
  <c r="J2757" i="4"/>
  <c r="L2757" i="4"/>
  <c r="M2757" i="4"/>
  <c r="K2757" i="4"/>
  <c r="N2757" i="4" s="1"/>
  <c r="R2756" i="4" l="1"/>
  <c r="W2756" i="4" s="1"/>
  <c r="X2756" i="4" s="1"/>
  <c r="Y2756" i="4" s="1"/>
  <c r="R2755" i="4"/>
  <c r="W2755" i="4" s="1"/>
  <c r="X2755" i="4" s="1"/>
  <c r="Y2755" i="4" s="1"/>
  <c r="T2757" i="4"/>
  <c r="P2756" i="4"/>
  <c r="J2758" i="4"/>
  <c r="K2758" i="4"/>
  <c r="N2758" i="4" s="1"/>
  <c r="L2758" i="4"/>
  <c r="M2758" i="4"/>
  <c r="O2757" i="4"/>
  <c r="U2757" i="4" s="1"/>
  <c r="R2757" i="4" l="1"/>
  <c r="W2757" i="4" s="1"/>
  <c r="Q2757" i="4"/>
  <c r="V2757" i="4" s="1"/>
  <c r="S2757" i="4"/>
  <c r="P2757" i="4"/>
  <c r="T2758" i="4"/>
  <c r="O2758" i="4"/>
  <c r="U2758" i="4" s="1"/>
  <c r="J2759" i="4"/>
  <c r="L2759" i="4"/>
  <c r="M2759" i="4"/>
  <c r="K2759" i="4"/>
  <c r="N2759" i="4" s="1"/>
  <c r="T2759" i="4" s="1"/>
  <c r="X2757" i="4" l="1"/>
  <c r="Y2757" i="4" s="1"/>
  <c r="R2758" i="4"/>
  <c r="W2758" i="4" s="1"/>
  <c r="Q2759" i="4"/>
  <c r="V2759" i="4" s="1"/>
  <c r="S2759" i="4"/>
  <c r="Q2758" i="4"/>
  <c r="V2758" i="4" s="1"/>
  <c r="S2758" i="4"/>
  <c r="P2758" i="4"/>
  <c r="J2760" i="4"/>
  <c r="K2760" i="4"/>
  <c r="N2760" i="4" s="1"/>
  <c r="L2760" i="4"/>
  <c r="M2760" i="4"/>
  <c r="O2759" i="4"/>
  <c r="X2758" i="4" l="1"/>
  <c r="Y2758" i="4" s="1"/>
  <c r="P2759" i="4"/>
  <c r="U2759" i="4"/>
  <c r="T2760" i="4"/>
  <c r="O2760" i="4"/>
  <c r="J2761" i="4"/>
  <c r="L2761" i="4"/>
  <c r="M2761" i="4"/>
  <c r="K2761" i="4"/>
  <c r="N2761" i="4" s="1"/>
  <c r="T2761" i="4" s="1"/>
  <c r="R2759" i="4" l="1"/>
  <c r="W2759" i="4" s="1"/>
  <c r="X2759" i="4" s="1"/>
  <c r="Y2759" i="4" s="1"/>
  <c r="Q2761" i="4"/>
  <c r="V2761" i="4" s="1"/>
  <c r="S2761" i="4"/>
  <c r="Q2760" i="4"/>
  <c r="V2760" i="4" s="1"/>
  <c r="S2760" i="4"/>
  <c r="P2760" i="4"/>
  <c r="U2760" i="4"/>
  <c r="J2762" i="4"/>
  <c r="K2762" i="4"/>
  <c r="N2762" i="4" s="1"/>
  <c r="L2762" i="4"/>
  <c r="M2762" i="4"/>
  <c r="O2761" i="4"/>
  <c r="U2761" i="4" s="1"/>
  <c r="R2761" i="4" l="1"/>
  <c r="W2761" i="4" s="1"/>
  <c r="X2761" i="4" s="1"/>
  <c r="Y2761" i="4" s="1"/>
  <c r="R2760" i="4"/>
  <c r="W2760" i="4" s="1"/>
  <c r="X2760" i="4" s="1"/>
  <c r="Y2760" i="4" s="1"/>
  <c r="P2761" i="4"/>
  <c r="T2762" i="4"/>
  <c r="O2762" i="4"/>
  <c r="U2762" i="4" s="1"/>
  <c r="J2763" i="4"/>
  <c r="L2763" i="4"/>
  <c r="M2763" i="4"/>
  <c r="K2763" i="4"/>
  <c r="N2763" i="4" s="1"/>
  <c r="R2762" i="4" l="1"/>
  <c r="W2762" i="4" s="1"/>
  <c r="Q2762" i="4"/>
  <c r="V2762" i="4" s="1"/>
  <c r="S2762" i="4"/>
  <c r="P2762" i="4"/>
  <c r="T2763" i="4"/>
  <c r="J2764" i="4"/>
  <c r="K2764" i="4"/>
  <c r="N2764" i="4" s="1"/>
  <c r="L2764" i="4"/>
  <c r="M2764" i="4"/>
  <c r="O2763" i="4"/>
  <c r="U2763" i="4" s="1"/>
  <c r="X2762" i="4" l="1"/>
  <c r="Y2762" i="4" s="1"/>
  <c r="R2763" i="4"/>
  <c r="W2763" i="4" s="1"/>
  <c r="Q2763" i="4"/>
  <c r="V2763" i="4" s="1"/>
  <c r="S2763" i="4"/>
  <c r="P2763" i="4"/>
  <c r="T2764" i="4"/>
  <c r="O2764" i="4"/>
  <c r="U2764" i="4" s="1"/>
  <c r="J2765" i="4"/>
  <c r="L2765" i="4"/>
  <c r="M2765" i="4"/>
  <c r="K2765" i="4"/>
  <c r="N2765" i="4" s="1"/>
  <c r="X2763" i="4" l="1"/>
  <c r="Y2763" i="4" s="1"/>
  <c r="R2764" i="4"/>
  <c r="W2764" i="4" s="1"/>
  <c r="Q2764" i="4"/>
  <c r="V2764" i="4" s="1"/>
  <c r="S2764" i="4"/>
  <c r="P2764" i="4"/>
  <c r="T2765" i="4"/>
  <c r="J2766" i="4"/>
  <c r="K2766" i="4"/>
  <c r="N2766" i="4" s="1"/>
  <c r="L2766" i="4"/>
  <c r="M2766" i="4"/>
  <c r="O2765" i="4"/>
  <c r="X2764" i="4" l="1"/>
  <c r="Y2764" i="4" s="1"/>
  <c r="Q2765" i="4"/>
  <c r="V2765" i="4" s="1"/>
  <c r="S2765" i="4"/>
  <c r="P2765" i="4"/>
  <c r="U2765" i="4"/>
  <c r="T2766" i="4"/>
  <c r="O2766" i="4"/>
  <c r="J2767" i="4"/>
  <c r="L2767" i="4"/>
  <c r="M2767" i="4"/>
  <c r="K2767" i="4"/>
  <c r="N2767" i="4" s="1"/>
  <c r="T2767" i="4" s="1"/>
  <c r="R2765" i="4" l="1"/>
  <c r="W2765" i="4" s="1"/>
  <c r="X2765" i="4" s="1"/>
  <c r="Y2765" i="4" s="1"/>
  <c r="Q2767" i="4"/>
  <c r="V2767" i="4" s="1"/>
  <c r="S2767" i="4"/>
  <c r="Q2766" i="4"/>
  <c r="V2766" i="4" s="1"/>
  <c r="S2766" i="4"/>
  <c r="P2766" i="4"/>
  <c r="U2766" i="4"/>
  <c r="J2768" i="4"/>
  <c r="K2768" i="4"/>
  <c r="N2768" i="4" s="1"/>
  <c r="L2768" i="4"/>
  <c r="M2768" i="4"/>
  <c r="O2767" i="4"/>
  <c r="U2767" i="4" s="1"/>
  <c r="R2767" i="4" l="1"/>
  <c r="W2767" i="4" s="1"/>
  <c r="X2767" i="4" s="1"/>
  <c r="Y2767" i="4" s="1"/>
  <c r="R2766" i="4"/>
  <c r="W2766" i="4" s="1"/>
  <c r="X2766" i="4" s="1"/>
  <c r="Y2766" i="4" s="1"/>
  <c r="P2767" i="4"/>
  <c r="T2768" i="4"/>
  <c r="O2768" i="4"/>
  <c r="U2768" i="4" s="1"/>
  <c r="J2769" i="4"/>
  <c r="L2769" i="4"/>
  <c r="M2769" i="4"/>
  <c r="K2769" i="4"/>
  <c r="N2769" i="4" s="1"/>
  <c r="R2768" i="4" l="1"/>
  <c r="W2768" i="4" s="1"/>
  <c r="Q2768" i="4"/>
  <c r="V2768" i="4" s="1"/>
  <c r="S2768" i="4"/>
  <c r="P2768" i="4"/>
  <c r="T2769" i="4"/>
  <c r="J2770" i="4"/>
  <c r="K2770" i="4"/>
  <c r="N2770" i="4" s="1"/>
  <c r="L2770" i="4"/>
  <c r="M2770" i="4"/>
  <c r="O2769" i="4"/>
  <c r="U2769" i="4" s="1"/>
  <c r="X2768" i="4" l="1"/>
  <c r="Y2768" i="4" s="1"/>
  <c r="R2769" i="4"/>
  <c r="W2769" i="4" s="1"/>
  <c r="Q2769" i="4"/>
  <c r="V2769" i="4" s="1"/>
  <c r="S2769" i="4"/>
  <c r="P2769" i="4"/>
  <c r="T2770" i="4"/>
  <c r="O2770" i="4"/>
  <c r="U2770" i="4" s="1"/>
  <c r="J2771" i="4"/>
  <c r="L2771" i="4"/>
  <c r="M2771" i="4"/>
  <c r="K2771" i="4"/>
  <c r="N2771" i="4" s="1"/>
  <c r="X2769" i="4" l="1"/>
  <c r="Y2769" i="4" s="1"/>
  <c r="R2770" i="4"/>
  <c r="W2770" i="4" s="1"/>
  <c r="Q2770" i="4"/>
  <c r="V2770" i="4" s="1"/>
  <c r="S2770" i="4"/>
  <c r="P2770" i="4"/>
  <c r="T2771" i="4"/>
  <c r="J2772" i="4"/>
  <c r="K2772" i="4"/>
  <c r="N2772" i="4" s="1"/>
  <c r="L2772" i="4"/>
  <c r="M2772" i="4"/>
  <c r="O2771" i="4"/>
  <c r="U2771" i="4" s="1"/>
  <c r="X2770" i="4" l="1"/>
  <c r="Y2770" i="4" s="1"/>
  <c r="R2771" i="4"/>
  <c r="W2771" i="4" s="1"/>
  <c r="Q2771" i="4"/>
  <c r="V2771" i="4" s="1"/>
  <c r="S2771" i="4"/>
  <c r="P2771" i="4"/>
  <c r="T2772" i="4"/>
  <c r="O2772" i="4"/>
  <c r="J2773" i="4"/>
  <c r="L2773" i="4"/>
  <c r="M2773" i="4"/>
  <c r="K2773" i="4"/>
  <c r="N2773" i="4" s="1"/>
  <c r="X2771" i="4" l="1"/>
  <c r="Y2771" i="4" s="1"/>
  <c r="Q2772" i="4"/>
  <c r="V2772" i="4" s="1"/>
  <c r="S2772" i="4"/>
  <c r="P2772" i="4"/>
  <c r="U2772" i="4"/>
  <c r="T2773" i="4"/>
  <c r="J2774" i="4"/>
  <c r="K2774" i="4"/>
  <c r="N2774" i="4" s="1"/>
  <c r="T2774" i="4" s="1"/>
  <c r="L2774" i="4"/>
  <c r="M2774" i="4"/>
  <c r="O2773" i="4"/>
  <c r="R2772" i="4" l="1"/>
  <c r="W2772" i="4" s="1"/>
  <c r="X2772" i="4" s="1"/>
  <c r="Y2772" i="4" s="1"/>
  <c r="Q2774" i="4"/>
  <c r="V2774" i="4" s="1"/>
  <c r="S2774" i="4"/>
  <c r="Q2773" i="4"/>
  <c r="V2773" i="4" s="1"/>
  <c r="S2773" i="4"/>
  <c r="P2773" i="4"/>
  <c r="U2773" i="4"/>
  <c r="O2774" i="4"/>
  <c r="U2774" i="4" s="1"/>
  <c r="J2775" i="4"/>
  <c r="L2775" i="4"/>
  <c r="M2775" i="4"/>
  <c r="K2775" i="4"/>
  <c r="N2775" i="4" s="1"/>
  <c r="T2775" i="4" s="1"/>
  <c r="R2774" i="4" l="1"/>
  <c r="W2774" i="4" s="1"/>
  <c r="X2774" i="4" s="1"/>
  <c r="Y2774" i="4" s="1"/>
  <c r="R2773" i="4"/>
  <c r="W2773" i="4" s="1"/>
  <c r="X2773" i="4" s="1"/>
  <c r="Y2773" i="4" s="1"/>
  <c r="Q2775" i="4"/>
  <c r="V2775" i="4" s="1"/>
  <c r="S2775" i="4"/>
  <c r="P2774" i="4"/>
  <c r="J2776" i="4"/>
  <c r="K2776" i="4"/>
  <c r="N2776" i="4" s="1"/>
  <c r="L2776" i="4"/>
  <c r="M2776" i="4"/>
  <c r="O2775" i="4"/>
  <c r="P2775" i="4" l="1"/>
  <c r="U2775" i="4"/>
  <c r="T2776" i="4"/>
  <c r="O2776" i="4"/>
  <c r="J2777" i="4"/>
  <c r="L2777" i="4"/>
  <c r="M2777" i="4"/>
  <c r="K2777" i="4"/>
  <c r="N2777" i="4" s="1"/>
  <c r="T2777" i="4" s="1"/>
  <c r="R2775" i="4" l="1"/>
  <c r="W2775" i="4" s="1"/>
  <c r="X2775" i="4" s="1"/>
  <c r="Y2775" i="4" s="1"/>
  <c r="Q2776" i="4"/>
  <c r="V2776" i="4" s="1"/>
  <c r="S2776" i="4"/>
  <c r="Q2777" i="4"/>
  <c r="V2777" i="4" s="1"/>
  <c r="S2777" i="4"/>
  <c r="P2776" i="4"/>
  <c r="U2776" i="4"/>
  <c r="J2778" i="4"/>
  <c r="K2778" i="4"/>
  <c r="N2778" i="4" s="1"/>
  <c r="L2778" i="4"/>
  <c r="M2778" i="4"/>
  <c r="O2777" i="4"/>
  <c r="R2776" i="4" l="1"/>
  <c r="W2776" i="4" s="1"/>
  <c r="X2776" i="4" s="1"/>
  <c r="Y2776" i="4" s="1"/>
  <c r="P2777" i="4"/>
  <c r="U2777" i="4"/>
  <c r="T2778" i="4"/>
  <c r="O2778" i="4"/>
  <c r="J2779" i="4"/>
  <c r="L2779" i="4"/>
  <c r="M2779" i="4"/>
  <c r="K2779" i="4"/>
  <c r="N2779" i="4" s="1"/>
  <c r="T2779" i="4" s="1"/>
  <c r="R2777" i="4" l="1"/>
  <c r="W2777" i="4" s="1"/>
  <c r="X2777" i="4" s="1"/>
  <c r="Y2777" i="4" s="1"/>
  <c r="Q2778" i="4"/>
  <c r="V2778" i="4" s="1"/>
  <c r="S2778" i="4"/>
  <c r="Q2779" i="4"/>
  <c r="V2779" i="4" s="1"/>
  <c r="S2779" i="4"/>
  <c r="P2778" i="4"/>
  <c r="U2778" i="4"/>
  <c r="J2780" i="4"/>
  <c r="K2780" i="4"/>
  <c r="N2780" i="4" s="1"/>
  <c r="T2780" i="4" s="1"/>
  <c r="L2780" i="4"/>
  <c r="M2780" i="4"/>
  <c r="O2779" i="4"/>
  <c r="U2779" i="4" s="1"/>
  <c r="R2779" i="4" l="1"/>
  <c r="W2779" i="4" s="1"/>
  <c r="X2779" i="4" s="1"/>
  <c r="Y2779" i="4" s="1"/>
  <c r="R2778" i="4"/>
  <c r="W2778" i="4" s="1"/>
  <c r="X2778" i="4" s="1"/>
  <c r="Y2778" i="4" s="1"/>
  <c r="Q2780" i="4"/>
  <c r="V2780" i="4" s="1"/>
  <c r="S2780" i="4"/>
  <c r="P2779" i="4"/>
  <c r="O2780" i="4"/>
  <c r="J2781" i="4"/>
  <c r="L2781" i="4"/>
  <c r="M2781" i="4"/>
  <c r="K2781" i="4"/>
  <c r="N2781" i="4" s="1"/>
  <c r="P2780" i="4" l="1"/>
  <c r="U2780" i="4"/>
  <c r="T2781" i="4"/>
  <c r="J2782" i="4"/>
  <c r="K2782" i="4"/>
  <c r="N2782" i="4" s="1"/>
  <c r="L2782" i="4"/>
  <c r="M2782" i="4"/>
  <c r="O2781" i="4"/>
  <c r="R2780" i="4" l="1"/>
  <c r="W2780" i="4" s="1"/>
  <c r="X2780" i="4" s="1"/>
  <c r="Y2780" i="4" s="1"/>
  <c r="Q2781" i="4"/>
  <c r="V2781" i="4" s="1"/>
  <c r="S2781" i="4"/>
  <c r="T2782" i="4"/>
  <c r="P2781" i="4"/>
  <c r="U2781" i="4"/>
  <c r="O2782" i="4"/>
  <c r="U2782" i="4" s="1"/>
  <c r="J2783" i="4"/>
  <c r="L2783" i="4"/>
  <c r="M2783" i="4"/>
  <c r="K2783" i="4"/>
  <c r="N2783" i="4" s="1"/>
  <c r="R2782" i="4" l="1"/>
  <c r="W2782" i="4" s="1"/>
  <c r="R2781" i="4"/>
  <c r="W2781" i="4" s="1"/>
  <c r="X2781" i="4" s="1"/>
  <c r="Y2781" i="4" s="1"/>
  <c r="Q2782" i="4"/>
  <c r="V2782" i="4" s="1"/>
  <c r="S2782" i="4"/>
  <c r="P2782" i="4"/>
  <c r="T2783" i="4"/>
  <c r="J2784" i="4"/>
  <c r="K2784" i="4"/>
  <c r="N2784" i="4" s="1"/>
  <c r="T2784" i="4" s="1"/>
  <c r="L2784" i="4"/>
  <c r="M2784" i="4"/>
  <c r="O2783" i="4"/>
  <c r="X2782" i="4" l="1"/>
  <c r="Y2782" i="4" s="1"/>
  <c r="Q2783" i="4"/>
  <c r="V2783" i="4" s="1"/>
  <c r="S2783" i="4"/>
  <c r="Q2784" i="4"/>
  <c r="V2784" i="4" s="1"/>
  <c r="S2784" i="4"/>
  <c r="P2783" i="4"/>
  <c r="U2783" i="4"/>
  <c r="O2784" i="4"/>
  <c r="J2785" i="4"/>
  <c r="L2785" i="4"/>
  <c r="M2785" i="4"/>
  <c r="K2785" i="4"/>
  <c r="N2785" i="4" s="1"/>
  <c r="T2785" i="4" s="1"/>
  <c r="R2783" i="4" l="1"/>
  <c r="W2783" i="4" s="1"/>
  <c r="X2783" i="4" s="1"/>
  <c r="Y2783" i="4" s="1"/>
  <c r="Q2785" i="4"/>
  <c r="V2785" i="4" s="1"/>
  <c r="S2785" i="4"/>
  <c r="P2784" i="4"/>
  <c r="U2784" i="4"/>
  <c r="J2786" i="4"/>
  <c r="K2786" i="4"/>
  <c r="N2786" i="4" s="1"/>
  <c r="T2786" i="4" s="1"/>
  <c r="L2786" i="4"/>
  <c r="M2786" i="4"/>
  <c r="O2785" i="4"/>
  <c r="R2784" i="4" l="1"/>
  <c r="W2784" i="4" s="1"/>
  <c r="X2784" i="4" s="1"/>
  <c r="Y2784" i="4" s="1"/>
  <c r="Q2786" i="4"/>
  <c r="V2786" i="4" s="1"/>
  <c r="S2786" i="4"/>
  <c r="P2785" i="4"/>
  <c r="U2785" i="4"/>
  <c r="O2786" i="4"/>
  <c r="J2787" i="4"/>
  <c r="L2787" i="4"/>
  <c r="M2787" i="4"/>
  <c r="K2787" i="4"/>
  <c r="N2787" i="4" s="1"/>
  <c r="R2785" i="4" l="1"/>
  <c r="W2785" i="4" s="1"/>
  <c r="X2785" i="4" s="1"/>
  <c r="Y2785" i="4" s="1"/>
  <c r="T2787" i="4"/>
  <c r="P2786" i="4"/>
  <c r="U2786" i="4"/>
  <c r="J2788" i="4"/>
  <c r="K2788" i="4"/>
  <c r="N2788" i="4" s="1"/>
  <c r="L2788" i="4"/>
  <c r="M2788" i="4"/>
  <c r="O2787" i="4"/>
  <c r="R2786" i="4" l="1"/>
  <c r="W2786" i="4" s="1"/>
  <c r="X2786" i="4" s="1"/>
  <c r="Y2786" i="4" s="1"/>
  <c r="Q2787" i="4"/>
  <c r="V2787" i="4" s="1"/>
  <c r="S2787" i="4"/>
  <c r="P2787" i="4"/>
  <c r="U2787" i="4"/>
  <c r="T2788" i="4"/>
  <c r="O2788" i="4"/>
  <c r="J2789" i="4"/>
  <c r="L2789" i="4"/>
  <c r="M2789" i="4"/>
  <c r="K2789" i="4"/>
  <c r="N2789" i="4" s="1"/>
  <c r="T2789" i="4" s="1"/>
  <c r="R2787" i="4" l="1"/>
  <c r="W2787" i="4" s="1"/>
  <c r="X2787" i="4" s="1"/>
  <c r="Y2787" i="4" s="1"/>
  <c r="Q2789" i="4"/>
  <c r="V2789" i="4" s="1"/>
  <c r="S2789" i="4"/>
  <c r="Q2788" i="4"/>
  <c r="V2788" i="4" s="1"/>
  <c r="S2788" i="4"/>
  <c r="P2788" i="4"/>
  <c r="U2788" i="4"/>
  <c r="J2790" i="4"/>
  <c r="K2790" i="4"/>
  <c r="N2790" i="4" s="1"/>
  <c r="L2790" i="4"/>
  <c r="M2790" i="4"/>
  <c r="O2789" i="4"/>
  <c r="U2789" i="4" s="1"/>
  <c r="R2789" i="4" l="1"/>
  <c r="W2789" i="4" s="1"/>
  <c r="X2789" i="4" s="1"/>
  <c r="Y2789" i="4" s="1"/>
  <c r="R2788" i="4"/>
  <c r="W2788" i="4" s="1"/>
  <c r="X2788" i="4" s="1"/>
  <c r="Y2788" i="4" s="1"/>
  <c r="T2790" i="4"/>
  <c r="P2789" i="4"/>
  <c r="O2790" i="4"/>
  <c r="U2790" i="4" s="1"/>
  <c r="J2791" i="4"/>
  <c r="L2791" i="4"/>
  <c r="M2791" i="4"/>
  <c r="K2791" i="4"/>
  <c r="N2791" i="4" s="1"/>
  <c r="R2790" i="4" l="1"/>
  <c r="W2790" i="4" s="1"/>
  <c r="Q2790" i="4"/>
  <c r="V2790" i="4" s="1"/>
  <c r="S2790" i="4"/>
  <c r="P2790" i="4"/>
  <c r="T2791" i="4"/>
  <c r="J2792" i="4"/>
  <c r="K2792" i="4"/>
  <c r="N2792" i="4" s="1"/>
  <c r="L2792" i="4"/>
  <c r="M2792" i="4"/>
  <c r="O2791" i="4"/>
  <c r="U2791" i="4" s="1"/>
  <c r="X2790" i="4" l="1"/>
  <c r="Y2790" i="4" s="1"/>
  <c r="R2791" i="4"/>
  <c r="W2791" i="4" s="1"/>
  <c r="Q2791" i="4"/>
  <c r="V2791" i="4" s="1"/>
  <c r="S2791" i="4"/>
  <c r="P2791" i="4"/>
  <c r="T2792" i="4"/>
  <c r="O2792" i="4"/>
  <c r="U2792" i="4" s="1"/>
  <c r="J2793" i="4"/>
  <c r="L2793" i="4"/>
  <c r="M2793" i="4"/>
  <c r="K2793" i="4"/>
  <c r="N2793" i="4" s="1"/>
  <c r="X2791" i="4" l="1"/>
  <c r="Y2791" i="4" s="1"/>
  <c r="R2792" i="4"/>
  <c r="W2792" i="4" s="1"/>
  <c r="Q2792" i="4"/>
  <c r="V2792" i="4" s="1"/>
  <c r="S2792" i="4"/>
  <c r="P2792" i="4"/>
  <c r="T2793" i="4"/>
  <c r="J2794" i="4"/>
  <c r="K2794" i="4"/>
  <c r="N2794" i="4" s="1"/>
  <c r="L2794" i="4"/>
  <c r="M2794" i="4"/>
  <c r="O2793" i="4"/>
  <c r="U2793" i="4" s="1"/>
  <c r="X2792" i="4" l="1"/>
  <c r="Y2792" i="4" s="1"/>
  <c r="R2793" i="4"/>
  <c r="W2793" i="4" s="1"/>
  <c r="Q2793" i="4"/>
  <c r="V2793" i="4" s="1"/>
  <c r="S2793" i="4"/>
  <c r="P2793" i="4"/>
  <c r="T2794" i="4"/>
  <c r="O2794" i="4"/>
  <c r="U2794" i="4" s="1"/>
  <c r="J2795" i="4"/>
  <c r="L2795" i="4"/>
  <c r="M2795" i="4"/>
  <c r="K2795" i="4"/>
  <c r="N2795" i="4" s="1"/>
  <c r="X2793" i="4" l="1"/>
  <c r="Y2793" i="4" s="1"/>
  <c r="R2794" i="4"/>
  <c r="W2794" i="4" s="1"/>
  <c r="Q2794" i="4"/>
  <c r="V2794" i="4" s="1"/>
  <c r="S2794" i="4"/>
  <c r="P2794" i="4"/>
  <c r="T2795" i="4"/>
  <c r="J2796" i="4"/>
  <c r="K2796" i="4"/>
  <c r="N2796" i="4" s="1"/>
  <c r="L2796" i="4"/>
  <c r="M2796" i="4"/>
  <c r="O2795" i="4"/>
  <c r="X2794" i="4" l="1"/>
  <c r="Y2794" i="4" s="1"/>
  <c r="Q2795" i="4"/>
  <c r="V2795" i="4" s="1"/>
  <c r="S2795" i="4"/>
  <c r="P2795" i="4"/>
  <c r="U2795" i="4"/>
  <c r="T2796" i="4"/>
  <c r="O2796" i="4"/>
  <c r="J2797" i="4"/>
  <c r="L2797" i="4"/>
  <c r="M2797" i="4"/>
  <c r="K2797" i="4"/>
  <c r="N2797" i="4" s="1"/>
  <c r="R2795" i="4" l="1"/>
  <c r="W2795" i="4" s="1"/>
  <c r="X2795" i="4" s="1"/>
  <c r="Y2795" i="4" s="1"/>
  <c r="Q2796" i="4"/>
  <c r="V2796" i="4" s="1"/>
  <c r="S2796" i="4"/>
  <c r="T2797" i="4"/>
  <c r="P2796" i="4"/>
  <c r="U2796" i="4"/>
  <c r="J2798" i="4"/>
  <c r="K2798" i="4"/>
  <c r="N2798" i="4" s="1"/>
  <c r="L2798" i="4"/>
  <c r="M2798" i="4"/>
  <c r="O2797" i="4"/>
  <c r="U2797" i="4" s="1"/>
  <c r="R2796" i="4" l="1"/>
  <c r="W2796" i="4" s="1"/>
  <c r="X2796" i="4" s="1"/>
  <c r="Y2796" i="4" s="1"/>
  <c r="R2797" i="4"/>
  <c r="W2797" i="4" s="1"/>
  <c r="Q2797" i="4"/>
  <c r="V2797" i="4" s="1"/>
  <c r="S2797" i="4"/>
  <c r="P2797" i="4"/>
  <c r="T2798" i="4"/>
  <c r="O2798" i="4"/>
  <c r="U2798" i="4" s="1"/>
  <c r="J2799" i="4"/>
  <c r="L2799" i="4"/>
  <c r="M2799" i="4"/>
  <c r="K2799" i="4"/>
  <c r="N2799" i="4" s="1"/>
  <c r="X2797" i="4" l="1"/>
  <c r="Y2797" i="4" s="1"/>
  <c r="R2798" i="4"/>
  <c r="W2798" i="4" s="1"/>
  <c r="Q2798" i="4"/>
  <c r="V2798" i="4" s="1"/>
  <c r="S2798" i="4"/>
  <c r="P2798" i="4"/>
  <c r="T2799" i="4"/>
  <c r="J2800" i="4"/>
  <c r="K2800" i="4"/>
  <c r="N2800" i="4" s="1"/>
  <c r="L2800" i="4"/>
  <c r="M2800" i="4"/>
  <c r="O2799" i="4"/>
  <c r="U2799" i="4" s="1"/>
  <c r="X2798" i="4" l="1"/>
  <c r="Y2798" i="4" s="1"/>
  <c r="R2799" i="4"/>
  <c r="W2799" i="4" s="1"/>
  <c r="Q2799" i="4"/>
  <c r="V2799" i="4" s="1"/>
  <c r="S2799" i="4"/>
  <c r="P2799" i="4"/>
  <c r="T2800" i="4"/>
  <c r="O2800" i="4"/>
  <c r="U2800" i="4" s="1"/>
  <c r="J2801" i="4"/>
  <c r="L2801" i="4"/>
  <c r="M2801" i="4"/>
  <c r="K2801" i="4"/>
  <c r="N2801" i="4" s="1"/>
  <c r="X2799" i="4" l="1"/>
  <c r="Y2799" i="4" s="1"/>
  <c r="R2800" i="4"/>
  <c r="W2800" i="4" s="1"/>
  <c r="Q2800" i="4"/>
  <c r="V2800" i="4" s="1"/>
  <c r="S2800" i="4"/>
  <c r="P2800" i="4"/>
  <c r="T2801" i="4"/>
  <c r="J2802" i="4"/>
  <c r="K2802" i="4"/>
  <c r="N2802" i="4" s="1"/>
  <c r="L2802" i="4"/>
  <c r="M2802" i="4"/>
  <c r="O2801" i="4"/>
  <c r="X2800" i="4" l="1"/>
  <c r="Y2800" i="4" s="1"/>
  <c r="Q2801" i="4"/>
  <c r="V2801" i="4" s="1"/>
  <c r="S2801" i="4"/>
  <c r="P2801" i="4"/>
  <c r="U2801" i="4"/>
  <c r="T2802" i="4"/>
  <c r="O2802" i="4"/>
  <c r="J2803" i="4"/>
  <c r="L2803" i="4"/>
  <c r="M2803" i="4"/>
  <c r="K2803" i="4"/>
  <c r="N2803" i="4" s="1"/>
  <c r="T2803" i="4" s="1"/>
  <c r="R2801" i="4" l="1"/>
  <c r="W2801" i="4" s="1"/>
  <c r="X2801" i="4" s="1"/>
  <c r="Y2801" i="4" s="1"/>
  <c r="Q2803" i="4"/>
  <c r="V2803" i="4" s="1"/>
  <c r="S2803" i="4"/>
  <c r="Q2802" i="4"/>
  <c r="V2802" i="4" s="1"/>
  <c r="S2802" i="4"/>
  <c r="P2802" i="4"/>
  <c r="U2802" i="4"/>
  <c r="J2804" i="4"/>
  <c r="K2804" i="4"/>
  <c r="N2804" i="4" s="1"/>
  <c r="L2804" i="4"/>
  <c r="M2804" i="4"/>
  <c r="O2803" i="4"/>
  <c r="U2803" i="4" s="1"/>
  <c r="R2803" i="4" l="1"/>
  <c r="W2803" i="4" s="1"/>
  <c r="X2803" i="4" s="1"/>
  <c r="Y2803" i="4" s="1"/>
  <c r="R2802" i="4"/>
  <c r="W2802" i="4" s="1"/>
  <c r="X2802" i="4" s="1"/>
  <c r="Y2802" i="4" s="1"/>
  <c r="P2803" i="4"/>
  <c r="T2804" i="4"/>
  <c r="O2804" i="4"/>
  <c r="U2804" i="4" s="1"/>
  <c r="J2805" i="4"/>
  <c r="L2805" i="4"/>
  <c r="M2805" i="4"/>
  <c r="K2805" i="4"/>
  <c r="N2805" i="4" s="1"/>
  <c r="R2804" i="4" l="1"/>
  <c r="W2804" i="4" s="1"/>
  <c r="Q2804" i="4"/>
  <c r="V2804" i="4" s="1"/>
  <c r="S2804" i="4"/>
  <c r="P2804" i="4"/>
  <c r="T2805" i="4"/>
  <c r="O2805" i="4"/>
  <c r="U2805" i="4" s="1"/>
  <c r="J2806" i="4"/>
  <c r="K2806" i="4"/>
  <c r="N2806" i="4" s="1"/>
  <c r="T2806" i="4" s="1"/>
  <c r="L2806" i="4"/>
  <c r="M2806" i="4"/>
  <c r="X2804" i="4" l="1"/>
  <c r="Y2804" i="4" s="1"/>
  <c r="R2805" i="4"/>
  <c r="W2805" i="4" s="1"/>
  <c r="Q2806" i="4"/>
  <c r="V2806" i="4" s="1"/>
  <c r="S2806" i="4"/>
  <c r="Q2805" i="4"/>
  <c r="V2805" i="4" s="1"/>
  <c r="S2805" i="4"/>
  <c r="P2805" i="4"/>
  <c r="O2806" i="4"/>
  <c r="J2807" i="4"/>
  <c r="L2807" i="4"/>
  <c r="M2807" i="4"/>
  <c r="K2807" i="4"/>
  <c r="N2807" i="4" s="1"/>
  <c r="X2805" i="4" l="1"/>
  <c r="Y2805" i="4" s="1"/>
  <c r="P2806" i="4"/>
  <c r="U2806" i="4"/>
  <c r="T2807" i="4"/>
  <c r="J2808" i="4"/>
  <c r="K2808" i="4"/>
  <c r="N2808" i="4" s="1"/>
  <c r="T2808" i="4" s="1"/>
  <c r="L2808" i="4"/>
  <c r="M2808" i="4"/>
  <c r="O2807" i="4"/>
  <c r="R2806" i="4" l="1"/>
  <c r="W2806" i="4" s="1"/>
  <c r="X2806" i="4" s="1"/>
  <c r="Y2806" i="4" s="1"/>
  <c r="Q2807" i="4"/>
  <c r="V2807" i="4" s="1"/>
  <c r="S2807" i="4"/>
  <c r="Q2808" i="4"/>
  <c r="V2808" i="4" s="1"/>
  <c r="S2808" i="4"/>
  <c r="P2807" i="4"/>
  <c r="U2807" i="4"/>
  <c r="O2808" i="4"/>
  <c r="U2808" i="4" s="1"/>
  <c r="J2809" i="4"/>
  <c r="L2809" i="4"/>
  <c r="M2809" i="4"/>
  <c r="K2809" i="4"/>
  <c r="N2809" i="4" s="1"/>
  <c r="R2808" i="4" l="1"/>
  <c r="W2808" i="4" s="1"/>
  <c r="X2808" i="4" s="1"/>
  <c r="Y2808" i="4" s="1"/>
  <c r="R2807" i="4"/>
  <c r="W2807" i="4" s="1"/>
  <c r="X2807" i="4" s="1"/>
  <c r="Y2807" i="4" s="1"/>
  <c r="P2808" i="4"/>
  <c r="T2809" i="4"/>
  <c r="J2810" i="4"/>
  <c r="K2810" i="4"/>
  <c r="N2810" i="4" s="1"/>
  <c r="L2810" i="4"/>
  <c r="M2810" i="4"/>
  <c r="O2809" i="4"/>
  <c r="U2809" i="4" s="1"/>
  <c r="R2809" i="4" l="1"/>
  <c r="W2809" i="4" s="1"/>
  <c r="Q2809" i="4"/>
  <c r="V2809" i="4" s="1"/>
  <c r="S2809" i="4"/>
  <c r="P2809" i="4"/>
  <c r="T2810" i="4"/>
  <c r="O2810" i="4"/>
  <c r="U2810" i="4" s="1"/>
  <c r="J2811" i="4"/>
  <c r="L2811" i="4"/>
  <c r="M2811" i="4"/>
  <c r="K2811" i="4"/>
  <c r="N2811" i="4" s="1"/>
  <c r="X2809" i="4" l="1"/>
  <c r="Y2809" i="4" s="1"/>
  <c r="R2810" i="4"/>
  <c r="W2810" i="4" s="1"/>
  <c r="Q2810" i="4"/>
  <c r="V2810" i="4" s="1"/>
  <c r="S2810" i="4"/>
  <c r="P2810" i="4"/>
  <c r="T2811" i="4"/>
  <c r="J2812" i="4"/>
  <c r="K2812" i="4"/>
  <c r="N2812" i="4" s="1"/>
  <c r="L2812" i="4"/>
  <c r="M2812" i="4"/>
  <c r="O2811" i="4"/>
  <c r="U2811" i="4" s="1"/>
  <c r="X2810" i="4" l="1"/>
  <c r="Y2810" i="4" s="1"/>
  <c r="R2811" i="4"/>
  <c r="W2811" i="4" s="1"/>
  <c r="Q2811" i="4"/>
  <c r="V2811" i="4" s="1"/>
  <c r="S2811" i="4"/>
  <c r="P2811" i="4"/>
  <c r="T2812" i="4"/>
  <c r="O2812" i="4"/>
  <c r="U2812" i="4" s="1"/>
  <c r="J2813" i="4"/>
  <c r="L2813" i="4"/>
  <c r="M2813" i="4"/>
  <c r="K2813" i="4"/>
  <c r="N2813" i="4" s="1"/>
  <c r="X2811" i="4" l="1"/>
  <c r="Y2811" i="4" s="1"/>
  <c r="R2812" i="4"/>
  <c r="W2812" i="4" s="1"/>
  <c r="Q2812" i="4"/>
  <c r="V2812" i="4" s="1"/>
  <c r="S2812" i="4"/>
  <c r="P2812" i="4"/>
  <c r="T2813" i="4"/>
  <c r="J2814" i="4"/>
  <c r="K2814" i="4"/>
  <c r="N2814" i="4" s="1"/>
  <c r="L2814" i="4"/>
  <c r="M2814" i="4"/>
  <c r="O2813" i="4"/>
  <c r="U2813" i="4" s="1"/>
  <c r="X2812" i="4" l="1"/>
  <c r="Y2812" i="4" s="1"/>
  <c r="R2813" i="4"/>
  <c r="W2813" i="4" s="1"/>
  <c r="Q2813" i="4"/>
  <c r="V2813" i="4" s="1"/>
  <c r="S2813" i="4"/>
  <c r="P2813" i="4"/>
  <c r="T2814" i="4"/>
  <c r="O2814" i="4"/>
  <c r="U2814" i="4" s="1"/>
  <c r="J2815" i="4"/>
  <c r="L2815" i="4"/>
  <c r="M2815" i="4"/>
  <c r="K2815" i="4"/>
  <c r="N2815" i="4" s="1"/>
  <c r="X2813" i="4" l="1"/>
  <c r="Y2813" i="4" s="1"/>
  <c r="R2814" i="4"/>
  <c r="W2814" i="4" s="1"/>
  <c r="Q2814" i="4"/>
  <c r="V2814" i="4" s="1"/>
  <c r="S2814" i="4"/>
  <c r="P2814" i="4"/>
  <c r="T2815" i="4"/>
  <c r="J2816" i="4"/>
  <c r="K2816" i="4"/>
  <c r="N2816" i="4" s="1"/>
  <c r="L2816" i="4"/>
  <c r="M2816" i="4"/>
  <c r="O2815" i="4"/>
  <c r="U2815" i="4" s="1"/>
  <c r="X2814" i="4" l="1"/>
  <c r="Y2814" i="4" s="1"/>
  <c r="R2815" i="4"/>
  <c r="W2815" i="4" s="1"/>
  <c r="Q2815" i="4"/>
  <c r="V2815" i="4" s="1"/>
  <c r="S2815" i="4"/>
  <c r="P2815" i="4"/>
  <c r="T2816" i="4"/>
  <c r="O2816" i="4"/>
  <c r="U2816" i="4" s="1"/>
  <c r="J2817" i="4"/>
  <c r="L2817" i="4"/>
  <c r="M2817" i="4"/>
  <c r="K2817" i="4"/>
  <c r="N2817" i="4" s="1"/>
  <c r="X2815" i="4" l="1"/>
  <c r="Y2815" i="4" s="1"/>
  <c r="R2816" i="4"/>
  <c r="W2816" i="4" s="1"/>
  <c r="Q2816" i="4"/>
  <c r="V2816" i="4" s="1"/>
  <c r="S2816" i="4"/>
  <c r="P2816" i="4"/>
  <c r="T2817" i="4"/>
  <c r="J2818" i="4"/>
  <c r="K2818" i="4"/>
  <c r="N2818" i="4" s="1"/>
  <c r="L2818" i="4"/>
  <c r="M2818" i="4"/>
  <c r="O2817" i="4"/>
  <c r="U2817" i="4" s="1"/>
  <c r="X2816" i="4" l="1"/>
  <c r="Y2816" i="4" s="1"/>
  <c r="R2817" i="4"/>
  <c r="W2817" i="4" s="1"/>
  <c r="Q2817" i="4"/>
  <c r="V2817" i="4" s="1"/>
  <c r="S2817" i="4"/>
  <c r="P2817" i="4"/>
  <c r="T2818" i="4"/>
  <c r="O2818" i="4"/>
  <c r="U2818" i="4" s="1"/>
  <c r="J2819" i="4"/>
  <c r="L2819" i="4"/>
  <c r="M2819" i="4"/>
  <c r="K2819" i="4"/>
  <c r="N2819" i="4" s="1"/>
  <c r="X2817" i="4" l="1"/>
  <c r="Y2817" i="4" s="1"/>
  <c r="R2818" i="4"/>
  <c r="W2818" i="4" s="1"/>
  <c r="Q2818" i="4"/>
  <c r="V2818" i="4" s="1"/>
  <c r="S2818" i="4"/>
  <c r="P2818" i="4"/>
  <c r="T2819" i="4"/>
  <c r="J2820" i="4"/>
  <c r="K2820" i="4"/>
  <c r="N2820" i="4" s="1"/>
  <c r="L2820" i="4"/>
  <c r="M2820" i="4"/>
  <c r="O2819" i="4"/>
  <c r="X2818" i="4" l="1"/>
  <c r="Y2818" i="4" s="1"/>
  <c r="Q2819" i="4"/>
  <c r="V2819" i="4" s="1"/>
  <c r="S2819" i="4"/>
  <c r="P2819" i="4"/>
  <c r="U2819" i="4"/>
  <c r="T2820" i="4"/>
  <c r="O2820" i="4"/>
  <c r="J2821" i="4"/>
  <c r="L2821" i="4"/>
  <c r="M2821" i="4"/>
  <c r="K2821" i="4"/>
  <c r="N2821" i="4" s="1"/>
  <c r="T2821" i="4" s="1"/>
  <c r="R2819" i="4" l="1"/>
  <c r="W2819" i="4" s="1"/>
  <c r="X2819" i="4" s="1"/>
  <c r="Y2819" i="4" s="1"/>
  <c r="Q2821" i="4"/>
  <c r="V2821" i="4" s="1"/>
  <c r="S2821" i="4"/>
  <c r="Q2820" i="4"/>
  <c r="V2820" i="4" s="1"/>
  <c r="S2820" i="4"/>
  <c r="P2820" i="4"/>
  <c r="U2820" i="4"/>
  <c r="J2822" i="4"/>
  <c r="K2822" i="4"/>
  <c r="N2822" i="4" s="1"/>
  <c r="L2822" i="4"/>
  <c r="M2822" i="4"/>
  <c r="O2821" i="4"/>
  <c r="U2821" i="4" s="1"/>
  <c r="R2821" i="4" l="1"/>
  <c r="W2821" i="4" s="1"/>
  <c r="X2821" i="4" s="1"/>
  <c r="Y2821" i="4" s="1"/>
  <c r="R2820" i="4"/>
  <c r="W2820" i="4" s="1"/>
  <c r="X2820" i="4" s="1"/>
  <c r="Y2820" i="4" s="1"/>
  <c r="P2821" i="4"/>
  <c r="T2822" i="4"/>
  <c r="O2822" i="4"/>
  <c r="U2822" i="4" s="1"/>
  <c r="J2823" i="4"/>
  <c r="L2823" i="4"/>
  <c r="M2823" i="4"/>
  <c r="K2823" i="4"/>
  <c r="N2823" i="4" s="1"/>
  <c r="R2822" i="4" l="1"/>
  <c r="W2822" i="4" s="1"/>
  <c r="Q2822" i="4"/>
  <c r="V2822" i="4" s="1"/>
  <c r="S2822" i="4"/>
  <c r="P2822" i="4"/>
  <c r="T2823" i="4"/>
  <c r="J2824" i="4"/>
  <c r="K2824" i="4"/>
  <c r="N2824" i="4" s="1"/>
  <c r="L2824" i="4"/>
  <c r="M2824" i="4"/>
  <c r="O2823" i="4"/>
  <c r="X2822" i="4" l="1"/>
  <c r="Y2822" i="4" s="1"/>
  <c r="Q2823" i="4"/>
  <c r="V2823" i="4" s="1"/>
  <c r="S2823" i="4"/>
  <c r="P2823" i="4"/>
  <c r="U2823" i="4"/>
  <c r="T2824" i="4"/>
  <c r="O2824" i="4"/>
  <c r="J2825" i="4"/>
  <c r="L2825" i="4"/>
  <c r="M2825" i="4"/>
  <c r="K2825" i="4"/>
  <c r="N2825" i="4" s="1"/>
  <c r="T2825" i="4" s="1"/>
  <c r="R2823" i="4" l="1"/>
  <c r="W2823" i="4" s="1"/>
  <c r="X2823" i="4" s="1"/>
  <c r="Y2823" i="4" s="1"/>
  <c r="Q2825" i="4"/>
  <c r="V2825" i="4" s="1"/>
  <c r="S2825" i="4"/>
  <c r="Q2824" i="4"/>
  <c r="V2824" i="4" s="1"/>
  <c r="S2824" i="4"/>
  <c r="P2824" i="4"/>
  <c r="U2824" i="4"/>
  <c r="J2826" i="4"/>
  <c r="K2826" i="4"/>
  <c r="N2826" i="4" s="1"/>
  <c r="L2826" i="4"/>
  <c r="M2826" i="4"/>
  <c r="O2825" i="4"/>
  <c r="R2824" i="4" l="1"/>
  <c r="W2824" i="4" s="1"/>
  <c r="X2824" i="4" s="1"/>
  <c r="Y2824" i="4" s="1"/>
  <c r="P2825" i="4"/>
  <c r="U2825" i="4"/>
  <c r="T2826" i="4"/>
  <c r="O2826" i="4"/>
  <c r="J2827" i="4"/>
  <c r="L2827" i="4"/>
  <c r="M2827" i="4"/>
  <c r="K2827" i="4"/>
  <c r="N2827" i="4" s="1"/>
  <c r="T2827" i="4" s="1"/>
  <c r="R2825" i="4" l="1"/>
  <c r="W2825" i="4" s="1"/>
  <c r="X2825" i="4" s="1"/>
  <c r="Y2825" i="4" s="1"/>
  <c r="Q2827" i="4"/>
  <c r="V2827" i="4" s="1"/>
  <c r="S2827" i="4"/>
  <c r="Q2826" i="4"/>
  <c r="V2826" i="4" s="1"/>
  <c r="S2826" i="4"/>
  <c r="P2826" i="4"/>
  <c r="U2826" i="4"/>
  <c r="J2828" i="4"/>
  <c r="K2828" i="4"/>
  <c r="N2828" i="4" s="1"/>
  <c r="L2828" i="4"/>
  <c r="M2828" i="4"/>
  <c r="O2827" i="4"/>
  <c r="U2827" i="4" s="1"/>
  <c r="R2827" i="4" l="1"/>
  <c r="W2827" i="4" s="1"/>
  <c r="X2827" i="4" s="1"/>
  <c r="Y2827" i="4" s="1"/>
  <c r="R2826" i="4"/>
  <c r="W2826" i="4" s="1"/>
  <c r="X2826" i="4" s="1"/>
  <c r="Y2826" i="4" s="1"/>
  <c r="P2827" i="4"/>
  <c r="T2828" i="4"/>
  <c r="O2828" i="4"/>
  <c r="U2828" i="4" s="1"/>
  <c r="J2829" i="4"/>
  <c r="L2829" i="4"/>
  <c r="M2829" i="4"/>
  <c r="K2829" i="4"/>
  <c r="N2829" i="4" s="1"/>
  <c r="R2828" i="4" l="1"/>
  <c r="W2828" i="4" s="1"/>
  <c r="Q2828" i="4"/>
  <c r="V2828" i="4" s="1"/>
  <c r="S2828" i="4"/>
  <c r="P2828" i="4"/>
  <c r="T2829" i="4"/>
  <c r="J2830" i="4"/>
  <c r="K2830" i="4"/>
  <c r="N2830" i="4" s="1"/>
  <c r="L2830" i="4"/>
  <c r="M2830" i="4"/>
  <c r="O2829" i="4"/>
  <c r="U2829" i="4" s="1"/>
  <c r="X2828" i="4" l="1"/>
  <c r="Y2828" i="4" s="1"/>
  <c r="R2829" i="4"/>
  <c r="W2829" i="4" s="1"/>
  <c r="Q2829" i="4"/>
  <c r="V2829" i="4" s="1"/>
  <c r="S2829" i="4"/>
  <c r="P2829" i="4"/>
  <c r="T2830" i="4"/>
  <c r="O2830" i="4"/>
  <c r="U2830" i="4" s="1"/>
  <c r="J2831" i="4"/>
  <c r="L2831" i="4"/>
  <c r="M2831" i="4"/>
  <c r="K2831" i="4"/>
  <c r="N2831" i="4" s="1"/>
  <c r="X2829" i="4" l="1"/>
  <c r="Y2829" i="4" s="1"/>
  <c r="R2830" i="4"/>
  <c r="W2830" i="4" s="1"/>
  <c r="Q2830" i="4"/>
  <c r="V2830" i="4" s="1"/>
  <c r="S2830" i="4"/>
  <c r="P2830" i="4"/>
  <c r="T2831" i="4"/>
  <c r="J2832" i="4"/>
  <c r="K2832" i="4"/>
  <c r="N2832" i="4" s="1"/>
  <c r="L2832" i="4"/>
  <c r="M2832" i="4"/>
  <c r="O2831" i="4"/>
  <c r="U2831" i="4" s="1"/>
  <c r="X2830" i="4" l="1"/>
  <c r="Y2830" i="4" s="1"/>
  <c r="R2831" i="4"/>
  <c r="W2831" i="4" s="1"/>
  <c r="Q2831" i="4"/>
  <c r="V2831" i="4" s="1"/>
  <c r="S2831" i="4"/>
  <c r="P2831" i="4"/>
  <c r="T2832" i="4"/>
  <c r="O2832" i="4"/>
  <c r="U2832" i="4" s="1"/>
  <c r="J2833" i="4"/>
  <c r="L2833" i="4"/>
  <c r="M2833" i="4"/>
  <c r="K2833" i="4"/>
  <c r="N2833" i="4" s="1"/>
  <c r="X2831" i="4" l="1"/>
  <c r="Y2831" i="4" s="1"/>
  <c r="R2832" i="4"/>
  <c r="W2832" i="4" s="1"/>
  <c r="Q2832" i="4"/>
  <c r="V2832" i="4" s="1"/>
  <c r="S2832" i="4"/>
  <c r="P2832" i="4"/>
  <c r="T2833" i="4"/>
  <c r="J2834" i="4"/>
  <c r="K2834" i="4"/>
  <c r="N2834" i="4" s="1"/>
  <c r="L2834" i="4"/>
  <c r="M2834" i="4"/>
  <c r="O2833" i="4"/>
  <c r="U2833" i="4" s="1"/>
  <c r="X2832" i="4" l="1"/>
  <c r="Y2832" i="4" s="1"/>
  <c r="R2833" i="4"/>
  <c r="W2833" i="4" s="1"/>
  <c r="Q2833" i="4"/>
  <c r="V2833" i="4" s="1"/>
  <c r="S2833" i="4"/>
  <c r="P2833" i="4"/>
  <c r="T2834" i="4"/>
  <c r="O2834" i="4"/>
  <c r="U2834" i="4" s="1"/>
  <c r="J2835" i="4"/>
  <c r="L2835" i="4"/>
  <c r="M2835" i="4"/>
  <c r="K2835" i="4"/>
  <c r="N2835" i="4" s="1"/>
  <c r="X2833" i="4" l="1"/>
  <c r="Y2833" i="4" s="1"/>
  <c r="R2834" i="4"/>
  <c r="W2834" i="4" s="1"/>
  <c r="Q2834" i="4"/>
  <c r="V2834" i="4" s="1"/>
  <c r="S2834" i="4"/>
  <c r="P2834" i="4"/>
  <c r="T2835" i="4"/>
  <c r="J2836" i="4"/>
  <c r="K2836" i="4"/>
  <c r="N2836" i="4" s="1"/>
  <c r="L2836" i="4"/>
  <c r="M2836" i="4"/>
  <c r="O2835" i="4"/>
  <c r="U2835" i="4" s="1"/>
  <c r="X2834" i="4" l="1"/>
  <c r="Y2834" i="4" s="1"/>
  <c r="R2835" i="4"/>
  <c r="W2835" i="4" s="1"/>
  <c r="Q2835" i="4"/>
  <c r="V2835" i="4" s="1"/>
  <c r="S2835" i="4"/>
  <c r="P2835" i="4"/>
  <c r="T2836" i="4"/>
  <c r="O2836" i="4"/>
  <c r="U2836" i="4" s="1"/>
  <c r="J2837" i="4"/>
  <c r="L2837" i="4"/>
  <c r="M2837" i="4"/>
  <c r="K2837" i="4"/>
  <c r="N2837" i="4" s="1"/>
  <c r="X2835" i="4" l="1"/>
  <c r="Y2835" i="4" s="1"/>
  <c r="R2836" i="4"/>
  <c r="W2836" i="4" s="1"/>
  <c r="Q2836" i="4"/>
  <c r="V2836" i="4" s="1"/>
  <c r="S2836" i="4"/>
  <c r="P2836" i="4"/>
  <c r="T2837" i="4"/>
  <c r="J2838" i="4"/>
  <c r="K2838" i="4"/>
  <c r="N2838" i="4" s="1"/>
  <c r="L2838" i="4"/>
  <c r="M2838" i="4"/>
  <c r="O2837" i="4"/>
  <c r="U2837" i="4" s="1"/>
  <c r="X2836" i="4" l="1"/>
  <c r="Y2836" i="4" s="1"/>
  <c r="R2837" i="4"/>
  <c r="W2837" i="4" s="1"/>
  <c r="Q2837" i="4"/>
  <c r="V2837" i="4" s="1"/>
  <c r="S2837" i="4"/>
  <c r="P2837" i="4"/>
  <c r="T2838" i="4"/>
  <c r="O2838" i="4"/>
  <c r="J2839" i="4"/>
  <c r="L2839" i="4"/>
  <c r="M2839" i="4"/>
  <c r="K2839" i="4"/>
  <c r="N2839" i="4" s="1"/>
  <c r="T2839" i="4" s="1"/>
  <c r="X2837" i="4" l="1"/>
  <c r="Y2837" i="4" s="1"/>
  <c r="Q2839" i="4"/>
  <c r="V2839" i="4" s="1"/>
  <c r="S2839" i="4"/>
  <c r="Q2838" i="4"/>
  <c r="V2838" i="4" s="1"/>
  <c r="S2838" i="4"/>
  <c r="P2838" i="4"/>
  <c r="U2838" i="4"/>
  <c r="J2840" i="4"/>
  <c r="K2840" i="4"/>
  <c r="N2840" i="4" s="1"/>
  <c r="T2840" i="4" s="1"/>
  <c r="L2840" i="4"/>
  <c r="M2840" i="4"/>
  <c r="O2839" i="4"/>
  <c r="R2838" i="4" l="1"/>
  <c r="W2838" i="4" s="1"/>
  <c r="X2838" i="4" s="1"/>
  <c r="Y2838" i="4" s="1"/>
  <c r="Q2840" i="4"/>
  <c r="V2840" i="4" s="1"/>
  <c r="S2840" i="4"/>
  <c r="P2839" i="4"/>
  <c r="U2839" i="4"/>
  <c r="O2840" i="4"/>
  <c r="U2840" i="4" s="1"/>
  <c r="J2841" i="4"/>
  <c r="L2841" i="4"/>
  <c r="M2841" i="4"/>
  <c r="K2841" i="4"/>
  <c r="N2841" i="4" s="1"/>
  <c r="T2841" i="4" s="1"/>
  <c r="R2840" i="4" l="1"/>
  <c r="W2840" i="4" s="1"/>
  <c r="X2840" i="4" s="1"/>
  <c r="Y2840" i="4" s="1"/>
  <c r="R2839" i="4"/>
  <c r="W2839" i="4" s="1"/>
  <c r="X2839" i="4" s="1"/>
  <c r="Y2839" i="4" s="1"/>
  <c r="Q2841" i="4"/>
  <c r="V2841" i="4" s="1"/>
  <c r="S2841" i="4"/>
  <c r="P2840" i="4"/>
  <c r="J2842" i="4"/>
  <c r="K2842" i="4"/>
  <c r="N2842" i="4" s="1"/>
  <c r="L2842" i="4"/>
  <c r="M2842" i="4"/>
  <c r="O2841" i="4"/>
  <c r="P2841" i="4" l="1"/>
  <c r="U2841" i="4"/>
  <c r="T2842" i="4"/>
  <c r="O2842" i="4"/>
  <c r="J2843" i="4"/>
  <c r="L2843" i="4"/>
  <c r="M2843" i="4"/>
  <c r="K2843" i="4"/>
  <c r="N2843" i="4" s="1"/>
  <c r="T2843" i="4" s="1"/>
  <c r="R2841" i="4" l="1"/>
  <c r="W2841" i="4" s="1"/>
  <c r="X2841" i="4" s="1"/>
  <c r="Y2841" i="4" s="1"/>
  <c r="Q2843" i="4"/>
  <c r="V2843" i="4" s="1"/>
  <c r="S2843" i="4"/>
  <c r="Q2842" i="4"/>
  <c r="V2842" i="4" s="1"/>
  <c r="S2842" i="4"/>
  <c r="P2842" i="4"/>
  <c r="U2842" i="4"/>
  <c r="J2844" i="4"/>
  <c r="K2844" i="4"/>
  <c r="N2844" i="4" s="1"/>
  <c r="L2844" i="4"/>
  <c r="M2844" i="4"/>
  <c r="O2843" i="4"/>
  <c r="U2843" i="4" s="1"/>
  <c r="R2843" i="4" l="1"/>
  <c r="W2843" i="4" s="1"/>
  <c r="X2843" i="4" s="1"/>
  <c r="Y2843" i="4" s="1"/>
  <c r="R2842" i="4"/>
  <c r="W2842" i="4" s="1"/>
  <c r="X2842" i="4" s="1"/>
  <c r="Y2842" i="4" s="1"/>
  <c r="P2843" i="4"/>
  <c r="T2844" i="4"/>
  <c r="O2844" i="4"/>
  <c r="U2844" i="4" s="1"/>
  <c r="J2845" i="4"/>
  <c r="L2845" i="4"/>
  <c r="M2845" i="4"/>
  <c r="K2845" i="4"/>
  <c r="N2845" i="4" s="1"/>
  <c r="R2844" i="4" l="1"/>
  <c r="W2844" i="4" s="1"/>
  <c r="Q2844" i="4"/>
  <c r="V2844" i="4" s="1"/>
  <c r="S2844" i="4"/>
  <c r="P2844" i="4"/>
  <c r="T2845" i="4"/>
  <c r="J2846" i="4"/>
  <c r="K2846" i="4"/>
  <c r="N2846" i="4" s="1"/>
  <c r="L2846" i="4"/>
  <c r="M2846" i="4"/>
  <c r="O2845" i="4"/>
  <c r="U2845" i="4" s="1"/>
  <c r="X2844" i="4" l="1"/>
  <c r="Y2844" i="4" s="1"/>
  <c r="R2845" i="4"/>
  <c r="W2845" i="4" s="1"/>
  <c r="Q2845" i="4"/>
  <c r="V2845" i="4" s="1"/>
  <c r="S2845" i="4"/>
  <c r="P2845" i="4"/>
  <c r="T2846" i="4"/>
  <c r="O2846" i="4"/>
  <c r="U2846" i="4" s="1"/>
  <c r="J2847" i="4"/>
  <c r="L2847" i="4"/>
  <c r="M2847" i="4"/>
  <c r="K2847" i="4"/>
  <c r="N2847" i="4" s="1"/>
  <c r="X2845" i="4" l="1"/>
  <c r="Y2845" i="4" s="1"/>
  <c r="R2846" i="4"/>
  <c r="W2846" i="4" s="1"/>
  <c r="Q2846" i="4"/>
  <c r="V2846" i="4" s="1"/>
  <c r="S2846" i="4"/>
  <c r="P2846" i="4"/>
  <c r="T2847" i="4"/>
  <c r="J2848" i="4"/>
  <c r="K2848" i="4"/>
  <c r="N2848" i="4" s="1"/>
  <c r="L2848" i="4"/>
  <c r="M2848" i="4"/>
  <c r="O2847" i="4"/>
  <c r="U2847" i="4" s="1"/>
  <c r="X2846" i="4" l="1"/>
  <c r="Y2846" i="4" s="1"/>
  <c r="R2847" i="4"/>
  <c r="W2847" i="4" s="1"/>
  <c r="Q2847" i="4"/>
  <c r="V2847" i="4" s="1"/>
  <c r="S2847" i="4"/>
  <c r="P2847" i="4"/>
  <c r="T2848" i="4"/>
  <c r="O2848" i="4"/>
  <c r="U2848" i="4" s="1"/>
  <c r="J2849" i="4"/>
  <c r="L2849" i="4"/>
  <c r="M2849" i="4"/>
  <c r="K2849" i="4"/>
  <c r="N2849" i="4" s="1"/>
  <c r="X2847" i="4" l="1"/>
  <c r="Y2847" i="4" s="1"/>
  <c r="R2848" i="4"/>
  <c r="W2848" i="4" s="1"/>
  <c r="Q2848" i="4"/>
  <c r="V2848" i="4" s="1"/>
  <c r="S2848" i="4"/>
  <c r="P2848" i="4"/>
  <c r="T2849" i="4"/>
  <c r="J2850" i="4"/>
  <c r="K2850" i="4"/>
  <c r="N2850" i="4" s="1"/>
  <c r="L2850" i="4"/>
  <c r="M2850" i="4"/>
  <c r="O2849" i="4"/>
  <c r="U2849" i="4" s="1"/>
  <c r="X2848" i="4" l="1"/>
  <c r="Y2848" i="4" s="1"/>
  <c r="R2849" i="4"/>
  <c r="W2849" i="4" s="1"/>
  <c r="Q2849" i="4"/>
  <c r="V2849" i="4" s="1"/>
  <c r="S2849" i="4"/>
  <c r="P2849" i="4"/>
  <c r="T2850" i="4"/>
  <c r="O2850" i="4"/>
  <c r="U2850" i="4" s="1"/>
  <c r="J2851" i="4"/>
  <c r="L2851" i="4"/>
  <c r="M2851" i="4"/>
  <c r="K2851" i="4"/>
  <c r="N2851" i="4" s="1"/>
  <c r="X2849" i="4" l="1"/>
  <c r="Y2849" i="4" s="1"/>
  <c r="R2850" i="4"/>
  <c r="W2850" i="4" s="1"/>
  <c r="Q2850" i="4"/>
  <c r="V2850" i="4" s="1"/>
  <c r="S2850" i="4"/>
  <c r="P2850" i="4"/>
  <c r="T2851" i="4"/>
  <c r="J2852" i="4"/>
  <c r="K2852" i="4"/>
  <c r="N2852" i="4" s="1"/>
  <c r="T2852" i="4" s="1"/>
  <c r="L2852" i="4"/>
  <c r="M2852" i="4"/>
  <c r="O2851" i="4"/>
  <c r="X2850" i="4" l="1"/>
  <c r="Y2850" i="4" s="1"/>
  <c r="Q2852" i="4"/>
  <c r="V2852" i="4" s="1"/>
  <c r="S2852" i="4"/>
  <c r="Q2851" i="4"/>
  <c r="V2851" i="4" s="1"/>
  <c r="S2851" i="4"/>
  <c r="P2851" i="4"/>
  <c r="U2851" i="4"/>
  <c r="O2852" i="4"/>
  <c r="U2852" i="4" s="1"/>
  <c r="J2853" i="4"/>
  <c r="L2853" i="4"/>
  <c r="M2853" i="4"/>
  <c r="K2853" i="4"/>
  <c r="N2853" i="4" s="1"/>
  <c r="R2851" i="4" l="1"/>
  <c r="W2851" i="4" s="1"/>
  <c r="X2851" i="4" s="1"/>
  <c r="Y2851" i="4" s="1"/>
  <c r="R2852" i="4"/>
  <c r="W2852" i="4" s="1"/>
  <c r="X2852" i="4" s="1"/>
  <c r="Y2852" i="4" s="1"/>
  <c r="T2853" i="4"/>
  <c r="P2852" i="4"/>
  <c r="J2854" i="4"/>
  <c r="K2854" i="4"/>
  <c r="N2854" i="4" s="1"/>
  <c r="L2854" i="4"/>
  <c r="M2854" i="4"/>
  <c r="O2853" i="4"/>
  <c r="U2853" i="4" s="1"/>
  <c r="R2853" i="4" l="1"/>
  <c r="W2853" i="4" s="1"/>
  <c r="Q2853" i="4"/>
  <c r="V2853" i="4" s="1"/>
  <c r="S2853" i="4"/>
  <c r="P2853" i="4"/>
  <c r="T2854" i="4"/>
  <c r="O2854" i="4"/>
  <c r="U2854" i="4" s="1"/>
  <c r="J2855" i="4"/>
  <c r="L2855" i="4"/>
  <c r="M2855" i="4"/>
  <c r="K2855" i="4"/>
  <c r="N2855" i="4" s="1"/>
  <c r="X2853" i="4" l="1"/>
  <c r="Y2853" i="4" s="1"/>
  <c r="R2854" i="4"/>
  <c r="W2854" i="4" s="1"/>
  <c r="Q2854" i="4"/>
  <c r="V2854" i="4" s="1"/>
  <c r="S2854" i="4"/>
  <c r="P2854" i="4"/>
  <c r="T2855" i="4"/>
  <c r="J2856" i="4"/>
  <c r="K2856" i="4"/>
  <c r="N2856" i="4" s="1"/>
  <c r="L2856" i="4"/>
  <c r="M2856" i="4"/>
  <c r="O2855" i="4"/>
  <c r="U2855" i="4" s="1"/>
  <c r="X2854" i="4" l="1"/>
  <c r="Y2854" i="4" s="1"/>
  <c r="R2855" i="4"/>
  <c r="W2855" i="4" s="1"/>
  <c r="Q2855" i="4"/>
  <c r="V2855" i="4" s="1"/>
  <c r="S2855" i="4"/>
  <c r="P2855" i="4"/>
  <c r="T2856" i="4"/>
  <c r="O2856" i="4"/>
  <c r="U2856" i="4" s="1"/>
  <c r="J2857" i="4"/>
  <c r="L2857" i="4"/>
  <c r="M2857" i="4"/>
  <c r="K2857" i="4"/>
  <c r="N2857" i="4" s="1"/>
  <c r="X2855" i="4" l="1"/>
  <c r="Y2855" i="4" s="1"/>
  <c r="R2856" i="4"/>
  <c r="W2856" i="4" s="1"/>
  <c r="Q2856" i="4"/>
  <c r="V2856" i="4" s="1"/>
  <c r="S2856" i="4"/>
  <c r="P2856" i="4"/>
  <c r="T2857" i="4"/>
  <c r="J2858" i="4"/>
  <c r="K2858" i="4"/>
  <c r="N2858" i="4" s="1"/>
  <c r="L2858" i="4"/>
  <c r="M2858" i="4"/>
  <c r="O2857" i="4"/>
  <c r="U2857" i="4" s="1"/>
  <c r="X2856" i="4" l="1"/>
  <c r="Y2856" i="4" s="1"/>
  <c r="R2857" i="4"/>
  <c r="W2857" i="4" s="1"/>
  <c r="Q2857" i="4"/>
  <c r="V2857" i="4" s="1"/>
  <c r="S2857" i="4"/>
  <c r="P2857" i="4"/>
  <c r="T2858" i="4"/>
  <c r="O2858" i="4"/>
  <c r="U2858" i="4" s="1"/>
  <c r="J2859" i="4"/>
  <c r="L2859" i="4"/>
  <c r="M2859" i="4"/>
  <c r="K2859" i="4"/>
  <c r="N2859" i="4" s="1"/>
  <c r="X2857" i="4" l="1"/>
  <c r="Y2857" i="4" s="1"/>
  <c r="R2858" i="4"/>
  <c r="W2858" i="4" s="1"/>
  <c r="Q2858" i="4"/>
  <c r="V2858" i="4" s="1"/>
  <c r="S2858" i="4"/>
  <c r="P2858" i="4"/>
  <c r="T2859" i="4"/>
  <c r="J2860" i="4"/>
  <c r="K2860" i="4"/>
  <c r="N2860" i="4" s="1"/>
  <c r="L2860" i="4"/>
  <c r="M2860" i="4"/>
  <c r="O2859" i="4"/>
  <c r="U2859" i="4" s="1"/>
  <c r="X2858" i="4" l="1"/>
  <c r="Y2858" i="4" s="1"/>
  <c r="R2859" i="4"/>
  <c r="W2859" i="4" s="1"/>
  <c r="Q2859" i="4"/>
  <c r="V2859" i="4" s="1"/>
  <c r="S2859" i="4"/>
  <c r="P2859" i="4"/>
  <c r="T2860" i="4"/>
  <c r="O2860" i="4"/>
  <c r="U2860" i="4" s="1"/>
  <c r="J2861" i="4"/>
  <c r="L2861" i="4"/>
  <c r="M2861" i="4"/>
  <c r="K2861" i="4"/>
  <c r="N2861" i="4" s="1"/>
  <c r="X2859" i="4" l="1"/>
  <c r="Y2859" i="4" s="1"/>
  <c r="R2860" i="4"/>
  <c r="W2860" i="4" s="1"/>
  <c r="Q2860" i="4"/>
  <c r="V2860" i="4" s="1"/>
  <c r="S2860" i="4"/>
  <c r="P2860" i="4"/>
  <c r="T2861" i="4"/>
  <c r="J2862" i="4"/>
  <c r="K2862" i="4"/>
  <c r="N2862" i="4" s="1"/>
  <c r="L2862" i="4"/>
  <c r="M2862" i="4"/>
  <c r="O2861" i="4"/>
  <c r="U2861" i="4" s="1"/>
  <c r="X2860" i="4" l="1"/>
  <c r="Y2860" i="4" s="1"/>
  <c r="R2861" i="4"/>
  <c r="W2861" i="4" s="1"/>
  <c r="Q2861" i="4"/>
  <c r="V2861" i="4" s="1"/>
  <c r="S2861" i="4"/>
  <c r="P2861" i="4"/>
  <c r="T2862" i="4"/>
  <c r="O2862" i="4"/>
  <c r="U2862" i="4" s="1"/>
  <c r="J2863" i="4"/>
  <c r="L2863" i="4"/>
  <c r="M2863" i="4"/>
  <c r="K2863" i="4"/>
  <c r="N2863" i="4" s="1"/>
  <c r="X2861" i="4" l="1"/>
  <c r="Y2861" i="4" s="1"/>
  <c r="R2862" i="4"/>
  <c r="W2862" i="4" s="1"/>
  <c r="Q2862" i="4"/>
  <c r="V2862" i="4" s="1"/>
  <c r="S2862" i="4"/>
  <c r="P2862" i="4"/>
  <c r="T2863" i="4"/>
  <c r="J2864" i="4"/>
  <c r="K2864" i="4"/>
  <c r="N2864" i="4" s="1"/>
  <c r="T2864" i="4" s="1"/>
  <c r="L2864" i="4"/>
  <c r="M2864" i="4"/>
  <c r="O2863" i="4"/>
  <c r="X2862" i="4" l="1"/>
  <c r="Y2862" i="4" s="1"/>
  <c r="Q2863" i="4"/>
  <c r="V2863" i="4" s="1"/>
  <c r="S2863" i="4"/>
  <c r="Q2864" i="4"/>
  <c r="V2864" i="4" s="1"/>
  <c r="S2864" i="4"/>
  <c r="P2863" i="4"/>
  <c r="U2863" i="4"/>
  <c r="O2864" i="4"/>
  <c r="U2864" i="4" s="1"/>
  <c r="J2865" i="4"/>
  <c r="L2865" i="4"/>
  <c r="M2865" i="4"/>
  <c r="K2865" i="4"/>
  <c r="N2865" i="4" s="1"/>
  <c r="T2865" i="4" s="1"/>
  <c r="R2863" i="4" l="1"/>
  <c r="W2863" i="4" s="1"/>
  <c r="X2863" i="4" s="1"/>
  <c r="Y2863" i="4" s="1"/>
  <c r="R2864" i="4"/>
  <c r="W2864" i="4" s="1"/>
  <c r="X2864" i="4" s="1"/>
  <c r="Y2864" i="4" s="1"/>
  <c r="Q2865" i="4"/>
  <c r="V2865" i="4" s="1"/>
  <c r="S2865" i="4"/>
  <c r="P2864" i="4"/>
  <c r="J2866" i="4"/>
  <c r="K2866" i="4"/>
  <c r="N2866" i="4" s="1"/>
  <c r="L2866" i="4"/>
  <c r="M2866" i="4"/>
  <c r="O2865" i="4"/>
  <c r="P2865" i="4" l="1"/>
  <c r="U2865" i="4"/>
  <c r="T2866" i="4"/>
  <c r="O2866" i="4"/>
  <c r="J2867" i="4"/>
  <c r="L2867" i="4"/>
  <c r="M2867" i="4"/>
  <c r="K2867" i="4"/>
  <c r="N2867" i="4" s="1"/>
  <c r="T2867" i="4" s="1"/>
  <c r="R2865" i="4" l="1"/>
  <c r="W2865" i="4" s="1"/>
  <c r="X2865" i="4" s="1"/>
  <c r="Y2865" i="4" s="1"/>
  <c r="Q2866" i="4"/>
  <c r="V2866" i="4" s="1"/>
  <c r="S2866" i="4"/>
  <c r="Q2867" i="4"/>
  <c r="V2867" i="4" s="1"/>
  <c r="S2867" i="4"/>
  <c r="P2866" i="4"/>
  <c r="U2866" i="4"/>
  <c r="J2868" i="4"/>
  <c r="K2868" i="4"/>
  <c r="N2868" i="4" s="1"/>
  <c r="L2868" i="4"/>
  <c r="M2868" i="4"/>
  <c r="O2867" i="4"/>
  <c r="U2867" i="4" s="1"/>
  <c r="R2867" i="4" l="1"/>
  <c r="W2867" i="4" s="1"/>
  <c r="X2867" i="4" s="1"/>
  <c r="Y2867" i="4" s="1"/>
  <c r="R2866" i="4"/>
  <c r="W2866" i="4" s="1"/>
  <c r="X2866" i="4" s="1"/>
  <c r="Y2866" i="4" s="1"/>
  <c r="P2867" i="4"/>
  <c r="T2868" i="4"/>
  <c r="O2868" i="4"/>
  <c r="J2869" i="4"/>
  <c r="L2869" i="4"/>
  <c r="M2869" i="4"/>
  <c r="K2869" i="4"/>
  <c r="N2869" i="4" s="1"/>
  <c r="Q2868" i="4" l="1"/>
  <c r="V2868" i="4" s="1"/>
  <c r="S2868" i="4"/>
  <c r="P2868" i="4"/>
  <c r="T2869" i="4"/>
  <c r="U2868" i="4"/>
  <c r="J2870" i="4"/>
  <c r="K2870" i="4"/>
  <c r="N2870" i="4" s="1"/>
  <c r="L2870" i="4"/>
  <c r="M2870" i="4"/>
  <c r="O2869" i="4"/>
  <c r="U2869" i="4" s="1"/>
  <c r="R2869" i="4" l="1"/>
  <c r="W2869" i="4" s="1"/>
  <c r="R2868" i="4"/>
  <c r="W2868" i="4" s="1"/>
  <c r="X2868" i="4" s="1"/>
  <c r="Y2868" i="4" s="1"/>
  <c r="Q2869" i="4"/>
  <c r="V2869" i="4" s="1"/>
  <c r="S2869" i="4"/>
  <c r="P2869" i="4"/>
  <c r="T2870" i="4"/>
  <c r="O2870" i="4"/>
  <c r="U2870" i="4" s="1"/>
  <c r="J2871" i="4"/>
  <c r="L2871" i="4"/>
  <c r="M2871" i="4"/>
  <c r="K2871" i="4"/>
  <c r="N2871" i="4" s="1"/>
  <c r="X2869" i="4" l="1"/>
  <c r="Y2869" i="4" s="1"/>
  <c r="R2870" i="4"/>
  <c r="W2870" i="4" s="1"/>
  <c r="Q2870" i="4"/>
  <c r="V2870" i="4" s="1"/>
  <c r="S2870" i="4"/>
  <c r="P2870" i="4"/>
  <c r="T2871" i="4"/>
  <c r="J2872" i="4"/>
  <c r="K2872" i="4"/>
  <c r="N2872" i="4" s="1"/>
  <c r="L2872" i="4"/>
  <c r="M2872" i="4"/>
  <c r="O2871" i="4"/>
  <c r="U2871" i="4" s="1"/>
  <c r="X2870" i="4" l="1"/>
  <c r="Y2870" i="4" s="1"/>
  <c r="R2871" i="4"/>
  <c r="W2871" i="4" s="1"/>
  <c r="Q2871" i="4"/>
  <c r="V2871" i="4" s="1"/>
  <c r="S2871" i="4"/>
  <c r="P2871" i="4"/>
  <c r="T2872" i="4"/>
  <c r="O2872" i="4"/>
  <c r="U2872" i="4" s="1"/>
  <c r="J2873" i="4"/>
  <c r="L2873" i="4"/>
  <c r="M2873" i="4"/>
  <c r="K2873" i="4"/>
  <c r="N2873" i="4" s="1"/>
  <c r="X2871" i="4" l="1"/>
  <c r="Y2871" i="4" s="1"/>
  <c r="R2872" i="4"/>
  <c r="W2872" i="4" s="1"/>
  <c r="Q2872" i="4"/>
  <c r="V2872" i="4" s="1"/>
  <c r="S2872" i="4"/>
  <c r="P2872" i="4"/>
  <c r="T2873" i="4"/>
  <c r="J2874" i="4"/>
  <c r="K2874" i="4"/>
  <c r="N2874" i="4" s="1"/>
  <c r="L2874" i="4"/>
  <c r="M2874" i="4"/>
  <c r="O2873" i="4"/>
  <c r="U2873" i="4" s="1"/>
  <c r="X2872" i="4" l="1"/>
  <c r="Y2872" i="4" s="1"/>
  <c r="R2873" i="4"/>
  <c r="W2873" i="4" s="1"/>
  <c r="Q2873" i="4"/>
  <c r="V2873" i="4" s="1"/>
  <c r="S2873" i="4"/>
  <c r="P2873" i="4"/>
  <c r="T2874" i="4"/>
  <c r="O2874" i="4"/>
  <c r="U2874" i="4" s="1"/>
  <c r="J2875" i="4"/>
  <c r="L2875" i="4"/>
  <c r="M2875" i="4"/>
  <c r="K2875" i="4"/>
  <c r="N2875" i="4" s="1"/>
  <c r="X2873" i="4" l="1"/>
  <c r="Y2873" i="4" s="1"/>
  <c r="R2874" i="4"/>
  <c r="W2874" i="4" s="1"/>
  <c r="Q2874" i="4"/>
  <c r="V2874" i="4" s="1"/>
  <c r="S2874" i="4"/>
  <c r="P2874" i="4"/>
  <c r="T2875" i="4"/>
  <c r="J2876" i="4"/>
  <c r="K2876" i="4"/>
  <c r="N2876" i="4" s="1"/>
  <c r="L2876" i="4"/>
  <c r="M2876" i="4"/>
  <c r="O2875" i="4"/>
  <c r="U2875" i="4" s="1"/>
  <c r="X2874" i="4" l="1"/>
  <c r="Y2874" i="4" s="1"/>
  <c r="R2875" i="4"/>
  <c r="W2875" i="4" s="1"/>
  <c r="Q2875" i="4"/>
  <c r="V2875" i="4" s="1"/>
  <c r="S2875" i="4"/>
  <c r="P2875" i="4"/>
  <c r="T2876" i="4"/>
  <c r="O2876" i="4"/>
  <c r="U2876" i="4" s="1"/>
  <c r="J2877" i="4"/>
  <c r="L2877" i="4"/>
  <c r="M2877" i="4"/>
  <c r="K2877" i="4"/>
  <c r="N2877" i="4" s="1"/>
  <c r="X2875" i="4" l="1"/>
  <c r="Y2875" i="4" s="1"/>
  <c r="R2876" i="4"/>
  <c r="W2876" i="4" s="1"/>
  <c r="Q2876" i="4"/>
  <c r="V2876" i="4" s="1"/>
  <c r="S2876" i="4"/>
  <c r="P2876" i="4"/>
  <c r="T2877" i="4"/>
  <c r="J2878" i="4"/>
  <c r="K2878" i="4"/>
  <c r="N2878" i="4" s="1"/>
  <c r="L2878" i="4"/>
  <c r="M2878" i="4"/>
  <c r="O2877" i="4"/>
  <c r="U2877" i="4" s="1"/>
  <c r="X2876" i="4" l="1"/>
  <c r="Y2876" i="4" s="1"/>
  <c r="R2877" i="4"/>
  <c r="W2877" i="4" s="1"/>
  <c r="Q2877" i="4"/>
  <c r="V2877" i="4" s="1"/>
  <c r="S2877" i="4"/>
  <c r="P2877" i="4"/>
  <c r="T2878" i="4"/>
  <c r="O2878" i="4"/>
  <c r="U2878" i="4" s="1"/>
  <c r="J2879" i="4"/>
  <c r="L2879" i="4"/>
  <c r="M2879" i="4"/>
  <c r="K2879" i="4"/>
  <c r="N2879" i="4" s="1"/>
  <c r="X2877" i="4" l="1"/>
  <c r="Y2877" i="4" s="1"/>
  <c r="R2878" i="4"/>
  <c r="W2878" i="4" s="1"/>
  <c r="Q2878" i="4"/>
  <c r="V2878" i="4" s="1"/>
  <c r="S2878" i="4"/>
  <c r="P2878" i="4"/>
  <c r="T2879" i="4"/>
  <c r="J2880" i="4"/>
  <c r="K2880" i="4"/>
  <c r="N2880" i="4" s="1"/>
  <c r="L2880" i="4"/>
  <c r="M2880" i="4"/>
  <c r="O2879" i="4"/>
  <c r="U2879" i="4" s="1"/>
  <c r="X2878" i="4" l="1"/>
  <c r="Y2878" i="4" s="1"/>
  <c r="R2879" i="4"/>
  <c r="W2879" i="4" s="1"/>
  <c r="Q2879" i="4"/>
  <c r="V2879" i="4" s="1"/>
  <c r="S2879" i="4"/>
  <c r="P2879" i="4"/>
  <c r="T2880" i="4"/>
  <c r="O2880" i="4"/>
  <c r="U2880" i="4" s="1"/>
  <c r="J2881" i="4"/>
  <c r="L2881" i="4"/>
  <c r="M2881" i="4"/>
  <c r="K2881" i="4"/>
  <c r="N2881" i="4" s="1"/>
  <c r="X2879" i="4" l="1"/>
  <c r="Y2879" i="4" s="1"/>
  <c r="R2880" i="4"/>
  <c r="W2880" i="4" s="1"/>
  <c r="Q2880" i="4"/>
  <c r="V2880" i="4" s="1"/>
  <c r="S2880" i="4"/>
  <c r="P2880" i="4"/>
  <c r="T2881" i="4"/>
  <c r="J2882" i="4"/>
  <c r="K2882" i="4"/>
  <c r="N2882" i="4" s="1"/>
  <c r="L2882" i="4"/>
  <c r="M2882" i="4"/>
  <c r="O2881" i="4"/>
  <c r="U2881" i="4" s="1"/>
  <c r="X2880" i="4" l="1"/>
  <c r="Y2880" i="4" s="1"/>
  <c r="R2881" i="4"/>
  <c r="W2881" i="4" s="1"/>
  <c r="Q2881" i="4"/>
  <c r="V2881" i="4" s="1"/>
  <c r="S2881" i="4"/>
  <c r="P2881" i="4"/>
  <c r="T2882" i="4"/>
  <c r="O2882" i="4"/>
  <c r="U2882" i="4" s="1"/>
  <c r="J2883" i="4"/>
  <c r="L2883" i="4"/>
  <c r="M2883" i="4"/>
  <c r="K2883" i="4"/>
  <c r="N2883" i="4" s="1"/>
  <c r="X2881" i="4" l="1"/>
  <c r="Y2881" i="4" s="1"/>
  <c r="R2882" i="4"/>
  <c r="W2882" i="4" s="1"/>
  <c r="Q2882" i="4"/>
  <c r="V2882" i="4" s="1"/>
  <c r="S2882" i="4"/>
  <c r="P2882" i="4"/>
  <c r="T2883" i="4"/>
  <c r="J2884" i="4"/>
  <c r="K2884" i="4"/>
  <c r="N2884" i="4" s="1"/>
  <c r="L2884" i="4"/>
  <c r="M2884" i="4"/>
  <c r="O2883" i="4"/>
  <c r="U2883" i="4" s="1"/>
  <c r="X2882" i="4" l="1"/>
  <c r="Y2882" i="4" s="1"/>
  <c r="R2883" i="4"/>
  <c r="W2883" i="4" s="1"/>
  <c r="Q2883" i="4"/>
  <c r="V2883" i="4" s="1"/>
  <c r="S2883" i="4"/>
  <c r="P2883" i="4"/>
  <c r="T2884" i="4"/>
  <c r="O2884" i="4"/>
  <c r="U2884" i="4" s="1"/>
  <c r="J2885" i="4"/>
  <c r="L2885" i="4"/>
  <c r="M2885" i="4"/>
  <c r="K2885" i="4"/>
  <c r="N2885" i="4" s="1"/>
  <c r="X2883" i="4" l="1"/>
  <c r="Y2883" i="4" s="1"/>
  <c r="R2884" i="4"/>
  <c r="W2884" i="4" s="1"/>
  <c r="Q2884" i="4"/>
  <c r="V2884" i="4" s="1"/>
  <c r="S2884" i="4"/>
  <c r="P2884" i="4"/>
  <c r="T2885" i="4"/>
  <c r="J2886" i="4"/>
  <c r="K2886" i="4"/>
  <c r="N2886" i="4" s="1"/>
  <c r="L2886" i="4"/>
  <c r="M2886" i="4"/>
  <c r="O2885" i="4"/>
  <c r="U2885" i="4" s="1"/>
  <c r="X2884" i="4" l="1"/>
  <c r="Y2884" i="4" s="1"/>
  <c r="R2885" i="4"/>
  <c r="W2885" i="4" s="1"/>
  <c r="Q2885" i="4"/>
  <c r="V2885" i="4" s="1"/>
  <c r="S2885" i="4"/>
  <c r="P2885" i="4"/>
  <c r="T2886" i="4"/>
  <c r="O2886" i="4"/>
  <c r="U2886" i="4" s="1"/>
  <c r="J2887" i="4"/>
  <c r="L2887" i="4"/>
  <c r="M2887" i="4"/>
  <c r="K2887" i="4"/>
  <c r="N2887" i="4" s="1"/>
  <c r="X2885" i="4" l="1"/>
  <c r="Y2885" i="4" s="1"/>
  <c r="R2886" i="4"/>
  <c r="W2886" i="4" s="1"/>
  <c r="Q2886" i="4"/>
  <c r="V2886" i="4" s="1"/>
  <c r="S2886" i="4"/>
  <c r="P2886" i="4"/>
  <c r="T2887" i="4"/>
  <c r="J2888" i="4"/>
  <c r="K2888" i="4"/>
  <c r="N2888" i="4" s="1"/>
  <c r="L2888" i="4"/>
  <c r="M2888" i="4"/>
  <c r="O2887" i="4"/>
  <c r="U2887" i="4" s="1"/>
  <c r="X2886" i="4" l="1"/>
  <c r="Y2886" i="4" s="1"/>
  <c r="R2887" i="4"/>
  <c r="W2887" i="4" s="1"/>
  <c r="Q2887" i="4"/>
  <c r="V2887" i="4" s="1"/>
  <c r="S2887" i="4"/>
  <c r="P2887" i="4"/>
  <c r="T2888" i="4"/>
  <c r="O2888" i="4"/>
  <c r="U2888" i="4" s="1"/>
  <c r="J2889" i="4"/>
  <c r="L2889" i="4"/>
  <c r="M2889" i="4"/>
  <c r="K2889" i="4"/>
  <c r="N2889" i="4" s="1"/>
  <c r="X2887" i="4" l="1"/>
  <c r="Y2887" i="4" s="1"/>
  <c r="R2888" i="4"/>
  <c r="W2888" i="4" s="1"/>
  <c r="Q2888" i="4"/>
  <c r="V2888" i="4" s="1"/>
  <c r="S2888" i="4"/>
  <c r="P2888" i="4"/>
  <c r="T2889" i="4"/>
  <c r="J2890" i="4"/>
  <c r="K2890" i="4"/>
  <c r="N2890" i="4" s="1"/>
  <c r="L2890" i="4"/>
  <c r="M2890" i="4"/>
  <c r="O2889" i="4"/>
  <c r="U2889" i="4" s="1"/>
  <c r="X2888" i="4" l="1"/>
  <c r="Y2888" i="4" s="1"/>
  <c r="R2889" i="4"/>
  <c r="W2889" i="4" s="1"/>
  <c r="Q2889" i="4"/>
  <c r="V2889" i="4" s="1"/>
  <c r="S2889" i="4"/>
  <c r="P2889" i="4"/>
  <c r="T2890" i="4"/>
  <c r="O2890" i="4"/>
  <c r="U2890" i="4" s="1"/>
  <c r="J2891" i="4"/>
  <c r="L2891" i="4"/>
  <c r="M2891" i="4"/>
  <c r="K2891" i="4"/>
  <c r="N2891" i="4" s="1"/>
  <c r="X2889" i="4" l="1"/>
  <c r="Y2889" i="4" s="1"/>
  <c r="R2890" i="4"/>
  <c r="W2890" i="4" s="1"/>
  <c r="Q2890" i="4"/>
  <c r="V2890" i="4" s="1"/>
  <c r="S2890" i="4"/>
  <c r="P2890" i="4"/>
  <c r="T2891" i="4"/>
  <c r="J2892" i="4"/>
  <c r="K2892" i="4"/>
  <c r="N2892" i="4" s="1"/>
  <c r="L2892" i="4"/>
  <c r="M2892" i="4"/>
  <c r="O2891" i="4"/>
  <c r="U2891" i="4" s="1"/>
  <c r="X2890" i="4" l="1"/>
  <c r="Y2890" i="4" s="1"/>
  <c r="R2891" i="4"/>
  <c r="W2891" i="4" s="1"/>
  <c r="Q2891" i="4"/>
  <c r="V2891" i="4" s="1"/>
  <c r="S2891" i="4"/>
  <c r="P2891" i="4"/>
  <c r="T2892" i="4"/>
  <c r="O2892" i="4"/>
  <c r="U2892" i="4" s="1"/>
  <c r="J2893" i="4"/>
  <c r="L2893" i="4"/>
  <c r="M2893" i="4"/>
  <c r="K2893" i="4"/>
  <c r="N2893" i="4" s="1"/>
  <c r="X2891" i="4" l="1"/>
  <c r="Y2891" i="4" s="1"/>
  <c r="R2892" i="4"/>
  <c r="W2892" i="4" s="1"/>
  <c r="Q2892" i="4"/>
  <c r="V2892" i="4" s="1"/>
  <c r="S2892" i="4"/>
  <c r="P2892" i="4"/>
  <c r="T2893" i="4"/>
  <c r="J2894" i="4"/>
  <c r="K2894" i="4"/>
  <c r="N2894" i="4" s="1"/>
  <c r="L2894" i="4"/>
  <c r="M2894" i="4"/>
  <c r="O2893" i="4"/>
  <c r="U2893" i="4" s="1"/>
  <c r="X2892" i="4" l="1"/>
  <c r="Y2892" i="4" s="1"/>
  <c r="R2893" i="4"/>
  <c r="W2893" i="4" s="1"/>
  <c r="Q2893" i="4"/>
  <c r="V2893" i="4" s="1"/>
  <c r="S2893" i="4"/>
  <c r="P2893" i="4"/>
  <c r="T2894" i="4"/>
  <c r="O2894" i="4"/>
  <c r="U2894" i="4" s="1"/>
  <c r="J2895" i="4"/>
  <c r="L2895" i="4"/>
  <c r="M2895" i="4"/>
  <c r="K2895" i="4"/>
  <c r="N2895" i="4" s="1"/>
  <c r="X2893" i="4" l="1"/>
  <c r="Y2893" i="4" s="1"/>
  <c r="R2894" i="4"/>
  <c r="W2894" i="4" s="1"/>
  <c r="Q2894" i="4"/>
  <c r="V2894" i="4" s="1"/>
  <c r="S2894" i="4"/>
  <c r="P2894" i="4"/>
  <c r="T2895" i="4"/>
  <c r="J2896" i="4"/>
  <c r="K2896" i="4"/>
  <c r="N2896" i="4" s="1"/>
  <c r="T2896" i="4" s="1"/>
  <c r="L2896" i="4"/>
  <c r="M2896" i="4"/>
  <c r="O2895" i="4"/>
  <c r="X2894" i="4" l="1"/>
  <c r="Y2894" i="4" s="1"/>
  <c r="Q2896" i="4"/>
  <c r="V2896" i="4" s="1"/>
  <c r="S2896" i="4"/>
  <c r="Q2895" i="4"/>
  <c r="V2895" i="4" s="1"/>
  <c r="S2895" i="4"/>
  <c r="P2895" i="4"/>
  <c r="U2895" i="4"/>
  <c r="O2896" i="4"/>
  <c r="U2896" i="4" s="1"/>
  <c r="J2897" i="4"/>
  <c r="L2897" i="4"/>
  <c r="M2897" i="4"/>
  <c r="K2897" i="4"/>
  <c r="N2897" i="4" s="1"/>
  <c r="R2895" i="4" l="1"/>
  <c r="W2895" i="4" s="1"/>
  <c r="X2895" i="4" s="1"/>
  <c r="Y2895" i="4" s="1"/>
  <c r="R2896" i="4"/>
  <c r="W2896" i="4" s="1"/>
  <c r="X2896" i="4" s="1"/>
  <c r="Y2896" i="4" s="1"/>
  <c r="T2897" i="4"/>
  <c r="P2896" i="4"/>
  <c r="J2898" i="4"/>
  <c r="K2898" i="4"/>
  <c r="N2898" i="4" s="1"/>
  <c r="T2898" i="4" s="1"/>
  <c r="L2898" i="4"/>
  <c r="M2898" i="4"/>
  <c r="O2897" i="4"/>
  <c r="Q2898" i="4" l="1"/>
  <c r="V2898" i="4" s="1"/>
  <c r="S2898" i="4"/>
  <c r="Q2897" i="4"/>
  <c r="V2897" i="4" s="1"/>
  <c r="S2897" i="4"/>
  <c r="P2897" i="4"/>
  <c r="U2897" i="4"/>
  <c r="O2898" i="4"/>
  <c r="U2898" i="4" s="1"/>
  <c r="J2899" i="4"/>
  <c r="L2899" i="4"/>
  <c r="M2899" i="4"/>
  <c r="K2899" i="4"/>
  <c r="N2899" i="4" s="1"/>
  <c r="R2897" i="4" l="1"/>
  <c r="W2897" i="4" s="1"/>
  <c r="X2897" i="4" s="1"/>
  <c r="Y2897" i="4" s="1"/>
  <c r="R2898" i="4"/>
  <c r="W2898" i="4" s="1"/>
  <c r="X2898" i="4" s="1"/>
  <c r="Y2898" i="4" s="1"/>
  <c r="T2899" i="4"/>
  <c r="P2898" i="4"/>
  <c r="J2900" i="4"/>
  <c r="K2900" i="4"/>
  <c r="N2900" i="4" s="1"/>
  <c r="L2900" i="4"/>
  <c r="M2900" i="4"/>
  <c r="O2899" i="4"/>
  <c r="Q2899" i="4" l="1"/>
  <c r="V2899" i="4" s="1"/>
  <c r="S2899" i="4"/>
  <c r="P2899" i="4"/>
  <c r="U2899" i="4"/>
  <c r="T2900" i="4"/>
  <c r="O2900" i="4"/>
  <c r="J2901" i="4"/>
  <c r="L2901" i="4"/>
  <c r="M2901" i="4"/>
  <c r="K2901" i="4"/>
  <c r="N2901" i="4" s="1"/>
  <c r="T2901" i="4" s="1"/>
  <c r="R2899" i="4" l="1"/>
  <c r="W2899" i="4" s="1"/>
  <c r="X2899" i="4" s="1"/>
  <c r="Y2899" i="4" s="1"/>
  <c r="Q2901" i="4"/>
  <c r="V2901" i="4" s="1"/>
  <c r="S2901" i="4"/>
  <c r="Q2900" i="4"/>
  <c r="V2900" i="4" s="1"/>
  <c r="S2900" i="4"/>
  <c r="P2900" i="4"/>
  <c r="U2900" i="4"/>
  <c r="J2902" i="4"/>
  <c r="K2902" i="4"/>
  <c r="N2902" i="4" s="1"/>
  <c r="L2902" i="4"/>
  <c r="M2902" i="4"/>
  <c r="O2901" i="4"/>
  <c r="U2901" i="4" s="1"/>
  <c r="R2900" i="4" l="1"/>
  <c r="W2900" i="4" s="1"/>
  <c r="X2900" i="4" s="1"/>
  <c r="Y2900" i="4" s="1"/>
  <c r="R2901" i="4"/>
  <c r="W2901" i="4" s="1"/>
  <c r="X2901" i="4" s="1"/>
  <c r="Y2901" i="4" s="1"/>
  <c r="P2901" i="4"/>
  <c r="T2902" i="4"/>
  <c r="O2902" i="4"/>
  <c r="U2902" i="4" s="1"/>
  <c r="J2903" i="4"/>
  <c r="L2903" i="4"/>
  <c r="M2903" i="4"/>
  <c r="K2903" i="4"/>
  <c r="N2903" i="4" s="1"/>
  <c r="R2902" i="4" l="1"/>
  <c r="W2902" i="4" s="1"/>
  <c r="Q2902" i="4"/>
  <c r="V2902" i="4" s="1"/>
  <c r="S2902" i="4"/>
  <c r="P2902" i="4"/>
  <c r="T2903" i="4"/>
  <c r="J2904" i="4"/>
  <c r="K2904" i="4"/>
  <c r="N2904" i="4" s="1"/>
  <c r="L2904" i="4"/>
  <c r="M2904" i="4"/>
  <c r="O2903" i="4"/>
  <c r="U2903" i="4" s="1"/>
  <c r="X2902" i="4" l="1"/>
  <c r="Y2902" i="4" s="1"/>
  <c r="R2903" i="4"/>
  <c r="W2903" i="4" s="1"/>
  <c r="Q2903" i="4"/>
  <c r="V2903" i="4" s="1"/>
  <c r="S2903" i="4"/>
  <c r="P2903" i="4"/>
  <c r="T2904" i="4"/>
  <c r="O2904" i="4"/>
  <c r="U2904" i="4" s="1"/>
  <c r="J2905" i="4"/>
  <c r="L2905" i="4"/>
  <c r="M2905" i="4"/>
  <c r="K2905" i="4"/>
  <c r="N2905" i="4" s="1"/>
  <c r="X2903" i="4" l="1"/>
  <c r="Y2903" i="4" s="1"/>
  <c r="R2904" i="4"/>
  <c r="W2904" i="4" s="1"/>
  <c r="Q2904" i="4"/>
  <c r="V2904" i="4" s="1"/>
  <c r="S2904" i="4"/>
  <c r="P2904" i="4"/>
  <c r="T2905" i="4"/>
  <c r="J2906" i="4"/>
  <c r="K2906" i="4"/>
  <c r="N2906" i="4" s="1"/>
  <c r="L2906" i="4"/>
  <c r="M2906" i="4"/>
  <c r="O2905" i="4"/>
  <c r="U2905" i="4" s="1"/>
  <c r="X2904" i="4" l="1"/>
  <c r="Y2904" i="4" s="1"/>
  <c r="R2905" i="4"/>
  <c r="W2905" i="4" s="1"/>
  <c r="Q2905" i="4"/>
  <c r="V2905" i="4" s="1"/>
  <c r="S2905" i="4"/>
  <c r="P2905" i="4"/>
  <c r="T2906" i="4"/>
  <c r="O2906" i="4"/>
  <c r="U2906" i="4" s="1"/>
  <c r="J2907" i="4"/>
  <c r="L2907" i="4"/>
  <c r="M2907" i="4"/>
  <c r="K2907" i="4"/>
  <c r="N2907" i="4" s="1"/>
  <c r="X2905" i="4" l="1"/>
  <c r="Y2905" i="4" s="1"/>
  <c r="R2906" i="4"/>
  <c r="W2906" i="4" s="1"/>
  <c r="Q2906" i="4"/>
  <c r="V2906" i="4" s="1"/>
  <c r="S2906" i="4"/>
  <c r="P2906" i="4"/>
  <c r="T2907" i="4"/>
  <c r="J2908" i="4"/>
  <c r="K2908" i="4"/>
  <c r="N2908" i="4" s="1"/>
  <c r="L2908" i="4"/>
  <c r="M2908" i="4"/>
  <c r="O2907" i="4"/>
  <c r="U2907" i="4" s="1"/>
  <c r="X2906" i="4" l="1"/>
  <c r="Y2906" i="4" s="1"/>
  <c r="R2907" i="4"/>
  <c r="W2907" i="4" s="1"/>
  <c r="Q2907" i="4"/>
  <c r="V2907" i="4" s="1"/>
  <c r="S2907" i="4"/>
  <c r="P2907" i="4"/>
  <c r="T2908" i="4"/>
  <c r="O2908" i="4"/>
  <c r="U2908" i="4" s="1"/>
  <c r="J2909" i="4"/>
  <c r="L2909" i="4"/>
  <c r="M2909" i="4"/>
  <c r="K2909" i="4"/>
  <c r="N2909" i="4" s="1"/>
  <c r="X2907" i="4" l="1"/>
  <c r="Y2907" i="4" s="1"/>
  <c r="R2908" i="4"/>
  <c r="W2908" i="4" s="1"/>
  <c r="Q2908" i="4"/>
  <c r="V2908" i="4" s="1"/>
  <c r="S2908" i="4"/>
  <c r="P2908" i="4"/>
  <c r="T2909" i="4"/>
  <c r="J2910" i="4"/>
  <c r="K2910" i="4"/>
  <c r="N2910" i="4" s="1"/>
  <c r="L2910" i="4"/>
  <c r="M2910" i="4"/>
  <c r="O2909" i="4"/>
  <c r="U2909" i="4" s="1"/>
  <c r="X2908" i="4" l="1"/>
  <c r="Y2908" i="4" s="1"/>
  <c r="R2909" i="4"/>
  <c r="W2909" i="4" s="1"/>
  <c r="Q2909" i="4"/>
  <c r="V2909" i="4" s="1"/>
  <c r="S2909" i="4"/>
  <c r="P2909" i="4"/>
  <c r="T2910" i="4"/>
  <c r="O2910" i="4"/>
  <c r="U2910" i="4" s="1"/>
  <c r="J2911" i="4"/>
  <c r="L2911" i="4"/>
  <c r="M2911" i="4"/>
  <c r="K2911" i="4"/>
  <c r="N2911" i="4" s="1"/>
  <c r="X2909" i="4" l="1"/>
  <c r="Y2909" i="4" s="1"/>
  <c r="R2910" i="4"/>
  <c r="W2910" i="4" s="1"/>
  <c r="Q2910" i="4"/>
  <c r="V2910" i="4" s="1"/>
  <c r="S2910" i="4"/>
  <c r="P2910" i="4"/>
  <c r="T2911" i="4"/>
  <c r="J2912" i="4"/>
  <c r="K2912" i="4"/>
  <c r="N2912" i="4" s="1"/>
  <c r="L2912" i="4"/>
  <c r="M2912" i="4"/>
  <c r="O2911" i="4"/>
  <c r="X2910" i="4" l="1"/>
  <c r="Y2910" i="4" s="1"/>
  <c r="Q2911" i="4"/>
  <c r="V2911" i="4" s="1"/>
  <c r="S2911" i="4"/>
  <c r="P2911" i="4"/>
  <c r="U2911" i="4"/>
  <c r="T2912" i="4"/>
  <c r="O2912" i="4"/>
  <c r="J2913" i="4"/>
  <c r="L2913" i="4"/>
  <c r="M2913" i="4"/>
  <c r="K2913" i="4"/>
  <c r="N2913" i="4" s="1"/>
  <c r="R2911" i="4" l="1"/>
  <c r="W2911" i="4" s="1"/>
  <c r="X2911" i="4" s="1"/>
  <c r="Y2911" i="4" s="1"/>
  <c r="Q2912" i="4"/>
  <c r="V2912" i="4" s="1"/>
  <c r="S2912" i="4"/>
  <c r="T2913" i="4"/>
  <c r="P2912" i="4"/>
  <c r="U2912" i="4"/>
  <c r="J2914" i="4"/>
  <c r="K2914" i="4"/>
  <c r="N2914" i="4" s="1"/>
  <c r="L2914" i="4"/>
  <c r="M2914" i="4"/>
  <c r="O2913" i="4"/>
  <c r="R2912" i="4" l="1"/>
  <c r="W2912" i="4" s="1"/>
  <c r="X2912" i="4" s="1"/>
  <c r="Y2912" i="4" s="1"/>
  <c r="Q2913" i="4"/>
  <c r="V2913" i="4" s="1"/>
  <c r="S2913" i="4"/>
  <c r="P2913" i="4"/>
  <c r="U2913" i="4"/>
  <c r="T2914" i="4"/>
  <c r="O2914" i="4"/>
  <c r="J2915" i="4"/>
  <c r="L2915" i="4"/>
  <c r="M2915" i="4"/>
  <c r="K2915" i="4"/>
  <c r="N2915" i="4" s="1"/>
  <c r="T2915" i="4" s="1"/>
  <c r="R2913" i="4" l="1"/>
  <c r="W2913" i="4" s="1"/>
  <c r="X2913" i="4" s="1"/>
  <c r="Y2913" i="4" s="1"/>
  <c r="Q2915" i="4"/>
  <c r="V2915" i="4" s="1"/>
  <c r="S2915" i="4"/>
  <c r="Q2914" i="4"/>
  <c r="V2914" i="4" s="1"/>
  <c r="S2914" i="4"/>
  <c r="P2914" i="4"/>
  <c r="U2914" i="4"/>
  <c r="O2915" i="4"/>
  <c r="U2915" i="4" s="1"/>
  <c r="J2916" i="4"/>
  <c r="K2916" i="4"/>
  <c r="N2916" i="4" s="1"/>
  <c r="L2916" i="4"/>
  <c r="M2916" i="4"/>
  <c r="R2915" i="4" l="1"/>
  <c r="W2915" i="4" s="1"/>
  <c r="X2915" i="4" s="1"/>
  <c r="Y2915" i="4" s="1"/>
  <c r="R2914" i="4"/>
  <c r="W2914" i="4" s="1"/>
  <c r="X2914" i="4" s="1"/>
  <c r="Y2914" i="4" s="1"/>
  <c r="T2916" i="4"/>
  <c r="P2915" i="4"/>
  <c r="O2916" i="4"/>
  <c r="U2916" i="4" s="1"/>
  <c r="J2917" i="4"/>
  <c r="L2917" i="4"/>
  <c r="M2917" i="4"/>
  <c r="K2917" i="4"/>
  <c r="N2917" i="4" s="1"/>
  <c r="T2917" i="4" s="1"/>
  <c r="R2916" i="4" l="1"/>
  <c r="W2916" i="4" s="1"/>
  <c r="Q2917" i="4"/>
  <c r="V2917" i="4" s="1"/>
  <c r="S2917" i="4"/>
  <c r="Q2916" i="4"/>
  <c r="V2916" i="4" s="1"/>
  <c r="X2916" i="4" s="1"/>
  <c r="Y2916" i="4" s="1"/>
  <c r="S2916" i="4"/>
  <c r="P2916" i="4"/>
  <c r="J2918" i="4"/>
  <c r="K2918" i="4"/>
  <c r="N2918" i="4" s="1"/>
  <c r="L2918" i="4"/>
  <c r="M2918" i="4"/>
  <c r="O2917" i="4"/>
  <c r="U2917" i="4" s="1"/>
  <c r="R2917" i="4" l="1"/>
  <c r="W2917" i="4" s="1"/>
  <c r="X2917" i="4" s="1"/>
  <c r="Y2917" i="4" s="1"/>
  <c r="P2917" i="4"/>
  <c r="T2918" i="4"/>
  <c r="O2918" i="4"/>
  <c r="U2918" i="4" s="1"/>
  <c r="J2919" i="4"/>
  <c r="L2919" i="4"/>
  <c r="M2919" i="4"/>
  <c r="K2919" i="4"/>
  <c r="N2919" i="4" s="1"/>
  <c r="R2918" i="4" l="1"/>
  <c r="W2918" i="4" s="1"/>
  <c r="Q2918" i="4"/>
  <c r="V2918" i="4" s="1"/>
  <c r="S2918" i="4"/>
  <c r="P2918" i="4"/>
  <c r="T2919" i="4"/>
  <c r="J2920" i="4"/>
  <c r="K2920" i="4"/>
  <c r="N2920" i="4" s="1"/>
  <c r="L2920" i="4"/>
  <c r="M2920" i="4"/>
  <c r="O2919" i="4"/>
  <c r="U2919" i="4" s="1"/>
  <c r="X2918" i="4" l="1"/>
  <c r="Y2918" i="4" s="1"/>
  <c r="R2919" i="4"/>
  <c r="W2919" i="4" s="1"/>
  <c r="Q2919" i="4"/>
  <c r="V2919" i="4" s="1"/>
  <c r="S2919" i="4"/>
  <c r="P2919" i="4"/>
  <c r="T2920" i="4"/>
  <c r="O2920" i="4"/>
  <c r="U2920" i="4" s="1"/>
  <c r="J2921" i="4"/>
  <c r="L2921" i="4"/>
  <c r="M2921" i="4"/>
  <c r="K2921" i="4"/>
  <c r="N2921" i="4" s="1"/>
  <c r="X2919" i="4" l="1"/>
  <c r="Y2919" i="4" s="1"/>
  <c r="R2920" i="4"/>
  <c r="W2920" i="4" s="1"/>
  <c r="Q2920" i="4"/>
  <c r="V2920" i="4" s="1"/>
  <c r="S2920" i="4"/>
  <c r="P2920" i="4"/>
  <c r="T2921" i="4"/>
  <c r="J2922" i="4"/>
  <c r="K2922" i="4"/>
  <c r="N2922" i="4" s="1"/>
  <c r="L2922" i="4"/>
  <c r="M2922" i="4"/>
  <c r="O2921" i="4"/>
  <c r="U2921" i="4" s="1"/>
  <c r="X2920" i="4" l="1"/>
  <c r="Y2920" i="4" s="1"/>
  <c r="R2921" i="4"/>
  <c r="W2921" i="4" s="1"/>
  <c r="Q2921" i="4"/>
  <c r="V2921" i="4" s="1"/>
  <c r="S2921" i="4"/>
  <c r="P2921" i="4"/>
  <c r="T2922" i="4"/>
  <c r="O2922" i="4"/>
  <c r="U2922" i="4" s="1"/>
  <c r="J2923" i="4"/>
  <c r="L2923" i="4"/>
  <c r="M2923" i="4"/>
  <c r="K2923" i="4"/>
  <c r="N2923" i="4" s="1"/>
  <c r="X2921" i="4" l="1"/>
  <c r="Y2921" i="4" s="1"/>
  <c r="R2922" i="4"/>
  <c r="W2922" i="4" s="1"/>
  <c r="Q2922" i="4"/>
  <c r="V2922" i="4" s="1"/>
  <c r="S2922" i="4"/>
  <c r="P2922" i="4"/>
  <c r="T2923" i="4"/>
  <c r="O2923" i="4"/>
  <c r="U2923" i="4" s="1"/>
  <c r="J2924" i="4"/>
  <c r="K2924" i="4"/>
  <c r="N2924" i="4" s="1"/>
  <c r="L2924" i="4"/>
  <c r="M2924" i="4"/>
  <c r="X2922" i="4" l="1"/>
  <c r="Y2922" i="4" s="1"/>
  <c r="R2923" i="4"/>
  <c r="W2923" i="4" s="1"/>
  <c r="Q2923" i="4"/>
  <c r="V2923" i="4" s="1"/>
  <c r="S2923" i="4"/>
  <c r="P2923" i="4"/>
  <c r="T2924" i="4"/>
  <c r="O2924" i="4"/>
  <c r="U2924" i="4" s="1"/>
  <c r="J2925" i="4"/>
  <c r="L2925" i="4"/>
  <c r="M2925" i="4"/>
  <c r="K2925" i="4"/>
  <c r="N2925" i="4" s="1"/>
  <c r="X2923" i="4" l="1"/>
  <c r="Y2923" i="4" s="1"/>
  <c r="R2924" i="4"/>
  <c r="W2924" i="4" s="1"/>
  <c r="Q2924" i="4"/>
  <c r="V2924" i="4" s="1"/>
  <c r="S2924" i="4"/>
  <c r="P2924" i="4"/>
  <c r="T2925" i="4"/>
  <c r="J2926" i="4"/>
  <c r="K2926" i="4"/>
  <c r="N2926" i="4" s="1"/>
  <c r="L2926" i="4"/>
  <c r="M2926" i="4"/>
  <c r="O2925" i="4"/>
  <c r="U2925" i="4" s="1"/>
  <c r="X2924" i="4" l="1"/>
  <c r="Y2924" i="4" s="1"/>
  <c r="R2925" i="4"/>
  <c r="W2925" i="4" s="1"/>
  <c r="Q2925" i="4"/>
  <c r="V2925" i="4" s="1"/>
  <c r="S2925" i="4"/>
  <c r="P2925" i="4"/>
  <c r="T2926" i="4"/>
  <c r="O2926" i="4"/>
  <c r="U2926" i="4" s="1"/>
  <c r="J2927" i="4"/>
  <c r="L2927" i="4"/>
  <c r="M2927" i="4"/>
  <c r="K2927" i="4"/>
  <c r="N2927" i="4" s="1"/>
  <c r="X2925" i="4" l="1"/>
  <c r="Y2925" i="4" s="1"/>
  <c r="R2926" i="4"/>
  <c r="W2926" i="4" s="1"/>
  <c r="Q2926" i="4"/>
  <c r="V2926" i="4" s="1"/>
  <c r="S2926" i="4"/>
  <c r="P2926" i="4"/>
  <c r="T2927" i="4"/>
  <c r="J2928" i="4"/>
  <c r="K2928" i="4"/>
  <c r="N2928" i="4" s="1"/>
  <c r="L2928" i="4"/>
  <c r="M2928" i="4"/>
  <c r="O2927" i="4"/>
  <c r="U2927" i="4" s="1"/>
  <c r="X2926" i="4" l="1"/>
  <c r="Y2926" i="4" s="1"/>
  <c r="R2927" i="4"/>
  <c r="W2927" i="4" s="1"/>
  <c r="Q2927" i="4"/>
  <c r="V2927" i="4" s="1"/>
  <c r="S2927" i="4"/>
  <c r="P2927" i="4"/>
  <c r="T2928" i="4"/>
  <c r="O2928" i="4"/>
  <c r="U2928" i="4" s="1"/>
  <c r="J2929" i="4"/>
  <c r="L2929" i="4"/>
  <c r="M2929" i="4"/>
  <c r="K2929" i="4"/>
  <c r="N2929" i="4" s="1"/>
  <c r="X2927" i="4" l="1"/>
  <c r="Y2927" i="4" s="1"/>
  <c r="R2928" i="4"/>
  <c r="W2928" i="4" s="1"/>
  <c r="Q2928" i="4"/>
  <c r="V2928" i="4" s="1"/>
  <c r="S2928" i="4"/>
  <c r="P2928" i="4"/>
  <c r="T2929" i="4"/>
  <c r="J2930" i="4"/>
  <c r="K2930" i="4"/>
  <c r="N2930" i="4" s="1"/>
  <c r="L2930" i="4"/>
  <c r="M2930" i="4"/>
  <c r="O2929" i="4"/>
  <c r="U2929" i="4" s="1"/>
  <c r="X2928" i="4" l="1"/>
  <c r="Y2928" i="4" s="1"/>
  <c r="R2929" i="4"/>
  <c r="W2929" i="4" s="1"/>
  <c r="Q2929" i="4"/>
  <c r="V2929" i="4" s="1"/>
  <c r="S2929" i="4"/>
  <c r="P2929" i="4"/>
  <c r="T2930" i="4"/>
  <c r="O2930" i="4"/>
  <c r="U2930" i="4" s="1"/>
  <c r="J2931" i="4"/>
  <c r="L2931" i="4"/>
  <c r="M2931" i="4"/>
  <c r="K2931" i="4"/>
  <c r="N2931" i="4" s="1"/>
  <c r="X2929" i="4" l="1"/>
  <c r="Y2929" i="4" s="1"/>
  <c r="R2930" i="4"/>
  <c r="W2930" i="4" s="1"/>
  <c r="Q2930" i="4"/>
  <c r="V2930" i="4" s="1"/>
  <c r="S2930" i="4"/>
  <c r="P2930" i="4"/>
  <c r="T2931" i="4"/>
  <c r="O2931" i="4"/>
  <c r="U2931" i="4" s="1"/>
  <c r="J2932" i="4"/>
  <c r="K2932" i="4"/>
  <c r="N2932" i="4" s="1"/>
  <c r="L2932" i="4"/>
  <c r="M2932" i="4"/>
  <c r="X2930" i="4" l="1"/>
  <c r="Y2930" i="4" s="1"/>
  <c r="R2931" i="4"/>
  <c r="W2931" i="4" s="1"/>
  <c r="Q2931" i="4"/>
  <c r="V2931" i="4" s="1"/>
  <c r="S2931" i="4"/>
  <c r="P2931" i="4"/>
  <c r="T2932" i="4"/>
  <c r="J2933" i="4"/>
  <c r="L2933" i="4"/>
  <c r="M2933" i="4"/>
  <c r="K2933" i="4"/>
  <c r="N2933" i="4" s="1"/>
  <c r="O2932" i="4"/>
  <c r="U2932" i="4" s="1"/>
  <c r="X2931" i="4" l="1"/>
  <c r="Y2931" i="4" s="1"/>
  <c r="R2932" i="4"/>
  <c r="W2932" i="4" s="1"/>
  <c r="Q2932" i="4"/>
  <c r="V2932" i="4" s="1"/>
  <c r="S2932" i="4"/>
  <c r="P2932" i="4"/>
  <c r="T2933" i="4"/>
  <c r="O2933" i="4"/>
  <c r="U2933" i="4" s="1"/>
  <c r="J2934" i="4"/>
  <c r="K2934" i="4"/>
  <c r="N2934" i="4" s="1"/>
  <c r="L2934" i="4"/>
  <c r="M2934" i="4"/>
  <c r="X2932" i="4" l="1"/>
  <c r="Y2932" i="4" s="1"/>
  <c r="R2933" i="4"/>
  <c r="W2933" i="4" s="1"/>
  <c r="Q2933" i="4"/>
  <c r="V2933" i="4" s="1"/>
  <c r="S2933" i="4"/>
  <c r="P2933" i="4"/>
  <c r="T2934" i="4"/>
  <c r="O2934" i="4"/>
  <c r="U2934" i="4" s="1"/>
  <c r="J2935" i="4"/>
  <c r="L2935" i="4"/>
  <c r="M2935" i="4"/>
  <c r="K2935" i="4"/>
  <c r="N2935" i="4" s="1"/>
  <c r="X2933" i="4" l="1"/>
  <c r="Y2933" i="4" s="1"/>
  <c r="R2934" i="4"/>
  <c r="W2934" i="4" s="1"/>
  <c r="Q2934" i="4"/>
  <c r="V2934" i="4" s="1"/>
  <c r="S2934" i="4"/>
  <c r="P2934" i="4"/>
  <c r="T2935" i="4"/>
  <c r="J2936" i="4"/>
  <c r="K2936" i="4"/>
  <c r="N2936" i="4" s="1"/>
  <c r="L2936" i="4"/>
  <c r="M2936" i="4"/>
  <c r="O2935" i="4"/>
  <c r="U2935" i="4" s="1"/>
  <c r="X2934" i="4" l="1"/>
  <c r="Y2934" i="4" s="1"/>
  <c r="R2935" i="4"/>
  <c r="W2935" i="4" s="1"/>
  <c r="Q2935" i="4"/>
  <c r="V2935" i="4" s="1"/>
  <c r="S2935" i="4"/>
  <c r="P2935" i="4"/>
  <c r="T2936" i="4"/>
  <c r="O2936" i="4"/>
  <c r="U2936" i="4" s="1"/>
  <c r="J2937" i="4"/>
  <c r="L2937" i="4"/>
  <c r="M2937" i="4"/>
  <c r="K2937" i="4"/>
  <c r="N2937" i="4" s="1"/>
  <c r="X2935" i="4" l="1"/>
  <c r="Y2935" i="4" s="1"/>
  <c r="R2936" i="4"/>
  <c r="W2936" i="4" s="1"/>
  <c r="Q2936" i="4"/>
  <c r="V2936" i="4" s="1"/>
  <c r="S2936" i="4"/>
  <c r="P2936" i="4"/>
  <c r="T2937" i="4"/>
  <c r="J2938" i="4"/>
  <c r="K2938" i="4"/>
  <c r="N2938" i="4" s="1"/>
  <c r="L2938" i="4"/>
  <c r="M2938" i="4"/>
  <c r="O2937" i="4"/>
  <c r="U2937" i="4" s="1"/>
  <c r="X2936" i="4" l="1"/>
  <c r="Y2936" i="4" s="1"/>
  <c r="R2937" i="4"/>
  <c r="W2937" i="4" s="1"/>
  <c r="Q2937" i="4"/>
  <c r="V2937" i="4" s="1"/>
  <c r="S2937" i="4"/>
  <c r="P2937" i="4"/>
  <c r="T2938" i="4"/>
  <c r="O2938" i="4"/>
  <c r="U2938" i="4" s="1"/>
  <c r="J2939" i="4"/>
  <c r="L2939" i="4"/>
  <c r="M2939" i="4"/>
  <c r="K2939" i="4"/>
  <c r="N2939" i="4" s="1"/>
  <c r="X2937" i="4" l="1"/>
  <c r="Y2937" i="4" s="1"/>
  <c r="R2938" i="4"/>
  <c r="W2938" i="4" s="1"/>
  <c r="Q2938" i="4"/>
  <c r="V2938" i="4" s="1"/>
  <c r="S2938" i="4"/>
  <c r="P2938" i="4"/>
  <c r="T2939" i="4"/>
  <c r="J2940" i="4"/>
  <c r="K2940" i="4"/>
  <c r="N2940" i="4" s="1"/>
  <c r="L2940" i="4"/>
  <c r="M2940" i="4"/>
  <c r="O2939" i="4"/>
  <c r="U2939" i="4" s="1"/>
  <c r="X2938" i="4" l="1"/>
  <c r="Y2938" i="4" s="1"/>
  <c r="R2939" i="4"/>
  <c r="W2939" i="4" s="1"/>
  <c r="Q2939" i="4"/>
  <c r="V2939" i="4" s="1"/>
  <c r="S2939" i="4"/>
  <c r="P2939" i="4"/>
  <c r="T2940" i="4"/>
  <c r="O2940" i="4"/>
  <c r="U2940" i="4" s="1"/>
  <c r="J2941" i="4"/>
  <c r="L2941" i="4"/>
  <c r="M2941" i="4"/>
  <c r="K2941" i="4"/>
  <c r="N2941" i="4" s="1"/>
  <c r="X2939" i="4" l="1"/>
  <c r="Y2939" i="4" s="1"/>
  <c r="R2940" i="4"/>
  <c r="W2940" i="4" s="1"/>
  <c r="Q2940" i="4"/>
  <c r="V2940" i="4" s="1"/>
  <c r="S2940" i="4"/>
  <c r="T2941" i="4"/>
  <c r="P2940" i="4"/>
  <c r="J2942" i="4"/>
  <c r="K2942" i="4"/>
  <c r="N2942" i="4" s="1"/>
  <c r="L2942" i="4"/>
  <c r="M2942" i="4"/>
  <c r="O2941" i="4"/>
  <c r="U2941" i="4" s="1"/>
  <c r="X2940" i="4" l="1"/>
  <c r="Y2940" i="4" s="1"/>
  <c r="R2941" i="4"/>
  <c r="W2941" i="4" s="1"/>
  <c r="Q2941" i="4"/>
  <c r="V2941" i="4" s="1"/>
  <c r="S2941" i="4"/>
  <c r="P2941" i="4"/>
  <c r="T2942" i="4"/>
  <c r="O2942" i="4"/>
  <c r="U2942" i="4" s="1"/>
  <c r="J2943" i="4"/>
  <c r="L2943" i="4"/>
  <c r="M2943" i="4"/>
  <c r="K2943" i="4"/>
  <c r="N2943" i="4" s="1"/>
  <c r="X2941" i="4" l="1"/>
  <c r="Y2941" i="4" s="1"/>
  <c r="R2942" i="4"/>
  <c r="W2942" i="4" s="1"/>
  <c r="Q2942" i="4"/>
  <c r="V2942" i="4" s="1"/>
  <c r="S2942" i="4"/>
  <c r="P2942" i="4"/>
  <c r="T2943" i="4"/>
  <c r="J2944" i="4"/>
  <c r="K2944" i="4"/>
  <c r="N2944" i="4" s="1"/>
  <c r="L2944" i="4"/>
  <c r="M2944" i="4"/>
  <c r="O2943" i="4"/>
  <c r="U2943" i="4" s="1"/>
  <c r="X2942" i="4" l="1"/>
  <c r="Y2942" i="4" s="1"/>
  <c r="R2943" i="4"/>
  <c r="W2943" i="4" s="1"/>
  <c r="Q2943" i="4"/>
  <c r="V2943" i="4" s="1"/>
  <c r="S2943" i="4"/>
  <c r="P2943" i="4"/>
  <c r="T2944" i="4"/>
  <c r="O2944" i="4"/>
  <c r="U2944" i="4" s="1"/>
  <c r="J2945" i="4"/>
  <c r="L2945" i="4"/>
  <c r="M2945" i="4"/>
  <c r="K2945" i="4"/>
  <c r="N2945" i="4" s="1"/>
  <c r="X2943" i="4" l="1"/>
  <c r="Y2943" i="4" s="1"/>
  <c r="R2944" i="4"/>
  <c r="W2944" i="4" s="1"/>
  <c r="Q2944" i="4"/>
  <c r="V2944" i="4" s="1"/>
  <c r="S2944" i="4"/>
  <c r="P2944" i="4"/>
  <c r="T2945" i="4"/>
  <c r="J2946" i="4"/>
  <c r="K2946" i="4"/>
  <c r="N2946" i="4" s="1"/>
  <c r="L2946" i="4"/>
  <c r="M2946" i="4"/>
  <c r="O2945" i="4"/>
  <c r="U2945" i="4" s="1"/>
  <c r="X2944" i="4" l="1"/>
  <c r="Y2944" i="4" s="1"/>
  <c r="R2945" i="4"/>
  <c r="W2945" i="4" s="1"/>
  <c r="Q2945" i="4"/>
  <c r="V2945" i="4" s="1"/>
  <c r="S2945" i="4"/>
  <c r="P2945" i="4"/>
  <c r="T2946" i="4"/>
  <c r="O2946" i="4"/>
  <c r="U2946" i="4" s="1"/>
  <c r="J2947" i="4"/>
  <c r="L2947" i="4"/>
  <c r="M2947" i="4"/>
  <c r="K2947" i="4"/>
  <c r="N2947" i="4" s="1"/>
  <c r="X2945" i="4" l="1"/>
  <c r="Y2945" i="4" s="1"/>
  <c r="R2946" i="4"/>
  <c r="W2946" i="4" s="1"/>
  <c r="Q2946" i="4"/>
  <c r="V2946" i="4" s="1"/>
  <c r="S2946" i="4"/>
  <c r="P2946" i="4"/>
  <c r="T2947" i="4"/>
  <c r="J2948" i="4"/>
  <c r="K2948" i="4"/>
  <c r="N2948" i="4" s="1"/>
  <c r="L2948" i="4"/>
  <c r="M2948" i="4"/>
  <c r="O2947" i="4"/>
  <c r="U2947" i="4" s="1"/>
  <c r="X2946" i="4" l="1"/>
  <c r="Y2946" i="4" s="1"/>
  <c r="R2947" i="4"/>
  <c r="W2947" i="4" s="1"/>
  <c r="Q2947" i="4"/>
  <c r="V2947" i="4" s="1"/>
  <c r="X2947" i="4" s="1"/>
  <c r="Y2947" i="4" s="1"/>
  <c r="S2947" i="4"/>
  <c r="P2947" i="4"/>
  <c r="T2948" i="4"/>
  <c r="O2948" i="4"/>
  <c r="J2949" i="4"/>
  <c r="L2949" i="4"/>
  <c r="M2949" i="4"/>
  <c r="K2949" i="4"/>
  <c r="N2949" i="4" s="1"/>
  <c r="Q2948" i="4" l="1"/>
  <c r="V2948" i="4" s="1"/>
  <c r="S2948" i="4"/>
  <c r="P2948" i="4"/>
  <c r="U2948" i="4"/>
  <c r="T2949" i="4"/>
  <c r="J2950" i="4"/>
  <c r="K2950" i="4"/>
  <c r="N2950" i="4" s="1"/>
  <c r="T2950" i="4" s="1"/>
  <c r="L2950" i="4"/>
  <c r="M2950" i="4"/>
  <c r="O2949" i="4"/>
  <c r="R2948" i="4" l="1"/>
  <c r="W2948" i="4" s="1"/>
  <c r="X2948" i="4" s="1"/>
  <c r="Y2948" i="4" s="1"/>
  <c r="Q2950" i="4"/>
  <c r="V2950" i="4" s="1"/>
  <c r="S2950" i="4"/>
  <c r="Q2949" i="4"/>
  <c r="V2949" i="4" s="1"/>
  <c r="S2949" i="4"/>
  <c r="P2949" i="4"/>
  <c r="U2949" i="4"/>
  <c r="O2950" i="4"/>
  <c r="U2950" i="4" s="1"/>
  <c r="J2951" i="4"/>
  <c r="L2951" i="4"/>
  <c r="M2951" i="4"/>
  <c r="K2951" i="4"/>
  <c r="N2951" i="4" s="1"/>
  <c r="R2950" i="4" l="1"/>
  <c r="W2950" i="4" s="1"/>
  <c r="X2950" i="4" s="1"/>
  <c r="Y2950" i="4" s="1"/>
  <c r="R2949" i="4"/>
  <c r="W2949" i="4" s="1"/>
  <c r="X2949" i="4" s="1"/>
  <c r="Y2949" i="4" s="1"/>
  <c r="P2950" i="4"/>
  <c r="T2951" i="4"/>
  <c r="J2952" i="4"/>
  <c r="K2952" i="4"/>
  <c r="N2952" i="4" s="1"/>
  <c r="L2952" i="4"/>
  <c r="M2952" i="4"/>
  <c r="O2951" i="4"/>
  <c r="Q2951" i="4" l="1"/>
  <c r="V2951" i="4" s="1"/>
  <c r="S2951" i="4"/>
  <c r="P2951" i="4"/>
  <c r="U2951" i="4"/>
  <c r="T2952" i="4"/>
  <c r="O2952" i="4"/>
  <c r="J2953" i="4"/>
  <c r="L2953" i="4"/>
  <c r="M2953" i="4"/>
  <c r="K2953" i="4"/>
  <c r="N2953" i="4" s="1"/>
  <c r="T2953" i="4" s="1"/>
  <c r="R2951" i="4" l="1"/>
  <c r="W2951" i="4" s="1"/>
  <c r="X2951" i="4" s="1"/>
  <c r="Y2951" i="4" s="1"/>
  <c r="Q2953" i="4"/>
  <c r="V2953" i="4" s="1"/>
  <c r="S2953" i="4"/>
  <c r="Q2952" i="4"/>
  <c r="V2952" i="4" s="1"/>
  <c r="S2952" i="4"/>
  <c r="P2952" i="4"/>
  <c r="U2952" i="4"/>
  <c r="J2954" i="4"/>
  <c r="K2954" i="4"/>
  <c r="N2954" i="4" s="1"/>
  <c r="L2954" i="4"/>
  <c r="M2954" i="4"/>
  <c r="O2953" i="4"/>
  <c r="U2953" i="4" s="1"/>
  <c r="R2953" i="4" l="1"/>
  <c r="W2953" i="4" s="1"/>
  <c r="X2953" i="4" s="1"/>
  <c r="Y2953" i="4" s="1"/>
  <c r="R2952" i="4"/>
  <c r="W2952" i="4" s="1"/>
  <c r="X2952" i="4" s="1"/>
  <c r="Y2952" i="4" s="1"/>
  <c r="P2953" i="4"/>
  <c r="T2954" i="4"/>
  <c r="O2954" i="4"/>
  <c r="U2954" i="4" s="1"/>
  <c r="J2955" i="4"/>
  <c r="L2955" i="4"/>
  <c r="M2955" i="4"/>
  <c r="K2955" i="4"/>
  <c r="N2955" i="4" s="1"/>
  <c r="R2954" i="4" l="1"/>
  <c r="W2954" i="4" s="1"/>
  <c r="Q2954" i="4"/>
  <c r="V2954" i="4" s="1"/>
  <c r="S2954" i="4"/>
  <c r="P2954" i="4"/>
  <c r="T2955" i="4"/>
  <c r="J2956" i="4"/>
  <c r="K2956" i="4"/>
  <c r="N2956" i="4" s="1"/>
  <c r="L2956" i="4"/>
  <c r="M2956" i="4"/>
  <c r="O2955" i="4"/>
  <c r="U2955" i="4" s="1"/>
  <c r="X2954" i="4" l="1"/>
  <c r="Y2954" i="4" s="1"/>
  <c r="R2955" i="4"/>
  <c r="W2955" i="4" s="1"/>
  <c r="Q2955" i="4"/>
  <c r="V2955" i="4" s="1"/>
  <c r="S2955" i="4"/>
  <c r="P2955" i="4"/>
  <c r="T2956" i="4"/>
  <c r="O2956" i="4"/>
  <c r="U2956" i="4" s="1"/>
  <c r="J2957" i="4"/>
  <c r="L2957" i="4"/>
  <c r="M2957" i="4"/>
  <c r="K2957" i="4"/>
  <c r="N2957" i="4" s="1"/>
  <c r="X2955" i="4" l="1"/>
  <c r="Y2955" i="4" s="1"/>
  <c r="R2956" i="4"/>
  <c r="W2956" i="4" s="1"/>
  <c r="Q2956" i="4"/>
  <c r="V2956" i="4" s="1"/>
  <c r="S2956" i="4"/>
  <c r="P2956" i="4"/>
  <c r="T2957" i="4"/>
  <c r="O2957" i="4"/>
  <c r="U2957" i="4" s="1"/>
  <c r="J2958" i="4"/>
  <c r="K2958" i="4"/>
  <c r="N2958" i="4" s="1"/>
  <c r="L2958" i="4"/>
  <c r="M2958" i="4"/>
  <c r="X2956" i="4" l="1"/>
  <c r="Y2956" i="4" s="1"/>
  <c r="R2957" i="4"/>
  <c r="W2957" i="4" s="1"/>
  <c r="Q2957" i="4"/>
  <c r="V2957" i="4" s="1"/>
  <c r="S2957" i="4"/>
  <c r="P2957" i="4"/>
  <c r="T2958" i="4"/>
  <c r="J2959" i="4"/>
  <c r="L2959" i="4"/>
  <c r="M2959" i="4"/>
  <c r="K2959" i="4"/>
  <c r="N2959" i="4" s="1"/>
  <c r="O2958" i="4"/>
  <c r="X2957" i="4" l="1"/>
  <c r="Y2957" i="4" s="1"/>
  <c r="Q2958" i="4"/>
  <c r="V2958" i="4" s="1"/>
  <c r="S2958" i="4"/>
  <c r="P2958" i="4"/>
  <c r="U2958" i="4"/>
  <c r="T2959" i="4"/>
  <c r="O2959" i="4"/>
  <c r="J2960" i="4"/>
  <c r="K2960" i="4"/>
  <c r="N2960" i="4" s="1"/>
  <c r="L2960" i="4"/>
  <c r="M2960" i="4"/>
  <c r="R2958" i="4" l="1"/>
  <c r="W2958" i="4" s="1"/>
  <c r="X2958" i="4" s="1"/>
  <c r="Y2958" i="4" s="1"/>
  <c r="Q2959" i="4"/>
  <c r="V2959" i="4" s="1"/>
  <c r="S2959" i="4"/>
  <c r="T2960" i="4"/>
  <c r="P2959" i="4"/>
  <c r="U2959" i="4"/>
  <c r="J2961" i="4"/>
  <c r="L2961" i="4"/>
  <c r="M2961" i="4"/>
  <c r="K2961" i="4"/>
  <c r="N2961" i="4" s="1"/>
  <c r="O2960" i="4"/>
  <c r="U2960" i="4" s="1"/>
  <c r="R2959" i="4" l="1"/>
  <c r="W2959" i="4" s="1"/>
  <c r="X2959" i="4" s="1"/>
  <c r="Y2959" i="4" s="1"/>
  <c r="R2960" i="4"/>
  <c r="W2960" i="4" s="1"/>
  <c r="Q2960" i="4"/>
  <c r="V2960" i="4" s="1"/>
  <c r="S2960" i="4"/>
  <c r="P2960" i="4"/>
  <c r="T2961" i="4"/>
  <c r="O2961" i="4"/>
  <c r="U2961" i="4" s="1"/>
  <c r="J2962" i="4"/>
  <c r="K2962" i="4"/>
  <c r="N2962" i="4" s="1"/>
  <c r="L2962" i="4"/>
  <c r="M2962" i="4"/>
  <c r="X2960" i="4" l="1"/>
  <c r="Y2960" i="4" s="1"/>
  <c r="R2961" i="4"/>
  <c r="W2961" i="4" s="1"/>
  <c r="Q2961" i="4"/>
  <c r="V2961" i="4" s="1"/>
  <c r="S2961" i="4"/>
  <c r="T2962" i="4"/>
  <c r="P2961" i="4"/>
  <c r="J2963" i="4"/>
  <c r="L2963" i="4"/>
  <c r="M2963" i="4"/>
  <c r="K2963" i="4"/>
  <c r="N2963" i="4" s="1"/>
  <c r="O2962" i="4"/>
  <c r="U2962" i="4" s="1"/>
  <c r="X2961" i="4" l="1"/>
  <c r="Y2961" i="4" s="1"/>
  <c r="R2962" i="4"/>
  <c r="W2962" i="4" s="1"/>
  <c r="Q2962" i="4"/>
  <c r="V2962" i="4" s="1"/>
  <c r="S2962" i="4"/>
  <c r="P2962" i="4"/>
  <c r="T2963" i="4"/>
  <c r="O2963" i="4"/>
  <c r="U2963" i="4" s="1"/>
  <c r="J2964" i="4"/>
  <c r="K2964" i="4"/>
  <c r="N2964" i="4" s="1"/>
  <c r="L2964" i="4"/>
  <c r="M2964" i="4"/>
  <c r="X2962" i="4" l="1"/>
  <c r="Y2962" i="4" s="1"/>
  <c r="R2963" i="4"/>
  <c r="W2963" i="4" s="1"/>
  <c r="Q2963" i="4"/>
  <c r="V2963" i="4" s="1"/>
  <c r="S2963" i="4"/>
  <c r="P2963" i="4"/>
  <c r="T2964" i="4"/>
  <c r="O2964" i="4"/>
  <c r="U2964" i="4" s="1"/>
  <c r="J2965" i="4"/>
  <c r="L2965" i="4"/>
  <c r="M2965" i="4"/>
  <c r="K2965" i="4"/>
  <c r="N2965" i="4" s="1"/>
  <c r="X2963" i="4" l="1"/>
  <c r="Y2963" i="4" s="1"/>
  <c r="R2964" i="4"/>
  <c r="W2964" i="4" s="1"/>
  <c r="Q2964" i="4"/>
  <c r="V2964" i="4" s="1"/>
  <c r="S2964" i="4"/>
  <c r="P2964" i="4"/>
  <c r="T2965" i="4"/>
  <c r="J2966" i="4"/>
  <c r="K2966" i="4"/>
  <c r="N2966" i="4" s="1"/>
  <c r="L2966" i="4"/>
  <c r="M2966" i="4"/>
  <c r="O2965" i="4"/>
  <c r="U2965" i="4" s="1"/>
  <c r="X2964" i="4" l="1"/>
  <c r="Y2964" i="4" s="1"/>
  <c r="R2965" i="4"/>
  <c r="W2965" i="4" s="1"/>
  <c r="Q2965" i="4"/>
  <c r="V2965" i="4" s="1"/>
  <c r="S2965" i="4"/>
  <c r="P2965" i="4"/>
  <c r="T2966" i="4"/>
  <c r="O2966" i="4"/>
  <c r="U2966" i="4" s="1"/>
  <c r="J2967" i="4"/>
  <c r="L2967" i="4"/>
  <c r="M2967" i="4"/>
  <c r="K2967" i="4"/>
  <c r="N2967" i="4" s="1"/>
  <c r="X2965" i="4" l="1"/>
  <c r="Y2965" i="4" s="1"/>
  <c r="R2966" i="4"/>
  <c r="W2966" i="4" s="1"/>
  <c r="Q2966" i="4"/>
  <c r="V2966" i="4" s="1"/>
  <c r="S2966" i="4"/>
  <c r="P2966" i="4"/>
  <c r="T2967" i="4"/>
  <c r="J2968" i="4"/>
  <c r="K2968" i="4"/>
  <c r="N2968" i="4" s="1"/>
  <c r="L2968" i="4"/>
  <c r="M2968" i="4"/>
  <c r="O2967" i="4"/>
  <c r="U2967" i="4" s="1"/>
  <c r="X2966" i="4" l="1"/>
  <c r="Y2966" i="4" s="1"/>
  <c r="R2967" i="4"/>
  <c r="W2967" i="4" s="1"/>
  <c r="Q2967" i="4"/>
  <c r="V2967" i="4" s="1"/>
  <c r="S2967" i="4"/>
  <c r="P2967" i="4"/>
  <c r="T2968" i="4"/>
  <c r="O2968" i="4"/>
  <c r="U2968" i="4" s="1"/>
  <c r="J2969" i="4"/>
  <c r="L2969" i="4"/>
  <c r="M2969" i="4"/>
  <c r="K2969" i="4"/>
  <c r="N2969" i="4" s="1"/>
  <c r="X2967" i="4" l="1"/>
  <c r="Y2967" i="4" s="1"/>
  <c r="R2968" i="4"/>
  <c r="W2968" i="4" s="1"/>
  <c r="Q2968" i="4"/>
  <c r="V2968" i="4" s="1"/>
  <c r="S2968" i="4"/>
  <c r="P2968" i="4"/>
  <c r="T2969" i="4"/>
  <c r="J2970" i="4"/>
  <c r="K2970" i="4"/>
  <c r="N2970" i="4" s="1"/>
  <c r="L2970" i="4"/>
  <c r="M2970" i="4"/>
  <c r="O2969" i="4"/>
  <c r="U2969" i="4" s="1"/>
  <c r="X2968" i="4" l="1"/>
  <c r="Y2968" i="4" s="1"/>
  <c r="R2969" i="4"/>
  <c r="W2969" i="4" s="1"/>
  <c r="Q2969" i="4"/>
  <c r="V2969" i="4" s="1"/>
  <c r="S2969" i="4"/>
  <c r="P2969" i="4"/>
  <c r="T2970" i="4"/>
  <c r="O2970" i="4"/>
  <c r="U2970" i="4" s="1"/>
  <c r="J2971" i="4"/>
  <c r="L2971" i="4"/>
  <c r="M2971" i="4"/>
  <c r="K2971" i="4"/>
  <c r="N2971" i="4" s="1"/>
  <c r="X2969" i="4" l="1"/>
  <c r="Y2969" i="4" s="1"/>
  <c r="R2970" i="4"/>
  <c r="W2970" i="4" s="1"/>
  <c r="Q2970" i="4"/>
  <c r="V2970" i="4" s="1"/>
  <c r="S2970" i="4"/>
  <c r="P2970" i="4"/>
  <c r="T2971" i="4"/>
  <c r="J2972" i="4"/>
  <c r="K2972" i="4"/>
  <c r="N2972" i="4" s="1"/>
  <c r="L2972" i="4"/>
  <c r="M2972" i="4"/>
  <c r="O2971" i="4"/>
  <c r="U2971" i="4" s="1"/>
  <c r="X2970" i="4" l="1"/>
  <c r="Y2970" i="4" s="1"/>
  <c r="R2971" i="4"/>
  <c r="W2971" i="4" s="1"/>
  <c r="Q2971" i="4"/>
  <c r="V2971" i="4" s="1"/>
  <c r="S2971" i="4"/>
  <c r="P2971" i="4"/>
  <c r="T2972" i="4"/>
  <c r="O2972" i="4"/>
  <c r="U2972" i="4" s="1"/>
  <c r="J2973" i="4"/>
  <c r="L2973" i="4"/>
  <c r="M2973" i="4"/>
  <c r="K2973" i="4"/>
  <c r="N2973" i="4" s="1"/>
  <c r="X2971" i="4" l="1"/>
  <c r="Y2971" i="4" s="1"/>
  <c r="R2972" i="4"/>
  <c r="W2972" i="4" s="1"/>
  <c r="Q2972" i="4"/>
  <c r="V2972" i="4" s="1"/>
  <c r="S2972" i="4"/>
  <c r="P2972" i="4"/>
  <c r="T2973" i="4"/>
  <c r="J2974" i="4"/>
  <c r="K2974" i="4"/>
  <c r="N2974" i="4" s="1"/>
  <c r="L2974" i="4"/>
  <c r="M2974" i="4"/>
  <c r="O2973" i="4"/>
  <c r="U2973" i="4" s="1"/>
  <c r="X2972" i="4" l="1"/>
  <c r="Y2972" i="4" s="1"/>
  <c r="R2973" i="4"/>
  <c r="W2973" i="4" s="1"/>
  <c r="Q2973" i="4"/>
  <c r="V2973" i="4" s="1"/>
  <c r="S2973" i="4"/>
  <c r="P2973" i="4"/>
  <c r="T2974" i="4"/>
  <c r="O2974" i="4"/>
  <c r="U2974" i="4" s="1"/>
  <c r="J2975" i="4"/>
  <c r="L2975" i="4"/>
  <c r="M2975" i="4"/>
  <c r="K2975" i="4"/>
  <c r="N2975" i="4" s="1"/>
  <c r="X2973" i="4" l="1"/>
  <c r="Y2973" i="4" s="1"/>
  <c r="R2974" i="4"/>
  <c r="W2974" i="4" s="1"/>
  <c r="Q2974" i="4"/>
  <c r="V2974" i="4" s="1"/>
  <c r="S2974" i="4"/>
  <c r="P2974" i="4"/>
  <c r="T2975" i="4"/>
  <c r="J2976" i="4"/>
  <c r="K2976" i="4"/>
  <c r="N2976" i="4" s="1"/>
  <c r="L2976" i="4"/>
  <c r="M2976" i="4"/>
  <c r="O2975" i="4"/>
  <c r="X2974" i="4" l="1"/>
  <c r="Y2974" i="4" s="1"/>
  <c r="Q2975" i="4"/>
  <c r="V2975" i="4" s="1"/>
  <c r="S2975" i="4"/>
  <c r="P2975" i="4"/>
  <c r="U2975" i="4"/>
  <c r="T2976" i="4"/>
  <c r="O2976" i="4"/>
  <c r="J2977" i="4"/>
  <c r="L2977" i="4"/>
  <c r="M2977" i="4"/>
  <c r="K2977" i="4"/>
  <c r="N2977" i="4" s="1"/>
  <c r="T2977" i="4" s="1"/>
  <c r="R2975" i="4" l="1"/>
  <c r="W2975" i="4" s="1"/>
  <c r="X2975" i="4" s="1"/>
  <c r="Y2975" i="4" s="1"/>
  <c r="Q2977" i="4"/>
  <c r="V2977" i="4" s="1"/>
  <c r="S2977" i="4"/>
  <c r="Q2976" i="4"/>
  <c r="V2976" i="4" s="1"/>
  <c r="S2976" i="4"/>
  <c r="P2976" i="4"/>
  <c r="U2976" i="4"/>
  <c r="J2978" i="4"/>
  <c r="K2978" i="4"/>
  <c r="N2978" i="4" s="1"/>
  <c r="T2978" i="4" s="1"/>
  <c r="L2978" i="4"/>
  <c r="M2978" i="4"/>
  <c r="O2977" i="4"/>
  <c r="R2976" i="4" l="1"/>
  <c r="W2976" i="4" s="1"/>
  <c r="X2976" i="4" s="1"/>
  <c r="Y2976" i="4" s="1"/>
  <c r="Q2978" i="4"/>
  <c r="V2978" i="4" s="1"/>
  <c r="S2978" i="4"/>
  <c r="P2977" i="4"/>
  <c r="U2977" i="4"/>
  <c r="O2978" i="4"/>
  <c r="U2978" i="4" s="1"/>
  <c r="J2979" i="4"/>
  <c r="L2979" i="4"/>
  <c r="M2979" i="4"/>
  <c r="K2979" i="4"/>
  <c r="N2979" i="4" s="1"/>
  <c r="T2979" i="4" s="1"/>
  <c r="R2977" i="4" l="1"/>
  <c r="W2977" i="4" s="1"/>
  <c r="X2977" i="4" s="1"/>
  <c r="Y2977" i="4" s="1"/>
  <c r="R2978" i="4"/>
  <c r="W2978" i="4" s="1"/>
  <c r="X2978" i="4" s="1"/>
  <c r="Y2978" i="4" s="1"/>
  <c r="Q2979" i="4"/>
  <c r="V2979" i="4" s="1"/>
  <c r="S2979" i="4"/>
  <c r="P2978" i="4"/>
  <c r="J2980" i="4"/>
  <c r="K2980" i="4"/>
  <c r="N2980" i="4" s="1"/>
  <c r="L2980" i="4"/>
  <c r="M2980" i="4"/>
  <c r="O2979" i="4"/>
  <c r="P2979" i="4" l="1"/>
  <c r="U2979" i="4"/>
  <c r="T2980" i="4"/>
  <c r="O2980" i="4"/>
  <c r="J2981" i="4"/>
  <c r="L2981" i="4"/>
  <c r="M2981" i="4"/>
  <c r="K2981" i="4"/>
  <c r="N2981" i="4" s="1"/>
  <c r="T2981" i="4" s="1"/>
  <c r="R2979" i="4" l="1"/>
  <c r="W2979" i="4" s="1"/>
  <c r="X2979" i="4" s="1"/>
  <c r="Y2979" i="4" s="1"/>
  <c r="Q2980" i="4"/>
  <c r="V2980" i="4" s="1"/>
  <c r="S2980" i="4"/>
  <c r="Q2981" i="4"/>
  <c r="V2981" i="4" s="1"/>
  <c r="S2981" i="4"/>
  <c r="P2980" i="4"/>
  <c r="U2980" i="4"/>
  <c r="J2982" i="4"/>
  <c r="K2982" i="4"/>
  <c r="N2982" i="4" s="1"/>
  <c r="L2982" i="4"/>
  <c r="M2982" i="4"/>
  <c r="O2981" i="4"/>
  <c r="U2981" i="4" s="1"/>
  <c r="R2981" i="4" l="1"/>
  <c r="W2981" i="4" s="1"/>
  <c r="X2981" i="4" s="1"/>
  <c r="Y2981" i="4" s="1"/>
  <c r="R2980" i="4"/>
  <c r="W2980" i="4" s="1"/>
  <c r="X2980" i="4" s="1"/>
  <c r="Y2980" i="4" s="1"/>
  <c r="P2981" i="4"/>
  <c r="T2982" i="4"/>
  <c r="O2982" i="4"/>
  <c r="U2982" i="4" s="1"/>
  <c r="J2983" i="4"/>
  <c r="L2983" i="4"/>
  <c r="M2983" i="4"/>
  <c r="K2983" i="4"/>
  <c r="N2983" i="4" s="1"/>
  <c r="R2982" i="4" l="1"/>
  <c r="W2982" i="4" s="1"/>
  <c r="Q2982" i="4"/>
  <c r="V2982" i="4" s="1"/>
  <c r="S2982" i="4"/>
  <c r="T2983" i="4"/>
  <c r="P2982" i="4"/>
  <c r="J2984" i="4"/>
  <c r="K2984" i="4"/>
  <c r="N2984" i="4" s="1"/>
  <c r="L2984" i="4"/>
  <c r="M2984" i="4"/>
  <c r="O2983" i="4"/>
  <c r="U2983" i="4" s="1"/>
  <c r="X2982" i="4" l="1"/>
  <c r="Y2982" i="4" s="1"/>
  <c r="R2983" i="4"/>
  <c r="W2983" i="4" s="1"/>
  <c r="Q2983" i="4"/>
  <c r="V2983" i="4" s="1"/>
  <c r="S2983" i="4"/>
  <c r="P2983" i="4"/>
  <c r="T2984" i="4"/>
  <c r="O2984" i="4"/>
  <c r="J2985" i="4"/>
  <c r="L2985" i="4"/>
  <c r="M2985" i="4"/>
  <c r="K2985" i="4"/>
  <c r="N2985" i="4" s="1"/>
  <c r="X2983" i="4" l="1"/>
  <c r="Y2983" i="4" s="1"/>
  <c r="Q2984" i="4"/>
  <c r="V2984" i="4" s="1"/>
  <c r="S2984" i="4"/>
  <c r="P2984" i="4"/>
  <c r="T2985" i="4"/>
  <c r="U2984" i="4"/>
  <c r="J2986" i="4"/>
  <c r="K2986" i="4"/>
  <c r="N2986" i="4" s="1"/>
  <c r="L2986" i="4"/>
  <c r="M2986" i="4"/>
  <c r="O2985" i="4"/>
  <c r="U2985" i="4" s="1"/>
  <c r="R2985" i="4" l="1"/>
  <c r="W2985" i="4" s="1"/>
  <c r="R2984" i="4"/>
  <c r="W2984" i="4" s="1"/>
  <c r="X2984" i="4" s="1"/>
  <c r="Y2984" i="4" s="1"/>
  <c r="Q2985" i="4"/>
  <c r="V2985" i="4" s="1"/>
  <c r="S2985" i="4"/>
  <c r="P2985" i="4"/>
  <c r="T2986" i="4"/>
  <c r="O2986" i="4"/>
  <c r="U2986" i="4" s="1"/>
  <c r="J2987" i="4"/>
  <c r="L2987" i="4"/>
  <c r="M2987" i="4"/>
  <c r="K2987" i="4"/>
  <c r="N2987" i="4" s="1"/>
  <c r="X2985" i="4" l="1"/>
  <c r="Y2985" i="4" s="1"/>
  <c r="R2986" i="4"/>
  <c r="W2986" i="4" s="1"/>
  <c r="Q2986" i="4"/>
  <c r="V2986" i="4" s="1"/>
  <c r="S2986" i="4"/>
  <c r="P2986" i="4"/>
  <c r="T2987" i="4"/>
  <c r="O2987" i="4"/>
  <c r="U2987" i="4" s="1"/>
  <c r="J2988" i="4"/>
  <c r="K2988" i="4"/>
  <c r="N2988" i="4" s="1"/>
  <c r="L2988" i="4"/>
  <c r="M2988" i="4"/>
  <c r="X2986" i="4" l="1"/>
  <c r="Y2986" i="4" s="1"/>
  <c r="R2987" i="4"/>
  <c r="W2987" i="4" s="1"/>
  <c r="Q2987" i="4"/>
  <c r="V2987" i="4" s="1"/>
  <c r="S2987" i="4"/>
  <c r="P2987" i="4"/>
  <c r="T2988" i="4"/>
  <c r="O2988" i="4"/>
  <c r="J2989" i="4"/>
  <c r="L2989" i="4"/>
  <c r="M2989" i="4"/>
  <c r="K2989" i="4"/>
  <c r="N2989" i="4" s="1"/>
  <c r="T2989" i="4" s="1"/>
  <c r="X2987" i="4" l="1"/>
  <c r="Y2987" i="4" s="1"/>
  <c r="Q2989" i="4"/>
  <c r="V2989" i="4" s="1"/>
  <c r="S2989" i="4"/>
  <c r="Q2988" i="4"/>
  <c r="V2988" i="4" s="1"/>
  <c r="S2988" i="4"/>
  <c r="P2988" i="4"/>
  <c r="U2988" i="4"/>
  <c r="J2990" i="4"/>
  <c r="K2990" i="4"/>
  <c r="N2990" i="4" s="1"/>
  <c r="T2990" i="4" s="1"/>
  <c r="L2990" i="4"/>
  <c r="M2990" i="4"/>
  <c r="O2989" i="4"/>
  <c r="U2989" i="4" s="1"/>
  <c r="R2988" i="4" l="1"/>
  <c r="W2988" i="4" s="1"/>
  <c r="X2988" i="4" s="1"/>
  <c r="Y2988" i="4" s="1"/>
  <c r="R2989" i="4"/>
  <c r="W2989" i="4" s="1"/>
  <c r="X2989" i="4" s="1"/>
  <c r="Y2989" i="4" s="1"/>
  <c r="Q2990" i="4"/>
  <c r="V2990" i="4" s="1"/>
  <c r="S2990" i="4"/>
  <c r="P2989" i="4"/>
  <c r="O2990" i="4"/>
  <c r="J2991" i="4"/>
  <c r="L2991" i="4"/>
  <c r="M2991" i="4"/>
  <c r="K2991" i="4"/>
  <c r="N2991" i="4" s="1"/>
  <c r="P2990" i="4" l="1"/>
  <c r="U2990" i="4"/>
  <c r="T2991" i="4"/>
  <c r="J2992" i="4"/>
  <c r="K2992" i="4"/>
  <c r="N2992" i="4" s="1"/>
  <c r="L2992" i="4"/>
  <c r="M2992" i="4"/>
  <c r="O2991" i="4"/>
  <c r="U2991" i="4" s="1"/>
  <c r="R2991" i="4" l="1"/>
  <c r="W2991" i="4" s="1"/>
  <c r="R2990" i="4"/>
  <c r="W2990" i="4" s="1"/>
  <c r="X2990" i="4" s="1"/>
  <c r="Y2990" i="4" s="1"/>
  <c r="Q2991" i="4"/>
  <c r="V2991" i="4" s="1"/>
  <c r="S2991" i="4"/>
  <c r="P2991" i="4"/>
  <c r="T2992" i="4"/>
  <c r="O2992" i="4"/>
  <c r="U2992" i="4" s="1"/>
  <c r="J2993" i="4"/>
  <c r="L2993" i="4"/>
  <c r="M2993" i="4"/>
  <c r="K2993" i="4"/>
  <c r="N2993" i="4" s="1"/>
  <c r="X2991" i="4" l="1"/>
  <c r="Y2991" i="4" s="1"/>
  <c r="R2992" i="4"/>
  <c r="W2992" i="4" s="1"/>
  <c r="Q2992" i="4"/>
  <c r="V2992" i="4" s="1"/>
  <c r="S2992" i="4"/>
  <c r="P2992" i="4"/>
  <c r="T2993" i="4"/>
  <c r="O2993" i="4"/>
  <c r="U2993" i="4" s="1"/>
  <c r="J2994" i="4"/>
  <c r="K2994" i="4"/>
  <c r="N2994" i="4" s="1"/>
  <c r="L2994" i="4"/>
  <c r="M2994" i="4"/>
  <c r="X2992" i="4" l="1"/>
  <c r="Y2992" i="4" s="1"/>
  <c r="R2993" i="4"/>
  <c r="W2993" i="4" s="1"/>
  <c r="Q2993" i="4"/>
  <c r="V2993" i="4" s="1"/>
  <c r="S2993" i="4"/>
  <c r="P2993" i="4"/>
  <c r="T2994" i="4"/>
  <c r="O2994" i="4"/>
  <c r="U2994" i="4" s="1"/>
  <c r="J2995" i="4"/>
  <c r="L2995" i="4"/>
  <c r="M2995" i="4"/>
  <c r="K2995" i="4"/>
  <c r="N2995" i="4" s="1"/>
  <c r="X2993" i="4" l="1"/>
  <c r="Y2993" i="4" s="1"/>
  <c r="R2994" i="4"/>
  <c r="W2994" i="4" s="1"/>
  <c r="Q2994" i="4"/>
  <c r="V2994" i="4" s="1"/>
  <c r="S2994" i="4"/>
  <c r="P2994" i="4"/>
  <c r="T2995" i="4"/>
  <c r="J2996" i="4"/>
  <c r="K2996" i="4"/>
  <c r="N2996" i="4" s="1"/>
  <c r="L2996" i="4"/>
  <c r="M2996" i="4"/>
  <c r="O2995" i="4"/>
  <c r="U2995" i="4" s="1"/>
  <c r="X2994" i="4" l="1"/>
  <c r="Y2994" i="4" s="1"/>
  <c r="R2995" i="4"/>
  <c r="W2995" i="4" s="1"/>
  <c r="Q2995" i="4"/>
  <c r="V2995" i="4" s="1"/>
  <c r="S2995" i="4"/>
  <c r="P2995" i="4"/>
  <c r="T2996" i="4"/>
  <c r="O2996" i="4"/>
  <c r="U2996" i="4" s="1"/>
  <c r="J2997" i="4"/>
  <c r="L2997" i="4"/>
  <c r="M2997" i="4"/>
  <c r="K2997" i="4"/>
  <c r="N2997" i="4" s="1"/>
  <c r="X2995" i="4" l="1"/>
  <c r="Y2995" i="4" s="1"/>
  <c r="R2996" i="4"/>
  <c r="W2996" i="4" s="1"/>
  <c r="Q2996" i="4"/>
  <c r="V2996" i="4" s="1"/>
  <c r="S2996" i="4"/>
  <c r="P2996" i="4"/>
  <c r="T2997" i="4"/>
  <c r="J2998" i="4"/>
  <c r="K2998" i="4"/>
  <c r="N2998" i="4" s="1"/>
  <c r="L2998" i="4"/>
  <c r="M2998" i="4"/>
  <c r="O2997" i="4"/>
  <c r="U2997" i="4" s="1"/>
  <c r="X2996" i="4" l="1"/>
  <c r="Y2996" i="4" s="1"/>
  <c r="R2997" i="4"/>
  <c r="W2997" i="4" s="1"/>
  <c r="Q2997" i="4"/>
  <c r="V2997" i="4" s="1"/>
  <c r="S2997" i="4"/>
  <c r="P2997" i="4"/>
  <c r="T2998" i="4"/>
  <c r="O2998" i="4"/>
  <c r="U2998" i="4" s="1"/>
  <c r="J2999" i="4"/>
  <c r="L2999" i="4"/>
  <c r="M2999" i="4"/>
  <c r="K2999" i="4"/>
  <c r="N2999" i="4" s="1"/>
  <c r="X2997" i="4" l="1"/>
  <c r="Y2997" i="4" s="1"/>
  <c r="R2998" i="4"/>
  <c r="W2998" i="4" s="1"/>
  <c r="Q2998" i="4"/>
  <c r="V2998" i="4" s="1"/>
  <c r="S2998" i="4"/>
  <c r="P2998" i="4"/>
  <c r="T2999" i="4"/>
  <c r="J3000" i="4"/>
  <c r="K3000" i="4"/>
  <c r="N3000" i="4" s="1"/>
  <c r="L3000" i="4"/>
  <c r="M3000" i="4"/>
  <c r="O2999" i="4"/>
  <c r="U2999" i="4" s="1"/>
  <c r="X2998" i="4" l="1"/>
  <c r="Y2998" i="4" s="1"/>
  <c r="R2999" i="4"/>
  <c r="W2999" i="4" s="1"/>
  <c r="Q2999" i="4"/>
  <c r="V2999" i="4" s="1"/>
  <c r="S2999" i="4"/>
  <c r="P2999" i="4"/>
  <c r="T3000" i="4"/>
  <c r="O3000" i="4"/>
  <c r="U3000" i="4" s="1"/>
  <c r="J3001" i="4"/>
  <c r="L3001" i="4"/>
  <c r="M3001" i="4"/>
  <c r="K3001" i="4"/>
  <c r="N3001" i="4" s="1"/>
  <c r="X2999" i="4" l="1"/>
  <c r="Y2999" i="4" s="1"/>
  <c r="R3000" i="4"/>
  <c r="W3000" i="4" s="1"/>
  <c r="Q3000" i="4"/>
  <c r="V3000" i="4" s="1"/>
  <c r="S3000" i="4"/>
  <c r="P3000" i="4"/>
  <c r="T3001" i="4"/>
  <c r="J3002" i="4"/>
  <c r="K3002" i="4"/>
  <c r="N3002" i="4" s="1"/>
  <c r="T3002" i="4" s="1"/>
  <c r="L3002" i="4"/>
  <c r="M3002" i="4"/>
  <c r="O3001" i="4"/>
  <c r="X3000" i="4" l="1"/>
  <c r="Y3000" i="4" s="1"/>
  <c r="Q3001" i="4"/>
  <c r="V3001" i="4" s="1"/>
  <c r="S3001" i="4"/>
  <c r="Q3002" i="4"/>
  <c r="V3002" i="4" s="1"/>
  <c r="S3002" i="4"/>
  <c r="P3001" i="4"/>
  <c r="U3001" i="4"/>
  <c r="O3002" i="4"/>
  <c r="U3002" i="4" s="1"/>
  <c r="J3003" i="4"/>
  <c r="L3003" i="4"/>
  <c r="M3003" i="4"/>
  <c r="K3003" i="4"/>
  <c r="N3003" i="4" s="1"/>
  <c r="T3003" i="4" s="1"/>
  <c r="R3001" i="4" l="1"/>
  <c r="W3001" i="4" s="1"/>
  <c r="X3001" i="4" s="1"/>
  <c r="Y3001" i="4" s="1"/>
  <c r="R3002" i="4"/>
  <c r="W3002" i="4" s="1"/>
  <c r="X3002" i="4" s="1"/>
  <c r="Y3002" i="4" s="1"/>
  <c r="Q3003" i="4"/>
  <c r="V3003" i="4" s="1"/>
  <c r="S3003" i="4"/>
  <c r="P3002" i="4"/>
  <c r="J3004" i="4"/>
  <c r="K3004" i="4"/>
  <c r="N3004" i="4" s="1"/>
  <c r="L3004" i="4"/>
  <c r="M3004" i="4"/>
  <c r="O3003" i="4"/>
  <c r="P3003" i="4" l="1"/>
  <c r="U3003" i="4"/>
  <c r="T3004" i="4"/>
  <c r="O3004" i="4"/>
  <c r="J3005" i="4"/>
  <c r="L3005" i="4"/>
  <c r="M3005" i="4"/>
  <c r="K3005" i="4"/>
  <c r="N3005" i="4" s="1"/>
  <c r="T3005" i="4" s="1"/>
  <c r="R3003" i="4" l="1"/>
  <c r="W3003" i="4" s="1"/>
  <c r="X3003" i="4" s="1"/>
  <c r="Y3003" i="4" s="1"/>
  <c r="Q3005" i="4"/>
  <c r="V3005" i="4" s="1"/>
  <c r="S3005" i="4"/>
  <c r="Q3004" i="4"/>
  <c r="V3004" i="4" s="1"/>
  <c r="S3004" i="4"/>
  <c r="P3004" i="4"/>
  <c r="U3004" i="4"/>
  <c r="O3005" i="4"/>
  <c r="U3005" i="4" s="1"/>
  <c r="J3006" i="4"/>
  <c r="K3006" i="4"/>
  <c r="N3006" i="4" s="1"/>
  <c r="L3006" i="4"/>
  <c r="M3006" i="4"/>
  <c r="R3005" i="4" l="1"/>
  <c r="W3005" i="4" s="1"/>
  <c r="X3005" i="4" s="1"/>
  <c r="Y3005" i="4" s="1"/>
  <c r="R3004" i="4"/>
  <c r="W3004" i="4" s="1"/>
  <c r="X3004" i="4" s="1"/>
  <c r="Y3004" i="4" s="1"/>
  <c r="P3005" i="4"/>
  <c r="T3006" i="4"/>
  <c r="O3006" i="4"/>
  <c r="U3006" i="4" s="1"/>
  <c r="J3007" i="4"/>
  <c r="L3007" i="4"/>
  <c r="M3007" i="4"/>
  <c r="K3007" i="4"/>
  <c r="N3007" i="4" s="1"/>
  <c r="R3006" i="4" l="1"/>
  <c r="W3006" i="4" s="1"/>
  <c r="Q3006" i="4"/>
  <c r="V3006" i="4" s="1"/>
  <c r="S3006" i="4"/>
  <c r="P3006" i="4"/>
  <c r="T3007" i="4"/>
  <c r="O3007" i="4"/>
  <c r="U3007" i="4" s="1"/>
  <c r="J3008" i="4"/>
  <c r="K3008" i="4"/>
  <c r="N3008" i="4" s="1"/>
  <c r="L3008" i="4"/>
  <c r="M3008" i="4"/>
  <c r="X3006" i="4" l="1"/>
  <c r="Y3006" i="4" s="1"/>
  <c r="R3007" i="4"/>
  <c r="W3007" i="4" s="1"/>
  <c r="Q3007" i="4"/>
  <c r="V3007" i="4" s="1"/>
  <c r="S3007" i="4"/>
  <c r="P3007" i="4"/>
  <c r="T3008" i="4"/>
  <c r="O3008" i="4"/>
  <c r="U3008" i="4" s="1"/>
  <c r="J3009" i="4"/>
  <c r="L3009" i="4"/>
  <c r="M3009" i="4"/>
  <c r="K3009" i="4"/>
  <c r="N3009" i="4" s="1"/>
  <c r="X3007" i="4" l="1"/>
  <c r="Y3007" i="4" s="1"/>
  <c r="R3008" i="4"/>
  <c r="W3008" i="4" s="1"/>
  <c r="Q3008" i="4"/>
  <c r="V3008" i="4" s="1"/>
  <c r="S3008" i="4"/>
  <c r="P3008" i="4"/>
  <c r="T3009" i="4"/>
  <c r="J3010" i="4"/>
  <c r="K3010" i="4"/>
  <c r="N3010" i="4" s="1"/>
  <c r="L3010" i="4"/>
  <c r="M3010" i="4"/>
  <c r="O3009" i="4"/>
  <c r="U3009" i="4" s="1"/>
  <c r="X3008" i="4" l="1"/>
  <c r="Y3008" i="4" s="1"/>
  <c r="R3009" i="4"/>
  <c r="W3009" i="4" s="1"/>
  <c r="Q3009" i="4"/>
  <c r="V3009" i="4" s="1"/>
  <c r="S3009" i="4"/>
  <c r="P3009" i="4"/>
  <c r="T3010" i="4"/>
  <c r="O3010" i="4"/>
  <c r="U3010" i="4" s="1"/>
  <c r="J3011" i="4"/>
  <c r="L3011" i="4"/>
  <c r="M3011" i="4"/>
  <c r="K3011" i="4"/>
  <c r="N3011" i="4" s="1"/>
  <c r="X3009" i="4" l="1"/>
  <c r="Y3009" i="4" s="1"/>
  <c r="R3010" i="4"/>
  <c r="W3010" i="4" s="1"/>
  <c r="Q3010" i="4"/>
  <c r="V3010" i="4" s="1"/>
  <c r="S3010" i="4"/>
  <c r="P3010" i="4"/>
  <c r="T3011" i="4"/>
  <c r="J3012" i="4"/>
  <c r="K3012" i="4"/>
  <c r="N3012" i="4" s="1"/>
  <c r="L3012" i="4"/>
  <c r="M3012" i="4"/>
  <c r="O3011" i="4"/>
  <c r="X3010" i="4" l="1"/>
  <c r="Y3010" i="4" s="1"/>
  <c r="Q3011" i="4"/>
  <c r="V3011" i="4" s="1"/>
  <c r="S3011" i="4"/>
  <c r="P3011" i="4"/>
  <c r="U3011" i="4"/>
  <c r="T3012" i="4"/>
  <c r="O3012" i="4"/>
  <c r="J3013" i="4"/>
  <c r="L3013" i="4"/>
  <c r="M3013" i="4"/>
  <c r="K3013" i="4"/>
  <c r="N3013" i="4" s="1"/>
  <c r="T3013" i="4" s="1"/>
  <c r="R3011" i="4" l="1"/>
  <c r="W3011" i="4" s="1"/>
  <c r="X3011" i="4" s="1"/>
  <c r="Y3011" i="4" s="1"/>
  <c r="Q3013" i="4"/>
  <c r="V3013" i="4" s="1"/>
  <c r="S3013" i="4"/>
  <c r="Q3012" i="4"/>
  <c r="V3012" i="4" s="1"/>
  <c r="S3012" i="4"/>
  <c r="P3012" i="4"/>
  <c r="U3012" i="4"/>
  <c r="J3014" i="4"/>
  <c r="K3014" i="4"/>
  <c r="N3014" i="4" s="1"/>
  <c r="L3014" i="4"/>
  <c r="M3014" i="4"/>
  <c r="O3013" i="4"/>
  <c r="R3012" i="4" l="1"/>
  <c r="W3012" i="4" s="1"/>
  <c r="X3012" i="4" s="1"/>
  <c r="Y3012" i="4" s="1"/>
  <c r="P3013" i="4"/>
  <c r="U3013" i="4"/>
  <c r="T3014" i="4"/>
  <c r="O3014" i="4"/>
  <c r="J3015" i="4"/>
  <c r="L3015" i="4"/>
  <c r="M3015" i="4"/>
  <c r="K3015" i="4"/>
  <c r="N3015" i="4" s="1"/>
  <c r="T3015" i="4" s="1"/>
  <c r="R3013" i="4" l="1"/>
  <c r="W3013" i="4" s="1"/>
  <c r="X3013" i="4" s="1"/>
  <c r="Y3013" i="4" s="1"/>
  <c r="Q3015" i="4"/>
  <c r="V3015" i="4" s="1"/>
  <c r="S3015" i="4"/>
  <c r="Q3014" i="4"/>
  <c r="V3014" i="4" s="1"/>
  <c r="S3014" i="4"/>
  <c r="P3014" i="4"/>
  <c r="U3014" i="4"/>
  <c r="J3016" i="4"/>
  <c r="K3016" i="4"/>
  <c r="N3016" i="4" s="1"/>
  <c r="L3016" i="4"/>
  <c r="M3016" i="4"/>
  <c r="O3015" i="4"/>
  <c r="U3015" i="4" s="1"/>
  <c r="R3015" i="4" l="1"/>
  <c r="W3015" i="4" s="1"/>
  <c r="X3015" i="4" s="1"/>
  <c r="Y3015" i="4" s="1"/>
  <c r="R3014" i="4"/>
  <c r="W3014" i="4" s="1"/>
  <c r="X3014" i="4" s="1"/>
  <c r="Y3014" i="4" s="1"/>
  <c r="P3015" i="4"/>
  <c r="T3016" i="4"/>
  <c r="O3016" i="4"/>
  <c r="U3016" i="4" s="1"/>
  <c r="J3017" i="4"/>
  <c r="L3017" i="4"/>
  <c r="M3017" i="4"/>
  <c r="K3017" i="4"/>
  <c r="N3017" i="4" s="1"/>
  <c r="R3016" i="4" l="1"/>
  <c r="W3016" i="4" s="1"/>
  <c r="Q3016" i="4"/>
  <c r="V3016" i="4" s="1"/>
  <c r="S3016" i="4"/>
  <c r="P3016" i="4"/>
  <c r="T3017" i="4"/>
  <c r="J3018" i="4"/>
  <c r="K3018" i="4"/>
  <c r="N3018" i="4" s="1"/>
  <c r="L3018" i="4"/>
  <c r="M3018" i="4"/>
  <c r="O3017" i="4"/>
  <c r="U3017" i="4" s="1"/>
  <c r="X3016" i="4" l="1"/>
  <c r="Y3016" i="4" s="1"/>
  <c r="R3017" i="4"/>
  <c r="W3017" i="4" s="1"/>
  <c r="Q3017" i="4"/>
  <c r="V3017" i="4" s="1"/>
  <c r="S3017" i="4"/>
  <c r="P3017" i="4"/>
  <c r="T3018" i="4"/>
  <c r="O3018" i="4"/>
  <c r="U3018" i="4" s="1"/>
  <c r="J3019" i="4"/>
  <c r="L3019" i="4"/>
  <c r="M3019" i="4"/>
  <c r="K3019" i="4"/>
  <c r="N3019" i="4" s="1"/>
  <c r="X3017" i="4" l="1"/>
  <c r="Y3017" i="4" s="1"/>
  <c r="R3018" i="4"/>
  <c r="W3018" i="4" s="1"/>
  <c r="Q3018" i="4"/>
  <c r="V3018" i="4" s="1"/>
  <c r="S3018" i="4"/>
  <c r="P3018" i="4"/>
  <c r="T3019" i="4"/>
  <c r="J3020" i="4"/>
  <c r="K3020" i="4"/>
  <c r="N3020" i="4" s="1"/>
  <c r="T3020" i="4" s="1"/>
  <c r="L3020" i="4"/>
  <c r="M3020" i="4"/>
  <c r="O3019" i="4"/>
  <c r="X3018" i="4" l="1"/>
  <c r="Y3018" i="4" s="1"/>
  <c r="Q3019" i="4"/>
  <c r="V3019" i="4" s="1"/>
  <c r="S3019" i="4"/>
  <c r="Q3020" i="4"/>
  <c r="V3020" i="4" s="1"/>
  <c r="S3020" i="4"/>
  <c r="P3019" i="4"/>
  <c r="U3019" i="4"/>
  <c r="O3020" i="4"/>
  <c r="U3020" i="4" s="1"/>
  <c r="J3021" i="4"/>
  <c r="L3021" i="4"/>
  <c r="M3021" i="4"/>
  <c r="K3021" i="4"/>
  <c r="N3021" i="4" s="1"/>
  <c r="T3021" i="4" s="1"/>
  <c r="R3019" i="4" l="1"/>
  <c r="W3019" i="4" s="1"/>
  <c r="X3019" i="4" s="1"/>
  <c r="Y3019" i="4" s="1"/>
  <c r="R3020" i="4"/>
  <c r="W3020" i="4" s="1"/>
  <c r="X3020" i="4" s="1"/>
  <c r="Y3020" i="4" s="1"/>
  <c r="Q3021" i="4"/>
  <c r="V3021" i="4" s="1"/>
  <c r="S3021" i="4"/>
  <c r="P3020" i="4"/>
  <c r="J3022" i="4"/>
  <c r="K3022" i="4"/>
  <c r="N3022" i="4" s="1"/>
  <c r="L3022" i="4"/>
  <c r="M3022" i="4"/>
  <c r="O3021" i="4"/>
  <c r="U3021" i="4" s="1"/>
  <c r="R3021" i="4" l="1"/>
  <c r="W3021" i="4" s="1"/>
  <c r="X3021" i="4" s="1"/>
  <c r="Y3021" i="4" s="1"/>
  <c r="P3021" i="4"/>
  <c r="T3022" i="4"/>
  <c r="O3022" i="4"/>
  <c r="U3022" i="4" s="1"/>
  <c r="J3023" i="4"/>
  <c r="L3023" i="4"/>
  <c r="M3023" i="4"/>
  <c r="K3023" i="4"/>
  <c r="N3023" i="4" s="1"/>
  <c r="R3022" i="4" l="1"/>
  <c r="W3022" i="4" s="1"/>
  <c r="Q3022" i="4"/>
  <c r="V3022" i="4" s="1"/>
  <c r="S3022" i="4"/>
  <c r="T3023" i="4"/>
  <c r="P3022" i="4"/>
  <c r="J3024" i="4"/>
  <c r="K3024" i="4"/>
  <c r="N3024" i="4" s="1"/>
  <c r="L3024" i="4"/>
  <c r="M3024" i="4"/>
  <c r="O3023" i="4"/>
  <c r="U3023" i="4" s="1"/>
  <c r="X3022" i="4" l="1"/>
  <c r="Y3022" i="4" s="1"/>
  <c r="R3023" i="4"/>
  <c r="W3023" i="4" s="1"/>
  <c r="Q3023" i="4"/>
  <c r="V3023" i="4" s="1"/>
  <c r="S3023" i="4"/>
  <c r="P3023" i="4"/>
  <c r="T3024" i="4"/>
  <c r="O3024" i="4"/>
  <c r="U3024" i="4" s="1"/>
  <c r="J3025" i="4"/>
  <c r="L3025" i="4"/>
  <c r="M3025" i="4"/>
  <c r="K3025" i="4"/>
  <c r="N3025" i="4" s="1"/>
  <c r="X3023" i="4" l="1"/>
  <c r="Y3023" i="4" s="1"/>
  <c r="R3024" i="4"/>
  <c r="W3024" i="4" s="1"/>
  <c r="Q3024" i="4"/>
  <c r="V3024" i="4" s="1"/>
  <c r="S3024" i="4"/>
  <c r="P3024" i="4"/>
  <c r="T3025" i="4"/>
  <c r="J3026" i="4"/>
  <c r="K3026" i="4"/>
  <c r="N3026" i="4" s="1"/>
  <c r="L3026" i="4"/>
  <c r="M3026" i="4"/>
  <c r="O3025" i="4"/>
  <c r="U3025" i="4" s="1"/>
  <c r="X3024" i="4" l="1"/>
  <c r="Y3024" i="4" s="1"/>
  <c r="R3025" i="4"/>
  <c r="W3025" i="4" s="1"/>
  <c r="Q3025" i="4"/>
  <c r="V3025" i="4" s="1"/>
  <c r="S3025" i="4"/>
  <c r="P3025" i="4"/>
  <c r="T3026" i="4"/>
  <c r="O3026" i="4"/>
  <c r="U3026" i="4" s="1"/>
  <c r="J3027" i="4"/>
  <c r="L3027" i="4"/>
  <c r="M3027" i="4"/>
  <c r="K3027" i="4"/>
  <c r="N3027" i="4" s="1"/>
  <c r="X3025" i="4" l="1"/>
  <c r="Y3025" i="4" s="1"/>
  <c r="R3026" i="4"/>
  <c r="W3026" i="4" s="1"/>
  <c r="Q3026" i="4"/>
  <c r="V3026" i="4" s="1"/>
  <c r="S3026" i="4"/>
  <c r="P3026" i="4"/>
  <c r="T3027" i="4"/>
  <c r="J3028" i="4"/>
  <c r="K3028" i="4"/>
  <c r="N3028" i="4" s="1"/>
  <c r="L3028" i="4"/>
  <c r="M3028" i="4"/>
  <c r="O3027" i="4"/>
  <c r="U3027" i="4" s="1"/>
  <c r="X3026" i="4" l="1"/>
  <c r="Y3026" i="4" s="1"/>
  <c r="R3027" i="4"/>
  <c r="W3027" i="4" s="1"/>
  <c r="Q3027" i="4"/>
  <c r="V3027" i="4" s="1"/>
  <c r="S3027" i="4"/>
  <c r="P3027" i="4"/>
  <c r="T3028" i="4"/>
  <c r="O3028" i="4"/>
  <c r="U3028" i="4" s="1"/>
  <c r="J3029" i="4"/>
  <c r="L3029" i="4"/>
  <c r="M3029" i="4"/>
  <c r="K3029" i="4"/>
  <c r="N3029" i="4" s="1"/>
  <c r="X3027" i="4" l="1"/>
  <c r="Y3027" i="4" s="1"/>
  <c r="R3028" i="4"/>
  <c r="W3028" i="4" s="1"/>
  <c r="Q3028" i="4"/>
  <c r="V3028" i="4" s="1"/>
  <c r="S3028" i="4"/>
  <c r="P3028" i="4"/>
  <c r="T3029" i="4"/>
  <c r="J3030" i="4"/>
  <c r="K3030" i="4"/>
  <c r="N3030" i="4" s="1"/>
  <c r="L3030" i="4"/>
  <c r="M3030" i="4"/>
  <c r="O3029" i="4"/>
  <c r="U3029" i="4" s="1"/>
  <c r="X3028" i="4" l="1"/>
  <c r="Y3028" i="4" s="1"/>
  <c r="R3029" i="4"/>
  <c r="W3029" i="4" s="1"/>
  <c r="Q3029" i="4"/>
  <c r="V3029" i="4" s="1"/>
  <c r="S3029" i="4"/>
  <c r="P3029" i="4"/>
  <c r="T3030" i="4"/>
  <c r="O3030" i="4"/>
  <c r="U3030" i="4" s="1"/>
  <c r="J3031" i="4"/>
  <c r="L3031" i="4"/>
  <c r="M3031" i="4"/>
  <c r="K3031" i="4"/>
  <c r="N3031" i="4" s="1"/>
  <c r="X3029" i="4" l="1"/>
  <c r="Y3029" i="4" s="1"/>
  <c r="R3030" i="4"/>
  <c r="W3030" i="4" s="1"/>
  <c r="Q3030" i="4"/>
  <c r="V3030" i="4" s="1"/>
  <c r="S3030" i="4"/>
  <c r="P3030" i="4"/>
  <c r="T3031" i="4"/>
  <c r="O3031" i="4"/>
  <c r="U3031" i="4" s="1"/>
  <c r="J3032" i="4"/>
  <c r="K3032" i="4"/>
  <c r="N3032" i="4" s="1"/>
  <c r="L3032" i="4"/>
  <c r="M3032" i="4"/>
  <c r="X3030" i="4" l="1"/>
  <c r="Y3030" i="4" s="1"/>
  <c r="R3031" i="4"/>
  <c r="W3031" i="4" s="1"/>
  <c r="Q3031" i="4"/>
  <c r="V3031" i="4" s="1"/>
  <c r="S3031" i="4"/>
  <c r="P3031" i="4"/>
  <c r="T3032" i="4"/>
  <c r="O3032" i="4"/>
  <c r="U3032" i="4" s="1"/>
  <c r="J3033" i="4"/>
  <c r="L3033" i="4"/>
  <c r="M3033" i="4"/>
  <c r="K3033" i="4"/>
  <c r="N3033" i="4" s="1"/>
  <c r="X3031" i="4" l="1"/>
  <c r="Y3031" i="4" s="1"/>
  <c r="R3032" i="4"/>
  <c r="W3032" i="4" s="1"/>
  <c r="Q3032" i="4"/>
  <c r="V3032" i="4" s="1"/>
  <c r="S3032" i="4"/>
  <c r="P3032" i="4"/>
  <c r="T3033" i="4"/>
  <c r="J3034" i="4"/>
  <c r="K3034" i="4"/>
  <c r="N3034" i="4" s="1"/>
  <c r="L3034" i="4"/>
  <c r="M3034" i="4"/>
  <c r="O3033" i="4"/>
  <c r="U3033" i="4" s="1"/>
  <c r="X3032" i="4" l="1"/>
  <c r="Y3032" i="4" s="1"/>
  <c r="R3033" i="4"/>
  <c r="W3033" i="4" s="1"/>
  <c r="Q3033" i="4"/>
  <c r="V3033" i="4" s="1"/>
  <c r="S3033" i="4"/>
  <c r="P3033" i="4"/>
  <c r="T3034" i="4"/>
  <c r="O3034" i="4"/>
  <c r="U3034" i="4" s="1"/>
  <c r="J3035" i="4"/>
  <c r="L3035" i="4"/>
  <c r="M3035" i="4"/>
  <c r="K3035" i="4"/>
  <c r="N3035" i="4" s="1"/>
  <c r="X3033" i="4" l="1"/>
  <c r="Y3033" i="4" s="1"/>
  <c r="R3034" i="4"/>
  <c r="W3034" i="4" s="1"/>
  <c r="Q3034" i="4"/>
  <c r="V3034" i="4" s="1"/>
  <c r="S3034" i="4"/>
  <c r="P3034" i="4"/>
  <c r="T3035" i="4"/>
  <c r="O3035" i="4"/>
  <c r="U3035" i="4" s="1"/>
  <c r="J3036" i="4"/>
  <c r="K3036" i="4"/>
  <c r="N3036" i="4" s="1"/>
  <c r="L3036" i="4"/>
  <c r="M3036" i="4"/>
  <c r="X3034" i="4" l="1"/>
  <c r="Y3034" i="4" s="1"/>
  <c r="R3035" i="4"/>
  <c r="W3035" i="4" s="1"/>
  <c r="Q3035" i="4"/>
  <c r="V3035" i="4" s="1"/>
  <c r="S3035" i="4"/>
  <c r="P3035" i="4"/>
  <c r="T3036" i="4"/>
  <c r="O3036" i="4"/>
  <c r="U3036" i="4" s="1"/>
  <c r="J3037" i="4"/>
  <c r="L3037" i="4"/>
  <c r="M3037" i="4"/>
  <c r="K3037" i="4"/>
  <c r="N3037" i="4" s="1"/>
  <c r="X3035" i="4" l="1"/>
  <c r="Y3035" i="4" s="1"/>
  <c r="R3036" i="4"/>
  <c r="W3036" i="4" s="1"/>
  <c r="Q3036" i="4"/>
  <c r="V3036" i="4" s="1"/>
  <c r="S3036" i="4"/>
  <c r="P3036" i="4"/>
  <c r="T3037" i="4"/>
  <c r="J3038" i="4"/>
  <c r="K3038" i="4"/>
  <c r="N3038" i="4" s="1"/>
  <c r="L3038" i="4"/>
  <c r="M3038" i="4"/>
  <c r="O3037" i="4"/>
  <c r="X3036" i="4" l="1"/>
  <c r="Y3036" i="4" s="1"/>
  <c r="Q3037" i="4"/>
  <c r="V3037" i="4" s="1"/>
  <c r="S3037" i="4"/>
  <c r="P3037" i="4"/>
  <c r="U3037" i="4"/>
  <c r="T3038" i="4"/>
  <c r="O3038" i="4"/>
  <c r="J3039" i="4"/>
  <c r="L3039" i="4"/>
  <c r="M3039" i="4"/>
  <c r="K3039" i="4"/>
  <c r="N3039" i="4" s="1"/>
  <c r="T3039" i="4" s="1"/>
  <c r="R3037" i="4" l="1"/>
  <c r="W3037" i="4" s="1"/>
  <c r="X3037" i="4" s="1"/>
  <c r="Y3037" i="4" s="1"/>
  <c r="Q3039" i="4"/>
  <c r="V3039" i="4" s="1"/>
  <c r="S3039" i="4"/>
  <c r="Q3038" i="4"/>
  <c r="V3038" i="4" s="1"/>
  <c r="S3038" i="4"/>
  <c r="P3038" i="4"/>
  <c r="U3038" i="4"/>
  <c r="J3040" i="4"/>
  <c r="K3040" i="4"/>
  <c r="N3040" i="4" s="1"/>
  <c r="L3040" i="4"/>
  <c r="M3040" i="4"/>
  <c r="O3039" i="4"/>
  <c r="U3039" i="4" s="1"/>
  <c r="R3039" i="4" l="1"/>
  <c r="W3039" i="4" s="1"/>
  <c r="X3039" i="4" s="1"/>
  <c r="Y3039" i="4" s="1"/>
  <c r="R3038" i="4"/>
  <c r="W3038" i="4" s="1"/>
  <c r="X3038" i="4" s="1"/>
  <c r="Y3038" i="4" s="1"/>
  <c r="P3039" i="4"/>
  <c r="T3040" i="4"/>
  <c r="O3040" i="4"/>
  <c r="U3040" i="4" s="1"/>
  <c r="J3041" i="4"/>
  <c r="L3041" i="4"/>
  <c r="M3041" i="4"/>
  <c r="K3041" i="4"/>
  <c r="N3041" i="4" s="1"/>
  <c r="R3040" i="4" l="1"/>
  <c r="W3040" i="4" s="1"/>
  <c r="Q3040" i="4"/>
  <c r="V3040" i="4" s="1"/>
  <c r="S3040" i="4"/>
  <c r="P3040" i="4"/>
  <c r="T3041" i="4"/>
  <c r="J3042" i="4"/>
  <c r="K3042" i="4"/>
  <c r="N3042" i="4" s="1"/>
  <c r="L3042" i="4"/>
  <c r="M3042" i="4"/>
  <c r="O3041" i="4"/>
  <c r="U3041" i="4" s="1"/>
  <c r="X3040" i="4" l="1"/>
  <c r="Y3040" i="4" s="1"/>
  <c r="R3041" i="4"/>
  <c r="W3041" i="4" s="1"/>
  <c r="Q3041" i="4"/>
  <c r="V3041" i="4" s="1"/>
  <c r="S3041" i="4"/>
  <c r="P3041" i="4"/>
  <c r="T3042" i="4"/>
  <c r="O3042" i="4"/>
  <c r="U3042" i="4" s="1"/>
  <c r="J3043" i="4"/>
  <c r="L3043" i="4"/>
  <c r="M3043" i="4"/>
  <c r="K3043" i="4"/>
  <c r="N3043" i="4" s="1"/>
  <c r="X3041" i="4" l="1"/>
  <c r="Y3041" i="4" s="1"/>
  <c r="R3042" i="4"/>
  <c r="W3042" i="4" s="1"/>
  <c r="Q3042" i="4"/>
  <c r="V3042" i="4" s="1"/>
  <c r="S3042" i="4"/>
  <c r="P3042" i="4"/>
  <c r="T3043" i="4"/>
  <c r="J3044" i="4"/>
  <c r="K3044" i="4"/>
  <c r="N3044" i="4" s="1"/>
  <c r="L3044" i="4"/>
  <c r="M3044" i="4"/>
  <c r="O3043" i="4"/>
  <c r="U3043" i="4" s="1"/>
  <c r="X3042" i="4" l="1"/>
  <c r="Y3042" i="4" s="1"/>
  <c r="R3043" i="4"/>
  <c r="W3043" i="4" s="1"/>
  <c r="Q3043" i="4"/>
  <c r="V3043" i="4" s="1"/>
  <c r="S3043" i="4"/>
  <c r="P3043" i="4"/>
  <c r="T3044" i="4"/>
  <c r="O3044" i="4"/>
  <c r="U3044" i="4" s="1"/>
  <c r="J3045" i="4"/>
  <c r="L3045" i="4"/>
  <c r="M3045" i="4"/>
  <c r="K3045" i="4"/>
  <c r="N3045" i="4" s="1"/>
  <c r="T3045" i="4" s="1"/>
  <c r="X3043" i="4" l="1"/>
  <c r="Y3043" i="4" s="1"/>
  <c r="R3044" i="4"/>
  <c r="W3044" i="4" s="1"/>
  <c r="Q3044" i="4"/>
  <c r="V3044" i="4" s="1"/>
  <c r="S3044" i="4"/>
  <c r="Q3045" i="4"/>
  <c r="V3045" i="4" s="1"/>
  <c r="S3045" i="4"/>
  <c r="P3044" i="4"/>
  <c r="O3045" i="4"/>
  <c r="J3046" i="4"/>
  <c r="K3046" i="4"/>
  <c r="N3046" i="4" s="1"/>
  <c r="L3046" i="4"/>
  <c r="M3046" i="4"/>
  <c r="X3044" i="4" l="1"/>
  <c r="Y3044" i="4" s="1"/>
  <c r="P3045" i="4"/>
  <c r="U3045" i="4"/>
  <c r="T3046" i="4"/>
  <c r="O3046" i="4"/>
  <c r="J3047" i="4"/>
  <c r="L3047" i="4"/>
  <c r="M3047" i="4"/>
  <c r="K3047" i="4"/>
  <c r="N3047" i="4" s="1"/>
  <c r="T3047" i="4" s="1"/>
  <c r="R3045" i="4" l="1"/>
  <c r="W3045" i="4" s="1"/>
  <c r="X3045" i="4" s="1"/>
  <c r="Y3045" i="4" s="1"/>
  <c r="Q3046" i="4"/>
  <c r="V3046" i="4" s="1"/>
  <c r="S3046" i="4"/>
  <c r="Q3047" i="4"/>
  <c r="V3047" i="4" s="1"/>
  <c r="S3047" i="4"/>
  <c r="P3046" i="4"/>
  <c r="U3046" i="4"/>
  <c r="J3048" i="4"/>
  <c r="K3048" i="4"/>
  <c r="N3048" i="4" s="1"/>
  <c r="L3048" i="4"/>
  <c r="M3048" i="4"/>
  <c r="O3047" i="4"/>
  <c r="U3047" i="4" s="1"/>
  <c r="R3047" i="4" l="1"/>
  <c r="W3047" i="4" s="1"/>
  <c r="X3047" i="4" s="1"/>
  <c r="Y3047" i="4" s="1"/>
  <c r="R3046" i="4"/>
  <c r="W3046" i="4" s="1"/>
  <c r="X3046" i="4" s="1"/>
  <c r="Y3046" i="4" s="1"/>
  <c r="P3047" i="4"/>
  <c r="T3048" i="4"/>
  <c r="O3048" i="4"/>
  <c r="U3048" i="4" s="1"/>
  <c r="J3049" i="4"/>
  <c r="L3049" i="4"/>
  <c r="M3049" i="4"/>
  <c r="K3049" i="4"/>
  <c r="N3049" i="4" s="1"/>
  <c r="R3048" i="4" l="1"/>
  <c r="W3048" i="4" s="1"/>
  <c r="Q3048" i="4"/>
  <c r="V3048" i="4" s="1"/>
  <c r="S3048" i="4"/>
  <c r="P3048" i="4"/>
  <c r="T3049" i="4"/>
  <c r="J3050" i="4"/>
  <c r="K3050" i="4"/>
  <c r="N3050" i="4" s="1"/>
  <c r="L3050" i="4"/>
  <c r="M3050" i="4"/>
  <c r="O3049" i="4"/>
  <c r="U3049" i="4" s="1"/>
  <c r="X3048" i="4" l="1"/>
  <c r="Y3048" i="4" s="1"/>
  <c r="R3049" i="4"/>
  <c r="W3049" i="4" s="1"/>
  <c r="Q3049" i="4"/>
  <c r="V3049" i="4" s="1"/>
  <c r="S3049" i="4"/>
  <c r="P3049" i="4"/>
  <c r="T3050" i="4"/>
  <c r="O3050" i="4"/>
  <c r="J3051" i="4"/>
  <c r="L3051" i="4"/>
  <c r="M3051" i="4"/>
  <c r="K3051" i="4"/>
  <c r="N3051" i="4" s="1"/>
  <c r="X3049" i="4" l="1"/>
  <c r="Y3049" i="4" s="1"/>
  <c r="Q3050" i="4"/>
  <c r="V3050" i="4" s="1"/>
  <c r="S3050" i="4"/>
  <c r="P3050" i="4"/>
  <c r="U3050" i="4"/>
  <c r="T3051" i="4"/>
  <c r="J3052" i="4"/>
  <c r="K3052" i="4"/>
  <c r="N3052" i="4" s="1"/>
  <c r="T3052" i="4" s="1"/>
  <c r="L3052" i="4"/>
  <c r="M3052" i="4"/>
  <c r="O3051" i="4"/>
  <c r="R3050" i="4" l="1"/>
  <c r="W3050" i="4" s="1"/>
  <c r="X3050" i="4" s="1"/>
  <c r="Y3050" i="4" s="1"/>
  <c r="Q3052" i="4"/>
  <c r="V3052" i="4" s="1"/>
  <c r="S3052" i="4"/>
  <c r="Q3051" i="4"/>
  <c r="V3051" i="4" s="1"/>
  <c r="S3051" i="4"/>
  <c r="P3051" i="4"/>
  <c r="U3051" i="4"/>
  <c r="O3052" i="4"/>
  <c r="J3053" i="4"/>
  <c r="L3053" i="4"/>
  <c r="M3053" i="4"/>
  <c r="K3053" i="4"/>
  <c r="N3053" i="4" s="1"/>
  <c r="R3051" i="4" l="1"/>
  <c r="W3051" i="4" s="1"/>
  <c r="X3051" i="4" s="1"/>
  <c r="Y3051" i="4" s="1"/>
  <c r="P3052" i="4"/>
  <c r="U3052" i="4"/>
  <c r="T3053" i="4"/>
  <c r="J3054" i="4"/>
  <c r="K3054" i="4"/>
  <c r="N3054" i="4" s="1"/>
  <c r="T3054" i="4" s="1"/>
  <c r="L3054" i="4"/>
  <c r="M3054" i="4"/>
  <c r="O3053" i="4"/>
  <c r="R3052" i="4" l="1"/>
  <c r="W3052" i="4" s="1"/>
  <c r="X3052" i="4" s="1"/>
  <c r="Y3052" i="4" s="1"/>
  <c r="Q3053" i="4"/>
  <c r="V3053" i="4" s="1"/>
  <c r="S3053" i="4"/>
  <c r="Q3054" i="4"/>
  <c r="V3054" i="4" s="1"/>
  <c r="S3054" i="4"/>
  <c r="P3053" i="4"/>
  <c r="U3053" i="4"/>
  <c r="O3054" i="4"/>
  <c r="U3054" i="4" s="1"/>
  <c r="J3055" i="4"/>
  <c r="L3055" i="4"/>
  <c r="M3055" i="4"/>
  <c r="K3055" i="4"/>
  <c r="N3055" i="4" s="1"/>
  <c r="R3054" i="4" l="1"/>
  <c r="W3054" i="4" s="1"/>
  <c r="X3054" i="4" s="1"/>
  <c r="Y3054" i="4" s="1"/>
  <c r="R3053" i="4"/>
  <c r="W3053" i="4" s="1"/>
  <c r="X3053" i="4" s="1"/>
  <c r="Y3053" i="4" s="1"/>
  <c r="P3054" i="4"/>
  <c r="T3055" i="4"/>
  <c r="J3056" i="4"/>
  <c r="K3056" i="4"/>
  <c r="N3056" i="4" s="1"/>
  <c r="L3056" i="4"/>
  <c r="M3056" i="4"/>
  <c r="O3055" i="4"/>
  <c r="U3055" i="4" s="1"/>
  <c r="R3055" i="4" l="1"/>
  <c r="W3055" i="4" s="1"/>
  <c r="Q3055" i="4"/>
  <c r="V3055" i="4" s="1"/>
  <c r="S3055" i="4"/>
  <c r="P3055" i="4"/>
  <c r="T3056" i="4"/>
  <c r="O3056" i="4"/>
  <c r="U3056" i="4" s="1"/>
  <c r="J3057" i="4"/>
  <c r="L3057" i="4"/>
  <c r="M3057" i="4"/>
  <c r="K3057" i="4"/>
  <c r="N3057" i="4" s="1"/>
  <c r="X3055" i="4" l="1"/>
  <c r="Y3055" i="4" s="1"/>
  <c r="R3056" i="4"/>
  <c r="W3056" i="4" s="1"/>
  <c r="Q3056" i="4"/>
  <c r="V3056" i="4" s="1"/>
  <c r="S3056" i="4"/>
  <c r="P3056" i="4"/>
  <c r="T3057" i="4"/>
  <c r="J3058" i="4"/>
  <c r="K3058" i="4"/>
  <c r="N3058" i="4" s="1"/>
  <c r="L3058" i="4"/>
  <c r="M3058" i="4"/>
  <c r="O3057" i="4"/>
  <c r="U3057" i="4" s="1"/>
  <c r="X3056" i="4" l="1"/>
  <c r="Y3056" i="4" s="1"/>
  <c r="R3057" i="4"/>
  <c r="W3057" i="4" s="1"/>
  <c r="Q3057" i="4"/>
  <c r="V3057" i="4" s="1"/>
  <c r="S3057" i="4"/>
  <c r="P3057" i="4"/>
  <c r="T3058" i="4"/>
  <c r="O3058" i="4"/>
  <c r="U3058" i="4" s="1"/>
  <c r="J3059" i="4"/>
  <c r="L3059" i="4"/>
  <c r="M3059" i="4"/>
  <c r="K3059" i="4"/>
  <c r="N3059" i="4" s="1"/>
  <c r="X3057" i="4" l="1"/>
  <c r="Y3057" i="4" s="1"/>
  <c r="R3058" i="4"/>
  <c r="W3058" i="4" s="1"/>
  <c r="Q3058" i="4"/>
  <c r="V3058" i="4" s="1"/>
  <c r="S3058" i="4"/>
  <c r="P3058" i="4"/>
  <c r="T3059" i="4"/>
  <c r="J3060" i="4"/>
  <c r="K3060" i="4"/>
  <c r="N3060" i="4" s="1"/>
  <c r="T3060" i="4" s="1"/>
  <c r="L3060" i="4"/>
  <c r="M3060" i="4"/>
  <c r="O3059" i="4"/>
  <c r="X3058" i="4" l="1"/>
  <c r="Y3058" i="4" s="1"/>
  <c r="Q3059" i="4"/>
  <c r="V3059" i="4" s="1"/>
  <c r="S3059" i="4"/>
  <c r="Q3060" i="4"/>
  <c r="V3060" i="4" s="1"/>
  <c r="S3060" i="4"/>
  <c r="P3059" i="4"/>
  <c r="U3059" i="4"/>
  <c r="O3060" i="4"/>
  <c r="U3060" i="4" s="1"/>
  <c r="J3061" i="4"/>
  <c r="L3061" i="4"/>
  <c r="M3061" i="4"/>
  <c r="K3061" i="4"/>
  <c r="N3061" i="4" s="1"/>
  <c r="T3061" i="4" s="1"/>
  <c r="R3059" i="4" l="1"/>
  <c r="W3059" i="4" s="1"/>
  <c r="X3059" i="4" s="1"/>
  <c r="Y3059" i="4" s="1"/>
  <c r="R3060" i="4"/>
  <c r="W3060" i="4" s="1"/>
  <c r="X3060" i="4" s="1"/>
  <c r="Y3060" i="4" s="1"/>
  <c r="Q3061" i="4"/>
  <c r="V3061" i="4" s="1"/>
  <c r="S3061" i="4"/>
  <c r="P3060" i="4"/>
  <c r="J3062" i="4"/>
  <c r="K3062" i="4"/>
  <c r="N3062" i="4" s="1"/>
  <c r="L3062" i="4"/>
  <c r="M3062" i="4"/>
  <c r="O3061" i="4"/>
  <c r="P3061" i="4" l="1"/>
  <c r="U3061" i="4"/>
  <c r="T3062" i="4"/>
  <c r="O3062" i="4"/>
  <c r="U3062" i="4" s="1"/>
  <c r="J3063" i="4"/>
  <c r="L3063" i="4"/>
  <c r="M3063" i="4"/>
  <c r="K3063" i="4"/>
  <c r="N3063" i="4" s="1"/>
  <c r="R3062" i="4" l="1"/>
  <c r="W3062" i="4" s="1"/>
  <c r="R3061" i="4"/>
  <c r="W3061" i="4" s="1"/>
  <c r="X3061" i="4" s="1"/>
  <c r="Y3061" i="4" s="1"/>
  <c r="Q3062" i="4"/>
  <c r="V3062" i="4" s="1"/>
  <c r="S3062" i="4"/>
  <c r="T3063" i="4"/>
  <c r="P3062" i="4"/>
  <c r="J3064" i="4"/>
  <c r="K3064" i="4"/>
  <c r="N3064" i="4" s="1"/>
  <c r="L3064" i="4"/>
  <c r="M3064" i="4"/>
  <c r="O3063" i="4"/>
  <c r="U3063" i="4" s="1"/>
  <c r="X3062" i="4" l="1"/>
  <c r="Y3062" i="4" s="1"/>
  <c r="R3063" i="4"/>
  <c r="W3063" i="4" s="1"/>
  <c r="Q3063" i="4"/>
  <c r="V3063" i="4" s="1"/>
  <c r="S3063" i="4"/>
  <c r="P3063" i="4"/>
  <c r="T3064" i="4"/>
  <c r="O3064" i="4"/>
  <c r="U3064" i="4" s="1"/>
  <c r="J3065" i="4"/>
  <c r="L3065" i="4"/>
  <c r="M3065" i="4"/>
  <c r="K3065" i="4"/>
  <c r="N3065" i="4" s="1"/>
  <c r="X3063" i="4" l="1"/>
  <c r="Y3063" i="4" s="1"/>
  <c r="R3064" i="4"/>
  <c r="W3064" i="4" s="1"/>
  <c r="Q3064" i="4"/>
  <c r="V3064" i="4" s="1"/>
  <c r="S3064" i="4"/>
  <c r="P3064" i="4"/>
  <c r="T3065" i="4"/>
  <c r="O3065" i="4"/>
  <c r="U3065" i="4" s="1"/>
  <c r="J3066" i="4"/>
  <c r="K3066" i="4"/>
  <c r="N3066" i="4" s="1"/>
  <c r="L3066" i="4"/>
  <c r="M3066" i="4"/>
  <c r="X3064" i="4" l="1"/>
  <c r="Y3064" i="4" s="1"/>
  <c r="R3065" i="4"/>
  <c r="W3065" i="4" s="1"/>
  <c r="Q3065" i="4"/>
  <c r="V3065" i="4" s="1"/>
  <c r="S3065" i="4"/>
  <c r="P3065" i="4"/>
  <c r="T3066" i="4"/>
  <c r="O3066" i="4"/>
  <c r="U3066" i="4" s="1"/>
  <c r="J3067" i="4"/>
  <c r="L3067" i="4"/>
  <c r="M3067" i="4"/>
  <c r="K3067" i="4"/>
  <c r="N3067" i="4" s="1"/>
  <c r="X3065" i="4" l="1"/>
  <c r="Y3065" i="4" s="1"/>
  <c r="R3066" i="4"/>
  <c r="W3066" i="4" s="1"/>
  <c r="Q3066" i="4"/>
  <c r="V3066" i="4" s="1"/>
  <c r="S3066" i="4"/>
  <c r="P3066" i="4"/>
  <c r="T3067" i="4"/>
  <c r="J3068" i="4"/>
  <c r="K3068" i="4"/>
  <c r="N3068" i="4" s="1"/>
  <c r="L3068" i="4"/>
  <c r="M3068" i="4"/>
  <c r="O3067" i="4"/>
  <c r="U3067" i="4" s="1"/>
  <c r="X3066" i="4" l="1"/>
  <c r="Y3066" i="4" s="1"/>
  <c r="R3067" i="4"/>
  <c r="W3067" i="4" s="1"/>
  <c r="Q3067" i="4"/>
  <c r="V3067" i="4" s="1"/>
  <c r="S3067" i="4"/>
  <c r="P3067" i="4"/>
  <c r="T3068" i="4"/>
  <c r="O3068" i="4"/>
  <c r="U3068" i="4" s="1"/>
  <c r="J3069" i="4"/>
  <c r="M3069" i="4"/>
  <c r="K3069" i="4"/>
  <c r="N3069" i="4" s="1"/>
  <c r="L3069" i="4"/>
  <c r="X3067" i="4" l="1"/>
  <c r="Y3067" i="4" s="1"/>
  <c r="R3068" i="4"/>
  <c r="W3068" i="4" s="1"/>
  <c r="Q3068" i="4"/>
  <c r="V3068" i="4" s="1"/>
  <c r="S3068" i="4"/>
  <c r="P3068" i="4"/>
  <c r="T3069" i="4"/>
  <c r="J3070" i="4"/>
  <c r="K3070" i="4"/>
  <c r="N3070" i="4" s="1"/>
  <c r="L3070" i="4"/>
  <c r="M3070" i="4"/>
  <c r="O3069" i="4"/>
  <c r="U3069" i="4" s="1"/>
  <c r="X3068" i="4" l="1"/>
  <c r="Y3068" i="4" s="1"/>
  <c r="R3069" i="4"/>
  <c r="W3069" i="4" s="1"/>
  <c r="Q3069" i="4"/>
  <c r="V3069" i="4" s="1"/>
  <c r="S3069" i="4"/>
  <c r="P3069" i="4"/>
  <c r="T3070" i="4"/>
  <c r="O3070" i="4"/>
  <c r="U3070" i="4" s="1"/>
  <c r="J3071" i="4"/>
  <c r="M3071" i="4"/>
  <c r="K3071" i="4"/>
  <c r="N3071" i="4" s="1"/>
  <c r="L3071" i="4"/>
  <c r="X3069" i="4" l="1"/>
  <c r="Y3069" i="4" s="1"/>
  <c r="R3070" i="4"/>
  <c r="W3070" i="4" s="1"/>
  <c r="Q3070" i="4"/>
  <c r="V3070" i="4" s="1"/>
  <c r="S3070" i="4"/>
  <c r="P3070" i="4"/>
  <c r="T3071" i="4"/>
  <c r="O3071" i="4"/>
  <c r="J3072" i="4"/>
  <c r="K3072" i="4"/>
  <c r="N3072" i="4" s="1"/>
  <c r="L3072" i="4"/>
  <c r="M3072" i="4"/>
  <c r="X3070" i="4" l="1"/>
  <c r="Y3070" i="4" s="1"/>
  <c r="Q3071" i="4"/>
  <c r="V3071" i="4" s="1"/>
  <c r="S3071" i="4"/>
  <c r="P3071" i="4"/>
  <c r="U3071" i="4"/>
  <c r="T3072" i="4"/>
  <c r="O3072" i="4"/>
  <c r="J3073" i="4"/>
  <c r="K3073" i="4"/>
  <c r="N3073" i="4" s="1"/>
  <c r="T3073" i="4" s="1"/>
  <c r="L3073" i="4"/>
  <c r="M3073" i="4"/>
  <c r="R3071" i="4" l="1"/>
  <c r="W3071" i="4" s="1"/>
  <c r="X3071" i="4" s="1"/>
  <c r="Y3071" i="4" s="1"/>
  <c r="Q3073" i="4"/>
  <c r="V3073" i="4" s="1"/>
  <c r="S3073" i="4"/>
  <c r="Q3072" i="4"/>
  <c r="V3072" i="4" s="1"/>
  <c r="S3072" i="4"/>
  <c r="P3072" i="4"/>
  <c r="U3072" i="4"/>
  <c r="O3073" i="4"/>
  <c r="U3073" i="4" s="1"/>
  <c r="J3074" i="4"/>
  <c r="M3074" i="4"/>
  <c r="K3074" i="4"/>
  <c r="N3074" i="4" s="1"/>
  <c r="L3074" i="4"/>
  <c r="R3073" i="4" l="1"/>
  <c r="W3073" i="4" s="1"/>
  <c r="X3073" i="4" s="1"/>
  <c r="Y3073" i="4" s="1"/>
  <c r="R3072" i="4"/>
  <c r="W3072" i="4" s="1"/>
  <c r="X3072" i="4" s="1"/>
  <c r="Y3072" i="4" s="1"/>
  <c r="P3073" i="4"/>
  <c r="T3074" i="4"/>
  <c r="J3075" i="4"/>
  <c r="K3075" i="4"/>
  <c r="N3075" i="4" s="1"/>
  <c r="L3075" i="4"/>
  <c r="M3075" i="4"/>
  <c r="O3074" i="4"/>
  <c r="U3074" i="4" s="1"/>
  <c r="R3074" i="4" l="1"/>
  <c r="W3074" i="4" s="1"/>
  <c r="Q3074" i="4"/>
  <c r="V3074" i="4" s="1"/>
  <c r="S3074" i="4"/>
  <c r="P3074" i="4"/>
  <c r="T3075" i="4"/>
  <c r="O3075" i="4"/>
  <c r="U3075" i="4" s="1"/>
  <c r="J3076" i="4"/>
  <c r="M3076" i="4"/>
  <c r="K3076" i="4"/>
  <c r="N3076" i="4" s="1"/>
  <c r="L3076" i="4"/>
  <c r="X3074" i="4" l="1"/>
  <c r="Y3074" i="4" s="1"/>
  <c r="R3075" i="4"/>
  <c r="W3075" i="4" s="1"/>
  <c r="Q3075" i="4"/>
  <c r="V3075" i="4" s="1"/>
  <c r="S3075" i="4"/>
  <c r="P3075" i="4"/>
  <c r="T3076" i="4"/>
  <c r="J3077" i="4"/>
  <c r="K3077" i="4"/>
  <c r="N3077" i="4" s="1"/>
  <c r="L3077" i="4"/>
  <c r="M3077" i="4"/>
  <c r="O3076" i="4"/>
  <c r="U3076" i="4" s="1"/>
  <c r="X3075" i="4" l="1"/>
  <c r="Y3075" i="4" s="1"/>
  <c r="R3076" i="4"/>
  <c r="W3076" i="4" s="1"/>
  <c r="Q3076" i="4"/>
  <c r="V3076" i="4" s="1"/>
  <c r="S3076" i="4"/>
  <c r="P3076" i="4"/>
  <c r="T3077" i="4"/>
  <c r="O3077" i="4"/>
  <c r="U3077" i="4" s="1"/>
  <c r="J3078" i="4"/>
  <c r="M3078" i="4"/>
  <c r="K3078" i="4"/>
  <c r="N3078" i="4" s="1"/>
  <c r="L3078" i="4"/>
  <c r="X3076" i="4" l="1"/>
  <c r="Y3076" i="4" s="1"/>
  <c r="R3077" i="4"/>
  <c r="W3077" i="4" s="1"/>
  <c r="Q3077" i="4"/>
  <c r="V3077" i="4" s="1"/>
  <c r="S3077" i="4"/>
  <c r="P3077" i="4"/>
  <c r="T3078" i="4"/>
  <c r="O3078" i="4"/>
  <c r="U3078" i="4" s="1"/>
  <c r="J3079" i="4"/>
  <c r="K3079" i="4"/>
  <c r="N3079" i="4" s="1"/>
  <c r="L3079" i="4"/>
  <c r="M3079" i="4"/>
  <c r="X3077" i="4" l="1"/>
  <c r="Y3077" i="4" s="1"/>
  <c r="R3078" i="4"/>
  <c r="W3078" i="4" s="1"/>
  <c r="Q3078" i="4"/>
  <c r="V3078" i="4" s="1"/>
  <c r="X3078" i="4" s="1"/>
  <c r="Y3078" i="4" s="1"/>
  <c r="S3078" i="4"/>
  <c r="P3078" i="4"/>
  <c r="T3079" i="4"/>
  <c r="O3079" i="4"/>
  <c r="U3079" i="4" s="1"/>
  <c r="J3080" i="4"/>
  <c r="M3080" i="4"/>
  <c r="K3080" i="4"/>
  <c r="N3080" i="4" s="1"/>
  <c r="L3080" i="4"/>
  <c r="R3079" i="4" l="1"/>
  <c r="W3079" i="4" s="1"/>
  <c r="Q3079" i="4"/>
  <c r="V3079" i="4" s="1"/>
  <c r="S3079" i="4"/>
  <c r="P3079" i="4"/>
  <c r="T3080" i="4"/>
  <c r="J3081" i="4"/>
  <c r="K3081" i="4"/>
  <c r="N3081" i="4" s="1"/>
  <c r="L3081" i="4"/>
  <c r="M3081" i="4"/>
  <c r="O3080" i="4"/>
  <c r="X3079" i="4" l="1"/>
  <c r="Y3079" i="4" s="1"/>
  <c r="Q3080" i="4"/>
  <c r="V3080" i="4" s="1"/>
  <c r="S3080" i="4"/>
  <c r="P3080" i="4"/>
  <c r="U3080" i="4"/>
  <c r="T3081" i="4"/>
  <c r="O3081" i="4"/>
  <c r="U3081" i="4" s="1"/>
  <c r="J3082" i="4"/>
  <c r="M3082" i="4"/>
  <c r="K3082" i="4"/>
  <c r="N3082" i="4" s="1"/>
  <c r="T3082" i="4" s="1"/>
  <c r="L3082" i="4"/>
  <c r="R3081" i="4" l="1"/>
  <c r="W3081" i="4" s="1"/>
  <c r="R3080" i="4"/>
  <c r="W3080" i="4" s="1"/>
  <c r="X3080" i="4" s="1"/>
  <c r="Y3080" i="4" s="1"/>
  <c r="Q3082" i="4"/>
  <c r="V3082" i="4" s="1"/>
  <c r="S3082" i="4"/>
  <c r="Q3081" i="4"/>
  <c r="V3081" i="4" s="1"/>
  <c r="S3081" i="4"/>
  <c r="P3081" i="4"/>
  <c r="J3083" i="4"/>
  <c r="K3083" i="4"/>
  <c r="N3083" i="4" s="1"/>
  <c r="L3083" i="4"/>
  <c r="M3083" i="4"/>
  <c r="O3082" i="4"/>
  <c r="X3081" i="4" l="1"/>
  <c r="Y3081" i="4" s="1"/>
  <c r="P3082" i="4"/>
  <c r="T3083" i="4"/>
  <c r="U3082" i="4"/>
  <c r="O3083" i="4"/>
  <c r="U3083" i="4" s="1"/>
  <c r="J3084" i="4"/>
  <c r="M3084" i="4"/>
  <c r="K3084" i="4"/>
  <c r="N3084" i="4" s="1"/>
  <c r="L3084" i="4"/>
  <c r="R3082" i="4" l="1"/>
  <c r="W3082" i="4" s="1"/>
  <c r="X3082" i="4" s="1"/>
  <c r="Y3082" i="4" s="1"/>
  <c r="R3083" i="4"/>
  <c r="W3083" i="4" s="1"/>
  <c r="Q3083" i="4"/>
  <c r="V3083" i="4" s="1"/>
  <c r="S3083" i="4"/>
  <c r="P3083" i="4"/>
  <c r="T3084" i="4"/>
  <c r="J3085" i="4"/>
  <c r="K3085" i="4"/>
  <c r="N3085" i="4" s="1"/>
  <c r="L3085" i="4"/>
  <c r="M3085" i="4"/>
  <c r="O3084" i="4"/>
  <c r="U3084" i="4" s="1"/>
  <c r="X3083" i="4" l="1"/>
  <c r="Y3083" i="4" s="1"/>
  <c r="R3084" i="4"/>
  <c r="W3084" i="4" s="1"/>
  <c r="Q3084" i="4"/>
  <c r="V3084" i="4" s="1"/>
  <c r="X3084" i="4" s="1"/>
  <c r="Y3084" i="4" s="1"/>
  <c r="S3084" i="4"/>
  <c r="P3084" i="4"/>
  <c r="T3085" i="4"/>
  <c r="O3085" i="4"/>
  <c r="U3085" i="4" s="1"/>
  <c r="J3086" i="4"/>
  <c r="M3086" i="4"/>
  <c r="K3086" i="4"/>
  <c r="N3086" i="4" s="1"/>
  <c r="L3086" i="4"/>
  <c r="R3085" i="4" l="1"/>
  <c r="W3085" i="4" s="1"/>
  <c r="Q3085" i="4"/>
  <c r="V3085" i="4" s="1"/>
  <c r="S3085" i="4"/>
  <c r="P3085" i="4"/>
  <c r="T3086" i="4"/>
  <c r="J3087" i="4"/>
  <c r="K3087" i="4"/>
  <c r="N3087" i="4" s="1"/>
  <c r="L3087" i="4"/>
  <c r="M3087" i="4"/>
  <c r="O3086" i="4"/>
  <c r="U3086" i="4" s="1"/>
  <c r="X3085" i="4" l="1"/>
  <c r="Y3085" i="4" s="1"/>
  <c r="R3086" i="4"/>
  <c r="W3086" i="4" s="1"/>
  <c r="Q3086" i="4"/>
  <c r="V3086" i="4" s="1"/>
  <c r="S3086" i="4"/>
  <c r="P3086" i="4"/>
  <c r="T3087" i="4"/>
  <c r="O3087" i="4"/>
  <c r="J3088" i="4"/>
  <c r="M3088" i="4"/>
  <c r="K3088" i="4"/>
  <c r="N3088" i="4" s="1"/>
  <c r="L3088" i="4"/>
  <c r="X3086" i="4" l="1"/>
  <c r="Y3086" i="4" s="1"/>
  <c r="Q3087" i="4"/>
  <c r="V3087" i="4" s="1"/>
  <c r="S3087" i="4"/>
  <c r="P3087" i="4"/>
  <c r="T3088" i="4"/>
  <c r="U3087" i="4"/>
  <c r="J3089" i="4"/>
  <c r="K3089" i="4"/>
  <c r="N3089" i="4" s="1"/>
  <c r="L3089" i="4"/>
  <c r="M3089" i="4"/>
  <c r="O3088" i="4"/>
  <c r="U3088" i="4" s="1"/>
  <c r="R3088" i="4" l="1"/>
  <c r="W3088" i="4" s="1"/>
  <c r="R3087" i="4"/>
  <c r="W3087" i="4" s="1"/>
  <c r="X3087" i="4" s="1"/>
  <c r="Y3087" i="4" s="1"/>
  <c r="Q3088" i="4"/>
  <c r="V3088" i="4" s="1"/>
  <c r="S3088" i="4"/>
  <c r="T3089" i="4"/>
  <c r="P3088" i="4"/>
  <c r="O3089" i="4"/>
  <c r="U3089" i="4" s="1"/>
  <c r="J3090" i="4"/>
  <c r="M3090" i="4"/>
  <c r="K3090" i="4"/>
  <c r="N3090" i="4" s="1"/>
  <c r="L3090" i="4"/>
  <c r="X3088" i="4" l="1"/>
  <c r="Y3088" i="4" s="1"/>
  <c r="R3089" i="4"/>
  <c r="W3089" i="4" s="1"/>
  <c r="Q3089" i="4"/>
  <c r="V3089" i="4" s="1"/>
  <c r="S3089" i="4"/>
  <c r="P3089" i="4"/>
  <c r="T3090" i="4"/>
  <c r="J3091" i="4"/>
  <c r="K3091" i="4"/>
  <c r="N3091" i="4" s="1"/>
  <c r="L3091" i="4"/>
  <c r="M3091" i="4"/>
  <c r="O3090" i="4"/>
  <c r="U3090" i="4" s="1"/>
  <c r="X3089" i="4" l="1"/>
  <c r="Y3089" i="4" s="1"/>
  <c r="R3090" i="4"/>
  <c r="W3090" i="4" s="1"/>
  <c r="Q3090" i="4"/>
  <c r="V3090" i="4" s="1"/>
  <c r="S3090" i="4"/>
  <c r="P3090" i="4"/>
  <c r="T3091" i="4"/>
  <c r="O3091" i="4"/>
  <c r="U3091" i="4" s="1"/>
  <c r="J3092" i="4"/>
  <c r="M3092" i="4"/>
  <c r="K3092" i="4"/>
  <c r="N3092" i="4" s="1"/>
  <c r="L3092" i="4"/>
  <c r="X3090" i="4" l="1"/>
  <c r="Y3090" i="4" s="1"/>
  <c r="R3091" i="4"/>
  <c r="W3091" i="4" s="1"/>
  <c r="Q3091" i="4"/>
  <c r="V3091" i="4" s="1"/>
  <c r="S3091" i="4"/>
  <c r="T3092" i="4"/>
  <c r="P3091" i="4"/>
  <c r="J3093" i="4"/>
  <c r="K3093" i="4"/>
  <c r="N3093" i="4" s="1"/>
  <c r="L3093" i="4"/>
  <c r="M3093" i="4"/>
  <c r="O3092" i="4"/>
  <c r="U3092" i="4" s="1"/>
  <c r="X3091" i="4" l="1"/>
  <c r="Y3091" i="4" s="1"/>
  <c r="R3092" i="4"/>
  <c r="W3092" i="4" s="1"/>
  <c r="Q3092" i="4"/>
  <c r="V3092" i="4" s="1"/>
  <c r="S3092" i="4"/>
  <c r="P3092" i="4"/>
  <c r="T3093" i="4"/>
  <c r="O3093" i="4"/>
  <c r="U3093" i="4" s="1"/>
  <c r="J3094" i="4"/>
  <c r="M3094" i="4"/>
  <c r="K3094" i="4"/>
  <c r="N3094" i="4" s="1"/>
  <c r="L3094" i="4"/>
  <c r="X3092" i="4" l="1"/>
  <c r="Y3092" i="4" s="1"/>
  <c r="R3093" i="4"/>
  <c r="W3093" i="4" s="1"/>
  <c r="Q3093" i="4"/>
  <c r="V3093" i="4" s="1"/>
  <c r="S3093" i="4"/>
  <c r="P3093" i="4"/>
  <c r="T3094" i="4"/>
  <c r="J3095" i="4"/>
  <c r="K3095" i="4"/>
  <c r="N3095" i="4" s="1"/>
  <c r="L3095" i="4"/>
  <c r="M3095" i="4"/>
  <c r="O3094" i="4"/>
  <c r="U3094" i="4" s="1"/>
  <c r="X3093" i="4" l="1"/>
  <c r="Y3093" i="4" s="1"/>
  <c r="R3094" i="4"/>
  <c r="W3094" i="4" s="1"/>
  <c r="Q3094" i="4"/>
  <c r="V3094" i="4" s="1"/>
  <c r="S3094" i="4"/>
  <c r="P3094" i="4"/>
  <c r="T3095" i="4"/>
  <c r="O3095" i="4"/>
  <c r="U3095" i="4" s="1"/>
  <c r="J3096" i="4"/>
  <c r="M3096" i="4"/>
  <c r="K3096" i="4"/>
  <c r="N3096" i="4" s="1"/>
  <c r="T3096" i="4" s="1"/>
  <c r="L3096" i="4"/>
  <c r="X3094" i="4" l="1"/>
  <c r="Y3094" i="4" s="1"/>
  <c r="R3095" i="4"/>
  <c r="W3095" i="4" s="1"/>
  <c r="Q3095" i="4"/>
  <c r="V3095" i="4" s="1"/>
  <c r="S3095" i="4"/>
  <c r="Q3096" i="4"/>
  <c r="V3096" i="4" s="1"/>
  <c r="S3096" i="4"/>
  <c r="P3095" i="4"/>
  <c r="J3097" i="4"/>
  <c r="K3097" i="4"/>
  <c r="N3097" i="4" s="1"/>
  <c r="L3097" i="4"/>
  <c r="M3097" i="4"/>
  <c r="O3096" i="4"/>
  <c r="U3096" i="4" s="1"/>
  <c r="X3095" i="4" l="1"/>
  <c r="Y3095" i="4" s="1"/>
  <c r="R3096" i="4"/>
  <c r="W3096" i="4" s="1"/>
  <c r="X3096" i="4" s="1"/>
  <c r="Y3096" i="4" s="1"/>
  <c r="P3096" i="4"/>
  <c r="T3097" i="4"/>
  <c r="O3097" i="4"/>
  <c r="U3097" i="4" s="1"/>
  <c r="J3098" i="4"/>
  <c r="M3098" i="4"/>
  <c r="K3098" i="4"/>
  <c r="N3098" i="4" s="1"/>
  <c r="T3098" i="4" s="1"/>
  <c r="L3098" i="4"/>
  <c r="R3097" i="4" l="1"/>
  <c r="W3097" i="4" s="1"/>
  <c r="Q3098" i="4"/>
  <c r="V3098" i="4" s="1"/>
  <c r="S3098" i="4"/>
  <c r="Q3097" i="4"/>
  <c r="V3097" i="4" s="1"/>
  <c r="S3097" i="4"/>
  <c r="P3097" i="4"/>
  <c r="J3099" i="4"/>
  <c r="K3099" i="4"/>
  <c r="N3099" i="4" s="1"/>
  <c r="L3099" i="4"/>
  <c r="M3099" i="4"/>
  <c r="O3098" i="4"/>
  <c r="U3098" i="4" s="1"/>
  <c r="X3097" i="4" l="1"/>
  <c r="Y3097" i="4" s="1"/>
  <c r="R3098" i="4"/>
  <c r="W3098" i="4" s="1"/>
  <c r="X3098" i="4" s="1"/>
  <c r="Y3098" i="4" s="1"/>
  <c r="P3098" i="4"/>
  <c r="T3099" i="4"/>
  <c r="O3099" i="4"/>
  <c r="U3099" i="4" s="1"/>
  <c r="J3100" i="4"/>
  <c r="M3100" i="4"/>
  <c r="K3100" i="4"/>
  <c r="N3100" i="4" s="1"/>
  <c r="L3100" i="4"/>
  <c r="R3099" i="4" l="1"/>
  <c r="W3099" i="4" s="1"/>
  <c r="Q3099" i="4"/>
  <c r="V3099" i="4" s="1"/>
  <c r="S3099" i="4"/>
  <c r="T3100" i="4"/>
  <c r="P3099" i="4"/>
  <c r="J3101" i="4"/>
  <c r="K3101" i="4"/>
  <c r="N3101" i="4" s="1"/>
  <c r="L3101" i="4"/>
  <c r="M3101" i="4"/>
  <c r="O3100" i="4"/>
  <c r="U3100" i="4" s="1"/>
  <c r="X3099" i="4" l="1"/>
  <c r="Y3099" i="4" s="1"/>
  <c r="R3100" i="4"/>
  <c r="W3100" i="4" s="1"/>
  <c r="Q3100" i="4"/>
  <c r="V3100" i="4" s="1"/>
  <c r="S3100" i="4"/>
  <c r="P3100" i="4"/>
  <c r="T3101" i="4"/>
  <c r="O3101" i="4"/>
  <c r="U3101" i="4" s="1"/>
  <c r="J3102" i="4"/>
  <c r="M3102" i="4"/>
  <c r="K3102" i="4"/>
  <c r="N3102" i="4" s="1"/>
  <c r="L3102" i="4"/>
  <c r="X3100" i="4" l="1"/>
  <c r="Y3100" i="4" s="1"/>
  <c r="R3101" i="4"/>
  <c r="W3101" i="4" s="1"/>
  <c r="Q3101" i="4"/>
  <c r="V3101" i="4" s="1"/>
  <c r="S3101" i="4"/>
  <c r="P3101" i="4"/>
  <c r="T3102" i="4"/>
  <c r="J3103" i="4"/>
  <c r="K3103" i="4"/>
  <c r="N3103" i="4" s="1"/>
  <c r="L3103" i="4"/>
  <c r="M3103" i="4"/>
  <c r="O3102" i="4"/>
  <c r="U3102" i="4" s="1"/>
  <c r="X3101" i="4" l="1"/>
  <c r="Y3101" i="4" s="1"/>
  <c r="R3102" i="4"/>
  <c r="W3102" i="4" s="1"/>
  <c r="Q3102" i="4"/>
  <c r="V3102" i="4" s="1"/>
  <c r="S3102" i="4"/>
  <c r="P3102" i="4"/>
  <c r="T3103" i="4"/>
  <c r="O3103" i="4"/>
  <c r="U3103" i="4" s="1"/>
  <c r="J3104" i="4"/>
  <c r="M3104" i="4"/>
  <c r="K3104" i="4"/>
  <c r="N3104" i="4" s="1"/>
  <c r="L3104" i="4"/>
  <c r="X3102" i="4" l="1"/>
  <c r="Y3102" i="4" s="1"/>
  <c r="R3103" i="4"/>
  <c r="W3103" i="4" s="1"/>
  <c r="Q3103" i="4"/>
  <c r="V3103" i="4" s="1"/>
  <c r="S3103" i="4"/>
  <c r="P3103" i="4"/>
  <c r="T3104" i="4"/>
  <c r="J3105" i="4"/>
  <c r="K3105" i="4"/>
  <c r="N3105" i="4" s="1"/>
  <c r="T3105" i="4" s="1"/>
  <c r="L3105" i="4"/>
  <c r="M3105" i="4"/>
  <c r="O3104" i="4"/>
  <c r="U3104" i="4" s="1"/>
  <c r="X3103" i="4" l="1"/>
  <c r="Y3103" i="4" s="1"/>
  <c r="R3104" i="4"/>
  <c r="W3104" i="4" s="1"/>
  <c r="Q3104" i="4"/>
  <c r="V3104" i="4" s="1"/>
  <c r="S3104" i="4"/>
  <c r="Q3105" i="4"/>
  <c r="V3105" i="4" s="1"/>
  <c r="S3105" i="4"/>
  <c r="P3104" i="4"/>
  <c r="O3105" i="4"/>
  <c r="J3106" i="4"/>
  <c r="M3106" i="4"/>
  <c r="K3106" i="4"/>
  <c r="N3106" i="4" s="1"/>
  <c r="T3106" i="4" s="1"/>
  <c r="L3106" i="4"/>
  <c r="X3104" i="4" l="1"/>
  <c r="Y3104" i="4" s="1"/>
  <c r="Q3106" i="4"/>
  <c r="V3106" i="4" s="1"/>
  <c r="S3106" i="4"/>
  <c r="P3105" i="4"/>
  <c r="U3105" i="4"/>
  <c r="J3107" i="4"/>
  <c r="K3107" i="4"/>
  <c r="N3107" i="4" s="1"/>
  <c r="T3107" i="4" s="1"/>
  <c r="L3107" i="4"/>
  <c r="M3107" i="4"/>
  <c r="O3106" i="4"/>
  <c r="R3105" i="4" l="1"/>
  <c r="W3105" i="4" s="1"/>
  <c r="X3105" i="4" s="1"/>
  <c r="Y3105" i="4" s="1"/>
  <c r="Q3107" i="4"/>
  <c r="V3107" i="4" s="1"/>
  <c r="S3107" i="4"/>
  <c r="P3106" i="4"/>
  <c r="U3106" i="4"/>
  <c r="O3107" i="4"/>
  <c r="U3107" i="4" s="1"/>
  <c r="J3108" i="4"/>
  <c r="M3108" i="4"/>
  <c r="K3108" i="4"/>
  <c r="N3108" i="4" s="1"/>
  <c r="T3108" i="4" s="1"/>
  <c r="L3108" i="4"/>
  <c r="R3107" i="4" l="1"/>
  <c r="W3107" i="4" s="1"/>
  <c r="X3107" i="4" s="1"/>
  <c r="Y3107" i="4" s="1"/>
  <c r="R3106" i="4"/>
  <c r="W3106" i="4" s="1"/>
  <c r="X3106" i="4" s="1"/>
  <c r="Y3106" i="4" s="1"/>
  <c r="Q3108" i="4"/>
  <c r="V3108" i="4" s="1"/>
  <c r="S3108" i="4"/>
  <c r="P3107" i="4"/>
  <c r="J3109" i="4"/>
  <c r="K3109" i="4"/>
  <c r="N3109" i="4" s="1"/>
  <c r="L3109" i="4"/>
  <c r="M3109" i="4"/>
  <c r="O3108" i="4"/>
  <c r="P3108" i="4" l="1"/>
  <c r="U3108" i="4"/>
  <c r="T3109" i="4"/>
  <c r="O3109" i="4"/>
  <c r="U3109" i="4" s="1"/>
  <c r="J3110" i="4"/>
  <c r="M3110" i="4"/>
  <c r="K3110" i="4"/>
  <c r="N3110" i="4" s="1"/>
  <c r="T3110" i="4" s="1"/>
  <c r="L3110" i="4"/>
  <c r="R3109" i="4" l="1"/>
  <c r="W3109" i="4" s="1"/>
  <c r="R3108" i="4"/>
  <c r="W3108" i="4" s="1"/>
  <c r="X3108" i="4" s="1"/>
  <c r="Y3108" i="4" s="1"/>
  <c r="Q3110" i="4"/>
  <c r="V3110" i="4" s="1"/>
  <c r="S3110" i="4"/>
  <c r="Q3109" i="4"/>
  <c r="V3109" i="4" s="1"/>
  <c r="S3109" i="4"/>
  <c r="P3109" i="4"/>
  <c r="O3110" i="4"/>
  <c r="J3111" i="4"/>
  <c r="K3111" i="4"/>
  <c r="N3111" i="4" s="1"/>
  <c r="T3111" i="4" s="1"/>
  <c r="L3111" i="4"/>
  <c r="M3111" i="4"/>
  <c r="X3109" i="4" l="1"/>
  <c r="Y3109" i="4" s="1"/>
  <c r="Q3111" i="4"/>
  <c r="V3111" i="4" s="1"/>
  <c r="S3111" i="4"/>
  <c r="P3110" i="4"/>
  <c r="U3110" i="4"/>
  <c r="O3111" i="4"/>
  <c r="U3111" i="4" s="1"/>
  <c r="J3112" i="4"/>
  <c r="M3112" i="4"/>
  <c r="K3112" i="4"/>
  <c r="N3112" i="4" s="1"/>
  <c r="L3112" i="4"/>
  <c r="R3111" i="4" l="1"/>
  <c r="W3111" i="4" s="1"/>
  <c r="X3111" i="4" s="1"/>
  <c r="Y3111" i="4" s="1"/>
  <c r="R3110" i="4"/>
  <c r="W3110" i="4" s="1"/>
  <c r="X3110" i="4" s="1"/>
  <c r="Y3110" i="4" s="1"/>
  <c r="T3112" i="4"/>
  <c r="P3111" i="4"/>
  <c r="J3113" i="4"/>
  <c r="K3113" i="4"/>
  <c r="N3113" i="4" s="1"/>
  <c r="L3113" i="4"/>
  <c r="M3113" i="4"/>
  <c r="O3112" i="4"/>
  <c r="U3112" i="4" s="1"/>
  <c r="R3112" i="4" l="1"/>
  <c r="W3112" i="4" s="1"/>
  <c r="Q3112" i="4"/>
  <c r="V3112" i="4" s="1"/>
  <c r="S3112" i="4"/>
  <c r="P3112" i="4"/>
  <c r="T3113" i="4"/>
  <c r="O3113" i="4"/>
  <c r="U3113" i="4" s="1"/>
  <c r="J3114" i="4"/>
  <c r="M3114" i="4"/>
  <c r="K3114" i="4"/>
  <c r="N3114" i="4" s="1"/>
  <c r="L3114" i="4"/>
  <c r="X3112" i="4" l="1"/>
  <c r="Y3112" i="4" s="1"/>
  <c r="R3113" i="4"/>
  <c r="W3113" i="4" s="1"/>
  <c r="Q3113" i="4"/>
  <c r="V3113" i="4" s="1"/>
  <c r="S3113" i="4"/>
  <c r="P3113" i="4"/>
  <c r="T3114" i="4"/>
  <c r="J3115" i="4"/>
  <c r="K3115" i="4"/>
  <c r="N3115" i="4" s="1"/>
  <c r="L3115" i="4"/>
  <c r="M3115" i="4"/>
  <c r="O3114" i="4"/>
  <c r="U3114" i="4" s="1"/>
  <c r="X3113" i="4" l="1"/>
  <c r="Y3113" i="4" s="1"/>
  <c r="R3114" i="4"/>
  <c r="W3114" i="4" s="1"/>
  <c r="Q3114" i="4"/>
  <c r="V3114" i="4" s="1"/>
  <c r="S3114" i="4"/>
  <c r="P3114" i="4"/>
  <c r="T3115" i="4"/>
  <c r="O3115" i="4"/>
  <c r="U3115" i="4" s="1"/>
  <c r="J3116" i="4"/>
  <c r="M3116" i="4"/>
  <c r="K3116" i="4"/>
  <c r="N3116" i="4" s="1"/>
  <c r="L3116" i="4"/>
  <c r="X3114" i="4" l="1"/>
  <c r="Y3114" i="4" s="1"/>
  <c r="R3115" i="4"/>
  <c r="W3115" i="4" s="1"/>
  <c r="Q3115" i="4"/>
  <c r="V3115" i="4" s="1"/>
  <c r="S3115" i="4"/>
  <c r="P3115" i="4"/>
  <c r="T3116" i="4"/>
  <c r="J3117" i="4"/>
  <c r="K3117" i="4"/>
  <c r="N3117" i="4" s="1"/>
  <c r="L3117" i="4"/>
  <c r="M3117" i="4"/>
  <c r="O3116" i="4"/>
  <c r="X3115" i="4" l="1"/>
  <c r="Y3115" i="4" s="1"/>
  <c r="Q3116" i="4"/>
  <c r="V3116" i="4" s="1"/>
  <c r="S3116" i="4"/>
  <c r="P3116" i="4"/>
  <c r="U3116" i="4"/>
  <c r="T3117" i="4"/>
  <c r="O3117" i="4"/>
  <c r="J3118" i="4"/>
  <c r="M3118" i="4"/>
  <c r="K3118" i="4"/>
  <c r="N3118" i="4" s="1"/>
  <c r="L3118" i="4"/>
  <c r="R3116" i="4" l="1"/>
  <c r="W3116" i="4" s="1"/>
  <c r="X3116" i="4" s="1"/>
  <c r="Y3116" i="4" s="1"/>
  <c r="Q3117" i="4"/>
  <c r="V3117" i="4" s="1"/>
  <c r="S3117" i="4"/>
  <c r="T3118" i="4"/>
  <c r="P3117" i="4"/>
  <c r="U3117" i="4"/>
  <c r="J3119" i="4"/>
  <c r="K3119" i="4"/>
  <c r="N3119" i="4" s="1"/>
  <c r="L3119" i="4"/>
  <c r="M3119" i="4"/>
  <c r="O3118" i="4"/>
  <c r="R3117" i="4" l="1"/>
  <c r="W3117" i="4" s="1"/>
  <c r="X3117" i="4" s="1"/>
  <c r="Y3117" i="4" s="1"/>
  <c r="Q3118" i="4"/>
  <c r="V3118" i="4" s="1"/>
  <c r="S3118" i="4"/>
  <c r="P3118" i="4"/>
  <c r="U3118" i="4"/>
  <c r="T3119" i="4"/>
  <c r="O3119" i="4"/>
  <c r="J3120" i="4"/>
  <c r="M3120" i="4"/>
  <c r="K3120" i="4"/>
  <c r="N3120" i="4" s="1"/>
  <c r="T3120" i="4" s="1"/>
  <c r="L3120" i="4"/>
  <c r="R3118" i="4" l="1"/>
  <c r="W3118" i="4" s="1"/>
  <c r="X3118" i="4" s="1"/>
  <c r="Y3118" i="4" s="1"/>
  <c r="Q3120" i="4"/>
  <c r="V3120" i="4" s="1"/>
  <c r="S3120" i="4"/>
  <c r="Q3119" i="4"/>
  <c r="V3119" i="4" s="1"/>
  <c r="S3119" i="4"/>
  <c r="P3119" i="4"/>
  <c r="U3119" i="4"/>
  <c r="J3121" i="4"/>
  <c r="K3121" i="4"/>
  <c r="N3121" i="4" s="1"/>
  <c r="L3121" i="4"/>
  <c r="M3121" i="4"/>
  <c r="O3120" i="4"/>
  <c r="U3120" i="4" s="1"/>
  <c r="R3119" i="4" l="1"/>
  <c r="W3119" i="4" s="1"/>
  <c r="X3119" i="4" s="1"/>
  <c r="Y3119" i="4" s="1"/>
  <c r="R3120" i="4"/>
  <c r="W3120" i="4" s="1"/>
  <c r="X3120" i="4" s="1"/>
  <c r="Y3120" i="4" s="1"/>
  <c r="P3120" i="4"/>
  <c r="T3121" i="4"/>
  <c r="O3121" i="4"/>
  <c r="U3121" i="4" s="1"/>
  <c r="J3122" i="4"/>
  <c r="M3122" i="4"/>
  <c r="K3122" i="4"/>
  <c r="N3122" i="4" s="1"/>
  <c r="L3122" i="4"/>
  <c r="R3121" i="4" l="1"/>
  <c r="W3121" i="4" s="1"/>
  <c r="Q3121" i="4"/>
  <c r="V3121" i="4" s="1"/>
  <c r="S3121" i="4"/>
  <c r="P3121" i="4"/>
  <c r="T3122" i="4"/>
  <c r="J3123" i="4"/>
  <c r="K3123" i="4"/>
  <c r="N3123" i="4" s="1"/>
  <c r="L3123" i="4"/>
  <c r="M3123" i="4"/>
  <c r="O3122" i="4"/>
  <c r="U3122" i="4" s="1"/>
  <c r="X3121" i="4" l="1"/>
  <c r="Y3121" i="4" s="1"/>
  <c r="R3122" i="4"/>
  <c r="W3122" i="4" s="1"/>
  <c r="Q3122" i="4"/>
  <c r="V3122" i="4" s="1"/>
  <c r="S3122" i="4"/>
  <c r="P3122" i="4"/>
  <c r="T3123" i="4"/>
  <c r="O3123" i="4"/>
  <c r="U3123" i="4" s="1"/>
  <c r="J3124" i="4"/>
  <c r="M3124" i="4"/>
  <c r="K3124" i="4"/>
  <c r="N3124" i="4" s="1"/>
  <c r="L3124" i="4"/>
  <c r="X3122" i="4" l="1"/>
  <c r="Y3122" i="4" s="1"/>
  <c r="R3123" i="4"/>
  <c r="W3123" i="4" s="1"/>
  <c r="Q3123" i="4"/>
  <c r="V3123" i="4" s="1"/>
  <c r="S3123" i="4"/>
  <c r="P3123" i="4"/>
  <c r="T3124" i="4"/>
  <c r="J3125" i="4"/>
  <c r="K3125" i="4"/>
  <c r="N3125" i="4" s="1"/>
  <c r="L3125" i="4"/>
  <c r="M3125" i="4"/>
  <c r="O3124" i="4"/>
  <c r="U3124" i="4" s="1"/>
  <c r="X3123" i="4" l="1"/>
  <c r="Y3123" i="4" s="1"/>
  <c r="R3124" i="4"/>
  <c r="W3124" i="4" s="1"/>
  <c r="Q3124" i="4"/>
  <c r="V3124" i="4" s="1"/>
  <c r="S3124" i="4"/>
  <c r="P3124" i="4"/>
  <c r="T3125" i="4"/>
  <c r="O3125" i="4"/>
  <c r="U3125" i="4" s="1"/>
  <c r="J3126" i="4"/>
  <c r="M3126" i="4"/>
  <c r="K3126" i="4"/>
  <c r="N3126" i="4" s="1"/>
  <c r="L3126" i="4"/>
  <c r="X3124" i="4" l="1"/>
  <c r="Y3124" i="4" s="1"/>
  <c r="R3125" i="4"/>
  <c r="W3125" i="4" s="1"/>
  <c r="Q3125" i="4"/>
  <c r="V3125" i="4" s="1"/>
  <c r="S3125" i="4"/>
  <c r="P3125" i="4"/>
  <c r="T3126" i="4"/>
  <c r="J3127" i="4"/>
  <c r="K3127" i="4"/>
  <c r="N3127" i="4" s="1"/>
  <c r="T3127" i="4" s="1"/>
  <c r="L3127" i="4"/>
  <c r="M3127" i="4"/>
  <c r="O3126" i="4"/>
  <c r="X3125" i="4" l="1"/>
  <c r="Y3125" i="4" s="1"/>
  <c r="Q3127" i="4"/>
  <c r="V3127" i="4" s="1"/>
  <c r="S3127" i="4"/>
  <c r="Q3126" i="4"/>
  <c r="V3126" i="4" s="1"/>
  <c r="S3126" i="4"/>
  <c r="P3126" i="4"/>
  <c r="U3126" i="4"/>
  <c r="O3127" i="4"/>
  <c r="J3128" i="4"/>
  <c r="M3128" i="4"/>
  <c r="K3128" i="4"/>
  <c r="N3128" i="4" s="1"/>
  <c r="L3128" i="4"/>
  <c r="R3126" i="4" l="1"/>
  <c r="W3126" i="4" s="1"/>
  <c r="X3126" i="4" s="1"/>
  <c r="Y3126" i="4" s="1"/>
  <c r="P3127" i="4"/>
  <c r="T3128" i="4"/>
  <c r="U3127" i="4"/>
  <c r="J3129" i="4"/>
  <c r="K3129" i="4"/>
  <c r="N3129" i="4" s="1"/>
  <c r="T3129" i="4" s="1"/>
  <c r="L3129" i="4"/>
  <c r="M3129" i="4"/>
  <c r="O3128" i="4"/>
  <c r="R3127" i="4" l="1"/>
  <c r="W3127" i="4" s="1"/>
  <c r="X3127" i="4" s="1"/>
  <c r="Y3127" i="4" s="1"/>
  <c r="Q3128" i="4"/>
  <c r="V3128" i="4" s="1"/>
  <c r="S3128" i="4"/>
  <c r="Q3129" i="4"/>
  <c r="V3129" i="4" s="1"/>
  <c r="S3129" i="4"/>
  <c r="P3128" i="4"/>
  <c r="U3128" i="4"/>
  <c r="O3129" i="4"/>
  <c r="U3129" i="4" s="1"/>
  <c r="J3130" i="4"/>
  <c r="M3130" i="4"/>
  <c r="K3130" i="4"/>
  <c r="N3130" i="4" s="1"/>
  <c r="L3130" i="4"/>
  <c r="R3129" i="4" l="1"/>
  <c r="W3129" i="4" s="1"/>
  <c r="X3129" i="4" s="1"/>
  <c r="Y3129" i="4" s="1"/>
  <c r="R3128" i="4"/>
  <c r="W3128" i="4" s="1"/>
  <c r="X3128" i="4" s="1"/>
  <c r="Y3128" i="4" s="1"/>
  <c r="P3129" i="4"/>
  <c r="T3130" i="4"/>
  <c r="J3131" i="4"/>
  <c r="K3131" i="4"/>
  <c r="N3131" i="4" s="1"/>
  <c r="T3131" i="4" s="1"/>
  <c r="L3131" i="4"/>
  <c r="M3131" i="4"/>
  <c r="O3130" i="4"/>
  <c r="Q3130" i="4" l="1"/>
  <c r="V3130" i="4" s="1"/>
  <c r="S3130" i="4"/>
  <c r="Q3131" i="4"/>
  <c r="V3131" i="4" s="1"/>
  <c r="S3131" i="4"/>
  <c r="P3130" i="4"/>
  <c r="U3130" i="4"/>
  <c r="O3131" i="4"/>
  <c r="U3131" i="4" s="1"/>
  <c r="J3132" i="4"/>
  <c r="M3132" i="4"/>
  <c r="K3132" i="4"/>
  <c r="N3132" i="4" s="1"/>
  <c r="L3132" i="4"/>
  <c r="R3130" i="4" l="1"/>
  <c r="W3130" i="4" s="1"/>
  <c r="X3130" i="4" s="1"/>
  <c r="Y3130" i="4" s="1"/>
  <c r="R3131" i="4"/>
  <c r="W3131" i="4" s="1"/>
  <c r="X3131" i="4" s="1"/>
  <c r="Y3131" i="4" s="1"/>
  <c r="T3132" i="4"/>
  <c r="P3131" i="4"/>
  <c r="J3133" i="4"/>
  <c r="K3133" i="4"/>
  <c r="N3133" i="4" s="1"/>
  <c r="L3133" i="4"/>
  <c r="M3133" i="4"/>
  <c r="O3132" i="4"/>
  <c r="Q3132" i="4" l="1"/>
  <c r="V3132" i="4" s="1"/>
  <c r="S3132" i="4"/>
  <c r="P3132" i="4"/>
  <c r="U3132" i="4"/>
  <c r="T3133" i="4"/>
  <c r="O3133" i="4"/>
  <c r="J3134" i="4"/>
  <c r="M3134" i="4"/>
  <c r="K3134" i="4"/>
  <c r="N3134" i="4" s="1"/>
  <c r="T3134" i="4" s="1"/>
  <c r="L3134" i="4"/>
  <c r="R3132" i="4" l="1"/>
  <c r="W3132" i="4" s="1"/>
  <c r="X3132" i="4" s="1"/>
  <c r="Y3132" i="4" s="1"/>
  <c r="Q3133" i="4"/>
  <c r="V3133" i="4" s="1"/>
  <c r="S3133" i="4"/>
  <c r="Q3134" i="4"/>
  <c r="V3134" i="4" s="1"/>
  <c r="S3134" i="4"/>
  <c r="P3133" i="4"/>
  <c r="U3133" i="4"/>
  <c r="J3135" i="4"/>
  <c r="K3135" i="4"/>
  <c r="N3135" i="4" s="1"/>
  <c r="L3135" i="4"/>
  <c r="M3135" i="4"/>
  <c r="O3134" i="4"/>
  <c r="U3134" i="4" s="1"/>
  <c r="R3134" i="4" l="1"/>
  <c r="W3134" i="4" s="1"/>
  <c r="X3134" i="4" s="1"/>
  <c r="Y3134" i="4" s="1"/>
  <c r="R3133" i="4"/>
  <c r="W3133" i="4" s="1"/>
  <c r="X3133" i="4" s="1"/>
  <c r="Y3133" i="4" s="1"/>
  <c r="P3134" i="4"/>
  <c r="T3135" i="4"/>
  <c r="O3135" i="4"/>
  <c r="U3135" i="4" s="1"/>
  <c r="J3136" i="4"/>
  <c r="M3136" i="4"/>
  <c r="K3136" i="4"/>
  <c r="N3136" i="4" s="1"/>
  <c r="L3136" i="4"/>
  <c r="R3135" i="4" l="1"/>
  <c r="W3135" i="4" s="1"/>
  <c r="Q3135" i="4"/>
  <c r="V3135" i="4" s="1"/>
  <c r="S3135" i="4"/>
  <c r="P3135" i="4"/>
  <c r="T3136" i="4"/>
  <c r="O3136" i="4"/>
  <c r="U3136" i="4" s="1"/>
  <c r="J3137" i="4"/>
  <c r="K3137" i="4"/>
  <c r="N3137" i="4" s="1"/>
  <c r="L3137" i="4"/>
  <c r="M3137" i="4"/>
  <c r="X3135" i="4" l="1"/>
  <c r="Y3135" i="4" s="1"/>
  <c r="R3136" i="4"/>
  <c r="W3136" i="4" s="1"/>
  <c r="Q3136" i="4"/>
  <c r="V3136" i="4" s="1"/>
  <c r="S3136" i="4"/>
  <c r="P3136" i="4"/>
  <c r="T3137" i="4"/>
  <c r="O3137" i="4"/>
  <c r="U3137" i="4" s="1"/>
  <c r="J3138" i="4"/>
  <c r="M3138" i="4"/>
  <c r="K3138" i="4"/>
  <c r="N3138" i="4" s="1"/>
  <c r="L3138" i="4"/>
  <c r="X3136" i="4" l="1"/>
  <c r="Y3136" i="4" s="1"/>
  <c r="R3137" i="4"/>
  <c r="W3137" i="4" s="1"/>
  <c r="Q3137" i="4"/>
  <c r="V3137" i="4" s="1"/>
  <c r="S3137" i="4"/>
  <c r="P3137" i="4"/>
  <c r="T3138" i="4"/>
  <c r="J3139" i="4"/>
  <c r="K3139" i="4"/>
  <c r="N3139" i="4" s="1"/>
  <c r="L3139" i="4"/>
  <c r="M3139" i="4"/>
  <c r="O3138" i="4"/>
  <c r="U3138" i="4" s="1"/>
  <c r="X3137" i="4" l="1"/>
  <c r="Y3137" i="4" s="1"/>
  <c r="R3138" i="4"/>
  <c r="W3138" i="4" s="1"/>
  <c r="Q3138" i="4"/>
  <c r="V3138" i="4" s="1"/>
  <c r="S3138" i="4"/>
  <c r="P3138" i="4"/>
  <c r="T3139" i="4"/>
  <c r="O3139" i="4"/>
  <c r="U3139" i="4" s="1"/>
  <c r="J3140" i="4"/>
  <c r="M3140" i="4"/>
  <c r="K3140" i="4"/>
  <c r="N3140" i="4" s="1"/>
  <c r="L3140" i="4"/>
  <c r="X3138" i="4" l="1"/>
  <c r="Y3138" i="4" s="1"/>
  <c r="R3139" i="4"/>
  <c r="W3139" i="4" s="1"/>
  <c r="Q3139" i="4"/>
  <c r="V3139" i="4" s="1"/>
  <c r="S3139" i="4"/>
  <c r="P3139" i="4"/>
  <c r="T3140" i="4"/>
  <c r="J3141" i="4"/>
  <c r="K3141" i="4"/>
  <c r="N3141" i="4" s="1"/>
  <c r="L3141" i="4"/>
  <c r="M3141" i="4"/>
  <c r="O3140" i="4"/>
  <c r="U3140" i="4" s="1"/>
  <c r="X3139" i="4" l="1"/>
  <c r="Y3139" i="4" s="1"/>
  <c r="R3140" i="4"/>
  <c r="W3140" i="4" s="1"/>
  <c r="Q3140" i="4"/>
  <c r="V3140" i="4" s="1"/>
  <c r="S3140" i="4"/>
  <c r="P3140" i="4"/>
  <c r="T3141" i="4"/>
  <c r="O3141" i="4"/>
  <c r="U3141" i="4" s="1"/>
  <c r="J3142" i="4"/>
  <c r="M3142" i="4"/>
  <c r="K3142" i="4"/>
  <c r="N3142" i="4" s="1"/>
  <c r="L3142" i="4"/>
  <c r="X3140" i="4" l="1"/>
  <c r="Y3140" i="4" s="1"/>
  <c r="R3141" i="4"/>
  <c r="W3141" i="4" s="1"/>
  <c r="Q3141" i="4"/>
  <c r="V3141" i="4" s="1"/>
  <c r="S3141" i="4"/>
  <c r="P3141" i="4"/>
  <c r="T3142" i="4"/>
  <c r="J3143" i="4"/>
  <c r="K3143" i="4"/>
  <c r="N3143" i="4" s="1"/>
  <c r="L3143" i="4"/>
  <c r="M3143" i="4"/>
  <c r="O3142" i="4"/>
  <c r="U3142" i="4" s="1"/>
  <c r="X3141" i="4" l="1"/>
  <c r="Y3141" i="4" s="1"/>
  <c r="R3142" i="4"/>
  <c r="W3142" i="4" s="1"/>
  <c r="Q3142" i="4"/>
  <c r="V3142" i="4" s="1"/>
  <c r="S3142" i="4"/>
  <c r="P3142" i="4"/>
  <c r="T3143" i="4"/>
  <c r="O3143" i="4"/>
  <c r="U3143" i="4" s="1"/>
  <c r="J3144" i="4"/>
  <c r="M3144" i="4"/>
  <c r="K3144" i="4"/>
  <c r="N3144" i="4" s="1"/>
  <c r="L3144" i="4"/>
  <c r="X3142" i="4" l="1"/>
  <c r="Y3142" i="4" s="1"/>
  <c r="R3143" i="4"/>
  <c r="W3143" i="4" s="1"/>
  <c r="Q3143" i="4"/>
  <c r="V3143" i="4" s="1"/>
  <c r="S3143" i="4"/>
  <c r="P3143" i="4"/>
  <c r="T3144" i="4"/>
  <c r="O3144" i="4"/>
  <c r="U3144" i="4" s="1"/>
  <c r="J3145" i="4"/>
  <c r="K3145" i="4"/>
  <c r="N3145" i="4" s="1"/>
  <c r="L3145" i="4"/>
  <c r="M3145" i="4"/>
  <c r="X3143" i="4" l="1"/>
  <c r="Y3143" i="4" s="1"/>
  <c r="R3144" i="4"/>
  <c r="W3144" i="4" s="1"/>
  <c r="Q3144" i="4"/>
  <c r="V3144" i="4" s="1"/>
  <c r="S3144" i="4"/>
  <c r="P3144" i="4"/>
  <c r="T3145" i="4"/>
  <c r="O3145" i="4"/>
  <c r="U3145" i="4" s="1"/>
  <c r="J3146" i="4"/>
  <c r="M3146" i="4"/>
  <c r="K3146" i="4"/>
  <c r="N3146" i="4" s="1"/>
  <c r="L3146" i="4"/>
  <c r="X3144" i="4" l="1"/>
  <c r="Y3144" i="4" s="1"/>
  <c r="R3145" i="4"/>
  <c r="W3145" i="4" s="1"/>
  <c r="Q3145" i="4"/>
  <c r="V3145" i="4" s="1"/>
  <c r="S3145" i="4"/>
  <c r="P3145" i="4"/>
  <c r="T3146" i="4"/>
  <c r="J3147" i="4"/>
  <c r="K3147" i="4"/>
  <c r="N3147" i="4" s="1"/>
  <c r="L3147" i="4"/>
  <c r="M3147" i="4"/>
  <c r="O3146" i="4"/>
  <c r="U3146" i="4" s="1"/>
  <c r="X3145" i="4" l="1"/>
  <c r="Y3145" i="4" s="1"/>
  <c r="R3146" i="4"/>
  <c r="W3146" i="4" s="1"/>
  <c r="Q3146" i="4"/>
  <c r="V3146" i="4" s="1"/>
  <c r="S3146" i="4"/>
  <c r="P3146" i="4"/>
  <c r="T3147" i="4"/>
  <c r="O3147" i="4"/>
  <c r="U3147" i="4" s="1"/>
  <c r="J3148" i="4"/>
  <c r="M3148" i="4"/>
  <c r="K3148" i="4"/>
  <c r="N3148" i="4" s="1"/>
  <c r="L3148" i="4"/>
  <c r="X3146" i="4" l="1"/>
  <c r="Y3146" i="4" s="1"/>
  <c r="R3147" i="4"/>
  <c r="W3147" i="4" s="1"/>
  <c r="Q3147" i="4"/>
  <c r="V3147" i="4" s="1"/>
  <c r="S3147" i="4"/>
  <c r="P3147" i="4"/>
  <c r="T3148" i="4"/>
  <c r="J3149" i="4"/>
  <c r="K3149" i="4"/>
  <c r="N3149" i="4" s="1"/>
  <c r="L3149" i="4"/>
  <c r="M3149" i="4"/>
  <c r="O3148" i="4"/>
  <c r="X3147" i="4" l="1"/>
  <c r="Y3147" i="4" s="1"/>
  <c r="Q3148" i="4"/>
  <c r="V3148" i="4" s="1"/>
  <c r="S3148" i="4"/>
  <c r="P3148" i="4"/>
  <c r="U3148" i="4"/>
  <c r="T3149" i="4"/>
  <c r="O3149" i="4"/>
  <c r="J3150" i="4"/>
  <c r="M3150" i="4"/>
  <c r="K3150" i="4"/>
  <c r="N3150" i="4" s="1"/>
  <c r="T3150" i="4" s="1"/>
  <c r="L3150" i="4"/>
  <c r="R3148" i="4" l="1"/>
  <c r="W3148" i="4" s="1"/>
  <c r="X3148" i="4" s="1"/>
  <c r="Y3148" i="4" s="1"/>
  <c r="Q3150" i="4"/>
  <c r="V3150" i="4" s="1"/>
  <c r="S3150" i="4"/>
  <c r="Q3149" i="4"/>
  <c r="V3149" i="4" s="1"/>
  <c r="S3149" i="4"/>
  <c r="P3149" i="4"/>
  <c r="U3149" i="4"/>
  <c r="J3151" i="4"/>
  <c r="K3151" i="4"/>
  <c r="N3151" i="4" s="1"/>
  <c r="T3151" i="4" s="1"/>
  <c r="L3151" i="4"/>
  <c r="M3151" i="4"/>
  <c r="O3150" i="4"/>
  <c r="U3150" i="4" s="1"/>
  <c r="R3150" i="4" l="1"/>
  <c r="W3150" i="4" s="1"/>
  <c r="X3150" i="4" s="1"/>
  <c r="Y3150" i="4" s="1"/>
  <c r="R3149" i="4"/>
  <c r="W3149" i="4" s="1"/>
  <c r="X3149" i="4" s="1"/>
  <c r="Y3149" i="4" s="1"/>
  <c r="Q3151" i="4"/>
  <c r="V3151" i="4" s="1"/>
  <c r="S3151" i="4"/>
  <c r="P3150" i="4"/>
  <c r="O3151" i="4"/>
  <c r="U3151" i="4" s="1"/>
  <c r="J3152" i="4"/>
  <c r="M3152" i="4"/>
  <c r="K3152" i="4"/>
  <c r="N3152" i="4" s="1"/>
  <c r="L3152" i="4"/>
  <c r="R3151" i="4" l="1"/>
  <c r="W3151" i="4" s="1"/>
  <c r="X3151" i="4" s="1"/>
  <c r="Y3151" i="4" s="1"/>
  <c r="P3151" i="4"/>
  <c r="T3152" i="4"/>
  <c r="J3153" i="4"/>
  <c r="K3153" i="4"/>
  <c r="N3153" i="4" s="1"/>
  <c r="L3153" i="4"/>
  <c r="M3153" i="4"/>
  <c r="O3152" i="4"/>
  <c r="U3152" i="4" s="1"/>
  <c r="R3152" i="4" l="1"/>
  <c r="W3152" i="4" s="1"/>
  <c r="Q3152" i="4"/>
  <c r="V3152" i="4" s="1"/>
  <c r="S3152" i="4"/>
  <c r="P3152" i="4"/>
  <c r="T3153" i="4"/>
  <c r="O3153" i="4"/>
  <c r="U3153" i="4" s="1"/>
  <c r="J3154" i="4"/>
  <c r="M3154" i="4"/>
  <c r="K3154" i="4"/>
  <c r="N3154" i="4" s="1"/>
  <c r="L3154" i="4"/>
  <c r="X3152" i="4" l="1"/>
  <c r="Y3152" i="4" s="1"/>
  <c r="R3153" i="4"/>
  <c r="W3153" i="4" s="1"/>
  <c r="Q3153" i="4"/>
  <c r="V3153" i="4" s="1"/>
  <c r="S3153" i="4"/>
  <c r="P3153" i="4"/>
  <c r="T3154" i="4"/>
  <c r="J3155" i="4"/>
  <c r="K3155" i="4"/>
  <c r="N3155" i="4" s="1"/>
  <c r="L3155" i="4"/>
  <c r="M3155" i="4"/>
  <c r="O3154" i="4"/>
  <c r="U3154" i="4" s="1"/>
  <c r="X3153" i="4" l="1"/>
  <c r="Y3153" i="4" s="1"/>
  <c r="R3154" i="4"/>
  <c r="W3154" i="4" s="1"/>
  <c r="Q3154" i="4"/>
  <c r="V3154" i="4" s="1"/>
  <c r="S3154" i="4"/>
  <c r="P3154" i="4"/>
  <c r="T3155" i="4"/>
  <c r="O3155" i="4"/>
  <c r="U3155" i="4" s="1"/>
  <c r="J3156" i="4"/>
  <c r="M3156" i="4"/>
  <c r="K3156" i="4"/>
  <c r="N3156" i="4" s="1"/>
  <c r="L3156" i="4"/>
  <c r="X3154" i="4" l="1"/>
  <c r="Y3154" i="4" s="1"/>
  <c r="R3155" i="4"/>
  <c r="W3155" i="4" s="1"/>
  <c r="Q3155" i="4"/>
  <c r="V3155" i="4" s="1"/>
  <c r="S3155" i="4"/>
  <c r="P3155" i="4"/>
  <c r="T3156" i="4"/>
  <c r="J3157" i="4"/>
  <c r="K3157" i="4"/>
  <c r="N3157" i="4" s="1"/>
  <c r="L3157" i="4"/>
  <c r="M3157" i="4"/>
  <c r="O3156" i="4"/>
  <c r="U3156" i="4" s="1"/>
  <c r="X3155" i="4" l="1"/>
  <c r="Y3155" i="4" s="1"/>
  <c r="R3156" i="4"/>
  <c r="W3156" i="4" s="1"/>
  <c r="Q3156" i="4"/>
  <c r="V3156" i="4" s="1"/>
  <c r="S3156" i="4"/>
  <c r="P3156" i="4"/>
  <c r="T3157" i="4"/>
  <c r="O3157" i="4"/>
  <c r="U3157" i="4" s="1"/>
  <c r="J3158" i="4"/>
  <c r="M3158" i="4"/>
  <c r="K3158" i="4"/>
  <c r="N3158" i="4" s="1"/>
  <c r="L3158" i="4"/>
  <c r="X3156" i="4" l="1"/>
  <c r="Y3156" i="4" s="1"/>
  <c r="R3157" i="4"/>
  <c r="W3157" i="4" s="1"/>
  <c r="Q3157" i="4"/>
  <c r="V3157" i="4" s="1"/>
  <c r="S3157" i="4"/>
  <c r="P3157" i="4"/>
  <c r="T3158" i="4"/>
  <c r="J3159" i="4"/>
  <c r="K3159" i="4"/>
  <c r="N3159" i="4" s="1"/>
  <c r="L3159" i="4"/>
  <c r="M3159" i="4"/>
  <c r="O3158" i="4"/>
  <c r="U3158" i="4" s="1"/>
  <c r="X3157" i="4" l="1"/>
  <c r="Y3157" i="4" s="1"/>
  <c r="R3158" i="4"/>
  <c r="W3158" i="4" s="1"/>
  <c r="Q3158" i="4"/>
  <c r="V3158" i="4" s="1"/>
  <c r="S3158" i="4"/>
  <c r="P3158" i="4"/>
  <c r="T3159" i="4"/>
  <c r="O3159" i="4"/>
  <c r="U3159" i="4" s="1"/>
  <c r="J3160" i="4"/>
  <c r="M3160" i="4"/>
  <c r="K3160" i="4"/>
  <c r="N3160" i="4" s="1"/>
  <c r="L3160" i="4"/>
  <c r="X3158" i="4" l="1"/>
  <c r="Y3158" i="4" s="1"/>
  <c r="R3159" i="4"/>
  <c r="W3159" i="4" s="1"/>
  <c r="Q3159" i="4"/>
  <c r="V3159" i="4" s="1"/>
  <c r="S3159" i="4"/>
  <c r="P3159" i="4"/>
  <c r="T3160" i="4"/>
  <c r="J3161" i="4"/>
  <c r="K3161" i="4"/>
  <c r="N3161" i="4" s="1"/>
  <c r="L3161" i="4"/>
  <c r="M3161" i="4"/>
  <c r="O3160" i="4"/>
  <c r="U3160" i="4" s="1"/>
  <c r="X3159" i="4" l="1"/>
  <c r="Y3159" i="4" s="1"/>
  <c r="R3160" i="4"/>
  <c r="W3160" i="4" s="1"/>
  <c r="Q3160" i="4"/>
  <c r="V3160" i="4" s="1"/>
  <c r="S3160" i="4"/>
  <c r="P3160" i="4"/>
  <c r="T3161" i="4"/>
  <c r="O3161" i="4"/>
  <c r="U3161" i="4" s="1"/>
  <c r="J3162" i="4"/>
  <c r="M3162" i="4"/>
  <c r="K3162" i="4"/>
  <c r="N3162" i="4" s="1"/>
  <c r="L3162" i="4"/>
  <c r="X3160" i="4" l="1"/>
  <c r="Y3160" i="4" s="1"/>
  <c r="R3161" i="4"/>
  <c r="W3161" i="4" s="1"/>
  <c r="Q3161" i="4"/>
  <c r="V3161" i="4" s="1"/>
  <c r="S3161" i="4"/>
  <c r="P3161" i="4"/>
  <c r="T3162" i="4"/>
  <c r="J3163" i="4"/>
  <c r="K3163" i="4"/>
  <c r="N3163" i="4" s="1"/>
  <c r="L3163" i="4"/>
  <c r="M3163" i="4"/>
  <c r="O3162" i="4"/>
  <c r="U3162" i="4" s="1"/>
  <c r="X3161" i="4" l="1"/>
  <c r="Y3161" i="4" s="1"/>
  <c r="R3162" i="4"/>
  <c r="W3162" i="4" s="1"/>
  <c r="Q3162" i="4"/>
  <c r="V3162" i="4" s="1"/>
  <c r="S3162" i="4"/>
  <c r="P3162" i="4"/>
  <c r="T3163" i="4"/>
  <c r="O3163" i="4"/>
  <c r="U3163" i="4" s="1"/>
  <c r="J3164" i="4"/>
  <c r="M3164" i="4"/>
  <c r="K3164" i="4"/>
  <c r="N3164" i="4" s="1"/>
  <c r="L3164" i="4"/>
  <c r="X3162" i="4" l="1"/>
  <c r="Y3162" i="4" s="1"/>
  <c r="R3163" i="4"/>
  <c r="W3163" i="4" s="1"/>
  <c r="Q3163" i="4"/>
  <c r="V3163" i="4" s="1"/>
  <c r="S3163" i="4"/>
  <c r="P3163" i="4"/>
  <c r="T3164" i="4"/>
  <c r="J3165" i="4"/>
  <c r="K3165" i="4"/>
  <c r="N3165" i="4" s="1"/>
  <c r="L3165" i="4"/>
  <c r="M3165" i="4"/>
  <c r="O3164" i="4"/>
  <c r="U3164" i="4" s="1"/>
  <c r="X3163" i="4" l="1"/>
  <c r="Y3163" i="4" s="1"/>
  <c r="R3164" i="4"/>
  <c r="W3164" i="4" s="1"/>
  <c r="Q3164" i="4"/>
  <c r="V3164" i="4" s="1"/>
  <c r="S3164" i="4"/>
  <c r="P3164" i="4"/>
  <c r="T3165" i="4"/>
  <c r="O3165" i="4"/>
  <c r="U3165" i="4" s="1"/>
  <c r="J3166" i="4"/>
  <c r="M3166" i="4"/>
  <c r="K3166" i="4"/>
  <c r="N3166" i="4" s="1"/>
  <c r="L3166" i="4"/>
  <c r="X3164" i="4" l="1"/>
  <c r="Y3164" i="4" s="1"/>
  <c r="R3165" i="4"/>
  <c r="W3165" i="4" s="1"/>
  <c r="Q3165" i="4"/>
  <c r="V3165" i="4" s="1"/>
  <c r="S3165" i="4"/>
  <c r="P3165" i="4"/>
  <c r="T3166" i="4"/>
  <c r="J3167" i="4"/>
  <c r="K3167" i="4"/>
  <c r="N3167" i="4" s="1"/>
  <c r="L3167" i="4"/>
  <c r="M3167" i="4"/>
  <c r="O3166" i="4"/>
  <c r="U3166" i="4" s="1"/>
  <c r="X3165" i="4" l="1"/>
  <c r="Y3165" i="4" s="1"/>
  <c r="R3166" i="4"/>
  <c r="W3166" i="4" s="1"/>
  <c r="Q3166" i="4"/>
  <c r="V3166" i="4" s="1"/>
  <c r="S3166" i="4"/>
  <c r="P3166" i="4"/>
  <c r="T3167" i="4"/>
  <c r="O3167" i="4"/>
  <c r="U3167" i="4" s="1"/>
  <c r="J3168" i="4"/>
  <c r="M3168" i="4"/>
  <c r="K3168" i="4"/>
  <c r="N3168" i="4" s="1"/>
  <c r="L3168" i="4"/>
  <c r="X3166" i="4" l="1"/>
  <c r="Y3166" i="4" s="1"/>
  <c r="R3167" i="4"/>
  <c r="W3167" i="4" s="1"/>
  <c r="Q3167" i="4"/>
  <c r="V3167" i="4" s="1"/>
  <c r="S3167" i="4"/>
  <c r="P3167" i="4"/>
  <c r="T3168" i="4"/>
  <c r="J3169" i="4"/>
  <c r="K3169" i="4"/>
  <c r="N3169" i="4" s="1"/>
  <c r="L3169" i="4"/>
  <c r="M3169" i="4"/>
  <c r="O3168" i="4"/>
  <c r="U3168" i="4" s="1"/>
  <c r="X3167" i="4" l="1"/>
  <c r="Y3167" i="4" s="1"/>
  <c r="R3168" i="4"/>
  <c r="W3168" i="4" s="1"/>
  <c r="Q3168" i="4"/>
  <c r="V3168" i="4" s="1"/>
  <c r="S3168" i="4"/>
  <c r="P3168" i="4"/>
  <c r="T3169" i="4"/>
  <c r="O3169" i="4"/>
  <c r="U3169" i="4" s="1"/>
  <c r="J3170" i="4"/>
  <c r="M3170" i="4"/>
  <c r="K3170" i="4"/>
  <c r="N3170" i="4" s="1"/>
  <c r="L3170" i="4"/>
  <c r="X3168" i="4" l="1"/>
  <c r="Y3168" i="4" s="1"/>
  <c r="R3169" i="4"/>
  <c r="W3169" i="4" s="1"/>
  <c r="Q3169" i="4"/>
  <c r="V3169" i="4" s="1"/>
  <c r="S3169" i="4"/>
  <c r="P3169" i="4"/>
  <c r="T3170" i="4"/>
  <c r="J3171" i="4"/>
  <c r="K3171" i="4"/>
  <c r="N3171" i="4" s="1"/>
  <c r="L3171" i="4"/>
  <c r="M3171" i="4"/>
  <c r="O3170" i="4"/>
  <c r="X3169" i="4" l="1"/>
  <c r="Y3169" i="4" s="1"/>
  <c r="Q3170" i="4"/>
  <c r="V3170" i="4" s="1"/>
  <c r="S3170" i="4"/>
  <c r="P3170" i="4"/>
  <c r="U3170" i="4"/>
  <c r="T3171" i="4"/>
  <c r="O3171" i="4"/>
  <c r="J3172" i="4"/>
  <c r="M3172" i="4"/>
  <c r="K3172" i="4"/>
  <c r="N3172" i="4" s="1"/>
  <c r="L3172" i="4"/>
  <c r="R3170" i="4" l="1"/>
  <c r="W3170" i="4" s="1"/>
  <c r="X3170" i="4" s="1"/>
  <c r="Y3170" i="4" s="1"/>
  <c r="Q3171" i="4"/>
  <c r="V3171" i="4" s="1"/>
  <c r="S3171" i="4"/>
  <c r="T3172" i="4"/>
  <c r="P3171" i="4"/>
  <c r="U3171" i="4"/>
  <c r="J3173" i="4"/>
  <c r="K3173" i="4"/>
  <c r="N3173" i="4" s="1"/>
  <c r="T3173" i="4" s="1"/>
  <c r="L3173" i="4"/>
  <c r="M3173" i="4"/>
  <c r="O3172" i="4"/>
  <c r="U3172" i="4" s="1"/>
  <c r="R3171" i="4" l="1"/>
  <c r="W3171" i="4" s="1"/>
  <c r="X3171" i="4" s="1"/>
  <c r="Y3171" i="4" s="1"/>
  <c r="R3172" i="4"/>
  <c r="W3172" i="4" s="1"/>
  <c r="Q3173" i="4"/>
  <c r="V3173" i="4" s="1"/>
  <c r="S3173" i="4"/>
  <c r="Q3172" i="4"/>
  <c r="V3172" i="4" s="1"/>
  <c r="S3172" i="4"/>
  <c r="P3172" i="4"/>
  <c r="O3173" i="4"/>
  <c r="J3174" i="4"/>
  <c r="M3174" i="4"/>
  <c r="K3174" i="4"/>
  <c r="N3174" i="4" s="1"/>
  <c r="T3174" i="4" s="1"/>
  <c r="L3174" i="4"/>
  <c r="X3172" i="4" l="1"/>
  <c r="Y3172" i="4" s="1"/>
  <c r="Q3174" i="4"/>
  <c r="V3174" i="4" s="1"/>
  <c r="S3174" i="4"/>
  <c r="P3173" i="4"/>
  <c r="U3173" i="4"/>
  <c r="J3175" i="4"/>
  <c r="K3175" i="4"/>
  <c r="N3175" i="4" s="1"/>
  <c r="T3175" i="4" s="1"/>
  <c r="L3175" i="4"/>
  <c r="M3175" i="4"/>
  <c r="O3174" i="4"/>
  <c r="U3174" i="4" s="1"/>
  <c r="R3174" i="4" l="1"/>
  <c r="W3174" i="4" s="1"/>
  <c r="X3174" i="4" s="1"/>
  <c r="Y3174" i="4" s="1"/>
  <c r="R3173" i="4"/>
  <c r="W3173" i="4" s="1"/>
  <c r="X3173" i="4" s="1"/>
  <c r="Y3173" i="4" s="1"/>
  <c r="Q3175" i="4"/>
  <c r="V3175" i="4" s="1"/>
  <c r="S3175" i="4"/>
  <c r="P3174" i="4"/>
  <c r="O3175" i="4"/>
  <c r="U3175" i="4" s="1"/>
  <c r="J3176" i="4"/>
  <c r="M3176" i="4"/>
  <c r="K3176" i="4"/>
  <c r="N3176" i="4" s="1"/>
  <c r="L3176" i="4"/>
  <c r="R3175" i="4" l="1"/>
  <c r="W3175" i="4" s="1"/>
  <c r="X3175" i="4" s="1"/>
  <c r="Y3175" i="4" s="1"/>
  <c r="P3175" i="4"/>
  <c r="T3176" i="4"/>
  <c r="J3177" i="4"/>
  <c r="K3177" i="4"/>
  <c r="N3177" i="4" s="1"/>
  <c r="L3177" i="4"/>
  <c r="M3177" i="4"/>
  <c r="O3176" i="4"/>
  <c r="U3176" i="4" s="1"/>
  <c r="R3176" i="4" l="1"/>
  <c r="W3176" i="4" s="1"/>
  <c r="Q3176" i="4"/>
  <c r="V3176" i="4" s="1"/>
  <c r="S3176" i="4"/>
  <c r="P3176" i="4"/>
  <c r="T3177" i="4"/>
  <c r="O3177" i="4"/>
  <c r="U3177" i="4" s="1"/>
  <c r="J3178" i="4"/>
  <c r="M3178" i="4"/>
  <c r="K3178" i="4"/>
  <c r="N3178" i="4" s="1"/>
  <c r="L3178" i="4"/>
  <c r="X3176" i="4" l="1"/>
  <c r="Y3176" i="4" s="1"/>
  <c r="R3177" i="4"/>
  <c r="W3177" i="4" s="1"/>
  <c r="Q3177" i="4"/>
  <c r="V3177" i="4" s="1"/>
  <c r="X3177" i="4" s="1"/>
  <c r="Y3177" i="4" s="1"/>
  <c r="S3177" i="4"/>
  <c r="P3177" i="4"/>
  <c r="T3178" i="4"/>
  <c r="J3179" i="4"/>
  <c r="K3179" i="4"/>
  <c r="N3179" i="4" s="1"/>
  <c r="L3179" i="4"/>
  <c r="M3179" i="4"/>
  <c r="O3178" i="4"/>
  <c r="U3178" i="4" s="1"/>
  <c r="R3178" i="4" l="1"/>
  <c r="W3178" i="4" s="1"/>
  <c r="Q3178" i="4"/>
  <c r="V3178" i="4" s="1"/>
  <c r="S3178" i="4"/>
  <c r="P3178" i="4"/>
  <c r="T3179" i="4"/>
  <c r="O3179" i="4"/>
  <c r="U3179" i="4" s="1"/>
  <c r="J3180" i="4"/>
  <c r="M3180" i="4"/>
  <c r="K3180" i="4"/>
  <c r="N3180" i="4" s="1"/>
  <c r="L3180" i="4"/>
  <c r="X3178" i="4" l="1"/>
  <c r="Y3178" i="4" s="1"/>
  <c r="R3179" i="4"/>
  <c r="W3179" i="4" s="1"/>
  <c r="Q3179" i="4"/>
  <c r="V3179" i="4" s="1"/>
  <c r="S3179" i="4"/>
  <c r="P3179" i="4"/>
  <c r="T3180" i="4"/>
  <c r="J3181" i="4"/>
  <c r="K3181" i="4"/>
  <c r="N3181" i="4" s="1"/>
  <c r="T3181" i="4" s="1"/>
  <c r="L3181" i="4"/>
  <c r="M3181" i="4"/>
  <c r="O3180" i="4"/>
  <c r="U3180" i="4" s="1"/>
  <c r="X3179" i="4" l="1"/>
  <c r="Y3179" i="4" s="1"/>
  <c r="R3180" i="4"/>
  <c r="W3180" i="4" s="1"/>
  <c r="Q3180" i="4"/>
  <c r="V3180" i="4" s="1"/>
  <c r="S3180" i="4"/>
  <c r="Q3181" i="4"/>
  <c r="V3181" i="4" s="1"/>
  <c r="S3181" i="4"/>
  <c r="P3180" i="4"/>
  <c r="O3181" i="4"/>
  <c r="J3182" i="4"/>
  <c r="M3182" i="4"/>
  <c r="K3182" i="4"/>
  <c r="N3182" i="4" s="1"/>
  <c r="L3182" i="4"/>
  <c r="X3180" i="4" l="1"/>
  <c r="Y3180" i="4" s="1"/>
  <c r="P3181" i="4"/>
  <c r="U3181" i="4"/>
  <c r="T3182" i="4"/>
  <c r="J3183" i="4"/>
  <c r="K3183" i="4"/>
  <c r="N3183" i="4" s="1"/>
  <c r="T3183" i="4" s="1"/>
  <c r="L3183" i="4"/>
  <c r="M3183" i="4"/>
  <c r="O3182" i="4"/>
  <c r="R3181" i="4" l="1"/>
  <c r="W3181" i="4" s="1"/>
  <c r="X3181" i="4" s="1"/>
  <c r="Y3181" i="4" s="1"/>
  <c r="Q3182" i="4"/>
  <c r="V3182" i="4" s="1"/>
  <c r="S3182" i="4"/>
  <c r="Q3183" i="4"/>
  <c r="V3183" i="4" s="1"/>
  <c r="S3183" i="4"/>
  <c r="P3182" i="4"/>
  <c r="U3182" i="4"/>
  <c r="O3183" i="4"/>
  <c r="U3183" i="4" s="1"/>
  <c r="J3184" i="4"/>
  <c r="M3184" i="4"/>
  <c r="K3184" i="4"/>
  <c r="N3184" i="4" s="1"/>
  <c r="L3184" i="4"/>
  <c r="R3183" i="4" l="1"/>
  <c r="W3183" i="4" s="1"/>
  <c r="X3183" i="4" s="1"/>
  <c r="Y3183" i="4" s="1"/>
  <c r="R3182" i="4"/>
  <c r="W3182" i="4" s="1"/>
  <c r="X3182" i="4" s="1"/>
  <c r="Y3182" i="4" s="1"/>
  <c r="P3183" i="4"/>
  <c r="T3184" i="4"/>
  <c r="J3185" i="4"/>
  <c r="K3185" i="4"/>
  <c r="N3185" i="4" s="1"/>
  <c r="L3185" i="4"/>
  <c r="M3185" i="4"/>
  <c r="O3184" i="4"/>
  <c r="U3184" i="4" s="1"/>
  <c r="R3184" i="4" l="1"/>
  <c r="W3184" i="4" s="1"/>
  <c r="Q3184" i="4"/>
  <c r="V3184" i="4" s="1"/>
  <c r="S3184" i="4"/>
  <c r="P3184" i="4"/>
  <c r="T3185" i="4"/>
  <c r="O3185" i="4"/>
  <c r="U3185" i="4" s="1"/>
  <c r="J3186" i="4"/>
  <c r="M3186" i="4"/>
  <c r="K3186" i="4"/>
  <c r="N3186" i="4" s="1"/>
  <c r="L3186" i="4"/>
  <c r="X3184" i="4" l="1"/>
  <c r="Y3184" i="4" s="1"/>
  <c r="R3185" i="4"/>
  <c r="W3185" i="4" s="1"/>
  <c r="Q3185" i="4"/>
  <c r="V3185" i="4" s="1"/>
  <c r="S3185" i="4"/>
  <c r="P3185" i="4"/>
  <c r="T3186" i="4"/>
  <c r="J3187" i="4"/>
  <c r="K3187" i="4"/>
  <c r="N3187" i="4" s="1"/>
  <c r="L3187" i="4"/>
  <c r="M3187" i="4"/>
  <c r="O3186" i="4"/>
  <c r="X3185" i="4" l="1"/>
  <c r="Y3185" i="4" s="1"/>
  <c r="Q3186" i="4"/>
  <c r="V3186" i="4" s="1"/>
  <c r="S3186" i="4"/>
  <c r="P3186" i="4"/>
  <c r="U3186" i="4"/>
  <c r="T3187" i="4"/>
  <c r="O3187" i="4"/>
  <c r="U3187" i="4" s="1"/>
  <c r="J3188" i="4"/>
  <c r="M3188" i="4"/>
  <c r="K3188" i="4"/>
  <c r="N3188" i="4" s="1"/>
  <c r="T3188" i="4" s="1"/>
  <c r="L3188" i="4"/>
  <c r="R3187" i="4" l="1"/>
  <c r="W3187" i="4" s="1"/>
  <c r="R3186" i="4"/>
  <c r="W3186" i="4" s="1"/>
  <c r="X3186" i="4" s="1"/>
  <c r="Y3186" i="4" s="1"/>
  <c r="Q3188" i="4"/>
  <c r="V3188" i="4" s="1"/>
  <c r="S3188" i="4"/>
  <c r="Q3187" i="4"/>
  <c r="V3187" i="4" s="1"/>
  <c r="S3187" i="4"/>
  <c r="P3187" i="4"/>
  <c r="J3189" i="4"/>
  <c r="K3189" i="4"/>
  <c r="N3189" i="4" s="1"/>
  <c r="L3189" i="4"/>
  <c r="M3189" i="4"/>
  <c r="O3188" i="4"/>
  <c r="X3187" i="4" l="1"/>
  <c r="Y3187" i="4" s="1"/>
  <c r="P3188" i="4"/>
  <c r="T3189" i="4"/>
  <c r="U3188" i="4"/>
  <c r="O3189" i="4"/>
  <c r="J3190" i="4"/>
  <c r="M3190" i="4"/>
  <c r="K3190" i="4"/>
  <c r="N3190" i="4" s="1"/>
  <c r="T3190" i="4" s="1"/>
  <c r="L3190" i="4"/>
  <c r="R3188" i="4" l="1"/>
  <c r="W3188" i="4" s="1"/>
  <c r="X3188" i="4" s="1"/>
  <c r="Y3188" i="4" s="1"/>
  <c r="Q3190" i="4"/>
  <c r="V3190" i="4" s="1"/>
  <c r="S3190" i="4"/>
  <c r="Q3189" i="4"/>
  <c r="V3189" i="4" s="1"/>
  <c r="S3189" i="4"/>
  <c r="P3189" i="4"/>
  <c r="U3189" i="4"/>
  <c r="J3191" i="4"/>
  <c r="K3191" i="4"/>
  <c r="N3191" i="4" s="1"/>
  <c r="T3191" i="4" s="1"/>
  <c r="L3191" i="4"/>
  <c r="M3191" i="4"/>
  <c r="O3190" i="4"/>
  <c r="U3190" i="4" s="1"/>
  <c r="R3190" i="4" l="1"/>
  <c r="W3190" i="4" s="1"/>
  <c r="X3190" i="4" s="1"/>
  <c r="Y3190" i="4" s="1"/>
  <c r="R3189" i="4"/>
  <c r="W3189" i="4" s="1"/>
  <c r="X3189" i="4" s="1"/>
  <c r="Y3189" i="4" s="1"/>
  <c r="Q3191" i="4"/>
  <c r="V3191" i="4" s="1"/>
  <c r="S3191" i="4"/>
  <c r="P3190" i="4"/>
  <c r="O3191" i="4"/>
  <c r="J3192" i="4"/>
  <c r="M3192" i="4"/>
  <c r="K3192" i="4"/>
  <c r="N3192" i="4" s="1"/>
  <c r="L3192" i="4"/>
  <c r="P3191" i="4" l="1"/>
  <c r="U3191" i="4"/>
  <c r="T3192" i="4"/>
  <c r="J3193" i="4"/>
  <c r="K3193" i="4"/>
  <c r="N3193" i="4" s="1"/>
  <c r="T3193" i="4" s="1"/>
  <c r="L3193" i="4"/>
  <c r="M3193" i="4"/>
  <c r="O3192" i="4"/>
  <c r="R3191" i="4" l="1"/>
  <c r="W3191" i="4" s="1"/>
  <c r="X3191" i="4" s="1"/>
  <c r="Y3191" i="4" s="1"/>
  <c r="Q3192" i="4"/>
  <c r="V3192" i="4" s="1"/>
  <c r="S3192" i="4"/>
  <c r="Q3193" i="4"/>
  <c r="V3193" i="4" s="1"/>
  <c r="S3193" i="4"/>
  <c r="P3192" i="4"/>
  <c r="U3192" i="4"/>
  <c r="O3193" i="4"/>
  <c r="U3193" i="4" s="1"/>
  <c r="J3194" i="4"/>
  <c r="M3194" i="4"/>
  <c r="K3194" i="4"/>
  <c r="N3194" i="4" s="1"/>
  <c r="L3194" i="4"/>
  <c r="R3193" i="4" l="1"/>
  <c r="W3193" i="4" s="1"/>
  <c r="X3193" i="4" s="1"/>
  <c r="Y3193" i="4" s="1"/>
  <c r="R3192" i="4"/>
  <c r="W3192" i="4" s="1"/>
  <c r="X3192" i="4" s="1"/>
  <c r="Y3192" i="4" s="1"/>
  <c r="P3193" i="4"/>
  <c r="T3194" i="4"/>
  <c r="J3195" i="4"/>
  <c r="K3195" i="4"/>
  <c r="N3195" i="4" s="1"/>
  <c r="T3195" i="4" s="1"/>
  <c r="L3195" i="4"/>
  <c r="M3195" i="4"/>
  <c r="O3194" i="4"/>
  <c r="Q3195" i="4" l="1"/>
  <c r="V3195" i="4" s="1"/>
  <c r="S3195" i="4"/>
  <c r="Q3194" i="4"/>
  <c r="V3194" i="4" s="1"/>
  <c r="S3194" i="4"/>
  <c r="P3194" i="4"/>
  <c r="U3194" i="4"/>
  <c r="O3195" i="4"/>
  <c r="J3196" i="4"/>
  <c r="M3196" i="4"/>
  <c r="K3196" i="4"/>
  <c r="N3196" i="4" s="1"/>
  <c r="L3196" i="4"/>
  <c r="R3194" i="4" l="1"/>
  <c r="W3194" i="4" s="1"/>
  <c r="X3194" i="4" s="1"/>
  <c r="Y3194" i="4" s="1"/>
  <c r="T3196" i="4"/>
  <c r="P3195" i="4"/>
  <c r="U3195" i="4"/>
  <c r="O3196" i="4"/>
  <c r="J3197" i="4"/>
  <c r="K3197" i="4"/>
  <c r="N3197" i="4" s="1"/>
  <c r="L3197" i="4"/>
  <c r="M3197" i="4"/>
  <c r="R3195" i="4" l="1"/>
  <c r="W3195" i="4" s="1"/>
  <c r="X3195" i="4" s="1"/>
  <c r="Y3195" i="4" s="1"/>
  <c r="Q3196" i="4"/>
  <c r="V3196" i="4" s="1"/>
  <c r="S3196" i="4"/>
  <c r="P3196" i="4"/>
  <c r="U3196" i="4"/>
  <c r="T3197" i="4"/>
  <c r="O3197" i="4"/>
  <c r="U3197" i="4" s="1"/>
  <c r="J3198" i="4"/>
  <c r="M3198" i="4"/>
  <c r="K3198" i="4"/>
  <c r="N3198" i="4" s="1"/>
  <c r="L3198" i="4"/>
  <c r="R3196" i="4" l="1"/>
  <c r="W3196" i="4" s="1"/>
  <c r="X3196" i="4" s="1"/>
  <c r="Y3196" i="4" s="1"/>
  <c r="R3197" i="4"/>
  <c r="W3197" i="4" s="1"/>
  <c r="Q3197" i="4"/>
  <c r="V3197" i="4" s="1"/>
  <c r="S3197" i="4"/>
  <c r="T3198" i="4"/>
  <c r="P3197" i="4"/>
  <c r="J3199" i="4"/>
  <c r="K3199" i="4"/>
  <c r="N3199" i="4" s="1"/>
  <c r="L3199" i="4"/>
  <c r="M3199" i="4"/>
  <c r="O3198" i="4"/>
  <c r="U3198" i="4" s="1"/>
  <c r="X3197" i="4" l="1"/>
  <c r="Y3197" i="4" s="1"/>
  <c r="R3198" i="4"/>
  <c r="W3198" i="4" s="1"/>
  <c r="Q3198" i="4"/>
  <c r="V3198" i="4" s="1"/>
  <c r="S3198" i="4"/>
  <c r="P3198" i="4"/>
  <c r="T3199" i="4"/>
  <c r="O3199" i="4"/>
  <c r="U3199" i="4" s="1"/>
  <c r="J3200" i="4"/>
  <c r="M3200" i="4"/>
  <c r="K3200" i="4"/>
  <c r="N3200" i="4" s="1"/>
  <c r="L3200" i="4"/>
  <c r="X3198" i="4" l="1"/>
  <c r="Y3198" i="4" s="1"/>
  <c r="R3199" i="4"/>
  <c r="W3199" i="4" s="1"/>
  <c r="Q3199" i="4"/>
  <c r="V3199" i="4" s="1"/>
  <c r="S3199" i="4"/>
  <c r="P3199" i="4"/>
  <c r="T3200" i="4"/>
  <c r="J3201" i="4"/>
  <c r="K3201" i="4"/>
  <c r="N3201" i="4" s="1"/>
  <c r="L3201" i="4"/>
  <c r="M3201" i="4"/>
  <c r="O3200" i="4"/>
  <c r="U3200" i="4" s="1"/>
  <c r="X3199" i="4" l="1"/>
  <c r="Y3199" i="4" s="1"/>
  <c r="R3200" i="4"/>
  <c r="W3200" i="4" s="1"/>
  <c r="Q3200" i="4"/>
  <c r="V3200" i="4" s="1"/>
  <c r="S3200" i="4"/>
  <c r="P3200" i="4"/>
  <c r="T3201" i="4"/>
  <c r="O3201" i="4"/>
  <c r="U3201" i="4" s="1"/>
  <c r="J3202" i="4"/>
  <c r="M3202" i="4"/>
  <c r="K3202" i="4"/>
  <c r="N3202" i="4" s="1"/>
  <c r="L3202" i="4"/>
  <c r="X3200" i="4" l="1"/>
  <c r="Y3200" i="4" s="1"/>
  <c r="R3201" i="4"/>
  <c r="W3201" i="4" s="1"/>
  <c r="Q3201" i="4"/>
  <c r="V3201" i="4" s="1"/>
  <c r="S3201" i="4"/>
  <c r="P3201" i="4"/>
  <c r="T3202" i="4"/>
  <c r="J3203" i="4"/>
  <c r="K3203" i="4"/>
  <c r="N3203" i="4" s="1"/>
  <c r="L3203" i="4"/>
  <c r="M3203" i="4"/>
  <c r="O3202" i="4"/>
  <c r="U3202" i="4" s="1"/>
  <c r="X3201" i="4" l="1"/>
  <c r="Y3201" i="4" s="1"/>
  <c r="R3202" i="4"/>
  <c r="W3202" i="4" s="1"/>
  <c r="Q3202" i="4"/>
  <c r="V3202" i="4" s="1"/>
  <c r="S3202" i="4"/>
  <c r="P3202" i="4"/>
  <c r="T3203" i="4"/>
  <c r="O3203" i="4"/>
  <c r="U3203" i="4" s="1"/>
  <c r="J3204" i="4"/>
  <c r="M3204" i="4"/>
  <c r="K3204" i="4"/>
  <c r="N3204" i="4" s="1"/>
  <c r="L3204" i="4"/>
  <c r="X3202" i="4" l="1"/>
  <c r="Y3202" i="4" s="1"/>
  <c r="R3203" i="4"/>
  <c r="W3203" i="4" s="1"/>
  <c r="Q3203" i="4"/>
  <c r="V3203" i="4" s="1"/>
  <c r="S3203" i="4"/>
  <c r="P3203" i="4"/>
  <c r="T3204" i="4"/>
  <c r="J3205" i="4"/>
  <c r="K3205" i="4"/>
  <c r="N3205" i="4" s="1"/>
  <c r="L3205" i="4"/>
  <c r="M3205" i="4"/>
  <c r="O3204" i="4"/>
  <c r="U3204" i="4" s="1"/>
  <c r="X3203" i="4" l="1"/>
  <c r="Y3203" i="4" s="1"/>
  <c r="R3204" i="4"/>
  <c r="W3204" i="4" s="1"/>
  <c r="Q3204" i="4"/>
  <c r="V3204" i="4" s="1"/>
  <c r="S3204" i="4"/>
  <c r="P3204" i="4"/>
  <c r="T3205" i="4"/>
  <c r="O3205" i="4"/>
  <c r="U3205" i="4" s="1"/>
  <c r="J3206" i="4"/>
  <c r="M3206" i="4"/>
  <c r="K3206" i="4"/>
  <c r="N3206" i="4" s="1"/>
  <c r="L3206" i="4"/>
  <c r="X3204" i="4" l="1"/>
  <c r="Y3204" i="4" s="1"/>
  <c r="R3205" i="4"/>
  <c r="W3205" i="4" s="1"/>
  <c r="Q3205" i="4"/>
  <c r="V3205" i="4" s="1"/>
  <c r="S3205" i="4"/>
  <c r="P3205" i="4"/>
  <c r="T3206" i="4"/>
  <c r="J3207" i="4"/>
  <c r="K3207" i="4"/>
  <c r="N3207" i="4" s="1"/>
  <c r="L3207" i="4"/>
  <c r="M3207" i="4"/>
  <c r="O3206" i="4"/>
  <c r="U3206" i="4" s="1"/>
  <c r="X3205" i="4" l="1"/>
  <c r="Y3205" i="4" s="1"/>
  <c r="R3206" i="4"/>
  <c r="W3206" i="4" s="1"/>
  <c r="Q3206" i="4"/>
  <c r="V3206" i="4" s="1"/>
  <c r="S3206" i="4"/>
  <c r="P3206" i="4"/>
  <c r="T3207" i="4"/>
  <c r="O3207" i="4"/>
  <c r="U3207" i="4" s="1"/>
  <c r="J3208" i="4"/>
  <c r="M3208" i="4"/>
  <c r="K3208" i="4"/>
  <c r="N3208" i="4" s="1"/>
  <c r="L3208" i="4"/>
  <c r="X3206" i="4" l="1"/>
  <c r="Y3206" i="4" s="1"/>
  <c r="R3207" i="4"/>
  <c r="W3207" i="4" s="1"/>
  <c r="Q3207" i="4"/>
  <c r="V3207" i="4" s="1"/>
  <c r="S3207" i="4"/>
  <c r="P3207" i="4"/>
  <c r="T3208" i="4"/>
  <c r="J3209" i="4"/>
  <c r="K3209" i="4"/>
  <c r="N3209" i="4" s="1"/>
  <c r="L3209" i="4"/>
  <c r="M3209" i="4"/>
  <c r="O3208" i="4"/>
  <c r="U3208" i="4" s="1"/>
  <c r="X3207" i="4" l="1"/>
  <c r="Y3207" i="4" s="1"/>
  <c r="R3208" i="4"/>
  <c r="W3208" i="4" s="1"/>
  <c r="Q3208" i="4"/>
  <c r="V3208" i="4" s="1"/>
  <c r="S3208" i="4"/>
  <c r="P3208" i="4"/>
  <c r="T3209" i="4"/>
  <c r="O3209" i="4"/>
  <c r="U3209" i="4" s="1"/>
  <c r="J3210" i="4"/>
  <c r="M3210" i="4"/>
  <c r="K3210" i="4"/>
  <c r="N3210" i="4" s="1"/>
  <c r="L3210" i="4"/>
  <c r="X3208" i="4" l="1"/>
  <c r="Y3208" i="4" s="1"/>
  <c r="R3209" i="4"/>
  <c r="W3209" i="4" s="1"/>
  <c r="Q3209" i="4"/>
  <c r="V3209" i="4" s="1"/>
  <c r="S3209" i="4"/>
  <c r="P3209" i="4"/>
  <c r="T3210" i="4"/>
  <c r="J3211" i="4"/>
  <c r="K3211" i="4"/>
  <c r="N3211" i="4" s="1"/>
  <c r="L3211" i="4"/>
  <c r="M3211" i="4"/>
  <c r="O3210" i="4"/>
  <c r="U3210" i="4" s="1"/>
  <c r="X3209" i="4" l="1"/>
  <c r="Y3209" i="4" s="1"/>
  <c r="R3210" i="4"/>
  <c r="W3210" i="4" s="1"/>
  <c r="Q3210" i="4"/>
  <c r="V3210" i="4" s="1"/>
  <c r="S3210" i="4"/>
  <c r="P3210" i="4"/>
  <c r="T3211" i="4"/>
  <c r="O3211" i="4"/>
  <c r="U3211" i="4" s="1"/>
  <c r="J3212" i="4"/>
  <c r="M3212" i="4"/>
  <c r="K3212" i="4"/>
  <c r="N3212" i="4" s="1"/>
  <c r="L3212" i="4"/>
  <c r="X3210" i="4" l="1"/>
  <c r="Y3210" i="4" s="1"/>
  <c r="R3211" i="4"/>
  <c r="W3211" i="4" s="1"/>
  <c r="Q3211" i="4"/>
  <c r="V3211" i="4" s="1"/>
  <c r="S3211" i="4"/>
  <c r="P3211" i="4"/>
  <c r="T3212" i="4"/>
  <c r="J3213" i="4"/>
  <c r="K3213" i="4"/>
  <c r="N3213" i="4" s="1"/>
  <c r="L3213" i="4"/>
  <c r="M3213" i="4"/>
  <c r="O3212" i="4"/>
  <c r="U3212" i="4" s="1"/>
  <c r="X3211" i="4" l="1"/>
  <c r="Y3211" i="4" s="1"/>
  <c r="R3212" i="4"/>
  <c r="W3212" i="4" s="1"/>
  <c r="Q3212" i="4"/>
  <c r="V3212" i="4" s="1"/>
  <c r="S3212" i="4"/>
  <c r="P3212" i="4"/>
  <c r="T3213" i="4"/>
  <c r="O3213" i="4"/>
  <c r="J3214" i="4"/>
  <c r="M3214" i="4"/>
  <c r="K3214" i="4"/>
  <c r="N3214" i="4" s="1"/>
  <c r="L3214" i="4"/>
  <c r="X3212" i="4" l="1"/>
  <c r="Y3212" i="4" s="1"/>
  <c r="Q3213" i="4"/>
  <c r="V3213" i="4" s="1"/>
  <c r="S3213" i="4"/>
  <c r="P3213" i="4"/>
  <c r="U3213" i="4"/>
  <c r="T3214" i="4"/>
  <c r="J3215" i="4"/>
  <c r="K3215" i="4"/>
  <c r="N3215" i="4" s="1"/>
  <c r="L3215" i="4"/>
  <c r="M3215" i="4"/>
  <c r="O3214" i="4"/>
  <c r="U3214" i="4" s="1"/>
  <c r="R3214" i="4" l="1"/>
  <c r="W3214" i="4" s="1"/>
  <c r="R3213" i="4"/>
  <c r="W3213" i="4" s="1"/>
  <c r="X3213" i="4" s="1"/>
  <c r="Y3213" i="4" s="1"/>
  <c r="Q3214" i="4"/>
  <c r="V3214" i="4" s="1"/>
  <c r="S3214" i="4"/>
  <c r="P3214" i="4"/>
  <c r="T3215" i="4"/>
  <c r="O3215" i="4"/>
  <c r="U3215" i="4" s="1"/>
  <c r="J3216" i="4"/>
  <c r="M3216" i="4"/>
  <c r="K3216" i="4"/>
  <c r="N3216" i="4" s="1"/>
  <c r="L3216" i="4"/>
  <c r="X3214" i="4" l="1"/>
  <c r="Y3214" i="4" s="1"/>
  <c r="R3215" i="4"/>
  <c r="W3215" i="4" s="1"/>
  <c r="Q3215" i="4"/>
  <c r="V3215" i="4" s="1"/>
  <c r="S3215" i="4"/>
  <c r="P3215" i="4"/>
  <c r="T3216" i="4"/>
  <c r="J3217" i="4"/>
  <c r="K3217" i="4"/>
  <c r="N3217" i="4" s="1"/>
  <c r="L3217" i="4"/>
  <c r="M3217" i="4"/>
  <c r="O3216" i="4"/>
  <c r="U3216" i="4" s="1"/>
  <c r="X3215" i="4" l="1"/>
  <c r="Y3215" i="4" s="1"/>
  <c r="R3216" i="4"/>
  <c r="W3216" i="4" s="1"/>
  <c r="Q3216" i="4"/>
  <c r="V3216" i="4" s="1"/>
  <c r="S3216" i="4"/>
  <c r="P3216" i="4"/>
  <c r="T3217" i="4"/>
  <c r="O3217" i="4"/>
  <c r="U3217" i="4" s="1"/>
  <c r="J3218" i="4"/>
  <c r="M3218" i="4"/>
  <c r="K3218" i="4"/>
  <c r="N3218" i="4" s="1"/>
  <c r="L3218" i="4"/>
  <c r="X3216" i="4" l="1"/>
  <c r="Y3216" i="4" s="1"/>
  <c r="R3217" i="4"/>
  <c r="W3217" i="4" s="1"/>
  <c r="Q3217" i="4"/>
  <c r="V3217" i="4" s="1"/>
  <c r="S3217" i="4"/>
  <c r="P3217" i="4"/>
  <c r="T3218" i="4"/>
  <c r="J3219" i="4"/>
  <c r="K3219" i="4"/>
  <c r="N3219" i="4" s="1"/>
  <c r="L3219" i="4"/>
  <c r="M3219" i="4"/>
  <c r="O3218" i="4"/>
  <c r="U3218" i="4" s="1"/>
  <c r="X3217" i="4" l="1"/>
  <c r="Y3217" i="4" s="1"/>
  <c r="R3218" i="4"/>
  <c r="W3218" i="4" s="1"/>
  <c r="Q3218" i="4"/>
  <c r="V3218" i="4" s="1"/>
  <c r="S3218" i="4"/>
  <c r="P3218" i="4"/>
  <c r="T3219" i="4"/>
  <c r="O3219" i="4"/>
  <c r="U3219" i="4" s="1"/>
  <c r="J3220" i="4"/>
  <c r="M3220" i="4"/>
  <c r="K3220" i="4"/>
  <c r="N3220" i="4" s="1"/>
  <c r="L3220" i="4"/>
  <c r="X3218" i="4" l="1"/>
  <c r="Y3218" i="4" s="1"/>
  <c r="R3219" i="4"/>
  <c r="W3219" i="4" s="1"/>
  <c r="Q3219" i="4"/>
  <c r="V3219" i="4" s="1"/>
  <c r="S3219" i="4"/>
  <c r="P3219" i="4"/>
  <c r="T3220" i="4"/>
  <c r="O3220" i="4"/>
  <c r="J3221" i="4"/>
  <c r="K3221" i="4"/>
  <c r="N3221" i="4" s="1"/>
  <c r="L3221" i="4"/>
  <c r="M3221" i="4"/>
  <c r="X3219" i="4" l="1"/>
  <c r="Y3219" i="4" s="1"/>
  <c r="Q3220" i="4"/>
  <c r="V3220" i="4" s="1"/>
  <c r="S3220" i="4"/>
  <c r="P3220" i="4"/>
  <c r="U3220" i="4"/>
  <c r="T3221" i="4"/>
  <c r="O3221" i="4"/>
  <c r="J3222" i="4"/>
  <c r="M3222" i="4"/>
  <c r="K3222" i="4"/>
  <c r="N3222" i="4" s="1"/>
  <c r="L3222" i="4"/>
  <c r="R3220" i="4" l="1"/>
  <c r="W3220" i="4" s="1"/>
  <c r="X3220" i="4" s="1"/>
  <c r="Y3220" i="4" s="1"/>
  <c r="Q3221" i="4"/>
  <c r="V3221" i="4" s="1"/>
  <c r="S3221" i="4"/>
  <c r="T3222" i="4"/>
  <c r="P3221" i="4"/>
  <c r="U3221" i="4"/>
  <c r="O3222" i="4"/>
  <c r="U3222" i="4" s="1"/>
  <c r="J3223" i="4"/>
  <c r="K3223" i="4"/>
  <c r="N3223" i="4" s="1"/>
  <c r="L3223" i="4"/>
  <c r="M3223" i="4"/>
  <c r="R3221" i="4" l="1"/>
  <c r="W3221" i="4" s="1"/>
  <c r="X3221" i="4" s="1"/>
  <c r="Y3221" i="4" s="1"/>
  <c r="R3222" i="4"/>
  <c r="W3222" i="4" s="1"/>
  <c r="Q3222" i="4"/>
  <c r="V3222" i="4" s="1"/>
  <c r="S3222" i="4"/>
  <c r="P3222" i="4"/>
  <c r="T3223" i="4"/>
  <c r="O3223" i="4"/>
  <c r="U3223" i="4" s="1"/>
  <c r="J3224" i="4"/>
  <c r="M3224" i="4"/>
  <c r="K3224" i="4"/>
  <c r="N3224" i="4" s="1"/>
  <c r="L3224" i="4"/>
  <c r="X3222" i="4" l="1"/>
  <c r="Y3222" i="4" s="1"/>
  <c r="R3223" i="4"/>
  <c r="W3223" i="4" s="1"/>
  <c r="Q3223" i="4"/>
  <c r="V3223" i="4" s="1"/>
  <c r="S3223" i="4"/>
  <c r="P3223" i="4"/>
  <c r="T3224" i="4"/>
  <c r="J3225" i="4"/>
  <c r="K3225" i="4"/>
  <c r="N3225" i="4" s="1"/>
  <c r="T3225" i="4" s="1"/>
  <c r="L3225" i="4"/>
  <c r="M3225" i="4"/>
  <c r="O3224" i="4"/>
  <c r="X3223" i="4" l="1"/>
  <c r="Y3223" i="4" s="1"/>
  <c r="Q3224" i="4"/>
  <c r="V3224" i="4" s="1"/>
  <c r="S3224" i="4"/>
  <c r="Q3225" i="4"/>
  <c r="V3225" i="4" s="1"/>
  <c r="S3225" i="4"/>
  <c r="P3224" i="4"/>
  <c r="U3224" i="4"/>
  <c r="O3225" i="4"/>
  <c r="J3226" i="4"/>
  <c r="M3226" i="4"/>
  <c r="K3226" i="4"/>
  <c r="N3226" i="4" s="1"/>
  <c r="L3226" i="4"/>
  <c r="R3224" i="4" l="1"/>
  <c r="W3224" i="4" s="1"/>
  <c r="X3224" i="4" s="1"/>
  <c r="Y3224" i="4" s="1"/>
  <c r="T3226" i="4"/>
  <c r="P3225" i="4"/>
  <c r="U3225" i="4"/>
  <c r="J3227" i="4"/>
  <c r="K3227" i="4"/>
  <c r="N3227" i="4" s="1"/>
  <c r="L3227" i="4"/>
  <c r="M3227" i="4"/>
  <c r="O3226" i="4"/>
  <c r="U3226" i="4" s="1"/>
  <c r="R3226" i="4" l="1"/>
  <c r="W3226" i="4" s="1"/>
  <c r="R3225" i="4"/>
  <c r="W3225" i="4" s="1"/>
  <c r="X3225" i="4" s="1"/>
  <c r="Y3225" i="4" s="1"/>
  <c r="Q3226" i="4"/>
  <c r="V3226" i="4" s="1"/>
  <c r="X3226" i="4" s="1"/>
  <c r="Y3226" i="4" s="1"/>
  <c r="S3226" i="4"/>
  <c r="P3226" i="4"/>
  <c r="T3227" i="4"/>
  <c r="O3227" i="4"/>
  <c r="U3227" i="4" s="1"/>
  <c r="J3228" i="4"/>
  <c r="M3228" i="4"/>
  <c r="K3228" i="4"/>
  <c r="N3228" i="4" s="1"/>
  <c r="L3228" i="4"/>
  <c r="R3227" i="4" l="1"/>
  <c r="W3227" i="4" s="1"/>
  <c r="Q3227" i="4"/>
  <c r="V3227" i="4" s="1"/>
  <c r="S3227" i="4"/>
  <c r="P3227" i="4"/>
  <c r="T3228" i="4"/>
  <c r="J3229" i="4"/>
  <c r="K3229" i="4"/>
  <c r="N3229" i="4" s="1"/>
  <c r="L3229" i="4"/>
  <c r="M3229" i="4"/>
  <c r="O3228" i="4"/>
  <c r="U3228" i="4" s="1"/>
  <c r="X3227" i="4" l="1"/>
  <c r="Y3227" i="4" s="1"/>
  <c r="R3228" i="4"/>
  <c r="W3228" i="4" s="1"/>
  <c r="Q3228" i="4"/>
  <c r="V3228" i="4" s="1"/>
  <c r="S3228" i="4"/>
  <c r="P3228" i="4"/>
  <c r="T3229" i="4"/>
  <c r="O3229" i="4"/>
  <c r="U3229" i="4" s="1"/>
  <c r="J3230" i="4"/>
  <c r="M3230" i="4"/>
  <c r="K3230" i="4"/>
  <c r="N3230" i="4" s="1"/>
  <c r="L3230" i="4"/>
  <c r="X3228" i="4" l="1"/>
  <c r="Y3228" i="4" s="1"/>
  <c r="R3229" i="4"/>
  <c r="W3229" i="4" s="1"/>
  <c r="Q3229" i="4"/>
  <c r="V3229" i="4" s="1"/>
  <c r="S3229" i="4"/>
  <c r="P3229" i="4"/>
  <c r="T3230" i="4"/>
  <c r="J3231" i="4"/>
  <c r="K3231" i="4"/>
  <c r="N3231" i="4" s="1"/>
  <c r="L3231" i="4"/>
  <c r="M3231" i="4"/>
  <c r="O3230" i="4"/>
  <c r="U3230" i="4" s="1"/>
  <c r="X3229" i="4" l="1"/>
  <c r="Y3229" i="4" s="1"/>
  <c r="R3230" i="4"/>
  <c r="W3230" i="4" s="1"/>
  <c r="Q3230" i="4"/>
  <c r="V3230" i="4" s="1"/>
  <c r="S3230" i="4"/>
  <c r="P3230" i="4"/>
  <c r="T3231" i="4"/>
  <c r="O3231" i="4"/>
  <c r="U3231" i="4" s="1"/>
  <c r="J3232" i="4"/>
  <c r="M3232" i="4"/>
  <c r="K3232" i="4"/>
  <c r="N3232" i="4" s="1"/>
  <c r="L3232" i="4"/>
  <c r="X3230" i="4" l="1"/>
  <c r="Y3230" i="4" s="1"/>
  <c r="R3231" i="4"/>
  <c r="W3231" i="4" s="1"/>
  <c r="Q3231" i="4"/>
  <c r="V3231" i="4" s="1"/>
  <c r="S3231" i="4"/>
  <c r="P3231" i="4"/>
  <c r="T3232" i="4"/>
  <c r="O3232" i="4"/>
  <c r="U3232" i="4" s="1"/>
  <c r="J3233" i="4"/>
  <c r="K3233" i="4"/>
  <c r="N3233" i="4" s="1"/>
  <c r="L3233" i="4"/>
  <c r="M3233" i="4"/>
  <c r="X3231" i="4" l="1"/>
  <c r="Y3231" i="4" s="1"/>
  <c r="R3232" i="4"/>
  <c r="W3232" i="4" s="1"/>
  <c r="Q3232" i="4"/>
  <c r="V3232" i="4" s="1"/>
  <c r="S3232" i="4"/>
  <c r="P3232" i="4"/>
  <c r="T3233" i="4"/>
  <c r="O3233" i="4"/>
  <c r="U3233" i="4" s="1"/>
  <c r="J3234" i="4"/>
  <c r="M3234" i="4"/>
  <c r="K3234" i="4"/>
  <c r="N3234" i="4" s="1"/>
  <c r="L3234" i="4"/>
  <c r="X3232" i="4" l="1"/>
  <c r="Y3232" i="4" s="1"/>
  <c r="R3233" i="4"/>
  <c r="W3233" i="4" s="1"/>
  <c r="Q3233" i="4"/>
  <c r="V3233" i="4" s="1"/>
  <c r="S3233" i="4"/>
  <c r="P3233" i="4"/>
  <c r="T3234" i="4"/>
  <c r="J3235" i="4"/>
  <c r="K3235" i="4"/>
  <c r="N3235" i="4" s="1"/>
  <c r="L3235" i="4"/>
  <c r="M3235" i="4"/>
  <c r="O3234" i="4"/>
  <c r="U3234" i="4" s="1"/>
  <c r="X3233" i="4" l="1"/>
  <c r="Y3233" i="4" s="1"/>
  <c r="R3234" i="4"/>
  <c r="W3234" i="4" s="1"/>
  <c r="Q3234" i="4"/>
  <c r="V3234" i="4" s="1"/>
  <c r="S3234" i="4"/>
  <c r="P3234" i="4"/>
  <c r="T3235" i="4"/>
  <c r="O3235" i="4"/>
  <c r="J3236" i="4"/>
  <c r="M3236" i="4"/>
  <c r="K3236" i="4"/>
  <c r="N3236" i="4" s="1"/>
  <c r="L3236" i="4"/>
  <c r="X3234" i="4" l="1"/>
  <c r="Y3234" i="4" s="1"/>
  <c r="Q3235" i="4"/>
  <c r="V3235" i="4" s="1"/>
  <c r="S3235" i="4"/>
  <c r="P3235" i="4"/>
  <c r="U3235" i="4"/>
  <c r="T3236" i="4"/>
  <c r="J3237" i="4"/>
  <c r="K3237" i="4"/>
  <c r="N3237" i="4" s="1"/>
  <c r="L3237" i="4"/>
  <c r="M3237" i="4"/>
  <c r="O3236" i="4"/>
  <c r="R3235" i="4" l="1"/>
  <c r="W3235" i="4" s="1"/>
  <c r="X3235" i="4" s="1"/>
  <c r="Y3235" i="4" s="1"/>
  <c r="Q3236" i="4"/>
  <c r="V3236" i="4" s="1"/>
  <c r="S3236" i="4"/>
  <c r="P3236" i="4"/>
  <c r="U3236" i="4"/>
  <c r="T3237" i="4"/>
  <c r="O3237" i="4"/>
  <c r="J3238" i="4"/>
  <c r="M3238" i="4"/>
  <c r="K3238" i="4"/>
  <c r="N3238" i="4" s="1"/>
  <c r="T3238" i="4" s="1"/>
  <c r="L3238" i="4"/>
  <c r="R3236" i="4" l="1"/>
  <c r="W3236" i="4" s="1"/>
  <c r="X3236" i="4" s="1"/>
  <c r="Y3236" i="4" s="1"/>
  <c r="Q3237" i="4"/>
  <c r="V3237" i="4" s="1"/>
  <c r="S3237" i="4"/>
  <c r="Q3238" i="4"/>
  <c r="V3238" i="4" s="1"/>
  <c r="S3238" i="4"/>
  <c r="P3237" i="4"/>
  <c r="U3237" i="4"/>
  <c r="J3239" i="4"/>
  <c r="K3239" i="4"/>
  <c r="N3239" i="4" s="1"/>
  <c r="T3239" i="4" s="1"/>
  <c r="L3239" i="4"/>
  <c r="M3239" i="4"/>
  <c r="O3238" i="4"/>
  <c r="U3238" i="4" s="1"/>
  <c r="R3238" i="4" l="1"/>
  <c r="W3238" i="4" s="1"/>
  <c r="X3238" i="4" s="1"/>
  <c r="Y3238" i="4" s="1"/>
  <c r="R3237" i="4"/>
  <c r="W3237" i="4" s="1"/>
  <c r="X3237" i="4" s="1"/>
  <c r="Y3237" i="4" s="1"/>
  <c r="Q3239" i="4"/>
  <c r="V3239" i="4" s="1"/>
  <c r="S3239" i="4"/>
  <c r="P3238" i="4"/>
  <c r="O3239" i="4"/>
  <c r="J3240" i="4"/>
  <c r="M3240" i="4"/>
  <c r="K3240" i="4"/>
  <c r="N3240" i="4" s="1"/>
  <c r="L3240" i="4"/>
  <c r="P3239" i="4" l="1"/>
  <c r="U3239" i="4"/>
  <c r="T3240" i="4"/>
  <c r="J3241" i="4"/>
  <c r="K3241" i="4"/>
  <c r="N3241" i="4" s="1"/>
  <c r="L3241" i="4"/>
  <c r="M3241" i="4"/>
  <c r="O3240" i="4"/>
  <c r="U3240" i="4" s="1"/>
  <c r="R3240" i="4" l="1"/>
  <c r="W3240" i="4" s="1"/>
  <c r="R3239" i="4"/>
  <c r="W3239" i="4" s="1"/>
  <c r="X3239" i="4" s="1"/>
  <c r="Y3239" i="4" s="1"/>
  <c r="Q3240" i="4"/>
  <c r="V3240" i="4" s="1"/>
  <c r="S3240" i="4"/>
  <c r="P3240" i="4"/>
  <c r="T3241" i="4"/>
  <c r="O3241" i="4"/>
  <c r="U3241" i="4" s="1"/>
  <c r="J3242" i="4"/>
  <c r="M3242" i="4"/>
  <c r="K3242" i="4"/>
  <c r="N3242" i="4" s="1"/>
  <c r="L3242" i="4"/>
  <c r="X3240" i="4" l="1"/>
  <c r="Y3240" i="4" s="1"/>
  <c r="R3241" i="4"/>
  <c r="W3241" i="4" s="1"/>
  <c r="Q3241" i="4"/>
  <c r="V3241" i="4" s="1"/>
  <c r="S3241" i="4"/>
  <c r="P3241" i="4"/>
  <c r="T3242" i="4"/>
  <c r="J3243" i="4"/>
  <c r="K3243" i="4"/>
  <c r="N3243" i="4" s="1"/>
  <c r="T3243" i="4" s="1"/>
  <c r="L3243" i="4"/>
  <c r="M3243" i="4"/>
  <c r="O3242" i="4"/>
  <c r="U3242" i="4" s="1"/>
  <c r="X3241" i="4" l="1"/>
  <c r="Y3241" i="4" s="1"/>
  <c r="R3242" i="4"/>
  <c r="W3242" i="4" s="1"/>
  <c r="Q3242" i="4"/>
  <c r="V3242" i="4" s="1"/>
  <c r="S3242" i="4"/>
  <c r="Q3243" i="4"/>
  <c r="V3243" i="4" s="1"/>
  <c r="S3243" i="4"/>
  <c r="P3242" i="4"/>
  <c r="O3243" i="4"/>
  <c r="J3244" i="4"/>
  <c r="M3244" i="4"/>
  <c r="K3244" i="4"/>
  <c r="N3244" i="4" s="1"/>
  <c r="L3244" i="4"/>
  <c r="X3242" i="4" l="1"/>
  <c r="Y3242" i="4" s="1"/>
  <c r="P3243" i="4"/>
  <c r="T3244" i="4"/>
  <c r="U3243" i="4"/>
  <c r="J3245" i="4"/>
  <c r="K3245" i="4"/>
  <c r="N3245" i="4" s="1"/>
  <c r="L3245" i="4"/>
  <c r="M3245" i="4"/>
  <c r="O3244" i="4"/>
  <c r="U3244" i="4" s="1"/>
  <c r="R3244" i="4" l="1"/>
  <c r="W3244" i="4" s="1"/>
  <c r="R3243" i="4"/>
  <c r="W3243" i="4" s="1"/>
  <c r="X3243" i="4" s="1"/>
  <c r="Y3243" i="4" s="1"/>
  <c r="Q3244" i="4"/>
  <c r="V3244" i="4" s="1"/>
  <c r="S3244" i="4"/>
  <c r="T3245" i="4"/>
  <c r="P3244" i="4"/>
  <c r="O3245" i="4"/>
  <c r="U3245" i="4" s="1"/>
  <c r="J3246" i="4"/>
  <c r="M3246" i="4"/>
  <c r="K3246" i="4"/>
  <c r="N3246" i="4" s="1"/>
  <c r="L3246" i="4"/>
  <c r="X3244" i="4" l="1"/>
  <c r="Y3244" i="4" s="1"/>
  <c r="R3245" i="4"/>
  <c r="W3245" i="4" s="1"/>
  <c r="Q3245" i="4"/>
  <c r="V3245" i="4" s="1"/>
  <c r="S3245" i="4"/>
  <c r="P3245" i="4"/>
  <c r="T3246" i="4"/>
  <c r="J3247" i="4"/>
  <c r="K3247" i="4"/>
  <c r="N3247" i="4" s="1"/>
  <c r="L3247" i="4"/>
  <c r="M3247" i="4"/>
  <c r="O3246" i="4"/>
  <c r="X3245" i="4" l="1"/>
  <c r="Y3245" i="4" s="1"/>
  <c r="Q3246" i="4"/>
  <c r="V3246" i="4" s="1"/>
  <c r="S3246" i="4"/>
  <c r="P3246" i="4"/>
  <c r="U3246" i="4"/>
  <c r="T3247" i="4"/>
  <c r="O3247" i="4"/>
  <c r="J3248" i="4"/>
  <c r="M3248" i="4"/>
  <c r="K3248" i="4"/>
  <c r="N3248" i="4" s="1"/>
  <c r="T3248" i="4" s="1"/>
  <c r="L3248" i="4"/>
  <c r="R3246" i="4" l="1"/>
  <c r="W3246" i="4" s="1"/>
  <c r="X3246" i="4" s="1"/>
  <c r="Y3246" i="4" s="1"/>
  <c r="Q3248" i="4"/>
  <c r="V3248" i="4" s="1"/>
  <c r="S3248" i="4"/>
  <c r="Q3247" i="4"/>
  <c r="V3247" i="4" s="1"/>
  <c r="S3247" i="4"/>
  <c r="P3247" i="4"/>
  <c r="U3247" i="4"/>
  <c r="J3249" i="4"/>
  <c r="K3249" i="4"/>
  <c r="N3249" i="4" s="1"/>
  <c r="T3249" i="4" s="1"/>
  <c r="L3249" i="4"/>
  <c r="M3249" i="4"/>
  <c r="O3248" i="4"/>
  <c r="U3248" i="4" s="1"/>
  <c r="R3247" i="4" l="1"/>
  <c r="W3247" i="4" s="1"/>
  <c r="X3247" i="4" s="1"/>
  <c r="Y3247" i="4" s="1"/>
  <c r="R3248" i="4"/>
  <c r="W3248" i="4" s="1"/>
  <c r="X3248" i="4" s="1"/>
  <c r="Y3248" i="4" s="1"/>
  <c r="Q3249" i="4"/>
  <c r="V3249" i="4" s="1"/>
  <c r="S3249" i="4"/>
  <c r="P3248" i="4"/>
  <c r="O3249" i="4"/>
  <c r="J3250" i="4"/>
  <c r="M3250" i="4"/>
  <c r="K3250" i="4"/>
  <c r="N3250" i="4" s="1"/>
  <c r="L3250" i="4"/>
  <c r="P3249" i="4" l="1"/>
  <c r="U3249" i="4"/>
  <c r="T3250" i="4"/>
  <c r="J3251" i="4"/>
  <c r="K3251" i="4"/>
  <c r="N3251" i="4" s="1"/>
  <c r="T3251" i="4" s="1"/>
  <c r="L3251" i="4"/>
  <c r="M3251" i="4"/>
  <c r="O3250" i="4"/>
  <c r="R3249" i="4" l="1"/>
  <c r="W3249" i="4" s="1"/>
  <c r="X3249" i="4" s="1"/>
  <c r="Y3249" i="4" s="1"/>
  <c r="Q3250" i="4"/>
  <c r="V3250" i="4" s="1"/>
  <c r="S3250" i="4"/>
  <c r="Q3251" i="4"/>
  <c r="V3251" i="4" s="1"/>
  <c r="S3251" i="4"/>
  <c r="P3250" i="4"/>
  <c r="U3250" i="4"/>
  <c r="O3251" i="4"/>
  <c r="U3251" i="4" s="1"/>
  <c r="J3252" i="4"/>
  <c r="M3252" i="4"/>
  <c r="K3252" i="4"/>
  <c r="N3252" i="4" s="1"/>
  <c r="L3252" i="4"/>
  <c r="R3251" i="4" l="1"/>
  <c r="W3251" i="4" s="1"/>
  <c r="X3251" i="4" s="1"/>
  <c r="Y3251" i="4" s="1"/>
  <c r="R3250" i="4"/>
  <c r="W3250" i="4" s="1"/>
  <c r="X3250" i="4" s="1"/>
  <c r="Y3250" i="4" s="1"/>
  <c r="P3251" i="4"/>
  <c r="T3252" i="4"/>
  <c r="J3253" i="4"/>
  <c r="K3253" i="4"/>
  <c r="N3253" i="4" s="1"/>
  <c r="L3253" i="4"/>
  <c r="M3253" i="4"/>
  <c r="O3252" i="4"/>
  <c r="U3252" i="4" s="1"/>
  <c r="R3252" i="4" l="1"/>
  <c r="W3252" i="4" s="1"/>
  <c r="Q3252" i="4"/>
  <c r="V3252" i="4" s="1"/>
  <c r="S3252" i="4"/>
  <c r="P3252" i="4"/>
  <c r="T3253" i="4"/>
  <c r="O3253" i="4"/>
  <c r="U3253" i="4" s="1"/>
  <c r="J3254" i="4"/>
  <c r="M3254" i="4"/>
  <c r="K3254" i="4"/>
  <c r="N3254" i="4" s="1"/>
  <c r="L3254" i="4"/>
  <c r="X3252" i="4" l="1"/>
  <c r="Y3252" i="4" s="1"/>
  <c r="R3253" i="4"/>
  <c r="W3253" i="4" s="1"/>
  <c r="Q3253" i="4"/>
  <c r="V3253" i="4" s="1"/>
  <c r="S3253" i="4"/>
  <c r="P3253" i="4"/>
  <c r="T3254" i="4"/>
  <c r="J3255" i="4"/>
  <c r="K3255" i="4"/>
  <c r="N3255" i="4" s="1"/>
  <c r="L3255" i="4"/>
  <c r="M3255" i="4"/>
  <c r="O3254" i="4"/>
  <c r="U3254" i="4" s="1"/>
  <c r="X3253" i="4" l="1"/>
  <c r="Y3253" i="4" s="1"/>
  <c r="R3254" i="4"/>
  <c r="W3254" i="4" s="1"/>
  <c r="Q3254" i="4"/>
  <c r="V3254" i="4" s="1"/>
  <c r="S3254" i="4"/>
  <c r="P3254" i="4"/>
  <c r="T3255" i="4"/>
  <c r="O3255" i="4"/>
  <c r="U3255" i="4" s="1"/>
  <c r="J3256" i="4"/>
  <c r="M3256" i="4"/>
  <c r="K3256" i="4"/>
  <c r="N3256" i="4" s="1"/>
  <c r="L3256" i="4"/>
  <c r="X3254" i="4" l="1"/>
  <c r="Y3254" i="4" s="1"/>
  <c r="R3255" i="4"/>
  <c r="W3255" i="4" s="1"/>
  <c r="Q3255" i="4"/>
  <c r="V3255" i="4" s="1"/>
  <c r="S3255" i="4"/>
  <c r="P3255" i="4"/>
  <c r="T3256" i="4"/>
  <c r="J3257" i="4"/>
  <c r="K3257" i="4"/>
  <c r="N3257" i="4" s="1"/>
  <c r="L3257" i="4"/>
  <c r="M3257" i="4"/>
  <c r="O3256" i="4"/>
  <c r="U3256" i="4" s="1"/>
  <c r="X3255" i="4" l="1"/>
  <c r="Y3255" i="4" s="1"/>
  <c r="R3256" i="4"/>
  <c r="W3256" i="4" s="1"/>
  <c r="Q3256" i="4"/>
  <c r="V3256" i="4" s="1"/>
  <c r="S3256" i="4"/>
  <c r="P3256" i="4"/>
  <c r="T3257" i="4"/>
  <c r="O3257" i="4"/>
  <c r="J3258" i="4"/>
  <c r="M3258" i="4"/>
  <c r="K3258" i="4"/>
  <c r="N3258" i="4" s="1"/>
  <c r="L3258" i="4"/>
  <c r="X3256" i="4" l="1"/>
  <c r="Y3256" i="4" s="1"/>
  <c r="Q3257" i="4"/>
  <c r="V3257" i="4" s="1"/>
  <c r="S3257" i="4"/>
  <c r="P3257" i="4"/>
  <c r="U3257" i="4"/>
  <c r="T3258" i="4"/>
  <c r="J3259" i="4"/>
  <c r="K3259" i="4"/>
  <c r="N3259" i="4" s="1"/>
  <c r="L3259" i="4"/>
  <c r="M3259" i="4"/>
  <c r="O3258" i="4"/>
  <c r="U3258" i="4" s="1"/>
  <c r="R3258" i="4" l="1"/>
  <c r="W3258" i="4" s="1"/>
  <c r="R3257" i="4"/>
  <c r="W3257" i="4" s="1"/>
  <c r="X3257" i="4" s="1"/>
  <c r="Y3257" i="4" s="1"/>
  <c r="Q3258" i="4"/>
  <c r="V3258" i="4" s="1"/>
  <c r="S3258" i="4"/>
  <c r="P3258" i="4"/>
  <c r="T3259" i="4"/>
  <c r="O3259" i="4"/>
  <c r="U3259" i="4" s="1"/>
  <c r="J3260" i="4"/>
  <c r="M3260" i="4"/>
  <c r="K3260" i="4"/>
  <c r="N3260" i="4" s="1"/>
  <c r="L3260" i="4"/>
  <c r="X3258" i="4" l="1"/>
  <c r="Y3258" i="4" s="1"/>
  <c r="R3259" i="4"/>
  <c r="W3259" i="4" s="1"/>
  <c r="Q3259" i="4"/>
  <c r="V3259" i="4" s="1"/>
  <c r="S3259" i="4"/>
  <c r="P3259" i="4"/>
  <c r="T3260" i="4"/>
  <c r="J3261" i="4"/>
  <c r="K3261" i="4"/>
  <c r="N3261" i="4" s="1"/>
  <c r="T3261" i="4" s="1"/>
  <c r="L3261" i="4"/>
  <c r="M3261" i="4"/>
  <c r="O3260" i="4"/>
  <c r="X3259" i="4" l="1"/>
  <c r="Y3259" i="4" s="1"/>
  <c r="Q3260" i="4"/>
  <c r="V3260" i="4" s="1"/>
  <c r="S3260" i="4"/>
  <c r="Q3261" i="4"/>
  <c r="V3261" i="4" s="1"/>
  <c r="S3261" i="4"/>
  <c r="P3260" i="4"/>
  <c r="U3260" i="4"/>
  <c r="O3261" i="4"/>
  <c r="J3262" i="4"/>
  <c r="M3262" i="4"/>
  <c r="K3262" i="4"/>
  <c r="N3262" i="4" s="1"/>
  <c r="L3262" i="4"/>
  <c r="R3260" i="4" l="1"/>
  <c r="W3260" i="4" s="1"/>
  <c r="X3260" i="4" s="1"/>
  <c r="Y3260" i="4" s="1"/>
  <c r="T3262" i="4"/>
  <c r="P3261" i="4"/>
  <c r="U3261" i="4"/>
  <c r="J3263" i="4"/>
  <c r="K3263" i="4"/>
  <c r="N3263" i="4" s="1"/>
  <c r="L3263" i="4"/>
  <c r="M3263" i="4"/>
  <c r="O3262" i="4"/>
  <c r="U3262" i="4" s="1"/>
  <c r="R3262" i="4" l="1"/>
  <c r="W3262" i="4" s="1"/>
  <c r="R3261" i="4"/>
  <c r="W3261" i="4" s="1"/>
  <c r="X3261" i="4" s="1"/>
  <c r="Y3261" i="4" s="1"/>
  <c r="Q3262" i="4"/>
  <c r="V3262" i="4" s="1"/>
  <c r="S3262" i="4"/>
  <c r="P3262" i="4"/>
  <c r="T3263" i="4"/>
  <c r="O3263" i="4"/>
  <c r="J3264" i="4"/>
  <c r="M3264" i="4"/>
  <c r="K3264" i="4"/>
  <c r="N3264" i="4" s="1"/>
  <c r="L3264" i="4"/>
  <c r="X3262" i="4" l="1"/>
  <c r="Y3262" i="4" s="1"/>
  <c r="Q3263" i="4"/>
  <c r="V3263" i="4" s="1"/>
  <c r="S3263" i="4"/>
  <c r="P3263" i="4"/>
  <c r="U3263" i="4"/>
  <c r="T3264" i="4"/>
  <c r="J3265" i="4"/>
  <c r="K3265" i="4"/>
  <c r="N3265" i="4" s="1"/>
  <c r="L3265" i="4"/>
  <c r="M3265" i="4"/>
  <c r="O3264" i="4"/>
  <c r="U3264" i="4" s="1"/>
  <c r="R3264" i="4" l="1"/>
  <c r="W3264" i="4" s="1"/>
  <c r="R3263" i="4"/>
  <c r="W3263" i="4" s="1"/>
  <c r="X3263" i="4" s="1"/>
  <c r="Y3263" i="4" s="1"/>
  <c r="Q3264" i="4"/>
  <c r="V3264" i="4" s="1"/>
  <c r="S3264" i="4"/>
  <c r="P3264" i="4"/>
  <c r="T3265" i="4"/>
  <c r="O3265" i="4"/>
  <c r="U3265" i="4" s="1"/>
  <c r="J3266" i="4"/>
  <c r="M3266" i="4"/>
  <c r="K3266" i="4"/>
  <c r="N3266" i="4" s="1"/>
  <c r="L3266" i="4"/>
  <c r="X3264" i="4" l="1"/>
  <c r="Y3264" i="4" s="1"/>
  <c r="R3265" i="4"/>
  <c r="W3265" i="4" s="1"/>
  <c r="Q3265" i="4"/>
  <c r="V3265" i="4" s="1"/>
  <c r="S3265" i="4"/>
  <c r="P3265" i="4"/>
  <c r="T3266" i="4"/>
  <c r="J3267" i="4"/>
  <c r="K3267" i="4"/>
  <c r="N3267" i="4" s="1"/>
  <c r="L3267" i="4"/>
  <c r="M3267" i="4"/>
  <c r="O3266" i="4"/>
  <c r="U3266" i="4" s="1"/>
  <c r="X3265" i="4" l="1"/>
  <c r="Y3265" i="4" s="1"/>
  <c r="R3266" i="4"/>
  <c r="W3266" i="4" s="1"/>
  <c r="Q3266" i="4"/>
  <c r="V3266" i="4" s="1"/>
  <c r="S3266" i="4"/>
  <c r="P3266" i="4"/>
  <c r="T3267" i="4"/>
  <c r="O3267" i="4"/>
  <c r="U3267" i="4" s="1"/>
  <c r="J3268" i="4"/>
  <c r="M3268" i="4"/>
  <c r="K3268" i="4"/>
  <c r="N3268" i="4" s="1"/>
  <c r="L3268" i="4"/>
  <c r="X3266" i="4" l="1"/>
  <c r="Y3266" i="4" s="1"/>
  <c r="R3267" i="4"/>
  <c r="W3267" i="4" s="1"/>
  <c r="Q3267" i="4"/>
  <c r="V3267" i="4" s="1"/>
  <c r="S3267" i="4"/>
  <c r="P3267" i="4"/>
  <c r="T3268" i="4"/>
  <c r="J3269" i="4"/>
  <c r="K3269" i="4"/>
  <c r="N3269" i="4" s="1"/>
  <c r="L3269" i="4"/>
  <c r="M3269" i="4"/>
  <c r="O3268" i="4"/>
  <c r="U3268" i="4" s="1"/>
  <c r="X3267" i="4" l="1"/>
  <c r="Y3267" i="4" s="1"/>
  <c r="R3268" i="4"/>
  <c r="W3268" i="4" s="1"/>
  <c r="Q3268" i="4"/>
  <c r="V3268" i="4" s="1"/>
  <c r="S3268" i="4"/>
  <c r="P3268" i="4"/>
  <c r="T3269" i="4"/>
  <c r="O3269" i="4"/>
  <c r="U3269" i="4" s="1"/>
  <c r="J3270" i="4"/>
  <c r="M3270" i="4"/>
  <c r="K3270" i="4"/>
  <c r="N3270" i="4" s="1"/>
  <c r="L3270" i="4"/>
  <c r="X3268" i="4" l="1"/>
  <c r="Y3268" i="4" s="1"/>
  <c r="R3269" i="4"/>
  <c r="W3269" i="4" s="1"/>
  <c r="Q3269" i="4"/>
  <c r="V3269" i="4" s="1"/>
  <c r="S3269" i="4"/>
  <c r="P3269" i="4"/>
  <c r="T3270" i="4"/>
  <c r="J3271" i="4"/>
  <c r="K3271" i="4"/>
  <c r="N3271" i="4" s="1"/>
  <c r="L3271" i="4"/>
  <c r="M3271" i="4"/>
  <c r="O3270" i="4"/>
  <c r="U3270" i="4" s="1"/>
  <c r="X3269" i="4" l="1"/>
  <c r="Y3269" i="4" s="1"/>
  <c r="R3270" i="4"/>
  <c r="W3270" i="4" s="1"/>
  <c r="Q3270" i="4"/>
  <c r="V3270" i="4" s="1"/>
  <c r="S3270" i="4"/>
  <c r="P3270" i="4"/>
  <c r="T3271" i="4"/>
  <c r="O3271" i="4"/>
  <c r="U3271" i="4" s="1"/>
  <c r="J3272" i="4"/>
  <c r="M3272" i="4"/>
  <c r="K3272" i="4"/>
  <c r="N3272" i="4" s="1"/>
  <c r="L3272" i="4"/>
  <c r="X3270" i="4" l="1"/>
  <c r="Y3270" i="4" s="1"/>
  <c r="R3271" i="4"/>
  <c r="W3271" i="4" s="1"/>
  <c r="Q3271" i="4"/>
  <c r="V3271" i="4" s="1"/>
  <c r="S3271" i="4"/>
  <c r="P3271" i="4"/>
  <c r="T3272" i="4"/>
  <c r="J3273" i="4"/>
  <c r="K3273" i="4"/>
  <c r="N3273" i="4" s="1"/>
  <c r="L3273" i="4"/>
  <c r="M3273" i="4"/>
  <c r="O3272" i="4"/>
  <c r="U3272" i="4" s="1"/>
  <c r="X3271" i="4" l="1"/>
  <c r="Y3271" i="4" s="1"/>
  <c r="R3272" i="4"/>
  <c r="W3272" i="4" s="1"/>
  <c r="Q3272" i="4"/>
  <c r="V3272" i="4" s="1"/>
  <c r="S3272" i="4"/>
  <c r="P3272" i="4"/>
  <c r="T3273" i="4"/>
  <c r="O3273" i="4"/>
  <c r="U3273" i="4" s="1"/>
  <c r="J3274" i="4"/>
  <c r="M3274" i="4"/>
  <c r="K3274" i="4"/>
  <c r="N3274" i="4" s="1"/>
  <c r="L3274" i="4"/>
  <c r="X3272" i="4" l="1"/>
  <c r="Y3272" i="4" s="1"/>
  <c r="R3273" i="4"/>
  <c r="W3273" i="4" s="1"/>
  <c r="Q3273" i="4"/>
  <c r="V3273" i="4" s="1"/>
  <c r="S3273" i="4"/>
  <c r="P3273" i="4"/>
  <c r="T3274" i="4"/>
  <c r="J3275" i="4"/>
  <c r="K3275" i="4"/>
  <c r="N3275" i="4" s="1"/>
  <c r="L3275" i="4"/>
  <c r="M3275" i="4"/>
  <c r="O3274" i="4"/>
  <c r="U3274" i="4" s="1"/>
  <c r="X3273" i="4" l="1"/>
  <c r="Y3273" i="4" s="1"/>
  <c r="R3274" i="4"/>
  <c r="W3274" i="4" s="1"/>
  <c r="Q3274" i="4"/>
  <c r="V3274" i="4" s="1"/>
  <c r="S3274" i="4"/>
  <c r="P3274" i="4"/>
  <c r="T3275" i="4"/>
  <c r="O3275" i="4"/>
  <c r="J3276" i="4"/>
  <c r="M3276" i="4"/>
  <c r="K3276" i="4"/>
  <c r="N3276" i="4" s="1"/>
  <c r="L3276" i="4"/>
  <c r="X3274" i="4" l="1"/>
  <c r="Y3274" i="4" s="1"/>
  <c r="Q3275" i="4"/>
  <c r="V3275" i="4" s="1"/>
  <c r="S3275" i="4"/>
  <c r="P3275" i="4"/>
  <c r="U3275" i="4"/>
  <c r="T3276" i="4"/>
  <c r="J3277" i="4"/>
  <c r="K3277" i="4"/>
  <c r="N3277" i="4" s="1"/>
  <c r="L3277" i="4"/>
  <c r="M3277" i="4"/>
  <c r="O3276" i="4"/>
  <c r="R3275" i="4" l="1"/>
  <c r="W3275" i="4" s="1"/>
  <c r="X3275" i="4" s="1"/>
  <c r="Y3275" i="4" s="1"/>
  <c r="Q3276" i="4"/>
  <c r="V3276" i="4" s="1"/>
  <c r="S3276" i="4"/>
  <c r="P3276" i="4"/>
  <c r="U3276" i="4"/>
  <c r="T3277" i="4"/>
  <c r="O3277" i="4"/>
  <c r="J3278" i="4"/>
  <c r="M3278" i="4"/>
  <c r="K3278" i="4"/>
  <c r="N3278" i="4" s="1"/>
  <c r="T3278" i="4" s="1"/>
  <c r="L3278" i="4"/>
  <c r="R3276" i="4" l="1"/>
  <c r="W3276" i="4" s="1"/>
  <c r="X3276" i="4" s="1"/>
  <c r="Y3276" i="4" s="1"/>
  <c r="Q3278" i="4"/>
  <c r="V3278" i="4" s="1"/>
  <c r="S3278" i="4"/>
  <c r="Q3277" i="4"/>
  <c r="V3277" i="4" s="1"/>
  <c r="S3277" i="4"/>
  <c r="P3277" i="4"/>
  <c r="U3277" i="4"/>
  <c r="J3279" i="4"/>
  <c r="K3279" i="4"/>
  <c r="N3279" i="4" s="1"/>
  <c r="T3279" i="4" s="1"/>
  <c r="L3279" i="4"/>
  <c r="M3279" i="4"/>
  <c r="O3278" i="4"/>
  <c r="U3278" i="4" s="1"/>
  <c r="R3278" i="4" l="1"/>
  <c r="W3278" i="4" s="1"/>
  <c r="X3278" i="4" s="1"/>
  <c r="Y3278" i="4" s="1"/>
  <c r="R3277" i="4"/>
  <c r="W3277" i="4" s="1"/>
  <c r="X3277" i="4" s="1"/>
  <c r="Y3277" i="4" s="1"/>
  <c r="Q3279" i="4"/>
  <c r="V3279" i="4" s="1"/>
  <c r="S3279" i="4"/>
  <c r="P3278" i="4"/>
  <c r="O3279" i="4"/>
  <c r="J3280" i="4"/>
  <c r="M3280" i="4"/>
  <c r="K3280" i="4"/>
  <c r="N3280" i="4" s="1"/>
  <c r="L3280" i="4"/>
  <c r="P3279" i="4" l="1"/>
  <c r="U3279" i="4"/>
  <c r="T3280" i="4"/>
  <c r="J3281" i="4"/>
  <c r="K3281" i="4"/>
  <c r="N3281" i="4" s="1"/>
  <c r="T3281" i="4" s="1"/>
  <c r="L3281" i="4"/>
  <c r="M3281" i="4"/>
  <c r="O3280" i="4"/>
  <c r="R3279" i="4" l="1"/>
  <c r="W3279" i="4" s="1"/>
  <c r="X3279" i="4" s="1"/>
  <c r="Y3279" i="4" s="1"/>
  <c r="Q3280" i="4"/>
  <c r="V3280" i="4" s="1"/>
  <c r="S3280" i="4"/>
  <c r="Q3281" i="4"/>
  <c r="V3281" i="4" s="1"/>
  <c r="S3281" i="4"/>
  <c r="P3280" i="4"/>
  <c r="U3280" i="4"/>
  <c r="O3281" i="4"/>
  <c r="U3281" i="4" s="1"/>
  <c r="J3282" i="4"/>
  <c r="M3282" i="4"/>
  <c r="K3282" i="4"/>
  <c r="N3282" i="4" s="1"/>
  <c r="L3282" i="4"/>
  <c r="R3281" i="4" l="1"/>
  <c r="W3281" i="4" s="1"/>
  <c r="X3281" i="4" s="1"/>
  <c r="Y3281" i="4" s="1"/>
  <c r="R3280" i="4"/>
  <c r="W3280" i="4" s="1"/>
  <c r="X3280" i="4" s="1"/>
  <c r="Y3280" i="4" s="1"/>
  <c r="P3281" i="4"/>
  <c r="T3282" i="4"/>
  <c r="J3283" i="4"/>
  <c r="K3283" i="4"/>
  <c r="N3283" i="4" s="1"/>
  <c r="L3283" i="4"/>
  <c r="M3283" i="4"/>
  <c r="O3282" i="4"/>
  <c r="U3282" i="4" s="1"/>
  <c r="R3282" i="4" l="1"/>
  <c r="W3282" i="4" s="1"/>
  <c r="Q3282" i="4"/>
  <c r="V3282" i="4" s="1"/>
  <c r="S3282" i="4"/>
  <c r="P3282" i="4"/>
  <c r="T3283" i="4"/>
  <c r="O3283" i="4"/>
  <c r="U3283" i="4" s="1"/>
  <c r="J3284" i="4"/>
  <c r="M3284" i="4"/>
  <c r="K3284" i="4"/>
  <c r="N3284" i="4" s="1"/>
  <c r="L3284" i="4"/>
  <c r="X3282" i="4" l="1"/>
  <c r="Y3282" i="4" s="1"/>
  <c r="R3283" i="4"/>
  <c r="W3283" i="4" s="1"/>
  <c r="Q3283" i="4"/>
  <c r="V3283" i="4" s="1"/>
  <c r="S3283" i="4"/>
  <c r="P3283" i="4"/>
  <c r="T3284" i="4"/>
  <c r="J3285" i="4"/>
  <c r="K3285" i="4"/>
  <c r="N3285" i="4" s="1"/>
  <c r="T3285" i="4" s="1"/>
  <c r="L3285" i="4"/>
  <c r="M3285" i="4"/>
  <c r="O3284" i="4"/>
  <c r="X3283" i="4" l="1"/>
  <c r="Y3283" i="4" s="1"/>
  <c r="Q3285" i="4"/>
  <c r="V3285" i="4" s="1"/>
  <c r="S3285" i="4"/>
  <c r="Q3284" i="4"/>
  <c r="V3284" i="4" s="1"/>
  <c r="S3284" i="4"/>
  <c r="P3284" i="4"/>
  <c r="U3284" i="4"/>
  <c r="O3285" i="4"/>
  <c r="U3285" i="4" s="1"/>
  <c r="J3286" i="4"/>
  <c r="M3286" i="4"/>
  <c r="K3286" i="4"/>
  <c r="N3286" i="4" s="1"/>
  <c r="L3286" i="4"/>
  <c r="R3284" i="4" l="1"/>
  <c r="W3284" i="4" s="1"/>
  <c r="X3284" i="4" s="1"/>
  <c r="Y3284" i="4" s="1"/>
  <c r="R3285" i="4"/>
  <c r="W3285" i="4" s="1"/>
  <c r="X3285" i="4" s="1"/>
  <c r="Y3285" i="4" s="1"/>
  <c r="T3286" i="4"/>
  <c r="P3285" i="4"/>
  <c r="J3287" i="4"/>
  <c r="K3287" i="4"/>
  <c r="N3287" i="4" s="1"/>
  <c r="L3287" i="4"/>
  <c r="M3287" i="4"/>
  <c r="O3286" i="4"/>
  <c r="U3286" i="4" s="1"/>
  <c r="R3286" i="4" l="1"/>
  <c r="W3286" i="4" s="1"/>
  <c r="Q3286" i="4"/>
  <c r="V3286" i="4" s="1"/>
  <c r="S3286" i="4"/>
  <c r="P3286" i="4"/>
  <c r="T3287" i="4"/>
  <c r="O3287" i="4"/>
  <c r="U3287" i="4" s="1"/>
  <c r="J3288" i="4"/>
  <c r="M3288" i="4"/>
  <c r="K3288" i="4"/>
  <c r="N3288" i="4" s="1"/>
  <c r="L3288" i="4"/>
  <c r="X3286" i="4" l="1"/>
  <c r="Y3286" i="4" s="1"/>
  <c r="R3287" i="4"/>
  <c r="W3287" i="4" s="1"/>
  <c r="Q3287" i="4"/>
  <c r="V3287" i="4" s="1"/>
  <c r="S3287" i="4"/>
  <c r="P3287" i="4"/>
  <c r="T3288" i="4"/>
  <c r="J3289" i="4"/>
  <c r="K3289" i="4"/>
  <c r="N3289" i="4" s="1"/>
  <c r="L3289" i="4"/>
  <c r="M3289" i="4"/>
  <c r="O3288" i="4"/>
  <c r="U3288" i="4" s="1"/>
  <c r="X3287" i="4" l="1"/>
  <c r="Y3287" i="4" s="1"/>
  <c r="R3288" i="4"/>
  <c r="W3288" i="4" s="1"/>
  <c r="Q3288" i="4"/>
  <c r="V3288" i="4" s="1"/>
  <c r="S3288" i="4"/>
  <c r="P3288" i="4"/>
  <c r="T3289" i="4"/>
  <c r="O3289" i="4"/>
  <c r="U3289" i="4" s="1"/>
  <c r="J3290" i="4"/>
  <c r="M3290" i="4"/>
  <c r="K3290" i="4"/>
  <c r="N3290" i="4" s="1"/>
  <c r="L3290" i="4"/>
  <c r="X3288" i="4" l="1"/>
  <c r="Y3288" i="4" s="1"/>
  <c r="R3289" i="4"/>
  <c r="W3289" i="4" s="1"/>
  <c r="Q3289" i="4"/>
  <c r="V3289" i="4" s="1"/>
  <c r="S3289" i="4"/>
  <c r="P3289" i="4"/>
  <c r="T3290" i="4"/>
  <c r="J3291" i="4"/>
  <c r="K3291" i="4"/>
  <c r="N3291" i="4" s="1"/>
  <c r="L3291" i="4"/>
  <c r="M3291" i="4"/>
  <c r="O3290" i="4"/>
  <c r="U3290" i="4" s="1"/>
  <c r="X3289" i="4" l="1"/>
  <c r="Y3289" i="4" s="1"/>
  <c r="R3290" i="4"/>
  <c r="W3290" i="4" s="1"/>
  <c r="Q3290" i="4"/>
  <c r="V3290" i="4" s="1"/>
  <c r="S3290" i="4"/>
  <c r="P3290" i="4"/>
  <c r="T3291" i="4"/>
  <c r="O3291" i="4"/>
  <c r="U3291" i="4" s="1"/>
  <c r="J3292" i="4"/>
  <c r="M3292" i="4"/>
  <c r="K3292" i="4"/>
  <c r="N3292" i="4" s="1"/>
  <c r="L3292" i="4"/>
  <c r="X3290" i="4" l="1"/>
  <c r="Y3290" i="4" s="1"/>
  <c r="R3291" i="4"/>
  <c r="W3291" i="4" s="1"/>
  <c r="Q3291" i="4"/>
  <c r="V3291" i="4" s="1"/>
  <c r="S3291" i="4"/>
  <c r="P3291" i="4"/>
  <c r="T3292" i="4"/>
  <c r="J3293" i="4"/>
  <c r="K3293" i="4"/>
  <c r="N3293" i="4" s="1"/>
  <c r="L3293" i="4"/>
  <c r="M3293" i="4"/>
  <c r="O3292" i="4"/>
  <c r="U3292" i="4" s="1"/>
  <c r="X3291" i="4" l="1"/>
  <c r="Y3291" i="4" s="1"/>
  <c r="R3292" i="4"/>
  <c r="W3292" i="4" s="1"/>
  <c r="Q3292" i="4"/>
  <c r="V3292" i="4" s="1"/>
  <c r="S3292" i="4"/>
  <c r="P3292" i="4"/>
  <c r="T3293" i="4"/>
  <c r="O3293" i="4"/>
  <c r="U3293" i="4" s="1"/>
  <c r="J3294" i="4"/>
  <c r="M3294" i="4"/>
  <c r="K3294" i="4"/>
  <c r="N3294" i="4" s="1"/>
  <c r="L3294" i="4"/>
  <c r="X3292" i="4" l="1"/>
  <c r="Y3292" i="4" s="1"/>
  <c r="R3293" i="4"/>
  <c r="W3293" i="4" s="1"/>
  <c r="Q3293" i="4"/>
  <c r="V3293" i="4" s="1"/>
  <c r="S3293" i="4"/>
  <c r="P3293" i="4"/>
  <c r="T3294" i="4"/>
  <c r="J3295" i="4"/>
  <c r="K3295" i="4"/>
  <c r="N3295" i="4" s="1"/>
  <c r="L3295" i="4"/>
  <c r="M3295" i="4"/>
  <c r="O3294" i="4"/>
  <c r="U3294" i="4" s="1"/>
  <c r="X3293" i="4" l="1"/>
  <c r="Y3293" i="4" s="1"/>
  <c r="R3294" i="4"/>
  <c r="W3294" i="4" s="1"/>
  <c r="Q3294" i="4"/>
  <c r="V3294" i="4" s="1"/>
  <c r="S3294" i="4"/>
  <c r="P3294" i="4"/>
  <c r="T3295" i="4"/>
  <c r="O3295" i="4"/>
  <c r="U3295" i="4" s="1"/>
  <c r="J3296" i="4"/>
  <c r="M3296" i="4"/>
  <c r="K3296" i="4"/>
  <c r="N3296" i="4" s="1"/>
  <c r="L3296" i="4"/>
  <c r="X3294" i="4" l="1"/>
  <c r="Y3294" i="4" s="1"/>
  <c r="R3295" i="4"/>
  <c r="W3295" i="4" s="1"/>
  <c r="Q3295" i="4"/>
  <c r="V3295" i="4" s="1"/>
  <c r="S3295" i="4"/>
  <c r="P3295" i="4"/>
  <c r="T3296" i="4"/>
  <c r="J3297" i="4"/>
  <c r="K3297" i="4"/>
  <c r="N3297" i="4" s="1"/>
  <c r="L3297" i="4"/>
  <c r="M3297" i="4"/>
  <c r="O3296" i="4"/>
  <c r="U3296" i="4" s="1"/>
  <c r="X3295" i="4" l="1"/>
  <c r="Y3295" i="4" s="1"/>
  <c r="R3296" i="4"/>
  <c r="W3296" i="4" s="1"/>
  <c r="Q3296" i="4"/>
  <c r="V3296" i="4" s="1"/>
  <c r="S3296" i="4"/>
  <c r="P3296" i="4"/>
  <c r="T3297" i="4"/>
  <c r="O3297" i="4"/>
  <c r="U3297" i="4" s="1"/>
  <c r="J3298" i="4"/>
  <c r="K3298" i="4"/>
  <c r="N3298" i="4" s="1"/>
  <c r="L3298" i="4"/>
  <c r="M3298" i="4"/>
  <c r="X3296" i="4" l="1"/>
  <c r="Y3296" i="4" s="1"/>
  <c r="R3297" i="4"/>
  <c r="W3297" i="4" s="1"/>
  <c r="Q3297" i="4"/>
  <c r="V3297" i="4" s="1"/>
  <c r="S3297" i="4"/>
  <c r="P3297" i="4"/>
  <c r="T3298" i="4"/>
  <c r="O3298" i="4"/>
  <c r="U3298" i="4" s="1"/>
  <c r="J3299" i="4"/>
  <c r="L3299" i="4"/>
  <c r="M3299" i="4"/>
  <c r="K3299" i="4"/>
  <c r="N3299" i="4" s="1"/>
  <c r="X3297" i="4" l="1"/>
  <c r="Y3297" i="4" s="1"/>
  <c r="R3298" i="4"/>
  <c r="W3298" i="4" s="1"/>
  <c r="Q3298" i="4"/>
  <c r="V3298" i="4" s="1"/>
  <c r="S3298" i="4"/>
  <c r="P3298" i="4"/>
  <c r="T3299" i="4"/>
  <c r="J3300" i="4"/>
  <c r="K3300" i="4"/>
  <c r="N3300" i="4" s="1"/>
  <c r="L3300" i="4"/>
  <c r="M3300" i="4"/>
  <c r="O3299" i="4"/>
  <c r="U3299" i="4" s="1"/>
  <c r="X3298" i="4" l="1"/>
  <c r="Y3298" i="4" s="1"/>
  <c r="R3299" i="4"/>
  <c r="W3299" i="4" s="1"/>
  <c r="Q3299" i="4"/>
  <c r="V3299" i="4" s="1"/>
  <c r="S3299" i="4"/>
  <c r="P3299" i="4"/>
  <c r="T3300" i="4"/>
  <c r="O3300" i="4"/>
  <c r="U3300" i="4" s="1"/>
  <c r="J3301" i="4"/>
  <c r="L3301" i="4"/>
  <c r="M3301" i="4"/>
  <c r="K3301" i="4"/>
  <c r="N3301" i="4" s="1"/>
  <c r="X3299" i="4" l="1"/>
  <c r="Y3299" i="4" s="1"/>
  <c r="R3300" i="4"/>
  <c r="W3300" i="4" s="1"/>
  <c r="Q3300" i="4"/>
  <c r="V3300" i="4" s="1"/>
  <c r="S3300" i="4"/>
  <c r="P3300" i="4"/>
  <c r="T3301" i="4"/>
  <c r="J3302" i="4"/>
  <c r="K3302" i="4"/>
  <c r="N3302" i="4" s="1"/>
  <c r="L3302" i="4"/>
  <c r="M3302" i="4"/>
  <c r="O3301" i="4"/>
  <c r="U3301" i="4" s="1"/>
  <c r="X3300" i="4" l="1"/>
  <c r="Y3300" i="4" s="1"/>
  <c r="R3301" i="4"/>
  <c r="W3301" i="4" s="1"/>
  <c r="Q3301" i="4"/>
  <c r="V3301" i="4" s="1"/>
  <c r="S3301" i="4"/>
  <c r="P3301" i="4"/>
  <c r="T3302" i="4"/>
  <c r="O3302" i="4"/>
  <c r="U3302" i="4" s="1"/>
  <c r="J3303" i="4"/>
  <c r="L3303" i="4"/>
  <c r="M3303" i="4"/>
  <c r="K3303" i="4"/>
  <c r="N3303" i="4" s="1"/>
  <c r="X3301" i="4" l="1"/>
  <c r="Y3301" i="4" s="1"/>
  <c r="R3302" i="4"/>
  <c r="W3302" i="4" s="1"/>
  <c r="Q3302" i="4"/>
  <c r="V3302" i="4" s="1"/>
  <c r="S3302" i="4"/>
  <c r="P3302" i="4"/>
  <c r="T3303" i="4"/>
  <c r="J3304" i="4"/>
  <c r="K3304" i="4"/>
  <c r="N3304" i="4" s="1"/>
  <c r="L3304" i="4"/>
  <c r="M3304" i="4"/>
  <c r="O3303" i="4"/>
  <c r="X3302" i="4" l="1"/>
  <c r="Y3302" i="4" s="1"/>
  <c r="Q3303" i="4"/>
  <c r="V3303" i="4" s="1"/>
  <c r="S3303" i="4"/>
  <c r="P3303" i="4"/>
  <c r="U3303" i="4"/>
  <c r="T3304" i="4"/>
  <c r="O3304" i="4"/>
  <c r="J3305" i="4"/>
  <c r="L3305" i="4"/>
  <c r="M3305" i="4"/>
  <c r="K3305" i="4"/>
  <c r="N3305" i="4" s="1"/>
  <c r="T3305" i="4" s="1"/>
  <c r="R3303" i="4" l="1"/>
  <c r="W3303" i="4" s="1"/>
  <c r="X3303" i="4" s="1"/>
  <c r="Y3303" i="4" s="1"/>
  <c r="Q3305" i="4"/>
  <c r="V3305" i="4" s="1"/>
  <c r="S3305" i="4"/>
  <c r="Q3304" i="4"/>
  <c r="V3304" i="4" s="1"/>
  <c r="S3304" i="4"/>
  <c r="P3304" i="4"/>
  <c r="U3304" i="4"/>
  <c r="J3306" i="4"/>
  <c r="K3306" i="4"/>
  <c r="N3306" i="4" s="1"/>
  <c r="L3306" i="4"/>
  <c r="M3306" i="4"/>
  <c r="O3305" i="4"/>
  <c r="U3305" i="4" s="1"/>
  <c r="R3305" i="4" l="1"/>
  <c r="W3305" i="4" s="1"/>
  <c r="X3305" i="4" s="1"/>
  <c r="Y3305" i="4" s="1"/>
  <c r="R3304" i="4"/>
  <c r="W3304" i="4" s="1"/>
  <c r="X3304" i="4" s="1"/>
  <c r="Y3304" i="4" s="1"/>
  <c r="P3305" i="4"/>
  <c r="T3306" i="4"/>
  <c r="J3307" i="4"/>
  <c r="L3307" i="4"/>
  <c r="M3307" i="4"/>
  <c r="K3307" i="4"/>
  <c r="N3307" i="4" s="1"/>
  <c r="O3306" i="4"/>
  <c r="U3306" i="4" s="1"/>
  <c r="R3306" i="4" l="1"/>
  <c r="W3306" i="4" s="1"/>
  <c r="Q3306" i="4"/>
  <c r="V3306" i="4" s="1"/>
  <c r="S3306" i="4"/>
  <c r="P3306" i="4"/>
  <c r="T3307" i="4"/>
  <c r="O3307" i="4"/>
  <c r="U3307" i="4" s="1"/>
  <c r="J3308" i="4"/>
  <c r="K3308" i="4"/>
  <c r="N3308" i="4" s="1"/>
  <c r="L3308" i="4"/>
  <c r="M3308" i="4"/>
  <c r="X3306" i="4" l="1"/>
  <c r="Y3306" i="4" s="1"/>
  <c r="R3307" i="4"/>
  <c r="W3307" i="4" s="1"/>
  <c r="Q3307" i="4"/>
  <c r="V3307" i="4" s="1"/>
  <c r="S3307" i="4"/>
  <c r="P3307" i="4"/>
  <c r="T3308" i="4"/>
  <c r="O3308" i="4"/>
  <c r="U3308" i="4" s="1"/>
  <c r="J3309" i="4"/>
  <c r="L3309" i="4"/>
  <c r="M3309" i="4"/>
  <c r="K3309" i="4"/>
  <c r="N3309" i="4" s="1"/>
  <c r="X3307" i="4" l="1"/>
  <c r="Y3307" i="4" s="1"/>
  <c r="R3308" i="4"/>
  <c r="W3308" i="4" s="1"/>
  <c r="Q3308" i="4"/>
  <c r="V3308" i="4" s="1"/>
  <c r="S3308" i="4"/>
  <c r="P3308" i="4"/>
  <c r="T3309" i="4"/>
  <c r="J3310" i="4"/>
  <c r="K3310" i="4"/>
  <c r="N3310" i="4" s="1"/>
  <c r="L3310" i="4"/>
  <c r="M3310" i="4"/>
  <c r="O3309" i="4"/>
  <c r="U3309" i="4" s="1"/>
  <c r="X3308" i="4" l="1"/>
  <c r="Y3308" i="4" s="1"/>
  <c r="R3309" i="4"/>
  <c r="W3309" i="4" s="1"/>
  <c r="Q3309" i="4"/>
  <c r="V3309" i="4" s="1"/>
  <c r="X3309" i="4" s="1"/>
  <c r="Y3309" i="4" s="1"/>
  <c r="S3309" i="4"/>
  <c r="P3309" i="4"/>
  <c r="T3310" i="4"/>
  <c r="O3310" i="4"/>
  <c r="U3310" i="4" s="1"/>
  <c r="J3311" i="4"/>
  <c r="L3311" i="4"/>
  <c r="M3311" i="4"/>
  <c r="K3311" i="4"/>
  <c r="N3311" i="4" s="1"/>
  <c r="R3310" i="4" l="1"/>
  <c r="W3310" i="4" s="1"/>
  <c r="Q3310" i="4"/>
  <c r="V3310" i="4" s="1"/>
  <c r="S3310" i="4"/>
  <c r="P3310" i="4"/>
  <c r="T3311" i="4"/>
  <c r="J3312" i="4"/>
  <c r="K3312" i="4"/>
  <c r="N3312" i="4" s="1"/>
  <c r="L3312" i="4"/>
  <c r="M3312" i="4"/>
  <c r="O3311" i="4"/>
  <c r="X3310" i="4" l="1"/>
  <c r="Y3310" i="4" s="1"/>
  <c r="Q3311" i="4"/>
  <c r="V3311" i="4" s="1"/>
  <c r="S3311" i="4"/>
  <c r="P3311" i="4"/>
  <c r="U3311" i="4"/>
  <c r="T3312" i="4"/>
  <c r="O3312" i="4"/>
  <c r="J3313" i="4"/>
  <c r="L3313" i="4"/>
  <c r="M3313" i="4"/>
  <c r="K3313" i="4"/>
  <c r="N3313" i="4" s="1"/>
  <c r="T3313" i="4" s="1"/>
  <c r="R3311" i="4" l="1"/>
  <c r="W3311" i="4" s="1"/>
  <c r="X3311" i="4" s="1"/>
  <c r="Y3311" i="4" s="1"/>
  <c r="Q3313" i="4"/>
  <c r="V3313" i="4" s="1"/>
  <c r="S3313" i="4"/>
  <c r="Q3312" i="4"/>
  <c r="V3312" i="4" s="1"/>
  <c r="S3312" i="4"/>
  <c r="P3312" i="4"/>
  <c r="U3312" i="4"/>
  <c r="J3314" i="4"/>
  <c r="K3314" i="4"/>
  <c r="N3314" i="4" s="1"/>
  <c r="L3314" i="4"/>
  <c r="M3314" i="4"/>
  <c r="O3313" i="4"/>
  <c r="U3313" i="4" s="1"/>
  <c r="R3312" i="4" l="1"/>
  <c r="W3312" i="4" s="1"/>
  <c r="X3312" i="4" s="1"/>
  <c r="Y3312" i="4" s="1"/>
  <c r="R3313" i="4"/>
  <c r="W3313" i="4" s="1"/>
  <c r="X3313" i="4" s="1"/>
  <c r="Y3313" i="4" s="1"/>
  <c r="P3313" i="4"/>
  <c r="T3314" i="4"/>
  <c r="O3314" i="4"/>
  <c r="U3314" i="4" s="1"/>
  <c r="J3315" i="4"/>
  <c r="L3315" i="4"/>
  <c r="M3315" i="4"/>
  <c r="K3315" i="4"/>
  <c r="N3315" i="4" s="1"/>
  <c r="R3314" i="4" l="1"/>
  <c r="W3314" i="4" s="1"/>
  <c r="Q3314" i="4"/>
  <c r="V3314" i="4" s="1"/>
  <c r="S3314" i="4"/>
  <c r="P3314" i="4"/>
  <c r="T3315" i="4"/>
  <c r="J3316" i="4"/>
  <c r="K3316" i="4"/>
  <c r="N3316" i="4" s="1"/>
  <c r="T3316" i="4" s="1"/>
  <c r="L3316" i="4"/>
  <c r="M3316" i="4"/>
  <c r="O3315" i="4"/>
  <c r="U3315" i="4" s="1"/>
  <c r="X3314" i="4" l="1"/>
  <c r="Y3314" i="4" s="1"/>
  <c r="R3315" i="4"/>
  <c r="W3315" i="4" s="1"/>
  <c r="Q3316" i="4"/>
  <c r="V3316" i="4" s="1"/>
  <c r="S3316" i="4"/>
  <c r="Q3315" i="4"/>
  <c r="V3315" i="4" s="1"/>
  <c r="S3315" i="4"/>
  <c r="P3315" i="4"/>
  <c r="O3316" i="4"/>
  <c r="J3317" i="4"/>
  <c r="L3317" i="4"/>
  <c r="M3317" i="4"/>
  <c r="K3317" i="4"/>
  <c r="N3317" i="4" s="1"/>
  <c r="X3315" i="4" l="1"/>
  <c r="Y3315" i="4" s="1"/>
  <c r="P3316" i="4"/>
  <c r="U3316" i="4"/>
  <c r="T3317" i="4"/>
  <c r="J3318" i="4"/>
  <c r="K3318" i="4"/>
  <c r="N3318" i="4" s="1"/>
  <c r="L3318" i="4"/>
  <c r="M3318" i="4"/>
  <c r="O3317" i="4"/>
  <c r="U3317" i="4" s="1"/>
  <c r="R3317" i="4" l="1"/>
  <c r="W3317" i="4" s="1"/>
  <c r="R3316" i="4"/>
  <c r="W3316" i="4" s="1"/>
  <c r="X3316" i="4" s="1"/>
  <c r="Y3316" i="4" s="1"/>
  <c r="Q3317" i="4"/>
  <c r="V3317" i="4" s="1"/>
  <c r="S3317" i="4"/>
  <c r="P3317" i="4"/>
  <c r="T3318" i="4"/>
  <c r="O3318" i="4"/>
  <c r="U3318" i="4" s="1"/>
  <c r="J3319" i="4"/>
  <c r="L3319" i="4"/>
  <c r="M3319" i="4"/>
  <c r="K3319" i="4"/>
  <c r="N3319" i="4" s="1"/>
  <c r="X3317" i="4" l="1"/>
  <c r="Y3317" i="4" s="1"/>
  <c r="R3318" i="4"/>
  <c r="W3318" i="4" s="1"/>
  <c r="Q3318" i="4"/>
  <c r="V3318" i="4" s="1"/>
  <c r="S3318" i="4"/>
  <c r="P3318" i="4"/>
  <c r="T3319" i="4"/>
  <c r="J3320" i="4"/>
  <c r="K3320" i="4"/>
  <c r="N3320" i="4" s="1"/>
  <c r="L3320" i="4"/>
  <c r="M3320" i="4"/>
  <c r="O3319" i="4"/>
  <c r="U3319" i="4" s="1"/>
  <c r="X3318" i="4" l="1"/>
  <c r="Y3318" i="4" s="1"/>
  <c r="R3319" i="4"/>
  <c r="W3319" i="4" s="1"/>
  <c r="Q3319" i="4"/>
  <c r="V3319" i="4" s="1"/>
  <c r="S3319" i="4"/>
  <c r="P3319" i="4"/>
  <c r="T3320" i="4"/>
  <c r="O3320" i="4"/>
  <c r="U3320" i="4" s="1"/>
  <c r="J3321" i="4"/>
  <c r="L3321" i="4"/>
  <c r="M3321" i="4"/>
  <c r="K3321" i="4"/>
  <c r="N3321" i="4" s="1"/>
  <c r="X3319" i="4" l="1"/>
  <c r="Y3319" i="4" s="1"/>
  <c r="R3320" i="4"/>
  <c r="W3320" i="4" s="1"/>
  <c r="Q3320" i="4"/>
  <c r="V3320" i="4" s="1"/>
  <c r="S3320" i="4"/>
  <c r="P3320" i="4"/>
  <c r="T3321" i="4"/>
  <c r="J3322" i="4"/>
  <c r="K3322" i="4"/>
  <c r="N3322" i="4" s="1"/>
  <c r="L3322" i="4"/>
  <c r="M3322" i="4"/>
  <c r="O3321" i="4"/>
  <c r="U3321" i="4" s="1"/>
  <c r="X3320" i="4" l="1"/>
  <c r="Y3320" i="4" s="1"/>
  <c r="R3321" i="4"/>
  <c r="W3321" i="4" s="1"/>
  <c r="Q3321" i="4"/>
  <c r="V3321" i="4" s="1"/>
  <c r="S3321" i="4"/>
  <c r="P3321" i="4"/>
  <c r="T3322" i="4"/>
  <c r="O3322" i="4"/>
  <c r="U3322" i="4" s="1"/>
  <c r="J3323" i="4"/>
  <c r="L3323" i="4"/>
  <c r="M3323" i="4"/>
  <c r="K3323" i="4"/>
  <c r="N3323" i="4" s="1"/>
  <c r="X3321" i="4" l="1"/>
  <c r="Y3321" i="4" s="1"/>
  <c r="R3322" i="4"/>
  <c r="W3322" i="4" s="1"/>
  <c r="Q3322" i="4"/>
  <c r="V3322" i="4" s="1"/>
  <c r="S3322" i="4"/>
  <c r="P3322" i="4"/>
  <c r="T3323" i="4"/>
  <c r="O3323" i="4"/>
  <c r="U3323" i="4" s="1"/>
  <c r="J3324" i="4"/>
  <c r="K3324" i="4"/>
  <c r="N3324" i="4" s="1"/>
  <c r="L3324" i="4"/>
  <c r="M3324" i="4"/>
  <c r="X3322" i="4" l="1"/>
  <c r="Y3322" i="4" s="1"/>
  <c r="R3323" i="4"/>
  <c r="W3323" i="4" s="1"/>
  <c r="Q3323" i="4"/>
  <c r="V3323" i="4" s="1"/>
  <c r="S3323" i="4"/>
  <c r="P3323" i="4"/>
  <c r="T3324" i="4"/>
  <c r="O3324" i="4"/>
  <c r="U3324" i="4" s="1"/>
  <c r="J3325" i="4"/>
  <c r="L3325" i="4"/>
  <c r="M3325" i="4"/>
  <c r="K3325" i="4"/>
  <c r="N3325" i="4" s="1"/>
  <c r="X3323" i="4" l="1"/>
  <c r="Y3323" i="4" s="1"/>
  <c r="R3324" i="4"/>
  <c r="W3324" i="4" s="1"/>
  <c r="Q3324" i="4"/>
  <c r="V3324" i="4" s="1"/>
  <c r="S3324" i="4"/>
  <c r="P3324" i="4"/>
  <c r="T3325" i="4"/>
  <c r="J3326" i="4"/>
  <c r="K3326" i="4"/>
  <c r="N3326" i="4" s="1"/>
  <c r="L3326" i="4"/>
  <c r="M3326" i="4"/>
  <c r="O3325" i="4"/>
  <c r="U3325" i="4" s="1"/>
  <c r="X3324" i="4" l="1"/>
  <c r="Y3324" i="4" s="1"/>
  <c r="R3325" i="4"/>
  <c r="W3325" i="4" s="1"/>
  <c r="Q3325" i="4"/>
  <c r="V3325" i="4" s="1"/>
  <c r="S3325" i="4"/>
  <c r="P3325" i="4"/>
  <c r="T3326" i="4"/>
  <c r="O3326" i="4"/>
  <c r="U3326" i="4" s="1"/>
  <c r="J3327" i="4"/>
  <c r="L3327" i="4"/>
  <c r="M3327" i="4"/>
  <c r="K3327" i="4"/>
  <c r="N3327" i="4" s="1"/>
  <c r="X3325" i="4" l="1"/>
  <c r="Y3325" i="4" s="1"/>
  <c r="R3326" i="4"/>
  <c r="W3326" i="4" s="1"/>
  <c r="Q3326" i="4"/>
  <c r="V3326" i="4" s="1"/>
  <c r="S3326" i="4"/>
  <c r="T3327" i="4"/>
  <c r="P3326" i="4"/>
  <c r="J3328" i="4"/>
  <c r="K3328" i="4"/>
  <c r="N3328" i="4" s="1"/>
  <c r="L3328" i="4"/>
  <c r="M3328" i="4"/>
  <c r="O3327" i="4"/>
  <c r="U3327" i="4" s="1"/>
  <c r="X3326" i="4" l="1"/>
  <c r="Y3326" i="4" s="1"/>
  <c r="R3327" i="4"/>
  <c r="W3327" i="4" s="1"/>
  <c r="Q3327" i="4"/>
  <c r="V3327" i="4" s="1"/>
  <c r="S3327" i="4"/>
  <c r="P3327" i="4"/>
  <c r="T3328" i="4"/>
  <c r="O3328" i="4"/>
  <c r="U3328" i="4" s="1"/>
  <c r="J3329" i="4"/>
  <c r="L3329" i="4"/>
  <c r="M3329" i="4"/>
  <c r="K3329" i="4"/>
  <c r="N3329" i="4" s="1"/>
  <c r="X3327" i="4" l="1"/>
  <c r="Y3327" i="4" s="1"/>
  <c r="R3328" i="4"/>
  <c r="W3328" i="4" s="1"/>
  <c r="Q3328" i="4"/>
  <c r="V3328" i="4" s="1"/>
  <c r="S3328" i="4"/>
  <c r="P3328" i="4"/>
  <c r="T3329" i="4"/>
  <c r="J3330" i="4"/>
  <c r="K3330" i="4"/>
  <c r="N3330" i="4" s="1"/>
  <c r="T3330" i="4" s="1"/>
  <c r="L3330" i="4"/>
  <c r="M3330" i="4"/>
  <c r="O3329" i="4"/>
  <c r="U3329" i="4" s="1"/>
  <c r="X3328" i="4" l="1"/>
  <c r="Y3328" i="4" s="1"/>
  <c r="R3329" i="4"/>
  <c r="W3329" i="4" s="1"/>
  <c r="Q3329" i="4"/>
  <c r="V3329" i="4" s="1"/>
  <c r="S3329" i="4"/>
  <c r="Q3330" i="4"/>
  <c r="V3330" i="4" s="1"/>
  <c r="S3330" i="4"/>
  <c r="P3329" i="4"/>
  <c r="O3330" i="4"/>
  <c r="J3331" i="4"/>
  <c r="L3331" i="4"/>
  <c r="M3331" i="4"/>
  <c r="K3331" i="4"/>
  <c r="N3331" i="4" s="1"/>
  <c r="X3329" i="4" l="1"/>
  <c r="Y3329" i="4" s="1"/>
  <c r="P3330" i="4"/>
  <c r="U3330" i="4"/>
  <c r="T3331" i="4"/>
  <c r="J3332" i="4"/>
  <c r="K3332" i="4"/>
  <c r="N3332" i="4" s="1"/>
  <c r="T3332" i="4" s="1"/>
  <c r="L3332" i="4"/>
  <c r="M3332" i="4"/>
  <c r="O3331" i="4"/>
  <c r="U3331" i="4" s="1"/>
  <c r="R3330" i="4" l="1"/>
  <c r="W3330" i="4" s="1"/>
  <c r="X3330" i="4" s="1"/>
  <c r="Y3330" i="4" s="1"/>
  <c r="R3331" i="4"/>
  <c r="W3331" i="4" s="1"/>
  <c r="Q3331" i="4"/>
  <c r="V3331" i="4" s="1"/>
  <c r="S3331" i="4"/>
  <c r="Q3332" i="4"/>
  <c r="V3332" i="4" s="1"/>
  <c r="S3332" i="4"/>
  <c r="P3331" i="4"/>
  <c r="O3332" i="4"/>
  <c r="J3333" i="4"/>
  <c r="L3333" i="4"/>
  <c r="M3333" i="4"/>
  <c r="K3333" i="4"/>
  <c r="N3333" i="4" s="1"/>
  <c r="X3331" i="4" l="1"/>
  <c r="Y3331" i="4" s="1"/>
  <c r="P3332" i="4"/>
  <c r="U3332" i="4"/>
  <c r="T3333" i="4"/>
  <c r="J3334" i="4"/>
  <c r="K3334" i="4"/>
  <c r="N3334" i="4" s="1"/>
  <c r="L3334" i="4"/>
  <c r="M3334" i="4"/>
  <c r="O3333" i="4"/>
  <c r="U3333" i="4" s="1"/>
  <c r="R3333" i="4" l="1"/>
  <c r="W3333" i="4" s="1"/>
  <c r="R3332" i="4"/>
  <c r="W3332" i="4" s="1"/>
  <c r="X3332" i="4" s="1"/>
  <c r="Y3332" i="4" s="1"/>
  <c r="Q3333" i="4"/>
  <c r="V3333" i="4" s="1"/>
  <c r="S3333" i="4"/>
  <c r="P3333" i="4"/>
  <c r="T3334" i="4"/>
  <c r="O3334" i="4"/>
  <c r="U3334" i="4" s="1"/>
  <c r="J3335" i="4"/>
  <c r="L3335" i="4"/>
  <c r="M3335" i="4"/>
  <c r="K3335" i="4"/>
  <c r="N3335" i="4" s="1"/>
  <c r="X3333" i="4" l="1"/>
  <c r="Y3333" i="4" s="1"/>
  <c r="R3334" i="4"/>
  <c r="W3334" i="4" s="1"/>
  <c r="Q3334" i="4"/>
  <c r="V3334" i="4" s="1"/>
  <c r="S3334" i="4"/>
  <c r="P3334" i="4"/>
  <c r="T3335" i="4"/>
  <c r="J3336" i="4"/>
  <c r="K3336" i="4"/>
  <c r="N3336" i="4" s="1"/>
  <c r="L3336" i="4"/>
  <c r="M3336" i="4"/>
  <c r="O3335" i="4"/>
  <c r="U3335" i="4" s="1"/>
  <c r="X3334" i="4" l="1"/>
  <c r="Y3334" i="4" s="1"/>
  <c r="R3335" i="4"/>
  <c r="W3335" i="4" s="1"/>
  <c r="Q3335" i="4"/>
  <c r="V3335" i="4" s="1"/>
  <c r="S3335" i="4"/>
  <c r="P3335" i="4"/>
  <c r="T3336" i="4"/>
  <c r="O3336" i="4"/>
  <c r="J3337" i="4"/>
  <c r="L3337" i="4"/>
  <c r="M3337" i="4"/>
  <c r="K3337" i="4"/>
  <c r="N3337" i="4" s="1"/>
  <c r="X3335" i="4" l="1"/>
  <c r="Y3335" i="4" s="1"/>
  <c r="Q3336" i="4"/>
  <c r="V3336" i="4" s="1"/>
  <c r="S3336" i="4"/>
  <c r="P3336" i="4"/>
  <c r="U3336" i="4"/>
  <c r="T3337" i="4"/>
  <c r="J3338" i="4"/>
  <c r="K3338" i="4"/>
  <c r="N3338" i="4" s="1"/>
  <c r="T3338" i="4" s="1"/>
  <c r="L3338" i="4"/>
  <c r="M3338" i="4"/>
  <c r="O3337" i="4"/>
  <c r="R3336" i="4" l="1"/>
  <c r="W3336" i="4" s="1"/>
  <c r="X3336" i="4" s="1"/>
  <c r="Y3336" i="4" s="1"/>
  <c r="Q3338" i="4"/>
  <c r="V3338" i="4" s="1"/>
  <c r="S3338" i="4"/>
  <c r="Q3337" i="4"/>
  <c r="V3337" i="4" s="1"/>
  <c r="S3337" i="4"/>
  <c r="P3337" i="4"/>
  <c r="U3337" i="4"/>
  <c r="O3338" i="4"/>
  <c r="U3338" i="4" s="1"/>
  <c r="J3339" i="4"/>
  <c r="L3339" i="4"/>
  <c r="M3339" i="4"/>
  <c r="K3339" i="4"/>
  <c r="N3339" i="4" s="1"/>
  <c r="R3338" i="4" l="1"/>
  <c r="W3338" i="4" s="1"/>
  <c r="X3338" i="4" s="1"/>
  <c r="Y3338" i="4" s="1"/>
  <c r="R3337" i="4"/>
  <c r="W3337" i="4" s="1"/>
  <c r="X3337" i="4" s="1"/>
  <c r="Y3337" i="4" s="1"/>
  <c r="P3338" i="4"/>
  <c r="T3339" i="4"/>
  <c r="J3340" i="4"/>
  <c r="K3340" i="4"/>
  <c r="N3340" i="4" s="1"/>
  <c r="L3340" i="4"/>
  <c r="M3340" i="4"/>
  <c r="O3339" i="4"/>
  <c r="U3339" i="4" s="1"/>
  <c r="R3339" i="4" l="1"/>
  <c r="W3339" i="4" s="1"/>
  <c r="Q3339" i="4"/>
  <c r="V3339" i="4" s="1"/>
  <c r="S3339" i="4"/>
  <c r="P3339" i="4"/>
  <c r="T3340" i="4"/>
  <c r="O3340" i="4"/>
  <c r="J3341" i="4"/>
  <c r="L3341" i="4"/>
  <c r="M3341" i="4"/>
  <c r="K3341" i="4"/>
  <c r="N3341" i="4" s="1"/>
  <c r="X3339" i="4" l="1"/>
  <c r="Y3339" i="4" s="1"/>
  <c r="Q3340" i="4"/>
  <c r="V3340" i="4" s="1"/>
  <c r="S3340" i="4"/>
  <c r="P3340" i="4"/>
  <c r="U3340" i="4"/>
  <c r="T3341" i="4"/>
  <c r="J3342" i="4"/>
  <c r="K3342" i="4"/>
  <c r="N3342" i="4" s="1"/>
  <c r="L3342" i="4"/>
  <c r="M3342" i="4"/>
  <c r="O3341" i="4"/>
  <c r="U3341" i="4" s="1"/>
  <c r="R3341" i="4" l="1"/>
  <c r="W3341" i="4" s="1"/>
  <c r="R3340" i="4"/>
  <c r="W3340" i="4" s="1"/>
  <c r="X3340" i="4" s="1"/>
  <c r="Y3340" i="4" s="1"/>
  <c r="Q3341" i="4"/>
  <c r="V3341" i="4" s="1"/>
  <c r="S3341" i="4"/>
  <c r="P3341" i="4"/>
  <c r="T3342" i="4"/>
  <c r="O3342" i="4"/>
  <c r="U3342" i="4" s="1"/>
  <c r="J3343" i="4"/>
  <c r="L3343" i="4"/>
  <c r="M3343" i="4"/>
  <c r="K3343" i="4"/>
  <c r="N3343" i="4" s="1"/>
  <c r="X3341" i="4" l="1"/>
  <c r="Y3341" i="4" s="1"/>
  <c r="R3342" i="4"/>
  <c r="W3342" i="4" s="1"/>
  <c r="Q3342" i="4"/>
  <c r="V3342" i="4" s="1"/>
  <c r="S3342" i="4"/>
  <c r="P3342" i="4"/>
  <c r="T3343" i="4"/>
  <c r="J3344" i="4"/>
  <c r="K3344" i="4"/>
  <c r="N3344" i="4" s="1"/>
  <c r="L3344" i="4"/>
  <c r="M3344" i="4"/>
  <c r="O3343" i="4"/>
  <c r="U3343" i="4" s="1"/>
  <c r="X3342" i="4" l="1"/>
  <c r="Y3342" i="4" s="1"/>
  <c r="R3343" i="4"/>
  <c r="W3343" i="4" s="1"/>
  <c r="Q3343" i="4"/>
  <c r="V3343" i="4" s="1"/>
  <c r="S3343" i="4"/>
  <c r="P3343" i="4"/>
  <c r="T3344" i="4"/>
  <c r="O3344" i="4"/>
  <c r="U3344" i="4" s="1"/>
  <c r="J3345" i="4"/>
  <c r="L3345" i="4"/>
  <c r="M3345" i="4"/>
  <c r="K3345" i="4"/>
  <c r="N3345" i="4" s="1"/>
  <c r="X3343" i="4" l="1"/>
  <c r="Y3343" i="4" s="1"/>
  <c r="R3344" i="4"/>
  <c r="W3344" i="4" s="1"/>
  <c r="Q3344" i="4"/>
  <c r="V3344" i="4" s="1"/>
  <c r="S3344" i="4"/>
  <c r="P3344" i="4"/>
  <c r="T3345" i="4"/>
  <c r="J3346" i="4"/>
  <c r="K3346" i="4"/>
  <c r="N3346" i="4" s="1"/>
  <c r="L3346" i="4"/>
  <c r="M3346" i="4"/>
  <c r="O3345" i="4"/>
  <c r="U3345" i="4" s="1"/>
  <c r="X3344" i="4" l="1"/>
  <c r="Y3344" i="4" s="1"/>
  <c r="R3345" i="4"/>
  <c r="W3345" i="4" s="1"/>
  <c r="Q3345" i="4"/>
  <c r="V3345" i="4" s="1"/>
  <c r="S3345" i="4"/>
  <c r="P3345" i="4"/>
  <c r="T3346" i="4"/>
  <c r="O3346" i="4"/>
  <c r="U3346" i="4" s="1"/>
  <c r="J3347" i="4"/>
  <c r="L3347" i="4"/>
  <c r="M3347" i="4"/>
  <c r="K3347" i="4"/>
  <c r="N3347" i="4" s="1"/>
  <c r="X3345" i="4" l="1"/>
  <c r="Y3345" i="4" s="1"/>
  <c r="R3346" i="4"/>
  <c r="W3346" i="4" s="1"/>
  <c r="Q3346" i="4"/>
  <c r="V3346" i="4" s="1"/>
  <c r="S3346" i="4"/>
  <c r="P3346" i="4"/>
  <c r="T3347" i="4"/>
  <c r="O3347" i="4"/>
  <c r="U3347" i="4" s="1"/>
  <c r="J3348" i="4"/>
  <c r="K3348" i="4"/>
  <c r="N3348" i="4" s="1"/>
  <c r="L3348" i="4"/>
  <c r="M3348" i="4"/>
  <c r="X3346" i="4" l="1"/>
  <c r="Y3346" i="4" s="1"/>
  <c r="R3347" i="4"/>
  <c r="W3347" i="4" s="1"/>
  <c r="Q3347" i="4"/>
  <c r="V3347" i="4" s="1"/>
  <c r="S3347" i="4"/>
  <c r="P3347" i="4"/>
  <c r="T3348" i="4"/>
  <c r="O3348" i="4"/>
  <c r="U3348" i="4" s="1"/>
  <c r="J3349" i="4"/>
  <c r="L3349" i="4"/>
  <c r="M3349" i="4"/>
  <c r="K3349" i="4"/>
  <c r="N3349" i="4" s="1"/>
  <c r="X3347" i="4" l="1"/>
  <c r="Y3347" i="4" s="1"/>
  <c r="R3348" i="4"/>
  <c r="W3348" i="4" s="1"/>
  <c r="Q3348" i="4"/>
  <c r="V3348" i="4" s="1"/>
  <c r="S3348" i="4"/>
  <c r="P3348" i="4"/>
  <c r="T3349" i="4"/>
  <c r="J3350" i="4"/>
  <c r="K3350" i="4"/>
  <c r="N3350" i="4" s="1"/>
  <c r="L3350" i="4"/>
  <c r="M3350" i="4"/>
  <c r="O3349" i="4"/>
  <c r="U3349" i="4" s="1"/>
  <c r="X3348" i="4" l="1"/>
  <c r="Y3348" i="4" s="1"/>
  <c r="R3349" i="4"/>
  <c r="W3349" i="4" s="1"/>
  <c r="Q3349" i="4"/>
  <c r="V3349" i="4" s="1"/>
  <c r="S3349" i="4"/>
  <c r="P3349" i="4"/>
  <c r="T3350" i="4"/>
  <c r="O3350" i="4"/>
  <c r="U3350" i="4" s="1"/>
  <c r="J3351" i="4"/>
  <c r="L3351" i="4"/>
  <c r="M3351" i="4"/>
  <c r="K3351" i="4"/>
  <c r="N3351" i="4" s="1"/>
  <c r="X3349" i="4" l="1"/>
  <c r="Y3349" i="4" s="1"/>
  <c r="R3350" i="4"/>
  <c r="W3350" i="4" s="1"/>
  <c r="Q3350" i="4"/>
  <c r="V3350" i="4" s="1"/>
  <c r="S3350" i="4"/>
  <c r="P3350" i="4"/>
  <c r="T3351" i="4"/>
  <c r="J3352" i="4"/>
  <c r="K3352" i="4"/>
  <c r="N3352" i="4" s="1"/>
  <c r="L3352" i="4"/>
  <c r="M3352" i="4"/>
  <c r="O3351" i="4"/>
  <c r="U3351" i="4" s="1"/>
  <c r="X3350" i="4" l="1"/>
  <c r="Y3350" i="4" s="1"/>
  <c r="R3351" i="4"/>
  <c r="W3351" i="4" s="1"/>
  <c r="Q3351" i="4"/>
  <c r="V3351" i="4" s="1"/>
  <c r="S3351" i="4"/>
  <c r="P3351" i="4"/>
  <c r="T3352" i="4"/>
  <c r="O3352" i="4"/>
  <c r="U3352" i="4" s="1"/>
  <c r="J3353" i="4"/>
  <c r="L3353" i="4"/>
  <c r="M3353" i="4"/>
  <c r="K3353" i="4"/>
  <c r="N3353" i="4" s="1"/>
  <c r="X3351" i="4" l="1"/>
  <c r="Y3351" i="4" s="1"/>
  <c r="R3352" i="4"/>
  <c r="W3352" i="4" s="1"/>
  <c r="Q3352" i="4"/>
  <c r="V3352" i="4" s="1"/>
  <c r="S3352" i="4"/>
  <c r="P3352" i="4"/>
  <c r="T3353" i="4"/>
  <c r="O3353" i="4"/>
  <c r="U3353" i="4" s="1"/>
  <c r="J3354" i="4"/>
  <c r="K3354" i="4"/>
  <c r="N3354" i="4" s="1"/>
  <c r="L3354" i="4"/>
  <c r="M3354" i="4"/>
  <c r="X3352" i="4" l="1"/>
  <c r="Y3352" i="4" s="1"/>
  <c r="R3353" i="4"/>
  <c r="W3353" i="4" s="1"/>
  <c r="Q3353" i="4"/>
  <c r="V3353" i="4" s="1"/>
  <c r="S3353" i="4"/>
  <c r="P3353" i="4"/>
  <c r="T3354" i="4"/>
  <c r="O3354" i="4"/>
  <c r="U3354" i="4" s="1"/>
  <c r="J3355" i="4"/>
  <c r="L3355" i="4"/>
  <c r="M3355" i="4"/>
  <c r="K3355" i="4"/>
  <c r="N3355" i="4" s="1"/>
  <c r="X3353" i="4" l="1"/>
  <c r="Y3353" i="4" s="1"/>
  <c r="R3354" i="4"/>
  <c r="W3354" i="4" s="1"/>
  <c r="Q3354" i="4"/>
  <c r="V3354" i="4" s="1"/>
  <c r="S3354" i="4"/>
  <c r="P3354" i="4"/>
  <c r="T3355" i="4"/>
  <c r="O3355" i="4"/>
  <c r="U3355" i="4" s="1"/>
  <c r="J3356" i="4"/>
  <c r="K3356" i="4"/>
  <c r="N3356" i="4" s="1"/>
  <c r="L3356" i="4"/>
  <c r="M3356" i="4"/>
  <c r="X3354" i="4" l="1"/>
  <c r="Y3354" i="4" s="1"/>
  <c r="R3355" i="4"/>
  <c r="W3355" i="4" s="1"/>
  <c r="Q3355" i="4"/>
  <c r="V3355" i="4" s="1"/>
  <c r="S3355" i="4"/>
  <c r="P3355" i="4"/>
  <c r="T3356" i="4"/>
  <c r="J3357" i="4"/>
  <c r="L3357" i="4"/>
  <c r="M3357" i="4"/>
  <c r="K3357" i="4"/>
  <c r="N3357" i="4" s="1"/>
  <c r="O3356" i="4"/>
  <c r="U3356" i="4" s="1"/>
  <c r="X3355" i="4" l="1"/>
  <c r="Y3355" i="4" s="1"/>
  <c r="R3356" i="4"/>
  <c r="W3356" i="4" s="1"/>
  <c r="Q3356" i="4"/>
  <c r="V3356" i="4" s="1"/>
  <c r="S3356" i="4"/>
  <c r="P3356" i="4"/>
  <c r="T3357" i="4"/>
  <c r="O3357" i="4"/>
  <c r="U3357" i="4" s="1"/>
  <c r="J3358" i="4"/>
  <c r="K3358" i="4"/>
  <c r="N3358" i="4" s="1"/>
  <c r="L3358" i="4"/>
  <c r="M3358" i="4"/>
  <c r="X3356" i="4" l="1"/>
  <c r="Y3356" i="4" s="1"/>
  <c r="R3357" i="4"/>
  <c r="W3357" i="4" s="1"/>
  <c r="Q3357" i="4"/>
  <c r="V3357" i="4" s="1"/>
  <c r="S3357" i="4"/>
  <c r="P3357" i="4"/>
  <c r="T3358" i="4"/>
  <c r="J3359" i="4"/>
  <c r="L3359" i="4"/>
  <c r="M3359" i="4"/>
  <c r="K3359" i="4"/>
  <c r="N3359" i="4" s="1"/>
  <c r="O3358" i="4"/>
  <c r="U3358" i="4" s="1"/>
  <c r="X3357" i="4" l="1"/>
  <c r="Y3357" i="4" s="1"/>
  <c r="R3358" i="4"/>
  <c r="W3358" i="4" s="1"/>
  <c r="Q3358" i="4"/>
  <c r="V3358" i="4" s="1"/>
  <c r="S3358" i="4"/>
  <c r="P3358" i="4"/>
  <c r="T3359" i="4"/>
  <c r="O3359" i="4"/>
  <c r="U3359" i="4" s="1"/>
  <c r="J3360" i="4"/>
  <c r="K3360" i="4"/>
  <c r="N3360" i="4" s="1"/>
  <c r="L3360" i="4"/>
  <c r="M3360" i="4"/>
  <c r="X3358" i="4" l="1"/>
  <c r="Y3358" i="4" s="1"/>
  <c r="R3359" i="4"/>
  <c r="W3359" i="4" s="1"/>
  <c r="Q3359" i="4"/>
  <c r="V3359" i="4" s="1"/>
  <c r="S3359" i="4"/>
  <c r="P3359" i="4"/>
  <c r="T3360" i="4"/>
  <c r="O3360" i="4"/>
  <c r="U3360" i="4" s="1"/>
  <c r="J3361" i="4"/>
  <c r="L3361" i="4"/>
  <c r="M3361" i="4"/>
  <c r="K3361" i="4"/>
  <c r="N3361" i="4" s="1"/>
  <c r="X3359" i="4" l="1"/>
  <c r="Y3359" i="4" s="1"/>
  <c r="R3360" i="4"/>
  <c r="W3360" i="4" s="1"/>
  <c r="Q3360" i="4"/>
  <c r="V3360" i="4" s="1"/>
  <c r="S3360" i="4"/>
  <c r="P3360" i="4"/>
  <c r="T3361" i="4"/>
  <c r="J3362" i="4"/>
  <c r="K3362" i="4"/>
  <c r="N3362" i="4" s="1"/>
  <c r="L3362" i="4"/>
  <c r="M3362" i="4"/>
  <c r="O3361" i="4"/>
  <c r="U3361" i="4" s="1"/>
  <c r="X3360" i="4" l="1"/>
  <c r="Y3360" i="4" s="1"/>
  <c r="R3361" i="4"/>
  <c r="W3361" i="4" s="1"/>
  <c r="Q3361" i="4"/>
  <c r="V3361" i="4" s="1"/>
  <c r="S3361" i="4"/>
  <c r="P3361" i="4"/>
  <c r="T3362" i="4"/>
  <c r="O3362" i="4"/>
  <c r="U3362" i="4" s="1"/>
  <c r="J3363" i="4"/>
  <c r="L3363" i="4"/>
  <c r="M3363" i="4"/>
  <c r="K3363" i="4"/>
  <c r="N3363" i="4" s="1"/>
  <c r="X3361" i="4" l="1"/>
  <c r="Y3361" i="4" s="1"/>
  <c r="R3362" i="4"/>
  <c r="W3362" i="4" s="1"/>
  <c r="Q3362" i="4"/>
  <c r="V3362" i="4" s="1"/>
  <c r="S3362" i="4"/>
  <c r="P3362" i="4"/>
  <c r="T3363" i="4"/>
  <c r="J3364" i="4"/>
  <c r="K3364" i="4"/>
  <c r="N3364" i="4" s="1"/>
  <c r="L3364" i="4"/>
  <c r="M3364" i="4"/>
  <c r="O3363" i="4"/>
  <c r="U3363" i="4" s="1"/>
  <c r="X3362" i="4" l="1"/>
  <c r="Y3362" i="4" s="1"/>
  <c r="R3363" i="4"/>
  <c r="W3363" i="4" s="1"/>
  <c r="Q3363" i="4"/>
  <c r="V3363" i="4" s="1"/>
  <c r="S3363" i="4"/>
  <c r="P3363" i="4"/>
  <c r="T3364" i="4"/>
  <c r="O3364" i="4"/>
  <c r="J3365" i="4"/>
  <c r="L3365" i="4"/>
  <c r="M3365" i="4"/>
  <c r="K3365" i="4"/>
  <c r="N3365" i="4" s="1"/>
  <c r="X3363" i="4" l="1"/>
  <c r="Y3363" i="4" s="1"/>
  <c r="Q3364" i="4"/>
  <c r="V3364" i="4" s="1"/>
  <c r="S3364" i="4"/>
  <c r="P3364" i="4"/>
  <c r="U3364" i="4"/>
  <c r="T3365" i="4"/>
  <c r="J3366" i="4"/>
  <c r="K3366" i="4"/>
  <c r="N3366" i="4" s="1"/>
  <c r="L3366" i="4"/>
  <c r="M3366" i="4"/>
  <c r="O3365" i="4"/>
  <c r="U3365" i="4" s="1"/>
  <c r="R3365" i="4" l="1"/>
  <c r="W3365" i="4" s="1"/>
  <c r="R3364" i="4"/>
  <c r="W3364" i="4" s="1"/>
  <c r="X3364" i="4" s="1"/>
  <c r="Y3364" i="4" s="1"/>
  <c r="Q3365" i="4"/>
  <c r="V3365" i="4" s="1"/>
  <c r="S3365" i="4"/>
  <c r="P3365" i="4"/>
  <c r="T3366" i="4"/>
  <c r="O3366" i="4"/>
  <c r="J3367" i="4"/>
  <c r="L3367" i="4"/>
  <c r="M3367" i="4"/>
  <c r="K3367" i="4"/>
  <c r="N3367" i="4" s="1"/>
  <c r="X3365" i="4" l="1"/>
  <c r="Y3365" i="4" s="1"/>
  <c r="Q3366" i="4"/>
  <c r="V3366" i="4" s="1"/>
  <c r="S3366" i="4"/>
  <c r="P3366" i="4"/>
  <c r="U3366" i="4"/>
  <c r="T3367" i="4"/>
  <c r="J3368" i="4"/>
  <c r="K3368" i="4"/>
  <c r="N3368" i="4" s="1"/>
  <c r="T3368" i="4" s="1"/>
  <c r="L3368" i="4"/>
  <c r="M3368" i="4"/>
  <c r="O3367" i="4"/>
  <c r="R3366" i="4" l="1"/>
  <c r="W3366" i="4" s="1"/>
  <c r="X3366" i="4" s="1"/>
  <c r="Y3366" i="4" s="1"/>
  <c r="Q3368" i="4"/>
  <c r="V3368" i="4" s="1"/>
  <c r="S3368" i="4"/>
  <c r="Q3367" i="4"/>
  <c r="V3367" i="4" s="1"/>
  <c r="S3367" i="4"/>
  <c r="P3367" i="4"/>
  <c r="U3367" i="4"/>
  <c r="O3368" i="4"/>
  <c r="U3368" i="4" s="1"/>
  <c r="J3369" i="4"/>
  <c r="L3369" i="4"/>
  <c r="M3369" i="4"/>
  <c r="K3369" i="4"/>
  <c r="N3369" i="4" s="1"/>
  <c r="R3368" i="4" l="1"/>
  <c r="W3368" i="4" s="1"/>
  <c r="X3368" i="4" s="1"/>
  <c r="Y3368" i="4" s="1"/>
  <c r="R3367" i="4"/>
  <c r="W3367" i="4" s="1"/>
  <c r="X3367" i="4" s="1"/>
  <c r="Y3367" i="4" s="1"/>
  <c r="P3368" i="4"/>
  <c r="T3369" i="4"/>
  <c r="J3370" i="4"/>
  <c r="K3370" i="4"/>
  <c r="N3370" i="4" s="1"/>
  <c r="L3370" i="4"/>
  <c r="M3370" i="4"/>
  <c r="O3369" i="4"/>
  <c r="U3369" i="4" s="1"/>
  <c r="R3369" i="4" l="1"/>
  <c r="W3369" i="4" s="1"/>
  <c r="Q3369" i="4"/>
  <c r="V3369" i="4" s="1"/>
  <c r="S3369" i="4"/>
  <c r="P3369" i="4"/>
  <c r="T3370" i="4"/>
  <c r="O3370" i="4"/>
  <c r="J3371" i="4"/>
  <c r="L3371" i="4"/>
  <c r="M3371" i="4"/>
  <c r="K3371" i="4"/>
  <c r="N3371" i="4" s="1"/>
  <c r="X3369" i="4" l="1"/>
  <c r="Y3369" i="4" s="1"/>
  <c r="Q3370" i="4"/>
  <c r="V3370" i="4" s="1"/>
  <c r="S3370" i="4"/>
  <c r="P3370" i="4"/>
  <c r="U3370" i="4"/>
  <c r="T3371" i="4"/>
  <c r="J3372" i="4"/>
  <c r="K3372" i="4"/>
  <c r="N3372" i="4" s="1"/>
  <c r="T3372" i="4" s="1"/>
  <c r="L3372" i="4"/>
  <c r="M3372" i="4"/>
  <c r="O3371" i="4"/>
  <c r="R3370" i="4" l="1"/>
  <c r="W3370" i="4" s="1"/>
  <c r="X3370" i="4" s="1"/>
  <c r="Y3370" i="4" s="1"/>
  <c r="Q3372" i="4"/>
  <c r="V3372" i="4" s="1"/>
  <c r="S3372" i="4"/>
  <c r="Q3371" i="4"/>
  <c r="V3371" i="4" s="1"/>
  <c r="S3371" i="4"/>
  <c r="P3371" i="4"/>
  <c r="U3371" i="4"/>
  <c r="O3372" i="4"/>
  <c r="U3372" i="4" s="1"/>
  <c r="J3373" i="4"/>
  <c r="L3373" i="4"/>
  <c r="M3373" i="4"/>
  <c r="K3373" i="4"/>
  <c r="N3373" i="4" s="1"/>
  <c r="R3372" i="4" l="1"/>
  <c r="W3372" i="4" s="1"/>
  <c r="X3372" i="4" s="1"/>
  <c r="Y3372" i="4" s="1"/>
  <c r="R3371" i="4"/>
  <c r="W3371" i="4" s="1"/>
  <c r="X3371" i="4" s="1"/>
  <c r="Y3371" i="4" s="1"/>
  <c r="P3372" i="4"/>
  <c r="T3373" i="4"/>
  <c r="J3374" i="4"/>
  <c r="K3374" i="4"/>
  <c r="N3374" i="4" s="1"/>
  <c r="L3374" i="4"/>
  <c r="M3374" i="4"/>
  <c r="O3373" i="4"/>
  <c r="U3373" i="4" s="1"/>
  <c r="R3373" i="4" l="1"/>
  <c r="W3373" i="4" s="1"/>
  <c r="Q3373" i="4"/>
  <c r="V3373" i="4" s="1"/>
  <c r="S3373" i="4"/>
  <c r="P3373" i="4"/>
  <c r="T3374" i="4"/>
  <c r="O3374" i="4"/>
  <c r="J3375" i="4"/>
  <c r="L3375" i="4"/>
  <c r="M3375" i="4"/>
  <c r="K3375" i="4"/>
  <c r="N3375" i="4" s="1"/>
  <c r="X3373" i="4" l="1"/>
  <c r="Y3373" i="4" s="1"/>
  <c r="Q3374" i="4"/>
  <c r="V3374" i="4" s="1"/>
  <c r="S3374" i="4"/>
  <c r="P3374" i="4"/>
  <c r="U3374" i="4"/>
  <c r="T3375" i="4"/>
  <c r="J3376" i="4"/>
  <c r="K3376" i="4"/>
  <c r="N3376" i="4" s="1"/>
  <c r="T3376" i="4" s="1"/>
  <c r="L3376" i="4"/>
  <c r="M3376" i="4"/>
  <c r="O3375" i="4"/>
  <c r="R3374" i="4" l="1"/>
  <c r="W3374" i="4" s="1"/>
  <c r="X3374" i="4" s="1"/>
  <c r="Y3374" i="4" s="1"/>
  <c r="Q3376" i="4"/>
  <c r="V3376" i="4" s="1"/>
  <c r="S3376" i="4"/>
  <c r="Q3375" i="4"/>
  <c r="V3375" i="4" s="1"/>
  <c r="S3375" i="4"/>
  <c r="P3375" i="4"/>
  <c r="U3375" i="4"/>
  <c r="O3376" i="4"/>
  <c r="U3376" i="4" s="1"/>
  <c r="J3377" i="4"/>
  <c r="L3377" i="4"/>
  <c r="M3377" i="4"/>
  <c r="K3377" i="4"/>
  <c r="N3377" i="4" s="1"/>
  <c r="R3376" i="4" l="1"/>
  <c r="W3376" i="4" s="1"/>
  <c r="X3376" i="4" s="1"/>
  <c r="Y3376" i="4" s="1"/>
  <c r="R3375" i="4"/>
  <c r="W3375" i="4" s="1"/>
  <c r="X3375" i="4" s="1"/>
  <c r="Y3375" i="4" s="1"/>
  <c r="P3376" i="4"/>
  <c r="T3377" i="4"/>
  <c r="J3378" i="4"/>
  <c r="K3378" i="4"/>
  <c r="N3378" i="4" s="1"/>
  <c r="L3378" i="4"/>
  <c r="M3378" i="4"/>
  <c r="O3377" i="4"/>
  <c r="U3377" i="4" s="1"/>
  <c r="R3377" i="4" l="1"/>
  <c r="W3377" i="4" s="1"/>
  <c r="Q3377" i="4"/>
  <c r="V3377" i="4" s="1"/>
  <c r="S3377" i="4"/>
  <c r="P3377" i="4"/>
  <c r="T3378" i="4"/>
  <c r="O3378" i="4"/>
  <c r="J3379" i="4"/>
  <c r="L3379" i="4"/>
  <c r="M3379" i="4"/>
  <c r="K3379" i="4"/>
  <c r="N3379" i="4" s="1"/>
  <c r="X3377" i="4" l="1"/>
  <c r="Y3377" i="4" s="1"/>
  <c r="Q3378" i="4"/>
  <c r="V3378" i="4" s="1"/>
  <c r="S3378" i="4"/>
  <c r="P3378" i="4"/>
  <c r="U3378" i="4"/>
  <c r="T3379" i="4"/>
  <c r="J3380" i="4"/>
  <c r="K3380" i="4"/>
  <c r="N3380" i="4" s="1"/>
  <c r="T3380" i="4" s="1"/>
  <c r="L3380" i="4"/>
  <c r="M3380" i="4"/>
  <c r="O3379" i="4"/>
  <c r="R3378" i="4" l="1"/>
  <c r="W3378" i="4" s="1"/>
  <c r="X3378" i="4" s="1"/>
  <c r="Y3378" i="4" s="1"/>
  <c r="Q3380" i="4"/>
  <c r="V3380" i="4" s="1"/>
  <c r="S3380" i="4"/>
  <c r="Q3379" i="4"/>
  <c r="V3379" i="4" s="1"/>
  <c r="S3379" i="4"/>
  <c r="P3379" i="4"/>
  <c r="U3379" i="4"/>
  <c r="O3380" i="4"/>
  <c r="J3381" i="4"/>
  <c r="L3381" i="4"/>
  <c r="M3381" i="4"/>
  <c r="K3381" i="4"/>
  <c r="N3381" i="4" s="1"/>
  <c r="R3379" i="4" l="1"/>
  <c r="W3379" i="4" s="1"/>
  <c r="X3379" i="4" s="1"/>
  <c r="Y3379" i="4" s="1"/>
  <c r="P3380" i="4"/>
  <c r="U3380" i="4"/>
  <c r="T3381" i="4"/>
  <c r="J3382" i="4"/>
  <c r="K3382" i="4"/>
  <c r="N3382" i="4" s="1"/>
  <c r="T3382" i="4" s="1"/>
  <c r="L3382" i="4"/>
  <c r="M3382" i="4"/>
  <c r="O3381" i="4"/>
  <c r="U3381" i="4" s="1"/>
  <c r="R3380" i="4" l="1"/>
  <c r="W3380" i="4" s="1"/>
  <c r="X3380" i="4" s="1"/>
  <c r="Y3380" i="4" s="1"/>
  <c r="R3381" i="4"/>
  <c r="W3381" i="4" s="1"/>
  <c r="Q3381" i="4"/>
  <c r="V3381" i="4" s="1"/>
  <c r="S3381" i="4"/>
  <c r="Q3382" i="4"/>
  <c r="V3382" i="4" s="1"/>
  <c r="S3382" i="4"/>
  <c r="P3381" i="4"/>
  <c r="O3382" i="4"/>
  <c r="J3383" i="4"/>
  <c r="L3383" i="4"/>
  <c r="M3383" i="4"/>
  <c r="K3383" i="4"/>
  <c r="N3383" i="4" s="1"/>
  <c r="X3381" i="4" l="1"/>
  <c r="Y3381" i="4" s="1"/>
  <c r="P3382" i="4"/>
  <c r="U3382" i="4"/>
  <c r="T3383" i="4"/>
  <c r="J3384" i="4"/>
  <c r="K3384" i="4"/>
  <c r="N3384" i="4" s="1"/>
  <c r="L3384" i="4"/>
  <c r="M3384" i="4"/>
  <c r="O3383" i="4"/>
  <c r="U3383" i="4" s="1"/>
  <c r="R3383" i="4" l="1"/>
  <c r="W3383" i="4" s="1"/>
  <c r="R3382" i="4"/>
  <c r="W3382" i="4" s="1"/>
  <c r="X3382" i="4" s="1"/>
  <c r="Y3382" i="4" s="1"/>
  <c r="Q3383" i="4"/>
  <c r="V3383" i="4" s="1"/>
  <c r="S3383" i="4"/>
  <c r="P3383" i="4"/>
  <c r="T3384" i="4"/>
  <c r="O3384" i="4"/>
  <c r="U3384" i="4" s="1"/>
  <c r="J3385" i="4"/>
  <c r="L3385" i="4"/>
  <c r="M3385" i="4"/>
  <c r="K3385" i="4"/>
  <c r="N3385" i="4" s="1"/>
  <c r="X3383" i="4" l="1"/>
  <c r="Y3383" i="4" s="1"/>
  <c r="R3384" i="4"/>
  <c r="W3384" i="4" s="1"/>
  <c r="Q3384" i="4"/>
  <c r="V3384" i="4" s="1"/>
  <c r="S3384" i="4"/>
  <c r="P3384" i="4"/>
  <c r="T3385" i="4"/>
  <c r="J3386" i="4"/>
  <c r="K3386" i="4"/>
  <c r="N3386" i="4" s="1"/>
  <c r="L3386" i="4"/>
  <c r="M3386" i="4"/>
  <c r="O3385" i="4"/>
  <c r="U3385" i="4" s="1"/>
  <c r="X3384" i="4" l="1"/>
  <c r="Y3384" i="4" s="1"/>
  <c r="R3385" i="4"/>
  <c r="W3385" i="4" s="1"/>
  <c r="Q3385" i="4"/>
  <c r="V3385" i="4" s="1"/>
  <c r="S3385" i="4"/>
  <c r="P3385" i="4"/>
  <c r="T3386" i="4"/>
  <c r="O3386" i="4"/>
  <c r="J3387" i="4"/>
  <c r="L3387" i="4"/>
  <c r="M3387" i="4"/>
  <c r="K3387" i="4"/>
  <c r="N3387" i="4" s="1"/>
  <c r="X3385" i="4" l="1"/>
  <c r="Y3385" i="4" s="1"/>
  <c r="Q3386" i="4"/>
  <c r="V3386" i="4" s="1"/>
  <c r="S3386" i="4"/>
  <c r="P3386" i="4"/>
  <c r="U3386" i="4"/>
  <c r="T3387" i="4"/>
  <c r="J3388" i="4"/>
  <c r="K3388" i="4"/>
  <c r="N3388" i="4" s="1"/>
  <c r="T3388" i="4" s="1"/>
  <c r="L3388" i="4"/>
  <c r="M3388" i="4"/>
  <c r="O3387" i="4"/>
  <c r="R3386" i="4" l="1"/>
  <c r="W3386" i="4" s="1"/>
  <c r="X3386" i="4" s="1"/>
  <c r="Y3386" i="4" s="1"/>
  <c r="Q3388" i="4"/>
  <c r="V3388" i="4" s="1"/>
  <c r="S3388" i="4"/>
  <c r="Q3387" i="4"/>
  <c r="V3387" i="4" s="1"/>
  <c r="S3387" i="4"/>
  <c r="P3387" i="4"/>
  <c r="U3387" i="4"/>
  <c r="O3388" i="4"/>
  <c r="U3388" i="4" s="1"/>
  <c r="J3389" i="4"/>
  <c r="L3389" i="4"/>
  <c r="M3389" i="4"/>
  <c r="K3389" i="4"/>
  <c r="N3389" i="4" s="1"/>
  <c r="R3388" i="4" l="1"/>
  <c r="W3388" i="4" s="1"/>
  <c r="X3388" i="4" s="1"/>
  <c r="Y3388" i="4" s="1"/>
  <c r="R3387" i="4"/>
  <c r="W3387" i="4" s="1"/>
  <c r="X3387" i="4" s="1"/>
  <c r="Y3387" i="4" s="1"/>
  <c r="P3388" i="4"/>
  <c r="T3389" i="4"/>
  <c r="J3390" i="4"/>
  <c r="K3390" i="4"/>
  <c r="N3390" i="4" s="1"/>
  <c r="L3390" i="4"/>
  <c r="M3390" i="4"/>
  <c r="O3389" i="4"/>
  <c r="U3389" i="4" s="1"/>
  <c r="R3389" i="4" l="1"/>
  <c r="W3389" i="4" s="1"/>
  <c r="Q3389" i="4"/>
  <c r="V3389" i="4" s="1"/>
  <c r="S3389" i="4"/>
  <c r="P3389" i="4"/>
  <c r="T3390" i="4"/>
  <c r="O3390" i="4"/>
  <c r="U3390" i="4" s="1"/>
  <c r="J3391" i="4"/>
  <c r="L3391" i="4"/>
  <c r="M3391" i="4"/>
  <c r="K3391" i="4"/>
  <c r="N3391" i="4" s="1"/>
  <c r="X3389" i="4" l="1"/>
  <c r="Y3389" i="4" s="1"/>
  <c r="R3390" i="4"/>
  <c r="W3390" i="4" s="1"/>
  <c r="Q3390" i="4"/>
  <c r="V3390" i="4" s="1"/>
  <c r="S3390" i="4"/>
  <c r="P3390" i="4"/>
  <c r="T3391" i="4"/>
  <c r="J3392" i="4"/>
  <c r="K3392" i="4"/>
  <c r="N3392" i="4" s="1"/>
  <c r="L3392" i="4"/>
  <c r="M3392" i="4"/>
  <c r="O3391" i="4"/>
  <c r="U3391" i="4" s="1"/>
  <c r="X3390" i="4" l="1"/>
  <c r="Y3390" i="4" s="1"/>
  <c r="R3391" i="4"/>
  <c r="W3391" i="4" s="1"/>
  <c r="Q3391" i="4"/>
  <c r="V3391" i="4" s="1"/>
  <c r="S3391" i="4"/>
  <c r="P3391" i="4"/>
  <c r="T3392" i="4"/>
  <c r="O3392" i="4"/>
  <c r="U3392" i="4" s="1"/>
  <c r="J3393" i="4"/>
  <c r="L3393" i="4"/>
  <c r="M3393" i="4"/>
  <c r="K3393" i="4"/>
  <c r="N3393" i="4" s="1"/>
  <c r="X3391" i="4" l="1"/>
  <c r="Y3391" i="4" s="1"/>
  <c r="R3392" i="4"/>
  <c r="W3392" i="4" s="1"/>
  <c r="Q3392" i="4"/>
  <c r="V3392" i="4" s="1"/>
  <c r="S3392" i="4"/>
  <c r="P3392" i="4"/>
  <c r="T3393" i="4"/>
  <c r="O3393" i="4"/>
  <c r="U3393" i="4" s="1"/>
  <c r="J3394" i="4"/>
  <c r="K3394" i="4"/>
  <c r="N3394" i="4" s="1"/>
  <c r="L3394" i="4"/>
  <c r="M3394" i="4"/>
  <c r="X3392" i="4" l="1"/>
  <c r="Y3392" i="4" s="1"/>
  <c r="R3393" i="4"/>
  <c r="W3393" i="4" s="1"/>
  <c r="Q3393" i="4"/>
  <c r="V3393" i="4" s="1"/>
  <c r="S3393" i="4"/>
  <c r="P3393" i="4"/>
  <c r="T3394" i="4"/>
  <c r="O3394" i="4"/>
  <c r="U3394" i="4" s="1"/>
  <c r="J3395" i="4"/>
  <c r="L3395" i="4"/>
  <c r="M3395" i="4"/>
  <c r="K3395" i="4"/>
  <c r="N3395" i="4" s="1"/>
  <c r="X3393" i="4" l="1"/>
  <c r="Y3393" i="4" s="1"/>
  <c r="R3394" i="4"/>
  <c r="W3394" i="4" s="1"/>
  <c r="Q3394" i="4"/>
  <c r="V3394" i="4" s="1"/>
  <c r="S3394" i="4"/>
  <c r="P3394" i="4"/>
  <c r="T3395" i="4"/>
  <c r="J3396" i="4"/>
  <c r="K3396" i="4"/>
  <c r="N3396" i="4" s="1"/>
  <c r="L3396" i="4"/>
  <c r="M3396" i="4"/>
  <c r="O3395" i="4"/>
  <c r="U3395" i="4" s="1"/>
  <c r="X3394" i="4" l="1"/>
  <c r="Y3394" i="4" s="1"/>
  <c r="R3395" i="4"/>
  <c r="W3395" i="4" s="1"/>
  <c r="Q3395" i="4"/>
  <c r="V3395" i="4" s="1"/>
  <c r="S3395" i="4"/>
  <c r="P3395" i="4"/>
  <c r="T3396" i="4"/>
  <c r="O3396" i="4"/>
  <c r="U3396" i="4" s="1"/>
  <c r="J3397" i="4"/>
  <c r="L3397" i="4"/>
  <c r="M3397" i="4"/>
  <c r="K3397" i="4"/>
  <c r="N3397" i="4" s="1"/>
  <c r="X3395" i="4" l="1"/>
  <c r="Y3395" i="4" s="1"/>
  <c r="R3396" i="4"/>
  <c r="W3396" i="4" s="1"/>
  <c r="Q3396" i="4"/>
  <c r="V3396" i="4" s="1"/>
  <c r="S3396" i="4"/>
  <c r="P3396" i="4"/>
  <c r="T3397" i="4"/>
  <c r="O3397" i="4"/>
  <c r="U3397" i="4" s="1"/>
  <c r="J3398" i="4"/>
  <c r="K3398" i="4"/>
  <c r="N3398" i="4" s="1"/>
  <c r="L3398" i="4"/>
  <c r="M3398" i="4"/>
  <c r="X3396" i="4" l="1"/>
  <c r="Y3396" i="4" s="1"/>
  <c r="R3397" i="4"/>
  <c r="W3397" i="4" s="1"/>
  <c r="Q3397" i="4"/>
  <c r="V3397" i="4" s="1"/>
  <c r="S3397" i="4"/>
  <c r="P3397" i="4"/>
  <c r="T3398" i="4"/>
  <c r="O3398" i="4"/>
  <c r="U3398" i="4" s="1"/>
  <c r="J3399" i="4"/>
  <c r="L3399" i="4"/>
  <c r="M3399" i="4"/>
  <c r="K3399" i="4"/>
  <c r="N3399" i="4" s="1"/>
  <c r="X3397" i="4" l="1"/>
  <c r="Y3397" i="4" s="1"/>
  <c r="R3398" i="4"/>
  <c r="W3398" i="4" s="1"/>
  <c r="Q3398" i="4"/>
  <c r="V3398" i="4" s="1"/>
  <c r="S3398" i="4"/>
  <c r="P3398" i="4"/>
  <c r="T3399" i="4"/>
  <c r="J3400" i="4"/>
  <c r="K3400" i="4"/>
  <c r="N3400" i="4" s="1"/>
  <c r="L3400" i="4"/>
  <c r="M3400" i="4"/>
  <c r="O3399" i="4"/>
  <c r="U3399" i="4" s="1"/>
  <c r="X3398" i="4" l="1"/>
  <c r="Y3398" i="4" s="1"/>
  <c r="R3399" i="4"/>
  <c r="W3399" i="4" s="1"/>
  <c r="Q3399" i="4"/>
  <c r="V3399" i="4" s="1"/>
  <c r="S3399" i="4"/>
  <c r="P3399" i="4"/>
  <c r="T3400" i="4"/>
  <c r="O3400" i="4"/>
  <c r="U3400" i="4" s="1"/>
  <c r="J3401" i="4"/>
  <c r="L3401" i="4"/>
  <c r="M3401" i="4"/>
  <c r="K3401" i="4"/>
  <c r="N3401" i="4" s="1"/>
  <c r="X3399" i="4" l="1"/>
  <c r="Y3399" i="4" s="1"/>
  <c r="R3400" i="4"/>
  <c r="W3400" i="4" s="1"/>
  <c r="Q3400" i="4"/>
  <c r="V3400" i="4" s="1"/>
  <c r="S3400" i="4"/>
  <c r="P3400" i="4"/>
  <c r="T3401" i="4"/>
  <c r="J3402" i="4"/>
  <c r="K3402" i="4"/>
  <c r="N3402" i="4" s="1"/>
  <c r="L3402" i="4"/>
  <c r="M3402" i="4"/>
  <c r="O3401" i="4"/>
  <c r="U3401" i="4" s="1"/>
  <c r="X3400" i="4" l="1"/>
  <c r="Y3400" i="4" s="1"/>
  <c r="R3401" i="4"/>
  <c r="W3401" i="4" s="1"/>
  <c r="Q3401" i="4"/>
  <c r="V3401" i="4" s="1"/>
  <c r="S3401" i="4"/>
  <c r="P3401" i="4"/>
  <c r="T3402" i="4"/>
  <c r="O3402" i="4"/>
  <c r="U3402" i="4" s="1"/>
  <c r="J3403" i="4"/>
  <c r="L3403" i="4"/>
  <c r="M3403" i="4"/>
  <c r="K3403" i="4"/>
  <c r="N3403" i="4" s="1"/>
  <c r="X3401" i="4" l="1"/>
  <c r="Y3401" i="4" s="1"/>
  <c r="R3402" i="4"/>
  <c r="W3402" i="4" s="1"/>
  <c r="Q3402" i="4"/>
  <c r="V3402" i="4" s="1"/>
  <c r="S3402" i="4"/>
  <c r="P3402" i="4"/>
  <c r="T3403" i="4"/>
  <c r="J3404" i="4"/>
  <c r="K3404" i="4"/>
  <c r="N3404" i="4" s="1"/>
  <c r="L3404" i="4"/>
  <c r="M3404" i="4"/>
  <c r="O3403" i="4"/>
  <c r="U3403" i="4" s="1"/>
  <c r="X3402" i="4" l="1"/>
  <c r="Y3402" i="4" s="1"/>
  <c r="R3403" i="4"/>
  <c r="W3403" i="4" s="1"/>
  <c r="Q3403" i="4"/>
  <c r="V3403" i="4" s="1"/>
  <c r="S3403" i="4"/>
  <c r="P3403" i="4"/>
  <c r="T3404" i="4"/>
  <c r="O3404" i="4"/>
  <c r="U3404" i="4" s="1"/>
  <c r="J3405" i="4"/>
  <c r="L3405" i="4"/>
  <c r="M3405" i="4"/>
  <c r="K3405" i="4"/>
  <c r="N3405" i="4" s="1"/>
  <c r="X3403" i="4" l="1"/>
  <c r="Y3403" i="4" s="1"/>
  <c r="R3404" i="4"/>
  <c r="W3404" i="4" s="1"/>
  <c r="Q3404" i="4"/>
  <c r="V3404" i="4" s="1"/>
  <c r="S3404" i="4"/>
  <c r="P3404" i="4"/>
  <c r="T3405" i="4"/>
  <c r="J3406" i="4"/>
  <c r="K3406" i="4"/>
  <c r="N3406" i="4" s="1"/>
  <c r="L3406" i="4"/>
  <c r="M3406" i="4"/>
  <c r="O3405" i="4"/>
  <c r="U3405" i="4" s="1"/>
  <c r="X3404" i="4" l="1"/>
  <c r="Y3404" i="4" s="1"/>
  <c r="R3405" i="4"/>
  <c r="W3405" i="4" s="1"/>
  <c r="Q3405" i="4"/>
  <c r="V3405" i="4" s="1"/>
  <c r="S3405" i="4"/>
  <c r="P3405" i="4"/>
  <c r="T3406" i="4"/>
  <c r="O3406" i="4"/>
  <c r="U3406" i="4" s="1"/>
  <c r="J3407" i="4"/>
  <c r="L3407" i="4"/>
  <c r="M3407" i="4"/>
  <c r="K3407" i="4"/>
  <c r="N3407" i="4" s="1"/>
  <c r="X3405" i="4" l="1"/>
  <c r="Y3405" i="4" s="1"/>
  <c r="R3406" i="4"/>
  <c r="W3406" i="4" s="1"/>
  <c r="Q3406" i="4"/>
  <c r="V3406" i="4" s="1"/>
  <c r="S3406" i="4"/>
  <c r="P3406" i="4"/>
  <c r="T3407" i="4"/>
  <c r="J3408" i="4"/>
  <c r="K3408" i="4"/>
  <c r="N3408" i="4" s="1"/>
  <c r="L3408" i="4"/>
  <c r="M3408" i="4"/>
  <c r="O3407" i="4"/>
  <c r="U3407" i="4" s="1"/>
  <c r="X3406" i="4" l="1"/>
  <c r="Y3406" i="4" s="1"/>
  <c r="R3407" i="4"/>
  <c r="W3407" i="4" s="1"/>
  <c r="Q3407" i="4"/>
  <c r="V3407" i="4" s="1"/>
  <c r="S3407" i="4"/>
  <c r="P3407" i="4"/>
  <c r="T3408" i="4"/>
  <c r="O3408" i="4"/>
  <c r="U3408" i="4" s="1"/>
  <c r="J3409" i="4"/>
  <c r="L3409" i="4"/>
  <c r="M3409" i="4"/>
  <c r="K3409" i="4"/>
  <c r="N3409" i="4" s="1"/>
  <c r="X3407" i="4" l="1"/>
  <c r="Y3407" i="4" s="1"/>
  <c r="R3408" i="4"/>
  <c r="W3408" i="4" s="1"/>
  <c r="Q3408" i="4"/>
  <c r="V3408" i="4" s="1"/>
  <c r="S3408" i="4"/>
  <c r="P3408" i="4"/>
  <c r="T3409" i="4"/>
  <c r="J3410" i="4"/>
  <c r="K3410" i="4"/>
  <c r="N3410" i="4" s="1"/>
  <c r="T3410" i="4" s="1"/>
  <c r="L3410" i="4"/>
  <c r="M3410" i="4"/>
  <c r="O3409" i="4"/>
  <c r="U3409" i="4" s="1"/>
  <c r="X3408" i="4" l="1"/>
  <c r="Y3408" i="4" s="1"/>
  <c r="R3409" i="4"/>
  <c r="W3409" i="4" s="1"/>
  <c r="Q3409" i="4"/>
  <c r="V3409" i="4" s="1"/>
  <c r="S3409" i="4"/>
  <c r="Q3410" i="4"/>
  <c r="V3410" i="4" s="1"/>
  <c r="S3410" i="4"/>
  <c r="P3409" i="4"/>
  <c r="O3410" i="4"/>
  <c r="U3410" i="4" s="1"/>
  <c r="J3411" i="4"/>
  <c r="L3411" i="4"/>
  <c r="M3411" i="4"/>
  <c r="K3411" i="4"/>
  <c r="N3411" i="4" s="1"/>
  <c r="X3409" i="4" l="1"/>
  <c r="Y3409" i="4" s="1"/>
  <c r="R3410" i="4"/>
  <c r="W3410" i="4" s="1"/>
  <c r="X3410" i="4" s="1"/>
  <c r="Y3410" i="4" s="1"/>
  <c r="P3410" i="4"/>
  <c r="T3411" i="4"/>
  <c r="J3412" i="4"/>
  <c r="K3412" i="4"/>
  <c r="N3412" i="4" s="1"/>
  <c r="L3412" i="4"/>
  <c r="M3412" i="4"/>
  <c r="O3411" i="4"/>
  <c r="U3411" i="4" s="1"/>
  <c r="R3411" i="4" l="1"/>
  <c r="W3411" i="4" s="1"/>
  <c r="Q3411" i="4"/>
  <c r="V3411" i="4" s="1"/>
  <c r="S3411" i="4"/>
  <c r="P3411" i="4"/>
  <c r="T3412" i="4"/>
  <c r="O3412" i="4"/>
  <c r="U3412" i="4" s="1"/>
  <c r="J3413" i="4"/>
  <c r="L3413" i="4"/>
  <c r="M3413" i="4"/>
  <c r="K3413" i="4"/>
  <c r="N3413" i="4" s="1"/>
  <c r="X3411" i="4" l="1"/>
  <c r="Y3411" i="4" s="1"/>
  <c r="R3412" i="4"/>
  <c r="W3412" i="4" s="1"/>
  <c r="Q3412" i="4"/>
  <c r="V3412" i="4" s="1"/>
  <c r="S3412" i="4"/>
  <c r="P3412" i="4"/>
  <c r="T3413" i="4"/>
  <c r="J3414" i="4"/>
  <c r="K3414" i="4"/>
  <c r="N3414" i="4" s="1"/>
  <c r="L3414" i="4"/>
  <c r="M3414" i="4"/>
  <c r="O3413" i="4"/>
  <c r="U3413" i="4" s="1"/>
  <c r="X3412" i="4" l="1"/>
  <c r="Y3412" i="4" s="1"/>
  <c r="R3413" i="4"/>
  <c r="W3413" i="4" s="1"/>
  <c r="Q3413" i="4"/>
  <c r="V3413" i="4" s="1"/>
  <c r="S3413" i="4"/>
  <c r="P3413" i="4"/>
  <c r="T3414" i="4"/>
  <c r="O3414" i="4"/>
  <c r="U3414" i="4" s="1"/>
  <c r="J3415" i="4"/>
  <c r="L3415" i="4"/>
  <c r="M3415" i="4"/>
  <c r="K3415" i="4"/>
  <c r="N3415" i="4" s="1"/>
  <c r="T3415" i="4" s="1"/>
  <c r="X3413" i="4" l="1"/>
  <c r="Y3413" i="4" s="1"/>
  <c r="R3414" i="4"/>
  <c r="W3414" i="4" s="1"/>
  <c r="Q3414" i="4"/>
  <c r="V3414" i="4" s="1"/>
  <c r="S3414" i="4"/>
  <c r="Q3415" i="4"/>
  <c r="V3415" i="4" s="1"/>
  <c r="S3415" i="4"/>
  <c r="P3414" i="4"/>
  <c r="J3416" i="4"/>
  <c r="K3416" i="4"/>
  <c r="N3416" i="4" s="1"/>
  <c r="L3416" i="4"/>
  <c r="M3416" i="4"/>
  <c r="O3415" i="4"/>
  <c r="X3414" i="4" l="1"/>
  <c r="Y3414" i="4" s="1"/>
  <c r="P3415" i="4"/>
  <c r="U3415" i="4"/>
  <c r="T3416" i="4"/>
  <c r="O3416" i="4"/>
  <c r="U3416" i="4" s="1"/>
  <c r="J3417" i="4"/>
  <c r="L3417" i="4"/>
  <c r="M3417" i="4"/>
  <c r="K3417" i="4"/>
  <c r="N3417" i="4" s="1"/>
  <c r="T3417" i="4" s="1"/>
  <c r="R3415" i="4" l="1"/>
  <c r="W3415" i="4" s="1"/>
  <c r="X3415" i="4" s="1"/>
  <c r="Y3415" i="4" s="1"/>
  <c r="R3416" i="4"/>
  <c r="W3416" i="4" s="1"/>
  <c r="Q3416" i="4"/>
  <c r="V3416" i="4" s="1"/>
  <c r="S3416" i="4"/>
  <c r="Q3417" i="4"/>
  <c r="V3417" i="4" s="1"/>
  <c r="S3417" i="4"/>
  <c r="P3416" i="4"/>
  <c r="J3418" i="4"/>
  <c r="K3418" i="4"/>
  <c r="N3418" i="4" s="1"/>
  <c r="L3418" i="4"/>
  <c r="M3418" i="4"/>
  <c r="O3417" i="4"/>
  <c r="U3417" i="4" s="1"/>
  <c r="X3416" i="4" l="1"/>
  <c r="Y3416" i="4" s="1"/>
  <c r="R3417" i="4"/>
  <c r="W3417" i="4" s="1"/>
  <c r="X3417" i="4" s="1"/>
  <c r="Y3417" i="4" s="1"/>
  <c r="P3417" i="4"/>
  <c r="T3418" i="4"/>
  <c r="O3418" i="4"/>
  <c r="U3418" i="4" s="1"/>
  <c r="J3419" i="4"/>
  <c r="L3419" i="4"/>
  <c r="M3419" i="4"/>
  <c r="K3419" i="4"/>
  <c r="N3419" i="4" s="1"/>
  <c r="T3419" i="4" s="1"/>
  <c r="R3418" i="4" l="1"/>
  <c r="W3418" i="4" s="1"/>
  <c r="Q3419" i="4"/>
  <c r="V3419" i="4" s="1"/>
  <c r="S3419" i="4"/>
  <c r="Q3418" i="4"/>
  <c r="V3418" i="4" s="1"/>
  <c r="S3418" i="4"/>
  <c r="P3418" i="4"/>
  <c r="J3420" i="4"/>
  <c r="K3420" i="4"/>
  <c r="N3420" i="4" s="1"/>
  <c r="L3420" i="4"/>
  <c r="M3420" i="4"/>
  <c r="O3419" i="4"/>
  <c r="U3419" i="4" s="1"/>
  <c r="X3418" i="4" l="1"/>
  <c r="Y3418" i="4" s="1"/>
  <c r="R3419" i="4"/>
  <c r="W3419" i="4" s="1"/>
  <c r="X3419" i="4" s="1"/>
  <c r="Y3419" i="4" s="1"/>
  <c r="P3419" i="4"/>
  <c r="T3420" i="4"/>
  <c r="O3420" i="4"/>
  <c r="U3420" i="4" s="1"/>
  <c r="J3421" i="4"/>
  <c r="L3421" i="4"/>
  <c r="M3421" i="4"/>
  <c r="K3421" i="4"/>
  <c r="N3421" i="4" s="1"/>
  <c r="R3420" i="4" l="1"/>
  <c r="W3420" i="4" s="1"/>
  <c r="Q3420" i="4"/>
  <c r="V3420" i="4" s="1"/>
  <c r="S3420" i="4"/>
  <c r="P3420" i="4"/>
  <c r="T3421" i="4"/>
  <c r="J3422" i="4"/>
  <c r="K3422" i="4"/>
  <c r="N3422" i="4" s="1"/>
  <c r="L3422" i="4"/>
  <c r="M3422" i="4"/>
  <c r="O3421" i="4"/>
  <c r="U3421" i="4" s="1"/>
  <c r="X3420" i="4" l="1"/>
  <c r="Y3420" i="4" s="1"/>
  <c r="R3421" i="4"/>
  <c r="W3421" i="4" s="1"/>
  <c r="Q3421" i="4"/>
  <c r="V3421" i="4" s="1"/>
  <c r="S3421" i="4"/>
  <c r="P3421" i="4"/>
  <c r="T3422" i="4"/>
  <c r="O3422" i="4"/>
  <c r="U3422" i="4" s="1"/>
  <c r="J3423" i="4"/>
  <c r="L3423" i="4"/>
  <c r="M3423" i="4"/>
  <c r="K3423" i="4"/>
  <c r="N3423" i="4" s="1"/>
  <c r="X3421" i="4" l="1"/>
  <c r="Y3421" i="4" s="1"/>
  <c r="R3422" i="4"/>
  <c r="W3422" i="4" s="1"/>
  <c r="Q3422" i="4"/>
  <c r="V3422" i="4" s="1"/>
  <c r="S3422" i="4"/>
  <c r="P3422" i="4"/>
  <c r="T3423" i="4"/>
  <c r="J3424" i="4"/>
  <c r="K3424" i="4"/>
  <c r="N3424" i="4" s="1"/>
  <c r="L3424" i="4"/>
  <c r="M3424" i="4"/>
  <c r="O3423" i="4"/>
  <c r="X3422" i="4" l="1"/>
  <c r="Y3422" i="4" s="1"/>
  <c r="Q3423" i="4"/>
  <c r="V3423" i="4" s="1"/>
  <c r="S3423" i="4"/>
  <c r="P3423" i="4"/>
  <c r="U3423" i="4"/>
  <c r="T3424" i="4"/>
  <c r="O3424" i="4"/>
  <c r="J3425" i="4"/>
  <c r="L3425" i="4"/>
  <c r="M3425" i="4"/>
  <c r="K3425" i="4"/>
  <c r="N3425" i="4" s="1"/>
  <c r="T3425" i="4" s="1"/>
  <c r="R3423" i="4" l="1"/>
  <c r="W3423" i="4" s="1"/>
  <c r="X3423" i="4" s="1"/>
  <c r="Y3423" i="4" s="1"/>
  <c r="Q3425" i="4"/>
  <c r="V3425" i="4" s="1"/>
  <c r="S3425" i="4"/>
  <c r="Q3424" i="4"/>
  <c r="V3424" i="4" s="1"/>
  <c r="S3424" i="4"/>
  <c r="P3424" i="4"/>
  <c r="U3424" i="4"/>
  <c r="J3426" i="4"/>
  <c r="K3426" i="4"/>
  <c r="N3426" i="4" s="1"/>
  <c r="L3426" i="4"/>
  <c r="M3426" i="4"/>
  <c r="O3425" i="4"/>
  <c r="U3425" i="4" s="1"/>
  <c r="R3424" i="4" l="1"/>
  <c r="W3424" i="4" s="1"/>
  <c r="X3424" i="4" s="1"/>
  <c r="Y3424" i="4" s="1"/>
  <c r="R3425" i="4"/>
  <c r="W3425" i="4" s="1"/>
  <c r="X3425" i="4" s="1"/>
  <c r="Y3425" i="4" s="1"/>
  <c r="P3425" i="4"/>
  <c r="T3426" i="4"/>
  <c r="O3426" i="4"/>
  <c r="U3426" i="4" s="1"/>
  <c r="J3427" i="4"/>
  <c r="L3427" i="4"/>
  <c r="M3427" i="4"/>
  <c r="K3427" i="4"/>
  <c r="N3427" i="4" s="1"/>
  <c r="R3426" i="4" l="1"/>
  <c r="W3426" i="4" s="1"/>
  <c r="Q3426" i="4"/>
  <c r="V3426" i="4" s="1"/>
  <c r="S3426" i="4"/>
  <c r="P3426" i="4"/>
  <c r="T3427" i="4"/>
  <c r="J3428" i="4"/>
  <c r="K3428" i="4"/>
  <c r="N3428" i="4" s="1"/>
  <c r="L3428" i="4"/>
  <c r="M3428" i="4"/>
  <c r="O3427" i="4"/>
  <c r="U3427" i="4" s="1"/>
  <c r="X3426" i="4" l="1"/>
  <c r="Y3426" i="4" s="1"/>
  <c r="R3427" i="4"/>
  <c r="W3427" i="4" s="1"/>
  <c r="Q3427" i="4"/>
  <c r="V3427" i="4" s="1"/>
  <c r="S3427" i="4"/>
  <c r="P3427" i="4"/>
  <c r="T3428" i="4"/>
  <c r="O3428" i="4"/>
  <c r="U3428" i="4" s="1"/>
  <c r="J3429" i="4"/>
  <c r="L3429" i="4"/>
  <c r="M3429" i="4"/>
  <c r="K3429" i="4"/>
  <c r="N3429" i="4" s="1"/>
  <c r="X3427" i="4" l="1"/>
  <c r="Y3427" i="4" s="1"/>
  <c r="R3428" i="4"/>
  <c r="W3428" i="4" s="1"/>
  <c r="Q3428" i="4"/>
  <c r="V3428" i="4" s="1"/>
  <c r="S3428" i="4"/>
  <c r="P3428" i="4"/>
  <c r="T3429" i="4"/>
  <c r="J3430" i="4"/>
  <c r="K3430" i="4"/>
  <c r="N3430" i="4" s="1"/>
  <c r="T3430" i="4" s="1"/>
  <c r="L3430" i="4"/>
  <c r="M3430" i="4"/>
  <c r="O3429" i="4"/>
  <c r="U3429" i="4" s="1"/>
  <c r="X3428" i="4" l="1"/>
  <c r="Y3428" i="4" s="1"/>
  <c r="R3429" i="4"/>
  <c r="W3429" i="4" s="1"/>
  <c r="Q3429" i="4"/>
  <c r="V3429" i="4" s="1"/>
  <c r="S3429" i="4"/>
  <c r="Q3430" i="4"/>
  <c r="V3430" i="4" s="1"/>
  <c r="S3430" i="4"/>
  <c r="P3429" i="4"/>
  <c r="O3430" i="4"/>
  <c r="U3430" i="4" s="1"/>
  <c r="J3431" i="4"/>
  <c r="L3431" i="4"/>
  <c r="M3431" i="4"/>
  <c r="K3431" i="4"/>
  <c r="N3431" i="4" s="1"/>
  <c r="X3429" i="4" l="1"/>
  <c r="Y3429" i="4" s="1"/>
  <c r="R3430" i="4"/>
  <c r="W3430" i="4" s="1"/>
  <c r="X3430" i="4" s="1"/>
  <c r="Y3430" i="4" s="1"/>
  <c r="T3431" i="4"/>
  <c r="P3430" i="4"/>
  <c r="J3432" i="4"/>
  <c r="K3432" i="4"/>
  <c r="N3432" i="4" s="1"/>
  <c r="L3432" i="4"/>
  <c r="M3432" i="4"/>
  <c r="O3431" i="4"/>
  <c r="U3431" i="4" s="1"/>
  <c r="R3431" i="4" l="1"/>
  <c r="W3431" i="4" s="1"/>
  <c r="Q3431" i="4"/>
  <c r="V3431" i="4" s="1"/>
  <c r="S3431" i="4"/>
  <c r="P3431" i="4"/>
  <c r="T3432" i="4"/>
  <c r="O3432" i="4"/>
  <c r="U3432" i="4" s="1"/>
  <c r="J3433" i="4"/>
  <c r="L3433" i="4"/>
  <c r="M3433" i="4"/>
  <c r="K3433" i="4"/>
  <c r="N3433" i="4" s="1"/>
  <c r="X3431" i="4" l="1"/>
  <c r="Y3431" i="4" s="1"/>
  <c r="R3432" i="4"/>
  <c r="W3432" i="4" s="1"/>
  <c r="Q3432" i="4"/>
  <c r="V3432" i="4" s="1"/>
  <c r="S3432" i="4"/>
  <c r="P3432" i="4"/>
  <c r="T3433" i="4"/>
  <c r="J3434" i="4"/>
  <c r="K3434" i="4"/>
  <c r="N3434" i="4" s="1"/>
  <c r="L3434" i="4"/>
  <c r="M3434" i="4"/>
  <c r="O3433" i="4"/>
  <c r="U3433" i="4" s="1"/>
  <c r="X3432" i="4" l="1"/>
  <c r="Y3432" i="4" s="1"/>
  <c r="R3433" i="4"/>
  <c r="W3433" i="4" s="1"/>
  <c r="Q3433" i="4"/>
  <c r="V3433" i="4" s="1"/>
  <c r="S3433" i="4"/>
  <c r="P3433" i="4"/>
  <c r="T3434" i="4"/>
  <c r="O3434" i="4"/>
  <c r="U3434" i="4" s="1"/>
  <c r="J3435" i="4"/>
  <c r="L3435" i="4"/>
  <c r="M3435" i="4"/>
  <c r="K3435" i="4"/>
  <c r="N3435" i="4" s="1"/>
  <c r="X3433" i="4" l="1"/>
  <c r="Y3433" i="4" s="1"/>
  <c r="R3434" i="4"/>
  <c r="W3434" i="4" s="1"/>
  <c r="Q3434" i="4"/>
  <c r="V3434" i="4" s="1"/>
  <c r="S3434" i="4"/>
  <c r="P3434" i="4"/>
  <c r="T3435" i="4"/>
  <c r="J3436" i="4"/>
  <c r="K3436" i="4"/>
  <c r="N3436" i="4" s="1"/>
  <c r="L3436" i="4"/>
  <c r="M3436" i="4"/>
  <c r="O3435" i="4"/>
  <c r="U3435" i="4" s="1"/>
  <c r="X3434" i="4" l="1"/>
  <c r="Y3434" i="4" s="1"/>
  <c r="R3435" i="4"/>
  <c r="W3435" i="4" s="1"/>
  <c r="Q3435" i="4"/>
  <c r="V3435" i="4" s="1"/>
  <c r="S3435" i="4"/>
  <c r="P3435" i="4"/>
  <c r="T3436" i="4"/>
  <c r="O3436" i="4"/>
  <c r="U3436" i="4" s="1"/>
  <c r="J3437" i="4"/>
  <c r="L3437" i="4"/>
  <c r="M3437" i="4"/>
  <c r="K3437" i="4"/>
  <c r="N3437" i="4" s="1"/>
  <c r="X3435" i="4" l="1"/>
  <c r="Y3435" i="4" s="1"/>
  <c r="R3436" i="4"/>
  <c r="W3436" i="4" s="1"/>
  <c r="Q3436" i="4"/>
  <c r="V3436" i="4" s="1"/>
  <c r="S3436" i="4"/>
  <c r="P3436" i="4"/>
  <c r="T3437" i="4"/>
  <c r="J3438" i="4"/>
  <c r="K3438" i="4"/>
  <c r="N3438" i="4" s="1"/>
  <c r="L3438" i="4"/>
  <c r="M3438" i="4"/>
  <c r="O3437" i="4"/>
  <c r="U3437" i="4" s="1"/>
  <c r="X3436" i="4" l="1"/>
  <c r="Y3436" i="4" s="1"/>
  <c r="R3437" i="4"/>
  <c r="W3437" i="4" s="1"/>
  <c r="Q3437" i="4"/>
  <c r="V3437" i="4" s="1"/>
  <c r="S3437" i="4"/>
  <c r="P3437" i="4"/>
  <c r="T3438" i="4"/>
  <c r="O3438" i="4"/>
  <c r="U3438" i="4" s="1"/>
  <c r="J3439" i="4"/>
  <c r="L3439" i="4"/>
  <c r="M3439" i="4"/>
  <c r="K3439" i="4"/>
  <c r="N3439" i="4" s="1"/>
  <c r="X3437" i="4" l="1"/>
  <c r="Y3437" i="4" s="1"/>
  <c r="R3438" i="4"/>
  <c r="W3438" i="4" s="1"/>
  <c r="Q3438" i="4"/>
  <c r="V3438" i="4" s="1"/>
  <c r="S3438" i="4"/>
  <c r="P3438" i="4"/>
  <c r="T3439" i="4"/>
  <c r="J3440" i="4"/>
  <c r="K3440" i="4"/>
  <c r="N3440" i="4" s="1"/>
  <c r="T3440" i="4" s="1"/>
  <c r="L3440" i="4"/>
  <c r="M3440" i="4"/>
  <c r="O3439" i="4"/>
  <c r="X3438" i="4" l="1"/>
  <c r="Y3438" i="4" s="1"/>
  <c r="Q3440" i="4"/>
  <c r="V3440" i="4" s="1"/>
  <c r="S3440" i="4"/>
  <c r="Q3439" i="4"/>
  <c r="V3439" i="4" s="1"/>
  <c r="S3439" i="4"/>
  <c r="P3439" i="4"/>
  <c r="U3439" i="4"/>
  <c r="O3440" i="4"/>
  <c r="U3440" i="4" s="1"/>
  <c r="J3441" i="4"/>
  <c r="L3441" i="4"/>
  <c r="M3441" i="4"/>
  <c r="K3441" i="4"/>
  <c r="N3441" i="4" s="1"/>
  <c r="T3441" i="4" s="1"/>
  <c r="R3439" i="4" l="1"/>
  <c r="W3439" i="4" s="1"/>
  <c r="X3439" i="4" s="1"/>
  <c r="Y3439" i="4" s="1"/>
  <c r="R3440" i="4"/>
  <c r="W3440" i="4" s="1"/>
  <c r="X3440" i="4" s="1"/>
  <c r="Y3440" i="4" s="1"/>
  <c r="Q3441" i="4"/>
  <c r="V3441" i="4" s="1"/>
  <c r="S3441" i="4"/>
  <c r="P3440" i="4"/>
  <c r="J3442" i="4"/>
  <c r="K3442" i="4"/>
  <c r="N3442" i="4" s="1"/>
  <c r="L3442" i="4"/>
  <c r="M3442" i="4"/>
  <c r="O3441" i="4"/>
  <c r="U3441" i="4" s="1"/>
  <c r="R3441" i="4" l="1"/>
  <c r="W3441" i="4" s="1"/>
  <c r="X3441" i="4" s="1"/>
  <c r="Y3441" i="4" s="1"/>
  <c r="P3441" i="4"/>
  <c r="T3442" i="4"/>
  <c r="O3442" i="4"/>
  <c r="J3443" i="4"/>
  <c r="L3443" i="4"/>
  <c r="M3443" i="4"/>
  <c r="K3443" i="4"/>
  <c r="N3443" i="4" s="1"/>
  <c r="Q3442" i="4" l="1"/>
  <c r="V3442" i="4" s="1"/>
  <c r="S3442" i="4"/>
  <c r="P3442" i="4"/>
  <c r="T3443" i="4"/>
  <c r="U3442" i="4"/>
  <c r="O3443" i="4"/>
  <c r="U3443" i="4" s="1"/>
  <c r="J3444" i="4"/>
  <c r="K3444" i="4"/>
  <c r="N3444" i="4" s="1"/>
  <c r="L3444" i="4"/>
  <c r="M3444" i="4"/>
  <c r="R3442" i="4" l="1"/>
  <c r="W3442" i="4" s="1"/>
  <c r="X3442" i="4" s="1"/>
  <c r="Y3442" i="4" s="1"/>
  <c r="R3443" i="4"/>
  <c r="W3443" i="4" s="1"/>
  <c r="Q3443" i="4"/>
  <c r="V3443" i="4" s="1"/>
  <c r="S3443" i="4"/>
  <c r="P3443" i="4"/>
  <c r="T3444" i="4"/>
  <c r="O3444" i="4"/>
  <c r="U3444" i="4" s="1"/>
  <c r="J3445" i="4"/>
  <c r="L3445" i="4"/>
  <c r="M3445" i="4"/>
  <c r="K3445" i="4"/>
  <c r="N3445" i="4" s="1"/>
  <c r="X3443" i="4" l="1"/>
  <c r="Y3443" i="4" s="1"/>
  <c r="R3444" i="4"/>
  <c r="W3444" i="4" s="1"/>
  <c r="Q3444" i="4"/>
  <c r="V3444" i="4" s="1"/>
  <c r="S3444" i="4"/>
  <c r="P3444" i="4"/>
  <c r="T3445" i="4"/>
  <c r="J3446" i="4"/>
  <c r="K3446" i="4"/>
  <c r="N3446" i="4" s="1"/>
  <c r="L3446" i="4"/>
  <c r="M3446" i="4"/>
  <c r="O3445" i="4"/>
  <c r="U3445" i="4" s="1"/>
  <c r="X3444" i="4" l="1"/>
  <c r="Y3444" i="4" s="1"/>
  <c r="R3445" i="4"/>
  <c r="W3445" i="4" s="1"/>
  <c r="Q3445" i="4"/>
  <c r="V3445" i="4" s="1"/>
  <c r="S3445" i="4"/>
  <c r="P3445" i="4"/>
  <c r="T3446" i="4"/>
  <c r="O3446" i="4"/>
  <c r="U3446" i="4" s="1"/>
  <c r="J3447" i="4"/>
  <c r="L3447" i="4"/>
  <c r="M3447" i="4"/>
  <c r="K3447" i="4"/>
  <c r="N3447" i="4" s="1"/>
  <c r="X3445" i="4" l="1"/>
  <c r="Y3445" i="4" s="1"/>
  <c r="R3446" i="4"/>
  <c r="W3446" i="4" s="1"/>
  <c r="Q3446" i="4"/>
  <c r="V3446" i="4" s="1"/>
  <c r="S3446" i="4"/>
  <c r="P3446" i="4"/>
  <c r="T3447" i="4"/>
  <c r="J3448" i="4"/>
  <c r="K3448" i="4"/>
  <c r="N3448" i="4" s="1"/>
  <c r="L3448" i="4"/>
  <c r="M3448" i="4"/>
  <c r="O3447" i="4"/>
  <c r="U3447" i="4" s="1"/>
  <c r="X3446" i="4" l="1"/>
  <c r="Y3446" i="4" s="1"/>
  <c r="R3447" i="4"/>
  <c r="W3447" i="4" s="1"/>
  <c r="Q3447" i="4"/>
  <c r="V3447" i="4" s="1"/>
  <c r="S3447" i="4"/>
  <c r="P3447" i="4"/>
  <c r="T3448" i="4"/>
  <c r="O3448" i="4"/>
  <c r="U3448" i="4" s="1"/>
  <c r="J3449" i="4"/>
  <c r="L3449" i="4"/>
  <c r="M3449" i="4"/>
  <c r="K3449" i="4"/>
  <c r="N3449" i="4" s="1"/>
  <c r="X3447" i="4" l="1"/>
  <c r="Y3447" i="4" s="1"/>
  <c r="R3448" i="4"/>
  <c r="W3448" i="4" s="1"/>
  <c r="Q3448" i="4"/>
  <c r="V3448" i="4" s="1"/>
  <c r="S3448" i="4"/>
  <c r="P3448" i="4"/>
  <c r="T3449" i="4"/>
  <c r="J3450" i="4"/>
  <c r="K3450" i="4"/>
  <c r="N3450" i="4" s="1"/>
  <c r="L3450" i="4"/>
  <c r="M3450" i="4"/>
  <c r="O3449" i="4"/>
  <c r="U3449" i="4" s="1"/>
  <c r="X3448" i="4" l="1"/>
  <c r="Y3448" i="4" s="1"/>
  <c r="R3449" i="4"/>
  <c r="W3449" i="4" s="1"/>
  <c r="Q3449" i="4"/>
  <c r="V3449" i="4" s="1"/>
  <c r="S3449" i="4"/>
  <c r="P3449" i="4"/>
  <c r="T3450" i="4"/>
  <c r="O3450" i="4"/>
  <c r="U3450" i="4" s="1"/>
  <c r="J3451" i="4"/>
  <c r="L3451" i="4"/>
  <c r="M3451" i="4"/>
  <c r="K3451" i="4"/>
  <c r="N3451" i="4" s="1"/>
  <c r="X3449" i="4" l="1"/>
  <c r="Y3449" i="4" s="1"/>
  <c r="R3450" i="4"/>
  <c r="W3450" i="4" s="1"/>
  <c r="Q3450" i="4"/>
  <c r="V3450" i="4" s="1"/>
  <c r="S3450" i="4"/>
  <c r="P3450" i="4"/>
  <c r="T3451" i="4"/>
  <c r="J3452" i="4"/>
  <c r="K3452" i="4"/>
  <c r="N3452" i="4" s="1"/>
  <c r="T3452" i="4" s="1"/>
  <c r="L3452" i="4"/>
  <c r="M3452" i="4"/>
  <c r="O3451" i="4"/>
  <c r="U3451" i="4" s="1"/>
  <c r="X3450" i="4" l="1"/>
  <c r="Y3450" i="4" s="1"/>
  <c r="R3451" i="4"/>
  <c r="W3451" i="4" s="1"/>
  <c r="Q3451" i="4"/>
  <c r="V3451" i="4" s="1"/>
  <c r="S3451" i="4"/>
  <c r="Q3452" i="4"/>
  <c r="V3452" i="4" s="1"/>
  <c r="S3452" i="4"/>
  <c r="P3451" i="4"/>
  <c r="O3452" i="4"/>
  <c r="J3453" i="4"/>
  <c r="L3453" i="4"/>
  <c r="M3453" i="4"/>
  <c r="K3453" i="4"/>
  <c r="N3453" i="4" s="1"/>
  <c r="X3451" i="4" l="1"/>
  <c r="Y3451" i="4" s="1"/>
  <c r="P3452" i="4"/>
  <c r="U3452" i="4"/>
  <c r="T3453" i="4"/>
  <c r="J3454" i="4"/>
  <c r="K3454" i="4"/>
  <c r="N3454" i="4" s="1"/>
  <c r="T3454" i="4" s="1"/>
  <c r="L3454" i="4"/>
  <c r="M3454" i="4"/>
  <c r="O3453" i="4"/>
  <c r="R3452" i="4" l="1"/>
  <c r="W3452" i="4" s="1"/>
  <c r="X3452" i="4" s="1"/>
  <c r="Y3452" i="4" s="1"/>
  <c r="Q3453" i="4"/>
  <c r="V3453" i="4" s="1"/>
  <c r="S3453" i="4"/>
  <c r="Q3454" i="4"/>
  <c r="V3454" i="4" s="1"/>
  <c r="S3454" i="4"/>
  <c r="P3453" i="4"/>
  <c r="U3453" i="4"/>
  <c r="O3454" i="4"/>
  <c r="U3454" i="4" s="1"/>
  <c r="J3455" i="4"/>
  <c r="L3455" i="4"/>
  <c r="M3455" i="4"/>
  <c r="K3455" i="4"/>
  <c r="N3455" i="4" s="1"/>
  <c r="T3455" i="4" s="1"/>
  <c r="R3454" i="4" l="1"/>
  <c r="W3454" i="4" s="1"/>
  <c r="X3454" i="4" s="1"/>
  <c r="Y3454" i="4" s="1"/>
  <c r="R3453" i="4"/>
  <c r="W3453" i="4" s="1"/>
  <c r="X3453" i="4" s="1"/>
  <c r="Y3453" i="4" s="1"/>
  <c r="Q3455" i="4"/>
  <c r="V3455" i="4" s="1"/>
  <c r="S3455" i="4"/>
  <c r="P3454" i="4"/>
  <c r="J3456" i="4"/>
  <c r="K3456" i="4"/>
  <c r="N3456" i="4" s="1"/>
  <c r="L3456" i="4"/>
  <c r="M3456" i="4"/>
  <c r="O3455" i="4"/>
  <c r="U3455" i="4" s="1"/>
  <c r="R3455" i="4" l="1"/>
  <c r="W3455" i="4" s="1"/>
  <c r="X3455" i="4" s="1"/>
  <c r="Y3455" i="4" s="1"/>
  <c r="P3455" i="4"/>
  <c r="T3456" i="4"/>
  <c r="O3456" i="4"/>
  <c r="U3456" i="4" s="1"/>
  <c r="J3457" i="4"/>
  <c r="L3457" i="4"/>
  <c r="M3457" i="4"/>
  <c r="K3457" i="4"/>
  <c r="N3457" i="4" s="1"/>
  <c r="T3457" i="4" s="1"/>
  <c r="R3456" i="4" l="1"/>
  <c r="W3456" i="4" s="1"/>
  <c r="Q3457" i="4"/>
  <c r="V3457" i="4" s="1"/>
  <c r="S3457" i="4"/>
  <c r="Q3456" i="4"/>
  <c r="V3456" i="4" s="1"/>
  <c r="S3456" i="4"/>
  <c r="P3456" i="4"/>
  <c r="J3458" i="4"/>
  <c r="K3458" i="4"/>
  <c r="N3458" i="4" s="1"/>
  <c r="L3458" i="4"/>
  <c r="M3458" i="4"/>
  <c r="O3457" i="4"/>
  <c r="X3456" i="4" l="1"/>
  <c r="Y3456" i="4" s="1"/>
  <c r="P3457" i="4"/>
  <c r="U3457" i="4"/>
  <c r="T3458" i="4"/>
  <c r="O3458" i="4"/>
  <c r="J3459" i="4"/>
  <c r="L3459" i="4"/>
  <c r="M3459" i="4"/>
  <c r="K3459" i="4"/>
  <c r="N3459" i="4" s="1"/>
  <c r="T3459" i="4" s="1"/>
  <c r="R3457" i="4" l="1"/>
  <c r="W3457" i="4" s="1"/>
  <c r="X3457" i="4" s="1"/>
  <c r="Y3457" i="4" s="1"/>
  <c r="Q3459" i="4"/>
  <c r="V3459" i="4" s="1"/>
  <c r="S3459" i="4"/>
  <c r="Q3458" i="4"/>
  <c r="V3458" i="4" s="1"/>
  <c r="S3458" i="4"/>
  <c r="P3458" i="4"/>
  <c r="U3458" i="4"/>
  <c r="J3460" i="4"/>
  <c r="K3460" i="4"/>
  <c r="N3460" i="4" s="1"/>
  <c r="L3460" i="4"/>
  <c r="M3460" i="4"/>
  <c r="O3459" i="4"/>
  <c r="U3459" i="4" s="1"/>
  <c r="R3459" i="4" l="1"/>
  <c r="W3459" i="4" s="1"/>
  <c r="X3459" i="4" s="1"/>
  <c r="Y3459" i="4" s="1"/>
  <c r="R3458" i="4"/>
  <c r="W3458" i="4" s="1"/>
  <c r="X3458" i="4" s="1"/>
  <c r="Y3458" i="4" s="1"/>
  <c r="P3459" i="4"/>
  <c r="T3460" i="4"/>
  <c r="O3460" i="4"/>
  <c r="U3460" i="4" s="1"/>
  <c r="J3461" i="4"/>
  <c r="L3461" i="4"/>
  <c r="M3461" i="4"/>
  <c r="K3461" i="4"/>
  <c r="N3461" i="4" s="1"/>
  <c r="R3460" i="4" l="1"/>
  <c r="W3460" i="4" s="1"/>
  <c r="Q3460" i="4"/>
  <c r="V3460" i="4" s="1"/>
  <c r="S3460" i="4"/>
  <c r="P3460" i="4"/>
  <c r="T3461" i="4"/>
  <c r="J3462" i="4"/>
  <c r="K3462" i="4"/>
  <c r="N3462" i="4" s="1"/>
  <c r="T3462" i="4" s="1"/>
  <c r="L3462" i="4"/>
  <c r="M3462" i="4"/>
  <c r="O3461" i="4"/>
  <c r="U3461" i="4" s="1"/>
  <c r="X3460" i="4" l="1"/>
  <c r="Y3460" i="4" s="1"/>
  <c r="R3461" i="4"/>
  <c r="W3461" i="4" s="1"/>
  <c r="Q3461" i="4"/>
  <c r="V3461" i="4" s="1"/>
  <c r="S3461" i="4"/>
  <c r="Q3462" i="4"/>
  <c r="V3462" i="4" s="1"/>
  <c r="S3462" i="4"/>
  <c r="P3461" i="4"/>
  <c r="O3462" i="4"/>
  <c r="U3462" i="4" s="1"/>
  <c r="J3463" i="4"/>
  <c r="L3463" i="4"/>
  <c r="M3463" i="4"/>
  <c r="K3463" i="4"/>
  <c r="N3463" i="4" s="1"/>
  <c r="X3461" i="4" l="1"/>
  <c r="Y3461" i="4" s="1"/>
  <c r="R3462" i="4"/>
  <c r="W3462" i="4" s="1"/>
  <c r="X3462" i="4" s="1"/>
  <c r="Y3462" i="4" s="1"/>
  <c r="P3462" i="4"/>
  <c r="T3463" i="4"/>
  <c r="J3464" i="4"/>
  <c r="K3464" i="4"/>
  <c r="N3464" i="4" s="1"/>
  <c r="L3464" i="4"/>
  <c r="M3464" i="4"/>
  <c r="O3463" i="4"/>
  <c r="U3463" i="4" s="1"/>
  <c r="R3463" i="4" l="1"/>
  <c r="W3463" i="4" s="1"/>
  <c r="Q3463" i="4"/>
  <c r="V3463" i="4" s="1"/>
  <c r="S3463" i="4"/>
  <c r="P3463" i="4"/>
  <c r="T3464" i="4"/>
  <c r="O3464" i="4"/>
  <c r="U3464" i="4" s="1"/>
  <c r="J3465" i="4"/>
  <c r="L3465" i="4"/>
  <c r="M3465" i="4"/>
  <c r="K3465" i="4"/>
  <c r="N3465" i="4" s="1"/>
  <c r="X3463" i="4" l="1"/>
  <c r="Y3463" i="4" s="1"/>
  <c r="R3464" i="4"/>
  <c r="W3464" i="4" s="1"/>
  <c r="Q3464" i="4"/>
  <c r="V3464" i="4" s="1"/>
  <c r="S3464" i="4"/>
  <c r="P3464" i="4"/>
  <c r="T3465" i="4"/>
  <c r="J3466" i="4"/>
  <c r="K3466" i="4"/>
  <c r="N3466" i="4" s="1"/>
  <c r="L3466" i="4"/>
  <c r="M3466" i="4"/>
  <c r="O3465" i="4"/>
  <c r="U3465" i="4" s="1"/>
  <c r="X3464" i="4" l="1"/>
  <c r="Y3464" i="4" s="1"/>
  <c r="R3465" i="4"/>
  <c r="W3465" i="4" s="1"/>
  <c r="Q3465" i="4"/>
  <c r="V3465" i="4" s="1"/>
  <c r="S3465" i="4"/>
  <c r="P3465" i="4"/>
  <c r="T3466" i="4"/>
  <c r="O3466" i="4"/>
  <c r="U3466" i="4" s="1"/>
  <c r="J3467" i="4"/>
  <c r="L3467" i="4"/>
  <c r="M3467" i="4"/>
  <c r="K3467" i="4"/>
  <c r="N3467" i="4" s="1"/>
  <c r="X3465" i="4" l="1"/>
  <c r="Y3465" i="4" s="1"/>
  <c r="R3466" i="4"/>
  <c r="W3466" i="4" s="1"/>
  <c r="Q3466" i="4"/>
  <c r="V3466" i="4" s="1"/>
  <c r="S3466" i="4"/>
  <c r="P3466" i="4"/>
  <c r="T3467" i="4"/>
  <c r="J3468" i="4"/>
  <c r="K3468" i="4"/>
  <c r="N3468" i="4" s="1"/>
  <c r="L3468" i="4"/>
  <c r="M3468" i="4"/>
  <c r="O3467" i="4"/>
  <c r="X3466" i="4" l="1"/>
  <c r="Y3466" i="4" s="1"/>
  <c r="Q3467" i="4"/>
  <c r="V3467" i="4" s="1"/>
  <c r="S3467" i="4"/>
  <c r="P3467" i="4"/>
  <c r="U3467" i="4"/>
  <c r="T3468" i="4"/>
  <c r="O3468" i="4"/>
  <c r="J3469" i="4"/>
  <c r="L3469" i="4"/>
  <c r="M3469" i="4"/>
  <c r="K3469" i="4"/>
  <c r="N3469" i="4" s="1"/>
  <c r="T3469" i="4" s="1"/>
  <c r="R3467" i="4" l="1"/>
  <c r="W3467" i="4" s="1"/>
  <c r="X3467" i="4" s="1"/>
  <c r="Y3467" i="4" s="1"/>
  <c r="Q3468" i="4"/>
  <c r="V3468" i="4" s="1"/>
  <c r="S3468" i="4"/>
  <c r="Q3469" i="4"/>
  <c r="V3469" i="4" s="1"/>
  <c r="S3469" i="4"/>
  <c r="P3468" i="4"/>
  <c r="U3468" i="4"/>
  <c r="J3470" i="4"/>
  <c r="K3470" i="4"/>
  <c r="N3470" i="4" s="1"/>
  <c r="L3470" i="4"/>
  <c r="M3470" i="4"/>
  <c r="O3469" i="4"/>
  <c r="U3469" i="4" s="1"/>
  <c r="R3469" i="4" l="1"/>
  <c r="W3469" i="4" s="1"/>
  <c r="X3469" i="4" s="1"/>
  <c r="Y3469" i="4" s="1"/>
  <c r="R3468" i="4"/>
  <c r="W3468" i="4" s="1"/>
  <c r="X3468" i="4" s="1"/>
  <c r="Y3468" i="4" s="1"/>
  <c r="P3469" i="4"/>
  <c r="T3470" i="4"/>
  <c r="O3470" i="4"/>
  <c r="U3470" i="4" s="1"/>
  <c r="J3471" i="4"/>
  <c r="L3471" i="4"/>
  <c r="M3471" i="4"/>
  <c r="K3471" i="4"/>
  <c r="N3471" i="4" s="1"/>
  <c r="R3470" i="4" l="1"/>
  <c r="W3470" i="4" s="1"/>
  <c r="Q3470" i="4"/>
  <c r="V3470" i="4" s="1"/>
  <c r="S3470" i="4"/>
  <c r="P3470" i="4"/>
  <c r="T3471" i="4"/>
  <c r="J3472" i="4"/>
  <c r="K3472" i="4"/>
  <c r="N3472" i="4" s="1"/>
  <c r="T3472" i="4" s="1"/>
  <c r="L3472" i="4"/>
  <c r="M3472" i="4"/>
  <c r="O3471" i="4"/>
  <c r="X3470" i="4" l="1"/>
  <c r="Y3470" i="4" s="1"/>
  <c r="Q3471" i="4"/>
  <c r="V3471" i="4" s="1"/>
  <c r="S3471" i="4"/>
  <c r="Q3472" i="4"/>
  <c r="V3472" i="4" s="1"/>
  <c r="S3472" i="4"/>
  <c r="P3471" i="4"/>
  <c r="U3471" i="4"/>
  <c r="O3472" i="4"/>
  <c r="J3473" i="4"/>
  <c r="L3473" i="4"/>
  <c r="M3473" i="4"/>
  <c r="K3473" i="4"/>
  <c r="N3473" i="4" s="1"/>
  <c r="T3473" i="4" s="1"/>
  <c r="R3471" i="4" l="1"/>
  <c r="W3471" i="4" s="1"/>
  <c r="X3471" i="4" s="1"/>
  <c r="Y3471" i="4" s="1"/>
  <c r="Q3473" i="4"/>
  <c r="V3473" i="4" s="1"/>
  <c r="S3473" i="4"/>
  <c r="P3472" i="4"/>
  <c r="U3472" i="4"/>
  <c r="J3474" i="4"/>
  <c r="K3474" i="4"/>
  <c r="N3474" i="4" s="1"/>
  <c r="T3474" i="4" s="1"/>
  <c r="L3474" i="4"/>
  <c r="M3474" i="4"/>
  <c r="O3473" i="4"/>
  <c r="U3473" i="4" s="1"/>
  <c r="R3473" i="4" l="1"/>
  <c r="W3473" i="4" s="1"/>
  <c r="X3473" i="4" s="1"/>
  <c r="Y3473" i="4" s="1"/>
  <c r="R3472" i="4"/>
  <c r="W3472" i="4" s="1"/>
  <c r="X3472" i="4" s="1"/>
  <c r="Y3472" i="4" s="1"/>
  <c r="Q3474" i="4"/>
  <c r="V3474" i="4" s="1"/>
  <c r="S3474" i="4"/>
  <c r="P3473" i="4"/>
  <c r="O3474" i="4"/>
  <c r="J3475" i="4"/>
  <c r="L3475" i="4"/>
  <c r="M3475" i="4"/>
  <c r="K3475" i="4"/>
  <c r="N3475" i="4" s="1"/>
  <c r="P3474" i="4" l="1"/>
  <c r="U3474" i="4"/>
  <c r="T3475" i="4"/>
  <c r="J3476" i="4"/>
  <c r="K3476" i="4"/>
  <c r="N3476" i="4" s="1"/>
  <c r="L3476" i="4"/>
  <c r="M3476" i="4"/>
  <c r="O3475" i="4"/>
  <c r="U3475" i="4" s="1"/>
  <c r="R3474" i="4" l="1"/>
  <c r="W3474" i="4" s="1"/>
  <c r="X3474" i="4" s="1"/>
  <c r="Y3474" i="4" s="1"/>
  <c r="R3475" i="4"/>
  <c r="W3475" i="4" s="1"/>
  <c r="Q3475" i="4"/>
  <c r="V3475" i="4" s="1"/>
  <c r="S3475" i="4"/>
  <c r="P3475" i="4"/>
  <c r="T3476" i="4"/>
  <c r="O3476" i="4"/>
  <c r="U3476" i="4" s="1"/>
  <c r="J3477" i="4"/>
  <c r="L3477" i="4"/>
  <c r="M3477" i="4"/>
  <c r="K3477" i="4"/>
  <c r="N3477" i="4" s="1"/>
  <c r="X3475" i="4" l="1"/>
  <c r="Y3475" i="4" s="1"/>
  <c r="R3476" i="4"/>
  <c r="W3476" i="4" s="1"/>
  <c r="Q3476" i="4"/>
  <c r="V3476" i="4" s="1"/>
  <c r="S3476" i="4"/>
  <c r="P3476" i="4"/>
  <c r="T3477" i="4"/>
  <c r="J3478" i="4"/>
  <c r="K3478" i="4"/>
  <c r="N3478" i="4" s="1"/>
  <c r="L3478" i="4"/>
  <c r="M3478" i="4"/>
  <c r="O3477" i="4"/>
  <c r="U3477" i="4" s="1"/>
  <c r="X3476" i="4" l="1"/>
  <c r="Y3476" i="4" s="1"/>
  <c r="R3477" i="4"/>
  <c r="W3477" i="4" s="1"/>
  <c r="Q3477" i="4"/>
  <c r="V3477" i="4" s="1"/>
  <c r="S3477" i="4"/>
  <c r="P3477" i="4"/>
  <c r="T3478" i="4"/>
  <c r="O3478" i="4"/>
  <c r="U3478" i="4" s="1"/>
  <c r="J3479" i="4"/>
  <c r="L3479" i="4"/>
  <c r="M3479" i="4"/>
  <c r="K3479" i="4"/>
  <c r="N3479" i="4" s="1"/>
  <c r="X3477" i="4" l="1"/>
  <c r="Y3477" i="4" s="1"/>
  <c r="R3478" i="4"/>
  <c r="W3478" i="4" s="1"/>
  <c r="Q3478" i="4"/>
  <c r="V3478" i="4" s="1"/>
  <c r="S3478" i="4"/>
  <c r="P3478" i="4"/>
  <c r="T3479" i="4"/>
  <c r="O3479" i="4"/>
  <c r="J3480" i="4"/>
  <c r="K3480" i="4"/>
  <c r="N3480" i="4" s="1"/>
  <c r="L3480" i="4"/>
  <c r="M3480" i="4"/>
  <c r="X3478" i="4" l="1"/>
  <c r="Y3478" i="4" s="1"/>
  <c r="Q3479" i="4"/>
  <c r="V3479" i="4" s="1"/>
  <c r="S3479" i="4"/>
  <c r="P3479" i="4"/>
  <c r="U3479" i="4"/>
  <c r="T3480" i="4"/>
  <c r="O3480" i="4"/>
  <c r="U3480" i="4" s="1"/>
  <c r="J3481" i="4"/>
  <c r="L3481" i="4"/>
  <c r="M3481" i="4"/>
  <c r="K3481" i="4"/>
  <c r="N3481" i="4" s="1"/>
  <c r="R3480" i="4" l="1"/>
  <c r="W3480" i="4" s="1"/>
  <c r="R3479" i="4"/>
  <c r="W3479" i="4" s="1"/>
  <c r="X3479" i="4" s="1"/>
  <c r="Y3479" i="4" s="1"/>
  <c r="Q3480" i="4"/>
  <c r="V3480" i="4" s="1"/>
  <c r="S3480" i="4"/>
  <c r="P3480" i="4"/>
  <c r="T3481" i="4"/>
  <c r="J3482" i="4"/>
  <c r="K3482" i="4"/>
  <c r="N3482" i="4" s="1"/>
  <c r="L3482" i="4"/>
  <c r="M3482" i="4"/>
  <c r="O3481" i="4"/>
  <c r="X3480" i="4" l="1"/>
  <c r="Y3480" i="4" s="1"/>
  <c r="Q3481" i="4"/>
  <c r="V3481" i="4" s="1"/>
  <c r="S3481" i="4"/>
  <c r="P3481" i="4"/>
  <c r="U3481" i="4"/>
  <c r="T3482" i="4"/>
  <c r="O3482" i="4"/>
  <c r="J3483" i="4"/>
  <c r="L3483" i="4"/>
  <c r="M3483" i="4"/>
  <c r="K3483" i="4"/>
  <c r="N3483" i="4" s="1"/>
  <c r="R3481" i="4" l="1"/>
  <c r="W3481" i="4" s="1"/>
  <c r="X3481" i="4" s="1"/>
  <c r="Y3481" i="4" s="1"/>
  <c r="Q3482" i="4"/>
  <c r="V3482" i="4" s="1"/>
  <c r="S3482" i="4"/>
  <c r="T3483" i="4"/>
  <c r="P3482" i="4"/>
  <c r="U3482" i="4"/>
  <c r="J3484" i="4"/>
  <c r="K3484" i="4"/>
  <c r="N3484" i="4" s="1"/>
  <c r="L3484" i="4"/>
  <c r="M3484" i="4"/>
  <c r="O3483" i="4"/>
  <c r="U3483" i="4" s="1"/>
  <c r="R3483" i="4" l="1"/>
  <c r="W3483" i="4" s="1"/>
  <c r="R3482" i="4"/>
  <c r="W3482" i="4" s="1"/>
  <c r="X3482" i="4" s="1"/>
  <c r="Y3482" i="4" s="1"/>
  <c r="Q3483" i="4"/>
  <c r="V3483" i="4" s="1"/>
  <c r="S3483" i="4"/>
  <c r="P3483" i="4"/>
  <c r="T3484" i="4"/>
  <c r="O3484" i="4"/>
  <c r="U3484" i="4" s="1"/>
  <c r="J3485" i="4"/>
  <c r="L3485" i="4"/>
  <c r="M3485" i="4"/>
  <c r="K3485" i="4"/>
  <c r="N3485" i="4" s="1"/>
  <c r="X3483" i="4" l="1"/>
  <c r="Y3483" i="4" s="1"/>
  <c r="R3484" i="4"/>
  <c r="W3484" i="4" s="1"/>
  <c r="Q3484" i="4"/>
  <c r="V3484" i="4" s="1"/>
  <c r="S3484" i="4"/>
  <c r="P3484" i="4"/>
  <c r="T3485" i="4"/>
  <c r="J3486" i="4"/>
  <c r="K3486" i="4"/>
  <c r="N3486" i="4" s="1"/>
  <c r="L3486" i="4"/>
  <c r="M3486" i="4"/>
  <c r="O3485" i="4"/>
  <c r="U3485" i="4" s="1"/>
  <c r="X3484" i="4" l="1"/>
  <c r="Y3484" i="4" s="1"/>
  <c r="R3485" i="4"/>
  <c r="W3485" i="4" s="1"/>
  <c r="Q3485" i="4"/>
  <c r="V3485" i="4" s="1"/>
  <c r="S3485" i="4"/>
  <c r="P3485" i="4"/>
  <c r="T3486" i="4"/>
  <c r="O3486" i="4"/>
  <c r="U3486" i="4" s="1"/>
  <c r="J3487" i="4"/>
  <c r="L3487" i="4"/>
  <c r="M3487" i="4"/>
  <c r="K3487" i="4"/>
  <c r="N3487" i="4" s="1"/>
  <c r="T3487" i="4" s="1"/>
  <c r="X3485" i="4" l="1"/>
  <c r="Y3485" i="4" s="1"/>
  <c r="R3486" i="4"/>
  <c r="W3486" i="4" s="1"/>
  <c r="Q3486" i="4"/>
  <c r="V3486" i="4" s="1"/>
  <c r="S3486" i="4"/>
  <c r="Q3487" i="4"/>
  <c r="V3487" i="4" s="1"/>
  <c r="S3487" i="4"/>
  <c r="P3486" i="4"/>
  <c r="O3487" i="4"/>
  <c r="J3488" i="4"/>
  <c r="K3488" i="4"/>
  <c r="N3488" i="4" s="1"/>
  <c r="L3488" i="4"/>
  <c r="M3488" i="4"/>
  <c r="X3486" i="4" l="1"/>
  <c r="Y3486" i="4" s="1"/>
  <c r="P3487" i="4"/>
  <c r="U3487" i="4"/>
  <c r="T3488" i="4"/>
  <c r="O3488" i="4"/>
  <c r="U3488" i="4" s="1"/>
  <c r="J3489" i="4"/>
  <c r="L3489" i="4"/>
  <c r="M3489" i="4"/>
  <c r="K3489" i="4"/>
  <c r="N3489" i="4" s="1"/>
  <c r="T3489" i="4" s="1"/>
  <c r="R3488" i="4" l="1"/>
  <c r="W3488" i="4" s="1"/>
  <c r="R3487" i="4"/>
  <c r="W3487" i="4" s="1"/>
  <c r="X3487" i="4" s="1"/>
  <c r="Y3487" i="4" s="1"/>
  <c r="Q3488" i="4"/>
  <c r="V3488" i="4" s="1"/>
  <c r="S3488" i="4"/>
  <c r="Q3489" i="4"/>
  <c r="V3489" i="4" s="1"/>
  <c r="S3489" i="4"/>
  <c r="P3488" i="4"/>
  <c r="O3489" i="4"/>
  <c r="J3490" i="4"/>
  <c r="K3490" i="4"/>
  <c r="N3490" i="4" s="1"/>
  <c r="T3490" i="4" s="1"/>
  <c r="L3490" i="4"/>
  <c r="M3490" i="4"/>
  <c r="X3488" i="4" l="1"/>
  <c r="Y3488" i="4" s="1"/>
  <c r="Q3490" i="4"/>
  <c r="V3490" i="4" s="1"/>
  <c r="S3490" i="4"/>
  <c r="P3489" i="4"/>
  <c r="U3489" i="4"/>
  <c r="O3490" i="4"/>
  <c r="J3491" i="4"/>
  <c r="L3491" i="4"/>
  <c r="M3491" i="4"/>
  <c r="K3491" i="4"/>
  <c r="N3491" i="4" s="1"/>
  <c r="R3489" i="4" l="1"/>
  <c r="W3489" i="4" s="1"/>
  <c r="X3489" i="4" s="1"/>
  <c r="Y3489" i="4" s="1"/>
  <c r="T3491" i="4"/>
  <c r="P3490" i="4"/>
  <c r="U3490" i="4"/>
  <c r="J3492" i="4"/>
  <c r="K3492" i="4"/>
  <c r="N3492" i="4" s="1"/>
  <c r="L3492" i="4"/>
  <c r="M3492" i="4"/>
  <c r="O3491" i="4"/>
  <c r="U3491" i="4" s="1"/>
  <c r="R3491" i="4" l="1"/>
  <c r="W3491" i="4" s="1"/>
  <c r="R3490" i="4"/>
  <c r="W3490" i="4" s="1"/>
  <c r="X3490" i="4" s="1"/>
  <c r="Y3490" i="4" s="1"/>
  <c r="Q3491" i="4"/>
  <c r="V3491" i="4" s="1"/>
  <c r="S3491" i="4"/>
  <c r="P3491" i="4"/>
  <c r="T3492" i="4"/>
  <c r="O3492" i="4"/>
  <c r="J3493" i="4"/>
  <c r="L3493" i="4"/>
  <c r="M3493" i="4"/>
  <c r="K3493" i="4"/>
  <c r="N3493" i="4" s="1"/>
  <c r="X3491" i="4" l="1"/>
  <c r="Y3491" i="4" s="1"/>
  <c r="Q3492" i="4"/>
  <c r="V3492" i="4" s="1"/>
  <c r="S3492" i="4"/>
  <c r="P3492" i="4"/>
  <c r="U3492" i="4"/>
  <c r="T3493" i="4"/>
  <c r="J3494" i="4"/>
  <c r="K3494" i="4"/>
  <c r="N3494" i="4" s="1"/>
  <c r="T3494" i="4" s="1"/>
  <c r="L3494" i="4"/>
  <c r="M3494" i="4"/>
  <c r="O3493" i="4"/>
  <c r="R3492" i="4" l="1"/>
  <c r="W3492" i="4" s="1"/>
  <c r="X3492" i="4" s="1"/>
  <c r="Y3492" i="4" s="1"/>
  <c r="Q3494" i="4"/>
  <c r="V3494" i="4" s="1"/>
  <c r="S3494" i="4"/>
  <c r="Q3493" i="4"/>
  <c r="V3493" i="4" s="1"/>
  <c r="S3493" i="4"/>
  <c r="P3493" i="4"/>
  <c r="U3493" i="4"/>
  <c r="O3494" i="4"/>
  <c r="J3495" i="4"/>
  <c r="L3495" i="4"/>
  <c r="M3495" i="4"/>
  <c r="K3495" i="4"/>
  <c r="N3495" i="4" s="1"/>
  <c r="R3493" i="4" l="1"/>
  <c r="W3493" i="4" s="1"/>
  <c r="X3493" i="4" s="1"/>
  <c r="Y3493" i="4" s="1"/>
  <c r="P3494" i="4"/>
  <c r="U3494" i="4"/>
  <c r="T3495" i="4"/>
  <c r="J3496" i="4"/>
  <c r="K3496" i="4"/>
  <c r="N3496" i="4" s="1"/>
  <c r="T3496" i="4" s="1"/>
  <c r="L3496" i="4"/>
  <c r="M3496" i="4"/>
  <c r="O3495" i="4"/>
  <c r="R3494" i="4" l="1"/>
  <c r="W3494" i="4" s="1"/>
  <c r="X3494" i="4" s="1"/>
  <c r="Y3494" i="4" s="1"/>
  <c r="Q3495" i="4"/>
  <c r="V3495" i="4" s="1"/>
  <c r="S3495" i="4"/>
  <c r="Q3496" i="4"/>
  <c r="V3496" i="4" s="1"/>
  <c r="S3496" i="4"/>
  <c r="P3495" i="4"/>
  <c r="U3495" i="4"/>
  <c r="O3496" i="4"/>
  <c r="U3496" i="4" s="1"/>
  <c r="J3497" i="4"/>
  <c r="L3497" i="4"/>
  <c r="M3497" i="4"/>
  <c r="K3497" i="4"/>
  <c r="N3497" i="4" s="1"/>
  <c r="R3496" i="4" l="1"/>
  <c r="W3496" i="4" s="1"/>
  <c r="X3496" i="4" s="1"/>
  <c r="Y3496" i="4" s="1"/>
  <c r="R3495" i="4"/>
  <c r="W3495" i="4" s="1"/>
  <c r="X3495" i="4" s="1"/>
  <c r="Y3495" i="4" s="1"/>
  <c r="P3496" i="4"/>
  <c r="T3497" i="4"/>
  <c r="O3497" i="4"/>
  <c r="U3497" i="4" s="1"/>
  <c r="J3498" i="4"/>
  <c r="K3498" i="4"/>
  <c r="N3498" i="4" s="1"/>
  <c r="L3498" i="4"/>
  <c r="M3498" i="4"/>
  <c r="R3497" i="4" l="1"/>
  <c r="W3497" i="4" s="1"/>
  <c r="Q3497" i="4"/>
  <c r="V3497" i="4" s="1"/>
  <c r="S3497" i="4"/>
  <c r="P3497" i="4"/>
  <c r="T3498" i="4"/>
  <c r="O3498" i="4"/>
  <c r="U3498" i="4" s="1"/>
  <c r="J3499" i="4"/>
  <c r="L3499" i="4"/>
  <c r="M3499" i="4"/>
  <c r="K3499" i="4"/>
  <c r="N3499" i="4" s="1"/>
  <c r="X3497" i="4" l="1"/>
  <c r="Y3497" i="4" s="1"/>
  <c r="R3498" i="4"/>
  <c r="W3498" i="4" s="1"/>
  <c r="Q3498" i="4"/>
  <c r="V3498" i="4" s="1"/>
  <c r="S3498" i="4"/>
  <c r="P3498" i="4"/>
  <c r="T3499" i="4"/>
  <c r="J3500" i="4"/>
  <c r="K3500" i="4"/>
  <c r="N3500" i="4" s="1"/>
  <c r="L3500" i="4"/>
  <c r="M3500" i="4"/>
  <c r="O3499" i="4"/>
  <c r="U3499" i="4" s="1"/>
  <c r="X3498" i="4" l="1"/>
  <c r="Y3498" i="4" s="1"/>
  <c r="R3499" i="4"/>
  <c r="W3499" i="4" s="1"/>
  <c r="Q3499" i="4"/>
  <c r="V3499" i="4" s="1"/>
  <c r="S3499" i="4"/>
  <c r="P3499" i="4"/>
  <c r="T3500" i="4"/>
  <c r="O3500" i="4"/>
  <c r="J3501" i="4"/>
  <c r="L3501" i="4"/>
  <c r="M3501" i="4"/>
  <c r="K3501" i="4"/>
  <c r="N3501" i="4" s="1"/>
  <c r="X3499" i="4" l="1"/>
  <c r="Y3499" i="4" s="1"/>
  <c r="Q3500" i="4"/>
  <c r="V3500" i="4" s="1"/>
  <c r="S3500" i="4"/>
  <c r="P3500" i="4"/>
  <c r="U3500" i="4"/>
  <c r="T3501" i="4"/>
  <c r="J3502" i="4"/>
  <c r="K3502" i="4"/>
  <c r="N3502" i="4" s="1"/>
  <c r="L3502" i="4"/>
  <c r="M3502" i="4"/>
  <c r="O3501" i="4"/>
  <c r="U3501" i="4" s="1"/>
  <c r="R3501" i="4" l="1"/>
  <c r="W3501" i="4" s="1"/>
  <c r="R3500" i="4"/>
  <c r="W3500" i="4" s="1"/>
  <c r="X3500" i="4" s="1"/>
  <c r="Y3500" i="4" s="1"/>
  <c r="Q3501" i="4"/>
  <c r="V3501" i="4" s="1"/>
  <c r="S3501" i="4"/>
  <c r="P3501" i="4"/>
  <c r="T3502" i="4"/>
  <c r="O3502" i="4"/>
  <c r="U3502" i="4" s="1"/>
  <c r="J3503" i="4"/>
  <c r="L3503" i="4"/>
  <c r="M3503" i="4"/>
  <c r="K3503" i="4"/>
  <c r="N3503" i="4" s="1"/>
  <c r="X3501" i="4" l="1"/>
  <c r="Y3501" i="4" s="1"/>
  <c r="R3502" i="4"/>
  <c r="W3502" i="4" s="1"/>
  <c r="Q3502" i="4"/>
  <c r="V3502" i="4" s="1"/>
  <c r="S3502" i="4"/>
  <c r="P3502" i="4"/>
  <c r="T3503" i="4"/>
  <c r="J3504" i="4"/>
  <c r="K3504" i="4"/>
  <c r="N3504" i="4" s="1"/>
  <c r="T3504" i="4" s="1"/>
  <c r="L3504" i="4"/>
  <c r="M3504" i="4"/>
  <c r="O3503" i="4"/>
  <c r="U3503" i="4" s="1"/>
  <c r="X3502" i="4" l="1"/>
  <c r="Y3502" i="4" s="1"/>
  <c r="R3503" i="4"/>
  <c r="W3503" i="4" s="1"/>
  <c r="Q3503" i="4"/>
  <c r="V3503" i="4" s="1"/>
  <c r="S3503" i="4"/>
  <c r="Q3504" i="4"/>
  <c r="V3504" i="4" s="1"/>
  <c r="S3504" i="4"/>
  <c r="P3503" i="4"/>
  <c r="O3504" i="4"/>
  <c r="J3505" i="4"/>
  <c r="L3505" i="4"/>
  <c r="M3505" i="4"/>
  <c r="K3505" i="4"/>
  <c r="N3505" i="4" s="1"/>
  <c r="X3503" i="4" l="1"/>
  <c r="Y3503" i="4" s="1"/>
  <c r="P3504" i="4"/>
  <c r="U3504" i="4"/>
  <c r="T3505" i="4"/>
  <c r="J3506" i="4"/>
  <c r="K3506" i="4"/>
  <c r="N3506" i="4" s="1"/>
  <c r="T3506" i="4" s="1"/>
  <c r="L3506" i="4"/>
  <c r="M3506" i="4"/>
  <c r="O3505" i="4"/>
  <c r="R3504" i="4" l="1"/>
  <c r="W3504" i="4" s="1"/>
  <c r="X3504" i="4" s="1"/>
  <c r="Y3504" i="4" s="1"/>
  <c r="Q3505" i="4"/>
  <c r="V3505" i="4" s="1"/>
  <c r="S3505" i="4"/>
  <c r="Q3506" i="4"/>
  <c r="V3506" i="4" s="1"/>
  <c r="S3506" i="4"/>
  <c r="P3505" i="4"/>
  <c r="U3505" i="4"/>
  <c r="O3506" i="4"/>
  <c r="U3506" i="4" s="1"/>
  <c r="J3507" i="4"/>
  <c r="L3507" i="4"/>
  <c r="M3507" i="4"/>
  <c r="K3507" i="4"/>
  <c r="N3507" i="4" s="1"/>
  <c r="R3506" i="4" l="1"/>
  <c r="W3506" i="4" s="1"/>
  <c r="X3506" i="4" s="1"/>
  <c r="Y3506" i="4" s="1"/>
  <c r="R3505" i="4"/>
  <c r="W3505" i="4" s="1"/>
  <c r="X3505" i="4" s="1"/>
  <c r="Y3505" i="4" s="1"/>
  <c r="P3506" i="4"/>
  <c r="T3507" i="4"/>
  <c r="J3508" i="4"/>
  <c r="K3508" i="4"/>
  <c r="N3508" i="4" s="1"/>
  <c r="L3508" i="4"/>
  <c r="M3508" i="4"/>
  <c r="O3507" i="4"/>
  <c r="U3507" i="4" s="1"/>
  <c r="R3507" i="4" l="1"/>
  <c r="W3507" i="4" s="1"/>
  <c r="Q3507" i="4"/>
  <c r="V3507" i="4" s="1"/>
  <c r="S3507" i="4"/>
  <c r="P3507" i="4"/>
  <c r="T3508" i="4"/>
  <c r="O3508" i="4"/>
  <c r="U3508" i="4" s="1"/>
  <c r="J3509" i="4"/>
  <c r="L3509" i="4"/>
  <c r="M3509" i="4"/>
  <c r="K3509" i="4"/>
  <c r="N3509" i="4" s="1"/>
  <c r="X3507" i="4" l="1"/>
  <c r="Y3507" i="4" s="1"/>
  <c r="R3508" i="4"/>
  <c r="W3508" i="4" s="1"/>
  <c r="Q3508" i="4"/>
  <c r="V3508" i="4" s="1"/>
  <c r="S3508" i="4"/>
  <c r="P3508" i="4"/>
  <c r="T3509" i="4"/>
  <c r="J3510" i="4"/>
  <c r="K3510" i="4"/>
  <c r="N3510" i="4" s="1"/>
  <c r="L3510" i="4"/>
  <c r="M3510" i="4"/>
  <c r="O3509" i="4"/>
  <c r="U3509" i="4" s="1"/>
  <c r="X3508" i="4" l="1"/>
  <c r="Y3508" i="4" s="1"/>
  <c r="R3509" i="4"/>
  <c r="W3509" i="4" s="1"/>
  <c r="Q3509" i="4"/>
  <c r="V3509" i="4" s="1"/>
  <c r="S3509" i="4"/>
  <c r="P3509" i="4"/>
  <c r="T3510" i="4"/>
  <c r="O3510" i="4"/>
  <c r="U3510" i="4" s="1"/>
  <c r="J3511" i="4"/>
  <c r="L3511" i="4"/>
  <c r="M3511" i="4"/>
  <c r="K3511" i="4"/>
  <c r="N3511" i="4" s="1"/>
  <c r="X3509" i="4" l="1"/>
  <c r="Y3509" i="4" s="1"/>
  <c r="R3510" i="4"/>
  <c r="W3510" i="4" s="1"/>
  <c r="Q3510" i="4"/>
  <c r="V3510" i="4" s="1"/>
  <c r="S3510" i="4"/>
  <c r="P3510" i="4"/>
  <c r="T3511" i="4"/>
  <c r="J3512" i="4"/>
  <c r="K3512" i="4"/>
  <c r="N3512" i="4" s="1"/>
  <c r="L3512" i="4"/>
  <c r="M3512" i="4"/>
  <c r="O3511" i="4"/>
  <c r="U3511" i="4" s="1"/>
  <c r="X3510" i="4" l="1"/>
  <c r="Y3510" i="4" s="1"/>
  <c r="R3511" i="4"/>
  <c r="W3511" i="4" s="1"/>
  <c r="Q3511" i="4"/>
  <c r="V3511" i="4" s="1"/>
  <c r="S3511" i="4"/>
  <c r="P3511" i="4"/>
  <c r="T3512" i="4"/>
  <c r="O3512" i="4"/>
  <c r="U3512" i="4" s="1"/>
  <c r="J3513" i="4"/>
  <c r="L3513" i="4"/>
  <c r="M3513" i="4"/>
  <c r="K3513" i="4"/>
  <c r="N3513" i="4" s="1"/>
  <c r="X3511" i="4" l="1"/>
  <c r="Y3511" i="4" s="1"/>
  <c r="R3512" i="4"/>
  <c r="W3512" i="4" s="1"/>
  <c r="Q3512" i="4"/>
  <c r="V3512" i="4" s="1"/>
  <c r="S3512" i="4"/>
  <c r="P3512" i="4"/>
  <c r="T3513" i="4"/>
  <c r="J3514" i="4"/>
  <c r="K3514" i="4"/>
  <c r="N3514" i="4" s="1"/>
  <c r="L3514" i="4"/>
  <c r="M3514" i="4"/>
  <c r="O3513" i="4"/>
  <c r="X3512" i="4" l="1"/>
  <c r="Y3512" i="4" s="1"/>
  <c r="Q3513" i="4"/>
  <c r="V3513" i="4" s="1"/>
  <c r="S3513" i="4"/>
  <c r="P3513" i="4"/>
  <c r="U3513" i="4"/>
  <c r="T3514" i="4"/>
  <c r="O3514" i="4"/>
  <c r="J3515" i="4"/>
  <c r="L3515" i="4"/>
  <c r="M3515" i="4"/>
  <c r="K3515" i="4"/>
  <c r="N3515" i="4" s="1"/>
  <c r="T3515" i="4" s="1"/>
  <c r="R3513" i="4" l="1"/>
  <c r="W3513" i="4" s="1"/>
  <c r="X3513" i="4" s="1"/>
  <c r="Y3513" i="4" s="1"/>
  <c r="Q3515" i="4"/>
  <c r="V3515" i="4" s="1"/>
  <c r="S3515" i="4"/>
  <c r="Q3514" i="4"/>
  <c r="V3514" i="4" s="1"/>
  <c r="S3514" i="4"/>
  <c r="P3514" i="4"/>
  <c r="U3514" i="4"/>
  <c r="J3516" i="4"/>
  <c r="K3516" i="4"/>
  <c r="N3516" i="4" s="1"/>
  <c r="L3516" i="4"/>
  <c r="M3516" i="4"/>
  <c r="O3515" i="4"/>
  <c r="U3515" i="4" s="1"/>
  <c r="R3515" i="4" l="1"/>
  <c r="W3515" i="4" s="1"/>
  <c r="X3515" i="4" s="1"/>
  <c r="Y3515" i="4" s="1"/>
  <c r="R3514" i="4"/>
  <c r="W3514" i="4" s="1"/>
  <c r="X3514" i="4" s="1"/>
  <c r="Y3514" i="4" s="1"/>
  <c r="P3515" i="4"/>
  <c r="T3516" i="4"/>
  <c r="O3516" i="4"/>
  <c r="U3516" i="4" s="1"/>
  <c r="J3517" i="4"/>
  <c r="L3517" i="4"/>
  <c r="M3517" i="4"/>
  <c r="K3517" i="4"/>
  <c r="N3517" i="4" s="1"/>
  <c r="R3516" i="4" l="1"/>
  <c r="W3516" i="4" s="1"/>
  <c r="Q3516" i="4"/>
  <c r="V3516" i="4" s="1"/>
  <c r="S3516" i="4"/>
  <c r="P3516" i="4"/>
  <c r="T3517" i="4"/>
  <c r="J3518" i="4"/>
  <c r="K3518" i="4"/>
  <c r="N3518" i="4" s="1"/>
  <c r="L3518" i="4"/>
  <c r="M3518" i="4"/>
  <c r="O3517" i="4"/>
  <c r="U3517" i="4" s="1"/>
  <c r="X3516" i="4" l="1"/>
  <c r="Y3516" i="4" s="1"/>
  <c r="R3517" i="4"/>
  <c r="W3517" i="4" s="1"/>
  <c r="Q3517" i="4"/>
  <c r="V3517" i="4" s="1"/>
  <c r="S3517" i="4"/>
  <c r="P3517" i="4"/>
  <c r="T3518" i="4"/>
  <c r="O3518" i="4"/>
  <c r="U3518" i="4" s="1"/>
  <c r="J3519" i="4"/>
  <c r="L3519" i="4"/>
  <c r="M3519" i="4"/>
  <c r="K3519" i="4"/>
  <c r="N3519" i="4" s="1"/>
  <c r="X3517" i="4" l="1"/>
  <c r="Y3517" i="4" s="1"/>
  <c r="R3518" i="4"/>
  <c r="W3518" i="4" s="1"/>
  <c r="Q3518" i="4"/>
  <c r="V3518" i="4" s="1"/>
  <c r="S3518" i="4"/>
  <c r="P3518" i="4"/>
  <c r="T3519" i="4"/>
  <c r="J3520" i="4"/>
  <c r="K3520" i="4"/>
  <c r="N3520" i="4" s="1"/>
  <c r="L3520" i="4"/>
  <c r="M3520" i="4"/>
  <c r="O3519" i="4"/>
  <c r="U3519" i="4" s="1"/>
  <c r="X3518" i="4" l="1"/>
  <c r="Y3518" i="4" s="1"/>
  <c r="R3519" i="4"/>
  <c r="W3519" i="4" s="1"/>
  <c r="Q3519" i="4"/>
  <c r="V3519" i="4" s="1"/>
  <c r="S3519" i="4"/>
  <c r="P3519" i="4"/>
  <c r="T3520" i="4"/>
  <c r="O3520" i="4"/>
  <c r="U3520" i="4" s="1"/>
  <c r="J3521" i="4"/>
  <c r="L3521" i="4"/>
  <c r="M3521" i="4"/>
  <c r="K3521" i="4"/>
  <c r="N3521" i="4" s="1"/>
  <c r="X3519" i="4" l="1"/>
  <c r="Y3519" i="4" s="1"/>
  <c r="R3520" i="4"/>
  <c r="W3520" i="4" s="1"/>
  <c r="Q3520" i="4"/>
  <c r="V3520" i="4" s="1"/>
  <c r="S3520" i="4"/>
  <c r="P3520" i="4"/>
  <c r="T3521" i="4"/>
  <c r="J3522" i="4"/>
  <c r="K3522" i="4"/>
  <c r="N3522" i="4" s="1"/>
  <c r="L3522" i="4"/>
  <c r="M3522" i="4"/>
  <c r="O3521" i="4"/>
  <c r="U3521" i="4" s="1"/>
  <c r="X3520" i="4" l="1"/>
  <c r="Y3520" i="4" s="1"/>
  <c r="R3521" i="4"/>
  <c r="W3521" i="4" s="1"/>
  <c r="Q3521" i="4"/>
  <c r="V3521" i="4" s="1"/>
  <c r="S3521" i="4"/>
  <c r="P3521" i="4"/>
  <c r="T3522" i="4"/>
  <c r="O3522" i="4"/>
  <c r="U3522" i="4" s="1"/>
  <c r="J3523" i="4"/>
  <c r="L3523" i="4"/>
  <c r="M3523" i="4"/>
  <c r="K3523" i="4"/>
  <c r="N3523" i="4" s="1"/>
  <c r="X3521" i="4" l="1"/>
  <c r="Y3521" i="4" s="1"/>
  <c r="R3522" i="4"/>
  <c r="W3522" i="4" s="1"/>
  <c r="Q3522" i="4"/>
  <c r="V3522" i="4" s="1"/>
  <c r="S3522" i="4"/>
  <c r="P3522" i="4"/>
  <c r="T3523" i="4"/>
  <c r="J3524" i="4"/>
  <c r="K3524" i="4"/>
  <c r="N3524" i="4" s="1"/>
  <c r="L3524" i="4"/>
  <c r="M3524" i="4"/>
  <c r="O3523" i="4"/>
  <c r="U3523" i="4" s="1"/>
  <c r="X3522" i="4" l="1"/>
  <c r="Y3522" i="4" s="1"/>
  <c r="R3523" i="4"/>
  <c r="W3523" i="4" s="1"/>
  <c r="Q3523" i="4"/>
  <c r="V3523" i="4" s="1"/>
  <c r="S3523" i="4"/>
  <c r="P3523" i="4"/>
  <c r="T3524" i="4"/>
  <c r="O3524" i="4"/>
  <c r="U3524" i="4" s="1"/>
  <c r="J3525" i="4"/>
  <c r="L3525" i="4"/>
  <c r="M3525" i="4"/>
  <c r="K3525" i="4"/>
  <c r="N3525" i="4" s="1"/>
  <c r="X3523" i="4" l="1"/>
  <c r="Y3523" i="4" s="1"/>
  <c r="R3524" i="4"/>
  <c r="W3524" i="4" s="1"/>
  <c r="Q3524" i="4"/>
  <c r="V3524" i="4" s="1"/>
  <c r="S3524" i="4"/>
  <c r="P3524" i="4"/>
  <c r="T3525" i="4"/>
  <c r="J3526" i="4"/>
  <c r="L3526" i="4"/>
  <c r="M3526" i="4"/>
  <c r="K3526" i="4"/>
  <c r="N3526" i="4" s="1"/>
  <c r="O3525" i="4"/>
  <c r="U3525" i="4" s="1"/>
  <c r="X3524" i="4" l="1"/>
  <c r="Y3524" i="4" s="1"/>
  <c r="R3525" i="4"/>
  <c r="W3525" i="4" s="1"/>
  <c r="Q3525" i="4"/>
  <c r="V3525" i="4" s="1"/>
  <c r="S3525" i="4"/>
  <c r="P3525" i="4"/>
  <c r="T3526" i="4"/>
  <c r="O3526" i="4"/>
  <c r="J3527" i="4"/>
  <c r="K3527" i="4"/>
  <c r="N3527" i="4" s="1"/>
  <c r="T3527" i="4" s="1"/>
  <c r="L3527" i="4"/>
  <c r="M3527" i="4"/>
  <c r="X3525" i="4" l="1"/>
  <c r="Y3525" i="4" s="1"/>
  <c r="Q3526" i="4"/>
  <c r="V3526" i="4" s="1"/>
  <c r="S3526" i="4"/>
  <c r="Q3527" i="4"/>
  <c r="V3527" i="4" s="1"/>
  <c r="S3527" i="4"/>
  <c r="P3526" i="4"/>
  <c r="U3526" i="4"/>
  <c r="O3527" i="4"/>
  <c r="U3527" i="4" s="1"/>
  <c r="J3528" i="4"/>
  <c r="L3528" i="4"/>
  <c r="M3528" i="4"/>
  <c r="K3528" i="4"/>
  <c r="N3528" i="4" s="1"/>
  <c r="T3528" i="4" s="1"/>
  <c r="R3527" i="4" l="1"/>
  <c r="W3527" i="4" s="1"/>
  <c r="X3527" i="4" s="1"/>
  <c r="Y3527" i="4" s="1"/>
  <c r="R3526" i="4"/>
  <c r="W3526" i="4" s="1"/>
  <c r="X3526" i="4" s="1"/>
  <c r="Y3526" i="4" s="1"/>
  <c r="Q3528" i="4"/>
  <c r="V3528" i="4" s="1"/>
  <c r="S3528" i="4"/>
  <c r="P3527" i="4"/>
  <c r="J3529" i="4"/>
  <c r="K3529" i="4"/>
  <c r="N3529" i="4" s="1"/>
  <c r="T3529" i="4" s="1"/>
  <c r="L3529" i="4"/>
  <c r="M3529" i="4"/>
  <c r="O3528" i="4"/>
  <c r="U3528" i="4" s="1"/>
  <c r="R3528" i="4" l="1"/>
  <c r="W3528" i="4" s="1"/>
  <c r="X3528" i="4" s="1"/>
  <c r="Y3528" i="4" s="1"/>
  <c r="Q3529" i="4"/>
  <c r="V3529" i="4" s="1"/>
  <c r="S3529" i="4"/>
  <c r="P3528" i="4"/>
  <c r="O3529" i="4"/>
  <c r="J3530" i="4"/>
  <c r="L3530" i="4"/>
  <c r="M3530" i="4"/>
  <c r="K3530" i="4"/>
  <c r="N3530" i="4" s="1"/>
  <c r="P3529" i="4" l="1"/>
  <c r="U3529" i="4"/>
  <c r="T3530" i="4"/>
  <c r="J3531" i="4"/>
  <c r="K3531" i="4"/>
  <c r="N3531" i="4" s="1"/>
  <c r="L3531" i="4"/>
  <c r="M3531" i="4"/>
  <c r="O3530" i="4"/>
  <c r="U3530" i="4" s="1"/>
  <c r="R3529" i="4" l="1"/>
  <c r="W3529" i="4" s="1"/>
  <c r="X3529" i="4" s="1"/>
  <c r="Y3529" i="4" s="1"/>
  <c r="R3530" i="4"/>
  <c r="W3530" i="4" s="1"/>
  <c r="Q3530" i="4"/>
  <c r="V3530" i="4" s="1"/>
  <c r="S3530" i="4"/>
  <c r="T3531" i="4"/>
  <c r="P3530" i="4"/>
  <c r="O3531" i="4"/>
  <c r="U3531" i="4" s="1"/>
  <c r="J3532" i="4"/>
  <c r="L3532" i="4"/>
  <c r="M3532" i="4"/>
  <c r="K3532" i="4"/>
  <c r="N3532" i="4" s="1"/>
  <c r="X3530" i="4" l="1"/>
  <c r="Y3530" i="4" s="1"/>
  <c r="R3531" i="4"/>
  <c r="W3531" i="4" s="1"/>
  <c r="Q3531" i="4"/>
  <c r="V3531" i="4" s="1"/>
  <c r="S3531" i="4"/>
  <c r="P3531" i="4"/>
  <c r="T3532" i="4"/>
  <c r="J3533" i="4"/>
  <c r="K3533" i="4"/>
  <c r="N3533" i="4" s="1"/>
  <c r="L3533" i="4"/>
  <c r="M3533" i="4"/>
  <c r="O3532" i="4"/>
  <c r="U3532" i="4" s="1"/>
  <c r="X3531" i="4" l="1"/>
  <c r="Y3531" i="4" s="1"/>
  <c r="R3532" i="4"/>
  <c r="W3532" i="4" s="1"/>
  <c r="Q3532" i="4"/>
  <c r="V3532" i="4" s="1"/>
  <c r="S3532" i="4"/>
  <c r="P3532" i="4"/>
  <c r="T3533" i="4"/>
  <c r="O3533" i="4"/>
  <c r="U3533" i="4" s="1"/>
  <c r="J3534" i="4"/>
  <c r="L3534" i="4"/>
  <c r="M3534" i="4"/>
  <c r="K3534" i="4"/>
  <c r="N3534" i="4" s="1"/>
  <c r="X3532" i="4" l="1"/>
  <c r="Y3532" i="4" s="1"/>
  <c r="R3533" i="4"/>
  <c r="W3533" i="4" s="1"/>
  <c r="Q3533" i="4"/>
  <c r="V3533" i="4" s="1"/>
  <c r="S3533" i="4"/>
  <c r="P3533" i="4"/>
  <c r="T3534" i="4"/>
  <c r="J3535" i="4"/>
  <c r="K3535" i="4"/>
  <c r="N3535" i="4" s="1"/>
  <c r="L3535" i="4"/>
  <c r="M3535" i="4"/>
  <c r="O3534" i="4"/>
  <c r="U3534" i="4" s="1"/>
  <c r="X3533" i="4" l="1"/>
  <c r="Y3533" i="4" s="1"/>
  <c r="R3534" i="4"/>
  <c r="W3534" i="4" s="1"/>
  <c r="Q3534" i="4"/>
  <c r="V3534" i="4" s="1"/>
  <c r="S3534" i="4"/>
  <c r="P3534" i="4"/>
  <c r="T3535" i="4"/>
  <c r="O3535" i="4"/>
  <c r="U3535" i="4" s="1"/>
  <c r="J3536" i="4"/>
  <c r="L3536" i="4"/>
  <c r="M3536" i="4"/>
  <c r="K3536" i="4"/>
  <c r="N3536" i="4" s="1"/>
  <c r="X3534" i="4" l="1"/>
  <c r="Y3534" i="4" s="1"/>
  <c r="R3535" i="4"/>
  <c r="W3535" i="4" s="1"/>
  <c r="Q3535" i="4"/>
  <c r="V3535" i="4" s="1"/>
  <c r="S3535" i="4"/>
  <c r="P3535" i="4"/>
  <c r="T3536" i="4"/>
  <c r="J3537" i="4"/>
  <c r="K3537" i="4"/>
  <c r="N3537" i="4" s="1"/>
  <c r="L3537" i="4"/>
  <c r="M3537" i="4"/>
  <c r="O3536" i="4"/>
  <c r="U3536" i="4" s="1"/>
  <c r="X3535" i="4" l="1"/>
  <c r="Y3535" i="4" s="1"/>
  <c r="R3536" i="4"/>
  <c r="W3536" i="4" s="1"/>
  <c r="Q3536" i="4"/>
  <c r="V3536" i="4" s="1"/>
  <c r="S3536" i="4"/>
  <c r="P3536" i="4"/>
  <c r="T3537" i="4"/>
  <c r="O3537" i="4"/>
  <c r="U3537" i="4" s="1"/>
  <c r="J3538" i="4"/>
  <c r="L3538" i="4"/>
  <c r="M3538" i="4"/>
  <c r="K3538" i="4"/>
  <c r="N3538" i="4" s="1"/>
  <c r="X3536" i="4" l="1"/>
  <c r="Y3536" i="4" s="1"/>
  <c r="R3537" i="4"/>
  <c r="W3537" i="4" s="1"/>
  <c r="Q3537" i="4"/>
  <c r="V3537" i="4" s="1"/>
  <c r="S3537" i="4"/>
  <c r="P3537" i="4"/>
  <c r="T3538" i="4"/>
  <c r="J3539" i="4"/>
  <c r="K3539" i="4"/>
  <c r="N3539" i="4" s="1"/>
  <c r="L3539" i="4"/>
  <c r="M3539" i="4"/>
  <c r="O3538" i="4"/>
  <c r="U3538" i="4" s="1"/>
  <c r="X3537" i="4" l="1"/>
  <c r="Y3537" i="4" s="1"/>
  <c r="R3538" i="4"/>
  <c r="W3538" i="4" s="1"/>
  <c r="Q3538" i="4"/>
  <c r="V3538" i="4" s="1"/>
  <c r="S3538" i="4"/>
  <c r="P3538" i="4"/>
  <c r="T3539" i="4"/>
  <c r="O3539" i="4"/>
  <c r="U3539" i="4" s="1"/>
  <c r="J3540" i="4"/>
  <c r="L3540" i="4"/>
  <c r="M3540" i="4"/>
  <c r="K3540" i="4"/>
  <c r="N3540" i="4" s="1"/>
  <c r="X3538" i="4" l="1"/>
  <c r="Y3538" i="4" s="1"/>
  <c r="R3539" i="4"/>
  <c r="W3539" i="4" s="1"/>
  <c r="Q3539" i="4"/>
  <c r="V3539" i="4" s="1"/>
  <c r="S3539" i="4"/>
  <c r="P3539" i="4"/>
  <c r="T3540" i="4"/>
  <c r="J3541" i="4"/>
  <c r="K3541" i="4"/>
  <c r="N3541" i="4" s="1"/>
  <c r="L3541" i="4"/>
  <c r="M3541" i="4"/>
  <c r="O3540" i="4"/>
  <c r="U3540" i="4" s="1"/>
  <c r="X3539" i="4" l="1"/>
  <c r="Y3539" i="4" s="1"/>
  <c r="R3540" i="4"/>
  <c r="W3540" i="4" s="1"/>
  <c r="Q3540" i="4"/>
  <c r="V3540" i="4" s="1"/>
  <c r="S3540" i="4"/>
  <c r="P3540" i="4"/>
  <c r="T3541" i="4"/>
  <c r="O3541" i="4"/>
  <c r="U3541" i="4" s="1"/>
  <c r="J3542" i="4"/>
  <c r="L3542" i="4"/>
  <c r="M3542" i="4"/>
  <c r="K3542" i="4"/>
  <c r="N3542" i="4" s="1"/>
  <c r="X3540" i="4" l="1"/>
  <c r="Y3540" i="4" s="1"/>
  <c r="R3541" i="4"/>
  <c r="W3541" i="4" s="1"/>
  <c r="Q3541" i="4"/>
  <c r="V3541" i="4" s="1"/>
  <c r="S3541" i="4"/>
  <c r="P3541" i="4"/>
  <c r="T3542" i="4"/>
  <c r="J3543" i="4"/>
  <c r="L3543" i="4"/>
  <c r="K3543" i="4"/>
  <c r="N3543" i="4" s="1"/>
  <c r="M3543" i="4"/>
  <c r="O3542" i="4"/>
  <c r="U3542" i="4" s="1"/>
  <c r="X3541" i="4" l="1"/>
  <c r="Y3541" i="4" s="1"/>
  <c r="R3542" i="4"/>
  <c r="W3542" i="4" s="1"/>
  <c r="Q3542" i="4"/>
  <c r="V3542" i="4" s="1"/>
  <c r="S3542" i="4"/>
  <c r="P3542" i="4"/>
  <c r="T3543" i="4"/>
  <c r="O3543" i="4"/>
  <c r="U3543" i="4" s="1"/>
  <c r="J3544" i="4"/>
  <c r="L3544" i="4"/>
  <c r="M3544" i="4"/>
  <c r="K3544" i="4"/>
  <c r="N3544" i="4" s="1"/>
  <c r="X3542" i="4" l="1"/>
  <c r="Y3542" i="4" s="1"/>
  <c r="R3543" i="4"/>
  <c r="W3543" i="4" s="1"/>
  <c r="Q3543" i="4"/>
  <c r="V3543" i="4" s="1"/>
  <c r="S3543" i="4"/>
  <c r="P3543" i="4"/>
  <c r="T3544" i="4"/>
  <c r="J3545" i="4"/>
  <c r="L3545" i="4"/>
  <c r="K3545" i="4"/>
  <c r="N3545" i="4" s="1"/>
  <c r="M3545" i="4"/>
  <c r="O3544" i="4"/>
  <c r="U3544" i="4" s="1"/>
  <c r="X3543" i="4" l="1"/>
  <c r="Y3543" i="4" s="1"/>
  <c r="R3544" i="4"/>
  <c r="W3544" i="4" s="1"/>
  <c r="Q3544" i="4"/>
  <c r="V3544" i="4" s="1"/>
  <c r="S3544" i="4"/>
  <c r="P3544" i="4"/>
  <c r="T3545" i="4"/>
  <c r="J3546" i="4"/>
  <c r="L3546" i="4"/>
  <c r="M3546" i="4"/>
  <c r="K3546" i="4"/>
  <c r="N3546" i="4" s="1"/>
  <c r="O3545" i="4"/>
  <c r="U3545" i="4" s="1"/>
  <c r="X3544" i="4" l="1"/>
  <c r="Y3544" i="4" s="1"/>
  <c r="R3545" i="4"/>
  <c r="W3545" i="4" s="1"/>
  <c r="Q3545" i="4"/>
  <c r="V3545" i="4" s="1"/>
  <c r="S3545" i="4"/>
  <c r="P3545" i="4"/>
  <c r="T3546" i="4"/>
  <c r="O3546" i="4"/>
  <c r="U3546" i="4" s="1"/>
  <c r="J3547" i="4"/>
  <c r="K3547" i="4"/>
  <c r="N3547" i="4" s="1"/>
  <c r="L3547" i="4"/>
  <c r="M3547" i="4"/>
  <c r="X3545" i="4" l="1"/>
  <c r="Y3545" i="4" s="1"/>
  <c r="R3546" i="4"/>
  <c r="W3546" i="4" s="1"/>
  <c r="Q3546" i="4"/>
  <c r="V3546" i="4" s="1"/>
  <c r="S3546" i="4"/>
  <c r="P3546" i="4"/>
  <c r="T3547" i="4"/>
  <c r="O3547" i="4"/>
  <c r="U3547" i="4" s="1"/>
  <c r="J3548" i="4"/>
  <c r="L3548" i="4"/>
  <c r="M3548" i="4"/>
  <c r="K3548" i="4"/>
  <c r="N3548" i="4" s="1"/>
  <c r="X3546" i="4" l="1"/>
  <c r="Y3546" i="4" s="1"/>
  <c r="R3547" i="4"/>
  <c r="W3547" i="4" s="1"/>
  <c r="Q3547" i="4"/>
  <c r="V3547" i="4" s="1"/>
  <c r="S3547" i="4"/>
  <c r="P3547" i="4"/>
  <c r="T3548" i="4"/>
  <c r="J3549" i="4"/>
  <c r="K3549" i="4"/>
  <c r="N3549" i="4" s="1"/>
  <c r="L3549" i="4"/>
  <c r="M3549" i="4"/>
  <c r="O3548" i="4"/>
  <c r="U3548" i="4" s="1"/>
  <c r="X3547" i="4" l="1"/>
  <c r="Y3547" i="4" s="1"/>
  <c r="R3548" i="4"/>
  <c r="W3548" i="4" s="1"/>
  <c r="Q3548" i="4"/>
  <c r="V3548" i="4" s="1"/>
  <c r="S3548" i="4"/>
  <c r="P3548" i="4"/>
  <c r="T3549" i="4"/>
  <c r="O3549" i="4"/>
  <c r="U3549" i="4" s="1"/>
  <c r="J3550" i="4"/>
  <c r="L3550" i="4"/>
  <c r="M3550" i="4"/>
  <c r="K3550" i="4"/>
  <c r="N3550" i="4" s="1"/>
  <c r="X3548" i="4" l="1"/>
  <c r="Y3548" i="4" s="1"/>
  <c r="R3549" i="4"/>
  <c r="W3549" i="4" s="1"/>
  <c r="Q3549" i="4"/>
  <c r="V3549" i="4" s="1"/>
  <c r="S3549" i="4"/>
  <c r="P3549" i="4"/>
  <c r="T3550" i="4"/>
  <c r="J3551" i="4"/>
  <c r="K3551" i="4"/>
  <c r="N3551" i="4" s="1"/>
  <c r="L3551" i="4"/>
  <c r="M3551" i="4"/>
  <c r="O3550" i="4"/>
  <c r="U3550" i="4" s="1"/>
  <c r="X3549" i="4" l="1"/>
  <c r="Y3549" i="4" s="1"/>
  <c r="R3550" i="4"/>
  <c r="W3550" i="4" s="1"/>
  <c r="Q3550" i="4"/>
  <c r="V3550" i="4" s="1"/>
  <c r="S3550" i="4"/>
  <c r="P3550" i="4"/>
  <c r="T3551" i="4"/>
  <c r="O3551" i="4"/>
  <c r="U3551" i="4" s="1"/>
  <c r="J3552" i="4"/>
  <c r="L3552" i="4"/>
  <c r="M3552" i="4"/>
  <c r="K3552" i="4"/>
  <c r="N3552" i="4" s="1"/>
  <c r="X3550" i="4" l="1"/>
  <c r="Y3550" i="4" s="1"/>
  <c r="R3551" i="4"/>
  <c r="W3551" i="4" s="1"/>
  <c r="Q3551" i="4"/>
  <c r="V3551" i="4" s="1"/>
  <c r="S3551" i="4"/>
  <c r="P3551" i="4"/>
  <c r="T3552" i="4"/>
  <c r="J3553" i="4"/>
  <c r="L3553" i="4"/>
  <c r="K3553" i="4"/>
  <c r="N3553" i="4" s="1"/>
  <c r="M3553" i="4"/>
  <c r="O3552" i="4"/>
  <c r="U3552" i="4" s="1"/>
  <c r="X3551" i="4" l="1"/>
  <c r="Y3551" i="4" s="1"/>
  <c r="R3552" i="4"/>
  <c r="W3552" i="4" s="1"/>
  <c r="Q3552" i="4"/>
  <c r="V3552" i="4" s="1"/>
  <c r="S3552" i="4"/>
  <c r="P3552" i="4"/>
  <c r="T3553" i="4"/>
  <c r="O3553" i="4"/>
  <c r="U3553" i="4" s="1"/>
  <c r="J3554" i="4"/>
  <c r="L3554" i="4"/>
  <c r="M3554" i="4"/>
  <c r="K3554" i="4"/>
  <c r="N3554" i="4" s="1"/>
  <c r="X3552" i="4" l="1"/>
  <c r="Y3552" i="4" s="1"/>
  <c r="R3553" i="4"/>
  <c r="W3553" i="4" s="1"/>
  <c r="Q3553" i="4"/>
  <c r="V3553" i="4" s="1"/>
  <c r="S3553" i="4"/>
  <c r="P3553" i="4"/>
  <c r="T3554" i="4"/>
  <c r="J3555" i="4"/>
  <c r="L3555" i="4"/>
  <c r="K3555" i="4"/>
  <c r="N3555" i="4" s="1"/>
  <c r="M3555" i="4"/>
  <c r="O3554" i="4"/>
  <c r="U3554" i="4" s="1"/>
  <c r="X3553" i="4" l="1"/>
  <c r="Y3553" i="4" s="1"/>
  <c r="R3554" i="4"/>
  <c r="W3554" i="4" s="1"/>
  <c r="Q3554" i="4"/>
  <c r="V3554" i="4" s="1"/>
  <c r="S3554" i="4"/>
  <c r="P3554" i="4"/>
  <c r="T3555" i="4"/>
  <c r="O3555" i="4"/>
  <c r="U3555" i="4" s="1"/>
  <c r="J3556" i="4"/>
  <c r="L3556" i="4"/>
  <c r="M3556" i="4"/>
  <c r="K3556" i="4"/>
  <c r="N3556" i="4" s="1"/>
  <c r="X3554" i="4" l="1"/>
  <c r="Y3554" i="4" s="1"/>
  <c r="R3555" i="4"/>
  <c r="W3555" i="4" s="1"/>
  <c r="Q3555" i="4"/>
  <c r="V3555" i="4" s="1"/>
  <c r="S3555" i="4"/>
  <c r="P3555" i="4"/>
  <c r="T3556" i="4"/>
  <c r="J3557" i="4"/>
  <c r="L3557" i="4"/>
  <c r="K3557" i="4"/>
  <c r="N3557" i="4" s="1"/>
  <c r="M3557" i="4"/>
  <c r="O3556" i="4"/>
  <c r="U3556" i="4" s="1"/>
  <c r="X3555" i="4" l="1"/>
  <c r="Y3555" i="4" s="1"/>
  <c r="R3556" i="4"/>
  <c r="W3556" i="4" s="1"/>
  <c r="Q3556" i="4"/>
  <c r="V3556" i="4" s="1"/>
  <c r="S3556" i="4"/>
  <c r="P3556" i="4"/>
  <c r="T3557" i="4"/>
  <c r="O3557" i="4"/>
  <c r="U3557" i="4" s="1"/>
  <c r="J3558" i="4"/>
  <c r="L3558" i="4"/>
  <c r="K3558" i="4"/>
  <c r="N3558" i="4" s="1"/>
  <c r="M3558" i="4"/>
  <c r="X3556" i="4" l="1"/>
  <c r="Y3556" i="4" s="1"/>
  <c r="R3557" i="4"/>
  <c r="W3557" i="4" s="1"/>
  <c r="Q3557" i="4"/>
  <c r="V3557" i="4" s="1"/>
  <c r="S3557" i="4"/>
  <c r="P3557" i="4"/>
  <c r="T3558" i="4"/>
  <c r="J3559" i="4"/>
  <c r="K3559" i="4"/>
  <c r="N3559" i="4" s="1"/>
  <c r="L3559" i="4"/>
  <c r="M3559" i="4"/>
  <c r="O3558" i="4"/>
  <c r="X3557" i="4" l="1"/>
  <c r="Y3557" i="4" s="1"/>
  <c r="Q3558" i="4"/>
  <c r="V3558" i="4" s="1"/>
  <c r="S3558" i="4"/>
  <c r="P3558" i="4"/>
  <c r="U3558" i="4"/>
  <c r="T3559" i="4"/>
  <c r="O3559" i="4"/>
  <c r="J3560" i="4"/>
  <c r="L3560" i="4"/>
  <c r="M3560" i="4"/>
  <c r="K3560" i="4"/>
  <c r="N3560" i="4" s="1"/>
  <c r="T3560" i="4" s="1"/>
  <c r="R3558" i="4" l="1"/>
  <c r="W3558" i="4" s="1"/>
  <c r="X3558" i="4" s="1"/>
  <c r="Y3558" i="4" s="1"/>
  <c r="Q3559" i="4"/>
  <c r="V3559" i="4" s="1"/>
  <c r="S3559" i="4"/>
  <c r="Q3560" i="4"/>
  <c r="V3560" i="4" s="1"/>
  <c r="S3560" i="4"/>
  <c r="P3559" i="4"/>
  <c r="U3559" i="4"/>
  <c r="O3560" i="4"/>
  <c r="U3560" i="4" s="1"/>
  <c r="J3561" i="4"/>
  <c r="M3561" i="4"/>
  <c r="K3561" i="4"/>
  <c r="N3561" i="4" s="1"/>
  <c r="L3561" i="4"/>
  <c r="R3560" i="4" l="1"/>
  <c r="W3560" i="4" s="1"/>
  <c r="X3560" i="4" s="1"/>
  <c r="Y3560" i="4" s="1"/>
  <c r="R3559" i="4"/>
  <c r="W3559" i="4" s="1"/>
  <c r="X3559" i="4" s="1"/>
  <c r="Y3559" i="4" s="1"/>
  <c r="P3560" i="4"/>
  <c r="T3561" i="4"/>
  <c r="J3562" i="4"/>
  <c r="L3562" i="4"/>
  <c r="M3562" i="4"/>
  <c r="K3562" i="4"/>
  <c r="N3562" i="4" s="1"/>
  <c r="O3561" i="4"/>
  <c r="U3561" i="4" s="1"/>
  <c r="R3561" i="4" l="1"/>
  <c r="W3561" i="4" s="1"/>
  <c r="Q3561" i="4"/>
  <c r="V3561" i="4" s="1"/>
  <c r="S3561" i="4"/>
  <c r="P3561" i="4"/>
  <c r="T3562" i="4"/>
  <c r="O3562" i="4"/>
  <c r="U3562" i="4" s="1"/>
  <c r="J3563" i="4"/>
  <c r="K3563" i="4"/>
  <c r="N3563" i="4" s="1"/>
  <c r="M3563" i="4"/>
  <c r="L3563" i="4"/>
  <c r="X3561" i="4" l="1"/>
  <c r="Y3561" i="4" s="1"/>
  <c r="R3562" i="4"/>
  <c r="W3562" i="4" s="1"/>
  <c r="Q3562" i="4"/>
  <c r="V3562" i="4" s="1"/>
  <c r="S3562" i="4"/>
  <c r="P3562" i="4"/>
  <c r="T3563" i="4"/>
  <c r="O3563" i="4"/>
  <c r="U3563" i="4" s="1"/>
  <c r="J3564" i="4"/>
  <c r="L3564" i="4"/>
  <c r="K3564" i="4"/>
  <c r="N3564" i="4" s="1"/>
  <c r="M3564" i="4"/>
  <c r="X3562" i="4" l="1"/>
  <c r="Y3562" i="4" s="1"/>
  <c r="R3563" i="4"/>
  <c r="W3563" i="4" s="1"/>
  <c r="Q3563" i="4"/>
  <c r="V3563" i="4" s="1"/>
  <c r="S3563" i="4"/>
  <c r="P3563" i="4"/>
  <c r="T3564" i="4"/>
  <c r="O3564" i="4"/>
  <c r="U3564" i="4" s="1"/>
  <c r="J3565" i="4"/>
  <c r="L3565" i="4"/>
  <c r="K3565" i="4"/>
  <c r="N3565" i="4" s="1"/>
  <c r="M3565" i="4"/>
  <c r="X3563" i="4" l="1"/>
  <c r="Y3563" i="4" s="1"/>
  <c r="R3564" i="4"/>
  <c r="W3564" i="4" s="1"/>
  <c r="Q3564" i="4"/>
  <c r="V3564" i="4" s="1"/>
  <c r="S3564" i="4"/>
  <c r="P3564" i="4"/>
  <c r="T3565" i="4"/>
  <c r="J3566" i="4"/>
  <c r="L3566" i="4"/>
  <c r="M3566" i="4"/>
  <c r="K3566" i="4"/>
  <c r="N3566" i="4" s="1"/>
  <c r="O3565" i="4"/>
  <c r="U3565" i="4" s="1"/>
  <c r="X3564" i="4" l="1"/>
  <c r="Y3564" i="4" s="1"/>
  <c r="R3565" i="4"/>
  <c r="W3565" i="4" s="1"/>
  <c r="Q3565" i="4"/>
  <c r="V3565" i="4" s="1"/>
  <c r="S3565" i="4"/>
  <c r="P3565" i="4"/>
  <c r="T3566" i="4"/>
  <c r="O3566" i="4"/>
  <c r="U3566" i="4" s="1"/>
  <c r="J3567" i="4"/>
  <c r="L3567" i="4"/>
  <c r="K3567" i="4"/>
  <c r="N3567" i="4" s="1"/>
  <c r="M3567" i="4"/>
  <c r="X3565" i="4" l="1"/>
  <c r="Y3565" i="4" s="1"/>
  <c r="R3566" i="4"/>
  <c r="W3566" i="4" s="1"/>
  <c r="Q3566" i="4"/>
  <c r="V3566" i="4" s="1"/>
  <c r="X3566" i="4" s="1"/>
  <c r="Y3566" i="4" s="1"/>
  <c r="S3566" i="4"/>
  <c r="P3566" i="4"/>
  <c r="T3567" i="4"/>
  <c r="J3568" i="4"/>
  <c r="L3568" i="4"/>
  <c r="M3568" i="4"/>
  <c r="K3568" i="4"/>
  <c r="N3568" i="4" s="1"/>
  <c r="O3567" i="4"/>
  <c r="U3567" i="4" s="1"/>
  <c r="R3567" i="4" l="1"/>
  <c r="W3567" i="4" s="1"/>
  <c r="Q3567" i="4"/>
  <c r="V3567" i="4" s="1"/>
  <c r="S3567" i="4"/>
  <c r="P3567" i="4"/>
  <c r="T3568" i="4"/>
  <c r="O3568" i="4"/>
  <c r="U3568" i="4" s="1"/>
  <c r="J3569" i="4"/>
  <c r="M3569" i="4"/>
  <c r="K3569" i="4"/>
  <c r="N3569" i="4" s="1"/>
  <c r="L3569" i="4"/>
  <c r="X3567" i="4" l="1"/>
  <c r="Y3567" i="4" s="1"/>
  <c r="R3568" i="4"/>
  <c r="W3568" i="4" s="1"/>
  <c r="Q3568" i="4"/>
  <c r="V3568" i="4" s="1"/>
  <c r="S3568" i="4"/>
  <c r="P3568" i="4"/>
  <c r="T3569" i="4"/>
  <c r="J3570" i="4"/>
  <c r="L3570" i="4"/>
  <c r="M3570" i="4"/>
  <c r="K3570" i="4"/>
  <c r="N3570" i="4" s="1"/>
  <c r="O3569" i="4"/>
  <c r="U3569" i="4" s="1"/>
  <c r="X3568" i="4" l="1"/>
  <c r="Y3568" i="4" s="1"/>
  <c r="R3569" i="4"/>
  <c r="W3569" i="4" s="1"/>
  <c r="Q3569" i="4"/>
  <c r="V3569" i="4" s="1"/>
  <c r="S3569" i="4"/>
  <c r="P3569" i="4"/>
  <c r="T3570" i="4"/>
  <c r="O3570" i="4"/>
  <c r="U3570" i="4" s="1"/>
  <c r="J3571" i="4"/>
  <c r="L3571" i="4"/>
  <c r="M3571" i="4"/>
  <c r="K3571" i="4"/>
  <c r="N3571" i="4" s="1"/>
  <c r="X3569" i="4" l="1"/>
  <c r="Y3569" i="4" s="1"/>
  <c r="R3570" i="4"/>
  <c r="W3570" i="4" s="1"/>
  <c r="Q3570" i="4"/>
  <c r="V3570" i="4" s="1"/>
  <c r="S3570" i="4"/>
  <c r="P3570" i="4"/>
  <c r="T3571" i="4"/>
  <c r="J3572" i="4"/>
  <c r="L3572" i="4"/>
  <c r="M3572" i="4"/>
  <c r="K3572" i="4"/>
  <c r="N3572" i="4" s="1"/>
  <c r="O3571" i="4"/>
  <c r="U3571" i="4" s="1"/>
  <c r="X3570" i="4" l="1"/>
  <c r="Y3570" i="4" s="1"/>
  <c r="R3571" i="4"/>
  <c r="W3571" i="4" s="1"/>
  <c r="Q3571" i="4"/>
  <c r="V3571" i="4" s="1"/>
  <c r="S3571" i="4"/>
  <c r="P3571" i="4"/>
  <c r="T3572" i="4"/>
  <c r="O3572" i="4"/>
  <c r="U3572" i="4" s="1"/>
  <c r="J3573" i="4"/>
  <c r="K3573" i="4"/>
  <c r="N3573" i="4" s="1"/>
  <c r="L3573" i="4"/>
  <c r="M3573" i="4"/>
  <c r="X3571" i="4" l="1"/>
  <c r="Y3571" i="4" s="1"/>
  <c r="R3572" i="4"/>
  <c r="W3572" i="4" s="1"/>
  <c r="Q3572" i="4"/>
  <c r="V3572" i="4" s="1"/>
  <c r="S3572" i="4"/>
  <c r="P3572" i="4"/>
  <c r="T3573" i="4"/>
  <c r="O3573" i="4"/>
  <c r="U3573" i="4" s="1"/>
  <c r="J3574" i="4"/>
  <c r="L3574" i="4"/>
  <c r="M3574" i="4"/>
  <c r="K3574" i="4"/>
  <c r="N3574" i="4" s="1"/>
  <c r="T3574" i="4" s="1"/>
  <c r="X3572" i="4" l="1"/>
  <c r="Y3572" i="4" s="1"/>
  <c r="R3573" i="4"/>
  <c r="W3573" i="4" s="1"/>
  <c r="Q3574" i="4"/>
  <c r="S3574" i="4"/>
  <c r="Q3573" i="4"/>
  <c r="S3573" i="4"/>
  <c r="P3573" i="4"/>
  <c r="O3574" i="4"/>
  <c r="P3574" i="4" s="1"/>
  <c r="V3573" i="4" l="1"/>
  <c r="X3573" i="4" s="1"/>
  <c r="Y3573" i="4" s="1"/>
  <c r="V3574" i="4"/>
  <c r="U3574" i="4"/>
  <c r="R3574" i="4" l="1"/>
  <c r="W3574" i="4" s="1"/>
  <c r="X3574" i="4" s="1"/>
  <c r="Y3574" i="4" s="1"/>
  <c r="M2362" i="4" l="1"/>
  <c r="M2363" i="4"/>
  <c r="O2356" i="4"/>
  <c r="M2357" i="4"/>
  <c r="M2358" i="4"/>
  <c r="M2361" i="4"/>
  <c r="M2354" i="4"/>
  <c r="M2353" i="4"/>
  <c r="M2359" i="4" l="1"/>
  <c r="N2354" i="4"/>
</calcChain>
</file>

<file path=xl/sharedStrings.xml><?xml version="1.0" encoding="utf-8"?>
<sst xmlns="http://schemas.openxmlformats.org/spreadsheetml/2006/main" count="54" uniqueCount="42">
  <si>
    <t>Date</t>
  </si>
  <si>
    <t>Ratio:</t>
  </si>
  <si>
    <t>[1]</t>
  </si>
  <si>
    <t>[2]</t>
  </si>
  <si>
    <t>[1/2]</t>
  </si>
  <si>
    <t>Stats on Ratio:</t>
  </si>
  <si>
    <t>Max:</t>
  </si>
  <si>
    <t>Q3</t>
  </si>
  <si>
    <t>Median</t>
  </si>
  <si>
    <t>Q2</t>
  </si>
  <si>
    <t>Min</t>
  </si>
  <si>
    <t>Start Date:</t>
  </si>
  <si>
    <t>Check_MAX</t>
  </si>
  <si>
    <t>Check_Min</t>
  </si>
  <si>
    <t>Position_1</t>
  </si>
  <si>
    <t>Position_2</t>
  </si>
  <si>
    <t>MAX</t>
  </si>
  <si>
    <t>Check For Lags</t>
  </si>
  <si>
    <t>NET:</t>
  </si>
  <si>
    <t>Ratio</t>
  </si>
  <si>
    <t xml:space="preserve">Ratio = Av ( MAX; MIN) </t>
  </si>
  <si>
    <t>OUT: --&gt; ??</t>
  </si>
  <si>
    <t>MA_Ratio:</t>
  </si>
  <si>
    <t>Only Short GALP;</t>
  </si>
  <si>
    <t># Stocks</t>
  </si>
  <si>
    <t># Stocks:</t>
  </si>
  <si>
    <t>OUT</t>
  </si>
  <si>
    <t>Profit:</t>
  </si>
  <si>
    <t>Gains</t>
  </si>
  <si>
    <t>%</t>
  </si>
  <si>
    <t>Count:</t>
  </si>
  <si>
    <t>Av</t>
  </si>
  <si>
    <t>Std</t>
  </si>
  <si>
    <t>IS</t>
  </si>
  <si>
    <t>Count, &gt;0</t>
  </si>
  <si>
    <t>Max</t>
  </si>
  <si>
    <t>Sum:</t>
  </si>
  <si>
    <t>PEP</t>
  </si>
  <si>
    <t>KO</t>
  </si>
  <si>
    <t>Position</t>
  </si>
  <si>
    <t>For next day:</t>
  </si>
  <si>
    <t>Cumulative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</si>
</sst>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&quot;€&quot;* #,##0.00_-;\-&quot;€&quot;* #,##0.00_-;_-&quot;€&quot;* &quot;-&quot;??_-;_-@_-"/>
    <numFmt numFmtId="43" formatCode="_-* #,##0.00_-;\-* #,##0.00_-;_-* &quot;-&quot;??_-;_-@_-"/>
    <numFmt numFmtId="164" formatCode="dd\-mm\-yyyy"/>
    <numFmt numFmtId="166" formatCode="0.0%"/>
    <numFmt numFmtId="167" formatCode="_-* #,##0.000_-;\-* #,##0.000_-;_-* &quot;-&quot;??_-;_-@_-"/>
  </numFmts>
  <fonts count="19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4"/>
      <color rgb="FF000000"/>
      <name val="Times New Roman"/>
      <family val="1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</fills>
  <borders count="3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67">
    <xf numFmtId="0" fontId="0" fillId="0" borderId="0" xfId="0"/>
    <xf numFmtId="164" fontId="0" fillId="0" borderId="0" xfId="0" applyNumberFormat="1"/>
    <xf numFmtId="14" fontId="0" fillId="0" borderId="0" xfId="0" applyNumberFormat="1"/>
    <xf numFmtId="0" fontId="16" fillId="0" borderId="0" xfId="0" applyFont="1"/>
    <xf numFmtId="43" fontId="0" fillId="0" borderId="0" xfId="42" applyFont="1"/>
    <xf numFmtId="43" fontId="0" fillId="0" borderId="0" xfId="0" applyNumberFormat="1"/>
    <xf numFmtId="0" fontId="16" fillId="0" borderId="0" xfId="0" applyFont="1" applyBorder="1" applyAlignment="1">
      <alignment horizontal="center"/>
    </xf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0" xfId="0" applyBorder="1"/>
    <xf numFmtId="0" fontId="0" fillId="0" borderId="16" xfId="0" applyBorder="1"/>
    <xf numFmtId="0" fontId="0" fillId="33" borderId="15" xfId="0" applyFill="1" applyBorder="1"/>
    <xf numFmtId="0" fontId="0" fillId="33" borderId="0" xfId="0" applyFill="1" applyBorder="1"/>
    <xf numFmtId="43" fontId="0" fillId="0" borderId="0" xfId="42" applyFont="1" applyBorder="1"/>
    <xf numFmtId="44" fontId="0" fillId="0" borderId="16" xfId="42" applyNumberFormat="1" applyFont="1" applyBorder="1"/>
    <xf numFmtId="14" fontId="0" fillId="0" borderId="12" xfId="0" applyNumberFormat="1" applyBorder="1"/>
    <xf numFmtId="43" fontId="0" fillId="0" borderId="15" xfId="0" applyNumberFormat="1" applyBorder="1"/>
    <xf numFmtId="0" fontId="16" fillId="0" borderId="14" xfId="0" applyFont="1" applyBorder="1"/>
    <xf numFmtId="0" fontId="16" fillId="0" borderId="16" xfId="0" applyFont="1" applyBorder="1"/>
    <xf numFmtId="43" fontId="0" fillId="0" borderId="16" xfId="0" applyNumberFormat="1" applyBorder="1"/>
    <xf numFmtId="2" fontId="0" fillId="0" borderId="15" xfId="0" applyNumberFormat="1" applyBorder="1"/>
    <xf numFmtId="2" fontId="0" fillId="0" borderId="16" xfId="0" applyNumberFormat="1" applyBorder="1"/>
    <xf numFmtId="0" fontId="16" fillId="0" borderId="18" xfId="0" applyFont="1" applyBorder="1" applyAlignment="1">
      <alignment horizontal="center" vertical="center"/>
    </xf>
    <xf numFmtId="0" fontId="16" fillId="0" borderId="19" xfId="0" applyFont="1" applyBorder="1" applyAlignment="1">
      <alignment horizontal="center" vertical="center"/>
    </xf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16" fillId="0" borderId="0" xfId="0" applyFont="1" applyBorder="1"/>
    <xf numFmtId="2" fontId="16" fillId="0" borderId="11" xfId="0" applyNumberFormat="1" applyFont="1" applyBorder="1"/>
    <xf numFmtId="0" fontId="16" fillId="0" borderId="11" xfId="0" applyFont="1" applyFill="1" applyBorder="1"/>
    <xf numFmtId="2" fontId="0" fillId="0" borderId="0" xfId="0" applyNumberFormat="1" applyBorder="1"/>
    <xf numFmtId="0" fontId="0" fillId="0" borderId="24" xfId="0" applyBorder="1"/>
    <xf numFmtId="0" fontId="0" fillId="0" borderId="25" xfId="0" applyBorder="1"/>
    <xf numFmtId="0" fontId="0" fillId="0" borderId="26" xfId="0" applyBorder="1"/>
    <xf numFmtId="0" fontId="0" fillId="0" borderId="27" xfId="0" applyBorder="1"/>
    <xf numFmtId="0" fontId="0" fillId="34" borderId="0" xfId="0" applyFill="1"/>
    <xf numFmtId="0" fontId="0" fillId="34" borderId="15" xfId="0" applyFill="1" applyBorder="1"/>
    <xf numFmtId="0" fontId="0" fillId="34" borderId="16" xfId="0" applyFill="1" applyBorder="1"/>
    <xf numFmtId="0" fontId="0" fillId="34" borderId="0" xfId="0" applyFill="1" applyBorder="1"/>
    <xf numFmtId="0" fontId="16" fillId="0" borderId="21" xfId="0" applyFont="1" applyFill="1" applyBorder="1"/>
    <xf numFmtId="0" fontId="16" fillId="0" borderId="12" xfId="0" applyFont="1" applyBorder="1"/>
    <xf numFmtId="10" fontId="16" fillId="0" borderId="14" xfId="0" applyNumberFormat="1" applyFont="1" applyBorder="1"/>
    <xf numFmtId="0" fontId="16" fillId="0" borderId="15" xfId="0" applyFont="1" applyBorder="1"/>
    <xf numFmtId="166" fontId="16" fillId="0" borderId="16" xfId="43" applyNumberFormat="1" applyFont="1" applyBorder="1"/>
    <xf numFmtId="10" fontId="0" fillId="0" borderId="14" xfId="43" applyNumberFormat="1" applyFont="1" applyBorder="1"/>
    <xf numFmtId="10" fontId="0" fillId="0" borderId="16" xfId="43" applyNumberFormat="1" applyFont="1" applyBorder="1"/>
    <xf numFmtId="0" fontId="0" fillId="0" borderId="30" xfId="0" applyBorder="1"/>
    <xf numFmtId="10" fontId="0" fillId="0" borderId="17" xfId="43" applyNumberFormat="1" applyFont="1" applyBorder="1"/>
    <xf numFmtId="0" fontId="16" fillId="0" borderId="21" xfId="0" applyFont="1" applyBorder="1"/>
    <xf numFmtId="167" fontId="16" fillId="0" borderId="23" xfId="42" applyNumberFormat="1" applyFont="1" applyBorder="1"/>
    <xf numFmtId="0" fontId="0" fillId="0" borderId="10" xfId="0" applyBorder="1"/>
    <xf numFmtId="9" fontId="0" fillId="0" borderId="17" xfId="43" applyFont="1" applyBorder="1"/>
    <xf numFmtId="166" fontId="0" fillId="0" borderId="0" xfId="43" applyNumberFormat="1" applyFont="1" applyBorder="1"/>
    <xf numFmtId="0" fontId="16" fillId="0" borderId="20" xfId="0" applyFont="1" applyBorder="1" applyAlignment="1">
      <alignment horizontal="center"/>
    </xf>
    <xf numFmtId="0" fontId="16" fillId="0" borderId="21" xfId="0" applyFont="1" applyBorder="1" applyAlignment="1">
      <alignment horizontal="center"/>
    </xf>
    <xf numFmtId="0" fontId="16" fillId="0" borderId="22" xfId="0" applyFont="1" applyBorder="1" applyAlignment="1">
      <alignment horizontal="center"/>
    </xf>
    <xf numFmtId="0" fontId="16" fillId="0" borderId="23" xfId="0" applyFont="1" applyBorder="1" applyAlignment="1">
      <alignment horizontal="center"/>
    </xf>
    <xf numFmtId="0" fontId="16" fillId="0" borderId="15" xfId="0" applyFont="1" applyBorder="1" applyAlignment="1">
      <alignment horizontal="center"/>
    </xf>
    <xf numFmtId="0" fontId="16" fillId="0" borderId="0" xfId="0" applyFont="1" applyBorder="1" applyAlignment="1">
      <alignment horizontal="center"/>
    </xf>
    <xf numFmtId="43" fontId="0" fillId="0" borderId="0" xfId="0" applyNumberFormat="1" applyBorder="1"/>
    <xf numFmtId="10" fontId="0" fillId="0" borderId="28" xfId="0" applyNumberFormat="1" applyBorder="1"/>
    <xf numFmtId="10" fontId="0" fillId="0" borderId="29" xfId="0" applyNumberFormat="1" applyBorder="1"/>
    <xf numFmtId="10" fontId="0" fillId="0" borderId="29" xfId="43" applyNumberFormat="1" applyFont="1" applyBorder="1"/>
    <xf numFmtId="10" fontId="0" fillId="34" borderId="29" xfId="0" applyNumberFormat="1" applyFill="1" applyBorder="1"/>
    <xf numFmtId="10" fontId="0" fillId="0" borderId="0" xfId="0" applyNumberFormat="1"/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Comma" xfId="42" builtinId="3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Per cent" xfId="43" builtinId="5"/>
    <cellStyle name="Title" xfId="1" builtinId="15" customBuiltin="1"/>
    <cellStyle name="Total" xfId="17" builtinId="25" customBuiltin="1"/>
    <cellStyle name="Warning Text" xfId="14" builtinId="11" customBuiltin="1"/>
  </cellStyles>
  <dxfs count="1">
    <dxf>
      <font>
        <color rgb="FF9C5700"/>
      </font>
      <fill>
        <patternFill>
          <bgColor rgb="FFFFEB9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PT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'Ratio Analysis'!$D$2</c:f>
              <c:strCache>
                <c:ptCount val="1"/>
                <c:pt idx="0">
                  <c:v>Ratio: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'Ratio Analysis'!$A$3:$A$3574</c:f>
              <c:numCache>
                <c:formatCode>m/d/yy</c:formatCode>
                <c:ptCount val="3572"/>
                <c:pt idx="0">
                  <c:v>39447</c:v>
                </c:pt>
                <c:pt idx="1">
                  <c:v>39449</c:v>
                </c:pt>
                <c:pt idx="2">
                  <c:v>39450</c:v>
                </c:pt>
                <c:pt idx="3">
                  <c:v>39451</c:v>
                </c:pt>
                <c:pt idx="4">
                  <c:v>39454</c:v>
                </c:pt>
                <c:pt idx="5">
                  <c:v>39455</c:v>
                </c:pt>
                <c:pt idx="6">
                  <c:v>39456</c:v>
                </c:pt>
                <c:pt idx="7">
                  <c:v>39457</c:v>
                </c:pt>
                <c:pt idx="8">
                  <c:v>39458</c:v>
                </c:pt>
                <c:pt idx="9">
                  <c:v>39461</c:v>
                </c:pt>
                <c:pt idx="10">
                  <c:v>39462</c:v>
                </c:pt>
                <c:pt idx="11">
                  <c:v>39463</c:v>
                </c:pt>
                <c:pt idx="12">
                  <c:v>39464</c:v>
                </c:pt>
                <c:pt idx="13">
                  <c:v>39465</c:v>
                </c:pt>
                <c:pt idx="14">
                  <c:v>39469</c:v>
                </c:pt>
                <c:pt idx="15">
                  <c:v>39470</c:v>
                </c:pt>
                <c:pt idx="16">
                  <c:v>39471</c:v>
                </c:pt>
                <c:pt idx="17">
                  <c:v>39472</c:v>
                </c:pt>
                <c:pt idx="18">
                  <c:v>39475</c:v>
                </c:pt>
                <c:pt idx="19">
                  <c:v>39476</c:v>
                </c:pt>
                <c:pt idx="20">
                  <c:v>39477</c:v>
                </c:pt>
                <c:pt idx="21">
                  <c:v>39478</c:v>
                </c:pt>
                <c:pt idx="22">
                  <c:v>39479</c:v>
                </c:pt>
                <c:pt idx="23">
                  <c:v>39482</c:v>
                </c:pt>
                <c:pt idx="24">
                  <c:v>39483</c:v>
                </c:pt>
                <c:pt idx="25">
                  <c:v>39484</c:v>
                </c:pt>
                <c:pt idx="26">
                  <c:v>39485</c:v>
                </c:pt>
                <c:pt idx="27">
                  <c:v>39486</c:v>
                </c:pt>
                <c:pt idx="28">
                  <c:v>39489</c:v>
                </c:pt>
                <c:pt idx="29">
                  <c:v>39490</c:v>
                </c:pt>
                <c:pt idx="30">
                  <c:v>39491</c:v>
                </c:pt>
                <c:pt idx="31">
                  <c:v>39492</c:v>
                </c:pt>
                <c:pt idx="32">
                  <c:v>39493</c:v>
                </c:pt>
                <c:pt idx="33">
                  <c:v>39497</c:v>
                </c:pt>
                <c:pt idx="34">
                  <c:v>39498</c:v>
                </c:pt>
                <c:pt idx="35">
                  <c:v>39499</c:v>
                </c:pt>
                <c:pt idx="36">
                  <c:v>39500</c:v>
                </c:pt>
                <c:pt idx="37">
                  <c:v>39503</c:v>
                </c:pt>
                <c:pt idx="38">
                  <c:v>39504</c:v>
                </c:pt>
                <c:pt idx="39">
                  <c:v>39505</c:v>
                </c:pt>
                <c:pt idx="40">
                  <c:v>39506</c:v>
                </c:pt>
                <c:pt idx="41">
                  <c:v>39507</c:v>
                </c:pt>
                <c:pt idx="42">
                  <c:v>39510</c:v>
                </c:pt>
                <c:pt idx="43">
                  <c:v>39511</c:v>
                </c:pt>
                <c:pt idx="44">
                  <c:v>39512</c:v>
                </c:pt>
                <c:pt idx="45">
                  <c:v>39513</c:v>
                </c:pt>
                <c:pt idx="46">
                  <c:v>39514</c:v>
                </c:pt>
                <c:pt idx="47">
                  <c:v>39517</c:v>
                </c:pt>
                <c:pt idx="48">
                  <c:v>39518</c:v>
                </c:pt>
                <c:pt idx="49">
                  <c:v>39519</c:v>
                </c:pt>
                <c:pt idx="50">
                  <c:v>39520</c:v>
                </c:pt>
                <c:pt idx="51">
                  <c:v>39521</c:v>
                </c:pt>
                <c:pt idx="52">
                  <c:v>39524</c:v>
                </c:pt>
                <c:pt idx="53">
                  <c:v>39525</c:v>
                </c:pt>
                <c:pt idx="54">
                  <c:v>39526</c:v>
                </c:pt>
                <c:pt idx="55">
                  <c:v>39527</c:v>
                </c:pt>
                <c:pt idx="56">
                  <c:v>39531</c:v>
                </c:pt>
                <c:pt idx="57">
                  <c:v>39532</c:v>
                </c:pt>
                <c:pt idx="58">
                  <c:v>39533</c:v>
                </c:pt>
                <c:pt idx="59">
                  <c:v>39534</c:v>
                </c:pt>
                <c:pt idx="60">
                  <c:v>39535</c:v>
                </c:pt>
                <c:pt idx="61">
                  <c:v>39538</c:v>
                </c:pt>
                <c:pt idx="62">
                  <c:v>39539</c:v>
                </c:pt>
                <c:pt idx="63">
                  <c:v>39540</c:v>
                </c:pt>
                <c:pt idx="64">
                  <c:v>39541</c:v>
                </c:pt>
                <c:pt idx="65">
                  <c:v>39542</c:v>
                </c:pt>
                <c:pt idx="66">
                  <c:v>39545</c:v>
                </c:pt>
                <c:pt idx="67">
                  <c:v>39546</c:v>
                </c:pt>
                <c:pt idx="68">
                  <c:v>39547</c:v>
                </c:pt>
                <c:pt idx="69">
                  <c:v>39548</c:v>
                </c:pt>
                <c:pt idx="70">
                  <c:v>39549</c:v>
                </c:pt>
                <c:pt idx="71">
                  <c:v>39552</c:v>
                </c:pt>
                <c:pt idx="72">
                  <c:v>39553</c:v>
                </c:pt>
                <c:pt idx="73">
                  <c:v>39554</c:v>
                </c:pt>
                <c:pt idx="74">
                  <c:v>39555</c:v>
                </c:pt>
                <c:pt idx="75">
                  <c:v>39556</c:v>
                </c:pt>
                <c:pt idx="76">
                  <c:v>39559</c:v>
                </c:pt>
                <c:pt idx="77">
                  <c:v>39560</c:v>
                </c:pt>
                <c:pt idx="78">
                  <c:v>39561</c:v>
                </c:pt>
                <c:pt idx="79">
                  <c:v>39562</c:v>
                </c:pt>
                <c:pt idx="80">
                  <c:v>39563</c:v>
                </c:pt>
                <c:pt idx="81">
                  <c:v>39566</c:v>
                </c:pt>
                <c:pt idx="82">
                  <c:v>39567</c:v>
                </c:pt>
                <c:pt idx="83">
                  <c:v>39568</c:v>
                </c:pt>
                <c:pt idx="84">
                  <c:v>39569</c:v>
                </c:pt>
                <c:pt idx="85">
                  <c:v>39570</c:v>
                </c:pt>
                <c:pt idx="86">
                  <c:v>39573</c:v>
                </c:pt>
                <c:pt idx="87">
                  <c:v>39574</c:v>
                </c:pt>
                <c:pt idx="88">
                  <c:v>39575</c:v>
                </c:pt>
                <c:pt idx="89">
                  <c:v>39576</c:v>
                </c:pt>
                <c:pt idx="90">
                  <c:v>39577</c:v>
                </c:pt>
                <c:pt idx="91">
                  <c:v>39580</c:v>
                </c:pt>
                <c:pt idx="92">
                  <c:v>39581</c:v>
                </c:pt>
                <c:pt idx="93">
                  <c:v>39582</c:v>
                </c:pt>
                <c:pt idx="94">
                  <c:v>39583</c:v>
                </c:pt>
                <c:pt idx="95">
                  <c:v>39584</c:v>
                </c:pt>
                <c:pt idx="96">
                  <c:v>39587</c:v>
                </c:pt>
                <c:pt idx="97">
                  <c:v>39588</c:v>
                </c:pt>
                <c:pt idx="98">
                  <c:v>39589</c:v>
                </c:pt>
                <c:pt idx="99">
                  <c:v>39590</c:v>
                </c:pt>
                <c:pt idx="100">
                  <c:v>39591</c:v>
                </c:pt>
                <c:pt idx="101">
                  <c:v>39595</c:v>
                </c:pt>
                <c:pt idx="102">
                  <c:v>39596</c:v>
                </c:pt>
                <c:pt idx="103">
                  <c:v>39597</c:v>
                </c:pt>
                <c:pt idx="104">
                  <c:v>39598</c:v>
                </c:pt>
                <c:pt idx="105">
                  <c:v>39601</c:v>
                </c:pt>
                <c:pt idx="106">
                  <c:v>39602</c:v>
                </c:pt>
                <c:pt idx="107">
                  <c:v>39603</c:v>
                </c:pt>
                <c:pt idx="108">
                  <c:v>39604</c:v>
                </c:pt>
                <c:pt idx="109">
                  <c:v>39605</c:v>
                </c:pt>
                <c:pt idx="110">
                  <c:v>39608</c:v>
                </c:pt>
                <c:pt idx="111">
                  <c:v>39609</c:v>
                </c:pt>
                <c:pt idx="112">
                  <c:v>39610</c:v>
                </c:pt>
                <c:pt idx="113">
                  <c:v>39611</c:v>
                </c:pt>
                <c:pt idx="114">
                  <c:v>39612</c:v>
                </c:pt>
                <c:pt idx="115">
                  <c:v>39615</c:v>
                </c:pt>
                <c:pt idx="116">
                  <c:v>39616</c:v>
                </c:pt>
                <c:pt idx="117">
                  <c:v>39617</c:v>
                </c:pt>
                <c:pt idx="118">
                  <c:v>39618</c:v>
                </c:pt>
                <c:pt idx="119">
                  <c:v>39619</c:v>
                </c:pt>
                <c:pt idx="120">
                  <c:v>39622</c:v>
                </c:pt>
                <c:pt idx="121">
                  <c:v>39623</c:v>
                </c:pt>
                <c:pt idx="122">
                  <c:v>39624</c:v>
                </c:pt>
                <c:pt idx="123">
                  <c:v>39625</c:v>
                </c:pt>
                <c:pt idx="124">
                  <c:v>39626</c:v>
                </c:pt>
                <c:pt idx="125">
                  <c:v>39629</c:v>
                </c:pt>
                <c:pt idx="126">
                  <c:v>39630</c:v>
                </c:pt>
                <c:pt idx="127">
                  <c:v>39631</c:v>
                </c:pt>
                <c:pt idx="128">
                  <c:v>39632</c:v>
                </c:pt>
                <c:pt idx="129">
                  <c:v>39636</c:v>
                </c:pt>
                <c:pt idx="130">
                  <c:v>39637</c:v>
                </c:pt>
                <c:pt idx="131">
                  <c:v>39638</c:v>
                </c:pt>
                <c:pt idx="132">
                  <c:v>39639</c:v>
                </c:pt>
                <c:pt idx="133">
                  <c:v>39640</c:v>
                </c:pt>
                <c:pt idx="134">
                  <c:v>39643</c:v>
                </c:pt>
                <c:pt idx="135">
                  <c:v>39644</c:v>
                </c:pt>
                <c:pt idx="136">
                  <c:v>39645</c:v>
                </c:pt>
                <c:pt idx="137">
                  <c:v>39646</c:v>
                </c:pt>
                <c:pt idx="138">
                  <c:v>39647</c:v>
                </c:pt>
                <c:pt idx="139">
                  <c:v>39650</c:v>
                </c:pt>
                <c:pt idx="140">
                  <c:v>39651</c:v>
                </c:pt>
                <c:pt idx="141">
                  <c:v>39652</c:v>
                </c:pt>
                <c:pt idx="142">
                  <c:v>39653</c:v>
                </c:pt>
                <c:pt idx="143">
                  <c:v>39654</c:v>
                </c:pt>
                <c:pt idx="144">
                  <c:v>39657</c:v>
                </c:pt>
                <c:pt idx="145">
                  <c:v>39658</c:v>
                </c:pt>
                <c:pt idx="146">
                  <c:v>39659</c:v>
                </c:pt>
                <c:pt idx="147">
                  <c:v>39660</c:v>
                </c:pt>
                <c:pt idx="148">
                  <c:v>39661</c:v>
                </c:pt>
                <c:pt idx="149">
                  <c:v>39664</c:v>
                </c:pt>
                <c:pt idx="150">
                  <c:v>39665</c:v>
                </c:pt>
                <c:pt idx="151">
                  <c:v>39666</c:v>
                </c:pt>
                <c:pt idx="152">
                  <c:v>39667</c:v>
                </c:pt>
                <c:pt idx="153">
                  <c:v>39668</c:v>
                </c:pt>
                <c:pt idx="154">
                  <c:v>39671</c:v>
                </c:pt>
                <c:pt idx="155">
                  <c:v>39672</c:v>
                </c:pt>
                <c:pt idx="156">
                  <c:v>39673</c:v>
                </c:pt>
                <c:pt idx="157">
                  <c:v>39674</c:v>
                </c:pt>
                <c:pt idx="158">
                  <c:v>39675</c:v>
                </c:pt>
                <c:pt idx="159">
                  <c:v>39678</c:v>
                </c:pt>
                <c:pt idx="160">
                  <c:v>39679</c:v>
                </c:pt>
                <c:pt idx="161">
                  <c:v>39680</c:v>
                </c:pt>
                <c:pt idx="162">
                  <c:v>39681</c:v>
                </c:pt>
                <c:pt idx="163">
                  <c:v>39682</c:v>
                </c:pt>
                <c:pt idx="164">
                  <c:v>39685</c:v>
                </c:pt>
                <c:pt idx="165">
                  <c:v>39686</c:v>
                </c:pt>
                <c:pt idx="166">
                  <c:v>39687</c:v>
                </c:pt>
                <c:pt idx="167">
                  <c:v>39688</c:v>
                </c:pt>
                <c:pt idx="168">
                  <c:v>39689</c:v>
                </c:pt>
                <c:pt idx="169">
                  <c:v>39693</c:v>
                </c:pt>
                <c:pt idx="170">
                  <c:v>39694</c:v>
                </c:pt>
                <c:pt idx="171">
                  <c:v>39695</c:v>
                </c:pt>
                <c:pt idx="172">
                  <c:v>39696</c:v>
                </c:pt>
                <c:pt idx="173">
                  <c:v>39699</c:v>
                </c:pt>
                <c:pt idx="174">
                  <c:v>39700</c:v>
                </c:pt>
                <c:pt idx="175">
                  <c:v>39701</c:v>
                </c:pt>
                <c:pt idx="176">
                  <c:v>39702</c:v>
                </c:pt>
                <c:pt idx="177">
                  <c:v>39703</c:v>
                </c:pt>
                <c:pt idx="178">
                  <c:v>39706</c:v>
                </c:pt>
                <c:pt idx="179">
                  <c:v>39707</c:v>
                </c:pt>
                <c:pt idx="180">
                  <c:v>39708</c:v>
                </c:pt>
                <c:pt idx="181">
                  <c:v>39709</c:v>
                </c:pt>
                <c:pt idx="182">
                  <c:v>39710</c:v>
                </c:pt>
                <c:pt idx="183">
                  <c:v>39713</c:v>
                </c:pt>
                <c:pt idx="184">
                  <c:v>39714</c:v>
                </c:pt>
                <c:pt idx="185">
                  <c:v>39715</c:v>
                </c:pt>
                <c:pt idx="186">
                  <c:v>39716</c:v>
                </c:pt>
                <c:pt idx="187">
                  <c:v>39717</c:v>
                </c:pt>
                <c:pt idx="188">
                  <c:v>39720</c:v>
                </c:pt>
                <c:pt idx="189">
                  <c:v>39721</c:v>
                </c:pt>
                <c:pt idx="190">
                  <c:v>39722</c:v>
                </c:pt>
                <c:pt idx="191">
                  <c:v>39723</c:v>
                </c:pt>
                <c:pt idx="192">
                  <c:v>39724</c:v>
                </c:pt>
                <c:pt idx="193">
                  <c:v>39727</c:v>
                </c:pt>
                <c:pt idx="194">
                  <c:v>39728</c:v>
                </c:pt>
                <c:pt idx="195">
                  <c:v>39729</c:v>
                </c:pt>
                <c:pt idx="196">
                  <c:v>39730</c:v>
                </c:pt>
                <c:pt idx="197">
                  <c:v>39731</c:v>
                </c:pt>
                <c:pt idx="198">
                  <c:v>39734</c:v>
                </c:pt>
                <c:pt idx="199">
                  <c:v>39735</c:v>
                </c:pt>
                <c:pt idx="200">
                  <c:v>39736</c:v>
                </c:pt>
                <c:pt idx="201">
                  <c:v>39737</c:v>
                </c:pt>
                <c:pt idx="202">
                  <c:v>39738</c:v>
                </c:pt>
                <c:pt idx="203">
                  <c:v>39741</c:v>
                </c:pt>
                <c:pt idx="204">
                  <c:v>39742</c:v>
                </c:pt>
                <c:pt idx="205">
                  <c:v>39743</c:v>
                </c:pt>
                <c:pt idx="206">
                  <c:v>39744</c:v>
                </c:pt>
                <c:pt idx="207">
                  <c:v>39745</c:v>
                </c:pt>
                <c:pt idx="208">
                  <c:v>39748</c:v>
                </c:pt>
                <c:pt idx="209">
                  <c:v>39749</c:v>
                </c:pt>
                <c:pt idx="210">
                  <c:v>39750</c:v>
                </c:pt>
                <c:pt idx="211">
                  <c:v>39751</c:v>
                </c:pt>
                <c:pt idx="212">
                  <c:v>39752</c:v>
                </c:pt>
                <c:pt idx="213">
                  <c:v>39755</c:v>
                </c:pt>
                <c:pt idx="214">
                  <c:v>39756</c:v>
                </c:pt>
                <c:pt idx="215">
                  <c:v>39757</c:v>
                </c:pt>
                <c:pt idx="216">
                  <c:v>39758</c:v>
                </c:pt>
                <c:pt idx="217">
                  <c:v>39759</c:v>
                </c:pt>
                <c:pt idx="218">
                  <c:v>39762</c:v>
                </c:pt>
                <c:pt idx="219">
                  <c:v>39763</c:v>
                </c:pt>
                <c:pt idx="220">
                  <c:v>39764</c:v>
                </c:pt>
                <c:pt idx="221">
                  <c:v>39765</c:v>
                </c:pt>
                <c:pt idx="222">
                  <c:v>39766</c:v>
                </c:pt>
                <c:pt idx="223">
                  <c:v>39769</c:v>
                </c:pt>
                <c:pt idx="224">
                  <c:v>39770</c:v>
                </c:pt>
                <c:pt idx="225">
                  <c:v>39771</c:v>
                </c:pt>
                <c:pt idx="226">
                  <c:v>39772</c:v>
                </c:pt>
                <c:pt idx="227">
                  <c:v>39773</c:v>
                </c:pt>
                <c:pt idx="228">
                  <c:v>39776</c:v>
                </c:pt>
                <c:pt idx="229">
                  <c:v>39777</c:v>
                </c:pt>
                <c:pt idx="230">
                  <c:v>39778</c:v>
                </c:pt>
                <c:pt idx="231">
                  <c:v>39780</c:v>
                </c:pt>
                <c:pt idx="232">
                  <c:v>39783</c:v>
                </c:pt>
                <c:pt idx="233">
                  <c:v>39784</c:v>
                </c:pt>
                <c:pt idx="234">
                  <c:v>39785</c:v>
                </c:pt>
                <c:pt idx="235">
                  <c:v>39786</c:v>
                </c:pt>
                <c:pt idx="236">
                  <c:v>39787</c:v>
                </c:pt>
                <c:pt idx="237">
                  <c:v>39790</c:v>
                </c:pt>
                <c:pt idx="238">
                  <c:v>39791</c:v>
                </c:pt>
                <c:pt idx="239">
                  <c:v>39792</c:v>
                </c:pt>
                <c:pt idx="240">
                  <c:v>39793</c:v>
                </c:pt>
                <c:pt idx="241">
                  <c:v>39794</c:v>
                </c:pt>
                <c:pt idx="242">
                  <c:v>39797</c:v>
                </c:pt>
                <c:pt idx="243">
                  <c:v>39798</c:v>
                </c:pt>
                <c:pt idx="244">
                  <c:v>39799</c:v>
                </c:pt>
                <c:pt idx="245">
                  <c:v>39800</c:v>
                </c:pt>
                <c:pt idx="246">
                  <c:v>39801</c:v>
                </c:pt>
                <c:pt idx="247">
                  <c:v>39804</c:v>
                </c:pt>
                <c:pt idx="248">
                  <c:v>39805</c:v>
                </c:pt>
                <c:pt idx="249">
                  <c:v>39806</c:v>
                </c:pt>
                <c:pt idx="250">
                  <c:v>39808</c:v>
                </c:pt>
                <c:pt idx="251">
                  <c:v>39811</c:v>
                </c:pt>
                <c:pt idx="252">
                  <c:v>39812</c:v>
                </c:pt>
                <c:pt idx="253">
                  <c:v>39813</c:v>
                </c:pt>
                <c:pt idx="254">
                  <c:v>39815</c:v>
                </c:pt>
                <c:pt idx="255">
                  <c:v>39818</c:v>
                </c:pt>
                <c:pt idx="256">
                  <c:v>39819</c:v>
                </c:pt>
                <c:pt idx="257">
                  <c:v>39820</c:v>
                </c:pt>
                <c:pt idx="258">
                  <c:v>39821</c:v>
                </c:pt>
                <c:pt idx="259">
                  <c:v>39822</c:v>
                </c:pt>
                <c:pt idx="260">
                  <c:v>39825</c:v>
                </c:pt>
                <c:pt idx="261">
                  <c:v>39826</c:v>
                </c:pt>
                <c:pt idx="262">
                  <c:v>39827</c:v>
                </c:pt>
                <c:pt idx="263">
                  <c:v>39828</c:v>
                </c:pt>
                <c:pt idx="264">
                  <c:v>39829</c:v>
                </c:pt>
                <c:pt idx="265">
                  <c:v>39833</c:v>
                </c:pt>
                <c:pt idx="266">
                  <c:v>39834</c:v>
                </c:pt>
                <c:pt idx="267">
                  <c:v>39835</c:v>
                </c:pt>
                <c:pt idx="268">
                  <c:v>39836</c:v>
                </c:pt>
                <c:pt idx="269">
                  <c:v>39839</c:v>
                </c:pt>
                <c:pt idx="270">
                  <c:v>39840</c:v>
                </c:pt>
                <c:pt idx="271">
                  <c:v>39841</c:v>
                </c:pt>
                <c:pt idx="272">
                  <c:v>39842</c:v>
                </c:pt>
                <c:pt idx="273">
                  <c:v>39843</c:v>
                </c:pt>
                <c:pt idx="274">
                  <c:v>39846</c:v>
                </c:pt>
                <c:pt idx="275">
                  <c:v>39847</c:v>
                </c:pt>
                <c:pt idx="276">
                  <c:v>39848</c:v>
                </c:pt>
                <c:pt idx="277">
                  <c:v>39849</c:v>
                </c:pt>
                <c:pt idx="278">
                  <c:v>39850</c:v>
                </c:pt>
                <c:pt idx="279">
                  <c:v>39853</c:v>
                </c:pt>
                <c:pt idx="280">
                  <c:v>39854</c:v>
                </c:pt>
                <c:pt idx="281">
                  <c:v>39855</c:v>
                </c:pt>
                <c:pt idx="282">
                  <c:v>39856</c:v>
                </c:pt>
                <c:pt idx="283">
                  <c:v>39857</c:v>
                </c:pt>
                <c:pt idx="284">
                  <c:v>39861</c:v>
                </c:pt>
                <c:pt idx="285">
                  <c:v>39862</c:v>
                </c:pt>
                <c:pt idx="286">
                  <c:v>39863</c:v>
                </c:pt>
                <c:pt idx="287">
                  <c:v>39864</c:v>
                </c:pt>
                <c:pt idx="288">
                  <c:v>39867</c:v>
                </c:pt>
                <c:pt idx="289">
                  <c:v>39868</c:v>
                </c:pt>
                <c:pt idx="290">
                  <c:v>39869</c:v>
                </c:pt>
                <c:pt idx="291">
                  <c:v>39870</c:v>
                </c:pt>
                <c:pt idx="292">
                  <c:v>39871</c:v>
                </c:pt>
                <c:pt idx="293">
                  <c:v>39874</c:v>
                </c:pt>
                <c:pt idx="294">
                  <c:v>39875</c:v>
                </c:pt>
                <c:pt idx="295">
                  <c:v>39876</c:v>
                </c:pt>
                <c:pt idx="296">
                  <c:v>39877</c:v>
                </c:pt>
                <c:pt idx="297">
                  <c:v>39878</c:v>
                </c:pt>
                <c:pt idx="298">
                  <c:v>39881</c:v>
                </c:pt>
                <c:pt idx="299">
                  <c:v>39882</c:v>
                </c:pt>
                <c:pt idx="300">
                  <c:v>39883</c:v>
                </c:pt>
                <c:pt idx="301">
                  <c:v>39884</c:v>
                </c:pt>
                <c:pt idx="302">
                  <c:v>39885</c:v>
                </c:pt>
                <c:pt idx="303">
                  <c:v>39888</c:v>
                </c:pt>
                <c:pt idx="304">
                  <c:v>39889</c:v>
                </c:pt>
                <c:pt idx="305">
                  <c:v>39890</c:v>
                </c:pt>
                <c:pt idx="306">
                  <c:v>39891</c:v>
                </c:pt>
                <c:pt idx="307">
                  <c:v>39892</c:v>
                </c:pt>
                <c:pt idx="308">
                  <c:v>39895</c:v>
                </c:pt>
                <c:pt idx="309">
                  <c:v>39896</c:v>
                </c:pt>
                <c:pt idx="310">
                  <c:v>39897</c:v>
                </c:pt>
                <c:pt idx="311">
                  <c:v>39898</c:v>
                </c:pt>
                <c:pt idx="312">
                  <c:v>39899</c:v>
                </c:pt>
                <c:pt idx="313">
                  <c:v>39902</c:v>
                </c:pt>
                <c:pt idx="314">
                  <c:v>39903</c:v>
                </c:pt>
                <c:pt idx="315">
                  <c:v>39904</c:v>
                </c:pt>
                <c:pt idx="316">
                  <c:v>39905</c:v>
                </c:pt>
                <c:pt idx="317">
                  <c:v>39906</c:v>
                </c:pt>
                <c:pt idx="318">
                  <c:v>39909</c:v>
                </c:pt>
                <c:pt idx="319">
                  <c:v>39910</c:v>
                </c:pt>
                <c:pt idx="320">
                  <c:v>39911</c:v>
                </c:pt>
                <c:pt idx="321">
                  <c:v>39912</c:v>
                </c:pt>
                <c:pt idx="322">
                  <c:v>39916</c:v>
                </c:pt>
                <c:pt idx="323">
                  <c:v>39917</c:v>
                </c:pt>
                <c:pt idx="324">
                  <c:v>39918</c:v>
                </c:pt>
                <c:pt idx="325">
                  <c:v>39919</c:v>
                </c:pt>
                <c:pt idx="326">
                  <c:v>39920</c:v>
                </c:pt>
                <c:pt idx="327">
                  <c:v>39923</c:v>
                </c:pt>
                <c:pt idx="328">
                  <c:v>39924</c:v>
                </c:pt>
                <c:pt idx="329">
                  <c:v>39925</c:v>
                </c:pt>
                <c:pt idx="330">
                  <c:v>39926</c:v>
                </c:pt>
                <c:pt idx="331">
                  <c:v>39927</c:v>
                </c:pt>
                <c:pt idx="332">
                  <c:v>39930</c:v>
                </c:pt>
                <c:pt idx="333">
                  <c:v>39931</c:v>
                </c:pt>
                <c:pt idx="334">
                  <c:v>39932</c:v>
                </c:pt>
                <c:pt idx="335">
                  <c:v>39933</c:v>
                </c:pt>
                <c:pt idx="336">
                  <c:v>39934</c:v>
                </c:pt>
                <c:pt idx="337">
                  <c:v>39937</c:v>
                </c:pt>
                <c:pt idx="338">
                  <c:v>39938</c:v>
                </c:pt>
                <c:pt idx="339">
                  <c:v>39939</c:v>
                </c:pt>
                <c:pt idx="340">
                  <c:v>39940</c:v>
                </c:pt>
                <c:pt idx="341">
                  <c:v>39941</c:v>
                </c:pt>
                <c:pt idx="342">
                  <c:v>39944</c:v>
                </c:pt>
                <c:pt idx="343">
                  <c:v>39945</c:v>
                </c:pt>
                <c:pt idx="344">
                  <c:v>39946</c:v>
                </c:pt>
                <c:pt idx="345">
                  <c:v>39947</c:v>
                </c:pt>
                <c:pt idx="346">
                  <c:v>39948</c:v>
                </c:pt>
                <c:pt idx="347">
                  <c:v>39951</c:v>
                </c:pt>
                <c:pt idx="348">
                  <c:v>39952</c:v>
                </c:pt>
                <c:pt idx="349">
                  <c:v>39953</c:v>
                </c:pt>
                <c:pt idx="350">
                  <c:v>39954</c:v>
                </c:pt>
                <c:pt idx="351">
                  <c:v>39955</c:v>
                </c:pt>
                <c:pt idx="352">
                  <c:v>39959</c:v>
                </c:pt>
                <c:pt idx="353">
                  <c:v>39960</c:v>
                </c:pt>
                <c:pt idx="354">
                  <c:v>39961</c:v>
                </c:pt>
                <c:pt idx="355">
                  <c:v>39962</c:v>
                </c:pt>
                <c:pt idx="356">
                  <c:v>39965</c:v>
                </c:pt>
                <c:pt idx="357">
                  <c:v>39966</c:v>
                </c:pt>
                <c:pt idx="358">
                  <c:v>39967</c:v>
                </c:pt>
                <c:pt idx="359">
                  <c:v>39968</c:v>
                </c:pt>
                <c:pt idx="360">
                  <c:v>39969</c:v>
                </c:pt>
                <c:pt idx="361">
                  <c:v>39972</c:v>
                </c:pt>
                <c:pt idx="362">
                  <c:v>39973</c:v>
                </c:pt>
                <c:pt idx="363">
                  <c:v>39974</c:v>
                </c:pt>
                <c:pt idx="364">
                  <c:v>39975</c:v>
                </c:pt>
                <c:pt idx="365">
                  <c:v>39976</c:v>
                </c:pt>
                <c:pt idx="366">
                  <c:v>39979</c:v>
                </c:pt>
                <c:pt idx="367">
                  <c:v>39980</c:v>
                </c:pt>
                <c:pt idx="368">
                  <c:v>39981</c:v>
                </c:pt>
                <c:pt idx="369">
                  <c:v>39982</c:v>
                </c:pt>
                <c:pt idx="370">
                  <c:v>39983</c:v>
                </c:pt>
                <c:pt idx="371">
                  <c:v>39986</c:v>
                </c:pt>
                <c:pt idx="372">
                  <c:v>39987</c:v>
                </c:pt>
                <c:pt idx="373">
                  <c:v>39988</c:v>
                </c:pt>
                <c:pt idx="374">
                  <c:v>39989</c:v>
                </c:pt>
                <c:pt idx="375">
                  <c:v>39990</c:v>
                </c:pt>
                <c:pt idx="376">
                  <c:v>39993</c:v>
                </c:pt>
                <c:pt idx="377">
                  <c:v>39994</c:v>
                </c:pt>
                <c:pt idx="378">
                  <c:v>39995</c:v>
                </c:pt>
                <c:pt idx="379">
                  <c:v>39996</c:v>
                </c:pt>
                <c:pt idx="380">
                  <c:v>40000</c:v>
                </c:pt>
                <c:pt idx="381">
                  <c:v>40001</c:v>
                </c:pt>
                <c:pt idx="382">
                  <c:v>40002</c:v>
                </c:pt>
                <c:pt idx="383">
                  <c:v>40003</c:v>
                </c:pt>
                <c:pt idx="384">
                  <c:v>40004</c:v>
                </c:pt>
                <c:pt idx="385">
                  <c:v>40007</c:v>
                </c:pt>
                <c:pt idx="386">
                  <c:v>40008</c:v>
                </c:pt>
                <c:pt idx="387">
                  <c:v>40009</c:v>
                </c:pt>
                <c:pt idx="388">
                  <c:v>40010</c:v>
                </c:pt>
                <c:pt idx="389">
                  <c:v>40011</c:v>
                </c:pt>
                <c:pt idx="390">
                  <c:v>40014</c:v>
                </c:pt>
                <c:pt idx="391">
                  <c:v>40015</c:v>
                </c:pt>
                <c:pt idx="392">
                  <c:v>40016</c:v>
                </c:pt>
                <c:pt idx="393">
                  <c:v>40017</c:v>
                </c:pt>
                <c:pt idx="394">
                  <c:v>40018</c:v>
                </c:pt>
                <c:pt idx="395">
                  <c:v>40021</c:v>
                </c:pt>
                <c:pt idx="396">
                  <c:v>40022</c:v>
                </c:pt>
                <c:pt idx="397">
                  <c:v>40023</c:v>
                </c:pt>
                <c:pt idx="398">
                  <c:v>40024</c:v>
                </c:pt>
                <c:pt idx="399">
                  <c:v>40025</c:v>
                </c:pt>
                <c:pt idx="400">
                  <c:v>40028</c:v>
                </c:pt>
                <c:pt idx="401">
                  <c:v>40029</c:v>
                </c:pt>
                <c:pt idx="402">
                  <c:v>40030</c:v>
                </c:pt>
                <c:pt idx="403">
                  <c:v>40031</c:v>
                </c:pt>
                <c:pt idx="404">
                  <c:v>40032</c:v>
                </c:pt>
                <c:pt idx="405">
                  <c:v>40035</c:v>
                </c:pt>
                <c:pt idx="406">
                  <c:v>40036</c:v>
                </c:pt>
                <c:pt idx="407">
                  <c:v>40037</c:v>
                </c:pt>
                <c:pt idx="408">
                  <c:v>40038</c:v>
                </c:pt>
                <c:pt idx="409">
                  <c:v>40039</c:v>
                </c:pt>
                <c:pt idx="410">
                  <c:v>40042</c:v>
                </c:pt>
                <c:pt idx="411">
                  <c:v>40043</c:v>
                </c:pt>
                <c:pt idx="412">
                  <c:v>40044</c:v>
                </c:pt>
                <c:pt idx="413">
                  <c:v>40045</c:v>
                </c:pt>
                <c:pt idx="414">
                  <c:v>40046</c:v>
                </c:pt>
                <c:pt idx="415">
                  <c:v>40049</c:v>
                </c:pt>
                <c:pt idx="416">
                  <c:v>40050</c:v>
                </c:pt>
                <c:pt idx="417">
                  <c:v>40051</c:v>
                </c:pt>
                <c:pt idx="418">
                  <c:v>40052</c:v>
                </c:pt>
                <c:pt idx="419">
                  <c:v>40053</c:v>
                </c:pt>
                <c:pt idx="420">
                  <c:v>40056</c:v>
                </c:pt>
                <c:pt idx="421">
                  <c:v>40057</c:v>
                </c:pt>
                <c:pt idx="422">
                  <c:v>40058</c:v>
                </c:pt>
                <c:pt idx="423">
                  <c:v>40059</c:v>
                </c:pt>
                <c:pt idx="424">
                  <c:v>40060</c:v>
                </c:pt>
                <c:pt idx="425">
                  <c:v>40064</c:v>
                </c:pt>
                <c:pt idx="426">
                  <c:v>40065</c:v>
                </c:pt>
                <c:pt idx="427">
                  <c:v>40066</c:v>
                </c:pt>
                <c:pt idx="428">
                  <c:v>40067</c:v>
                </c:pt>
                <c:pt idx="429">
                  <c:v>40070</c:v>
                </c:pt>
                <c:pt idx="430">
                  <c:v>40071</c:v>
                </c:pt>
                <c:pt idx="431">
                  <c:v>40072</c:v>
                </c:pt>
                <c:pt idx="432">
                  <c:v>40073</c:v>
                </c:pt>
                <c:pt idx="433">
                  <c:v>40074</c:v>
                </c:pt>
                <c:pt idx="434">
                  <c:v>40077</c:v>
                </c:pt>
                <c:pt idx="435">
                  <c:v>40078</c:v>
                </c:pt>
                <c:pt idx="436">
                  <c:v>40079</c:v>
                </c:pt>
                <c:pt idx="437">
                  <c:v>40080</c:v>
                </c:pt>
                <c:pt idx="438">
                  <c:v>40081</c:v>
                </c:pt>
                <c:pt idx="439">
                  <c:v>40084</c:v>
                </c:pt>
                <c:pt idx="440">
                  <c:v>40085</c:v>
                </c:pt>
                <c:pt idx="441">
                  <c:v>40086</c:v>
                </c:pt>
                <c:pt idx="442">
                  <c:v>40087</c:v>
                </c:pt>
                <c:pt idx="443">
                  <c:v>40088</c:v>
                </c:pt>
                <c:pt idx="444">
                  <c:v>40091</c:v>
                </c:pt>
                <c:pt idx="445">
                  <c:v>40092</c:v>
                </c:pt>
                <c:pt idx="446">
                  <c:v>40093</c:v>
                </c:pt>
                <c:pt idx="447">
                  <c:v>40094</c:v>
                </c:pt>
                <c:pt idx="448">
                  <c:v>40095</c:v>
                </c:pt>
                <c:pt idx="449">
                  <c:v>40098</c:v>
                </c:pt>
                <c:pt idx="450">
                  <c:v>40099</c:v>
                </c:pt>
                <c:pt idx="451">
                  <c:v>40100</c:v>
                </c:pt>
                <c:pt idx="452">
                  <c:v>40101</c:v>
                </c:pt>
                <c:pt idx="453">
                  <c:v>40102</c:v>
                </c:pt>
                <c:pt idx="454">
                  <c:v>40105</c:v>
                </c:pt>
                <c:pt idx="455">
                  <c:v>40106</c:v>
                </c:pt>
                <c:pt idx="456">
                  <c:v>40107</c:v>
                </c:pt>
                <c:pt idx="457">
                  <c:v>40108</c:v>
                </c:pt>
                <c:pt idx="458">
                  <c:v>40109</c:v>
                </c:pt>
                <c:pt idx="459">
                  <c:v>40112</c:v>
                </c:pt>
                <c:pt idx="460">
                  <c:v>40113</c:v>
                </c:pt>
                <c:pt idx="461">
                  <c:v>40114</c:v>
                </c:pt>
                <c:pt idx="462">
                  <c:v>40115</c:v>
                </c:pt>
                <c:pt idx="463">
                  <c:v>40116</c:v>
                </c:pt>
                <c:pt idx="464">
                  <c:v>40119</c:v>
                </c:pt>
                <c:pt idx="465">
                  <c:v>40120</c:v>
                </c:pt>
                <c:pt idx="466">
                  <c:v>40121</c:v>
                </c:pt>
                <c:pt idx="467">
                  <c:v>40122</c:v>
                </c:pt>
                <c:pt idx="468">
                  <c:v>40123</c:v>
                </c:pt>
                <c:pt idx="469">
                  <c:v>40126</c:v>
                </c:pt>
                <c:pt idx="470">
                  <c:v>40127</c:v>
                </c:pt>
                <c:pt idx="471">
                  <c:v>40128</c:v>
                </c:pt>
                <c:pt idx="472">
                  <c:v>40129</c:v>
                </c:pt>
                <c:pt idx="473">
                  <c:v>40130</c:v>
                </c:pt>
                <c:pt idx="474">
                  <c:v>40133</c:v>
                </c:pt>
                <c:pt idx="475">
                  <c:v>40134</c:v>
                </c:pt>
                <c:pt idx="476">
                  <c:v>40135</c:v>
                </c:pt>
                <c:pt idx="477">
                  <c:v>40136</c:v>
                </c:pt>
                <c:pt idx="478">
                  <c:v>40137</c:v>
                </c:pt>
                <c:pt idx="479">
                  <c:v>40140</c:v>
                </c:pt>
                <c:pt idx="480">
                  <c:v>40141</c:v>
                </c:pt>
                <c:pt idx="481">
                  <c:v>40142</c:v>
                </c:pt>
                <c:pt idx="482">
                  <c:v>40144</c:v>
                </c:pt>
                <c:pt idx="483">
                  <c:v>40147</c:v>
                </c:pt>
                <c:pt idx="484">
                  <c:v>40148</c:v>
                </c:pt>
                <c:pt idx="485">
                  <c:v>40149</c:v>
                </c:pt>
                <c:pt idx="486">
                  <c:v>40150</c:v>
                </c:pt>
                <c:pt idx="487">
                  <c:v>40151</c:v>
                </c:pt>
                <c:pt idx="488">
                  <c:v>40154</c:v>
                </c:pt>
                <c:pt idx="489">
                  <c:v>40155</c:v>
                </c:pt>
                <c:pt idx="490">
                  <c:v>40156</c:v>
                </c:pt>
                <c:pt idx="491">
                  <c:v>40157</c:v>
                </c:pt>
                <c:pt idx="492">
                  <c:v>40158</c:v>
                </c:pt>
                <c:pt idx="493">
                  <c:v>40161</c:v>
                </c:pt>
                <c:pt idx="494">
                  <c:v>40162</c:v>
                </c:pt>
                <c:pt idx="495">
                  <c:v>40163</c:v>
                </c:pt>
                <c:pt idx="496">
                  <c:v>40164</c:v>
                </c:pt>
                <c:pt idx="497">
                  <c:v>40165</c:v>
                </c:pt>
                <c:pt idx="498">
                  <c:v>40168</c:v>
                </c:pt>
                <c:pt idx="499">
                  <c:v>40169</c:v>
                </c:pt>
                <c:pt idx="500">
                  <c:v>40170</c:v>
                </c:pt>
                <c:pt idx="501">
                  <c:v>40171</c:v>
                </c:pt>
                <c:pt idx="502">
                  <c:v>40175</c:v>
                </c:pt>
                <c:pt idx="503">
                  <c:v>40176</c:v>
                </c:pt>
                <c:pt idx="504">
                  <c:v>40177</c:v>
                </c:pt>
                <c:pt idx="505">
                  <c:v>40178</c:v>
                </c:pt>
                <c:pt idx="506">
                  <c:v>40182</c:v>
                </c:pt>
                <c:pt idx="507">
                  <c:v>40183</c:v>
                </c:pt>
                <c:pt idx="508">
                  <c:v>40184</c:v>
                </c:pt>
                <c:pt idx="509">
                  <c:v>40185</c:v>
                </c:pt>
                <c:pt idx="510">
                  <c:v>40186</c:v>
                </c:pt>
                <c:pt idx="511">
                  <c:v>40189</c:v>
                </c:pt>
                <c:pt idx="512">
                  <c:v>40190</c:v>
                </c:pt>
                <c:pt idx="513">
                  <c:v>40191</c:v>
                </c:pt>
                <c:pt idx="514">
                  <c:v>40192</c:v>
                </c:pt>
                <c:pt idx="515">
                  <c:v>40193</c:v>
                </c:pt>
                <c:pt idx="516">
                  <c:v>40197</c:v>
                </c:pt>
                <c:pt idx="517">
                  <c:v>40198</c:v>
                </c:pt>
                <c:pt idx="518">
                  <c:v>40199</c:v>
                </c:pt>
                <c:pt idx="519">
                  <c:v>40200</c:v>
                </c:pt>
                <c:pt idx="520">
                  <c:v>40203</c:v>
                </c:pt>
                <c:pt idx="521">
                  <c:v>40204</c:v>
                </c:pt>
                <c:pt idx="522">
                  <c:v>40205</c:v>
                </c:pt>
                <c:pt idx="523">
                  <c:v>40206</c:v>
                </c:pt>
                <c:pt idx="524">
                  <c:v>40207</c:v>
                </c:pt>
                <c:pt idx="525">
                  <c:v>40210</c:v>
                </c:pt>
                <c:pt idx="526">
                  <c:v>40211</c:v>
                </c:pt>
                <c:pt idx="527">
                  <c:v>40212</c:v>
                </c:pt>
                <c:pt idx="528">
                  <c:v>40213</c:v>
                </c:pt>
                <c:pt idx="529">
                  <c:v>40214</c:v>
                </c:pt>
                <c:pt idx="530">
                  <c:v>40217</c:v>
                </c:pt>
                <c:pt idx="531">
                  <c:v>40218</c:v>
                </c:pt>
                <c:pt idx="532">
                  <c:v>40219</c:v>
                </c:pt>
                <c:pt idx="533">
                  <c:v>40220</c:v>
                </c:pt>
                <c:pt idx="534">
                  <c:v>40221</c:v>
                </c:pt>
                <c:pt idx="535">
                  <c:v>40225</c:v>
                </c:pt>
                <c:pt idx="536">
                  <c:v>40226</c:v>
                </c:pt>
                <c:pt idx="537">
                  <c:v>40227</c:v>
                </c:pt>
                <c:pt idx="538">
                  <c:v>40228</c:v>
                </c:pt>
                <c:pt idx="539">
                  <c:v>40231</c:v>
                </c:pt>
                <c:pt idx="540">
                  <c:v>40232</c:v>
                </c:pt>
                <c:pt idx="541">
                  <c:v>40233</c:v>
                </c:pt>
                <c:pt idx="542">
                  <c:v>40234</c:v>
                </c:pt>
                <c:pt idx="543">
                  <c:v>40235</c:v>
                </c:pt>
                <c:pt idx="544">
                  <c:v>40238</c:v>
                </c:pt>
                <c:pt idx="545">
                  <c:v>40239</c:v>
                </c:pt>
                <c:pt idx="546">
                  <c:v>40240</c:v>
                </c:pt>
                <c:pt idx="547">
                  <c:v>40241</c:v>
                </c:pt>
                <c:pt idx="548">
                  <c:v>40242</c:v>
                </c:pt>
                <c:pt idx="549">
                  <c:v>40245</c:v>
                </c:pt>
                <c:pt idx="550">
                  <c:v>40246</c:v>
                </c:pt>
                <c:pt idx="551">
                  <c:v>40247</c:v>
                </c:pt>
                <c:pt idx="552">
                  <c:v>40248</c:v>
                </c:pt>
                <c:pt idx="553">
                  <c:v>40249</c:v>
                </c:pt>
                <c:pt idx="554">
                  <c:v>40252</c:v>
                </c:pt>
                <c:pt idx="555">
                  <c:v>40253</c:v>
                </c:pt>
                <c:pt idx="556">
                  <c:v>40254</c:v>
                </c:pt>
                <c:pt idx="557">
                  <c:v>40255</c:v>
                </c:pt>
                <c:pt idx="558">
                  <c:v>40256</c:v>
                </c:pt>
                <c:pt idx="559">
                  <c:v>40259</c:v>
                </c:pt>
                <c:pt idx="560">
                  <c:v>40260</c:v>
                </c:pt>
                <c:pt idx="561">
                  <c:v>40261</c:v>
                </c:pt>
                <c:pt idx="562">
                  <c:v>40262</c:v>
                </c:pt>
                <c:pt idx="563">
                  <c:v>40263</c:v>
                </c:pt>
                <c:pt idx="564">
                  <c:v>40266</c:v>
                </c:pt>
                <c:pt idx="565">
                  <c:v>40267</c:v>
                </c:pt>
                <c:pt idx="566">
                  <c:v>40268</c:v>
                </c:pt>
                <c:pt idx="567">
                  <c:v>40269</c:v>
                </c:pt>
                <c:pt idx="568">
                  <c:v>40273</c:v>
                </c:pt>
                <c:pt idx="569">
                  <c:v>40274</c:v>
                </c:pt>
                <c:pt idx="570">
                  <c:v>40275</c:v>
                </c:pt>
                <c:pt idx="571">
                  <c:v>40276</c:v>
                </c:pt>
                <c:pt idx="572">
                  <c:v>40277</c:v>
                </c:pt>
                <c:pt idx="573">
                  <c:v>40280</c:v>
                </c:pt>
                <c:pt idx="574">
                  <c:v>40281</c:v>
                </c:pt>
                <c:pt idx="575">
                  <c:v>40282</c:v>
                </c:pt>
                <c:pt idx="576">
                  <c:v>40283</c:v>
                </c:pt>
                <c:pt idx="577">
                  <c:v>40284</c:v>
                </c:pt>
                <c:pt idx="578">
                  <c:v>40287</c:v>
                </c:pt>
                <c:pt idx="579">
                  <c:v>40288</c:v>
                </c:pt>
                <c:pt idx="580">
                  <c:v>40289</c:v>
                </c:pt>
                <c:pt idx="581">
                  <c:v>40290</c:v>
                </c:pt>
                <c:pt idx="582">
                  <c:v>40291</c:v>
                </c:pt>
                <c:pt idx="583">
                  <c:v>40294</c:v>
                </c:pt>
                <c:pt idx="584">
                  <c:v>40295</c:v>
                </c:pt>
                <c:pt idx="585">
                  <c:v>40296</c:v>
                </c:pt>
                <c:pt idx="586">
                  <c:v>40297</c:v>
                </c:pt>
                <c:pt idx="587">
                  <c:v>40298</c:v>
                </c:pt>
                <c:pt idx="588">
                  <c:v>40301</c:v>
                </c:pt>
                <c:pt idx="589">
                  <c:v>40302</c:v>
                </c:pt>
                <c:pt idx="590">
                  <c:v>40303</c:v>
                </c:pt>
                <c:pt idx="591">
                  <c:v>40304</c:v>
                </c:pt>
                <c:pt idx="592">
                  <c:v>40305</c:v>
                </c:pt>
                <c:pt idx="593">
                  <c:v>40308</c:v>
                </c:pt>
                <c:pt idx="594">
                  <c:v>40309</c:v>
                </c:pt>
                <c:pt idx="595">
                  <c:v>40310</c:v>
                </c:pt>
                <c:pt idx="596">
                  <c:v>40311</c:v>
                </c:pt>
                <c:pt idx="597">
                  <c:v>40312</c:v>
                </c:pt>
                <c:pt idx="598">
                  <c:v>40315</c:v>
                </c:pt>
                <c:pt idx="599">
                  <c:v>40316</c:v>
                </c:pt>
                <c:pt idx="600">
                  <c:v>40317</c:v>
                </c:pt>
                <c:pt idx="601">
                  <c:v>40318</c:v>
                </c:pt>
                <c:pt idx="602">
                  <c:v>40319</c:v>
                </c:pt>
                <c:pt idx="603">
                  <c:v>40322</c:v>
                </c:pt>
                <c:pt idx="604">
                  <c:v>40323</c:v>
                </c:pt>
                <c:pt idx="605">
                  <c:v>40324</c:v>
                </c:pt>
                <c:pt idx="606">
                  <c:v>40325</c:v>
                </c:pt>
                <c:pt idx="607">
                  <c:v>40326</c:v>
                </c:pt>
                <c:pt idx="608">
                  <c:v>40330</c:v>
                </c:pt>
                <c:pt idx="609">
                  <c:v>40331</c:v>
                </c:pt>
                <c:pt idx="610">
                  <c:v>40332</c:v>
                </c:pt>
                <c:pt idx="611">
                  <c:v>40333</c:v>
                </c:pt>
                <c:pt idx="612">
                  <c:v>40336</c:v>
                </c:pt>
                <c:pt idx="613">
                  <c:v>40337</c:v>
                </c:pt>
                <c:pt idx="614">
                  <c:v>40338</c:v>
                </c:pt>
                <c:pt idx="615">
                  <c:v>40339</c:v>
                </c:pt>
                <c:pt idx="616">
                  <c:v>40340</c:v>
                </c:pt>
                <c:pt idx="617">
                  <c:v>40343</c:v>
                </c:pt>
                <c:pt idx="618">
                  <c:v>40344</c:v>
                </c:pt>
                <c:pt idx="619">
                  <c:v>40345</c:v>
                </c:pt>
                <c:pt idx="620">
                  <c:v>40346</c:v>
                </c:pt>
                <c:pt idx="621">
                  <c:v>40347</c:v>
                </c:pt>
                <c:pt idx="622">
                  <c:v>40350</c:v>
                </c:pt>
                <c:pt idx="623">
                  <c:v>40351</c:v>
                </c:pt>
                <c:pt idx="624">
                  <c:v>40352</c:v>
                </c:pt>
                <c:pt idx="625">
                  <c:v>40353</c:v>
                </c:pt>
                <c:pt idx="626">
                  <c:v>40354</c:v>
                </c:pt>
                <c:pt idx="627">
                  <c:v>40357</c:v>
                </c:pt>
                <c:pt idx="628">
                  <c:v>40358</c:v>
                </c:pt>
                <c:pt idx="629">
                  <c:v>40359</c:v>
                </c:pt>
                <c:pt idx="630">
                  <c:v>40360</c:v>
                </c:pt>
                <c:pt idx="631">
                  <c:v>40361</c:v>
                </c:pt>
                <c:pt idx="632">
                  <c:v>40365</c:v>
                </c:pt>
                <c:pt idx="633">
                  <c:v>40366</c:v>
                </c:pt>
                <c:pt idx="634">
                  <c:v>40367</c:v>
                </c:pt>
                <c:pt idx="635">
                  <c:v>40368</c:v>
                </c:pt>
                <c:pt idx="636">
                  <c:v>40371</c:v>
                </c:pt>
                <c:pt idx="637">
                  <c:v>40372</c:v>
                </c:pt>
                <c:pt idx="638">
                  <c:v>40373</c:v>
                </c:pt>
                <c:pt idx="639">
                  <c:v>40374</c:v>
                </c:pt>
                <c:pt idx="640">
                  <c:v>40375</c:v>
                </c:pt>
                <c:pt idx="641">
                  <c:v>40378</c:v>
                </c:pt>
                <c:pt idx="642">
                  <c:v>40379</c:v>
                </c:pt>
                <c:pt idx="643">
                  <c:v>40380</c:v>
                </c:pt>
                <c:pt idx="644">
                  <c:v>40381</c:v>
                </c:pt>
                <c:pt idx="645">
                  <c:v>40382</c:v>
                </c:pt>
                <c:pt idx="646">
                  <c:v>40385</c:v>
                </c:pt>
                <c:pt idx="647">
                  <c:v>40386</c:v>
                </c:pt>
                <c:pt idx="648">
                  <c:v>40387</c:v>
                </c:pt>
                <c:pt idx="649">
                  <c:v>40388</c:v>
                </c:pt>
                <c:pt idx="650">
                  <c:v>40389</c:v>
                </c:pt>
                <c:pt idx="651">
                  <c:v>40392</c:v>
                </c:pt>
                <c:pt idx="652">
                  <c:v>40393</c:v>
                </c:pt>
                <c:pt idx="653">
                  <c:v>40394</c:v>
                </c:pt>
                <c:pt idx="654">
                  <c:v>40395</c:v>
                </c:pt>
                <c:pt idx="655">
                  <c:v>40396</c:v>
                </c:pt>
                <c:pt idx="656">
                  <c:v>40399</c:v>
                </c:pt>
                <c:pt idx="657">
                  <c:v>40400</c:v>
                </c:pt>
                <c:pt idx="658">
                  <c:v>40401</c:v>
                </c:pt>
                <c:pt idx="659">
                  <c:v>40402</c:v>
                </c:pt>
                <c:pt idx="660">
                  <c:v>40403</c:v>
                </c:pt>
                <c:pt idx="661">
                  <c:v>40406</c:v>
                </c:pt>
                <c:pt idx="662">
                  <c:v>40407</c:v>
                </c:pt>
                <c:pt idx="663">
                  <c:v>40408</c:v>
                </c:pt>
                <c:pt idx="664">
                  <c:v>40409</c:v>
                </c:pt>
                <c:pt idx="665">
                  <c:v>40410</c:v>
                </c:pt>
                <c:pt idx="666">
                  <c:v>40413</c:v>
                </c:pt>
                <c:pt idx="667">
                  <c:v>40414</c:v>
                </c:pt>
                <c:pt idx="668">
                  <c:v>40415</c:v>
                </c:pt>
                <c:pt idx="669">
                  <c:v>40416</c:v>
                </c:pt>
                <c:pt idx="670">
                  <c:v>40417</c:v>
                </c:pt>
                <c:pt idx="671">
                  <c:v>40420</c:v>
                </c:pt>
                <c:pt idx="672">
                  <c:v>40421</c:v>
                </c:pt>
                <c:pt idx="673">
                  <c:v>40422</c:v>
                </c:pt>
                <c:pt idx="674">
                  <c:v>40423</c:v>
                </c:pt>
                <c:pt idx="675">
                  <c:v>40424</c:v>
                </c:pt>
                <c:pt idx="676">
                  <c:v>40428</c:v>
                </c:pt>
                <c:pt idx="677">
                  <c:v>40429</c:v>
                </c:pt>
                <c:pt idx="678">
                  <c:v>40430</c:v>
                </c:pt>
                <c:pt idx="679">
                  <c:v>40431</c:v>
                </c:pt>
                <c:pt idx="680">
                  <c:v>40434</c:v>
                </c:pt>
                <c:pt idx="681">
                  <c:v>40435</c:v>
                </c:pt>
                <c:pt idx="682">
                  <c:v>40436</c:v>
                </c:pt>
                <c:pt idx="683">
                  <c:v>40437</c:v>
                </c:pt>
                <c:pt idx="684">
                  <c:v>40438</c:v>
                </c:pt>
                <c:pt idx="685">
                  <c:v>40441</c:v>
                </c:pt>
                <c:pt idx="686">
                  <c:v>40442</c:v>
                </c:pt>
                <c:pt idx="687">
                  <c:v>40443</c:v>
                </c:pt>
                <c:pt idx="688">
                  <c:v>40444</c:v>
                </c:pt>
                <c:pt idx="689">
                  <c:v>40445</c:v>
                </c:pt>
                <c:pt idx="690">
                  <c:v>40448</c:v>
                </c:pt>
                <c:pt idx="691">
                  <c:v>40449</c:v>
                </c:pt>
                <c:pt idx="692">
                  <c:v>40450</c:v>
                </c:pt>
                <c:pt idx="693">
                  <c:v>40451</c:v>
                </c:pt>
                <c:pt idx="694">
                  <c:v>40452</c:v>
                </c:pt>
                <c:pt idx="695">
                  <c:v>40455</c:v>
                </c:pt>
                <c:pt idx="696">
                  <c:v>40456</c:v>
                </c:pt>
                <c:pt idx="697">
                  <c:v>40457</c:v>
                </c:pt>
                <c:pt idx="698">
                  <c:v>40458</c:v>
                </c:pt>
                <c:pt idx="699">
                  <c:v>40459</c:v>
                </c:pt>
                <c:pt idx="700">
                  <c:v>40462</c:v>
                </c:pt>
                <c:pt idx="701">
                  <c:v>40463</c:v>
                </c:pt>
                <c:pt idx="702">
                  <c:v>40464</c:v>
                </c:pt>
                <c:pt idx="703">
                  <c:v>40465</c:v>
                </c:pt>
                <c:pt idx="704">
                  <c:v>40466</c:v>
                </c:pt>
                <c:pt idx="705">
                  <c:v>40469</c:v>
                </c:pt>
                <c:pt idx="706">
                  <c:v>40470</c:v>
                </c:pt>
                <c:pt idx="707">
                  <c:v>40471</c:v>
                </c:pt>
                <c:pt idx="708">
                  <c:v>40472</c:v>
                </c:pt>
                <c:pt idx="709">
                  <c:v>40473</c:v>
                </c:pt>
                <c:pt idx="710">
                  <c:v>40476</c:v>
                </c:pt>
                <c:pt idx="711">
                  <c:v>40477</c:v>
                </c:pt>
                <c:pt idx="712">
                  <c:v>40478</c:v>
                </c:pt>
                <c:pt idx="713">
                  <c:v>40479</c:v>
                </c:pt>
                <c:pt idx="714">
                  <c:v>40480</c:v>
                </c:pt>
                <c:pt idx="715">
                  <c:v>40483</c:v>
                </c:pt>
                <c:pt idx="716">
                  <c:v>40484</c:v>
                </c:pt>
                <c:pt idx="717">
                  <c:v>40485</c:v>
                </c:pt>
                <c:pt idx="718">
                  <c:v>40486</c:v>
                </c:pt>
                <c:pt idx="719">
                  <c:v>40487</c:v>
                </c:pt>
                <c:pt idx="720">
                  <c:v>40490</c:v>
                </c:pt>
                <c:pt idx="721">
                  <c:v>40491</c:v>
                </c:pt>
                <c:pt idx="722">
                  <c:v>40492</c:v>
                </c:pt>
                <c:pt idx="723">
                  <c:v>40493</c:v>
                </c:pt>
                <c:pt idx="724">
                  <c:v>40494</c:v>
                </c:pt>
                <c:pt idx="725">
                  <c:v>40497</c:v>
                </c:pt>
                <c:pt idx="726">
                  <c:v>40498</c:v>
                </c:pt>
                <c:pt idx="727">
                  <c:v>40499</c:v>
                </c:pt>
                <c:pt idx="728">
                  <c:v>40500</c:v>
                </c:pt>
                <c:pt idx="729">
                  <c:v>40501</c:v>
                </c:pt>
                <c:pt idx="730">
                  <c:v>40504</c:v>
                </c:pt>
                <c:pt idx="731">
                  <c:v>40505</c:v>
                </c:pt>
                <c:pt idx="732">
                  <c:v>40506</c:v>
                </c:pt>
                <c:pt idx="733">
                  <c:v>40508</c:v>
                </c:pt>
                <c:pt idx="734">
                  <c:v>40511</c:v>
                </c:pt>
                <c:pt idx="735">
                  <c:v>40512</c:v>
                </c:pt>
                <c:pt idx="736">
                  <c:v>40513</c:v>
                </c:pt>
                <c:pt idx="737">
                  <c:v>40514</c:v>
                </c:pt>
                <c:pt idx="738">
                  <c:v>40515</c:v>
                </c:pt>
                <c:pt idx="739">
                  <c:v>40518</c:v>
                </c:pt>
                <c:pt idx="740">
                  <c:v>40519</c:v>
                </c:pt>
                <c:pt idx="741">
                  <c:v>40520</c:v>
                </c:pt>
                <c:pt idx="742">
                  <c:v>40521</c:v>
                </c:pt>
                <c:pt idx="743">
                  <c:v>40522</c:v>
                </c:pt>
                <c:pt idx="744">
                  <c:v>40525</c:v>
                </c:pt>
                <c:pt idx="745">
                  <c:v>40526</c:v>
                </c:pt>
                <c:pt idx="746">
                  <c:v>40527</c:v>
                </c:pt>
                <c:pt idx="747">
                  <c:v>40528</c:v>
                </c:pt>
                <c:pt idx="748">
                  <c:v>40529</c:v>
                </c:pt>
                <c:pt idx="749">
                  <c:v>40532</c:v>
                </c:pt>
                <c:pt idx="750">
                  <c:v>40533</c:v>
                </c:pt>
                <c:pt idx="751">
                  <c:v>40534</c:v>
                </c:pt>
                <c:pt idx="752">
                  <c:v>40535</c:v>
                </c:pt>
                <c:pt idx="753">
                  <c:v>40539</c:v>
                </c:pt>
                <c:pt idx="754">
                  <c:v>40540</c:v>
                </c:pt>
                <c:pt idx="755">
                  <c:v>40541</c:v>
                </c:pt>
                <c:pt idx="756">
                  <c:v>40542</c:v>
                </c:pt>
                <c:pt idx="757">
                  <c:v>40543</c:v>
                </c:pt>
                <c:pt idx="758">
                  <c:v>40546</c:v>
                </c:pt>
                <c:pt idx="759">
                  <c:v>40547</c:v>
                </c:pt>
                <c:pt idx="760">
                  <c:v>40548</c:v>
                </c:pt>
                <c:pt idx="761">
                  <c:v>40549</c:v>
                </c:pt>
                <c:pt idx="762">
                  <c:v>40550</c:v>
                </c:pt>
                <c:pt idx="763">
                  <c:v>40553</c:v>
                </c:pt>
                <c:pt idx="764">
                  <c:v>40554</c:v>
                </c:pt>
                <c:pt idx="765">
                  <c:v>40555</c:v>
                </c:pt>
                <c:pt idx="766">
                  <c:v>40556</c:v>
                </c:pt>
                <c:pt idx="767">
                  <c:v>40557</c:v>
                </c:pt>
                <c:pt idx="768">
                  <c:v>40561</c:v>
                </c:pt>
                <c:pt idx="769">
                  <c:v>40562</c:v>
                </c:pt>
                <c:pt idx="770">
                  <c:v>40563</c:v>
                </c:pt>
                <c:pt idx="771">
                  <c:v>40564</c:v>
                </c:pt>
                <c:pt idx="772">
                  <c:v>40567</c:v>
                </c:pt>
                <c:pt idx="773">
                  <c:v>40568</c:v>
                </c:pt>
                <c:pt idx="774">
                  <c:v>40569</c:v>
                </c:pt>
                <c:pt idx="775">
                  <c:v>40570</c:v>
                </c:pt>
                <c:pt idx="776">
                  <c:v>40571</c:v>
                </c:pt>
                <c:pt idx="777">
                  <c:v>40574</c:v>
                </c:pt>
                <c:pt idx="778">
                  <c:v>40575</c:v>
                </c:pt>
                <c:pt idx="779">
                  <c:v>40576</c:v>
                </c:pt>
                <c:pt idx="780">
                  <c:v>40577</c:v>
                </c:pt>
                <c:pt idx="781">
                  <c:v>40578</c:v>
                </c:pt>
                <c:pt idx="782">
                  <c:v>40581</c:v>
                </c:pt>
                <c:pt idx="783">
                  <c:v>40582</c:v>
                </c:pt>
                <c:pt idx="784">
                  <c:v>40583</c:v>
                </c:pt>
                <c:pt idx="785">
                  <c:v>40584</c:v>
                </c:pt>
                <c:pt idx="786">
                  <c:v>40585</c:v>
                </c:pt>
                <c:pt idx="787">
                  <c:v>40588</c:v>
                </c:pt>
                <c:pt idx="788">
                  <c:v>40589</c:v>
                </c:pt>
                <c:pt idx="789">
                  <c:v>40590</c:v>
                </c:pt>
                <c:pt idx="790">
                  <c:v>40591</c:v>
                </c:pt>
                <c:pt idx="791">
                  <c:v>40592</c:v>
                </c:pt>
                <c:pt idx="792">
                  <c:v>40596</c:v>
                </c:pt>
                <c:pt idx="793">
                  <c:v>40597</c:v>
                </c:pt>
                <c:pt idx="794">
                  <c:v>40598</c:v>
                </c:pt>
                <c:pt idx="795">
                  <c:v>40599</c:v>
                </c:pt>
                <c:pt idx="796">
                  <c:v>40602</c:v>
                </c:pt>
                <c:pt idx="797">
                  <c:v>40603</c:v>
                </c:pt>
                <c:pt idx="798">
                  <c:v>40604</c:v>
                </c:pt>
                <c:pt idx="799">
                  <c:v>40605</c:v>
                </c:pt>
                <c:pt idx="800">
                  <c:v>40606</c:v>
                </c:pt>
                <c:pt idx="801">
                  <c:v>40609</c:v>
                </c:pt>
                <c:pt idx="802">
                  <c:v>40610</c:v>
                </c:pt>
                <c:pt idx="803">
                  <c:v>40611</c:v>
                </c:pt>
                <c:pt idx="804">
                  <c:v>40612</c:v>
                </c:pt>
                <c:pt idx="805">
                  <c:v>40613</c:v>
                </c:pt>
                <c:pt idx="806">
                  <c:v>40616</c:v>
                </c:pt>
                <c:pt idx="807">
                  <c:v>40617</c:v>
                </c:pt>
                <c:pt idx="808">
                  <c:v>40618</c:v>
                </c:pt>
                <c:pt idx="809">
                  <c:v>40619</c:v>
                </c:pt>
                <c:pt idx="810">
                  <c:v>40620</c:v>
                </c:pt>
                <c:pt idx="811">
                  <c:v>40623</c:v>
                </c:pt>
                <c:pt idx="812">
                  <c:v>40624</c:v>
                </c:pt>
                <c:pt idx="813">
                  <c:v>40625</c:v>
                </c:pt>
                <c:pt idx="814">
                  <c:v>40626</c:v>
                </c:pt>
                <c:pt idx="815">
                  <c:v>40627</c:v>
                </c:pt>
                <c:pt idx="816">
                  <c:v>40630</c:v>
                </c:pt>
                <c:pt idx="817">
                  <c:v>40631</c:v>
                </c:pt>
                <c:pt idx="818">
                  <c:v>40632</c:v>
                </c:pt>
                <c:pt idx="819">
                  <c:v>40633</c:v>
                </c:pt>
                <c:pt idx="820">
                  <c:v>40634</c:v>
                </c:pt>
                <c:pt idx="821">
                  <c:v>40637</c:v>
                </c:pt>
                <c:pt idx="822">
                  <c:v>40638</c:v>
                </c:pt>
                <c:pt idx="823">
                  <c:v>40639</c:v>
                </c:pt>
                <c:pt idx="824">
                  <c:v>40640</c:v>
                </c:pt>
                <c:pt idx="825">
                  <c:v>40641</c:v>
                </c:pt>
                <c:pt idx="826">
                  <c:v>40644</c:v>
                </c:pt>
                <c:pt idx="827">
                  <c:v>40645</c:v>
                </c:pt>
                <c:pt idx="828">
                  <c:v>40646</c:v>
                </c:pt>
                <c:pt idx="829">
                  <c:v>40647</c:v>
                </c:pt>
                <c:pt idx="830">
                  <c:v>40648</c:v>
                </c:pt>
                <c:pt idx="831">
                  <c:v>40651</c:v>
                </c:pt>
                <c:pt idx="832">
                  <c:v>40652</c:v>
                </c:pt>
                <c:pt idx="833">
                  <c:v>40653</c:v>
                </c:pt>
                <c:pt idx="834">
                  <c:v>40654</c:v>
                </c:pt>
                <c:pt idx="835">
                  <c:v>40658</c:v>
                </c:pt>
                <c:pt idx="836">
                  <c:v>40659</c:v>
                </c:pt>
                <c:pt idx="837">
                  <c:v>40660</c:v>
                </c:pt>
                <c:pt idx="838">
                  <c:v>40661</c:v>
                </c:pt>
                <c:pt idx="839">
                  <c:v>40662</c:v>
                </c:pt>
                <c:pt idx="840">
                  <c:v>40665</c:v>
                </c:pt>
                <c:pt idx="841">
                  <c:v>40666</c:v>
                </c:pt>
                <c:pt idx="842">
                  <c:v>40667</c:v>
                </c:pt>
                <c:pt idx="843">
                  <c:v>40668</c:v>
                </c:pt>
                <c:pt idx="844">
                  <c:v>40669</c:v>
                </c:pt>
                <c:pt idx="845">
                  <c:v>40672</c:v>
                </c:pt>
                <c:pt idx="846">
                  <c:v>40673</c:v>
                </c:pt>
                <c:pt idx="847">
                  <c:v>40674</c:v>
                </c:pt>
                <c:pt idx="848">
                  <c:v>40675</c:v>
                </c:pt>
                <c:pt idx="849">
                  <c:v>40676</c:v>
                </c:pt>
                <c:pt idx="850">
                  <c:v>40679</c:v>
                </c:pt>
                <c:pt idx="851">
                  <c:v>40680</c:v>
                </c:pt>
                <c:pt idx="852">
                  <c:v>40681</c:v>
                </c:pt>
                <c:pt idx="853">
                  <c:v>40682</c:v>
                </c:pt>
                <c:pt idx="854">
                  <c:v>40683</c:v>
                </c:pt>
                <c:pt idx="855">
                  <c:v>40686</c:v>
                </c:pt>
                <c:pt idx="856">
                  <c:v>40687</c:v>
                </c:pt>
                <c:pt idx="857">
                  <c:v>40688</c:v>
                </c:pt>
                <c:pt idx="858">
                  <c:v>40689</c:v>
                </c:pt>
                <c:pt idx="859">
                  <c:v>40690</c:v>
                </c:pt>
                <c:pt idx="860">
                  <c:v>40694</c:v>
                </c:pt>
                <c:pt idx="861">
                  <c:v>40695</c:v>
                </c:pt>
                <c:pt idx="862">
                  <c:v>40696</c:v>
                </c:pt>
                <c:pt idx="863">
                  <c:v>40697</c:v>
                </c:pt>
                <c:pt idx="864">
                  <c:v>40700</c:v>
                </c:pt>
                <c:pt idx="865">
                  <c:v>40701</c:v>
                </c:pt>
                <c:pt idx="866">
                  <c:v>40702</c:v>
                </c:pt>
                <c:pt idx="867">
                  <c:v>40703</c:v>
                </c:pt>
                <c:pt idx="868">
                  <c:v>40704</c:v>
                </c:pt>
                <c:pt idx="869">
                  <c:v>40707</c:v>
                </c:pt>
                <c:pt idx="870">
                  <c:v>40708</c:v>
                </c:pt>
                <c:pt idx="871">
                  <c:v>40709</c:v>
                </c:pt>
                <c:pt idx="872">
                  <c:v>40710</c:v>
                </c:pt>
                <c:pt idx="873">
                  <c:v>40711</c:v>
                </c:pt>
                <c:pt idx="874">
                  <c:v>40714</c:v>
                </c:pt>
                <c:pt idx="875">
                  <c:v>40715</c:v>
                </c:pt>
                <c:pt idx="876">
                  <c:v>40716</c:v>
                </c:pt>
                <c:pt idx="877">
                  <c:v>40717</c:v>
                </c:pt>
                <c:pt idx="878">
                  <c:v>40718</c:v>
                </c:pt>
                <c:pt idx="879">
                  <c:v>40721</c:v>
                </c:pt>
                <c:pt idx="880">
                  <c:v>40722</c:v>
                </c:pt>
                <c:pt idx="881">
                  <c:v>40723</c:v>
                </c:pt>
                <c:pt idx="882">
                  <c:v>40724</c:v>
                </c:pt>
                <c:pt idx="883">
                  <c:v>40725</c:v>
                </c:pt>
                <c:pt idx="884">
                  <c:v>40729</c:v>
                </c:pt>
                <c:pt idx="885">
                  <c:v>40730</c:v>
                </c:pt>
                <c:pt idx="886">
                  <c:v>40731</c:v>
                </c:pt>
                <c:pt idx="887">
                  <c:v>40732</c:v>
                </c:pt>
                <c:pt idx="888">
                  <c:v>40735</c:v>
                </c:pt>
                <c:pt idx="889">
                  <c:v>40736</c:v>
                </c:pt>
                <c:pt idx="890">
                  <c:v>40737</c:v>
                </c:pt>
                <c:pt idx="891">
                  <c:v>40738</c:v>
                </c:pt>
                <c:pt idx="892">
                  <c:v>40739</c:v>
                </c:pt>
                <c:pt idx="893">
                  <c:v>40742</c:v>
                </c:pt>
                <c:pt idx="894">
                  <c:v>40743</c:v>
                </c:pt>
                <c:pt idx="895">
                  <c:v>40744</c:v>
                </c:pt>
                <c:pt idx="896">
                  <c:v>40745</c:v>
                </c:pt>
                <c:pt idx="897">
                  <c:v>40746</c:v>
                </c:pt>
                <c:pt idx="898">
                  <c:v>40749</c:v>
                </c:pt>
                <c:pt idx="899">
                  <c:v>40750</c:v>
                </c:pt>
                <c:pt idx="900">
                  <c:v>40751</c:v>
                </c:pt>
                <c:pt idx="901">
                  <c:v>40752</c:v>
                </c:pt>
                <c:pt idx="902">
                  <c:v>40753</c:v>
                </c:pt>
                <c:pt idx="903">
                  <c:v>40756</c:v>
                </c:pt>
                <c:pt idx="904">
                  <c:v>40757</c:v>
                </c:pt>
                <c:pt idx="905">
                  <c:v>40758</c:v>
                </c:pt>
                <c:pt idx="906">
                  <c:v>40759</c:v>
                </c:pt>
                <c:pt idx="907">
                  <c:v>40760</c:v>
                </c:pt>
                <c:pt idx="908">
                  <c:v>40763</c:v>
                </c:pt>
                <c:pt idx="909">
                  <c:v>40764</c:v>
                </c:pt>
                <c:pt idx="910">
                  <c:v>40765</c:v>
                </c:pt>
                <c:pt idx="911">
                  <c:v>40766</c:v>
                </c:pt>
                <c:pt idx="912">
                  <c:v>40767</c:v>
                </c:pt>
                <c:pt idx="913">
                  <c:v>40770</c:v>
                </c:pt>
                <c:pt idx="914">
                  <c:v>40771</c:v>
                </c:pt>
                <c:pt idx="915">
                  <c:v>40772</c:v>
                </c:pt>
                <c:pt idx="916">
                  <c:v>40773</c:v>
                </c:pt>
                <c:pt idx="917">
                  <c:v>40774</c:v>
                </c:pt>
                <c:pt idx="918">
                  <c:v>40777</c:v>
                </c:pt>
                <c:pt idx="919">
                  <c:v>40778</c:v>
                </c:pt>
                <c:pt idx="920">
                  <c:v>40779</c:v>
                </c:pt>
                <c:pt idx="921">
                  <c:v>40780</c:v>
                </c:pt>
                <c:pt idx="922">
                  <c:v>40781</c:v>
                </c:pt>
                <c:pt idx="923">
                  <c:v>40784</c:v>
                </c:pt>
                <c:pt idx="924">
                  <c:v>40785</c:v>
                </c:pt>
                <c:pt idx="925">
                  <c:v>40786</c:v>
                </c:pt>
                <c:pt idx="926">
                  <c:v>40787</c:v>
                </c:pt>
                <c:pt idx="927">
                  <c:v>40788</c:v>
                </c:pt>
                <c:pt idx="928">
                  <c:v>40792</c:v>
                </c:pt>
                <c:pt idx="929">
                  <c:v>40793</c:v>
                </c:pt>
                <c:pt idx="930">
                  <c:v>40794</c:v>
                </c:pt>
                <c:pt idx="931">
                  <c:v>40795</c:v>
                </c:pt>
                <c:pt idx="932">
                  <c:v>40798</c:v>
                </c:pt>
                <c:pt idx="933">
                  <c:v>40799</c:v>
                </c:pt>
                <c:pt idx="934">
                  <c:v>40800</c:v>
                </c:pt>
                <c:pt idx="935">
                  <c:v>40801</c:v>
                </c:pt>
                <c:pt idx="936">
                  <c:v>40802</c:v>
                </c:pt>
                <c:pt idx="937">
                  <c:v>40805</c:v>
                </c:pt>
                <c:pt idx="938">
                  <c:v>40806</c:v>
                </c:pt>
                <c:pt idx="939">
                  <c:v>40807</c:v>
                </c:pt>
                <c:pt idx="940">
                  <c:v>40808</c:v>
                </c:pt>
                <c:pt idx="941">
                  <c:v>40809</c:v>
                </c:pt>
                <c:pt idx="942">
                  <c:v>40812</c:v>
                </c:pt>
                <c:pt idx="943">
                  <c:v>40813</c:v>
                </c:pt>
                <c:pt idx="944">
                  <c:v>40814</c:v>
                </c:pt>
                <c:pt idx="945">
                  <c:v>40815</c:v>
                </c:pt>
                <c:pt idx="946">
                  <c:v>40816</c:v>
                </c:pt>
                <c:pt idx="947">
                  <c:v>40819</c:v>
                </c:pt>
                <c:pt idx="948">
                  <c:v>40820</c:v>
                </c:pt>
                <c:pt idx="949">
                  <c:v>40821</c:v>
                </c:pt>
                <c:pt idx="950">
                  <c:v>40822</c:v>
                </c:pt>
                <c:pt idx="951">
                  <c:v>40823</c:v>
                </c:pt>
                <c:pt idx="952">
                  <c:v>40826</c:v>
                </c:pt>
                <c:pt idx="953">
                  <c:v>40827</c:v>
                </c:pt>
                <c:pt idx="954">
                  <c:v>40828</c:v>
                </c:pt>
                <c:pt idx="955">
                  <c:v>40829</c:v>
                </c:pt>
                <c:pt idx="956">
                  <c:v>40830</c:v>
                </c:pt>
                <c:pt idx="957">
                  <c:v>40833</c:v>
                </c:pt>
                <c:pt idx="958">
                  <c:v>40834</c:v>
                </c:pt>
                <c:pt idx="959">
                  <c:v>40835</c:v>
                </c:pt>
                <c:pt idx="960">
                  <c:v>40836</c:v>
                </c:pt>
                <c:pt idx="961">
                  <c:v>40837</c:v>
                </c:pt>
                <c:pt idx="962">
                  <c:v>40840</c:v>
                </c:pt>
                <c:pt idx="963">
                  <c:v>40841</c:v>
                </c:pt>
                <c:pt idx="964">
                  <c:v>40842</c:v>
                </c:pt>
                <c:pt idx="965">
                  <c:v>40843</c:v>
                </c:pt>
                <c:pt idx="966">
                  <c:v>40844</c:v>
                </c:pt>
                <c:pt idx="967">
                  <c:v>40847</c:v>
                </c:pt>
                <c:pt idx="968">
                  <c:v>40848</c:v>
                </c:pt>
                <c:pt idx="969">
                  <c:v>40849</c:v>
                </c:pt>
                <c:pt idx="970">
                  <c:v>40850</c:v>
                </c:pt>
                <c:pt idx="971">
                  <c:v>40851</c:v>
                </c:pt>
                <c:pt idx="972">
                  <c:v>40854</c:v>
                </c:pt>
                <c:pt idx="973">
                  <c:v>40855</c:v>
                </c:pt>
                <c:pt idx="974">
                  <c:v>40856</c:v>
                </c:pt>
                <c:pt idx="975">
                  <c:v>40857</c:v>
                </c:pt>
                <c:pt idx="976">
                  <c:v>40858</c:v>
                </c:pt>
                <c:pt idx="977">
                  <c:v>40861</c:v>
                </c:pt>
                <c:pt idx="978">
                  <c:v>40862</c:v>
                </c:pt>
                <c:pt idx="979">
                  <c:v>40863</c:v>
                </c:pt>
                <c:pt idx="980">
                  <c:v>40864</c:v>
                </c:pt>
                <c:pt idx="981">
                  <c:v>40865</c:v>
                </c:pt>
                <c:pt idx="982">
                  <c:v>40868</c:v>
                </c:pt>
                <c:pt idx="983">
                  <c:v>40869</c:v>
                </c:pt>
                <c:pt idx="984">
                  <c:v>40870</c:v>
                </c:pt>
                <c:pt idx="985">
                  <c:v>40872</c:v>
                </c:pt>
                <c:pt idx="986">
                  <c:v>40875</c:v>
                </c:pt>
                <c:pt idx="987">
                  <c:v>40876</c:v>
                </c:pt>
                <c:pt idx="988">
                  <c:v>40877</c:v>
                </c:pt>
                <c:pt idx="989">
                  <c:v>40878</c:v>
                </c:pt>
                <c:pt idx="990">
                  <c:v>40879</c:v>
                </c:pt>
                <c:pt idx="991">
                  <c:v>40882</c:v>
                </c:pt>
                <c:pt idx="992">
                  <c:v>40883</c:v>
                </c:pt>
                <c:pt idx="993">
                  <c:v>40884</c:v>
                </c:pt>
                <c:pt idx="994">
                  <c:v>40885</c:v>
                </c:pt>
                <c:pt idx="995">
                  <c:v>40886</c:v>
                </c:pt>
                <c:pt idx="996">
                  <c:v>40889</c:v>
                </c:pt>
                <c:pt idx="997">
                  <c:v>40890</c:v>
                </c:pt>
                <c:pt idx="998">
                  <c:v>40891</c:v>
                </c:pt>
                <c:pt idx="999">
                  <c:v>40892</c:v>
                </c:pt>
                <c:pt idx="1000">
                  <c:v>40893</c:v>
                </c:pt>
                <c:pt idx="1001">
                  <c:v>40896</c:v>
                </c:pt>
                <c:pt idx="1002">
                  <c:v>40897</c:v>
                </c:pt>
                <c:pt idx="1003">
                  <c:v>40898</c:v>
                </c:pt>
                <c:pt idx="1004">
                  <c:v>40899</c:v>
                </c:pt>
                <c:pt idx="1005">
                  <c:v>40900</c:v>
                </c:pt>
                <c:pt idx="1006">
                  <c:v>40904</c:v>
                </c:pt>
                <c:pt idx="1007">
                  <c:v>40905</c:v>
                </c:pt>
                <c:pt idx="1008">
                  <c:v>40906</c:v>
                </c:pt>
                <c:pt idx="1009">
                  <c:v>40907</c:v>
                </c:pt>
                <c:pt idx="1010">
                  <c:v>40911</c:v>
                </c:pt>
                <c:pt idx="1011">
                  <c:v>40912</c:v>
                </c:pt>
                <c:pt idx="1012">
                  <c:v>40913</c:v>
                </c:pt>
                <c:pt idx="1013">
                  <c:v>40914</c:v>
                </c:pt>
                <c:pt idx="1014">
                  <c:v>40917</c:v>
                </c:pt>
                <c:pt idx="1015">
                  <c:v>40918</c:v>
                </c:pt>
                <c:pt idx="1016">
                  <c:v>40919</c:v>
                </c:pt>
                <c:pt idx="1017">
                  <c:v>40920</c:v>
                </c:pt>
                <c:pt idx="1018">
                  <c:v>40921</c:v>
                </c:pt>
                <c:pt idx="1019">
                  <c:v>40925</c:v>
                </c:pt>
                <c:pt idx="1020">
                  <c:v>40926</c:v>
                </c:pt>
                <c:pt idx="1021">
                  <c:v>40927</c:v>
                </c:pt>
                <c:pt idx="1022">
                  <c:v>40928</c:v>
                </c:pt>
                <c:pt idx="1023">
                  <c:v>40931</c:v>
                </c:pt>
                <c:pt idx="1024">
                  <c:v>40932</c:v>
                </c:pt>
                <c:pt idx="1025">
                  <c:v>40933</c:v>
                </c:pt>
                <c:pt idx="1026">
                  <c:v>40934</c:v>
                </c:pt>
                <c:pt idx="1027">
                  <c:v>40935</c:v>
                </c:pt>
                <c:pt idx="1028">
                  <c:v>40938</c:v>
                </c:pt>
                <c:pt idx="1029">
                  <c:v>40939</c:v>
                </c:pt>
                <c:pt idx="1030">
                  <c:v>40940</c:v>
                </c:pt>
                <c:pt idx="1031">
                  <c:v>40941</c:v>
                </c:pt>
                <c:pt idx="1032">
                  <c:v>40942</c:v>
                </c:pt>
                <c:pt idx="1033">
                  <c:v>40945</c:v>
                </c:pt>
                <c:pt idx="1034">
                  <c:v>40946</c:v>
                </c:pt>
                <c:pt idx="1035">
                  <c:v>40947</c:v>
                </c:pt>
                <c:pt idx="1036">
                  <c:v>40948</c:v>
                </c:pt>
                <c:pt idx="1037">
                  <c:v>40949</c:v>
                </c:pt>
                <c:pt idx="1038">
                  <c:v>40952</c:v>
                </c:pt>
                <c:pt idx="1039">
                  <c:v>40953</c:v>
                </c:pt>
                <c:pt idx="1040">
                  <c:v>40954</c:v>
                </c:pt>
                <c:pt idx="1041">
                  <c:v>40955</c:v>
                </c:pt>
                <c:pt idx="1042">
                  <c:v>40956</c:v>
                </c:pt>
                <c:pt idx="1043">
                  <c:v>40960</c:v>
                </c:pt>
                <c:pt idx="1044">
                  <c:v>40961</c:v>
                </c:pt>
                <c:pt idx="1045">
                  <c:v>40962</c:v>
                </c:pt>
                <c:pt idx="1046">
                  <c:v>40963</c:v>
                </c:pt>
                <c:pt idx="1047">
                  <c:v>40966</c:v>
                </c:pt>
                <c:pt idx="1048">
                  <c:v>40967</c:v>
                </c:pt>
                <c:pt idx="1049">
                  <c:v>40968</c:v>
                </c:pt>
                <c:pt idx="1050">
                  <c:v>40969</c:v>
                </c:pt>
                <c:pt idx="1051">
                  <c:v>40970</c:v>
                </c:pt>
                <c:pt idx="1052">
                  <c:v>40973</c:v>
                </c:pt>
                <c:pt idx="1053">
                  <c:v>40974</c:v>
                </c:pt>
                <c:pt idx="1054">
                  <c:v>40975</c:v>
                </c:pt>
                <c:pt idx="1055">
                  <c:v>40976</c:v>
                </c:pt>
                <c:pt idx="1056">
                  <c:v>40977</c:v>
                </c:pt>
                <c:pt idx="1057">
                  <c:v>40980</c:v>
                </c:pt>
                <c:pt idx="1058">
                  <c:v>40981</c:v>
                </c:pt>
                <c:pt idx="1059">
                  <c:v>40982</c:v>
                </c:pt>
                <c:pt idx="1060">
                  <c:v>40983</c:v>
                </c:pt>
                <c:pt idx="1061">
                  <c:v>40984</c:v>
                </c:pt>
                <c:pt idx="1062">
                  <c:v>40987</c:v>
                </c:pt>
                <c:pt idx="1063">
                  <c:v>40988</c:v>
                </c:pt>
                <c:pt idx="1064">
                  <c:v>40989</c:v>
                </c:pt>
                <c:pt idx="1065">
                  <c:v>40990</c:v>
                </c:pt>
                <c:pt idx="1066">
                  <c:v>40991</c:v>
                </c:pt>
                <c:pt idx="1067">
                  <c:v>40994</c:v>
                </c:pt>
                <c:pt idx="1068">
                  <c:v>40995</c:v>
                </c:pt>
                <c:pt idx="1069">
                  <c:v>40996</c:v>
                </c:pt>
                <c:pt idx="1070">
                  <c:v>40997</c:v>
                </c:pt>
                <c:pt idx="1071">
                  <c:v>40998</c:v>
                </c:pt>
                <c:pt idx="1072">
                  <c:v>41001</c:v>
                </c:pt>
                <c:pt idx="1073">
                  <c:v>41002</c:v>
                </c:pt>
                <c:pt idx="1074">
                  <c:v>41003</c:v>
                </c:pt>
                <c:pt idx="1075">
                  <c:v>41004</c:v>
                </c:pt>
                <c:pt idx="1076">
                  <c:v>41008</c:v>
                </c:pt>
                <c:pt idx="1077">
                  <c:v>41009</c:v>
                </c:pt>
                <c:pt idx="1078">
                  <c:v>41010</c:v>
                </c:pt>
                <c:pt idx="1079">
                  <c:v>41011</c:v>
                </c:pt>
                <c:pt idx="1080">
                  <c:v>41012</c:v>
                </c:pt>
                <c:pt idx="1081">
                  <c:v>41015</c:v>
                </c:pt>
                <c:pt idx="1082">
                  <c:v>41016</c:v>
                </c:pt>
                <c:pt idx="1083">
                  <c:v>41017</c:v>
                </c:pt>
                <c:pt idx="1084">
                  <c:v>41018</c:v>
                </c:pt>
                <c:pt idx="1085">
                  <c:v>41019</c:v>
                </c:pt>
                <c:pt idx="1086">
                  <c:v>41022</c:v>
                </c:pt>
                <c:pt idx="1087">
                  <c:v>41023</c:v>
                </c:pt>
                <c:pt idx="1088">
                  <c:v>41024</c:v>
                </c:pt>
                <c:pt idx="1089">
                  <c:v>41025</c:v>
                </c:pt>
                <c:pt idx="1090">
                  <c:v>41026</c:v>
                </c:pt>
                <c:pt idx="1091">
                  <c:v>41029</c:v>
                </c:pt>
                <c:pt idx="1092">
                  <c:v>41030</c:v>
                </c:pt>
                <c:pt idx="1093">
                  <c:v>41031</c:v>
                </c:pt>
                <c:pt idx="1094">
                  <c:v>41032</c:v>
                </c:pt>
                <c:pt idx="1095">
                  <c:v>41033</c:v>
                </c:pt>
                <c:pt idx="1096">
                  <c:v>41036</c:v>
                </c:pt>
                <c:pt idx="1097">
                  <c:v>41037</c:v>
                </c:pt>
                <c:pt idx="1098">
                  <c:v>41038</c:v>
                </c:pt>
                <c:pt idx="1099">
                  <c:v>41039</c:v>
                </c:pt>
                <c:pt idx="1100">
                  <c:v>41040</c:v>
                </c:pt>
                <c:pt idx="1101">
                  <c:v>41043</c:v>
                </c:pt>
                <c:pt idx="1102">
                  <c:v>41044</c:v>
                </c:pt>
                <c:pt idx="1103">
                  <c:v>41045</c:v>
                </c:pt>
                <c:pt idx="1104">
                  <c:v>41046</c:v>
                </c:pt>
                <c:pt idx="1105">
                  <c:v>41047</c:v>
                </c:pt>
                <c:pt idx="1106">
                  <c:v>41050</c:v>
                </c:pt>
                <c:pt idx="1107">
                  <c:v>41051</c:v>
                </c:pt>
                <c:pt idx="1108">
                  <c:v>41052</c:v>
                </c:pt>
                <c:pt idx="1109">
                  <c:v>41053</c:v>
                </c:pt>
                <c:pt idx="1110">
                  <c:v>41054</c:v>
                </c:pt>
                <c:pt idx="1111">
                  <c:v>41058</c:v>
                </c:pt>
                <c:pt idx="1112">
                  <c:v>41059</c:v>
                </c:pt>
                <c:pt idx="1113">
                  <c:v>41060</c:v>
                </c:pt>
                <c:pt idx="1114">
                  <c:v>41061</c:v>
                </c:pt>
                <c:pt idx="1115">
                  <c:v>41064</c:v>
                </c:pt>
                <c:pt idx="1116">
                  <c:v>41065</c:v>
                </c:pt>
                <c:pt idx="1117">
                  <c:v>41066</c:v>
                </c:pt>
                <c:pt idx="1118">
                  <c:v>41067</c:v>
                </c:pt>
                <c:pt idx="1119">
                  <c:v>41068</c:v>
                </c:pt>
                <c:pt idx="1120">
                  <c:v>41071</c:v>
                </c:pt>
                <c:pt idx="1121">
                  <c:v>41072</c:v>
                </c:pt>
                <c:pt idx="1122">
                  <c:v>41073</c:v>
                </c:pt>
                <c:pt idx="1123">
                  <c:v>41074</c:v>
                </c:pt>
                <c:pt idx="1124">
                  <c:v>41075</c:v>
                </c:pt>
                <c:pt idx="1125">
                  <c:v>41078</c:v>
                </c:pt>
                <c:pt idx="1126">
                  <c:v>41079</c:v>
                </c:pt>
                <c:pt idx="1127">
                  <c:v>41080</c:v>
                </c:pt>
                <c:pt idx="1128">
                  <c:v>41081</c:v>
                </c:pt>
                <c:pt idx="1129">
                  <c:v>41082</c:v>
                </c:pt>
                <c:pt idx="1130">
                  <c:v>41085</c:v>
                </c:pt>
                <c:pt idx="1131">
                  <c:v>41086</c:v>
                </c:pt>
                <c:pt idx="1132">
                  <c:v>41087</c:v>
                </c:pt>
                <c:pt idx="1133">
                  <c:v>41088</c:v>
                </c:pt>
                <c:pt idx="1134">
                  <c:v>41089</c:v>
                </c:pt>
                <c:pt idx="1135">
                  <c:v>41092</c:v>
                </c:pt>
                <c:pt idx="1136">
                  <c:v>41093</c:v>
                </c:pt>
                <c:pt idx="1137">
                  <c:v>41095</c:v>
                </c:pt>
                <c:pt idx="1138">
                  <c:v>41096</c:v>
                </c:pt>
                <c:pt idx="1139">
                  <c:v>41099</c:v>
                </c:pt>
                <c:pt idx="1140">
                  <c:v>41100</c:v>
                </c:pt>
                <c:pt idx="1141">
                  <c:v>41101</c:v>
                </c:pt>
                <c:pt idx="1142">
                  <c:v>41102</c:v>
                </c:pt>
                <c:pt idx="1143">
                  <c:v>41103</c:v>
                </c:pt>
                <c:pt idx="1144">
                  <c:v>41106</c:v>
                </c:pt>
                <c:pt idx="1145">
                  <c:v>41107</c:v>
                </c:pt>
                <c:pt idx="1146">
                  <c:v>41108</c:v>
                </c:pt>
                <c:pt idx="1147">
                  <c:v>41109</c:v>
                </c:pt>
                <c:pt idx="1148">
                  <c:v>41110</c:v>
                </c:pt>
                <c:pt idx="1149">
                  <c:v>41113</c:v>
                </c:pt>
                <c:pt idx="1150">
                  <c:v>41114</c:v>
                </c:pt>
                <c:pt idx="1151">
                  <c:v>41115</c:v>
                </c:pt>
                <c:pt idx="1152">
                  <c:v>41116</c:v>
                </c:pt>
                <c:pt idx="1153">
                  <c:v>41117</c:v>
                </c:pt>
                <c:pt idx="1154">
                  <c:v>41120</c:v>
                </c:pt>
                <c:pt idx="1155">
                  <c:v>41121</c:v>
                </c:pt>
                <c:pt idx="1156">
                  <c:v>41122</c:v>
                </c:pt>
                <c:pt idx="1157">
                  <c:v>41123</c:v>
                </c:pt>
                <c:pt idx="1158">
                  <c:v>41124</c:v>
                </c:pt>
                <c:pt idx="1159">
                  <c:v>41127</c:v>
                </c:pt>
                <c:pt idx="1160">
                  <c:v>41128</c:v>
                </c:pt>
                <c:pt idx="1161">
                  <c:v>41129</c:v>
                </c:pt>
                <c:pt idx="1162">
                  <c:v>41130</c:v>
                </c:pt>
                <c:pt idx="1163">
                  <c:v>41131</c:v>
                </c:pt>
                <c:pt idx="1164">
                  <c:v>41134</c:v>
                </c:pt>
                <c:pt idx="1165">
                  <c:v>41135</c:v>
                </c:pt>
                <c:pt idx="1166">
                  <c:v>41136</c:v>
                </c:pt>
                <c:pt idx="1167">
                  <c:v>41137</c:v>
                </c:pt>
                <c:pt idx="1168">
                  <c:v>41138</c:v>
                </c:pt>
                <c:pt idx="1169">
                  <c:v>41141</c:v>
                </c:pt>
                <c:pt idx="1170">
                  <c:v>41142</c:v>
                </c:pt>
                <c:pt idx="1171">
                  <c:v>41143</c:v>
                </c:pt>
                <c:pt idx="1172">
                  <c:v>41144</c:v>
                </c:pt>
                <c:pt idx="1173">
                  <c:v>41145</c:v>
                </c:pt>
                <c:pt idx="1174">
                  <c:v>41148</c:v>
                </c:pt>
                <c:pt idx="1175">
                  <c:v>41149</c:v>
                </c:pt>
                <c:pt idx="1176">
                  <c:v>41150</c:v>
                </c:pt>
                <c:pt idx="1177">
                  <c:v>41151</c:v>
                </c:pt>
                <c:pt idx="1178">
                  <c:v>41152</c:v>
                </c:pt>
                <c:pt idx="1179">
                  <c:v>41156</c:v>
                </c:pt>
                <c:pt idx="1180">
                  <c:v>41157</c:v>
                </c:pt>
                <c:pt idx="1181">
                  <c:v>41158</c:v>
                </c:pt>
                <c:pt idx="1182">
                  <c:v>41159</c:v>
                </c:pt>
                <c:pt idx="1183">
                  <c:v>41162</c:v>
                </c:pt>
                <c:pt idx="1184">
                  <c:v>41163</c:v>
                </c:pt>
                <c:pt idx="1185">
                  <c:v>41164</c:v>
                </c:pt>
                <c:pt idx="1186">
                  <c:v>41165</c:v>
                </c:pt>
                <c:pt idx="1187">
                  <c:v>41166</c:v>
                </c:pt>
                <c:pt idx="1188">
                  <c:v>41169</c:v>
                </c:pt>
                <c:pt idx="1189">
                  <c:v>41170</c:v>
                </c:pt>
                <c:pt idx="1190">
                  <c:v>41171</c:v>
                </c:pt>
                <c:pt idx="1191">
                  <c:v>41172</c:v>
                </c:pt>
                <c:pt idx="1192">
                  <c:v>41173</c:v>
                </c:pt>
                <c:pt idx="1193">
                  <c:v>41176</c:v>
                </c:pt>
                <c:pt idx="1194">
                  <c:v>41177</c:v>
                </c:pt>
                <c:pt idx="1195">
                  <c:v>41178</c:v>
                </c:pt>
                <c:pt idx="1196">
                  <c:v>41179</c:v>
                </c:pt>
                <c:pt idx="1197">
                  <c:v>41180</c:v>
                </c:pt>
                <c:pt idx="1198">
                  <c:v>41183</c:v>
                </c:pt>
                <c:pt idx="1199">
                  <c:v>41184</c:v>
                </c:pt>
                <c:pt idx="1200">
                  <c:v>41185</c:v>
                </c:pt>
                <c:pt idx="1201">
                  <c:v>41186</c:v>
                </c:pt>
                <c:pt idx="1202">
                  <c:v>41187</c:v>
                </c:pt>
                <c:pt idx="1203">
                  <c:v>41190</c:v>
                </c:pt>
                <c:pt idx="1204">
                  <c:v>41191</c:v>
                </c:pt>
                <c:pt idx="1205">
                  <c:v>41192</c:v>
                </c:pt>
                <c:pt idx="1206">
                  <c:v>41193</c:v>
                </c:pt>
                <c:pt idx="1207">
                  <c:v>41194</c:v>
                </c:pt>
                <c:pt idx="1208">
                  <c:v>41197</c:v>
                </c:pt>
                <c:pt idx="1209">
                  <c:v>41198</c:v>
                </c:pt>
                <c:pt idx="1210">
                  <c:v>41199</c:v>
                </c:pt>
                <c:pt idx="1211">
                  <c:v>41200</c:v>
                </c:pt>
                <c:pt idx="1212">
                  <c:v>41201</c:v>
                </c:pt>
                <c:pt idx="1213">
                  <c:v>41204</c:v>
                </c:pt>
                <c:pt idx="1214">
                  <c:v>41205</c:v>
                </c:pt>
                <c:pt idx="1215">
                  <c:v>41206</c:v>
                </c:pt>
                <c:pt idx="1216">
                  <c:v>41207</c:v>
                </c:pt>
                <c:pt idx="1217">
                  <c:v>41208</c:v>
                </c:pt>
                <c:pt idx="1218">
                  <c:v>41213</c:v>
                </c:pt>
                <c:pt idx="1219">
                  <c:v>41214</c:v>
                </c:pt>
                <c:pt idx="1220">
                  <c:v>41215</c:v>
                </c:pt>
                <c:pt idx="1221">
                  <c:v>41218</c:v>
                </c:pt>
                <c:pt idx="1222">
                  <c:v>41219</c:v>
                </c:pt>
                <c:pt idx="1223">
                  <c:v>41220</c:v>
                </c:pt>
                <c:pt idx="1224">
                  <c:v>41221</c:v>
                </c:pt>
                <c:pt idx="1225">
                  <c:v>41222</c:v>
                </c:pt>
                <c:pt idx="1226">
                  <c:v>41225</c:v>
                </c:pt>
                <c:pt idx="1227">
                  <c:v>41226</c:v>
                </c:pt>
                <c:pt idx="1228">
                  <c:v>41227</c:v>
                </c:pt>
                <c:pt idx="1229">
                  <c:v>41228</c:v>
                </c:pt>
                <c:pt idx="1230">
                  <c:v>41229</c:v>
                </c:pt>
                <c:pt idx="1231">
                  <c:v>41232</c:v>
                </c:pt>
                <c:pt idx="1232">
                  <c:v>41233</c:v>
                </c:pt>
                <c:pt idx="1233">
                  <c:v>41234</c:v>
                </c:pt>
                <c:pt idx="1234">
                  <c:v>41236</c:v>
                </c:pt>
                <c:pt idx="1235">
                  <c:v>41239</c:v>
                </c:pt>
                <c:pt idx="1236">
                  <c:v>41240</c:v>
                </c:pt>
                <c:pt idx="1237">
                  <c:v>41241</c:v>
                </c:pt>
                <c:pt idx="1238">
                  <c:v>41242</c:v>
                </c:pt>
                <c:pt idx="1239">
                  <c:v>41243</c:v>
                </c:pt>
                <c:pt idx="1240">
                  <c:v>41246</c:v>
                </c:pt>
                <c:pt idx="1241">
                  <c:v>41247</c:v>
                </c:pt>
                <c:pt idx="1242">
                  <c:v>41248</c:v>
                </c:pt>
                <c:pt idx="1243">
                  <c:v>41249</c:v>
                </c:pt>
                <c:pt idx="1244">
                  <c:v>41250</c:v>
                </c:pt>
                <c:pt idx="1245">
                  <c:v>41253</c:v>
                </c:pt>
                <c:pt idx="1246">
                  <c:v>41254</c:v>
                </c:pt>
                <c:pt idx="1247">
                  <c:v>41255</c:v>
                </c:pt>
                <c:pt idx="1248">
                  <c:v>41256</c:v>
                </c:pt>
                <c:pt idx="1249">
                  <c:v>41257</c:v>
                </c:pt>
                <c:pt idx="1250">
                  <c:v>41260</c:v>
                </c:pt>
                <c:pt idx="1251">
                  <c:v>41261</c:v>
                </c:pt>
                <c:pt idx="1252">
                  <c:v>41262</c:v>
                </c:pt>
                <c:pt idx="1253">
                  <c:v>41263</c:v>
                </c:pt>
                <c:pt idx="1254">
                  <c:v>41264</c:v>
                </c:pt>
                <c:pt idx="1255">
                  <c:v>41267</c:v>
                </c:pt>
                <c:pt idx="1256">
                  <c:v>41269</c:v>
                </c:pt>
                <c:pt idx="1257">
                  <c:v>41270</c:v>
                </c:pt>
                <c:pt idx="1258">
                  <c:v>41271</c:v>
                </c:pt>
                <c:pt idx="1259">
                  <c:v>41274</c:v>
                </c:pt>
                <c:pt idx="1260">
                  <c:v>41276</c:v>
                </c:pt>
                <c:pt idx="1261">
                  <c:v>41277</c:v>
                </c:pt>
                <c:pt idx="1262">
                  <c:v>41278</c:v>
                </c:pt>
                <c:pt idx="1263">
                  <c:v>41281</c:v>
                </c:pt>
                <c:pt idx="1264">
                  <c:v>41282</c:v>
                </c:pt>
                <c:pt idx="1265">
                  <c:v>41283</c:v>
                </c:pt>
                <c:pt idx="1266">
                  <c:v>41284</c:v>
                </c:pt>
                <c:pt idx="1267">
                  <c:v>41285</c:v>
                </c:pt>
                <c:pt idx="1268">
                  <c:v>41288</c:v>
                </c:pt>
                <c:pt idx="1269">
                  <c:v>41289</c:v>
                </c:pt>
                <c:pt idx="1270">
                  <c:v>41290</c:v>
                </c:pt>
                <c:pt idx="1271">
                  <c:v>41291</c:v>
                </c:pt>
                <c:pt idx="1272">
                  <c:v>41292</c:v>
                </c:pt>
                <c:pt idx="1273">
                  <c:v>41296</c:v>
                </c:pt>
                <c:pt idx="1274">
                  <c:v>41297</c:v>
                </c:pt>
                <c:pt idx="1275">
                  <c:v>41298</c:v>
                </c:pt>
                <c:pt idx="1276">
                  <c:v>41299</c:v>
                </c:pt>
                <c:pt idx="1277">
                  <c:v>41302</c:v>
                </c:pt>
                <c:pt idx="1278">
                  <c:v>41303</c:v>
                </c:pt>
                <c:pt idx="1279">
                  <c:v>41304</c:v>
                </c:pt>
                <c:pt idx="1280">
                  <c:v>41305</c:v>
                </c:pt>
                <c:pt idx="1281">
                  <c:v>41306</c:v>
                </c:pt>
                <c:pt idx="1282">
                  <c:v>41309</c:v>
                </c:pt>
                <c:pt idx="1283">
                  <c:v>41310</c:v>
                </c:pt>
                <c:pt idx="1284">
                  <c:v>41311</c:v>
                </c:pt>
                <c:pt idx="1285">
                  <c:v>41312</c:v>
                </c:pt>
                <c:pt idx="1286">
                  <c:v>41313</c:v>
                </c:pt>
                <c:pt idx="1287">
                  <c:v>41316</c:v>
                </c:pt>
                <c:pt idx="1288">
                  <c:v>41317</c:v>
                </c:pt>
                <c:pt idx="1289">
                  <c:v>41318</c:v>
                </c:pt>
                <c:pt idx="1290">
                  <c:v>41319</c:v>
                </c:pt>
                <c:pt idx="1291">
                  <c:v>41320</c:v>
                </c:pt>
                <c:pt idx="1292">
                  <c:v>41324</c:v>
                </c:pt>
                <c:pt idx="1293">
                  <c:v>41325</c:v>
                </c:pt>
                <c:pt idx="1294">
                  <c:v>41326</c:v>
                </c:pt>
                <c:pt idx="1295">
                  <c:v>41327</c:v>
                </c:pt>
                <c:pt idx="1296">
                  <c:v>41330</c:v>
                </c:pt>
                <c:pt idx="1297">
                  <c:v>41331</c:v>
                </c:pt>
                <c:pt idx="1298">
                  <c:v>41332</c:v>
                </c:pt>
                <c:pt idx="1299">
                  <c:v>41333</c:v>
                </c:pt>
                <c:pt idx="1300">
                  <c:v>41334</c:v>
                </c:pt>
                <c:pt idx="1301">
                  <c:v>41337</c:v>
                </c:pt>
                <c:pt idx="1302">
                  <c:v>41338</c:v>
                </c:pt>
                <c:pt idx="1303">
                  <c:v>41339</c:v>
                </c:pt>
                <c:pt idx="1304">
                  <c:v>41340</c:v>
                </c:pt>
                <c:pt idx="1305">
                  <c:v>41341</c:v>
                </c:pt>
                <c:pt idx="1306">
                  <c:v>41344</c:v>
                </c:pt>
                <c:pt idx="1307">
                  <c:v>41345</c:v>
                </c:pt>
                <c:pt idx="1308">
                  <c:v>41346</c:v>
                </c:pt>
                <c:pt idx="1309">
                  <c:v>41347</c:v>
                </c:pt>
                <c:pt idx="1310">
                  <c:v>41348</c:v>
                </c:pt>
                <c:pt idx="1311">
                  <c:v>41351</c:v>
                </c:pt>
                <c:pt idx="1312">
                  <c:v>41352</c:v>
                </c:pt>
                <c:pt idx="1313">
                  <c:v>41353</c:v>
                </c:pt>
                <c:pt idx="1314">
                  <c:v>41354</c:v>
                </c:pt>
                <c:pt idx="1315">
                  <c:v>41355</c:v>
                </c:pt>
                <c:pt idx="1316">
                  <c:v>41358</c:v>
                </c:pt>
                <c:pt idx="1317">
                  <c:v>41359</c:v>
                </c:pt>
                <c:pt idx="1318">
                  <c:v>41360</c:v>
                </c:pt>
                <c:pt idx="1319">
                  <c:v>41361</c:v>
                </c:pt>
                <c:pt idx="1320">
                  <c:v>41365</c:v>
                </c:pt>
                <c:pt idx="1321">
                  <c:v>41366</c:v>
                </c:pt>
                <c:pt idx="1322">
                  <c:v>41367</c:v>
                </c:pt>
                <c:pt idx="1323">
                  <c:v>41368</c:v>
                </c:pt>
                <c:pt idx="1324">
                  <c:v>41369</c:v>
                </c:pt>
                <c:pt idx="1325">
                  <c:v>41372</c:v>
                </c:pt>
                <c:pt idx="1326">
                  <c:v>41373</c:v>
                </c:pt>
                <c:pt idx="1327">
                  <c:v>41374</c:v>
                </c:pt>
                <c:pt idx="1328">
                  <c:v>41375</c:v>
                </c:pt>
                <c:pt idx="1329">
                  <c:v>41376</c:v>
                </c:pt>
                <c:pt idx="1330">
                  <c:v>41379</c:v>
                </c:pt>
                <c:pt idx="1331">
                  <c:v>41380</c:v>
                </c:pt>
                <c:pt idx="1332">
                  <c:v>41381</c:v>
                </c:pt>
                <c:pt idx="1333">
                  <c:v>41382</c:v>
                </c:pt>
                <c:pt idx="1334">
                  <c:v>41383</c:v>
                </c:pt>
                <c:pt idx="1335">
                  <c:v>41386</c:v>
                </c:pt>
                <c:pt idx="1336">
                  <c:v>41387</c:v>
                </c:pt>
                <c:pt idx="1337">
                  <c:v>41388</c:v>
                </c:pt>
                <c:pt idx="1338">
                  <c:v>41389</c:v>
                </c:pt>
                <c:pt idx="1339">
                  <c:v>41390</c:v>
                </c:pt>
                <c:pt idx="1340">
                  <c:v>41393</c:v>
                </c:pt>
                <c:pt idx="1341">
                  <c:v>41394</c:v>
                </c:pt>
                <c:pt idx="1342">
                  <c:v>41395</c:v>
                </c:pt>
                <c:pt idx="1343">
                  <c:v>41396</c:v>
                </c:pt>
                <c:pt idx="1344">
                  <c:v>41397</c:v>
                </c:pt>
                <c:pt idx="1345">
                  <c:v>41400</c:v>
                </c:pt>
                <c:pt idx="1346">
                  <c:v>41401</c:v>
                </c:pt>
                <c:pt idx="1347">
                  <c:v>41402</c:v>
                </c:pt>
                <c:pt idx="1348">
                  <c:v>41403</c:v>
                </c:pt>
                <c:pt idx="1349">
                  <c:v>41404</c:v>
                </c:pt>
                <c:pt idx="1350">
                  <c:v>41407</c:v>
                </c:pt>
                <c:pt idx="1351">
                  <c:v>41408</c:v>
                </c:pt>
                <c:pt idx="1352">
                  <c:v>41409</c:v>
                </c:pt>
                <c:pt idx="1353">
                  <c:v>41410</c:v>
                </c:pt>
                <c:pt idx="1354">
                  <c:v>41411</c:v>
                </c:pt>
                <c:pt idx="1355">
                  <c:v>41414</c:v>
                </c:pt>
                <c:pt idx="1356">
                  <c:v>41415</c:v>
                </c:pt>
                <c:pt idx="1357">
                  <c:v>41416</c:v>
                </c:pt>
                <c:pt idx="1358">
                  <c:v>41417</c:v>
                </c:pt>
                <c:pt idx="1359">
                  <c:v>41418</c:v>
                </c:pt>
                <c:pt idx="1360">
                  <c:v>41422</c:v>
                </c:pt>
                <c:pt idx="1361">
                  <c:v>41423</c:v>
                </c:pt>
                <c:pt idx="1362">
                  <c:v>41424</c:v>
                </c:pt>
                <c:pt idx="1363">
                  <c:v>41425</c:v>
                </c:pt>
                <c:pt idx="1364">
                  <c:v>41428</c:v>
                </c:pt>
                <c:pt idx="1365">
                  <c:v>41429</c:v>
                </c:pt>
                <c:pt idx="1366">
                  <c:v>41430</c:v>
                </c:pt>
                <c:pt idx="1367">
                  <c:v>41431</c:v>
                </c:pt>
                <c:pt idx="1368">
                  <c:v>41432</c:v>
                </c:pt>
                <c:pt idx="1369">
                  <c:v>41435</c:v>
                </c:pt>
                <c:pt idx="1370">
                  <c:v>41436</c:v>
                </c:pt>
                <c:pt idx="1371">
                  <c:v>41437</c:v>
                </c:pt>
                <c:pt idx="1372">
                  <c:v>41438</c:v>
                </c:pt>
                <c:pt idx="1373">
                  <c:v>41439</c:v>
                </c:pt>
                <c:pt idx="1374">
                  <c:v>41442</c:v>
                </c:pt>
                <c:pt idx="1375">
                  <c:v>41443</c:v>
                </c:pt>
                <c:pt idx="1376">
                  <c:v>41444</c:v>
                </c:pt>
                <c:pt idx="1377">
                  <c:v>41445</c:v>
                </c:pt>
                <c:pt idx="1378">
                  <c:v>41446</c:v>
                </c:pt>
                <c:pt idx="1379">
                  <c:v>41449</c:v>
                </c:pt>
                <c:pt idx="1380">
                  <c:v>41450</c:v>
                </c:pt>
                <c:pt idx="1381">
                  <c:v>41451</c:v>
                </c:pt>
                <c:pt idx="1382">
                  <c:v>41452</c:v>
                </c:pt>
                <c:pt idx="1383">
                  <c:v>41453</c:v>
                </c:pt>
                <c:pt idx="1384">
                  <c:v>41456</c:v>
                </c:pt>
                <c:pt idx="1385">
                  <c:v>41457</c:v>
                </c:pt>
                <c:pt idx="1386">
                  <c:v>41458</c:v>
                </c:pt>
                <c:pt idx="1387">
                  <c:v>41460</c:v>
                </c:pt>
                <c:pt idx="1388">
                  <c:v>41463</c:v>
                </c:pt>
                <c:pt idx="1389">
                  <c:v>41464</c:v>
                </c:pt>
                <c:pt idx="1390">
                  <c:v>41465</c:v>
                </c:pt>
                <c:pt idx="1391">
                  <c:v>41466</c:v>
                </c:pt>
                <c:pt idx="1392">
                  <c:v>41467</c:v>
                </c:pt>
                <c:pt idx="1393">
                  <c:v>41470</c:v>
                </c:pt>
                <c:pt idx="1394">
                  <c:v>41471</c:v>
                </c:pt>
                <c:pt idx="1395">
                  <c:v>41472</c:v>
                </c:pt>
                <c:pt idx="1396">
                  <c:v>41473</c:v>
                </c:pt>
                <c:pt idx="1397">
                  <c:v>41474</c:v>
                </c:pt>
                <c:pt idx="1398">
                  <c:v>41477</c:v>
                </c:pt>
                <c:pt idx="1399">
                  <c:v>41478</c:v>
                </c:pt>
                <c:pt idx="1400">
                  <c:v>41479</c:v>
                </c:pt>
                <c:pt idx="1401">
                  <c:v>41480</c:v>
                </c:pt>
                <c:pt idx="1402">
                  <c:v>41481</c:v>
                </c:pt>
                <c:pt idx="1403">
                  <c:v>41484</c:v>
                </c:pt>
                <c:pt idx="1404">
                  <c:v>41485</c:v>
                </c:pt>
                <c:pt idx="1405">
                  <c:v>41486</c:v>
                </c:pt>
                <c:pt idx="1406">
                  <c:v>41487</c:v>
                </c:pt>
                <c:pt idx="1407">
                  <c:v>41488</c:v>
                </c:pt>
                <c:pt idx="1408">
                  <c:v>41491</c:v>
                </c:pt>
                <c:pt idx="1409">
                  <c:v>41492</c:v>
                </c:pt>
                <c:pt idx="1410">
                  <c:v>41493</c:v>
                </c:pt>
                <c:pt idx="1411">
                  <c:v>41494</c:v>
                </c:pt>
                <c:pt idx="1412">
                  <c:v>41495</c:v>
                </c:pt>
                <c:pt idx="1413">
                  <c:v>41498</c:v>
                </c:pt>
                <c:pt idx="1414">
                  <c:v>41499</c:v>
                </c:pt>
                <c:pt idx="1415">
                  <c:v>41500</c:v>
                </c:pt>
                <c:pt idx="1416">
                  <c:v>41501</c:v>
                </c:pt>
                <c:pt idx="1417">
                  <c:v>41502</c:v>
                </c:pt>
                <c:pt idx="1418">
                  <c:v>41505</c:v>
                </c:pt>
                <c:pt idx="1419">
                  <c:v>41506</c:v>
                </c:pt>
                <c:pt idx="1420">
                  <c:v>41507</c:v>
                </c:pt>
                <c:pt idx="1421">
                  <c:v>41508</c:v>
                </c:pt>
                <c:pt idx="1422">
                  <c:v>41509</c:v>
                </c:pt>
                <c:pt idx="1423">
                  <c:v>41512</c:v>
                </c:pt>
                <c:pt idx="1424">
                  <c:v>41513</c:v>
                </c:pt>
                <c:pt idx="1425">
                  <c:v>41514</c:v>
                </c:pt>
                <c:pt idx="1426">
                  <c:v>41515</c:v>
                </c:pt>
                <c:pt idx="1427">
                  <c:v>41516</c:v>
                </c:pt>
                <c:pt idx="1428">
                  <c:v>41520</c:v>
                </c:pt>
                <c:pt idx="1429">
                  <c:v>41521</c:v>
                </c:pt>
                <c:pt idx="1430">
                  <c:v>41522</c:v>
                </c:pt>
                <c:pt idx="1431">
                  <c:v>41523</c:v>
                </c:pt>
                <c:pt idx="1432">
                  <c:v>41526</c:v>
                </c:pt>
                <c:pt idx="1433">
                  <c:v>41527</c:v>
                </c:pt>
                <c:pt idx="1434">
                  <c:v>41528</c:v>
                </c:pt>
                <c:pt idx="1435">
                  <c:v>41529</c:v>
                </c:pt>
                <c:pt idx="1436">
                  <c:v>41530</c:v>
                </c:pt>
                <c:pt idx="1437">
                  <c:v>41533</c:v>
                </c:pt>
                <c:pt idx="1438">
                  <c:v>41534</c:v>
                </c:pt>
                <c:pt idx="1439">
                  <c:v>41535</c:v>
                </c:pt>
                <c:pt idx="1440">
                  <c:v>41536</c:v>
                </c:pt>
                <c:pt idx="1441">
                  <c:v>41537</c:v>
                </c:pt>
                <c:pt idx="1442">
                  <c:v>41540</c:v>
                </c:pt>
                <c:pt idx="1443">
                  <c:v>41541</c:v>
                </c:pt>
                <c:pt idx="1444">
                  <c:v>41542</c:v>
                </c:pt>
                <c:pt idx="1445">
                  <c:v>41543</c:v>
                </c:pt>
                <c:pt idx="1446">
                  <c:v>41544</c:v>
                </c:pt>
                <c:pt idx="1447">
                  <c:v>41547</c:v>
                </c:pt>
                <c:pt idx="1448">
                  <c:v>41548</c:v>
                </c:pt>
                <c:pt idx="1449">
                  <c:v>41549</c:v>
                </c:pt>
                <c:pt idx="1450">
                  <c:v>41550</c:v>
                </c:pt>
                <c:pt idx="1451">
                  <c:v>41551</c:v>
                </c:pt>
                <c:pt idx="1452">
                  <c:v>41554</c:v>
                </c:pt>
                <c:pt idx="1453">
                  <c:v>41555</c:v>
                </c:pt>
                <c:pt idx="1454">
                  <c:v>41556</c:v>
                </c:pt>
                <c:pt idx="1455">
                  <c:v>41557</c:v>
                </c:pt>
                <c:pt idx="1456">
                  <c:v>41558</c:v>
                </c:pt>
                <c:pt idx="1457">
                  <c:v>41561</c:v>
                </c:pt>
                <c:pt idx="1458">
                  <c:v>41562</c:v>
                </c:pt>
                <c:pt idx="1459">
                  <c:v>41563</c:v>
                </c:pt>
                <c:pt idx="1460">
                  <c:v>41564</c:v>
                </c:pt>
                <c:pt idx="1461">
                  <c:v>41565</c:v>
                </c:pt>
                <c:pt idx="1462">
                  <c:v>41568</c:v>
                </c:pt>
                <c:pt idx="1463">
                  <c:v>41569</c:v>
                </c:pt>
                <c:pt idx="1464">
                  <c:v>41570</c:v>
                </c:pt>
                <c:pt idx="1465">
                  <c:v>41571</c:v>
                </c:pt>
                <c:pt idx="1466">
                  <c:v>41572</c:v>
                </c:pt>
                <c:pt idx="1467">
                  <c:v>41575</c:v>
                </c:pt>
                <c:pt idx="1468">
                  <c:v>41576</c:v>
                </c:pt>
                <c:pt idx="1469">
                  <c:v>41577</c:v>
                </c:pt>
                <c:pt idx="1470">
                  <c:v>41578</c:v>
                </c:pt>
                <c:pt idx="1471">
                  <c:v>41579</c:v>
                </c:pt>
                <c:pt idx="1472">
                  <c:v>41582</c:v>
                </c:pt>
                <c:pt idx="1473">
                  <c:v>41583</c:v>
                </c:pt>
                <c:pt idx="1474">
                  <c:v>41584</c:v>
                </c:pt>
                <c:pt idx="1475">
                  <c:v>41585</c:v>
                </c:pt>
                <c:pt idx="1476">
                  <c:v>41586</c:v>
                </c:pt>
                <c:pt idx="1477">
                  <c:v>41589</c:v>
                </c:pt>
                <c:pt idx="1478">
                  <c:v>41590</c:v>
                </c:pt>
                <c:pt idx="1479">
                  <c:v>41591</c:v>
                </c:pt>
                <c:pt idx="1480">
                  <c:v>41592</c:v>
                </c:pt>
                <c:pt idx="1481">
                  <c:v>41593</c:v>
                </c:pt>
                <c:pt idx="1482">
                  <c:v>41596</c:v>
                </c:pt>
                <c:pt idx="1483">
                  <c:v>41597</c:v>
                </c:pt>
                <c:pt idx="1484">
                  <c:v>41598</c:v>
                </c:pt>
                <c:pt idx="1485">
                  <c:v>41599</c:v>
                </c:pt>
                <c:pt idx="1486">
                  <c:v>41600</c:v>
                </c:pt>
                <c:pt idx="1487">
                  <c:v>41603</c:v>
                </c:pt>
                <c:pt idx="1488">
                  <c:v>41604</c:v>
                </c:pt>
                <c:pt idx="1489">
                  <c:v>41605</c:v>
                </c:pt>
                <c:pt idx="1490">
                  <c:v>41607</c:v>
                </c:pt>
                <c:pt idx="1491">
                  <c:v>41610</c:v>
                </c:pt>
                <c:pt idx="1492">
                  <c:v>41611</c:v>
                </c:pt>
                <c:pt idx="1493">
                  <c:v>41612</c:v>
                </c:pt>
                <c:pt idx="1494">
                  <c:v>41613</c:v>
                </c:pt>
                <c:pt idx="1495">
                  <c:v>41614</c:v>
                </c:pt>
                <c:pt idx="1496">
                  <c:v>41617</c:v>
                </c:pt>
                <c:pt idx="1497">
                  <c:v>41618</c:v>
                </c:pt>
                <c:pt idx="1498">
                  <c:v>41619</c:v>
                </c:pt>
                <c:pt idx="1499">
                  <c:v>41620</c:v>
                </c:pt>
                <c:pt idx="1500">
                  <c:v>41621</c:v>
                </c:pt>
                <c:pt idx="1501">
                  <c:v>41624</c:v>
                </c:pt>
                <c:pt idx="1502">
                  <c:v>41625</c:v>
                </c:pt>
                <c:pt idx="1503">
                  <c:v>41626</c:v>
                </c:pt>
                <c:pt idx="1504">
                  <c:v>41627</c:v>
                </c:pt>
                <c:pt idx="1505">
                  <c:v>41628</c:v>
                </c:pt>
                <c:pt idx="1506">
                  <c:v>41631</c:v>
                </c:pt>
                <c:pt idx="1507">
                  <c:v>41632</c:v>
                </c:pt>
                <c:pt idx="1508">
                  <c:v>41634</c:v>
                </c:pt>
                <c:pt idx="1509">
                  <c:v>41635</c:v>
                </c:pt>
                <c:pt idx="1510">
                  <c:v>41638</c:v>
                </c:pt>
                <c:pt idx="1511">
                  <c:v>41639</c:v>
                </c:pt>
                <c:pt idx="1512">
                  <c:v>41641</c:v>
                </c:pt>
                <c:pt idx="1513">
                  <c:v>41642</c:v>
                </c:pt>
                <c:pt idx="1514">
                  <c:v>41645</c:v>
                </c:pt>
                <c:pt idx="1515">
                  <c:v>41646</c:v>
                </c:pt>
                <c:pt idx="1516">
                  <c:v>41647</c:v>
                </c:pt>
                <c:pt idx="1517">
                  <c:v>41648</c:v>
                </c:pt>
                <c:pt idx="1518">
                  <c:v>41649</c:v>
                </c:pt>
                <c:pt idx="1519">
                  <c:v>41652</c:v>
                </c:pt>
                <c:pt idx="1520">
                  <c:v>41653</c:v>
                </c:pt>
                <c:pt idx="1521">
                  <c:v>41654</c:v>
                </c:pt>
                <c:pt idx="1522">
                  <c:v>41655</c:v>
                </c:pt>
                <c:pt idx="1523">
                  <c:v>41656</c:v>
                </c:pt>
                <c:pt idx="1524">
                  <c:v>41660</c:v>
                </c:pt>
                <c:pt idx="1525">
                  <c:v>41661</c:v>
                </c:pt>
                <c:pt idx="1526">
                  <c:v>41662</c:v>
                </c:pt>
                <c:pt idx="1527">
                  <c:v>41663</c:v>
                </c:pt>
                <c:pt idx="1528">
                  <c:v>41666</c:v>
                </c:pt>
                <c:pt idx="1529">
                  <c:v>41667</c:v>
                </c:pt>
                <c:pt idx="1530">
                  <c:v>41668</c:v>
                </c:pt>
                <c:pt idx="1531">
                  <c:v>41669</c:v>
                </c:pt>
                <c:pt idx="1532">
                  <c:v>41670</c:v>
                </c:pt>
                <c:pt idx="1533">
                  <c:v>41673</c:v>
                </c:pt>
                <c:pt idx="1534">
                  <c:v>41674</c:v>
                </c:pt>
                <c:pt idx="1535">
                  <c:v>41675</c:v>
                </c:pt>
                <c:pt idx="1536">
                  <c:v>41676</c:v>
                </c:pt>
                <c:pt idx="1537">
                  <c:v>41677</c:v>
                </c:pt>
                <c:pt idx="1538">
                  <c:v>41680</c:v>
                </c:pt>
                <c:pt idx="1539">
                  <c:v>41681</c:v>
                </c:pt>
                <c:pt idx="1540">
                  <c:v>41682</c:v>
                </c:pt>
                <c:pt idx="1541">
                  <c:v>41683</c:v>
                </c:pt>
                <c:pt idx="1542">
                  <c:v>41684</c:v>
                </c:pt>
                <c:pt idx="1543">
                  <c:v>41688</c:v>
                </c:pt>
                <c:pt idx="1544">
                  <c:v>41689</c:v>
                </c:pt>
                <c:pt idx="1545">
                  <c:v>41690</c:v>
                </c:pt>
                <c:pt idx="1546">
                  <c:v>41691</c:v>
                </c:pt>
                <c:pt idx="1547">
                  <c:v>41694</c:v>
                </c:pt>
                <c:pt idx="1548">
                  <c:v>41695</c:v>
                </c:pt>
                <c:pt idx="1549">
                  <c:v>41696</c:v>
                </c:pt>
                <c:pt idx="1550">
                  <c:v>41697</c:v>
                </c:pt>
                <c:pt idx="1551">
                  <c:v>41698</c:v>
                </c:pt>
                <c:pt idx="1552">
                  <c:v>41701</c:v>
                </c:pt>
                <c:pt idx="1553">
                  <c:v>41702</c:v>
                </c:pt>
                <c:pt idx="1554">
                  <c:v>41703</c:v>
                </c:pt>
                <c:pt idx="1555">
                  <c:v>41704</c:v>
                </c:pt>
                <c:pt idx="1556">
                  <c:v>41705</c:v>
                </c:pt>
                <c:pt idx="1557">
                  <c:v>41708</c:v>
                </c:pt>
                <c:pt idx="1558">
                  <c:v>41709</c:v>
                </c:pt>
                <c:pt idx="1559">
                  <c:v>41710</c:v>
                </c:pt>
                <c:pt idx="1560">
                  <c:v>41711</c:v>
                </c:pt>
                <c:pt idx="1561">
                  <c:v>41712</c:v>
                </c:pt>
                <c:pt idx="1562">
                  <c:v>41715</c:v>
                </c:pt>
                <c:pt idx="1563">
                  <c:v>41716</c:v>
                </c:pt>
                <c:pt idx="1564">
                  <c:v>41717</c:v>
                </c:pt>
                <c:pt idx="1565">
                  <c:v>41718</c:v>
                </c:pt>
                <c:pt idx="1566">
                  <c:v>41719</c:v>
                </c:pt>
                <c:pt idx="1567">
                  <c:v>41722</c:v>
                </c:pt>
                <c:pt idx="1568">
                  <c:v>41723</c:v>
                </c:pt>
                <c:pt idx="1569">
                  <c:v>41724</c:v>
                </c:pt>
                <c:pt idx="1570">
                  <c:v>41725</c:v>
                </c:pt>
                <c:pt idx="1571">
                  <c:v>41726</c:v>
                </c:pt>
                <c:pt idx="1572">
                  <c:v>41729</c:v>
                </c:pt>
                <c:pt idx="1573">
                  <c:v>41730</c:v>
                </c:pt>
                <c:pt idx="1574">
                  <c:v>41731</c:v>
                </c:pt>
                <c:pt idx="1575">
                  <c:v>41732</c:v>
                </c:pt>
                <c:pt idx="1576">
                  <c:v>41733</c:v>
                </c:pt>
                <c:pt idx="1577">
                  <c:v>41736</c:v>
                </c:pt>
                <c:pt idx="1578">
                  <c:v>41737</c:v>
                </c:pt>
                <c:pt idx="1579">
                  <c:v>41738</c:v>
                </c:pt>
                <c:pt idx="1580">
                  <c:v>41739</c:v>
                </c:pt>
                <c:pt idx="1581">
                  <c:v>41740</c:v>
                </c:pt>
                <c:pt idx="1582">
                  <c:v>41743</c:v>
                </c:pt>
                <c:pt idx="1583">
                  <c:v>41744</c:v>
                </c:pt>
                <c:pt idx="1584">
                  <c:v>41745</c:v>
                </c:pt>
                <c:pt idx="1585">
                  <c:v>41746</c:v>
                </c:pt>
                <c:pt idx="1586">
                  <c:v>41750</c:v>
                </c:pt>
                <c:pt idx="1587">
                  <c:v>41751</c:v>
                </c:pt>
                <c:pt idx="1588">
                  <c:v>41752</c:v>
                </c:pt>
                <c:pt idx="1589">
                  <c:v>41753</c:v>
                </c:pt>
                <c:pt idx="1590">
                  <c:v>41754</c:v>
                </c:pt>
                <c:pt idx="1591">
                  <c:v>41757</c:v>
                </c:pt>
                <c:pt idx="1592">
                  <c:v>41758</c:v>
                </c:pt>
                <c:pt idx="1593">
                  <c:v>41759</c:v>
                </c:pt>
                <c:pt idx="1594">
                  <c:v>41760</c:v>
                </c:pt>
                <c:pt idx="1595">
                  <c:v>41761</c:v>
                </c:pt>
                <c:pt idx="1596">
                  <c:v>41764</c:v>
                </c:pt>
                <c:pt idx="1597">
                  <c:v>41765</c:v>
                </c:pt>
                <c:pt idx="1598">
                  <c:v>41766</c:v>
                </c:pt>
                <c:pt idx="1599">
                  <c:v>41767</c:v>
                </c:pt>
                <c:pt idx="1600">
                  <c:v>41768</c:v>
                </c:pt>
                <c:pt idx="1601">
                  <c:v>41771</c:v>
                </c:pt>
                <c:pt idx="1602">
                  <c:v>41772</c:v>
                </c:pt>
                <c:pt idx="1603">
                  <c:v>41773</c:v>
                </c:pt>
                <c:pt idx="1604">
                  <c:v>41774</c:v>
                </c:pt>
                <c:pt idx="1605">
                  <c:v>41775</c:v>
                </c:pt>
                <c:pt idx="1606">
                  <c:v>41778</c:v>
                </c:pt>
                <c:pt idx="1607">
                  <c:v>41779</c:v>
                </c:pt>
                <c:pt idx="1608">
                  <c:v>41780</c:v>
                </c:pt>
                <c:pt idx="1609">
                  <c:v>41781</c:v>
                </c:pt>
                <c:pt idx="1610">
                  <c:v>41782</c:v>
                </c:pt>
                <c:pt idx="1611">
                  <c:v>41786</c:v>
                </c:pt>
                <c:pt idx="1612">
                  <c:v>41787</c:v>
                </c:pt>
                <c:pt idx="1613">
                  <c:v>41788</c:v>
                </c:pt>
                <c:pt idx="1614">
                  <c:v>41789</c:v>
                </c:pt>
                <c:pt idx="1615">
                  <c:v>41792</c:v>
                </c:pt>
                <c:pt idx="1616">
                  <c:v>41793</c:v>
                </c:pt>
                <c:pt idx="1617">
                  <c:v>41794</c:v>
                </c:pt>
                <c:pt idx="1618">
                  <c:v>41795</c:v>
                </c:pt>
                <c:pt idx="1619">
                  <c:v>41796</c:v>
                </c:pt>
                <c:pt idx="1620">
                  <c:v>41799</c:v>
                </c:pt>
                <c:pt idx="1621">
                  <c:v>41800</c:v>
                </c:pt>
                <c:pt idx="1622">
                  <c:v>41801</c:v>
                </c:pt>
                <c:pt idx="1623">
                  <c:v>41802</c:v>
                </c:pt>
                <c:pt idx="1624">
                  <c:v>41803</c:v>
                </c:pt>
                <c:pt idx="1625">
                  <c:v>41806</c:v>
                </c:pt>
                <c:pt idx="1626">
                  <c:v>41807</c:v>
                </c:pt>
                <c:pt idx="1627">
                  <c:v>41808</c:v>
                </c:pt>
                <c:pt idx="1628">
                  <c:v>41809</c:v>
                </c:pt>
                <c:pt idx="1629">
                  <c:v>41810</c:v>
                </c:pt>
                <c:pt idx="1630">
                  <c:v>41813</c:v>
                </c:pt>
                <c:pt idx="1631">
                  <c:v>41814</c:v>
                </c:pt>
                <c:pt idx="1632">
                  <c:v>41815</c:v>
                </c:pt>
                <c:pt idx="1633">
                  <c:v>41816</c:v>
                </c:pt>
                <c:pt idx="1634">
                  <c:v>41817</c:v>
                </c:pt>
                <c:pt idx="1635">
                  <c:v>41820</c:v>
                </c:pt>
                <c:pt idx="1636">
                  <c:v>41821</c:v>
                </c:pt>
                <c:pt idx="1637">
                  <c:v>41822</c:v>
                </c:pt>
                <c:pt idx="1638">
                  <c:v>41823</c:v>
                </c:pt>
                <c:pt idx="1639">
                  <c:v>41827</c:v>
                </c:pt>
                <c:pt idx="1640">
                  <c:v>41828</c:v>
                </c:pt>
                <c:pt idx="1641">
                  <c:v>41829</c:v>
                </c:pt>
                <c:pt idx="1642">
                  <c:v>41830</c:v>
                </c:pt>
                <c:pt idx="1643">
                  <c:v>41831</c:v>
                </c:pt>
                <c:pt idx="1644">
                  <c:v>41834</c:v>
                </c:pt>
                <c:pt idx="1645">
                  <c:v>41835</c:v>
                </c:pt>
                <c:pt idx="1646">
                  <c:v>41836</c:v>
                </c:pt>
                <c:pt idx="1647">
                  <c:v>41837</c:v>
                </c:pt>
                <c:pt idx="1648">
                  <c:v>41838</c:v>
                </c:pt>
                <c:pt idx="1649">
                  <c:v>41841</c:v>
                </c:pt>
                <c:pt idx="1650">
                  <c:v>41842</c:v>
                </c:pt>
                <c:pt idx="1651">
                  <c:v>41843</c:v>
                </c:pt>
                <c:pt idx="1652">
                  <c:v>41844</c:v>
                </c:pt>
                <c:pt idx="1653">
                  <c:v>41845</c:v>
                </c:pt>
                <c:pt idx="1654">
                  <c:v>41848</c:v>
                </c:pt>
                <c:pt idx="1655">
                  <c:v>41849</c:v>
                </c:pt>
                <c:pt idx="1656">
                  <c:v>41850</c:v>
                </c:pt>
                <c:pt idx="1657">
                  <c:v>41851</c:v>
                </c:pt>
                <c:pt idx="1658">
                  <c:v>41852</c:v>
                </c:pt>
                <c:pt idx="1659">
                  <c:v>41855</c:v>
                </c:pt>
                <c:pt idx="1660">
                  <c:v>41856</c:v>
                </c:pt>
                <c:pt idx="1661">
                  <c:v>41857</c:v>
                </c:pt>
                <c:pt idx="1662">
                  <c:v>41858</c:v>
                </c:pt>
                <c:pt idx="1663">
                  <c:v>41859</c:v>
                </c:pt>
                <c:pt idx="1664">
                  <c:v>41862</c:v>
                </c:pt>
                <c:pt idx="1665">
                  <c:v>41863</c:v>
                </c:pt>
                <c:pt idx="1666">
                  <c:v>41864</c:v>
                </c:pt>
                <c:pt idx="1667">
                  <c:v>41865</c:v>
                </c:pt>
                <c:pt idx="1668">
                  <c:v>41866</c:v>
                </c:pt>
                <c:pt idx="1669">
                  <c:v>41869</c:v>
                </c:pt>
                <c:pt idx="1670">
                  <c:v>41870</c:v>
                </c:pt>
                <c:pt idx="1671">
                  <c:v>41871</c:v>
                </c:pt>
                <c:pt idx="1672">
                  <c:v>41872</c:v>
                </c:pt>
                <c:pt idx="1673">
                  <c:v>41873</c:v>
                </c:pt>
                <c:pt idx="1674">
                  <c:v>41876</c:v>
                </c:pt>
                <c:pt idx="1675">
                  <c:v>41877</c:v>
                </c:pt>
                <c:pt idx="1676">
                  <c:v>41878</c:v>
                </c:pt>
                <c:pt idx="1677">
                  <c:v>41879</c:v>
                </c:pt>
                <c:pt idx="1678">
                  <c:v>41880</c:v>
                </c:pt>
                <c:pt idx="1679">
                  <c:v>41884</c:v>
                </c:pt>
                <c:pt idx="1680">
                  <c:v>41885</c:v>
                </c:pt>
                <c:pt idx="1681">
                  <c:v>41886</c:v>
                </c:pt>
                <c:pt idx="1682">
                  <c:v>41887</c:v>
                </c:pt>
                <c:pt idx="1683">
                  <c:v>41890</c:v>
                </c:pt>
                <c:pt idx="1684">
                  <c:v>41891</c:v>
                </c:pt>
                <c:pt idx="1685">
                  <c:v>41892</c:v>
                </c:pt>
                <c:pt idx="1686">
                  <c:v>41893</c:v>
                </c:pt>
                <c:pt idx="1687">
                  <c:v>41894</c:v>
                </c:pt>
                <c:pt idx="1688">
                  <c:v>41897</c:v>
                </c:pt>
                <c:pt idx="1689">
                  <c:v>41898</c:v>
                </c:pt>
                <c:pt idx="1690">
                  <c:v>41899</c:v>
                </c:pt>
                <c:pt idx="1691">
                  <c:v>41900</c:v>
                </c:pt>
                <c:pt idx="1692">
                  <c:v>41901</c:v>
                </c:pt>
                <c:pt idx="1693">
                  <c:v>41904</c:v>
                </c:pt>
                <c:pt idx="1694">
                  <c:v>41905</c:v>
                </c:pt>
                <c:pt idx="1695">
                  <c:v>41906</c:v>
                </c:pt>
                <c:pt idx="1696">
                  <c:v>41907</c:v>
                </c:pt>
                <c:pt idx="1697">
                  <c:v>41908</c:v>
                </c:pt>
                <c:pt idx="1698">
                  <c:v>41911</c:v>
                </c:pt>
                <c:pt idx="1699">
                  <c:v>41912</c:v>
                </c:pt>
                <c:pt idx="1700">
                  <c:v>41913</c:v>
                </c:pt>
                <c:pt idx="1701">
                  <c:v>41914</c:v>
                </c:pt>
                <c:pt idx="1702">
                  <c:v>41915</c:v>
                </c:pt>
                <c:pt idx="1703">
                  <c:v>41918</c:v>
                </c:pt>
                <c:pt idx="1704">
                  <c:v>41919</c:v>
                </c:pt>
                <c:pt idx="1705">
                  <c:v>41920</c:v>
                </c:pt>
                <c:pt idx="1706">
                  <c:v>41921</c:v>
                </c:pt>
                <c:pt idx="1707">
                  <c:v>41922</c:v>
                </c:pt>
                <c:pt idx="1708">
                  <c:v>41925</c:v>
                </c:pt>
                <c:pt idx="1709">
                  <c:v>41926</c:v>
                </c:pt>
                <c:pt idx="1710">
                  <c:v>41927</c:v>
                </c:pt>
                <c:pt idx="1711">
                  <c:v>41928</c:v>
                </c:pt>
                <c:pt idx="1712">
                  <c:v>41929</c:v>
                </c:pt>
                <c:pt idx="1713">
                  <c:v>41932</c:v>
                </c:pt>
                <c:pt idx="1714">
                  <c:v>41933</c:v>
                </c:pt>
                <c:pt idx="1715">
                  <c:v>41934</c:v>
                </c:pt>
                <c:pt idx="1716">
                  <c:v>41935</c:v>
                </c:pt>
                <c:pt idx="1717">
                  <c:v>41936</c:v>
                </c:pt>
                <c:pt idx="1718">
                  <c:v>41939</c:v>
                </c:pt>
                <c:pt idx="1719">
                  <c:v>41940</c:v>
                </c:pt>
                <c:pt idx="1720">
                  <c:v>41941</c:v>
                </c:pt>
                <c:pt idx="1721">
                  <c:v>41942</c:v>
                </c:pt>
                <c:pt idx="1722">
                  <c:v>41943</c:v>
                </c:pt>
                <c:pt idx="1723">
                  <c:v>41946</c:v>
                </c:pt>
                <c:pt idx="1724">
                  <c:v>41947</c:v>
                </c:pt>
                <c:pt idx="1725">
                  <c:v>41948</c:v>
                </c:pt>
                <c:pt idx="1726">
                  <c:v>41949</c:v>
                </c:pt>
                <c:pt idx="1727">
                  <c:v>41950</c:v>
                </c:pt>
                <c:pt idx="1728">
                  <c:v>41953</c:v>
                </c:pt>
                <c:pt idx="1729">
                  <c:v>41954</c:v>
                </c:pt>
                <c:pt idx="1730">
                  <c:v>41955</c:v>
                </c:pt>
                <c:pt idx="1731">
                  <c:v>41956</c:v>
                </c:pt>
                <c:pt idx="1732">
                  <c:v>41957</c:v>
                </c:pt>
                <c:pt idx="1733">
                  <c:v>41960</c:v>
                </c:pt>
                <c:pt idx="1734">
                  <c:v>41961</c:v>
                </c:pt>
                <c:pt idx="1735">
                  <c:v>41962</c:v>
                </c:pt>
                <c:pt idx="1736">
                  <c:v>41963</c:v>
                </c:pt>
                <c:pt idx="1737">
                  <c:v>41964</c:v>
                </c:pt>
                <c:pt idx="1738">
                  <c:v>41967</c:v>
                </c:pt>
                <c:pt idx="1739">
                  <c:v>41968</c:v>
                </c:pt>
                <c:pt idx="1740">
                  <c:v>41969</c:v>
                </c:pt>
                <c:pt idx="1741">
                  <c:v>41971</c:v>
                </c:pt>
                <c:pt idx="1742">
                  <c:v>41974</c:v>
                </c:pt>
                <c:pt idx="1743">
                  <c:v>41975</c:v>
                </c:pt>
                <c:pt idx="1744">
                  <c:v>41976</c:v>
                </c:pt>
                <c:pt idx="1745">
                  <c:v>41977</c:v>
                </c:pt>
                <c:pt idx="1746">
                  <c:v>41978</c:v>
                </c:pt>
                <c:pt idx="1747">
                  <c:v>41981</c:v>
                </c:pt>
                <c:pt idx="1748">
                  <c:v>41982</c:v>
                </c:pt>
                <c:pt idx="1749">
                  <c:v>41983</c:v>
                </c:pt>
                <c:pt idx="1750">
                  <c:v>41984</c:v>
                </c:pt>
                <c:pt idx="1751">
                  <c:v>41985</c:v>
                </c:pt>
                <c:pt idx="1752">
                  <c:v>41988</c:v>
                </c:pt>
                <c:pt idx="1753">
                  <c:v>41989</c:v>
                </c:pt>
                <c:pt idx="1754">
                  <c:v>41990</c:v>
                </c:pt>
                <c:pt idx="1755">
                  <c:v>41991</c:v>
                </c:pt>
                <c:pt idx="1756">
                  <c:v>41992</c:v>
                </c:pt>
                <c:pt idx="1757">
                  <c:v>41995</c:v>
                </c:pt>
                <c:pt idx="1758">
                  <c:v>41996</c:v>
                </c:pt>
                <c:pt idx="1759">
                  <c:v>41997</c:v>
                </c:pt>
                <c:pt idx="1760">
                  <c:v>41999</c:v>
                </c:pt>
                <c:pt idx="1761">
                  <c:v>42002</c:v>
                </c:pt>
                <c:pt idx="1762">
                  <c:v>42003</c:v>
                </c:pt>
                <c:pt idx="1763">
                  <c:v>42004</c:v>
                </c:pt>
                <c:pt idx="1764">
                  <c:v>42006</c:v>
                </c:pt>
                <c:pt idx="1765">
                  <c:v>42009</c:v>
                </c:pt>
                <c:pt idx="1766">
                  <c:v>42010</c:v>
                </c:pt>
                <c:pt idx="1767">
                  <c:v>42011</c:v>
                </c:pt>
                <c:pt idx="1768">
                  <c:v>42012</c:v>
                </c:pt>
                <c:pt idx="1769">
                  <c:v>42013</c:v>
                </c:pt>
                <c:pt idx="1770">
                  <c:v>42016</c:v>
                </c:pt>
                <c:pt idx="1771">
                  <c:v>42017</c:v>
                </c:pt>
                <c:pt idx="1772">
                  <c:v>42018</c:v>
                </c:pt>
                <c:pt idx="1773">
                  <c:v>42019</c:v>
                </c:pt>
                <c:pt idx="1774">
                  <c:v>42020</c:v>
                </c:pt>
                <c:pt idx="1775">
                  <c:v>42024</c:v>
                </c:pt>
                <c:pt idx="1776">
                  <c:v>42025</c:v>
                </c:pt>
                <c:pt idx="1777">
                  <c:v>42026</c:v>
                </c:pt>
                <c:pt idx="1778">
                  <c:v>42027</c:v>
                </c:pt>
                <c:pt idx="1779">
                  <c:v>42030</c:v>
                </c:pt>
                <c:pt idx="1780">
                  <c:v>42031</c:v>
                </c:pt>
                <c:pt idx="1781">
                  <c:v>42032</c:v>
                </c:pt>
                <c:pt idx="1782">
                  <c:v>42033</c:v>
                </c:pt>
                <c:pt idx="1783">
                  <c:v>42034</c:v>
                </c:pt>
                <c:pt idx="1784">
                  <c:v>42037</c:v>
                </c:pt>
                <c:pt idx="1785">
                  <c:v>42038</c:v>
                </c:pt>
                <c:pt idx="1786">
                  <c:v>42039</c:v>
                </c:pt>
                <c:pt idx="1787">
                  <c:v>42040</c:v>
                </c:pt>
                <c:pt idx="1788">
                  <c:v>42041</c:v>
                </c:pt>
                <c:pt idx="1789">
                  <c:v>42044</c:v>
                </c:pt>
                <c:pt idx="1790">
                  <c:v>42045</c:v>
                </c:pt>
                <c:pt idx="1791">
                  <c:v>42046</c:v>
                </c:pt>
                <c:pt idx="1792">
                  <c:v>42047</c:v>
                </c:pt>
                <c:pt idx="1793">
                  <c:v>42048</c:v>
                </c:pt>
                <c:pt idx="1794">
                  <c:v>42052</c:v>
                </c:pt>
                <c:pt idx="1795">
                  <c:v>42053</c:v>
                </c:pt>
                <c:pt idx="1796">
                  <c:v>42054</c:v>
                </c:pt>
                <c:pt idx="1797">
                  <c:v>42055</c:v>
                </c:pt>
                <c:pt idx="1798">
                  <c:v>42058</c:v>
                </c:pt>
                <c:pt idx="1799">
                  <c:v>42059</c:v>
                </c:pt>
                <c:pt idx="1800">
                  <c:v>42060</c:v>
                </c:pt>
                <c:pt idx="1801">
                  <c:v>42061</c:v>
                </c:pt>
                <c:pt idx="1802">
                  <c:v>42062</c:v>
                </c:pt>
                <c:pt idx="1803">
                  <c:v>42065</c:v>
                </c:pt>
                <c:pt idx="1804">
                  <c:v>42066</c:v>
                </c:pt>
                <c:pt idx="1805">
                  <c:v>42067</c:v>
                </c:pt>
                <c:pt idx="1806">
                  <c:v>42068</c:v>
                </c:pt>
                <c:pt idx="1807">
                  <c:v>42069</c:v>
                </c:pt>
                <c:pt idx="1808">
                  <c:v>42072</c:v>
                </c:pt>
                <c:pt idx="1809">
                  <c:v>42073</c:v>
                </c:pt>
                <c:pt idx="1810">
                  <c:v>42074</c:v>
                </c:pt>
                <c:pt idx="1811">
                  <c:v>42075</c:v>
                </c:pt>
                <c:pt idx="1812">
                  <c:v>42076</c:v>
                </c:pt>
                <c:pt idx="1813">
                  <c:v>42079</c:v>
                </c:pt>
                <c:pt idx="1814">
                  <c:v>42080</c:v>
                </c:pt>
                <c:pt idx="1815">
                  <c:v>42081</c:v>
                </c:pt>
                <c:pt idx="1816">
                  <c:v>42082</c:v>
                </c:pt>
                <c:pt idx="1817">
                  <c:v>42083</c:v>
                </c:pt>
                <c:pt idx="1818">
                  <c:v>42086</c:v>
                </c:pt>
                <c:pt idx="1819">
                  <c:v>42087</c:v>
                </c:pt>
                <c:pt idx="1820">
                  <c:v>42088</c:v>
                </c:pt>
                <c:pt idx="1821">
                  <c:v>42089</c:v>
                </c:pt>
                <c:pt idx="1822">
                  <c:v>42090</c:v>
                </c:pt>
                <c:pt idx="1823">
                  <c:v>42093</c:v>
                </c:pt>
                <c:pt idx="1824">
                  <c:v>42094</c:v>
                </c:pt>
                <c:pt idx="1825">
                  <c:v>42095</c:v>
                </c:pt>
                <c:pt idx="1826">
                  <c:v>42096</c:v>
                </c:pt>
                <c:pt idx="1827">
                  <c:v>42100</c:v>
                </c:pt>
                <c:pt idx="1828">
                  <c:v>42101</c:v>
                </c:pt>
                <c:pt idx="1829">
                  <c:v>42102</c:v>
                </c:pt>
                <c:pt idx="1830">
                  <c:v>42103</c:v>
                </c:pt>
                <c:pt idx="1831">
                  <c:v>42104</c:v>
                </c:pt>
                <c:pt idx="1832">
                  <c:v>42107</c:v>
                </c:pt>
                <c:pt idx="1833">
                  <c:v>42108</c:v>
                </c:pt>
                <c:pt idx="1834">
                  <c:v>42109</c:v>
                </c:pt>
                <c:pt idx="1835">
                  <c:v>42110</c:v>
                </c:pt>
                <c:pt idx="1836">
                  <c:v>42111</c:v>
                </c:pt>
                <c:pt idx="1837">
                  <c:v>42114</c:v>
                </c:pt>
                <c:pt idx="1838">
                  <c:v>42115</c:v>
                </c:pt>
                <c:pt idx="1839">
                  <c:v>42116</c:v>
                </c:pt>
                <c:pt idx="1840">
                  <c:v>42117</c:v>
                </c:pt>
                <c:pt idx="1841">
                  <c:v>42118</c:v>
                </c:pt>
                <c:pt idx="1842">
                  <c:v>42121</c:v>
                </c:pt>
                <c:pt idx="1843">
                  <c:v>42122</c:v>
                </c:pt>
                <c:pt idx="1844">
                  <c:v>42123</c:v>
                </c:pt>
                <c:pt idx="1845">
                  <c:v>42124</c:v>
                </c:pt>
                <c:pt idx="1846">
                  <c:v>42125</c:v>
                </c:pt>
                <c:pt idx="1847">
                  <c:v>42128</c:v>
                </c:pt>
                <c:pt idx="1848">
                  <c:v>42129</c:v>
                </c:pt>
                <c:pt idx="1849">
                  <c:v>42130</c:v>
                </c:pt>
                <c:pt idx="1850">
                  <c:v>42131</c:v>
                </c:pt>
                <c:pt idx="1851">
                  <c:v>42132</c:v>
                </c:pt>
                <c:pt idx="1852">
                  <c:v>42135</c:v>
                </c:pt>
                <c:pt idx="1853">
                  <c:v>42136</c:v>
                </c:pt>
                <c:pt idx="1854">
                  <c:v>42137</c:v>
                </c:pt>
                <c:pt idx="1855">
                  <c:v>42138</c:v>
                </c:pt>
                <c:pt idx="1856">
                  <c:v>42139</c:v>
                </c:pt>
                <c:pt idx="1857">
                  <c:v>42142</c:v>
                </c:pt>
                <c:pt idx="1858">
                  <c:v>42143</c:v>
                </c:pt>
                <c:pt idx="1859">
                  <c:v>42144</c:v>
                </c:pt>
                <c:pt idx="1860">
                  <c:v>42145</c:v>
                </c:pt>
                <c:pt idx="1861">
                  <c:v>42146</c:v>
                </c:pt>
                <c:pt idx="1862">
                  <c:v>42150</c:v>
                </c:pt>
                <c:pt idx="1863">
                  <c:v>42151</c:v>
                </c:pt>
                <c:pt idx="1864">
                  <c:v>42152</c:v>
                </c:pt>
                <c:pt idx="1865">
                  <c:v>42153</c:v>
                </c:pt>
                <c:pt idx="1866">
                  <c:v>42156</c:v>
                </c:pt>
                <c:pt idx="1867">
                  <c:v>42157</c:v>
                </c:pt>
                <c:pt idx="1868">
                  <c:v>42158</c:v>
                </c:pt>
                <c:pt idx="1869">
                  <c:v>42159</c:v>
                </c:pt>
                <c:pt idx="1870">
                  <c:v>42160</c:v>
                </c:pt>
                <c:pt idx="1871">
                  <c:v>42163</c:v>
                </c:pt>
                <c:pt idx="1872">
                  <c:v>42164</c:v>
                </c:pt>
                <c:pt idx="1873">
                  <c:v>42165</c:v>
                </c:pt>
                <c:pt idx="1874">
                  <c:v>42166</c:v>
                </c:pt>
                <c:pt idx="1875">
                  <c:v>42167</c:v>
                </c:pt>
                <c:pt idx="1876">
                  <c:v>42170</c:v>
                </c:pt>
                <c:pt idx="1877">
                  <c:v>42171</c:v>
                </c:pt>
                <c:pt idx="1878">
                  <c:v>42172</c:v>
                </c:pt>
                <c:pt idx="1879">
                  <c:v>42173</c:v>
                </c:pt>
                <c:pt idx="1880">
                  <c:v>42174</c:v>
                </c:pt>
                <c:pt idx="1881">
                  <c:v>42177</c:v>
                </c:pt>
                <c:pt idx="1882">
                  <c:v>42178</c:v>
                </c:pt>
                <c:pt idx="1883">
                  <c:v>42179</c:v>
                </c:pt>
                <c:pt idx="1884">
                  <c:v>42180</c:v>
                </c:pt>
                <c:pt idx="1885">
                  <c:v>42181</c:v>
                </c:pt>
                <c:pt idx="1886">
                  <c:v>42184</c:v>
                </c:pt>
                <c:pt idx="1887">
                  <c:v>42185</c:v>
                </c:pt>
                <c:pt idx="1888">
                  <c:v>42186</c:v>
                </c:pt>
                <c:pt idx="1889">
                  <c:v>42187</c:v>
                </c:pt>
                <c:pt idx="1890">
                  <c:v>42191</c:v>
                </c:pt>
                <c:pt idx="1891">
                  <c:v>42192</c:v>
                </c:pt>
                <c:pt idx="1892">
                  <c:v>42193</c:v>
                </c:pt>
                <c:pt idx="1893">
                  <c:v>42194</c:v>
                </c:pt>
                <c:pt idx="1894">
                  <c:v>42195</c:v>
                </c:pt>
                <c:pt idx="1895">
                  <c:v>42198</c:v>
                </c:pt>
                <c:pt idx="1896">
                  <c:v>42199</c:v>
                </c:pt>
                <c:pt idx="1897">
                  <c:v>42200</c:v>
                </c:pt>
                <c:pt idx="1898">
                  <c:v>42201</c:v>
                </c:pt>
                <c:pt idx="1899">
                  <c:v>42202</c:v>
                </c:pt>
                <c:pt idx="1900">
                  <c:v>42205</c:v>
                </c:pt>
                <c:pt idx="1901">
                  <c:v>42206</c:v>
                </c:pt>
                <c:pt idx="1902">
                  <c:v>42207</c:v>
                </c:pt>
                <c:pt idx="1903">
                  <c:v>42208</c:v>
                </c:pt>
                <c:pt idx="1904">
                  <c:v>42209</c:v>
                </c:pt>
                <c:pt idx="1905">
                  <c:v>42212</c:v>
                </c:pt>
                <c:pt idx="1906">
                  <c:v>42213</c:v>
                </c:pt>
                <c:pt idx="1907">
                  <c:v>42214</c:v>
                </c:pt>
                <c:pt idx="1908">
                  <c:v>42215</c:v>
                </c:pt>
                <c:pt idx="1909">
                  <c:v>42216</c:v>
                </c:pt>
                <c:pt idx="1910">
                  <c:v>42219</c:v>
                </c:pt>
                <c:pt idx="1911">
                  <c:v>42220</c:v>
                </c:pt>
                <c:pt idx="1912">
                  <c:v>42221</c:v>
                </c:pt>
                <c:pt idx="1913">
                  <c:v>42222</c:v>
                </c:pt>
                <c:pt idx="1914">
                  <c:v>42223</c:v>
                </c:pt>
                <c:pt idx="1915">
                  <c:v>42226</c:v>
                </c:pt>
                <c:pt idx="1916">
                  <c:v>42227</c:v>
                </c:pt>
                <c:pt idx="1917">
                  <c:v>42228</c:v>
                </c:pt>
                <c:pt idx="1918">
                  <c:v>42229</c:v>
                </c:pt>
                <c:pt idx="1919">
                  <c:v>42230</c:v>
                </c:pt>
                <c:pt idx="1920">
                  <c:v>42233</c:v>
                </c:pt>
                <c:pt idx="1921">
                  <c:v>42234</c:v>
                </c:pt>
                <c:pt idx="1922">
                  <c:v>42235</c:v>
                </c:pt>
                <c:pt idx="1923">
                  <c:v>42236</c:v>
                </c:pt>
                <c:pt idx="1924">
                  <c:v>42237</c:v>
                </c:pt>
                <c:pt idx="1925">
                  <c:v>42240</c:v>
                </c:pt>
                <c:pt idx="1926">
                  <c:v>42241</c:v>
                </c:pt>
                <c:pt idx="1927">
                  <c:v>42242</c:v>
                </c:pt>
                <c:pt idx="1928">
                  <c:v>42243</c:v>
                </c:pt>
                <c:pt idx="1929">
                  <c:v>42244</c:v>
                </c:pt>
                <c:pt idx="1930">
                  <c:v>42247</c:v>
                </c:pt>
                <c:pt idx="1931">
                  <c:v>42248</c:v>
                </c:pt>
                <c:pt idx="1932">
                  <c:v>42249</c:v>
                </c:pt>
                <c:pt idx="1933">
                  <c:v>42250</c:v>
                </c:pt>
                <c:pt idx="1934">
                  <c:v>42251</c:v>
                </c:pt>
                <c:pt idx="1935">
                  <c:v>42255</c:v>
                </c:pt>
                <c:pt idx="1936">
                  <c:v>42256</c:v>
                </c:pt>
                <c:pt idx="1937">
                  <c:v>42257</c:v>
                </c:pt>
                <c:pt idx="1938">
                  <c:v>42258</c:v>
                </c:pt>
                <c:pt idx="1939">
                  <c:v>42261</c:v>
                </c:pt>
                <c:pt idx="1940">
                  <c:v>42262</c:v>
                </c:pt>
                <c:pt idx="1941">
                  <c:v>42263</c:v>
                </c:pt>
                <c:pt idx="1942">
                  <c:v>42264</c:v>
                </c:pt>
                <c:pt idx="1943">
                  <c:v>42265</c:v>
                </c:pt>
                <c:pt idx="1944">
                  <c:v>42268</c:v>
                </c:pt>
                <c:pt idx="1945">
                  <c:v>42269</c:v>
                </c:pt>
                <c:pt idx="1946">
                  <c:v>42270</c:v>
                </c:pt>
                <c:pt idx="1947">
                  <c:v>42271</c:v>
                </c:pt>
                <c:pt idx="1948">
                  <c:v>42272</c:v>
                </c:pt>
                <c:pt idx="1949">
                  <c:v>42275</c:v>
                </c:pt>
                <c:pt idx="1950">
                  <c:v>42276</c:v>
                </c:pt>
                <c:pt idx="1951">
                  <c:v>42277</c:v>
                </c:pt>
                <c:pt idx="1952">
                  <c:v>42278</c:v>
                </c:pt>
                <c:pt idx="1953">
                  <c:v>42279</c:v>
                </c:pt>
                <c:pt idx="1954">
                  <c:v>42282</c:v>
                </c:pt>
                <c:pt idx="1955">
                  <c:v>42283</c:v>
                </c:pt>
                <c:pt idx="1956">
                  <c:v>42284</c:v>
                </c:pt>
                <c:pt idx="1957">
                  <c:v>42285</c:v>
                </c:pt>
                <c:pt idx="1958">
                  <c:v>42286</c:v>
                </c:pt>
                <c:pt idx="1959">
                  <c:v>42289</c:v>
                </c:pt>
                <c:pt idx="1960">
                  <c:v>42290</c:v>
                </c:pt>
                <c:pt idx="1961">
                  <c:v>42291</c:v>
                </c:pt>
                <c:pt idx="1962">
                  <c:v>42292</c:v>
                </c:pt>
                <c:pt idx="1963">
                  <c:v>42293</c:v>
                </c:pt>
                <c:pt idx="1964">
                  <c:v>42296</c:v>
                </c:pt>
                <c:pt idx="1965">
                  <c:v>42297</c:v>
                </c:pt>
                <c:pt idx="1966">
                  <c:v>42298</c:v>
                </c:pt>
                <c:pt idx="1967">
                  <c:v>42299</c:v>
                </c:pt>
                <c:pt idx="1968">
                  <c:v>42300</c:v>
                </c:pt>
                <c:pt idx="1969">
                  <c:v>42303</c:v>
                </c:pt>
                <c:pt idx="1970">
                  <c:v>42304</c:v>
                </c:pt>
                <c:pt idx="1971">
                  <c:v>42305</c:v>
                </c:pt>
                <c:pt idx="1972">
                  <c:v>42306</c:v>
                </c:pt>
                <c:pt idx="1973">
                  <c:v>42307</c:v>
                </c:pt>
                <c:pt idx="1974">
                  <c:v>42310</c:v>
                </c:pt>
                <c:pt idx="1975">
                  <c:v>42311</c:v>
                </c:pt>
                <c:pt idx="1976">
                  <c:v>42312</c:v>
                </c:pt>
                <c:pt idx="1977">
                  <c:v>42313</c:v>
                </c:pt>
                <c:pt idx="1978">
                  <c:v>42314</c:v>
                </c:pt>
                <c:pt idx="1979">
                  <c:v>42317</c:v>
                </c:pt>
                <c:pt idx="1980">
                  <c:v>42318</c:v>
                </c:pt>
                <c:pt idx="1981">
                  <c:v>42319</c:v>
                </c:pt>
                <c:pt idx="1982">
                  <c:v>42320</c:v>
                </c:pt>
                <c:pt idx="1983">
                  <c:v>42321</c:v>
                </c:pt>
                <c:pt idx="1984">
                  <c:v>42324</c:v>
                </c:pt>
                <c:pt idx="1985">
                  <c:v>42325</c:v>
                </c:pt>
                <c:pt idx="1986">
                  <c:v>42326</c:v>
                </c:pt>
                <c:pt idx="1987">
                  <c:v>42327</c:v>
                </c:pt>
                <c:pt idx="1988">
                  <c:v>42328</c:v>
                </c:pt>
                <c:pt idx="1989">
                  <c:v>42331</c:v>
                </c:pt>
                <c:pt idx="1990">
                  <c:v>42332</c:v>
                </c:pt>
                <c:pt idx="1991">
                  <c:v>42333</c:v>
                </c:pt>
                <c:pt idx="1992">
                  <c:v>42335</c:v>
                </c:pt>
                <c:pt idx="1993">
                  <c:v>42338</c:v>
                </c:pt>
                <c:pt idx="1994">
                  <c:v>42339</c:v>
                </c:pt>
                <c:pt idx="1995">
                  <c:v>42340</c:v>
                </c:pt>
                <c:pt idx="1996">
                  <c:v>42341</c:v>
                </c:pt>
                <c:pt idx="1997">
                  <c:v>42342</c:v>
                </c:pt>
                <c:pt idx="1998">
                  <c:v>42345</c:v>
                </c:pt>
                <c:pt idx="1999">
                  <c:v>42346</c:v>
                </c:pt>
                <c:pt idx="2000">
                  <c:v>42347</c:v>
                </c:pt>
                <c:pt idx="2001">
                  <c:v>42348</c:v>
                </c:pt>
                <c:pt idx="2002">
                  <c:v>42349</c:v>
                </c:pt>
                <c:pt idx="2003">
                  <c:v>42352</c:v>
                </c:pt>
                <c:pt idx="2004">
                  <c:v>42353</c:v>
                </c:pt>
                <c:pt idx="2005">
                  <c:v>42354</c:v>
                </c:pt>
                <c:pt idx="2006">
                  <c:v>42355</c:v>
                </c:pt>
                <c:pt idx="2007">
                  <c:v>42356</c:v>
                </c:pt>
                <c:pt idx="2008">
                  <c:v>42359</c:v>
                </c:pt>
                <c:pt idx="2009">
                  <c:v>42360</c:v>
                </c:pt>
                <c:pt idx="2010">
                  <c:v>42361</c:v>
                </c:pt>
                <c:pt idx="2011">
                  <c:v>42362</c:v>
                </c:pt>
                <c:pt idx="2012">
                  <c:v>42366</c:v>
                </c:pt>
                <c:pt idx="2013">
                  <c:v>42367</c:v>
                </c:pt>
                <c:pt idx="2014">
                  <c:v>42368</c:v>
                </c:pt>
                <c:pt idx="2015">
                  <c:v>42369</c:v>
                </c:pt>
                <c:pt idx="2016">
                  <c:v>42373</c:v>
                </c:pt>
                <c:pt idx="2017">
                  <c:v>42374</c:v>
                </c:pt>
                <c:pt idx="2018">
                  <c:v>42375</c:v>
                </c:pt>
                <c:pt idx="2019">
                  <c:v>42376</c:v>
                </c:pt>
                <c:pt idx="2020">
                  <c:v>42377</c:v>
                </c:pt>
                <c:pt idx="2021">
                  <c:v>42380</c:v>
                </c:pt>
                <c:pt idx="2022">
                  <c:v>42381</c:v>
                </c:pt>
                <c:pt idx="2023">
                  <c:v>42382</c:v>
                </c:pt>
                <c:pt idx="2024">
                  <c:v>42383</c:v>
                </c:pt>
                <c:pt idx="2025">
                  <c:v>42384</c:v>
                </c:pt>
                <c:pt idx="2026">
                  <c:v>42388</c:v>
                </c:pt>
                <c:pt idx="2027">
                  <c:v>42389</c:v>
                </c:pt>
                <c:pt idx="2028">
                  <c:v>42390</c:v>
                </c:pt>
                <c:pt idx="2029">
                  <c:v>42391</c:v>
                </c:pt>
                <c:pt idx="2030">
                  <c:v>42394</c:v>
                </c:pt>
                <c:pt idx="2031">
                  <c:v>42395</c:v>
                </c:pt>
                <c:pt idx="2032">
                  <c:v>42396</c:v>
                </c:pt>
                <c:pt idx="2033">
                  <c:v>42397</c:v>
                </c:pt>
                <c:pt idx="2034">
                  <c:v>42398</c:v>
                </c:pt>
                <c:pt idx="2035">
                  <c:v>42401</c:v>
                </c:pt>
                <c:pt idx="2036">
                  <c:v>42402</c:v>
                </c:pt>
                <c:pt idx="2037">
                  <c:v>42403</c:v>
                </c:pt>
                <c:pt idx="2038">
                  <c:v>42404</c:v>
                </c:pt>
                <c:pt idx="2039">
                  <c:v>42405</c:v>
                </c:pt>
                <c:pt idx="2040">
                  <c:v>42408</c:v>
                </c:pt>
                <c:pt idx="2041">
                  <c:v>42409</c:v>
                </c:pt>
                <c:pt idx="2042">
                  <c:v>42410</c:v>
                </c:pt>
                <c:pt idx="2043">
                  <c:v>42411</c:v>
                </c:pt>
                <c:pt idx="2044">
                  <c:v>42412</c:v>
                </c:pt>
                <c:pt idx="2045">
                  <c:v>42416</c:v>
                </c:pt>
                <c:pt idx="2046">
                  <c:v>42417</c:v>
                </c:pt>
                <c:pt idx="2047">
                  <c:v>42418</c:v>
                </c:pt>
                <c:pt idx="2048">
                  <c:v>42419</c:v>
                </c:pt>
                <c:pt idx="2049">
                  <c:v>42422</c:v>
                </c:pt>
                <c:pt idx="2050">
                  <c:v>42423</c:v>
                </c:pt>
                <c:pt idx="2051">
                  <c:v>42424</c:v>
                </c:pt>
                <c:pt idx="2052">
                  <c:v>42425</c:v>
                </c:pt>
                <c:pt idx="2053">
                  <c:v>42426</c:v>
                </c:pt>
                <c:pt idx="2054">
                  <c:v>42429</c:v>
                </c:pt>
                <c:pt idx="2055">
                  <c:v>42430</c:v>
                </c:pt>
                <c:pt idx="2056">
                  <c:v>42431</c:v>
                </c:pt>
                <c:pt idx="2057">
                  <c:v>42432</c:v>
                </c:pt>
                <c:pt idx="2058">
                  <c:v>42433</c:v>
                </c:pt>
                <c:pt idx="2059">
                  <c:v>42436</c:v>
                </c:pt>
                <c:pt idx="2060">
                  <c:v>42437</c:v>
                </c:pt>
                <c:pt idx="2061">
                  <c:v>42438</c:v>
                </c:pt>
                <c:pt idx="2062">
                  <c:v>42439</c:v>
                </c:pt>
                <c:pt idx="2063">
                  <c:v>42440</c:v>
                </c:pt>
                <c:pt idx="2064">
                  <c:v>42443</c:v>
                </c:pt>
                <c:pt idx="2065">
                  <c:v>42444</c:v>
                </c:pt>
                <c:pt idx="2066">
                  <c:v>42445</c:v>
                </c:pt>
                <c:pt idx="2067">
                  <c:v>42446</c:v>
                </c:pt>
                <c:pt idx="2068">
                  <c:v>42447</c:v>
                </c:pt>
                <c:pt idx="2069">
                  <c:v>42450</c:v>
                </c:pt>
                <c:pt idx="2070">
                  <c:v>42451</c:v>
                </c:pt>
                <c:pt idx="2071">
                  <c:v>42452</c:v>
                </c:pt>
                <c:pt idx="2072">
                  <c:v>42453</c:v>
                </c:pt>
                <c:pt idx="2073">
                  <c:v>42457</c:v>
                </c:pt>
                <c:pt idx="2074">
                  <c:v>42458</c:v>
                </c:pt>
                <c:pt idx="2075">
                  <c:v>42459</c:v>
                </c:pt>
                <c:pt idx="2076">
                  <c:v>42460</c:v>
                </c:pt>
                <c:pt idx="2077">
                  <c:v>42461</c:v>
                </c:pt>
                <c:pt idx="2078">
                  <c:v>42464</c:v>
                </c:pt>
                <c:pt idx="2079">
                  <c:v>42465</c:v>
                </c:pt>
                <c:pt idx="2080">
                  <c:v>42466</c:v>
                </c:pt>
                <c:pt idx="2081">
                  <c:v>42467</c:v>
                </c:pt>
                <c:pt idx="2082">
                  <c:v>42468</c:v>
                </c:pt>
                <c:pt idx="2083">
                  <c:v>42471</c:v>
                </c:pt>
                <c:pt idx="2084">
                  <c:v>42472</c:v>
                </c:pt>
                <c:pt idx="2085">
                  <c:v>42473</c:v>
                </c:pt>
                <c:pt idx="2086">
                  <c:v>42474</c:v>
                </c:pt>
                <c:pt idx="2087">
                  <c:v>42475</c:v>
                </c:pt>
                <c:pt idx="2088">
                  <c:v>42478</c:v>
                </c:pt>
                <c:pt idx="2089">
                  <c:v>42479</c:v>
                </c:pt>
                <c:pt idx="2090">
                  <c:v>42480</c:v>
                </c:pt>
                <c:pt idx="2091">
                  <c:v>42481</c:v>
                </c:pt>
                <c:pt idx="2092">
                  <c:v>42482</c:v>
                </c:pt>
                <c:pt idx="2093">
                  <c:v>42485</c:v>
                </c:pt>
                <c:pt idx="2094">
                  <c:v>42486</c:v>
                </c:pt>
                <c:pt idx="2095">
                  <c:v>42487</c:v>
                </c:pt>
                <c:pt idx="2096">
                  <c:v>42488</c:v>
                </c:pt>
                <c:pt idx="2097">
                  <c:v>42489</c:v>
                </c:pt>
                <c:pt idx="2098">
                  <c:v>42492</c:v>
                </c:pt>
                <c:pt idx="2099">
                  <c:v>42493</c:v>
                </c:pt>
                <c:pt idx="2100">
                  <c:v>42494</c:v>
                </c:pt>
                <c:pt idx="2101">
                  <c:v>42495</c:v>
                </c:pt>
                <c:pt idx="2102">
                  <c:v>42496</c:v>
                </c:pt>
                <c:pt idx="2103">
                  <c:v>42499</c:v>
                </c:pt>
                <c:pt idx="2104">
                  <c:v>42500</c:v>
                </c:pt>
                <c:pt idx="2105">
                  <c:v>42501</c:v>
                </c:pt>
                <c:pt idx="2106">
                  <c:v>42502</c:v>
                </c:pt>
                <c:pt idx="2107">
                  <c:v>42503</c:v>
                </c:pt>
                <c:pt idx="2108">
                  <c:v>42506</c:v>
                </c:pt>
                <c:pt idx="2109">
                  <c:v>42507</c:v>
                </c:pt>
                <c:pt idx="2110">
                  <c:v>42508</c:v>
                </c:pt>
                <c:pt idx="2111">
                  <c:v>42509</c:v>
                </c:pt>
                <c:pt idx="2112">
                  <c:v>42510</c:v>
                </c:pt>
                <c:pt idx="2113">
                  <c:v>42513</c:v>
                </c:pt>
                <c:pt idx="2114">
                  <c:v>42514</c:v>
                </c:pt>
                <c:pt idx="2115">
                  <c:v>42515</c:v>
                </c:pt>
                <c:pt idx="2116">
                  <c:v>42516</c:v>
                </c:pt>
                <c:pt idx="2117">
                  <c:v>42517</c:v>
                </c:pt>
                <c:pt idx="2118">
                  <c:v>42521</c:v>
                </c:pt>
                <c:pt idx="2119">
                  <c:v>42522</c:v>
                </c:pt>
                <c:pt idx="2120">
                  <c:v>42523</c:v>
                </c:pt>
                <c:pt idx="2121">
                  <c:v>42524</c:v>
                </c:pt>
                <c:pt idx="2122">
                  <c:v>42527</c:v>
                </c:pt>
                <c:pt idx="2123">
                  <c:v>42528</c:v>
                </c:pt>
                <c:pt idx="2124">
                  <c:v>42529</c:v>
                </c:pt>
                <c:pt idx="2125">
                  <c:v>42530</c:v>
                </c:pt>
                <c:pt idx="2126">
                  <c:v>42531</c:v>
                </c:pt>
                <c:pt idx="2127">
                  <c:v>42534</c:v>
                </c:pt>
                <c:pt idx="2128">
                  <c:v>42535</c:v>
                </c:pt>
                <c:pt idx="2129">
                  <c:v>42536</c:v>
                </c:pt>
                <c:pt idx="2130">
                  <c:v>42537</c:v>
                </c:pt>
                <c:pt idx="2131">
                  <c:v>42538</c:v>
                </c:pt>
                <c:pt idx="2132">
                  <c:v>42541</c:v>
                </c:pt>
                <c:pt idx="2133">
                  <c:v>42542</c:v>
                </c:pt>
                <c:pt idx="2134">
                  <c:v>42543</c:v>
                </c:pt>
                <c:pt idx="2135">
                  <c:v>42544</c:v>
                </c:pt>
                <c:pt idx="2136">
                  <c:v>42545</c:v>
                </c:pt>
                <c:pt idx="2137">
                  <c:v>42548</c:v>
                </c:pt>
                <c:pt idx="2138">
                  <c:v>42549</c:v>
                </c:pt>
                <c:pt idx="2139">
                  <c:v>42550</c:v>
                </c:pt>
                <c:pt idx="2140">
                  <c:v>42551</c:v>
                </c:pt>
                <c:pt idx="2141">
                  <c:v>42552</c:v>
                </c:pt>
                <c:pt idx="2142">
                  <c:v>42556</c:v>
                </c:pt>
                <c:pt idx="2143">
                  <c:v>42557</c:v>
                </c:pt>
                <c:pt idx="2144">
                  <c:v>42558</c:v>
                </c:pt>
                <c:pt idx="2145">
                  <c:v>42559</c:v>
                </c:pt>
                <c:pt idx="2146">
                  <c:v>42562</c:v>
                </c:pt>
                <c:pt idx="2147">
                  <c:v>42563</c:v>
                </c:pt>
                <c:pt idx="2148">
                  <c:v>42564</c:v>
                </c:pt>
                <c:pt idx="2149">
                  <c:v>42565</c:v>
                </c:pt>
                <c:pt idx="2150">
                  <c:v>42566</c:v>
                </c:pt>
                <c:pt idx="2151">
                  <c:v>42569</c:v>
                </c:pt>
                <c:pt idx="2152">
                  <c:v>42570</c:v>
                </c:pt>
                <c:pt idx="2153">
                  <c:v>42571</c:v>
                </c:pt>
                <c:pt idx="2154">
                  <c:v>42572</c:v>
                </c:pt>
                <c:pt idx="2155">
                  <c:v>42573</c:v>
                </c:pt>
                <c:pt idx="2156">
                  <c:v>42576</c:v>
                </c:pt>
                <c:pt idx="2157">
                  <c:v>42577</c:v>
                </c:pt>
                <c:pt idx="2158">
                  <c:v>42578</c:v>
                </c:pt>
                <c:pt idx="2159">
                  <c:v>42579</c:v>
                </c:pt>
                <c:pt idx="2160">
                  <c:v>42580</c:v>
                </c:pt>
                <c:pt idx="2161">
                  <c:v>42583</c:v>
                </c:pt>
                <c:pt idx="2162">
                  <c:v>42584</c:v>
                </c:pt>
                <c:pt idx="2163">
                  <c:v>42585</c:v>
                </c:pt>
                <c:pt idx="2164">
                  <c:v>42586</c:v>
                </c:pt>
                <c:pt idx="2165">
                  <c:v>42587</c:v>
                </c:pt>
                <c:pt idx="2166">
                  <c:v>42590</c:v>
                </c:pt>
                <c:pt idx="2167">
                  <c:v>42591</c:v>
                </c:pt>
                <c:pt idx="2168">
                  <c:v>42592</c:v>
                </c:pt>
                <c:pt idx="2169">
                  <c:v>42593</c:v>
                </c:pt>
                <c:pt idx="2170">
                  <c:v>42594</c:v>
                </c:pt>
                <c:pt idx="2171">
                  <c:v>42597</c:v>
                </c:pt>
                <c:pt idx="2172">
                  <c:v>42598</c:v>
                </c:pt>
                <c:pt idx="2173">
                  <c:v>42599</c:v>
                </c:pt>
                <c:pt idx="2174">
                  <c:v>42600</c:v>
                </c:pt>
                <c:pt idx="2175">
                  <c:v>42601</c:v>
                </c:pt>
                <c:pt idx="2176">
                  <c:v>42604</c:v>
                </c:pt>
                <c:pt idx="2177">
                  <c:v>42605</c:v>
                </c:pt>
                <c:pt idx="2178">
                  <c:v>42606</c:v>
                </c:pt>
                <c:pt idx="2179">
                  <c:v>42607</c:v>
                </c:pt>
                <c:pt idx="2180">
                  <c:v>42608</c:v>
                </c:pt>
                <c:pt idx="2181">
                  <c:v>42611</c:v>
                </c:pt>
                <c:pt idx="2182">
                  <c:v>42612</c:v>
                </c:pt>
                <c:pt idx="2183">
                  <c:v>42613</c:v>
                </c:pt>
                <c:pt idx="2184">
                  <c:v>42614</c:v>
                </c:pt>
                <c:pt idx="2185">
                  <c:v>42615</c:v>
                </c:pt>
                <c:pt idx="2186">
                  <c:v>42619</c:v>
                </c:pt>
                <c:pt idx="2187">
                  <c:v>42620</c:v>
                </c:pt>
                <c:pt idx="2188">
                  <c:v>42621</c:v>
                </c:pt>
                <c:pt idx="2189">
                  <c:v>42622</c:v>
                </c:pt>
                <c:pt idx="2190">
                  <c:v>42625</c:v>
                </c:pt>
                <c:pt idx="2191">
                  <c:v>42626</c:v>
                </c:pt>
                <c:pt idx="2192">
                  <c:v>42627</c:v>
                </c:pt>
                <c:pt idx="2193">
                  <c:v>42628</c:v>
                </c:pt>
                <c:pt idx="2194">
                  <c:v>42629</c:v>
                </c:pt>
                <c:pt idx="2195">
                  <c:v>42632</c:v>
                </c:pt>
                <c:pt idx="2196">
                  <c:v>42633</c:v>
                </c:pt>
                <c:pt idx="2197">
                  <c:v>42634</c:v>
                </c:pt>
                <c:pt idx="2198">
                  <c:v>42635</c:v>
                </c:pt>
                <c:pt idx="2199">
                  <c:v>42636</c:v>
                </c:pt>
                <c:pt idx="2200">
                  <c:v>42639</c:v>
                </c:pt>
                <c:pt idx="2201">
                  <c:v>42640</c:v>
                </c:pt>
                <c:pt idx="2202">
                  <c:v>42641</c:v>
                </c:pt>
                <c:pt idx="2203">
                  <c:v>42642</c:v>
                </c:pt>
                <c:pt idx="2204">
                  <c:v>42643</c:v>
                </c:pt>
                <c:pt idx="2205">
                  <c:v>42646</c:v>
                </c:pt>
                <c:pt idx="2206">
                  <c:v>42647</c:v>
                </c:pt>
                <c:pt idx="2207">
                  <c:v>42648</c:v>
                </c:pt>
                <c:pt idx="2208">
                  <c:v>42649</c:v>
                </c:pt>
                <c:pt idx="2209">
                  <c:v>42650</c:v>
                </c:pt>
                <c:pt idx="2210">
                  <c:v>42653</c:v>
                </c:pt>
                <c:pt idx="2211">
                  <c:v>42654</c:v>
                </c:pt>
                <c:pt idx="2212">
                  <c:v>42655</c:v>
                </c:pt>
                <c:pt idx="2213">
                  <c:v>42656</c:v>
                </c:pt>
                <c:pt idx="2214">
                  <c:v>42657</c:v>
                </c:pt>
                <c:pt idx="2215">
                  <c:v>42660</c:v>
                </c:pt>
                <c:pt idx="2216">
                  <c:v>42661</c:v>
                </c:pt>
                <c:pt idx="2217">
                  <c:v>42662</c:v>
                </c:pt>
                <c:pt idx="2218">
                  <c:v>42663</c:v>
                </c:pt>
                <c:pt idx="2219">
                  <c:v>42664</c:v>
                </c:pt>
                <c:pt idx="2220">
                  <c:v>42667</c:v>
                </c:pt>
                <c:pt idx="2221">
                  <c:v>42668</c:v>
                </c:pt>
                <c:pt idx="2222">
                  <c:v>42669</c:v>
                </c:pt>
                <c:pt idx="2223">
                  <c:v>42670</c:v>
                </c:pt>
                <c:pt idx="2224">
                  <c:v>42671</c:v>
                </c:pt>
                <c:pt idx="2225">
                  <c:v>42674</c:v>
                </c:pt>
                <c:pt idx="2226">
                  <c:v>42675</c:v>
                </c:pt>
                <c:pt idx="2227">
                  <c:v>42676</c:v>
                </c:pt>
                <c:pt idx="2228">
                  <c:v>42677</c:v>
                </c:pt>
                <c:pt idx="2229">
                  <c:v>42678</c:v>
                </c:pt>
                <c:pt idx="2230">
                  <c:v>42681</c:v>
                </c:pt>
                <c:pt idx="2231">
                  <c:v>42682</c:v>
                </c:pt>
                <c:pt idx="2232">
                  <c:v>42683</c:v>
                </c:pt>
                <c:pt idx="2233">
                  <c:v>42684</c:v>
                </c:pt>
                <c:pt idx="2234">
                  <c:v>42685</c:v>
                </c:pt>
                <c:pt idx="2235">
                  <c:v>42688</c:v>
                </c:pt>
                <c:pt idx="2236">
                  <c:v>42689</c:v>
                </c:pt>
                <c:pt idx="2237">
                  <c:v>42690</c:v>
                </c:pt>
                <c:pt idx="2238">
                  <c:v>42691</c:v>
                </c:pt>
                <c:pt idx="2239">
                  <c:v>42692</c:v>
                </c:pt>
                <c:pt idx="2240">
                  <c:v>42695</c:v>
                </c:pt>
                <c:pt idx="2241">
                  <c:v>42696</c:v>
                </c:pt>
                <c:pt idx="2242">
                  <c:v>42697</c:v>
                </c:pt>
                <c:pt idx="2243">
                  <c:v>42699</c:v>
                </c:pt>
                <c:pt idx="2244">
                  <c:v>42702</c:v>
                </c:pt>
                <c:pt idx="2245">
                  <c:v>42703</c:v>
                </c:pt>
                <c:pt idx="2246">
                  <c:v>42704</c:v>
                </c:pt>
                <c:pt idx="2247">
                  <c:v>42705</c:v>
                </c:pt>
                <c:pt idx="2248">
                  <c:v>42706</c:v>
                </c:pt>
                <c:pt idx="2249">
                  <c:v>42709</c:v>
                </c:pt>
                <c:pt idx="2250">
                  <c:v>42710</c:v>
                </c:pt>
                <c:pt idx="2251">
                  <c:v>42711</c:v>
                </c:pt>
                <c:pt idx="2252">
                  <c:v>42712</c:v>
                </c:pt>
                <c:pt idx="2253">
                  <c:v>42713</c:v>
                </c:pt>
                <c:pt idx="2254">
                  <c:v>42716</c:v>
                </c:pt>
                <c:pt idx="2255">
                  <c:v>42717</c:v>
                </c:pt>
                <c:pt idx="2256">
                  <c:v>42718</c:v>
                </c:pt>
                <c:pt idx="2257">
                  <c:v>42719</c:v>
                </c:pt>
                <c:pt idx="2258">
                  <c:v>42720</c:v>
                </c:pt>
                <c:pt idx="2259">
                  <c:v>42723</c:v>
                </c:pt>
                <c:pt idx="2260">
                  <c:v>42724</c:v>
                </c:pt>
                <c:pt idx="2261">
                  <c:v>42725</c:v>
                </c:pt>
                <c:pt idx="2262">
                  <c:v>42726</c:v>
                </c:pt>
                <c:pt idx="2263">
                  <c:v>42727</c:v>
                </c:pt>
                <c:pt idx="2264">
                  <c:v>42731</c:v>
                </c:pt>
                <c:pt idx="2265">
                  <c:v>42732</c:v>
                </c:pt>
                <c:pt idx="2266">
                  <c:v>42733</c:v>
                </c:pt>
                <c:pt idx="2267">
                  <c:v>42734</c:v>
                </c:pt>
                <c:pt idx="2268">
                  <c:v>42738</c:v>
                </c:pt>
                <c:pt idx="2269">
                  <c:v>42739</c:v>
                </c:pt>
                <c:pt idx="2270">
                  <c:v>42740</c:v>
                </c:pt>
                <c:pt idx="2271">
                  <c:v>42741</c:v>
                </c:pt>
                <c:pt idx="2272">
                  <c:v>42744</c:v>
                </c:pt>
                <c:pt idx="2273">
                  <c:v>42745</c:v>
                </c:pt>
                <c:pt idx="2274">
                  <c:v>42746</c:v>
                </c:pt>
                <c:pt idx="2275">
                  <c:v>42747</c:v>
                </c:pt>
                <c:pt idx="2276">
                  <c:v>42748</c:v>
                </c:pt>
                <c:pt idx="2277">
                  <c:v>42752</c:v>
                </c:pt>
                <c:pt idx="2278">
                  <c:v>42753</c:v>
                </c:pt>
                <c:pt idx="2279">
                  <c:v>42754</c:v>
                </c:pt>
                <c:pt idx="2280">
                  <c:v>42755</c:v>
                </c:pt>
                <c:pt idx="2281">
                  <c:v>42758</c:v>
                </c:pt>
                <c:pt idx="2282">
                  <c:v>42759</c:v>
                </c:pt>
                <c:pt idx="2283">
                  <c:v>42760</c:v>
                </c:pt>
                <c:pt idx="2284">
                  <c:v>42761</c:v>
                </c:pt>
                <c:pt idx="2285">
                  <c:v>42762</c:v>
                </c:pt>
                <c:pt idx="2286">
                  <c:v>42765</c:v>
                </c:pt>
                <c:pt idx="2287">
                  <c:v>42766</c:v>
                </c:pt>
                <c:pt idx="2288">
                  <c:v>42767</c:v>
                </c:pt>
                <c:pt idx="2289">
                  <c:v>42768</c:v>
                </c:pt>
                <c:pt idx="2290">
                  <c:v>42769</c:v>
                </c:pt>
                <c:pt idx="2291">
                  <c:v>42772</c:v>
                </c:pt>
                <c:pt idx="2292">
                  <c:v>42773</c:v>
                </c:pt>
                <c:pt idx="2293">
                  <c:v>42774</c:v>
                </c:pt>
                <c:pt idx="2294">
                  <c:v>42775</c:v>
                </c:pt>
                <c:pt idx="2295">
                  <c:v>42776</c:v>
                </c:pt>
                <c:pt idx="2296">
                  <c:v>42779</c:v>
                </c:pt>
                <c:pt idx="2297">
                  <c:v>42780</c:v>
                </c:pt>
                <c:pt idx="2298">
                  <c:v>42781</c:v>
                </c:pt>
                <c:pt idx="2299">
                  <c:v>42782</c:v>
                </c:pt>
                <c:pt idx="2300">
                  <c:v>42783</c:v>
                </c:pt>
                <c:pt idx="2301">
                  <c:v>42787</c:v>
                </c:pt>
                <c:pt idx="2302">
                  <c:v>42788</c:v>
                </c:pt>
                <c:pt idx="2303">
                  <c:v>42789</c:v>
                </c:pt>
                <c:pt idx="2304">
                  <c:v>42790</c:v>
                </c:pt>
                <c:pt idx="2305">
                  <c:v>42793</c:v>
                </c:pt>
                <c:pt idx="2306">
                  <c:v>42794</c:v>
                </c:pt>
                <c:pt idx="2307">
                  <c:v>42795</c:v>
                </c:pt>
                <c:pt idx="2308">
                  <c:v>42796</c:v>
                </c:pt>
                <c:pt idx="2309">
                  <c:v>42797</c:v>
                </c:pt>
                <c:pt idx="2310">
                  <c:v>42800</c:v>
                </c:pt>
                <c:pt idx="2311">
                  <c:v>42801</c:v>
                </c:pt>
                <c:pt idx="2312">
                  <c:v>42802</c:v>
                </c:pt>
                <c:pt idx="2313">
                  <c:v>42803</c:v>
                </c:pt>
                <c:pt idx="2314">
                  <c:v>42804</c:v>
                </c:pt>
                <c:pt idx="2315">
                  <c:v>42807</c:v>
                </c:pt>
                <c:pt idx="2316">
                  <c:v>42808</c:v>
                </c:pt>
                <c:pt idx="2317">
                  <c:v>42809</c:v>
                </c:pt>
                <c:pt idx="2318">
                  <c:v>42810</c:v>
                </c:pt>
                <c:pt idx="2319">
                  <c:v>42811</c:v>
                </c:pt>
                <c:pt idx="2320">
                  <c:v>42814</c:v>
                </c:pt>
                <c:pt idx="2321">
                  <c:v>42815</c:v>
                </c:pt>
                <c:pt idx="2322">
                  <c:v>42816</c:v>
                </c:pt>
                <c:pt idx="2323">
                  <c:v>42817</c:v>
                </c:pt>
                <c:pt idx="2324">
                  <c:v>42818</c:v>
                </c:pt>
                <c:pt idx="2325">
                  <c:v>42821</c:v>
                </c:pt>
                <c:pt idx="2326">
                  <c:v>42822</c:v>
                </c:pt>
                <c:pt idx="2327">
                  <c:v>42823</c:v>
                </c:pt>
                <c:pt idx="2328">
                  <c:v>42824</c:v>
                </c:pt>
                <c:pt idx="2329">
                  <c:v>42825</c:v>
                </c:pt>
                <c:pt idx="2330">
                  <c:v>42828</c:v>
                </c:pt>
                <c:pt idx="2331">
                  <c:v>42829</c:v>
                </c:pt>
                <c:pt idx="2332">
                  <c:v>42830</c:v>
                </c:pt>
                <c:pt idx="2333">
                  <c:v>42831</c:v>
                </c:pt>
                <c:pt idx="2334">
                  <c:v>42832</c:v>
                </c:pt>
                <c:pt idx="2335">
                  <c:v>42835</c:v>
                </c:pt>
                <c:pt idx="2336">
                  <c:v>42836</c:v>
                </c:pt>
                <c:pt idx="2337">
                  <c:v>42837</c:v>
                </c:pt>
                <c:pt idx="2338">
                  <c:v>42838</c:v>
                </c:pt>
                <c:pt idx="2339">
                  <c:v>42842</c:v>
                </c:pt>
                <c:pt idx="2340">
                  <c:v>42843</c:v>
                </c:pt>
                <c:pt idx="2341">
                  <c:v>42844</c:v>
                </c:pt>
                <c:pt idx="2342">
                  <c:v>42845</c:v>
                </c:pt>
                <c:pt idx="2343">
                  <c:v>42846</c:v>
                </c:pt>
                <c:pt idx="2344">
                  <c:v>42849</c:v>
                </c:pt>
                <c:pt idx="2345">
                  <c:v>42850</c:v>
                </c:pt>
                <c:pt idx="2346">
                  <c:v>42851</c:v>
                </c:pt>
                <c:pt idx="2347">
                  <c:v>42852</c:v>
                </c:pt>
                <c:pt idx="2348">
                  <c:v>42853</c:v>
                </c:pt>
                <c:pt idx="2349">
                  <c:v>42856</c:v>
                </c:pt>
                <c:pt idx="2350">
                  <c:v>42857</c:v>
                </c:pt>
                <c:pt idx="2351">
                  <c:v>42858</c:v>
                </c:pt>
                <c:pt idx="2352">
                  <c:v>42859</c:v>
                </c:pt>
                <c:pt idx="2353">
                  <c:v>42860</c:v>
                </c:pt>
                <c:pt idx="2354">
                  <c:v>42863</c:v>
                </c:pt>
                <c:pt idx="2355">
                  <c:v>42864</c:v>
                </c:pt>
                <c:pt idx="2356">
                  <c:v>42865</c:v>
                </c:pt>
                <c:pt idx="2357">
                  <c:v>42866</c:v>
                </c:pt>
                <c:pt idx="2358">
                  <c:v>42867</c:v>
                </c:pt>
                <c:pt idx="2359">
                  <c:v>42870</c:v>
                </c:pt>
                <c:pt idx="2360">
                  <c:v>42871</c:v>
                </c:pt>
                <c:pt idx="2361">
                  <c:v>42872</c:v>
                </c:pt>
                <c:pt idx="2362">
                  <c:v>42873</c:v>
                </c:pt>
                <c:pt idx="2363">
                  <c:v>42874</c:v>
                </c:pt>
                <c:pt idx="2364">
                  <c:v>42877</c:v>
                </c:pt>
                <c:pt idx="2365">
                  <c:v>42878</c:v>
                </c:pt>
                <c:pt idx="2366">
                  <c:v>42879</c:v>
                </c:pt>
                <c:pt idx="2367">
                  <c:v>42880</c:v>
                </c:pt>
                <c:pt idx="2368">
                  <c:v>42881</c:v>
                </c:pt>
                <c:pt idx="2369">
                  <c:v>42885</c:v>
                </c:pt>
                <c:pt idx="2370">
                  <c:v>42886</c:v>
                </c:pt>
                <c:pt idx="2371">
                  <c:v>42887</c:v>
                </c:pt>
                <c:pt idx="2372">
                  <c:v>42888</c:v>
                </c:pt>
                <c:pt idx="2373">
                  <c:v>42891</c:v>
                </c:pt>
                <c:pt idx="2374">
                  <c:v>42892</c:v>
                </c:pt>
                <c:pt idx="2375">
                  <c:v>42893</c:v>
                </c:pt>
                <c:pt idx="2376">
                  <c:v>42894</c:v>
                </c:pt>
                <c:pt idx="2377">
                  <c:v>42895</c:v>
                </c:pt>
                <c:pt idx="2378">
                  <c:v>42898</c:v>
                </c:pt>
                <c:pt idx="2379">
                  <c:v>42899</c:v>
                </c:pt>
                <c:pt idx="2380">
                  <c:v>42900</c:v>
                </c:pt>
                <c:pt idx="2381">
                  <c:v>42901</c:v>
                </c:pt>
                <c:pt idx="2382">
                  <c:v>42902</c:v>
                </c:pt>
                <c:pt idx="2383">
                  <c:v>42905</c:v>
                </c:pt>
                <c:pt idx="2384">
                  <c:v>42906</c:v>
                </c:pt>
                <c:pt idx="2385">
                  <c:v>42907</c:v>
                </c:pt>
                <c:pt idx="2386">
                  <c:v>42908</c:v>
                </c:pt>
                <c:pt idx="2387">
                  <c:v>42909</c:v>
                </c:pt>
                <c:pt idx="2388">
                  <c:v>42912</c:v>
                </c:pt>
                <c:pt idx="2389">
                  <c:v>42913</c:v>
                </c:pt>
                <c:pt idx="2390">
                  <c:v>42914</c:v>
                </c:pt>
                <c:pt idx="2391">
                  <c:v>42915</c:v>
                </c:pt>
                <c:pt idx="2392">
                  <c:v>42916</c:v>
                </c:pt>
                <c:pt idx="2393">
                  <c:v>42919</c:v>
                </c:pt>
                <c:pt idx="2394">
                  <c:v>42921</c:v>
                </c:pt>
                <c:pt idx="2395">
                  <c:v>42922</c:v>
                </c:pt>
                <c:pt idx="2396">
                  <c:v>42923</c:v>
                </c:pt>
                <c:pt idx="2397">
                  <c:v>42926</c:v>
                </c:pt>
                <c:pt idx="2398">
                  <c:v>42927</c:v>
                </c:pt>
                <c:pt idx="2399">
                  <c:v>42928</c:v>
                </c:pt>
                <c:pt idx="2400">
                  <c:v>42929</c:v>
                </c:pt>
                <c:pt idx="2401">
                  <c:v>42930</c:v>
                </c:pt>
                <c:pt idx="2402">
                  <c:v>42933</c:v>
                </c:pt>
                <c:pt idx="2403">
                  <c:v>42934</c:v>
                </c:pt>
                <c:pt idx="2404">
                  <c:v>42935</c:v>
                </c:pt>
                <c:pt idx="2405">
                  <c:v>42936</c:v>
                </c:pt>
                <c:pt idx="2406">
                  <c:v>42937</c:v>
                </c:pt>
                <c:pt idx="2407">
                  <c:v>42940</c:v>
                </c:pt>
                <c:pt idx="2408">
                  <c:v>42941</c:v>
                </c:pt>
                <c:pt idx="2409">
                  <c:v>42942</c:v>
                </c:pt>
                <c:pt idx="2410">
                  <c:v>42943</c:v>
                </c:pt>
                <c:pt idx="2411">
                  <c:v>42944</c:v>
                </c:pt>
                <c:pt idx="2412">
                  <c:v>42947</c:v>
                </c:pt>
                <c:pt idx="2413">
                  <c:v>42948</c:v>
                </c:pt>
                <c:pt idx="2414">
                  <c:v>42949</c:v>
                </c:pt>
                <c:pt idx="2415">
                  <c:v>42950</c:v>
                </c:pt>
                <c:pt idx="2416">
                  <c:v>42951</c:v>
                </c:pt>
                <c:pt idx="2417">
                  <c:v>42954</c:v>
                </c:pt>
                <c:pt idx="2418">
                  <c:v>42955</c:v>
                </c:pt>
                <c:pt idx="2419">
                  <c:v>42956</c:v>
                </c:pt>
                <c:pt idx="2420">
                  <c:v>42957</c:v>
                </c:pt>
                <c:pt idx="2421">
                  <c:v>42958</c:v>
                </c:pt>
                <c:pt idx="2422">
                  <c:v>42961</c:v>
                </c:pt>
                <c:pt idx="2423">
                  <c:v>42962</c:v>
                </c:pt>
                <c:pt idx="2424">
                  <c:v>42963</c:v>
                </c:pt>
                <c:pt idx="2425">
                  <c:v>42964</c:v>
                </c:pt>
                <c:pt idx="2426">
                  <c:v>42965</c:v>
                </c:pt>
                <c:pt idx="2427">
                  <c:v>42968</c:v>
                </c:pt>
                <c:pt idx="2428">
                  <c:v>42969</c:v>
                </c:pt>
                <c:pt idx="2429">
                  <c:v>42970</c:v>
                </c:pt>
                <c:pt idx="2430">
                  <c:v>42971</c:v>
                </c:pt>
                <c:pt idx="2431">
                  <c:v>42972</c:v>
                </c:pt>
                <c:pt idx="2432">
                  <c:v>42975</c:v>
                </c:pt>
                <c:pt idx="2433">
                  <c:v>42976</c:v>
                </c:pt>
                <c:pt idx="2434">
                  <c:v>42977</c:v>
                </c:pt>
                <c:pt idx="2435">
                  <c:v>42978</c:v>
                </c:pt>
                <c:pt idx="2436">
                  <c:v>42979</c:v>
                </c:pt>
                <c:pt idx="2437">
                  <c:v>42983</c:v>
                </c:pt>
                <c:pt idx="2438">
                  <c:v>42984</c:v>
                </c:pt>
                <c:pt idx="2439">
                  <c:v>42985</c:v>
                </c:pt>
                <c:pt idx="2440">
                  <c:v>42986</c:v>
                </c:pt>
                <c:pt idx="2441">
                  <c:v>42989</c:v>
                </c:pt>
                <c:pt idx="2442">
                  <c:v>42990</c:v>
                </c:pt>
                <c:pt idx="2443">
                  <c:v>42991</c:v>
                </c:pt>
                <c:pt idx="2444">
                  <c:v>42992</c:v>
                </c:pt>
                <c:pt idx="2445">
                  <c:v>42993</c:v>
                </c:pt>
                <c:pt idx="2446">
                  <c:v>42996</c:v>
                </c:pt>
                <c:pt idx="2447">
                  <c:v>42997</c:v>
                </c:pt>
                <c:pt idx="2448">
                  <c:v>42998</c:v>
                </c:pt>
                <c:pt idx="2449">
                  <c:v>42999</c:v>
                </c:pt>
                <c:pt idx="2450">
                  <c:v>43000</c:v>
                </c:pt>
                <c:pt idx="2451">
                  <c:v>43003</c:v>
                </c:pt>
                <c:pt idx="2452">
                  <c:v>43004</c:v>
                </c:pt>
                <c:pt idx="2453">
                  <c:v>43005</c:v>
                </c:pt>
                <c:pt idx="2454">
                  <c:v>43006</c:v>
                </c:pt>
                <c:pt idx="2455">
                  <c:v>43007</c:v>
                </c:pt>
                <c:pt idx="2456">
                  <c:v>43010</c:v>
                </c:pt>
                <c:pt idx="2457">
                  <c:v>43011</c:v>
                </c:pt>
                <c:pt idx="2458">
                  <c:v>43012</c:v>
                </c:pt>
                <c:pt idx="2459">
                  <c:v>43013</c:v>
                </c:pt>
                <c:pt idx="2460">
                  <c:v>43014</c:v>
                </c:pt>
                <c:pt idx="2461">
                  <c:v>43017</c:v>
                </c:pt>
                <c:pt idx="2462">
                  <c:v>43018</c:v>
                </c:pt>
                <c:pt idx="2463">
                  <c:v>43019</c:v>
                </c:pt>
                <c:pt idx="2464">
                  <c:v>43020</c:v>
                </c:pt>
                <c:pt idx="2465">
                  <c:v>43021</c:v>
                </c:pt>
                <c:pt idx="2466">
                  <c:v>43024</c:v>
                </c:pt>
                <c:pt idx="2467">
                  <c:v>43025</c:v>
                </c:pt>
                <c:pt idx="2468">
                  <c:v>43026</c:v>
                </c:pt>
                <c:pt idx="2469">
                  <c:v>43027</c:v>
                </c:pt>
                <c:pt idx="2470">
                  <c:v>43028</c:v>
                </c:pt>
                <c:pt idx="2471">
                  <c:v>43031</c:v>
                </c:pt>
                <c:pt idx="2472">
                  <c:v>43032</c:v>
                </c:pt>
                <c:pt idx="2473">
                  <c:v>43033</c:v>
                </c:pt>
                <c:pt idx="2474">
                  <c:v>43034</c:v>
                </c:pt>
                <c:pt idx="2475">
                  <c:v>43035</c:v>
                </c:pt>
                <c:pt idx="2476">
                  <c:v>43038</c:v>
                </c:pt>
                <c:pt idx="2477">
                  <c:v>43039</c:v>
                </c:pt>
                <c:pt idx="2478">
                  <c:v>43040</c:v>
                </c:pt>
                <c:pt idx="2479">
                  <c:v>43041</c:v>
                </c:pt>
                <c:pt idx="2480">
                  <c:v>43042</c:v>
                </c:pt>
                <c:pt idx="2481">
                  <c:v>43045</c:v>
                </c:pt>
                <c:pt idx="2482">
                  <c:v>43046</c:v>
                </c:pt>
                <c:pt idx="2483">
                  <c:v>43047</c:v>
                </c:pt>
                <c:pt idx="2484">
                  <c:v>43048</c:v>
                </c:pt>
                <c:pt idx="2485">
                  <c:v>43049</c:v>
                </c:pt>
                <c:pt idx="2486">
                  <c:v>43052</c:v>
                </c:pt>
                <c:pt idx="2487">
                  <c:v>43053</c:v>
                </c:pt>
                <c:pt idx="2488">
                  <c:v>43054</c:v>
                </c:pt>
                <c:pt idx="2489">
                  <c:v>43055</c:v>
                </c:pt>
                <c:pt idx="2490">
                  <c:v>43056</c:v>
                </c:pt>
                <c:pt idx="2491">
                  <c:v>43059</c:v>
                </c:pt>
                <c:pt idx="2492">
                  <c:v>43060</c:v>
                </c:pt>
                <c:pt idx="2493">
                  <c:v>43061</c:v>
                </c:pt>
                <c:pt idx="2494">
                  <c:v>43063</c:v>
                </c:pt>
                <c:pt idx="2495">
                  <c:v>43066</c:v>
                </c:pt>
                <c:pt idx="2496">
                  <c:v>43067</c:v>
                </c:pt>
                <c:pt idx="2497">
                  <c:v>43068</c:v>
                </c:pt>
                <c:pt idx="2498">
                  <c:v>43069</c:v>
                </c:pt>
                <c:pt idx="2499">
                  <c:v>43070</c:v>
                </c:pt>
                <c:pt idx="2500">
                  <c:v>43073</c:v>
                </c:pt>
                <c:pt idx="2501">
                  <c:v>43074</c:v>
                </c:pt>
                <c:pt idx="2502">
                  <c:v>43075</c:v>
                </c:pt>
                <c:pt idx="2503">
                  <c:v>43076</c:v>
                </c:pt>
                <c:pt idx="2504">
                  <c:v>43077</c:v>
                </c:pt>
                <c:pt idx="2505">
                  <c:v>43080</c:v>
                </c:pt>
                <c:pt idx="2506">
                  <c:v>43081</c:v>
                </c:pt>
                <c:pt idx="2507">
                  <c:v>43082</c:v>
                </c:pt>
                <c:pt idx="2508">
                  <c:v>43083</c:v>
                </c:pt>
                <c:pt idx="2509">
                  <c:v>43084</c:v>
                </c:pt>
                <c:pt idx="2510">
                  <c:v>43087</c:v>
                </c:pt>
                <c:pt idx="2511">
                  <c:v>43088</c:v>
                </c:pt>
                <c:pt idx="2512">
                  <c:v>43089</c:v>
                </c:pt>
                <c:pt idx="2513">
                  <c:v>43090</c:v>
                </c:pt>
                <c:pt idx="2514">
                  <c:v>43091</c:v>
                </c:pt>
                <c:pt idx="2515">
                  <c:v>43095</c:v>
                </c:pt>
                <c:pt idx="2516">
                  <c:v>43096</c:v>
                </c:pt>
                <c:pt idx="2517">
                  <c:v>43097</c:v>
                </c:pt>
                <c:pt idx="2518">
                  <c:v>43098</c:v>
                </c:pt>
                <c:pt idx="2519">
                  <c:v>43102</c:v>
                </c:pt>
                <c:pt idx="2520">
                  <c:v>43103</c:v>
                </c:pt>
                <c:pt idx="2521">
                  <c:v>43104</c:v>
                </c:pt>
                <c:pt idx="2522">
                  <c:v>43105</c:v>
                </c:pt>
                <c:pt idx="2523">
                  <c:v>43108</c:v>
                </c:pt>
                <c:pt idx="2524">
                  <c:v>43109</c:v>
                </c:pt>
                <c:pt idx="2525">
                  <c:v>43110</c:v>
                </c:pt>
                <c:pt idx="2526">
                  <c:v>43111</c:v>
                </c:pt>
                <c:pt idx="2527">
                  <c:v>43112</c:v>
                </c:pt>
                <c:pt idx="2528">
                  <c:v>43116</c:v>
                </c:pt>
                <c:pt idx="2529">
                  <c:v>43117</c:v>
                </c:pt>
                <c:pt idx="2530">
                  <c:v>43118</c:v>
                </c:pt>
                <c:pt idx="2531">
                  <c:v>43119</c:v>
                </c:pt>
                <c:pt idx="2532">
                  <c:v>43122</c:v>
                </c:pt>
                <c:pt idx="2533">
                  <c:v>43123</c:v>
                </c:pt>
                <c:pt idx="2534">
                  <c:v>43124</c:v>
                </c:pt>
                <c:pt idx="2535">
                  <c:v>43125</c:v>
                </c:pt>
                <c:pt idx="2536">
                  <c:v>43126</c:v>
                </c:pt>
                <c:pt idx="2537">
                  <c:v>43129</c:v>
                </c:pt>
                <c:pt idx="2538">
                  <c:v>43130</c:v>
                </c:pt>
                <c:pt idx="2539">
                  <c:v>43131</c:v>
                </c:pt>
                <c:pt idx="2540">
                  <c:v>43132</c:v>
                </c:pt>
                <c:pt idx="2541">
                  <c:v>43133</c:v>
                </c:pt>
                <c:pt idx="2542">
                  <c:v>43136</c:v>
                </c:pt>
                <c:pt idx="2543">
                  <c:v>43137</c:v>
                </c:pt>
                <c:pt idx="2544">
                  <c:v>43138</c:v>
                </c:pt>
                <c:pt idx="2545">
                  <c:v>43139</c:v>
                </c:pt>
                <c:pt idx="2546">
                  <c:v>43140</c:v>
                </c:pt>
                <c:pt idx="2547">
                  <c:v>43143</c:v>
                </c:pt>
                <c:pt idx="2548">
                  <c:v>43144</c:v>
                </c:pt>
                <c:pt idx="2549">
                  <c:v>43145</c:v>
                </c:pt>
                <c:pt idx="2550">
                  <c:v>43146</c:v>
                </c:pt>
                <c:pt idx="2551">
                  <c:v>43147</c:v>
                </c:pt>
                <c:pt idx="2552">
                  <c:v>43151</c:v>
                </c:pt>
                <c:pt idx="2553">
                  <c:v>43152</c:v>
                </c:pt>
                <c:pt idx="2554">
                  <c:v>43153</c:v>
                </c:pt>
                <c:pt idx="2555">
                  <c:v>43154</c:v>
                </c:pt>
                <c:pt idx="2556">
                  <c:v>43157</c:v>
                </c:pt>
                <c:pt idx="2557">
                  <c:v>43158</c:v>
                </c:pt>
                <c:pt idx="2558">
                  <c:v>43159</c:v>
                </c:pt>
                <c:pt idx="2559">
                  <c:v>43160</c:v>
                </c:pt>
                <c:pt idx="2560">
                  <c:v>43161</c:v>
                </c:pt>
                <c:pt idx="2561">
                  <c:v>43164</c:v>
                </c:pt>
                <c:pt idx="2562">
                  <c:v>43165</c:v>
                </c:pt>
                <c:pt idx="2563">
                  <c:v>43166</c:v>
                </c:pt>
                <c:pt idx="2564">
                  <c:v>43167</c:v>
                </c:pt>
                <c:pt idx="2565">
                  <c:v>43168</c:v>
                </c:pt>
                <c:pt idx="2566">
                  <c:v>43171</c:v>
                </c:pt>
                <c:pt idx="2567">
                  <c:v>43172</c:v>
                </c:pt>
                <c:pt idx="2568">
                  <c:v>43173</c:v>
                </c:pt>
                <c:pt idx="2569">
                  <c:v>43174</c:v>
                </c:pt>
                <c:pt idx="2570">
                  <c:v>43175</c:v>
                </c:pt>
                <c:pt idx="2571">
                  <c:v>43178</c:v>
                </c:pt>
                <c:pt idx="2572">
                  <c:v>43179</c:v>
                </c:pt>
                <c:pt idx="2573">
                  <c:v>43180</c:v>
                </c:pt>
                <c:pt idx="2574">
                  <c:v>43181</c:v>
                </c:pt>
                <c:pt idx="2575">
                  <c:v>43182</c:v>
                </c:pt>
                <c:pt idx="2576">
                  <c:v>43185</c:v>
                </c:pt>
                <c:pt idx="2577">
                  <c:v>43186</c:v>
                </c:pt>
                <c:pt idx="2578">
                  <c:v>43187</c:v>
                </c:pt>
                <c:pt idx="2579">
                  <c:v>43188</c:v>
                </c:pt>
                <c:pt idx="2580">
                  <c:v>43192</c:v>
                </c:pt>
                <c:pt idx="2581">
                  <c:v>43193</c:v>
                </c:pt>
                <c:pt idx="2582">
                  <c:v>43194</c:v>
                </c:pt>
                <c:pt idx="2583">
                  <c:v>43195</c:v>
                </c:pt>
                <c:pt idx="2584">
                  <c:v>43196</c:v>
                </c:pt>
                <c:pt idx="2585">
                  <c:v>43199</c:v>
                </c:pt>
                <c:pt idx="2586">
                  <c:v>43200</c:v>
                </c:pt>
                <c:pt idx="2587">
                  <c:v>43201</c:v>
                </c:pt>
                <c:pt idx="2588">
                  <c:v>43202</c:v>
                </c:pt>
                <c:pt idx="2589">
                  <c:v>43203</c:v>
                </c:pt>
                <c:pt idx="2590">
                  <c:v>43206</c:v>
                </c:pt>
                <c:pt idx="2591">
                  <c:v>43207</c:v>
                </c:pt>
                <c:pt idx="2592">
                  <c:v>43208</c:v>
                </c:pt>
                <c:pt idx="2593">
                  <c:v>43209</c:v>
                </c:pt>
                <c:pt idx="2594">
                  <c:v>43210</c:v>
                </c:pt>
                <c:pt idx="2595">
                  <c:v>43213</c:v>
                </c:pt>
                <c:pt idx="2596">
                  <c:v>43214</c:v>
                </c:pt>
                <c:pt idx="2597">
                  <c:v>43215</c:v>
                </c:pt>
                <c:pt idx="2598">
                  <c:v>43216</c:v>
                </c:pt>
                <c:pt idx="2599">
                  <c:v>43217</c:v>
                </c:pt>
                <c:pt idx="2600">
                  <c:v>43220</c:v>
                </c:pt>
                <c:pt idx="2601">
                  <c:v>43221</c:v>
                </c:pt>
                <c:pt idx="2602">
                  <c:v>43222</c:v>
                </c:pt>
                <c:pt idx="2603">
                  <c:v>43223</c:v>
                </c:pt>
                <c:pt idx="2604">
                  <c:v>43224</c:v>
                </c:pt>
                <c:pt idx="2605">
                  <c:v>43227</c:v>
                </c:pt>
                <c:pt idx="2606">
                  <c:v>43228</c:v>
                </c:pt>
                <c:pt idx="2607">
                  <c:v>43229</c:v>
                </c:pt>
                <c:pt idx="2608">
                  <c:v>43230</c:v>
                </c:pt>
                <c:pt idx="2609">
                  <c:v>43231</c:v>
                </c:pt>
                <c:pt idx="2610">
                  <c:v>43234</c:v>
                </c:pt>
                <c:pt idx="2611">
                  <c:v>43235</c:v>
                </c:pt>
                <c:pt idx="2612">
                  <c:v>43236</c:v>
                </c:pt>
                <c:pt idx="2613">
                  <c:v>43237</c:v>
                </c:pt>
                <c:pt idx="2614">
                  <c:v>43238</c:v>
                </c:pt>
                <c:pt idx="2615">
                  <c:v>43241</c:v>
                </c:pt>
                <c:pt idx="2616">
                  <c:v>43242</c:v>
                </c:pt>
                <c:pt idx="2617">
                  <c:v>43243</c:v>
                </c:pt>
                <c:pt idx="2618">
                  <c:v>43244</c:v>
                </c:pt>
                <c:pt idx="2619">
                  <c:v>43245</c:v>
                </c:pt>
                <c:pt idx="2620">
                  <c:v>43249</c:v>
                </c:pt>
                <c:pt idx="2621">
                  <c:v>43250</c:v>
                </c:pt>
                <c:pt idx="2622">
                  <c:v>43251</c:v>
                </c:pt>
                <c:pt idx="2623">
                  <c:v>43252</c:v>
                </c:pt>
                <c:pt idx="2624">
                  <c:v>43255</c:v>
                </c:pt>
                <c:pt idx="2625">
                  <c:v>43256</c:v>
                </c:pt>
                <c:pt idx="2626">
                  <c:v>43257</c:v>
                </c:pt>
                <c:pt idx="2627">
                  <c:v>43258</c:v>
                </c:pt>
                <c:pt idx="2628">
                  <c:v>43259</c:v>
                </c:pt>
                <c:pt idx="2629">
                  <c:v>43262</c:v>
                </c:pt>
                <c:pt idx="2630">
                  <c:v>43263</c:v>
                </c:pt>
                <c:pt idx="2631">
                  <c:v>43264</c:v>
                </c:pt>
                <c:pt idx="2632">
                  <c:v>43265</c:v>
                </c:pt>
                <c:pt idx="2633">
                  <c:v>43266</c:v>
                </c:pt>
                <c:pt idx="2634">
                  <c:v>43269</c:v>
                </c:pt>
                <c:pt idx="2635">
                  <c:v>43270</c:v>
                </c:pt>
                <c:pt idx="2636">
                  <c:v>43271</c:v>
                </c:pt>
                <c:pt idx="2637">
                  <c:v>43272</c:v>
                </c:pt>
                <c:pt idx="2638">
                  <c:v>43273</c:v>
                </c:pt>
                <c:pt idx="2639">
                  <c:v>43276</c:v>
                </c:pt>
                <c:pt idx="2640">
                  <c:v>43277</c:v>
                </c:pt>
                <c:pt idx="2641">
                  <c:v>43278</c:v>
                </c:pt>
                <c:pt idx="2642">
                  <c:v>43279</c:v>
                </c:pt>
                <c:pt idx="2643">
                  <c:v>43280</c:v>
                </c:pt>
                <c:pt idx="2644">
                  <c:v>43283</c:v>
                </c:pt>
                <c:pt idx="2645">
                  <c:v>43284</c:v>
                </c:pt>
                <c:pt idx="2646">
                  <c:v>43286</c:v>
                </c:pt>
                <c:pt idx="2647">
                  <c:v>43287</c:v>
                </c:pt>
                <c:pt idx="2648">
                  <c:v>43290</c:v>
                </c:pt>
                <c:pt idx="2649">
                  <c:v>43291</c:v>
                </c:pt>
                <c:pt idx="2650">
                  <c:v>43292</c:v>
                </c:pt>
                <c:pt idx="2651">
                  <c:v>43293</c:v>
                </c:pt>
                <c:pt idx="2652">
                  <c:v>43294</c:v>
                </c:pt>
                <c:pt idx="2653">
                  <c:v>43297</c:v>
                </c:pt>
                <c:pt idx="2654">
                  <c:v>43298</c:v>
                </c:pt>
                <c:pt idx="2655">
                  <c:v>43299</c:v>
                </c:pt>
                <c:pt idx="2656">
                  <c:v>43300</c:v>
                </c:pt>
                <c:pt idx="2657">
                  <c:v>43301</c:v>
                </c:pt>
                <c:pt idx="2658">
                  <c:v>43304</c:v>
                </c:pt>
                <c:pt idx="2659">
                  <c:v>43305</c:v>
                </c:pt>
                <c:pt idx="2660">
                  <c:v>43306</c:v>
                </c:pt>
                <c:pt idx="2661">
                  <c:v>43307</c:v>
                </c:pt>
                <c:pt idx="2662">
                  <c:v>43308</c:v>
                </c:pt>
                <c:pt idx="2663">
                  <c:v>43311</c:v>
                </c:pt>
                <c:pt idx="2664">
                  <c:v>43312</c:v>
                </c:pt>
                <c:pt idx="2665">
                  <c:v>43313</c:v>
                </c:pt>
                <c:pt idx="2666">
                  <c:v>43314</c:v>
                </c:pt>
                <c:pt idx="2667">
                  <c:v>43315</c:v>
                </c:pt>
                <c:pt idx="2668">
                  <c:v>43318</c:v>
                </c:pt>
                <c:pt idx="2669">
                  <c:v>43319</c:v>
                </c:pt>
                <c:pt idx="2670">
                  <c:v>43320</c:v>
                </c:pt>
                <c:pt idx="2671">
                  <c:v>43321</c:v>
                </c:pt>
                <c:pt idx="2672">
                  <c:v>43322</c:v>
                </c:pt>
                <c:pt idx="2673">
                  <c:v>43325</c:v>
                </c:pt>
                <c:pt idx="2674">
                  <c:v>43326</c:v>
                </c:pt>
                <c:pt idx="2675">
                  <c:v>43327</c:v>
                </c:pt>
                <c:pt idx="2676">
                  <c:v>43328</c:v>
                </c:pt>
                <c:pt idx="2677">
                  <c:v>43329</c:v>
                </c:pt>
                <c:pt idx="2678">
                  <c:v>43332</c:v>
                </c:pt>
                <c:pt idx="2679">
                  <c:v>43333</c:v>
                </c:pt>
                <c:pt idx="2680">
                  <c:v>43334</c:v>
                </c:pt>
                <c:pt idx="2681">
                  <c:v>43335</c:v>
                </c:pt>
                <c:pt idx="2682">
                  <c:v>43336</c:v>
                </c:pt>
                <c:pt idx="2683">
                  <c:v>43339</c:v>
                </c:pt>
                <c:pt idx="2684">
                  <c:v>43340</c:v>
                </c:pt>
                <c:pt idx="2685">
                  <c:v>43341</c:v>
                </c:pt>
                <c:pt idx="2686">
                  <c:v>43342</c:v>
                </c:pt>
                <c:pt idx="2687">
                  <c:v>43343</c:v>
                </c:pt>
                <c:pt idx="2688">
                  <c:v>43347</c:v>
                </c:pt>
                <c:pt idx="2689">
                  <c:v>43348</c:v>
                </c:pt>
                <c:pt idx="2690">
                  <c:v>43349</c:v>
                </c:pt>
                <c:pt idx="2691">
                  <c:v>43350</c:v>
                </c:pt>
                <c:pt idx="2692">
                  <c:v>43353</c:v>
                </c:pt>
                <c:pt idx="2693">
                  <c:v>43354</c:v>
                </c:pt>
                <c:pt idx="2694">
                  <c:v>43355</c:v>
                </c:pt>
                <c:pt idx="2695">
                  <c:v>43356</c:v>
                </c:pt>
                <c:pt idx="2696">
                  <c:v>43357</c:v>
                </c:pt>
                <c:pt idx="2697">
                  <c:v>43360</c:v>
                </c:pt>
                <c:pt idx="2698">
                  <c:v>43361</c:v>
                </c:pt>
                <c:pt idx="2699">
                  <c:v>43362</c:v>
                </c:pt>
                <c:pt idx="2700">
                  <c:v>43363</c:v>
                </c:pt>
                <c:pt idx="2701">
                  <c:v>43364</c:v>
                </c:pt>
                <c:pt idx="2702">
                  <c:v>43367</c:v>
                </c:pt>
                <c:pt idx="2703">
                  <c:v>43368</c:v>
                </c:pt>
                <c:pt idx="2704">
                  <c:v>43369</c:v>
                </c:pt>
                <c:pt idx="2705">
                  <c:v>43370</c:v>
                </c:pt>
                <c:pt idx="2706">
                  <c:v>43371</c:v>
                </c:pt>
                <c:pt idx="2707">
                  <c:v>43374</c:v>
                </c:pt>
                <c:pt idx="2708">
                  <c:v>43375</c:v>
                </c:pt>
                <c:pt idx="2709">
                  <c:v>43376</c:v>
                </c:pt>
                <c:pt idx="2710">
                  <c:v>43377</c:v>
                </c:pt>
                <c:pt idx="2711">
                  <c:v>43378</c:v>
                </c:pt>
                <c:pt idx="2712">
                  <c:v>43381</c:v>
                </c:pt>
                <c:pt idx="2713">
                  <c:v>43382</c:v>
                </c:pt>
                <c:pt idx="2714">
                  <c:v>43383</c:v>
                </c:pt>
                <c:pt idx="2715">
                  <c:v>43384</c:v>
                </c:pt>
                <c:pt idx="2716">
                  <c:v>43385</c:v>
                </c:pt>
                <c:pt idx="2717">
                  <c:v>43388</c:v>
                </c:pt>
                <c:pt idx="2718">
                  <c:v>43389</c:v>
                </c:pt>
                <c:pt idx="2719">
                  <c:v>43390</c:v>
                </c:pt>
                <c:pt idx="2720">
                  <c:v>43391</c:v>
                </c:pt>
                <c:pt idx="2721">
                  <c:v>43392</c:v>
                </c:pt>
                <c:pt idx="2722">
                  <c:v>43395</c:v>
                </c:pt>
                <c:pt idx="2723">
                  <c:v>43396</c:v>
                </c:pt>
                <c:pt idx="2724">
                  <c:v>43397</c:v>
                </c:pt>
                <c:pt idx="2725">
                  <c:v>43398</c:v>
                </c:pt>
                <c:pt idx="2726">
                  <c:v>43399</c:v>
                </c:pt>
                <c:pt idx="2727">
                  <c:v>43402</c:v>
                </c:pt>
                <c:pt idx="2728">
                  <c:v>43403</c:v>
                </c:pt>
                <c:pt idx="2729">
                  <c:v>43404</c:v>
                </c:pt>
                <c:pt idx="2730">
                  <c:v>43405</c:v>
                </c:pt>
                <c:pt idx="2731">
                  <c:v>43406</c:v>
                </c:pt>
                <c:pt idx="2732">
                  <c:v>43409</c:v>
                </c:pt>
                <c:pt idx="2733">
                  <c:v>43410</c:v>
                </c:pt>
                <c:pt idx="2734">
                  <c:v>43411</c:v>
                </c:pt>
                <c:pt idx="2735">
                  <c:v>43412</c:v>
                </c:pt>
                <c:pt idx="2736">
                  <c:v>43413</c:v>
                </c:pt>
                <c:pt idx="2737">
                  <c:v>43416</c:v>
                </c:pt>
                <c:pt idx="2738">
                  <c:v>43417</c:v>
                </c:pt>
                <c:pt idx="2739">
                  <c:v>43418</c:v>
                </c:pt>
                <c:pt idx="2740">
                  <c:v>43419</c:v>
                </c:pt>
                <c:pt idx="2741">
                  <c:v>43420</c:v>
                </c:pt>
                <c:pt idx="2742">
                  <c:v>43423</c:v>
                </c:pt>
                <c:pt idx="2743">
                  <c:v>43424</c:v>
                </c:pt>
                <c:pt idx="2744">
                  <c:v>43425</c:v>
                </c:pt>
                <c:pt idx="2745">
                  <c:v>43427</c:v>
                </c:pt>
                <c:pt idx="2746">
                  <c:v>43430</c:v>
                </c:pt>
                <c:pt idx="2747">
                  <c:v>43431</c:v>
                </c:pt>
                <c:pt idx="2748">
                  <c:v>43432</c:v>
                </c:pt>
                <c:pt idx="2749">
                  <c:v>43433</c:v>
                </c:pt>
                <c:pt idx="2750">
                  <c:v>43434</c:v>
                </c:pt>
                <c:pt idx="2751">
                  <c:v>43437</c:v>
                </c:pt>
                <c:pt idx="2752">
                  <c:v>43438</c:v>
                </c:pt>
                <c:pt idx="2753">
                  <c:v>43440</c:v>
                </c:pt>
                <c:pt idx="2754">
                  <c:v>43441</c:v>
                </c:pt>
                <c:pt idx="2755">
                  <c:v>43444</c:v>
                </c:pt>
                <c:pt idx="2756">
                  <c:v>43445</c:v>
                </c:pt>
                <c:pt idx="2757">
                  <c:v>43446</c:v>
                </c:pt>
                <c:pt idx="2758">
                  <c:v>43447</c:v>
                </c:pt>
                <c:pt idx="2759">
                  <c:v>43448</c:v>
                </c:pt>
                <c:pt idx="2760">
                  <c:v>43451</c:v>
                </c:pt>
                <c:pt idx="2761">
                  <c:v>43452</c:v>
                </c:pt>
                <c:pt idx="2762">
                  <c:v>43453</c:v>
                </c:pt>
                <c:pt idx="2763">
                  <c:v>43454</c:v>
                </c:pt>
                <c:pt idx="2764">
                  <c:v>43455</c:v>
                </c:pt>
                <c:pt idx="2765">
                  <c:v>43458</c:v>
                </c:pt>
                <c:pt idx="2766">
                  <c:v>43460</c:v>
                </c:pt>
                <c:pt idx="2767">
                  <c:v>43461</c:v>
                </c:pt>
                <c:pt idx="2768">
                  <c:v>43462</c:v>
                </c:pt>
                <c:pt idx="2769">
                  <c:v>43465</c:v>
                </c:pt>
                <c:pt idx="2770">
                  <c:v>43467</c:v>
                </c:pt>
                <c:pt idx="2771">
                  <c:v>43468</c:v>
                </c:pt>
                <c:pt idx="2772">
                  <c:v>43469</c:v>
                </c:pt>
                <c:pt idx="2773">
                  <c:v>43472</c:v>
                </c:pt>
                <c:pt idx="2774">
                  <c:v>43473</c:v>
                </c:pt>
                <c:pt idx="2775">
                  <c:v>43474</c:v>
                </c:pt>
                <c:pt idx="2776">
                  <c:v>43475</c:v>
                </c:pt>
                <c:pt idx="2777">
                  <c:v>43476</c:v>
                </c:pt>
                <c:pt idx="2778">
                  <c:v>43479</c:v>
                </c:pt>
                <c:pt idx="2779">
                  <c:v>43480</c:v>
                </c:pt>
                <c:pt idx="2780">
                  <c:v>43481</c:v>
                </c:pt>
                <c:pt idx="2781">
                  <c:v>43482</c:v>
                </c:pt>
                <c:pt idx="2782">
                  <c:v>43483</c:v>
                </c:pt>
                <c:pt idx="2783">
                  <c:v>43487</c:v>
                </c:pt>
                <c:pt idx="2784">
                  <c:v>43488</c:v>
                </c:pt>
                <c:pt idx="2785">
                  <c:v>43489</c:v>
                </c:pt>
                <c:pt idx="2786">
                  <c:v>43490</c:v>
                </c:pt>
                <c:pt idx="2787">
                  <c:v>43493</c:v>
                </c:pt>
                <c:pt idx="2788">
                  <c:v>43494</c:v>
                </c:pt>
                <c:pt idx="2789">
                  <c:v>43495</c:v>
                </c:pt>
                <c:pt idx="2790">
                  <c:v>43496</c:v>
                </c:pt>
                <c:pt idx="2791">
                  <c:v>43497</c:v>
                </c:pt>
                <c:pt idx="2792">
                  <c:v>43500</c:v>
                </c:pt>
                <c:pt idx="2793">
                  <c:v>43501</c:v>
                </c:pt>
                <c:pt idx="2794">
                  <c:v>43502</c:v>
                </c:pt>
                <c:pt idx="2795">
                  <c:v>43503</c:v>
                </c:pt>
                <c:pt idx="2796">
                  <c:v>43504</c:v>
                </c:pt>
                <c:pt idx="2797">
                  <c:v>43507</c:v>
                </c:pt>
                <c:pt idx="2798">
                  <c:v>43508</c:v>
                </c:pt>
                <c:pt idx="2799">
                  <c:v>43509</c:v>
                </c:pt>
                <c:pt idx="2800">
                  <c:v>43510</c:v>
                </c:pt>
                <c:pt idx="2801">
                  <c:v>43511</c:v>
                </c:pt>
                <c:pt idx="2802">
                  <c:v>43515</c:v>
                </c:pt>
                <c:pt idx="2803">
                  <c:v>43516</c:v>
                </c:pt>
                <c:pt idx="2804">
                  <c:v>43517</c:v>
                </c:pt>
                <c:pt idx="2805">
                  <c:v>43518</c:v>
                </c:pt>
                <c:pt idx="2806">
                  <c:v>43521</c:v>
                </c:pt>
                <c:pt idx="2807">
                  <c:v>43522</c:v>
                </c:pt>
                <c:pt idx="2808">
                  <c:v>43523</c:v>
                </c:pt>
                <c:pt idx="2809">
                  <c:v>43524</c:v>
                </c:pt>
                <c:pt idx="2810">
                  <c:v>43525</c:v>
                </c:pt>
                <c:pt idx="2811">
                  <c:v>43528</c:v>
                </c:pt>
                <c:pt idx="2812">
                  <c:v>43529</c:v>
                </c:pt>
                <c:pt idx="2813">
                  <c:v>43530</c:v>
                </c:pt>
                <c:pt idx="2814">
                  <c:v>43531</c:v>
                </c:pt>
                <c:pt idx="2815">
                  <c:v>43532</c:v>
                </c:pt>
                <c:pt idx="2816">
                  <c:v>43535</c:v>
                </c:pt>
                <c:pt idx="2817">
                  <c:v>43536</c:v>
                </c:pt>
                <c:pt idx="2818">
                  <c:v>43537</c:v>
                </c:pt>
                <c:pt idx="2819">
                  <c:v>43538</c:v>
                </c:pt>
                <c:pt idx="2820">
                  <c:v>43539</c:v>
                </c:pt>
                <c:pt idx="2821">
                  <c:v>43542</c:v>
                </c:pt>
                <c:pt idx="2822">
                  <c:v>43543</c:v>
                </c:pt>
                <c:pt idx="2823">
                  <c:v>43544</c:v>
                </c:pt>
                <c:pt idx="2824">
                  <c:v>43545</c:v>
                </c:pt>
                <c:pt idx="2825">
                  <c:v>43546</c:v>
                </c:pt>
                <c:pt idx="2826">
                  <c:v>43549</c:v>
                </c:pt>
                <c:pt idx="2827">
                  <c:v>43550</c:v>
                </c:pt>
                <c:pt idx="2828">
                  <c:v>43551</c:v>
                </c:pt>
                <c:pt idx="2829">
                  <c:v>43552</c:v>
                </c:pt>
                <c:pt idx="2830">
                  <c:v>43553</c:v>
                </c:pt>
                <c:pt idx="2831">
                  <c:v>43556</c:v>
                </c:pt>
                <c:pt idx="2832">
                  <c:v>43557</c:v>
                </c:pt>
                <c:pt idx="2833">
                  <c:v>43558</c:v>
                </c:pt>
                <c:pt idx="2834">
                  <c:v>43559</c:v>
                </c:pt>
                <c:pt idx="2835">
                  <c:v>43560</c:v>
                </c:pt>
                <c:pt idx="2836">
                  <c:v>43563</c:v>
                </c:pt>
                <c:pt idx="2837">
                  <c:v>43564</c:v>
                </c:pt>
                <c:pt idx="2838">
                  <c:v>43565</c:v>
                </c:pt>
                <c:pt idx="2839">
                  <c:v>43566</c:v>
                </c:pt>
                <c:pt idx="2840">
                  <c:v>43567</c:v>
                </c:pt>
                <c:pt idx="2841">
                  <c:v>43570</c:v>
                </c:pt>
                <c:pt idx="2842">
                  <c:v>43571</c:v>
                </c:pt>
                <c:pt idx="2843">
                  <c:v>43572</c:v>
                </c:pt>
                <c:pt idx="2844">
                  <c:v>43573</c:v>
                </c:pt>
                <c:pt idx="2845">
                  <c:v>43577</c:v>
                </c:pt>
                <c:pt idx="2846">
                  <c:v>43578</c:v>
                </c:pt>
                <c:pt idx="2847">
                  <c:v>43579</c:v>
                </c:pt>
                <c:pt idx="2848">
                  <c:v>43580</c:v>
                </c:pt>
                <c:pt idx="2849">
                  <c:v>43581</c:v>
                </c:pt>
                <c:pt idx="2850">
                  <c:v>43584</c:v>
                </c:pt>
                <c:pt idx="2851">
                  <c:v>43585</c:v>
                </c:pt>
                <c:pt idx="2852">
                  <c:v>43586</c:v>
                </c:pt>
                <c:pt idx="2853">
                  <c:v>43587</c:v>
                </c:pt>
                <c:pt idx="2854">
                  <c:v>43588</c:v>
                </c:pt>
                <c:pt idx="2855">
                  <c:v>43591</c:v>
                </c:pt>
                <c:pt idx="2856">
                  <c:v>43592</c:v>
                </c:pt>
                <c:pt idx="2857">
                  <c:v>43593</c:v>
                </c:pt>
                <c:pt idx="2858">
                  <c:v>43594</c:v>
                </c:pt>
                <c:pt idx="2859">
                  <c:v>43595</c:v>
                </c:pt>
                <c:pt idx="2860">
                  <c:v>43598</c:v>
                </c:pt>
                <c:pt idx="2861">
                  <c:v>43599</c:v>
                </c:pt>
                <c:pt idx="2862">
                  <c:v>43600</c:v>
                </c:pt>
                <c:pt idx="2863">
                  <c:v>43601</c:v>
                </c:pt>
                <c:pt idx="2864">
                  <c:v>43602</c:v>
                </c:pt>
                <c:pt idx="2865">
                  <c:v>43605</c:v>
                </c:pt>
                <c:pt idx="2866">
                  <c:v>43606</c:v>
                </c:pt>
                <c:pt idx="2867">
                  <c:v>43607</c:v>
                </c:pt>
                <c:pt idx="2868">
                  <c:v>43608</c:v>
                </c:pt>
                <c:pt idx="2869">
                  <c:v>43609</c:v>
                </c:pt>
                <c:pt idx="2870">
                  <c:v>43613</c:v>
                </c:pt>
                <c:pt idx="2871">
                  <c:v>43614</c:v>
                </c:pt>
                <c:pt idx="2872">
                  <c:v>43615</c:v>
                </c:pt>
                <c:pt idx="2873">
                  <c:v>43616</c:v>
                </c:pt>
                <c:pt idx="2874">
                  <c:v>43619</c:v>
                </c:pt>
                <c:pt idx="2875">
                  <c:v>43620</c:v>
                </c:pt>
                <c:pt idx="2876">
                  <c:v>43621</c:v>
                </c:pt>
                <c:pt idx="2877">
                  <c:v>43622</c:v>
                </c:pt>
                <c:pt idx="2878">
                  <c:v>43623</c:v>
                </c:pt>
                <c:pt idx="2879">
                  <c:v>43626</c:v>
                </c:pt>
                <c:pt idx="2880">
                  <c:v>43627</c:v>
                </c:pt>
                <c:pt idx="2881">
                  <c:v>43628</c:v>
                </c:pt>
                <c:pt idx="2882">
                  <c:v>43629</c:v>
                </c:pt>
                <c:pt idx="2883">
                  <c:v>43630</c:v>
                </c:pt>
                <c:pt idx="2884">
                  <c:v>43633</c:v>
                </c:pt>
                <c:pt idx="2885">
                  <c:v>43634</c:v>
                </c:pt>
                <c:pt idx="2886">
                  <c:v>43635</c:v>
                </c:pt>
                <c:pt idx="2887">
                  <c:v>43636</c:v>
                </c:pt>
                <c:pt idx="2888">
                  <c:v>43637</c:v>
                </c:pt>
                <c:pt idx="2889">
                  <c:v>43640</c:v>
                </c:pt>
                <c:pt idx="2890">
                  <c:v>43641</c:v>
                </c:pt>
                <c:pt idx="2891">
                  <c:v>43642</c:v>
                </c:pt>
                <c:pt idx="2892">
                  <c:v>43643</c:v>
                </c:pt>
                <c:pt idx="2893">
                  <c:v>43644</c:v>
                </c:pt>
                <c:pt idx="2894">
                  <c:v>43647</c:v>
                </c:pt>
                <c:pt idx="2895">
                  <c:v>43648</c:v>
                </c:pt>
                <c:pt idx="2896">
                  <c:v>43649</c:v>
                </c:pt>
                <c:pt idx="2897">
                  <c:v>43651</c:v>
                </c:pt>
                <c:pt idx="2898">
                  <c:v>43654</c:v>
                </c:pt>
                <c:pt idx="2899">
                  <c:v>43655</c:v>
                </c:pt>
                <c:pt idx="2900">
                  <c:v>43656</c:v>
                </c:pt>
                <c:pt idx="2901">
                  <c:v>43657</c:v>
                </c:pt>
                <c:pt idx="2902">
                  <c:v>43658</c:v>
                </c:pt>
                <c:pt idx="2903">
                  <c:v>43661</c:v>
                </c:pt>
                <c:pt idx="2904">
                  <c:v>43662</c:v>
                </c:pt>
                <c:pt idx="2905">
                  <c:v>43663</c:v>
                </c:pt>
                <c:pt idx="2906">
                  <c:v>43664</c:v>
                </c:pt>
                <c:pt idx="2907">
                  <c:v>43665</c:v>
                </c:pt>
                <c:pt idx="2908">
                  <c:v>43668</c:v>
                </c:pt>
                <c:pt idx="2909">
                  <c:v>43669</c:v>
                </c:pt>
                <c:pt idx="2910">
                  <c:v>43670</c:v>
                </c:pt>
                <c:pt idx="2911">
                  <c:v>43671</c:v>
                </c:pt>
                <c:pt idx="2912">
                  <c:v>43672</c:v>
                </c:pt>
                <c:pt idx="2913">
                  <c:v>43675</c:v>
                </c:pt>
                <c:pt idx="2914">
                  <c:v>43676</c:v>
                </c:pt>
                <c:pt idx="2915">
                  <c:v>43677</c:v>
                </c:pt>
                <c:pt idx="2916">
                  <c:v>43678</c:v>
                </c:pt>
                <c:pt idx="2917">
                  <c:v>43679</c:v>
                </c:pt>
                <c:pt idx="2918">
                  <c:v>43682</c:v>
                </c:pt>
                <c:pt idx="2919">
                  <c:v>43683</c:v>
                </c:pt>
                <c:pt idx="2920">
                  <c:v>43684</c:v>
                </c:pt>
                <c:pt idx="2921">
                  <c:v>43685</c:v>
                </c:pt>
                <c:pt idx="2922">
                  <c:v>43686</c:v>
                </c:pt>
                <c:pt idx="2923">
                  <c:v>43689</c:v>
                </c:pt>
                <c:pt idx="2924">
                  <c:v>43690</c:v>
                </c:pt>
                <c:pt idx="2925">
                  <c:v>43691</c:v>
                </c:pt>
                <c:pt idx="2926">
                  <c:v>43692</c:v>
                </c:pt>
                <c:pt idx="2927">
                  <c:v>43693</c:v>
                </c:pt>
                <c:pt idx="2928">
                  <c:v>43696</c:v>
                </c:pt>
                <c:pt idx="2929">
                  <c:v>43697</c:v>
                </c:pt>
                <c:pt idx="2930">
                  <c:v>43698</c:v>
                </c:pt>
                <c:pt idx="2931">
                  <c:v>43699</c:v>
                </c:pt>
                <c:pt idx="2932">
                  <c:v>43700</c:v>
                </c:pt>
                <c:pt idx="2933">
                  <c:v>43703</c:v>
                </c:pt>
                <c:pt idx="2934">
                  <c:v>43704</c:v>
                </c:pt>
                <c:pt idx="2935">
                  <c:v>43705</c:v>
                </c:pt>
                <c:pt idx="2936">
                  <c:v>43706</c:v>
                </c:pt>
                <c:pt idx="2937">
                  <c:v>43707</c:v>
                </c:pt>
                <c:pt idx="2938">
                  <c:v>43711</c:v>
                </c:pt>
                <c:pt idx="2939">
                  <c:v>43712</c:v>
                </c:pt>
                <c:pt idx="2940">
                  <c:v>43713</c:v>
                </c:pt>
                <c:pt idx="2941">
                  <c:v>43714</c:v>
                </c:pt>
                <c:pt idx="2942">
                  <c:v>43717</c:v>
                </c:pt>
                <c:pt idx="2943">
                  <c:v>43718</c:v>
                </c:pt>
                <c:pt idx="2944">
                  <c:v>43719</c:v>
                </c:pt>
                <c:pt idx="2945">
                  <c:v>43720</c:v>
                </c:pt>
                <c:pt idx="2946">
                  <c:v>43721</c:v>
                </c:pt>
                <c:pt idx="2947">
                  <c:v>43724</c:v>
                </c:pt>
                <c:pt idx="2948">
                  <c:v>43725</c:v>
                </c:pt>
                <c:pt idx="2949">
                  <c:v>43726</c:v>
                </c:pt>
                <c:pt idx="2950">
                  <c:v>43727</c:v>
                </c:pt>
                <c:pt idx="2951">
                  <c:v>43728</c:v>
                </c:pt>
                <c:pt idx="2952">
                  <c:v>43731</c:v>
                </c:pt>
                <c:pt idx="2953">
                  <c:v>43732</c:v>
                </c:pt>
                <c:pt idx="2954">
                  <c:v>43733</c:v>
                </c:pt>
                <c:pt idx="2955">
                  <c:v>43734</c:v>
                </c:pt>
                <c:pt idx="2956">
                  <c:v>43735</c:v>
                </c:pt>
                <c:pt idx="2957">
                  <c:v>43738</c:v>
                </c:pt>
                <c:pt idx="2958">
                  <c:v>43739</c:v>
                </c:pt>
                <c:pt idx="2959">
                  <c:v>43740</c:v>
                </c:pt>
                <c:pt idx="2960">
                  <c:v>43741</c:v>
                </c:pt>
                <c:pt idx="2961">
                  <c:v>43742</c:v>
                </c:pt>
                <c:pt idx="2962">
                  <c:v>43745</c:v>
                </c:pt>
                <c:pt idx="2963">
                  <c:v>43746</c:v>
                </c:pt>
                <c:pt idx="2964">
                  <c:v>43747</c:v>
                </c:pt>
                <c:pt idx="2965">
                  <c:v>43748</c:v>
                </c:pt>
                <c:pt idx="2966">
                  <c:v>43749</c:v>
                </c:pt>
                <c:pt idx="2967">
                  <c:v>43752</c:v>
                </c:pt>
                <c:pt idx="2968">
                  <c:v>43753</c:v>
                </c:pt>
                <c:pt idx="2969">
                  <c:v>43754</c:v>
                </c:pt>
                <c:pt idx="2970">
                  <c:v>43755</c:v>
                </c:pt>
                <c:pt idx="2971">
                  <c:v>43756</c:v>
                </c:pt>
                <c:pt idx="2972">
                  <c:v>43759</c:v>
                </c:pt>
                <c:pt idx="2973">
                  <c:v>43760</c:v>
                </c:pt>
                <c:pt idx="2974">
                  <c:v>43761</c:v>
                </c:pt>
                <c:pt idx="2975">
                  <c:v>43762</c:v>
                </c:pt>
                <c:pt idx="2976">
                  <c:v>43763</c:v>
                </c:pt>
                <c:pt idx="2977">
                  <c:v>43766</c:v>
                </c:pt>
                <c:pt idx="2978">
                  <c:v>43767</c:v>
                </c:pt>
                <c:pt idx="2979">
                  <c:v>43768</c:v>
                </c:pt>
                <c:pt idx="2980">
                  <c:v>43769</c:v>
                </c:pt>
                <c:pt idx="2981">
                  <c:v>43770</c:v>
                </c:pt>
                <c:pt idx="2982">
                  <c:v>43773</c:v>
                </c:pt>
                <c:pt idx="2983">
                  <c:v>43774</c:v>
                </c:pt>
                <c:pt idx="2984">
                  <c:v>43775</c:v>
                </c:pt>
                <c:pt idx="2985">
                  <c:v>43776</c:v>
                </c:pt>
                <c:pt idx="2986">
                  <c:v>43777</c:v>
                </c:pt>
                <c:pt idx="2987">
                  <c:v>43780</c:v>
                </c:pt>
                <c:pt idx="2988">
                  <c:v>43781</c:v>
                </c:pt>
                <c:pt idx="2989">
                  <c:v>43782</c:v>
                </c:pt>
                <c:pt idx="2990">
                  <c:v>43783</c:v>
                </c:pt>
                <c:pt idx="2991">
                  <c:v>43784</c:v>
                </c:pt>
                <c:pt idx="2992">
                  <c:v>43787</c:v>
                </c:pt>
                <c:pt idx="2993">
                  <c:v>43788</c:v>
                </c:pt>
                <c:pt idx="2994">
                  <c:v>43789</c:v>
                </c:pt>
                <c:pt idx="2995">
                  <c:v>43790</c:v>
                </c:pt>
                <c:pt idx="2996">
                  <c:v>43791</c:v>
                </c:pt>
                <c:pt idx="2997">
                  <c:v>43794</c:v>
                </c:pt>
                <c:pt idx="2998">
                  <c:v>43795</c:v>
                </c:pt>
                <c:pt idx="2999">
                  <c:v>43796</c:v>
                </c:pt>
                <c:pt idx="3000">
                  <c:v>43798</c:v>
                </c:pt>
                <c:pt idx="3001">
                  <c:v>43801</c:v>
                </c:pt>
                <c:pt idx="3002">
                  <c:v>43802</c:v>
                </c:pt>
                <c:pt idx="3003">
                  <c:v>43803</c:v>
                </c:pt>
                <c:pt idx="3004">
                  <c:v>43804</c:v>
                </c:pt>
                <c:pt idx="3005">
                  <c:v>43805</c:v>
                </c:pt>
                <c:pt idx="3006">
                  <c:v>43808</c:v>
                </c:pt>
                <c:pt idx="3007">
                  <c:v>43809</c:v>
                </c:pt>
                <c:pt idx="3008">
                  <c:v>43810</c:v>
                </c:pt>
                <c:pt idx="3009">
                  <c:v>43811</c:v>
                </c:pt>
                <c:pt idx="3010">
                  <c:v>43812</c:v>
                </c:pt>
                <c:pt idx="3011">
                  <c:v>43815</c:v>
                </c:pt>
                <c:pt idx="3012">
                  <c:v>43816</c:v>
                </c:pt>
                <c:pt idx="3013">
                  <c:v>43817</c:v>
                </c:pt>
                <c:pt idx="3014">
                  <c:v>43818</c:v>
                </c:pt>
                <c:pt idx="3015">
                  <c:v>43819</c:v>
                </c:pt>
                <c:pt idx="3016">
                  <c:v>43822</c:v>
                </c:pt>
                <c:pt idx="3017">
                  <c:v>43823</c:v>
                </c:pt>
                <c:pt idx="3018">
                  <c:v>43825</c:v>
                </c:pt>
                <c:pt idx="3019">
                  <c:v>43826</c:v>
                </c:pt>
                <c:pt idx="3020">
                  <c:v>43829</c:v>
                </c:pt>
                <c:pt idx="3021">
                  <c:v>43830</c:v>
                </c:pt>
                <c:pt idx="3022">
                  <c:v>43832</c:v>
                </c:pt>
                <c:pt idx="3023">
                  <c:v>43833</c:v>
                </c:pt>
                <c:pt idx="3024">
                  <c:v>43836</c:v>
                </c:pt>
                <c:pt idx="3025">
                  <c:v>43837</c:v>
                </c:pt>
                <c:pt idx="3026">
                  <c:v>43838</c:v>
                </c:pt>
                <c:pt idx="3027">
                  <c:v>43839</c:v>
                </c:pt>
                <c:pt idx="3028">
                  <c:v>43840</c:v>
                </c:pt>
                <c:pt idx="3029">
                  <c:v>43843</c:v>
                </c:pt>
                <c:pt idx="3030">
                  <c:v>43844</c:v>
                </c:pt>
                <c:pt idx="3031">
                  <c:v>43845</c:v>
                </c:pt>
                <c:pt idx="3032">
                  <c:v>43846</c:v>
                </c:pt>
                <c:pt idx="3033">
                  <c:v>43847</c:v>
                </c:pt>
                <c:pt idx="3034">
                  <c:v>43851</c:v>
                </c:pt>
                <c:pt idx="3035">
                  <c:v>43852</c:v>
                </c:pt>
                <c:pt idx="3036">
                  <c:v>43853</c:v>
                </c:pt>
                <c:pt idx="3037">
                  <c:v>43854</c:v>
                </c:pt>
                <c:pt idx="3038">
                  <c:v>43857</c:v>
                </c:pt>
                <c:pt idx="3039">
                  <c:v>43858</c:v>
                </c:pt>
                <c:pt idx="3040">
                  <c:v>43859</c:v>
                </c:pt>
                <c:pt idx="3041">
                  <c:v>43860</c:v>
                </c:pt>
                <c:pt idx="3042">
                  <c:v>43861</c:v>
                </c:pt>
                <c:pt idx="3043">
                  <c:v>43864</c:v>
                </c:pt>
                <c:pt idx="3044">
                  <c:v>43865</c:v>
                </c:pt>
                <c:pt idx="3045">
                  <c:v>43866</c:v>
                </c:pt>
                <c:pt idx="3046">
                  <c:v>43867</c:v>
                </c:pt>
                <c:pt idx="3047">
                  <c:v>43868</c:v>
                </c:pt>
                <c:pt idx="3048">
                  <c:v>43871</c:v>
                </c:pt>
                <c:pt idx="3049">
                  <c:v>43872</c:v>
                </c:pt>
                <c:pt idx="3050">
                  <c:v>43873</c:v>
                </c:pt>
                <c:pt idx="3051">
                  <c:v>43874</c:v>
                </c:pt>
                <c:pt idx="3052">
                  <c:v>43875</c:v>
                </c:pt>
                <c:pt idx="3053">
                  <c:v>43879</c:v>
                </c:pt>
                <c:pt idx="3054">
                  <c:v>43880</c:v>
                </c:pt>
                <c:pt idx="3055">
                  <c:v>43881</c:v>
                </c:pt>
                <c:pt idx="3056">
                  <c:v>43882</c:v>
                </c:pt>
                <c:pt idx="3057">
                  <c:v>43885</c:v>
                </c:pt>
                <c:pt idx="3058">
                  <c:v>43886</c:v>
                </c:pt>
                <c:pt idx="3059">
                  <c:v>43887</c:v>
                </c:pt>
                <c:pt idx="3060">
                  <c:v>43888</c:v>
                </c:pt>
                <c:pt idx="3061">
                  <c:v>43889</c:v>
                </c:pt>
                <c:pt idx="3062">
                  <c:v>43892</c:v>
                </c:pt>
                <c:pt idx="3063">
                  <c:v>43893</c:v>
                </c:pt>
                <c:pt idx="3064">
                  <c:v>43894</c:v>
                </c:pt>
                <c:pt idx="3065">
                  <c:v>43895</c:v>
                </c:pt>
                <c:pt idx="3066">
                  <c:v>43896</c:v>
                </c:pt>
                <c:pt idx="3067">
                  <c:v>43899</c:v>
                </c:pt>
                <c:pt idx="3068">
                  <c:v>43900</c:v>
                </c:pt>
                <c:pt idx="3069">
                  <c:v>43901</c:v>
                </c:pt>
                <c:pt idx="3070">
                  <c:v>43902</c:v>
                </c:pt>
                <c:pt idx="3071">
                  <c:v>43903</c:v>
                </c:pt>
                <c:pt idx="3072">
                  <c:v>43906</c:v>
                </c:pt>
                <c:pt idx="3073">
                  <c:v>43907</c:v>
                </c:pt>
                <c:pt idx="3074">
                  <c:v>43908</c:v>
                </c:pt>
                <c:pt idx="3075">
                  <c:v>43909</c:v>
                </c:pt>
                <c:pt idx="3076">
                  <c:v>43910</c:v>
                </c:pt>
                <c:pt idx="3077">
                  <c:v>43913</c:v>
                </c:pt>
                <c:pt idx="3078">
                  <c:v>43914</c:v>
                </c:pt>
                <c:pt idx="3079">
                  <c:v>43915</c:v>
                </c:pt>
                <c:pt idx="3080">
                  <c:v>43916</c:v>
                </c:pt>
                <c:pt idx="3081">
                  <c:v>43917</c:v>
                </c:pt>
                <c:pt idx="3082">
                  <c:v>43920</c:v>
                </c:pt>
                <c:pt idx="3083">
                  <c:v>43921</c:v>
                </c:pt>
                <c:pt idx="3084">
                  <c:v>43922</c:v>
                </c:pt>
                <c:pt idx="3085">
                  <c:v>43923</c:v>
                </c:pt>
                <c:pt idx="3086">
                  <c:v>43924</c:v>
                </c:pt>
                <c:pt idx="3087">
                  <c:v>43927</c:v>
                </c:pt>
                <c:pt idx="3088">
                  <c:v>43928</c:v>
                </c:pt>
                <c:pt idx="3089">
                  <c:v>43929</c:v>
                </c:pt>
                <c:pt idx="3090">
                  <c:v>43930</c:v>
                </c:pt>
                <c:pt idx="3091">
                  <c:v>43934</c:v>
                </c:pt>
                <c:pt idx="3092">
                  <c:v>43935</c:v>
                </c:pt>
                <c:pt idx="3093">
                  <c:v>43936</c:v>
                </c:pt>
                <c:pt idx="3094">
                  <c:v>43937</c:v>
                </c:pt>
                <c:pt idx="3095">
                  <c:v>43938</c:v>
                </c:pt>
                <c:pt idx="3096">
                  <c:v>43941</c:v>
                </c:pt>
                <c:pt idx="3097">
                  <c:v>43942</c:v>
                </c:pt>
                <c:pt idx="3098">
                  <c:v>43943</c:v>
                </c:pt>
                <c:pt idx="3099">
                  <c:v>43944</c:v>
                </c:pt>
                <c:pt idx="3100">
                  <c:v>43945</c:v>
                </c:pt>
                <c:pt idx="3101">
                  <c:v>43948</c:v>
                </c:pt>
                <c:pt idx="3102">
                  <c:v>43949</c:v>
                </c:pt>
                <c:pt idx="3103">
                  <c:v>43950</c:v>
                </c:pt>
                <c:pt idx="3104">
                  <c:v>43951</c:v>
                </c:pt>
                <c:pt idx="3105">
                  <c:v>43952</c:v>
                </c:pt>
                <c:pt idx="3106">
                  <c:v>43955</c:v>
                </c:pt>
                <c:pt idx="3107">
                  <c:v>43956</c:v>
                </c:pt>
                <c:pt idx="3108">
                  <c:v>43957</c:v>
                </c:pt>
                <c:pt idx="3109">
                  <c:v>43958</c:v>
                </c:pt>
                <c:pt idx="3110">
                  <c:v>43959</c:v>
                </c:pt>
                <c:pt idx="3111">
                  <c:v>43962</c:v>
                </c:pt>
                <c:pt idx="3112">
                  <c:v>43963</c:v>
                </c:pt>
                <c:pt idx="3113">
                  <c:v>43964</c:v>
                </c:pt>
                <c:pt idx="3114">
                  <c:v>43965</c:v>
                </c:pt>
                <c:pt idx="3115">
                  <c:v>43966</c:v>
                </c:pt>
                <c:pt idx="3116">
                  <c:v>43969</c:v>
                </c:pt>
                <c:pt idx="3117">
                  <c:v>43970</c:v>
                </c:pt>
                <c:pt idx="3118">
                  <c:v>43971</c:v>
                </c:pt>
                <c:pt idx="3119">
                  <c:v>43972</c:v>
                </c:pt>
                <c:pt idx="3120">
                  <c:v>43973</c:v>
                </c:pt>
                <c:pt idx="3121">
                  <c:v>43977</c:v>
                </c:pt>
                <c:pt idx="3122">
                  <c:v>43978</c:v>
                </c:pt>
                <c:pt idx="3123">
                  <c:v>43979</c:v>
                </c:pt>
                <c:pt idx="3124">
                  <c:v>43980</c:v>
                </c:pt>
                <c:pt idx="3125">
                  <c:v>43983</c:v>
                </c:pt>
                <c:pt idx="3126">
                  <c:v>43984</c:v>
                </c:pt>
                <c:pt idx="3127">
                  <c:v>43985</c:v>
                </c:pt>
                <c:pt idx="3128">
                  <c:v>43986</c:v>
                </c:pt>
                <c:pt idx="3129">
                  <c:v>43987</c:v>
                </c:pt>
                <c:pt idx="3130">
                  <c:v>43990</c:v>
                </c:pt>
                <c:pt idx="3131">
                  <c:v>43991</c:v>
                </c:pt>
                <c:pt idx="3132">
                  <c:v>43992</c:v>
                </c:pt>
                <c:pt idx="3133">
                  <c:v>43993</c:v>
                </c:pt>
                <c:pt idx="3134">
                  <c:v>43994</c:v>
                </c:pt>
                <c:pt idx="3135">
                  <c:v>43997</c:v>
                </c:pt>
                <c:pt idx="3136">
                  <c:v>43998</c:v>
                </c:pt>
                <c:pt idx="3137">
                  <c:v>43999</c:v>
                </c:pt>
                <c:pt idx="3138">
                  <c:v>44000</c:v>
                </c:pt>
                <c:pt idx="3139">
                  <c:v>44001</c:v>
                </c:pt>
                <c:pt idx="3140">
                  <c:v>44004</c:v>
                </c:pt>
                <c:pt idx="3141">
                  <c:v>44005</c:v>
                </c:pt>
                <c:pt idx="3142">
                  <c:v>44006</c:v>
                </c:pt>
                <c:pt idx="3143">
                  <c:v>44007</c:v>
                </c:pt>
                <c:pt idx="3144">
                  <c:v>44008</c:v>
                </c:pt>
                <c:pt idx="3145">
                  <c:v>44011</c:v>
                </c:pt>
                <c:pt idx="3146">
                  <c:v>44012</c:v>
                </c:pt>
                <c:pt idx="3147">
                  <c:v>44013</c:v>
                </c:pt>
                <c:pt idx="3148">
                  <c:v>44014</c:v>
                </c:pt>
                <c:pt idx="3149">
                  <c:v>44018</c:v>
                </c:pt>
                <c:pt idx="3150">
                  <c:v>44019</c:v>
                </c:pt>
                <c:pt idx="3151">
                  <c:v>44020</c:v>
                </c:pt>
                <c:pt idx="3152">
                  <c:v>44021</c:v>
                </c:pt>
                <c:pt idx="3153">
                  <c:v>44022</c:v>
                </c:pt>
                <c:pt idx="3154">
                  <c:v>44025</c:v>
                </c:pt>
                <c:pt idx="3155">
                  <c:v>44026</c:v>
                </c:pt>
                <c:pt idx="3156">
                  <c:v>44027</c:v>
                </c:pt>
                <c:pt idx="3157">
                  <c:v>44028</c:v>
                </c:pt>
                <c:pt idx="3158">
                  <c:v>44029</c:v>
                </c:pt>
                <c:pt idx="3159">
                  <c:v>44032</c:v>
                </c:pt>
                <c:pt idx="3160">
                  <c:v>44033</c:v>
                </c:pt>
                <c:pt idx="3161">
                  <c:v>44034</c:v>
                </c:pt>
                <c:pt idx="3162">
                  <c:v>44035</c:v>
                </c:pt>
                <c:pt idx="3163">
                  <c:v>44036</c:v>
                </c:pt>
                <c:pt idx="3164">
                  <c:v>44039</c:v>
                </c:pt>
                <c:pt idx="3165">
                  <c:v>44040</c:v>
                </c:pt>
                <c:pt idx="3166">
                  <c:v>44041</c:v>
                </c:pt>
                <c:pt idx="3167">
                  <c:v>44042</c:v>
                </c:pt>
                <c:pt idx="3168">
                  <c:v>44043</c:v>
                </c:pt>
                <c:pt idx="3169">
                  <c:v>44046</c:v>
                </c:pt>
                <c:pt idx="3170">
                  <c:v>44047</c:v>
                </c:pt>
                <c:pt idx="3171">
                  <c:v>44048</c:v>
                </c:pt>
                <c:pt idx="3172">
                  <c:v>44049</c:v>
                </c:pt>
                <c:pt idx="3173">
                  <c:v>44050</c:v>
                </c:pt>
                <c:pt idx="3174">
                  <c:v>44053</c:v>
                </c:pt>
                <c:pt idx="3175">
                  <c:v>44054</c:v>
                </c:pt>
                <c:pt idx="3176">
                  <c:v>44055</c:v>
                </c:pt>
                <c:pt idx="3177">
                  <c:v>44056</c:v>
                </c:pt>
                <c:pt idx="3178">
                  <c:v>44057</c:v>
                </c:pt>
                <c:pt idx="3179">
                  <c:v>44060</c:v>
                </c:pt>
                <c:pt idx="3180">
                  <c:v>44061</c:v>
                </c:pt>
                <c:pt idx="3181">
                  <c:v>44062</c:v>
                </c:pt>
                <c:pt idx="3182">
                  <c:v>44063</c:v>
                </c:pt>
                <c:pt idx="3183">
                  <c:v>44064</c:v>
                </c:pt>
                <c:pt idx="3184">
                  <c:v>44067</c:v>
                </c:pt>
                <c:pt idx="3185">
                  <c:v>44068</c:v>
                </c:pt>
                <c:pt idx="3186">
                  <c:v>44069</c:v>
                </c:pt>
                <c:pt idx="3187">
                  <c:v>44070</c:v>
                </c:pt>
                <c:pt idx="3188">
                  <c:v>44071</c:v>
                </c:pt>
                <c:pt idx="3189">
                  <c:v>44074</c:v>
                </c:pt>
                <c:pt idx="3190">
                  <c:v>44075</c:v>
                </c:pt>
                <c:pt idx="3191">
                  <c:v>44076</c:v>
                </c:pt>
                <c:pt idx="3192">
                  <c:v>44077</c:v>
                </c:pt>
                <c:pt idx="3193">
                  <c:v>44078</c:v>
                </c:pt>
                <c:pt idx="3194">
                  <c:v>44082</c:v>
                </c:pt>
                <c:pt idx="3195">
                  <c:v>44083</c:v>
                </c:pt>
                <c:pt idx="3196">
                  <c:v>44084</c:v>
                </c:pt>
                <c:pt idx="3197">
                  <c:v>44085</c:v>
                </c:pt>
                <c:pt idx="3198">
                  <c:v>44088</c:v>
                </c:pt>
                <c:pt idx="3199">
                  <c:v>44089</c:v>
                </c:pt>
                <c:pt idx="3200">
                  <c:v>44090</c:v>
                </c:pt>
                <c:pt idx="3201">
                  <c:v>44091</c:v>
                </c:pt>
                <c:pt idx="3202">
                  <c:v>44092</c:v>
                </c:pt>
                <c:pt idx="3203">
                  <c:v>44095</c:v>
                </c:pt>
                <c:pt idx="3204">
                  <c:v>44096</c:v>
                </c:pt>
                <c:pt idx="3205">
                  <c:v>44097</c:v>
                </c:pt>
                <c:pt idx="3206">
                  <c:v>44098</c:v>
                </c:pt>
                <c:pt idx="3207">
                  <c:v>44099</c:v>
                </c:pt>
                <c:pt idx="3208">
                  <c:v>44102</c:v>
                </c:pt>
                <c:pt idx="3209">
                  <c:v>44103</c:v>
                </c:pt>
                <c:pt idx="3210">
                  <c:v>44104</c:v>
                </c:pt>
                <c:pt idx="3211">
                  <c:v>44105</c:v>
                </c:pt>
                <c:pt idx="3212">
                  <c:v>44106</c:v>
                </c:pt>
                <c:pt idx="3213">
                  <c:v>44109</c:v>
                </c:pt>
                <c:pt idx="3214">
                  <c:v>44110</c:v>
                </c:pt>
                <c:pt idx="3215">
                  <c:v>44111</c:v>
                </c:pt>
                <c:pt idx="3216">
                  <c:v>44112</c:v>
                </c:pt>
                <c:pt idx="3217">
                  <c:v>44113</c:v>
                </c:pt>
                <c:pt idx="3218">
                  <c:v>44116</c:v>
                </c:pt>
                <c:pt idx="3219">
                  <c:v>44117</c:v>
                </c:pt>
                <c:pt idx="3220">
                  <c:v>44118</c:v>
                </c:pt>
                <c:pt idx="3221">
                  <c:v>44119</c:v>
                </c:pt>
              </c:numCache>
            </c:numRef>
          </c:cat>
          <c:val>
            <c:numRef>
              <c:f>'Ratio Analysis'!$D$3:$D$3574</c:f>
              <c:numCache>
                <c:formatCode>_(* #,##0.00_);_(* \(#,##0.00\);_(* "-"??_);_(@_)</c:formatCode>
                <c:ptCount val="3572"/>
                <c:pt idx="0">
                  <c:v>2.8797645269357477</c:v>
                </c:pt>
                <c:pt idx="1">
                  <c:v>2.8697130219401243</c:v>
                </c:pt>
                <c:pt idx="2">
                  <c:v>2.8584435086687603</c:v>
                </c:pt>
                <c:pt idx="3">
                  <c:v>2.8442375488945193</c:v>
                </c:pt>
                <c:pt idx="4">
                  <c:v>2.8437463624096266</c:v>
                </c:pt>
                <c:pt idx="5">
                  <c:v>2.8548231714025798</c:v>
                </c:pt>
                <c:pt idx="6">
                  <c:v>2.809008656761824</c:v>
                </c:pt>
                <c:pt idx="7">
                  <c:v>2.826062112719228</c:v>
                </c:pt>
                <c:pt idx="8">
                  <c:v>2.8400273499590982</c:v>
                </c:pt>
                <c:pt idx="9">
                  <c:v>2.7854758545526712</c:v>
                </c:pt>
                <c:pt idx="10">
                  <c:v>2.7391869625662943</c:v>
                </c:pt>
                <c:pt idx="11">
                  <c:v>2.7332159219813548</c:v>
                </c:pt>
                <c:pt idx="12">
                  <c:v>2.7060437747470303</c:v>
                </c:pt>
                <c:pt idx="13">
                  <c:v>2.7394243769438469</c:v>
                </c:pt>
                <c:pt idx="14">
                  <c:v>2.7502840740925589</c:v>
                </c:pt>
                <c:pt idx="15">
                  <c:v>2.7884735083333041</c:v>
                </c:pt>
                <c:pt idx="16">
                  <c:v>2.7114979858582755</c:v>
                </c:pt>
                <c:pt idx="17">
                  <c:v>2.7474474358704768</c:v>
                </c:pt>
                <c:pt idx="18">
                  <c:v>2.7541126988010203</c:v>
                </c:pt>
                <c:pt idx="19">
                  <c:v>2.7293439573733123</c:v>
                </c:pt>
                <c:pt idx="20">
                  <c:v>2.7162164955455355</c:v>
                </c:pt>
                <c:pt idx="21">
                  <c:v>2.6856402836761317</c:v>
                </c:pt>
                <c:pt idx="22">
                  <c:v>2.7045024578016923</c:v>
                </c:pt>
                <c:pt idx="23">
                  <c:v>2.7490532176633389</c:v>
                </c:pt>
                <c:pt idx="24">
                  <c:v>2.7564403492389746</c:v>
                </c:pt>
                <c:pt idx="25">
                  <c:v>2.6924102875162506</c:v>
                </c:pt>
                <c:pt idx="26">
                  <c:v>2.8049248880441939</c:v>
                </c:pt>
                <c:pt idx="27">
                  <c:v>2.743471388469013</c:v>
                </c:pt>
                <c:pt idx="28">
                  <c:v>2.7769491362147578</c:v>
                </c:pt>
                <c:pt idx="29">
                  <c:v>2.7963447367192367</c:v>
                </c:pt>
                <c:pt idx="30">
                  <c:v>2.8083606399161729</c:v>
                </c:pt>
                <c:pt idx="31">
                  <c:v>2.8462655031035347</c:v>
                </c:pt>
                <c:pt idx="32">
                  <c:v>2.8424345424795994</c:v>
                </c:pt>
                <c:pt idx="33">
                  <c:v>2.8510767987654129</c:v>
                </c:pt>
                <c:pt idx="34">
                  <c:v>2.8439124453339959</c:v>
                </c:pt>
                <c:pt idx="35">
                  <c:v>2.8540760866367711</c:v>
                </c:pt>
                <c:pt idx="36">
                  <c:v>2.8528380049753808</c:v>
                </c:pt>
                <c:pt idx="37">
                  <c:v>2.8364024159446775</c:v>
                </c:pt>
                <c:pt idx="38">
                  <c:v>2.7904912360751095</c:v>
                </c:pt>
                <c:pt idx="39">
                  <c:v>2.7608207159589409</c:v>
                </c:pt>
                <c:pt idx="40">
                  <c:v>2.7827316127107262</c:v>
                </c:pt>
                <c:pt idx="41">
                  <c:v>2.7705887880084203</c:v>
                </c:pt>
                <c:pt idx="42">
                  <c:v>2.7683658374583717</c:v>
                </c:pt>
                <c:pt idx="43">
                  <c:v>2.7469470882261331</c:v>
                </c:pt>
                <c:pt idx="44">
                  <c:v>2.7568030010953399</c:v>
                </c:pt>
                <c:pt idx="45">
                  <c:v>2.7775194720325498</c:v>
                </c:pt>
                <c:pt idx="46">
                  <c:v>2.7682364195025801</c:v>
                </c:pt>
                <c:pt idx="47">
                  <c:v>2.7544556574621173</c:v>
                </c:pt>
                <c:pt idx="48">
                  <c:v>2.7535473270482647</c:v>
                </c:pt>
                <c:pt idx="49">
                  <c:v>2.7159891972112145</c:v>
                </c:pt>
                <c:pt idx="50">
                  <c:v>2.7154241759849653</c:v>
                </c:pt>
                <c:pt idx="51">
                  <c:v>2.7497680088101029</c:v>
                </c:pt>
                <c:pt idx="52">
                  <c:v>2.7701847688185759</c:v>
                </c:pt>
                <c:pt idx="53">
                  <c:v>2.7238265050131676</c:v>
                </c:pt>
                <c:pt idx="54">
                  <c:v>2.7050070638725749</c:v>
                </c:pt>
                <c:pt idx="55">
                  <c:v>2.6953889890406897</c:v>
                </c:pt>
                <c:pt idx="56">
                  <c:v>2.6990428896639242</c:v>
                </c:pt>
                <c:pt idx="57">
                  <c:v>2.692319969724144</c:v>
                </c:pt>
                <c:pt idx="58">
                  <c:v>2.6894065871116459</c:v>
                </c:pt>
                <c:pt idx="59">
                  <c:v>2.6835191579248079</c:v>
                </c:pt>
                <c:pt idx="60">
                  <c:v>2.7138441811107179</c:v>
                </c:pt>
                <c:pt idx="61">
                  <c:v>2.7412635665520515</c:v>
                </c:pt>
                <c:pt idx="62">
                  <c:v>2.7131989309943121</c:v>
                </c:pt>
                <c:pt idx="63">
                  <c:v>2.7300383447844023</c:v>
                </c:pt>
                <c:pt idx="64">
                  <c:v>2.724767213311694</c:v>
                </c:pt>
                <c:pt idx="65">
                  <c:v>2.7437705270866699</c:v>
                </c:pt>
                <c:pt idx="66">
                  <c:v>2.7509504239666405</c:v>
                </c:pt>
                <c:pt idx="67">
                  <c:v>2.7224341140675774</c:v>
                </c:pt>
                <c:pt idx="68">
                  <c:v>2.6985536400059846</c:v>
                </c:pt>
                <c:pt idx="69">
                  <c:v>2.7018626922787541</c:v>
                </c:pt>
                <c:pt idx="70">
                  <c:v>2.7369694220388809</c:v>
                </c:pt>
                <c:pt idx="71">
                  <c:v>2.6880640685211592</c:v>
                </c:pt>
                <c:pt idx="72">
                  <c:v>2.7009489962858155</c:v>
                </c:pt>
                <c:pt idx="73">
                  <c:v>2.687517316023277</c:v>
                </c:pt>
                <c:pt idx="74">
                  <c:v>2.6953830594689832</c:v>
                </c:pt>
                <c:pt idx="75">
                  <c:v>2.714406507089953</c:v>
                </c:pt>
                <c:pt idx="76">
                  <c:v>2.6768065865853909</c:v>
                </c:pt>
                <c:pt idx="77">
                  <c:v>2.6664951358355466</c:v>
                </c:pt>
                <c:pt idx="78">
                  <c:v>2.6509339299883354</c:v>
                </c:pt>
                <c:pt idx="79">
                  <c:v>2.6083670851047773</c:v>
                </c:pt>
                <c:pt idx="80">
                  <c:v>2.6340113801965508</c:v>
                </c:pt>
                <c:pt idx="81">
                  <c:v>2.6708019980709148</c:v>
                </c:pt>
                <c:pt idx="82">
                  <c:v>2.6842018619111259</c:v>
                </c:pt>
                <c:pt idx="83">
                  <c:v>2.6903197236331846</c:v>
                </c:pt>
                <c:pt idx="84">
                  <c:v>2.6791276566031392</c:v>
                </c:pt>
                <c:pt idx="85">
                  <c:v>2.7173110185723277</c:v>
                </c:pt>
                <c:pt idx="86">
                  <c:v>2.7144826989369832</c:v>
                </c:pt>
                <c:pt idx="87">
                  <c:v>2.7196056670192656</c:v>
                </c:pt>
                <c:pt idx="88">
                  <c:v>2.7560462652241857</c:v>
                </c:pt>
                <c:pt idx="89">
                  <c:v>2.7729801630421771</c:v>
                </c:pt>
                <c:pt idx="90">
                  <c:v>2.7786580991297294</c:v>
                </c:pt>
                <c:pt idx="91">
                  <c:v>2.759786561878542</c:v>
                </c:pt>
                <c:pt idx="92">
                  <c:v>2.7508111971738205</c:v>
                </c:pt>
                <c:pt idx="93">
                  <c:v>2.7427343227815748</c:v>
                </c:pt>
                <c:pt idx="94">
                  <c:v>2.7594436018884543</c:v>
                </c:pt>
                <c:pt idx="95">
                  <c:v>2.7484445656292387</c:v>
                </c:pt>
                <c:pt idx="96">
                  <c:v>2.7333707316444755</c:v>
                </c:pt>
                <c:pt idx="97">
                  <c:v>2.7308823251774652</c:v>
                </c:pt>
                <c:pt idx="98">
                  <c:v>2.74434230545813</c:v>
                </c:pt>
                <c:pt idx="99">
                  <c:v>2.7120698724284829</c:v>
                </c:pt>
                <c:pt idx="100">
                  <c:v>2.690686724520853</c:v>
                </c:pt>
                <c:pt idx="101">
                  <c:v>2.7221069599444903</c:v>
                </c:pt>
                <c:pt idx="102">
                  <c:v>2.7331542125536612</c:v>
                </c:pt>
                <c:pt idx="103">
                  <c:v>2.748789529099319</c:v>
                </c:pt>
                <c:pt idx="104">
                  <c:v>2.7566797625679187</c:v>
                </c:pt>
                <c:pt idx="105">
                  <c:v>2.7388436120224262</c:v>
                </c:pt>
                <c:pt idx="106">
                  <c:v>2.7474932666065488</c:v>
                </c:pt>
                <c:pt idx="107">
                  <c:v>2.7348027439770557</c:v>
                </c:pt>
                <c:pt idx="108">
                  <c:v>2.7365839293970065</c:v>
                </c:pt>
                <c:pt idx="109">
                  <c:v>2.7309781755756708</c:v>
                </c:pt>
                <c:pt idx="110">
                  <c:v>2.7217992386899392</c:v>
                </c:pt>
                <c:pt idx="111">
                  <c:v>2.7095291733680162</c:v>
                </c:pt>
                <c:pt idx="112">
                  <c:v>2.7111288606447652</c:v>
                </c:pt>
                <c:pt idx="113">
                  <c:v>2.7296072498765254</c:v>
                </c:pt>
                <c:pt idx="114">
                  <c:v>2.7973425493796023</c:v>
                </c:pt>
                <c:pt idx="115">
                  <c:v>2.797815615733898</c:v>
                </c:pt>
                <c:pt idx="116">
                  <c:v>2.8019933296946862</c:v>
                </c:pt>
                <c:pt idx="117">
                  <c:v>2.8091851977837066</c:v>
                </c:pt>
                <c:pt idx="118">
                  <c:v>2.8343575671306609</c:v>
                </c:pt>
                <c:pt idx="119">
                  <c:v>2.7838634941677145</c:v>
                </c:pt>
                <c:pt idx="120">
                  <c:v>2.7853769934392507</c:v>
                </c:pt>
                <c:pt idx="121">
                  <c:v>2.7534037883260956</c:v>
                </c:pt>
                <c:pt idx="122">
                  <c:v>2.7798899803198349</c:v>
                </c:pt>
                <c:pt idx="123">
                  <c:v>2.7935096464639209</c:v>
                </c:pt>
                <c:pt idx="124">
                  <c:v>2.8306780597843719</c:v>
                </c:pt>
                <c:pt idx="125">
                  <c:v>2.8080420834801494</c:v>
                </c:pt>
                <c:pt idx="126">
                  <c:v>2.8984570482191172</c:v>
                </c:pt>
                <c:pt idx="127">
                  <c:v>2.938347920729806</c:v>
                </c:pt>
                <c:pt idx="128">
                  <c:v>2.9771034805163277</c:v>
                </c:pt>
                <c:pt idx="129">
                  <c:v>2.981419852740554</c:v>
                </c:pt>
                <c:pt idx="130">
                  <c:v>2.9357629717270535</c:v>
                </c:pt>
                <c:pt idx="131">
                  <c:v>2.9475700835685892</c:v>
                </c:pt>
                <c:pt idx="132">
                  <c:v>3.0086462816538204</c:v>
                </c:pt>
                <c:pt idx="133">
                  <c:v>2.952417698534556</c:v>
                </c:pt>
                <c:pt idx="134">
                  <c:v>2.9237031200263002</c:v>
                </c:pt>
                <c:pt idx="135">
                  <c:v>2.9061001917160931</c:v>
                </c:pt>
                <c:pt idx="136">
                  <c:v>2.8983652138127081</c:v>
                </c:pt>
                <c:pt idx="137">
                  <c:v>2.9879827946424089</c:v>
                </c:pt>
                <c:pt idx="138">
                  <c:v>3.000991305480218</c:v>
                </c:pt>
                <c:pt idx="139">
                  <c:v>2.9825815099018196</c:v>
                </c:pt>
                <c:pt idx="140">
                  <c:v>2.9587130218404103</c:v>
                </c:pt>
                <c:pt idx="141">
                  <c:v>2.9607969644034133</c:v>
                </c:pt>
                <c:pt idx="142">
                  <c:v>2.9831726532059002</c:v>
                </c:pt>
                <c:pt idx="143">
                  <c:v>2.9637756392083547</c:v>
                </c:pt>
                <c:pt idx="144">
                  <c:v>2.9936170212765956</c:v>
                </c:pt>
                <c:pt idx="145">
                  <c:v>2.9812551767257633</c:v>
                </c:pt>
                <c:pt idx="146">
                  <c:v>2.9932307285664028</c:v>
                </c:pt>
                <c:pt idx="147">
                  <c:v>2.9665889545526127</c:v>
                </c:pt>
                <c:pt idx="148">
                  <c:v>2.8780568055717151</c:v>
                </c:pt>
                <c:pt idx="149">
                  <c:v>2.8817639114159026</c:v>
                </c:pt>
                <c:pt idx="150">
                  <c:v>2.8642915344447042</c:v>
                </c:pt>
                <c:pt idx="151">
                  <c:v>2.8418374331704932</c:v>
                </c:pt>
                <c:pt idx="152">
                  <c:v>2.8877942712388269</c:v>
                </c:pt>
                <c:pt idx="153">
                  <c:v>2.8728265512293212</c:v>
                </c:pt>
                <c:pt idx="154">
                  <c:v>2.8726238356021239</c:v>
                </c:pt>
                <c:pt idx="155">
                  <c:v>2.9166460391534468</c:v>
                </c:pt>
                <c:pt idx="156">
                  <c:v>2.8994490399592028</c:v>
                </c:pt>
                <c:pt idx="157">
                  <c:v>2.9178046439016847</c:v>
                </c:pt>
                <c:pt idx="158">
                  <c:v>2.9265234933201802</c:v>
                </c:pt>
                <c:pt idx="159">
                  <c:v>2.9493687769433801</c:v>
                </c:pt>
                <c:pt idx="160">
                  <c:v>2.9616194111032113</c:v>
                </c:pt>
                <c:pt idx="161">
                  <c:v>2.9499739151229289</c:v>
                </c:pt>
                <c:pt idx="162">
                  <c:v>2.9765489257207673</c:v>
                </c:pt>
                <c:pt idx="163">
                  <c:v>2.9509986555795282</c:v>
                </c:pt>
                <c:pt idx="164">
                  <c:v>2.9586456297938115</c:v>
                </c:pt>
                <c:pt idx="165">
                  <c:v>2.9463994912047737</c:v>
                </c:pt>
                <c:pt idx="166">
                  <c:v>2.9529465128250449</c:v>
                </c:pt>
                <c:pt idx="167">
                  <c:v>2.9897612331074743</c:v>
                </c:pt>
                <c:pt idx="168">
                  <c:v>3.0187531599993869</c:v>
                </c:pt>
                <c:pt idx="169">
                  <c:v>3.0684330594415883</c:v>
                </c:pt>
                <c:pt idx="170">
                  <c:v>3.0931805268952326</c:v>
                </c:pt>
                <c:pt idx="171">
                  <c:v>3.0544629621772841</c:v>
                </c:pt>
                <c:pt idx="172">
                  <c:v>3.0650915829463368</c:v>
                </c:pt>
                <c:pt idx="173">
                  <c:v>3.0432675931443889</c:v>
                </c:pt>
                <c:pt idx="174">
                  <c:v>3.0433170790692623</c:v>
                </c:pt>
                <c:pt idx="175">
                  <c:v>3.0829001940941509</c:v>
                </c:pt>
                <c:pt idx="176">
                  <c:v>3.0534911109389675</c:v>
                </c:pt>
                <c:pt idx="177">
                  <c:v>3.0560236385239636</c:v>
                </c:pt>
                <c:pt idx="178">
                  <c:v>3.0088012224984246</c:v>
                </c:pt>
                <c:pt idx="179">
                  <c:v>3.0294671535637812</c:v>
                </c:pt>
                <c:pt idx="180">
                  <c:v>3.0992443845362074</c:v>
                </c:pt>
                <c:pt idx="181">
                  <c:v>3.1229725192535862</c:v>
                </c:pt>
                <c:pt idx="182">
                  <c:v>3.1609329583796435</c:v>
                </c:pt>
                <c:pt idx="183">
                  <c:v>3.1498676844556499</c:v>
                </c:pt>
                <c:pt idx="184">
                  <c:v>3.1785470645328791</c:v>
                </c:pt>
                <c:pt idx="185">
                  <c:v>3.1800924565630448</c:v>
                </c:pt>
                <c:pt idx="186">
                  <c:v>3.154703225658543</c:v>
                </c:pt>
                <c:pt idx="187">
                  <c:v>3.1111770946710058</c:v>
                </c:pt>
                <c:pt idx="188">
                  <c:v>3.1081126381759647</c:v>
                </c:pt>
                <c:pt idx="189">
                  <c:v>3.0686985433328271</c:v>
                </c:pt>
                <c:pt idx="190">
                  <c:v>3.0117300881662614</c:v>
                </c:pt>
                <c:pt idx="191">
                  <c:v>3.0121852425890427</c:v>
                </c:pt>
                <c:pt idx="192">
                  <c:v>2.9884768064951288</c:v>
                </c:pt>
                <c:pt idx="193">
                  <c:v>2.979790269827765</c:v>
                </c:pt>
                <c:pt idx="194">
                  <c:v>3.0075054574267535</c:v>
                </c:pt>
                <c:pt idx="195">
                  <c:v>3.054882183508802</c:v>
                </c:pt>
                <c:pt idx="196">
                  <c:v>3.1297820907541452</c:v>
                </c:pt>
                <c:pt idx="197">
                  <c:v>3.1711640784043693</c:v>
                </c:pt>
                <c:pt idx="198">
                  <c:v>2.9759313012352631</c:v>
                </c:pt>
                <c:pt idx="199">
                  <c:v>2.8324235652417631</c:v>
                </c:pt>
                <c:pt idx="200">
                  <c:v>2.6394433724990791</c:v>
                </c:pt>
                <c:pt idx="201">
                  <c:v>2.6399398408402237</c:v>
                </c:pt>
                <c:pt idx="202">
                  <c:v>2.7755205386925792</c:v>
                </c:pt>
                <c:pt idx="203">
                  <c:v>2.7816466120387018</c:v>
                </c:pt>
                <c:pt idx="204">
                  <c:v>2.7205759122419439</c:v>
                </c:pt>
                <c:pt idx="205">
                  <c:v>2.6913071265314077</c:v>
                </c:pt>
                <c:pt idx="206">
                  <c:v>2.827849532824795</c:v>
                </c:pt>
                <c:pt idx="207">
                  <c:v>2.8322764024024307</c:v>
                </c:pt>
                <c:pt idx="208">
                  <c:v>2.8587229084725503</c:v>
                </c:pt>
                <c:pt idx="209">
                  <c:v>2.8092342923026559</c:v>
                </c:pt>
                <c:pt idx="210">
                  <c:v>2.8558272075858628</c:v>
                </c:pt>
                <c:pt idx="211">
                  <c:v>2.9100759914997534</c:v>
                </c:pt>
                <c:pt idx="212">
                  <c:v>2.9460853150223576</c:v>
                </c:pt>
                <c:pt idx="213">
                  <c:v>2.8790301472862683</c:v>
                </c:pt>
                <c:pt idx="214">
                  <c:v>2.8857886541899447</c:v>
                </c:pt>
                <c:pt idx="215">
                  <c:v>2.9019583565337159</c:v>
                </c:pt>
                <c:pt idx="216">
                  <c:v>2.8070699972598621</c:v>
                </c:pt>
                <c:pt idx="217">
                  <c:v>2.7253571524733897</c:v>
                </c:pt>
                <c:pt idx="218">
                  <c:v>2.7089323822327636</c:v>
                </c:pt>
                <c:pt idx="219">
                  <c:v>2.8220115318445713</c:v>
                </c:pt>
                <c:pt idx="220">
                  <c:v>2.7584303644902231</c:v>
                </c:pt>
                <c:pt idx="221">
                  <c:v>2.7349063671472815</c:v>
                </c:pt>
                <c:pt idx="222">
                  <c:v>2.7067600156940501</c:v>
                </c:pt>
                <c:pt idx="223">
                  <c:v>2.7429160434036981</c:v>
                </c:pt>
                <c:pt idx="224">
                  <c:v>2.7820895769816789</c:v>
                </c:pt>
                <c:pt idx="225">
                  <c:v>2.8063658318183053</c:v>
                </c:pt>
                <c:pt idx="226">
                  <c:v>2.7880193451039186</c:v>
                </c:pt>
                <c:pt idx="227">
                  <c:v>2.8248747807499375</c:v>
                </c:pt>
                <c:pt idx="228">
                  <c:v>2.8019183032913149</c:v>
                </c:pt>
                <c:pt idx="229">
                  <c:v>2.7280040078644889</c:v>
                </c:pt>
                <c:pt idx="230">
                  <c:v>2.7095560828281879</c:v>
                </c:pt>
                <c:pt idx="231">
                  <c:v>2.7079531714318512</c:v>
                </c:pt>
                <c:pt idx="232">
                  <c:v>2.7085963096584385</c:v>
                </c:pt>
                <c:pt idx="233">
                  <c:v>2.774531885198471</c:v>
                </c:pt>
                <c:pt idx="234">
                  <c:v>2.6443280648281013</c:v>
                </c:pt>
                <c:pt idx="235">
                  <c:v>2.6382380384635322</c:v>
                </c:pt>
                <c:pt idx="236">
                  <c:v>2.6186917931034963</c:v>
                </c:pt>
                <c:pt idx="237">
                  <c:v>2.6299773881688338</c:v>
                </c:pt>
                <c:pt idx="238">
                  <c:v>2.6305102286488409</c:v>
                </c:pt>
                <c:pt idx="239">
                  <c:v>2.6394907891658659</c:v>
                </c:pt>
                <c:pt idx="240">
                  <c:v>2.6892456258715836</c:v>
                </c:pt>
                <c:pt idx="241">
                  <c:v>2.633705035399164</c:v>
                </c:pt>
                <c:pt idx="242">
                  <c:v>2.6298463941308801</c:v>
                </c:pt>
                <c:pt idx="243">
                  <c:v>2.6324285190221817</c:v>
                </c:pt>
                <c:pt idx="244">
                  <c:v>2.6951034634212001</c:v>
                </c:pt>
                <c:pt idx="245">
                  <c:v>2.7319737088880474</c:v>
                </c:pt>
                <c:pt idx="246">
                  <c:v>2.7466099113863467</c:v>
                </c:pt>
                <c:pt idx="247">
                  <c:v>2.7152873515953075</c:v>
                </c:pt>
                <c:pt idx="248">
                  <c:v>2.7794491559576828</c:v>
                </c:pt>
                <c:pt idx="249">
                  <c:v>2.7901842301558251</c:v>
                </c:pt>
                <c:pt idx="250">
                  <c:v>2.7611521772438055</c:v>
                </c:pt>
                <c:pt idx="251">
                  <c:v>2.7468309248628304</c:v>
                </c:pt>
                <c:pt idx="252">
                  <c:v>2.7557113856263613</c:v>
                </c:pt>
                <c:pt idx="253">
                  <c:v>2.7295330127849278</c:v>
                </c:pt>
                <c:pt idx="254">
                  <c:v>2.7510525421753895</c:v>
                </c:pt>
                <c:pt idx="255">
                  <c:v>2.760532712029768</c:v>
                </c:pt>
                <c:pt idx="256">
                  <c:v>2.8106486148773056</c:v>
                </c:pt>
                <c:pt idx="257">
                  <c:v>2.706000334160608</c:v>
                </c:pt>
                <c:pt idx="258">
                  <c:v>2.6555435278030992</c:v>
                </c:pt>
                <c:pt idx="259">
                  <c:v>2.6592520674768982</c:v>
                </c:pt>
                <c:pt idx="260">
                  <c:v>2.6512786848528651</c:v>
                </c:pt>
                <c:pt idx="261">
                  <c:v>2.6768638375049587</c:v>
                </c:pt>
                <c:pt idx="262">
                  <c:v>2.7049773933526402</c:v>
                </c:pt>
                <c:pt idx="263">
                  <c:v>2.629156143256584</c:v>
                </c:pt>
                <c:pt idx="264">
                  <c:v>2.6435950990219794</c:v>
                </c:pt>
                <c:pt idx="265">
                  <c:v>2.6533246776080444</c:v>
                </c:pt>
                <c:pt idx="266">
                  <c:v>2.6287159403916385</c:v>
                </c:pt>
                <c:pt idx="267">
                  <c:v>2.6343711706865123</c:v>
                </c:pt>
                <c:pt idx="268">
                  <c:v>2.7062379514507886</c:v>
                </c:pt>
                <c:pt idx="269">
                  <c:v>2.6959843242490451</c:v>
                </c:pt>
                <c:pt idx="270">
                  <c:v>2.6887710260707665</c:v>
                </c:pt>
                <c:pt idx="271">
                  <c:v>2.6768567163828263</c:v>
                </c:pt>
                <c:pt idx="272">
                  <c:v>2.677258459118729</c:v>
                </c:pt>
                <c:pt idx="273">
                  <c:v>2.6527012809731931</c:v>
                </c:pt>
                <c:pt idx="274">
                  <c:v>2.6775048320196237</c:v>
                </c:pt>
                <c:pt idx="275">
                  <c:v>2.6831433465197345</c:v>
                </c:pt>
                <c:pt idx="276">
                  <c:v>2.7397647287678772</c:v>
                </c:pt>
                <c:pt idx="277">
                  <c:v>2.7666037993589496</c:v>
                </c:pt>
                <c:pt idx="278">
                  <c:v>2.773097276258834</c:v>
                </c:pt>
                <c:pt idx="279">
                  <c:v>2.7423940713620505</c:v>
                </c:pt>
                <c:pt idx="280">
                  <c:v>2.7475800452659671</c:v>
                </c:pt>
                <c:pt idx="281">
                  <c:v>2.7666736927568816</c:v>
                </c:pt>
                <c:pt idx="282">
                  <c:v>2.6428626382479616</c:v>
                </c:pt>
                <c:pt idx="283">
                  <c:v>2.704734250391986</c:v>
                </c:pt>
                <c:pt idx="284">
                  <c:v>2.7443770746342704</c:v>
                </c:pt>
                <c:pt idx="285">
                  <c:v>2.7239028492402828</c:v>
                </c:pt>
                <c:pt idx="286">
                  <c:v>2.719811123504126</c:v>
                </c:pt>
                <c:pt idx="287">
                  <c:v>2.7095201888590319</c:v>
                </c:pt>
                <c:pt idx="288">
                  <c:v>2.6886521722822647</c:v>
                </c:pt>
                <c:pt idx="289">
                  <c:v>2.7077249647960566</c:v>
                </c:pt>
                <c:pt idx="290">
                  <c:v>2.7007030740288442</c:v>
                </c:pt>
                <c:pt idx="291">
                  <c:v>2.7147776944487156</c:v>
                </c:pt>
                <c:pt idx="292">
                  <c:v>2.6587065414310089</c:v>
                </c:pt>
                <c:pt idx="293">
                  <c:v>2.6630843924704868</c:v>
                </c:pt>
                <c:pt idx="294">
                  <c:v>2.8161900818697534</c:v>
                </c:pt>
                <c:pt idx="295">
                  <c:v>2.7269022763820199</c:v>
                </c:pt>
                <c:pt idx="296">
                  <c:v>2.7643304457225937</c:v>
                </c:pt>
                <c:pt idx="297">
                  <c:v>2.741733390354379</c:v>
                </c:pt>
                <c:pt idx="298">
                  <c:v>2.6907270495974136</c:v>
                </c:pt>
                <c:pt idx="299">
                  <c:v>2.708471519578362</c:v>
                </c:pt>
                <c:pt idx="300">
                  <c:v>2.6704577250620392</c:v>
                </c:pt>
                <c:pt idx="301">
                  <c:v>2.6348872020168317</c:v>
                </c:pt>
                <c:pt idx="302">
                  <c:v>2.6284357157561002</c:v>
                </c:pt>
                <c:pt idx="303">
                  <c:v>2.6311910701838057</c:v>
                </c:pt>
                <c:pt idx="304">
                  <c:v>2.6477220667223729</c:v>
                </c:pt>
                <c:pt idx="305">
                  <c:v>2.6467767306910193</c:v>
                </c:pt>
                <c:pt idx="306">
                  <c:v>2.5881621377461892</c:v>
                </c:pt>
                <c:pt idx="307">
                  <c:v>2.6140683904338613</c:v>
                </c:pt>
                <c:pt idx="308">
                  <c:v>2.6065160220678618</c:v>
                </c:pt>
                <c:pt idx="309">
                  <c:v>2.6085576947881641</c:v>
                </c:pt>
                <c:pt idx="310">
                  <c:v>2.6128150688890486</c:v>
                </c:pt>
                <c:pt idx="311">
                  <c:v>2.6412698010801585</c:v>
                </c:pt>
                <c:pt idx="312">
                  <c:v>2.5885844697759195</c:v>
                </c:pt>
                <c:pt idx="313">
                  <c:v>2.6276888072361322</c:v>
                </c:pt>
                <c:pt idx="314">
                  <c:v>2.6101785907814343</c:v>
                </c:pt>
                <c:pt idx="315">
                  <c:v>2.5939882403072541</c:v>
                </c:pt>
                <c:pt idx="316">
                  <c:v>2.5979822758637003</c:v>
                </c:pt>
                <c:pt idx="317">
                  <c:v>2.610932827733365</c:v>
                </c:pt>
                <c:pt idx="318">
                  <c:v>2.6087815254787499</c:v>
                </c:pt>
                <c:pt idx="319">
                  <c:v>2.6094396965226077</c:v>
                </c:pt>
                <c:pt idx="320">
                  <c:v>2.5894646654518403</c:v>
                </c:pt>
                <c:pt idx="321">
                  <c:v>2.5805497848579542</c:v>
                </c:pt>
                <c:pt idx="322">
                  <c:v>2.5651610974144305</c:v>
                </c:pt>
                <c:pt idx="323">
                  <c:v>2.5484563754558383</c:v>
                </c:pt>
                <c:pt idx="324">
                  <c:v>2.5752888720766918</c:v>
                </c:pt>
                <c:pt idx="325">
                  <c:v>2.5673388568942626</c:v>
                </c:pt>
                <c:pt idx="326">
                  <c:v>2.5803174990208215</c:v>
                </c:pt>
                <c:pt idx="327">
                  <c:v>2.5063703309441183</c:v>
                </c:pt>
                <c:pt idx="328">
                  <c:v>2.5521213616362122</c:v>
                </c:pt>
                <c:pt idx="329">
                  <c:v>2.4905203014634512</c:v>
                </c:pt>
                <c:pt idx="330">
                  <c:v>2.4864262804965884</c:v>
                </c:pt>
                <c:pt idx="331">
                  <c:v>2.5267879718957955</c:v>
                </c:pt>
                <c:pt idx="332">
                  <c:v>2.5908152345590691</c:v>
                </c:pt>
                <c:pt idx="333">
                  <c:v>2.6373803954922392</c:v>
                </c:pt>
                <c:pt idx="334">
                  <c:v>2.6322214557609902</c:v>
                </c:pt>
                <c:pt idx="335">
                  <c:v>2.5757145002985862</c:v>
                </c:pt>
                <c:pt idx="336">
                  <c:v>2.6124639588585077</c:v>
                </c:pt>
                <c:pt idx="337">
                  <c:v>2.5344874829109827</c:v>
                </c:pt>
                <c:pt idx="338">
                  <c:v>2.5687918702444685</c:v>
                </c:pt>
                <c:pt idx="339">
                  <c:v>2.5802371007244664</c:v>
                </c:pt>
                <c:pt idx="340">
                  <c:v>2.5767017481795937</c:v>
                </c:pt>
                <c:pt idx="341">
                  <c:v>2.5829974629660666</c:v>
                </c:pt>
                <c:pt idx="342">
                  <c:v>2.5844066245835657</c:v>
                </c:pt>
                <c:pt idx="343">
                  <c:v>2.472805835333836</c:v>
                </c:pt>
                <c:pt idx="344">
                  <c:v>2.5363669358103809</c:v>
                </c:pt>
                <c:pt idx="345">
                  <c:v>2.5246783610940744</c:v>
                </c:pt>
                <c:pt idx="346">
                  <c:v>2.4940469341535496</c:v>
                </c:pt>
                <c:pt idx="347">
                  <c:v>2.475071293833297</c:v>
                </c:pt>
                <c:pt idx="348">
                  <c:v>2.465845154963394</c:v>
                </c:pt>
                <c:pt idx="349">
                  <c:v>2.4682953609662364</c:v>
                </c:pt>
                <c:pt idx="350">
                  <c:v>2.4580039909639062</c:v>
                </c:pt>
                <c:pt idx="351">
                  <c:v>2.4295530904342653</c:v>
                </c:pt>
                <c:pt idx="352">
                  <c:v>2.4204971786896694</c:v>
                </c:pt>
                <c:pt idx="353">
                  <c:v>2.3899146088941232</c:v>
                </c:pt>
                <c:pt idx="354">
                  <c:v>2.4241413542208932</c:v>
                </c:pt>
                <c:pt idx="355">
                  <c:v>2.359389347068233</c:v>
                </c:pt>
                <c:pt idx="356">
                  <c:v>2.4152217628416528</c:v>
                </c:pt>
                <c:pt idx="357">
                  <c:v>2.4846094968287797</c:v>
                </c:pt>
                <c:pt idx="358">
                  <c:v>2.4837111123248592</c:v>
                </c:pt>
                <c:pt idx="359">
                  <c:v>2.4751018234721722</c:v>
                </c:pt>
                <c:pt idx="360">
                  <c:v>2.4938494519376775</c:v>
                </c:pt>
                <c:pt idx="361">
                  <c:v>2.463666398797014</c:v>
                </c:pt>
                <c:pt idx="362">
                  <c:v>2.4475561367265439</c:v>
                </c:pt>
                <c:pt idx="363">
                  <c:v>2.4763681454263966</c:v>
                </c:pt>
                <c:pt idx="364">
                  <c:v>2.408173817128938</c:v>
                </c:pt>
                <c:pt idx="365">
                  <c:v>2.4236215677941915</c:v>
                </c:pt>
                <c:pt idx="366">
                  <c:v>2.4275673947569252</c:v>
                </c:pt>
                <c:pt idx="367">
                  <c:v>2.4168424178259329</c:v>
                </c:pt>
                <c:pt idx="368">
                  <c:v>2.4408317272139701</c:v>
                </c:pt>
                <c:pt idx="369">
                  <c:v>2.4287793808600573</c:v>
                </c:pt>
                <c:pt idx="370">
                  <c:v>2.4393588432240807</c:v>
                </c:pt>
                <c:pt idx="371">
                  <c:v>2.461711336235918</c:v>
                </c:pt>
                <c:pt idx="372">
                  <c:v>2.449317821622242</c:v>
                </c:pt>
                <c:pt idx="373">
                  <c:v>2.4666457760064238</c:v>
                </c:pt>
                <c:pt idx="374">
                  <c:v>2.491993563484765</c:v>
                </c:pt>
                <c:pt idx="375">
                  <c:v>2.5100744088174674</c:v>
                </c:pt>
                <c:pt idx="376">
                  <c:v>2.5081601606923951</c:v>
                </c:pt>
                <c:pt idx="377">
                  <c:v>2.5293631500931126</c:v>
                </c:pt>
                <c:pt idx="378">
                  <c:v>2.5382165524772979</c:v>
                </c:pt>
                <c:pt idx="379">
                  <c:v>2.5461137470524084</c:v>
                </c:pt>
                <c:pt idx="380">
                  <c:v>2.5750358983316217</c:v>
                </c:pt>
                <c:pt idx="381">
                  <c:v>2.5427841545174266</c:v>
                </c:pt>
                <c:pt idx="382">
                  <c:v>2.4972413550632688</c:v>
                </c:pt>
                <c:pt idx="383">
                  <c:v>2.4792797323665257</c:v>
                </c:pt>
                <c:pt idx="384">
                  <c:v>2.5011785049932409</c:v>
                </c:pt>
                <c:pt idx="385">
                  <c:v>2.5066713281142818</c:v>
                </c:pt>
                <c:pt idx="386">
                  <c:v>2.5132849200602196</c:v>
                </c:pt>
                <c:pt idx="387">
                  <c:v>2.5036216697545317</c:v>
                </c:pt>
                <c:pt idx="388">
                  <c:v>2.4899366925924409</c:v>
                </c:pt>
                <c:pt idx="389">
                  <c:v>2.4868576006408971</c:v>
                </c:pt>
                <c:pt idx="390">
                  <c:v>2.4271557224632665</c:v>
                </c:pt>
                <c:pt idx="391">
                  <c:v>2.4739722804571311</c:v>
                </c:pt>
                <c:pt idx="392">
                  <c:v>2.512479889216328</c:v>
                </c:pt>
                <c:pt idx="393">
                  <c:v>2.5373180441902141</c:v>
                </c:pt>
                <c:pt idx="394">
                  <c:v>2.5240405939063906</c:v>
                </c:pt>
                <c:pt idx="395">
                  <c:v>2.5127626452321521</c:v>
                </c:pt>
                <c:pt idx="396">
                  <c:v>2.5028290976396566</c:v>
                </c:pt>
                <c:pt idx="397">
                  <c:v>2.524552192128549</c:v>
                </c:pt>
                <c:pt idx="398">
                  <c:v>2.5167349976244928</c:v>
                </c:pt>
                <c:pt idx="399">
                  <c:v>2.5147967392670445</c:v>
                </c:pt>
                <c:pt idx="400">
                  <c:v>2.5024745140061997</c:v>
                </c:pt>
                <c:pt idx="401">
                  <c:v>2.6351381742938744</c:v>
                </c:pt>
                <c:pt idx="402">
                  <c:v>2.6227293854401919</c:v>
                </c:pt>
                <c:pt idx="403">
                  <c:v>2.586004944956283</c:v>
                </c:pt>
                <c:pt idx="404">
                  <c:v>2.5845972745001795</c:v>
                </c:pt>
                <c:pt idx="405">
                  <c:v>2.5646271261068803</c:v>
                </c:pt>
                <c:pt idx="406">
                  <c:v>2.5630274046490333</c:v>
                </c:pt>
                <c:pt idx="407">
                  <c:v>2.5832212974238247</c:v>
                </c:pt>
                <c:pt idx="408">
                  <c:v>2.5927529582195392</c:v>
                </c:pt>
                <c:pt idx="409">
                  <c:v>2.577218748280623</c:v>
                </c:pt>
                <c:pt idx="410">
                  <c:v>2.5478149078977612</c:v>
                </c:pt>
                <c:pt idx="411">
                  <c:v>2.5552590617384756</c:v>
                </c:pt>
                <c:pt idx="412">
                  <c:v>2.5258298016165694</c:v>
                </c:pt>
                <c:pt idx="413">
                  <c:v>2.5401900731755371</c:v>
                </c:pt>
                <c:pt idx="414">
                  <c:v>2.5440163826970186</c:v>
                </c:pt>
                <c:pt idx="415">
                  <c:v>2.5862920740386781</c:v>
                </c:pt>
                <c:pt idx="416">
                  <c:v>2.5960228328281709</c:v>
                </c:pt>
                <c:pt idx="417">
                  <c:v>2.5992911557780074</c:v>
                </c:pt>
                <c:pt idx="418">
                  <c:v>2.5802623771753432</c:v>
                </c:pt>
                <c:pt idx="419">
                  <c:v>2.5552294051167697</c:v>
                </c:pt>
                <c:pt idx="420">
                  <c:v>2.5663479023869176</c:v>
                </c:pt>
                <c:pt idx="421">
                  <c:v>2.5599265175718848</c:v>
                </c:pt>
                <c:pt idx="422">
                  <c:v>2.5192309129266306</c:v>
                </c:pt>
                <c:pt idx="423">
                  <c:v>2.5434318555521713</c:v>
                </c:pt>
                <c:pt idx="424">
                  <c:v>2.5647075695014818</c:v>
                </c:pt>
                <c:pt idx="425">
                  <c:v>2.5739874977393322</c:v>
                </c:pt>
                <c:pt idx="426">
                  <c:v>2.5522492820267515</c:v>
                </c:pt>
                <c:pt idx="427">
                  <c:v>2.5468481873375723</c:v>
                </c:pt>
                <c:pt idx="428">
                  <c:v>2.5007181044648035</c:v>
                </c:pt>
                <c:pt idx="429">
                  <c:v>2.4649352548281067</c:v>
                </c:pt>
                <c:pt idx="430">
                  <c:v>2.4341848883780828</c:v>
                </c:pt>
                <c:pt idx="431">
                  <c:v>2.4260968886711067</c:v>
                </c:pt>
                <c:pt idx="432">
                  <c:v>2.4108962344424762</c:v>
                </c:pt>
                <c:pt idx="433">
                  <c:v>2.4388356324128502</c:v>
                </c:pt>
                <c:pt idx="434">
                  <c:v>2.4390944872371949</c:v>
                </c:pt>
                <c:pt idx="435">
                  <c:v>2.4277798750633517</c:v>
                </c:pt>
                <c:pt idx="436">
                  <c:v>2.4356655200003252</c:v>
                </c:pt>
                <c:pt idx="437">
                  <c:v>2.4497633591345704</c:v>
                </c:pt>
                <c:pt idx="438">
                  <c:v>2.426415239951369</c:v>
                </c:pt>
                <c:pt idx="439">
                  <c:v>2.4335366357827626</c:v>
                </c:pt>
                <c:pt idx="440">
                  <c:v>2.4039549590638392</c:v>
                </c:pt>
                <c:pt idx="441">
                  <c:v>2.3926152954677153</c:v>
                </c:pt>
                <c:pt idx="442">
                  <c:v>2.4104923595030692</c:v>
                </c:pt>
                <c:pt idx="443">
                  <c:v>2.4761421245056154</c:v>
                </c:pt>
                <c:pt idx="444">
                  <c:v>2.4773273952701893</c:v>
                </c:pt>
                <c:pt idx="445">
                  <c:v>2.4544197041081488</c:v>
                </c:pt>
                <c:pt idx="446">
                  <c:v>2.44446429624979</c:v>
                </c:pt>
                <c:pt idx="447">
                  <c:v>2.4230203516866227</c:v>
                </c:pt>
                <c:pt idx="448">
                  <c:v>2.428375333049384</c:v>
                </c:pt>
                <c:pt idx="449">
                  <c:v>2.4353626690571772</c:v>
                </c:pt>
                <c:pt idx="450">
                  <c:v>2.4221273738836886</c:v>
                </c:pt>
                <c:pt idx="451">
                  <c:v>2.4610995928525852</c:v>
                </c:pt>
                <c:pt idx="452">
                  <c:v>2.4997908624963965</c:v>
                </c:pt>
                <c:pt idx="453">
                  <c:v>2.480171650304098</c:v>
                </c:pt>
                <c:pt idx="454">
                  <c:v>2.4805355263670732</c:v>
                </c:pt>
                <c:pt idx="455">
                  <c:v>2.494528007113562</c:v>
                </c:pt>
                <c:pt idx="456">
                  <c:v>2.5050589910002823</c:v>
                </c:pt>
                <c:pt idx="457">
                  <c:v>2.4876059923008929</c:v>
                </c:pt>
                <c:pt idx="458">
                  <c:v>2.5107905712931782</c:v>
                </c:pt>
                <c:pt idx="459">
                  <c:v>2.4882173522827697</c:v>
                </c:pt>
                <c:pt idx="460">
                  <c:v>2.4992276275926688</c:v>
                </c:pt>
                <c:pt idx="461">
                  <c:v>2.4964835305171169</c:v>
                </c:pt>
                <c:pt idx="462">
                  <c:v>2.4859123631449642</c:v>
                </c:pt>
                <c:pt idx="463">
                  <c:v>2.4877700822385647</c:v>
                </c:pt>
                <c:pt idx="464">
                  <c:v>2.4708225718887218</c:v>
                </c:pt>
                <c:pt idx="465">
                  <c:v>2.4764651560260229</c:v>
                </c:pt>
                <c:pt idx="466">
                  <c:v>2.4724400242731734</c:v>
                </c:pt>
                <c:pt idx="467">
                  <c:v>2.4653029431260327</c:v>
                </c:pt>
                <c:pt idx="468">
                  <c:v>2.4825362398357145</c:v>
                </c:pt>
                <c:pt idx="469">
                  <c:v>2.4587646155741094</c:v>
                </c:pt>
                <c:pt idx="470">
                  <c:v>2.4363786435628678</c:v>
                </c:pt>
                <c:pt idx="471">
                  <c:v>2.4427799342795371</c:v>
                </c:pt>
                <c:pt idx="472">
                  <c:v>2.3990017920189173</c:v>
                </c:pt>
                <c:pt idx="473">
                  <c:v>2.402898638429896</c:v>
                </c:pt>
                <c:pt idx="474">
                  <c:v>2.4099547827583052</c:v>
                </c:pt>
                <c:pt idx="475">
                  <c:v>2.4109939485165257</c:v>
                </c:pt>
                <c:pt idx="476">
                  <c:v>2.4117366684890973</c:v>
                </c:pt>
                <c:pt idx="477">
                  <c:v>2.3828449358245836</c:v>
                </c:pt>
                <c:pt idx="478">
                  <c:v>2.365594114319014</c:v>
                </c:pt>
                <c:pt idx="479">
                  <c:v>2.3501444152622368</c:v>
                </c:pt>
                <c:pt idx="480">
                  <c:v>2.3525384808958605</c:v>
                </c:pt>
                <c:pt idx="481">
                  <c:v>2.3817845064462855</c:v>
                </c:pt>
                <c:pt idx="482">
                  <c:v>2.3527562119968861</c:v>
                </c:pt>
                <c:pt idx="483">
                  <c:v>2.3489120455814572</c:v>
                </c:pt>
                <c:pt idx="484">
                  <c:v>2.3746709102245167</c:v>
                </c:pt>
                <c:pt idx="485">
                  <c:v>2.3882164605273744</c:v>
                </c:pt>
                <c:pt idx="486">
                  <c:v>2.3831934723732808</c:v>
                </c:pt>
                <c:pt idx="487">
                  <c:v>2.4153077191497423</c:v>
                </c:pt>
                <c:pt idx="488">
                  <c:v>2.413727546668524</c:v>
                </c:pt>
                <c:pt idx="489">
                  <c:v>2.3933996772318067</c:v>
                </c:pt>
                <c:pt idx="490">
                  <c:v>2.3240138071420806</c:v>
                </c:pt>
                <c:pt idx="491">
                  <c:v>2.2957448982368516</c:v>
                </c:pt>
                <c:pt idx="492">
                  <c:v>2.2541914080586976</c:v>
                </c:pt>
                <c:pt idx="493">
                  <c:v>2.2461821230951369</c:v>
                </c:pt>
                <c:pt idx="494">
                  <c:v>2.2457896374487119</c:v>
                </c:pt>
                <c:pt idx="495">
                  <c:v>2.258852505266713</c:v>
                </c:pt>
                <c:pt idx="496">
                  <c:v>2.2915112614871389</c:v>
                </c:pt>
                <c:pt idx="497">
                  <c:v>2.2725308531077144</c:v>
                </c:pt>
                <c:pt idx="498">
                  <c:v>2.3002314376485931</c:v>
                </c:pt>
                <c:pt idx="499">
                  <c:v>2.3023107912021774</c:v>
                </c:pt>
                <c:pt idx="500">
                  <c:v>2.3034053647120096</c:v>
                </c:pt>
                <c:pt idx="501">
                  <c:v>2.3079916535981422</c:v>
                </c:pt>
                <c:pt idx="502">
                  <c:v>2.3155641544555596</c:v>
                </c:pt>
                <c:pt idx="503">
                  <c:v>2.301272020752378</c:v>
                </c:pt>
                <c:pt idx="504">
                  <c:v>2.3115844581118323</c:v>
                </c:pt>
                <c:pt idx="505">
                  <c:v>2.31970276111559</c:v>
                </c:pt>
                <c:pt idx="506">
                  <c:v>2.3348515638758851</c:v>
                </c:pt>
                <c:pt idx="507">
                  <c:v>2.3920004867728033</c:v>
                </c:pt>
                <c:pt idx="508">
                  <c:v>2.3689141806365428</c:v>
                </c:pt>
                <c:pt idx="509">
                  <c:v>2.3597222846694543</c:v>
                </c:pt>
                <c:pt idx="510">
                  <c:v>2.3963339015938563</c:v>
                </c:pt>
                <c:pt idx="511">
                  <c:v>2.3459327683301758</c:v>
                </c:pt>
                <c:pt idx="512">
                  <c:v>2.3532719679608456</c:v>
                </c:pt>
                <c:pt idx="513">
                  <c:v>2.3661496076571074</c:v>
                </c:pt>
                <c:pt idx="514">
                  <c:v>2.3905556149279361</c:v>
                </c:pt>
                <c:pt idx="515">
                  <c:v>2.4065268232162431</c:v>
                </c:pt>
                <c:pt idx="516">
                  <c:v>2.4025244537129287</c:v>
                </c:pt>
                <c:pt idx="517">
                  <c:v>2.4274587967396144</c:v>
                </c:pt>
                <c:pt idx="518">
                  <c:v>2.4375112018816951</c:v>
                </c:pt>
                <c:pt idx="519">
                  <c:v>2.4213026551381303</c:v>
                </c:pt>
                <c:pt idx="520">
                  <c:v>2.4099991865271182</c:v>
                </c:pt>
                <c:pt idx="521">
                  <c:v>2.4201520595705537</c:v>
                </c:pt>
                <c:pt idx="522">
                  <c:v>2.4053203898065867</c:v>
                </c:pt>
                <c:pt idx="523">
                  <c:v>2.3978935436273949</c:v>
                </c:pt>
                <c:pt idx="524">
                  <c:v>2.389988701266589</c:v>
                </c:pt>
                <c:pt idx="525">
                  <c:v>2.4274666162259741</c:v>
                </c:pt>
                <c:pt idx="526">
                  <c:v>2.4157003616814361</c:v>
                </c:pt>
                <c:pt idx="527">
                  <c:v>2.4291722668163453</c:v>
                </c:pt>
                <c:pt idx="528">
                  <c:v>2.4274823555371925</c:v>
                </c:pt>
                <c:pt idx="529">
                  <c:v>2.4377024587944307</c:v>
                </c:pt>
                <c:pt idx="530">
                  <c:v>2.4353572375215933</c:v>
                </c:pt>
                <c:pt idx="531">
                  <c:v>2.4179234219233954</c:v>
                </c:pt>
                <c:pt idx="532">
                  <c:v>2.4411553711124792</c:v>
                </c:pt>
                <c:pt idx="533">
                  <c:v>2.454283581029808</c:v>
                </c:pt>
                <c:pt idx="534">
                  <c:v>2.4543168604246239</c:v>
                </c:pt>
                <c:pt idx="535">
                  <c:v>2.4321811560250928</c:v>
                </c:pt>
                <c:pt idx="536">
                  <c:v>2.4412054242897159</c:v>
                </c:pt>
                <c:pt idx="537">
                  <c:v>2.4322186801683117</c:v>
                </c:pt>
                <c:pt idx="538">
                  <c:v>2.4455869723747541</c:v>
                </c:pt>
                <c:pt idx="539">
                  <c:v>2.4507826751888464</c:v>
                </c:pt>
                <c:pt idx="540">
                  <c:v>2.4503797532234866</c:v>
                </c:pt>
                <c:pt idx="541">
                  <c:v>2.4475473800952892</c:v>
                </c:pt>
                <c:pt idx="542">
                  <c:v>2.5505480499906299</c:v>
                </c:pt>
                <c:pt idx="543">
                  <c:v>2.5769135321424108</c:v>
                </c:pt>
                <c:pt idx="544">
                  <c:v>2.5894990734875147</c:v>
                </c:pt>
                <c:pt idx="545">
                  <c:v>2.6031376470243024</c:v>
                </c:pt>
                <c:pt idx="546">
                  <c:v>2.5983145409463599</c:v>
                </c:pt>
                <c:pt idx="547">
                  <c:v>2.5777827963353981</c:v>
                </c:pt>
                <c:pt idx="548">
                  <c:v>2.5773534340937281</c:v>
                </c:pt>
                <c:pt idx="549">
                  <c:v>2.5798636346566344</c:v>
                </c:pt>
                <c:pt idx="550">
                  <c:v>2.601685675808004</c:v>
                </c:pt>
                <c:pt idx="551">
                  <c:v>2.60355456114854</c:v>
                </c:pt>
                <c:pt idx="552">
                  <c:v>2.6116592319365313</c:v>
                </c:pt>
                <c:pt idx="553">
                  <c:v>2.6291474543201852</c:v>
                </c:pt>
                <c:pt idx="554">
                  <c:v>2.6566170241866458</c:v>
                </c:pt>
                <c:pt idx="555">
                  <c:v>2.6509306455425383</c:v>
                </c:pt>
                <c:pt idx="556">
                  <c:v>2.6640482201561397</c:v>
                </c:pt>
                <c:pt idx="557">
                  <c:v>2.6566186164973464</c:v>
                </c:pt>
                <c:pt idx="558">
                  <c:v>2.6193751655038611</c:v>
                </c:pt>
                <c:pt idx="559">
                  <c:v>2.6195847474545819</c:v>
                </c:pt>
                <c:pt idx="560">
                  <c:v>2.6050129534649051</c:v>
                </c:pt>
                <c:pt idx="561">
                  <c:v>2.6137758285952022</c:v>
                </c:pt>
                <c:pt idx="562">
                  <c:v>2.6165925166027755</c:v>
                </c:pt>
                <c:pt idx="563">
                  <c:v>2.6253509688526981</c:v>
                </c:pt>
                <c:pt idx="564">
                  <c:v>2.6180258507708447</c:v>
                </c:pt>
                <c:pt idx="565">
                  <c:v>2.621893645876304</c:v>
                </c:pt>
                <c:pt idx="566">
                  <c:v>2.5918001311557251</c:v>
                </c:pt>
                <c:pt idx="567">
                  <c:v>2.5980006399150777</c:v>
                </c:pt>
                <c:pt idx="568">
                  <c:v>2.5913437475729832</c:v>
                </c:pt>
                <c:pt idx="569">
                  <c:v>2.6348228723343379</c:v>
                </c:pt>
                <c:pt idx="570">
                  <c:v>2.6418186476142096</c:v>
                </c:pt>
                <c:pt idx="571">
                  <c:v>2.6439659869561631</c:v>
                </c:pt>
                <c:pt idx="572">
                  <c:v>2.6191578008274239</c:v>
                </c:pt>
                <c:pt idx="573">
                  <c:v>2.609454993037946</c:v>
                </c:pt>
                <c:pt idx="574">
                  <c:v>2.5998644822495947</c:v>
                </c:pt>
                <c:pt idx="575">
                  <c:v>2.5992556412475118</c:v>
                </c:pt>
                <c:pt idx="576">
                  <c:v>2.6315143722302108</c:v>
                </c:pt>
                <c:pt idx="577">
                  <c:v>2.592430477246487</c:v>
                </c:pt>
                <c:pt idx="578">
                  <c:v>2.5752481046171125</c:v>
                </c:pt>
                <c:pt idx="579">
                  <c:v>2.606734255105799</c:v>
                </c:pt>
                <c:pt idx="580">
                  <c:v>2.6233838916331735</c:v>
                </c:pt>
                <c:pt idx="581">
                  <c:v>2.5691864896360141</c:v>
                </c:pt>
                <c:pt idx="582">
                  <c:v>2.5876905402837775</c:v>
                </c:pt>
                <c:pt idx="583">
                  <c:v>2.6073465103690272</c:v>
                </c:pt>
                <c:pt idx="584">
                  <c:v>2.6175633271791865</c:v>
                </c:pt>
                <c:pt idx="585">
                  <c:v>2.6145236496433739</c:v>
                </c:pt>
                <c:pt idx="586">
                  <c:v>2.61407860267779</c:v>
                </c:pt>
                <c:pt idx="587">
                  <c:v>2.629067802286555</c:v>
                </c:pt>
                <c:pt idx="588">
                  <c:v>2.632744434354275</c:v>
                </c:pt>
                <c:pt idx="589">
                  <c:v>2.6509249466018527</c:v>
                </c:pt>
                <c:pt idx="590">
                  <c:v>2.617976146495586</c:v>
                </c:pt>
                <c:pt idx="591">
                  <c:v>2.6654537266789093</c:v>
                </c:pt>
                <c:pt idx="592">
                  <c:v>2.6414116872487163</c:v>
                </c:pt>
                <c:pt idx="593">
                  <c:v>2.6478102159807224</c:v>
                </c:pt>
                <c:pt idx="594">
                  <c:v>2.6746739990098689</c:v>
                </c:pt>
                <c:pt idx="595">
                  <c:v>2.669927448516709</c:v>
                </c:pt>
                <c:pt idx="596">
                  <c:v>2.6778548808651279</c:v>
                </c:pt>
                <c:pt idx="597">
                  <c:v>2.6688235506211324</c:v>
                </c:pt>
                <c:pt idx="598">
                  <c:v>2.6927579924005092</c:v>
                </c:pt>
                <c:pt idx="599">
                  <c:v>2.6995509973008578</c:v>
                </c:pt>
                <c:pt idx="600">
                  <c:v>2.6786584007307894</c:v>
                </c:pt>
                <c:pt idx="601">
                  <c:v>2.6696415449618809</c:v>
                </c:pt>
                <c:pt idx="602">
                  <c:v>2.6553610038942197</c:v>
                </c:pt>
                <c:pt idx="603">
                  <c:v>2.6511842117367825</c:v>
                </c:pt>
                <c:pt idx="604">
                  <c:v>2.6768747961510986</c:v>
                </c:pt>
                <c:pt idx="605">
                  <c:v>2.6343189316166602</c:v>
                </c:pt>
                <c:pt idx="606">
                  <c:v>2.6454211891468558</c:v>
                </c:pt>
                <c:pt idx="607">
                  <c:v>2.6362529559264742</c:v>
                </c:pt>
                <c:pt idx="608">
                  <c:v>2.6364459725290885</c:v>
                </c:pt>
                <c:pt idx="609">
                  <c:v>2.6289908729237976</c:v>
                </c:pt>
                <c:pt idx="610">
                  <c:v>2.6083396202073685</c:v>
                </c:pt>
                <c:pt idx="611">
                  <c:v>2.6019003979120434</c:v>
                </c:pt>
                <c:pt idx="612">
                  <c:v>2.6383677653458832</c:v>
                </c:pt>
                <c:pt idx="613">
                  <c:v>2.6382207924269307</c:v>
                </c:pt>
                <c:pt idx="614">
                  <c:v>2.6422456263274285</c:v>
                </c:pt>
                <c:pt idx="615">
                  <c:v>2.6427130507774685</c:v>
                </c:pt>
                <c:pt idx="616">
                  <c:v>2.627047818382743</c:v>
                </c:pt>
                <c:pt idx="617">
                  <c:v>2.6462084035303026</c:v>
                </c:pt>
                <c:pt idx="618">
                  <c:v>2.6281863224733124</c:v>
                </c:pt>
                <c:pt idx="619">
                  <c:v>2.603707182854154</c:v>
                </c:pt>
                <c:pt idx="620">
                  <c:v>2.6293429772017483</c:v>
                </c:pt>
                <c:pt idx="621">
                  <c:v>2.6151251979854426</c:v>
                </c:pt>
                <c:pt idx="622">
                  <c:v>2.6042126304632705</c:v>
                </c:pt>
                <c:pt idx="623">
                  <c:v>2.5759060771887485</c:v>
                </c:pt>
                <c:pt idx="624">
                  <c:v>2.5634599631231594</c:v>
                </c:pt>
                <c:pt idx="625">
                  <c:v>2.5716350047344068</c:v>
                </c:pt>
                <c:pt idx="626">
                  <c:v>2.5811986837573691</c:v>
                </c:pt>
                <c:pt idx="627">
                  <c:v>2.5894934199323054</c:v>
                </c:pt>
                <c:pt idx="628">
                  <c:v>2.5971184681154096</c:v>
                </c:pt>
                <c:pt idx="629">
                  <c:v>2.5960746050255596</c:v>
                </c:pt>
                <c:pt idx="630">
                  <c:v>2.6250659983485876</c:v>
                </c:pt>
                <c:pt idx="631">
                  <c:v>2.6244443966526911</c:v>
                </c:pt>
                <c:pt idx="632">
                  <c:v>2.6093243164508104</c:v>
                </c:pt>
                <c:pt idx="633">
                  <c:v>2.6101067239116502</c:v>
                </c:pt>
                <c:pt idx="634">
                  <c:v>2.6063780666343304</c:v>
                </c:pt>
                <c:pt idx="635">
                  <c:v>2.5870044847729794</c:v>
                </c:pt>
                <c:pt idx="636">
                  <c:v>2.5943053648931595</c:v>
                </c:pt>
                <c:pt idx="637">
                  <c:v>2.5684668299299305</c:v>
                </c:pt>
                <c:pt idx="638">
                  <c:v>2.5688579748331581</c:v>
                </c:pt>
                <c:pt idx="639">
                  <c:v>2.5512411410956832</c:v>
                </c:pt>
                <c:pt idx="640">
                  <c:v>2.5456836140930741</c:v>
                </c:pt>
                <c:pt idx="641">
                  <c:v>2.5342178627144656</c:v>
                </c:pt>
                <c:pt idx="642">
                  <c:v>2.595506428403989</c:v>
                </c:pt>
                <c:pt idx="643">
                  <c:v>2.5244029707028792</c:v>
                </c:pt>
                <c:pt idx="644">
                  <c:v>2.5262564458899108</c:v>
                </c:pt>
                <c:pt idx="645">
                  <c:v>2.5130062141834291</c:v>
                </c:pt>
                <c:pt idx="646">
                  <c:v>2.5249095056647657</c:v>
                </c:pt>
                <c:pt idx="647">
                  <c:v>2.5473976865153833</c:v>
                </c:pt>
                <c:pt idx="648">
                  <c:v>2.5362266983451489</c:v>
                </c:pt>
                <c:pt idx="649">
                  <c:v>2.5191185223001376</c:v>
                </c:pt>
                <c:pt idx="650">
                  <c:v>2.5144080322641948</c:v>
                </c:pt>
                <c:pt idx="651">
                  <c:v>2.4700850469328488</c:v>
                </c:pt>
                <c:pt idx="652">
                  <c:v>2.4903313491735877</c:v>
                </c:pt>
                <c:pt idx="653">
                  <c:v>2.4979460958845263</c:v>
                </c:pt>
                <c:pt idx="654">
                  <c:v>2.4835787481059746</c:v>
                </c:pt>
                <c:pt idx="655">
                  <c:v>2.4789863712838347</c:v>
                </c:pt>
                <c:pt idx="656">
                  <c:v>2.4827969307868285</c:v>
                </c:pt>
                <c:pt idx="657">
                  <c:v>2.4925826083404812</c:v>
                </c:pt>
                <c:pt idx="658">
                  <c:v>2.4932519280205656</c:v>
                </c:pt>
                <c:pt idx="659">
                  <c:v>2.498570493502315</c:v>
                </c:pt>
                <c:pt idx="660">
                  <c:v>2.5113338817918724</c:v>
                </c:pt>
                <c:pt idx="661">
                  <c:v>2.4996267234755014</c:v>
                </c:pt>
                <c:pt idx="662">
                  <c:v>2.4935015587757468</c:v>
                </c:pt>
                <c:pt idx="663">
                  <c:v>2.5048571104074386</c:v>
                </c:pt>
                <c:pt idx="664">
                  <c:v>2.4970213724421169</c:v>
                </c:pt>
                <c:pt idx="665">
                  <c:v>2.5015237591213806</c:v>
                </c:pt>
                <c:pt idx="666">
                  <c:v>2.4887924052063517</c:v>
                </c:pt>
                <c:pt idx="667">
                  <c:v>2.4845748136564314</c:v>
                </c:pt>
                <c:pt idx="668">
                  <c:v>2.488593660139129</c:v>
                </c:pt>
                <c:pt idx="669">
                  <c:v>2.4819414169979206</c:v>
                </c:pt>
                <c:pt idx="670">
                  <c:v>2.4373672915113707</c:v>
                </c:pt>
                <c:pt idx="671">
                  <c:v>2.4441493094469497</c:v>
                </c:pt>
                <c:pt idx="672">
                  <c:v>2.4518728381718717</c:v>
                </c:pt>
                <c:pt idx="673">
                  <c:v>2.4353532820571133</c:v>
                </c:pt>
                <c:pt idx="674">
                  <c:v>2.4353814407901075</c:v>
                </c:pt>
                <c:pt idx="675">
                  <c:v>2.450187912923234</c:v>
                </c:pt>
                <c:pt idx="676">
                  <c:v>2.443852370262642</c:v>
                </c:pt>
                <c:pt idx="677">
                  <c:v>2.4335405245243877</c:v>
                </c:pt>
                <c:pt idx="678">
                  <c:v>2.457084250400515</c:v>
                </c:pt>
                <c:pt idx="679">
                  <c:v>2.458905355800626</c:v>
                </c:pt>
                <c:pt idx="680">
                  <c:v>2.4364945064332328</c:v>
                </c:pt>
                <c:pt idx="681">
                  <c:v>2.4451055835042848</c:v>
                </c:pt>
                <c:pt idx="682">
                  <c:v>2.4716717118336367</c:v>
                </c:pt>
                <c:pt idx="683">
                  <c:v>2.4718856982848867</c:v>
                </c:pt>
                <c:pt idx="684">
                  <c:v>2.4515702036655012</c:v>
                </c:pt>
                <c:pt idx="685">
                  <c:v>2.4625795564413284</c:v>
                </c:pt>
                <c:pt idx="686">
                  <c:v>2.4408531843771559</c:v>
                </c:pt>
                <c:pt idx="687">
                  <c:v>2.4431530479532437</c:v>
                </c:pt>
                <c:pt idx="688">
                  <c:v>2.4262674396898798</c:v>
                </c:pt>
                <c:pt idx="689">
                  <c:v>2.4076035657845405</c:v>
                </c:pt>
                <c:pt idx="690">
                  <c:v>2.4171657916393445</c:v>
                </c:pt>
                <c:pt idx="691">
                  <c:v>2.4115210016440982</c:v>
                </c:pt>
                <c:pt idx="692">
                  <c:v>2.4243856742916803</c:v>
                </c:pt>
                <c:pt idx="693">
                  <c:v>2.4230233067144824</c:v>
                </c:pt>
                <c:pt idx="694">
                  <c:v>2.4186470999070875</c:v>
                </c:pt>
                <c:pt idx="695">
                  <c:v>2.4237947179625192</c:v>
                </c:pt>
                <c:pt idx="696">
                  <c:v>2.4239425918027808</c:v>
                </c:pt>
                <c:pt idx="697">
                  <c:v>2.4307585490460277</c:v>
                </c:pt>
                <c:pt idx="698">
                  <c:v>2.373312880773855</c:v>
                </c:pt>
                <c:pt idx="699">
                  <c:v>2.3619374856210755</c:v>
                </c:pt>
                <c:pt idx="700">
                  <c:v>2.3477476471940966</c:v>
                </c:pt>
                <c:pt idx="701">
                  <c:v>2.3662245466057814</c:v>
                </c:pt>
                <c:pt idx="702">
                  <c:v>2.3641963741082033</c:v>
                </c:pt>
                <c:pt idx="703">
                  <c:v>2.373930789995772</c:v>
                </c:pt>
                <c:pt idx="704">
                  <c:v>2.3741665248460211</c:v>
                </c:pt>
                <c:pt idx="705">
                  <c:v>2.3653901717195884</c:v>
                </c:pt>
                <c:pt idx="706">
                  <c:v>2.3135084335999143</c:v>
                </c:pt>
                <c:pt idx="707">
                  <c:v>2.2675064383957055</c:v>
                </c:pt>
                <c:pt idx="708">
                  <c:v>2.2629935405798607</c:v>
                </c:pt>
                <c:pt idx="709">
                  <c:v>2.2519625603162607</c:v>
                </c:pt>
                <c:pt idx="710">
                  <c:v>2.2755096433611923</c:v>
                </c:pt>
                <c:pt idx="711">
                  <c:v>2.257902819186866</c:v>
                </c:pt>
                <c:pt idx="712">
                  <c:v>2.2416099148336173</c:v>
                </c:pt>
                <c:pt idx="713">
                  <c:v>2.266679306139741</c:v>
                </c:pt>
                <c:pt idx="714">
                  <c:v>2.2727060323251731</c:v>
                </c:pt>
                <c:pt idx="715">
                  <c:v>2.2669887607580743</c:v>
                </c:pt>
                <c:pt idx="716">
                  <c:v>2.2701180119591506</c:v>
                </c:pt>
                <c:pt idx="717">
                  <c:v>2.2461491496260391</c:v>
                </c:pt>
                <c:pt idx="718">
                  <c:v>2.2332915794883093</c:v>
                </c:pt>
                <c:pt idx="719">
                  <c:v>2.2194446186933288</c:v>
                </c:pt>
                <c:pt idx="720">
                  <c:v>2.2247336783514369</c:v>
                </c:pt>
                <c:pt idx="721">
                  <c:v>2.2248143929517354</c:v>
                </c:pt>
                <c:pt idx="722">
                  <c:v>2.2263091349699717</c:v>
                </c:pt>
                <c:pt idx="723">
                  <c:v>2.205551056165318</c:v>
                </c:pt>
                <c:pt idx="724">
                  <c:v>2.1925260594678218</c:v>
                </c:pt>
                <c:pt idx="725">
                  <c:v>2.1836759678851503</c:v>
                </c:pt>
                <c:pt idx="726">
                  <c:v>2.2015673010306358</c:v>
                </c:pt>
                <c:pt idx="727">
                  <c:v>2.1826591984996448</c:v>
                </c:pt>
                <c:pt idx="728">
                  <c:v>2.1652757018784086</c:v>
                </c:pt>
                <c:pt idx="729">
                  <c:v>2.1471269447467614</c:v>
                </c:pt>
                <c:pt idx="730">
                  <c:v>2.1484652396212858</c:v>
                </c:pt>
                <c:pt idx="731">
                  <c:v>2.1432442255922814</c:v>
                </c:pt>
                <c:pt idx="732">
                  <c:v>2.1249371347272645</c:v>
                </c:pt>
                <c:pt idx="733">
                  <c:v>2.1271956563325189</c:v>
                </c:pt>
                <c:pt idx="734">
                  <c:v>2.1254796518820722</c:v>
                </c:pt>
                <c:pt idx="735">
                  <c:v>2.1535399411877605</c:v>
                </c:pt>
                <c:pt idx="736">
                  <c:v>2.1511229201865301</c:v>
                </c:pt>
                <c:pt idx="737">
                  <c:v>2.1304435295116626</c:v>
                </c:pt>
                <c:pt idx="738">
                  <c:v>2.1426689877058824</c:v>
                </c:pt>
                <c:pt idx="739">
                  <c:v>2.1451649873137644</c:v>
                </c:pt>
                <c:pt idx="740">
                  <c:v>2.1384952757612448</c:v>
                </c:pt>
                <c:pt idx="741">
                  <c:v>2.1285457716713965</c:v>
                </c:pt>
                <c:pt idx="742">
                  <c:v>2.1170433834193481</c:v>
                </c:pt>
                <c:pt idx="743">
                  <c:v>2.1288414411846732</c:v>
                </c:pt>
                <c:pt idx="744">
                  <c:v>2.1428778116481713</c:v>
                </c:pt>
                <c:pt idx="745">
                  <c:v>2.1767266085233601</c:v>
                </c:pt>
                <c:pt idx="746">
                  <c:v>2.1370192024368748</c:v>
                </c:pt>
                <c:pt idx="747">
                  <c:v>2.1339483476230661</c:v>
                </c:pt>
                <c:pt idx="748">
                  <c:v>2.129356771330694</c:v>
                </c:pt>
                <c:pt idx="749">
                  <c:v>2.1531113315089931</c:v>
                </c:pt>
                <c:pt idx="750">
                  <c:v>2.1177266885940877</c:v>
                </c:pt>
                <c:pt idx="751">
                  <c:v>2.1235505497914584</c:v>
                </c:pt>
                <c:pt idx="752">
                  <c:v>2.1241985653252757</c:v>
                </c:pt>
                <c:pt idx="753">
                  <c:v>2.132047618220354</c:v>
                </c:pt>
                <c:pt idx="754">
                  <c:v>2.1180446768188248</c:v>
                </c:pt>
                <c:pt idx="755">
                  <c:v>2.116753298680528</c:v>
                </c:pt>
                <c:pt idx="756">
                  <c:v>2.1083377630198266</c:v>
                </c:pt>
                <c:pt idx="757">
                  <c:v>2.1064535395853476</c:v>
                </c:pt>
                <c:pt idx="758">
                  <c:v>2.1378735828420981</c:v>
                </c:pt>
                <c:pt idx="759">
                  <c:v>2.1717734106542514</c:v>
                </c:pt>
                <c:pt idx="760">
                  <c:v>2.2241855591541246</c:v>
                </c:pt>
                <c:pt idx="761">
                  <c:v>2.248828518200507</c:v>
                </c:pt>
                <c:pt idx="762">
                  <c:v>2.2375931042133876</c:v>
                </c:pt>
                <c:pt idx="763">
                  <c:v>2.2211914095324059</c:v>
                </c:pt>
                <c:pt idx="764">
                  <c:v>2.2437730585719282</c:v>
                </c:pt>
                <c:pt idx="765">
                  <c:v>2.2447713647463137</c:v>
                </c:pt>
                <c:pt idx="766">
                  <c:v>2.238045759360396</c:v>
                </c:pt>
                <c:pt idx="767">
                  <c:v>2.2432508413785448</c:v>
                </c:pt>
                <c:pt idx="768">
                  <c:v>2.2238678525414719</c:v>
                </c:pt>
                <c:pt idx="769">
                  <c:v>2.2035680307651857</c:v>
                </c:pt>
                <c:pt idx="770">
                  <c:v>2.2207254765562654</c:v>
                </c:pt>
                <c:pt idx="771">
                  <c:v>2.2253716183361725</c:v>
                </c:pt>
                <c:pt idx="772">
                  <c:v>2.2188782349156417</c:v>
                </c:pt>
                <c:pt idx="773">
                  <c:v>2.2152886815709363</c:v>
                </c:pt>
                <c:pt idx="774">
                  <c:v>2.2183203475328779</c:v>
                </c:pt>
                <c:pt idx="775">
                  <c:v>2.2173722560621072</c:v>
                </c:pt>
                <c:pt idx="776">
                  <c:v>2.1952945558947521</c:v>
                </c:pt>
                <c:pt idx="777">
                  <c:v>2.1699035849214408</c:v>
                </c:pt>
                <c:pt idx="778">
                  <c:v>2.1879101014207509</c:v>
                </c:pt>
                <c:pt idx="779">
                  <c:v>2.1810274870845907</c:v>
                </c:pt>
                <c:pt idx="780">
                  <c:v>2.1752081509725758</c:v>
                </c:pt>
                <c:pt idx="781">
                  <c:v>2.164028884225933</c:v>
                </c:pt>
                <c:pt idx="782">
                  <c:v>2.1599883195788538</c:v>
                </c:pt>
                <c:pt idx="783">
                  <c:v>2.1644904285379076</c:v>
                </c:pt>
                <c:pt idx="784">
                  <c:v>2.1632899105453869</c:v>
                </c:pt>
                <c:pt idx="785">
                  <c:v>2.1146343014693945</c:v>
                </c:pt>
                <c:pt idx="786">
                  <c:v>2.1306488877270993</c:v>
                </c:pt>
                <c:pt idx="787">
                  <c:v>2.1273581274270561</c:v>
                </c:pt>
                <c:pt idx="788">
                  <c:v>2.1595701527354949</c:v>
                </c:pt>
                <c:pt idx="789">
                  <c:v>2.1393717894541653</c:v>
                </c:pt>
                <c:pt idx="790">
                  <c:v>2.1255695947602535</c:v>
                </c:pt>
                <c:pt idx="791">
                  <c:v>2.0831892928443838</c:v>
                </c:pt>
                <c:pt idx="792">
                  <c:v>2.1003525512316243</c:v>
                </c:pt>
                <c:pt idx="793">
                  <c:v>2.0881228459464216</c:v>
                </c:pt>
                <c:pt idx="794">
                  <c:v>2.0924232416508253</c:v>
                </c:pt>
                <c:pt idx="795">
                  <c:v>2.0972280570999668</c:v>
                </c:pt>
                <c:pt idx="796">
                  <c:v>2.1040521923363285</c:v>
                </c:pt>
                <c:pt idx="797">
                  <c:v>2.0651000361804739</c:v>
                </c:pt>
                <c:pt idx="798">
                  <c:v>2.0874511038961612</c:v>
                </c:pt>
                <c:pt idx="799">
                  <c:v>2.077555888097951</c:v>
                </c:pt>
                <c:pt idx="800">
                  <c:v>2.0775571815086287</c:v>
                </c:pt>
                <c:pt idx="801">
                  <c:v>2.0795311354422501</c:v>
                </c:pt>
                <c:pt idx="802">
                  <c:v>2.0766426610305735</c:v>
                </c:pt>
                <c:pt idx="803">
                  <c:v>2.1052804075209459</c:v>
                </c:pt>
                <c:pt idx="804">
                  <c:v>2.1087204281759884</c:v>
                </c:pt>
                <c:pt idx="805">
                  <c:v>2.1009029646120387</c:v>
                </c:pt>
                <c:pt idx="806">
                  <c:v>2.112690401325001</c:v>
                </c:pt>
                <c:pt idx="807">
                  <c:v>2.1054335745456552</c:v>
                </c:pt>
                <c:pt idx="808">
                  <c:v>2.1303782214615641</c:v>
                </c:pt>
                <c:pt idx="809">
                  <c:v>2.1331555415619943</c:v>
                </c:pt>
                <c:pt idx="810">
                  <c:v>2.1242419571155744</c:v>
                </c:pt>
                <c:pt idx="811">
                  <c:v>2.1236615252762392</c:v>
                </c:pt>
                <c:pt idx="812">
                  <c:v>2.1203623338729281</c:v>
                </c:pt>
                <c:pt idx="813">
                  <c:v>2.1038084972954323</c:v>
                </c:pt>
                <c:pt idx="814">
                  <c:v>2.0901501030583374</c:v>
                </c:pt>
                <c:pt idx="815">
                  <c:v>2.0660597907324365</c:v>
                </c:pt>
                <c:pt idx="816">
                  <c:v>2.0837567680668458</c:v>
                </c:pt>
                <c:pt idx="817">
                  <c:v>2.0561105342346733</c:v>
                </c:pt>
                <c:pt idx="818">
                  <c:v>2.0745308396929825</c:v>
                </c:pt>
                <c:pt idx="819">
                  <c:v>2.0448308336576804</c:v>
                </c:pt>
                <c:pt idx="820">
                  <c:v>2.0434392200233455</c:v>
                </c:pt>
                <c:pt idx="821">
                  <c:v>2.0261043292183643</c:v>
                </c:pt>
                <c:pt idx="822">
                  <c:v>2.0471052455581069</c:v>
                </c:pt>
                <c:pt idx="823">
                  <c:v>2.0475568374408626</c:v>
                </c:pt>
                <c:pt idx="824">
                  <c:v>2.0586332981028836</c:v>
                </c:pt>
                <c:pt idx="825">
                  <c:v>2.0578887721693992</c:v>
                </c:pt>
                <c:pt idx="826">
                  <c:v>2.0636045235797691</c:v>
                </c:pt>
                <c:pt idx="827">
                  <c:v>2.0957130735352529</c:v>
                </c:pt>
                <c:pt idx="828">
                  <c:v>2.080121103427262</c:v>
                </c:pt>
                <c:pt idx="829">
                  <c:v>2.0564638818154202</c:v>
                </c:pt>
                <c:pt idx="830">
                  <c:v>2.078231452717715</c:v>
                </c:pt>
                <c:pt idx="831">
                  <c:v>2.1010964882333494</c:v>
                </c:pt>
                <c:pt idx="832">
                  <c:v>2.0973127933456088</c:v>
                </c:pt>
                <c:pt idx="833">
                  <c:v>2.0899610455347277</c:v>
                </c:pt>
                <c:pt idx="834">
                  <c:v>2.0915204245224759</c:v>
                </c:pt>
                <c:pt idx="835">
                  <c:v>2.0840285513272976</c:v>
                </c:pt>
                <c:pt idx="836">
                  <c:v>2.1306472078841696</c:v>
                </c:pt>
                <c:pt idx="837">
                  <c:v>2.1353369330058487</c:v>
                </c:pt>
                <c:pt idx="838">
                  <c:v>2.1782752364239339</c:v>
                </c:pt>
                <c:pt idx="839">
                  <c:v>2.150747465438549</c:v>
                </c:pt>
                <c:pt idx="840">
                  <c:v>2.1555514790110286</c:v>
                </c:pt>
                <c:pt idx="841">
                  <c:v>2.1591585873925987</c:v>
                </c:pt>
                <c:pt idx="842">
                  <c:v>2.1800948669608133</c:v>
                </c:pt>
                <c:pt idx="843">
                  <c:v>2.1733593414940828</c:v>
                </c:pt>
                <c:pt idx="844">
                  <c:v>2.1807129944283781</c:v>
                </c:pt>
                <c:pt idx="845">
                  <c:v>2.1963863506918138</c:v>
                </c:pt>
                <c:pt idx="846">
                  <c:v>2.1902345705055817</c:v>
                </c:pt>
                <c:pt idx="847">
                  <c:v>2.196203222982243</c:v>
                </c:pt>
                <c:pt idx="848">
                  <c:v>2.1878064046549657</c:v>
                </c:pt>
                <c:pt idx="849">
                  <c:v>2.1796202991377047</c:v>
                </c:pt>
                <c:pt idx="850">
                  <c:v>2.1958362403462872</c:v>
                </c:pt>
                <c:pt idx="851">
                  <c:v>2.2027491789047451</c:v>
                </c:pt>
                <c:pt idx="852">
                  <c:v>2.1976855529763353</c:v>
                </c:pt>
                <c:pt idx="853">
                  <c:v>2.208239415416914</c:v>
                </c:pt>
                <c:pt idx="854">
                  <c:v>2.1986108913426827</c:v>
                </c:pt>
                <c:pt idx="855">
                  <c:v>2.2168843861071172</c:v>
                </c:pt>
                <c:pt idx="856">
                  <c:v>2.2156692997253002</c:v>
                </c:pt>
                <c:pt idx="857">
                  <c:v>2.217530127930003</c:v>
                </c:pt>
                <c:pt idx="858">
                  <c:v>2.2235645295124553</c:v>
                </c:pt>
                <c:pt idx="859">
                  <c:v>2.2292826113267665</c:v>
                </c:pt>
                <c:pt idx="860">
                  <c:v>2.2419708811289336</c:v>
                </c:pt>
                <c:pt idx="861">
                  <c:v>2.2336385195520005</c:v>
                </c:pt>
                <c:pt idx="862">
                  <c:v>2.2329352349154639</c:v>
                </c:pt>
                <c:pt idx="863">
                  <c:v>2.2328305907986343</c:v>
                </c:pt>
                <c:pt idx="864">
                  <c:v>2.2339905819439005</c:v>
                </c:pt>
                <c:pt idx="865">
                  <c:v>2.242831345606445</c:v>
                </c:pt>
                <c:pt idx="866">
                  <c:v>2.2330532747349721</c:v>
                </c:pt>
                <c:pt idx="867">
                  <c:v>2.2380173946568123</c:v>
                </c:pt>
                <c:pt idx="868">
                  <c:v>2.2285280895143216</c:v>
                </c:pt>
                <c:pt idx="869">
                  <c:v>2.2174795436944326</c:v>
                </c:pt>
                <c:pt idx="870">
                  <c:v>2.2171716622256739</c:v>
                </c:pt>
                <c:pt idx="871">
                  <c:v>2.2039333322910251</c:v>
                </c:pt>
                <c:pt idx="872">
                  <c:v>2.19952387020831</c:v>
                </c:pt>
                <c:pt idx="873">
                  <c:v>2.1897486423843828</c:v>
                </c:pt>
                <c:pt idx="874">
                  <c:v>2.1910221117166953</c:v>
                </c:pt>
                <c:pt idx="875">
                  <c:v>2.1752257687074379</c:v>
                </c:pt>
                <c:pt idx="876">
                  <c:v>2.1659161732401513</c:v>
                </c:pt>
                <c:pt idx="877">
                  <c:v>2.1875041192982572</c:v>
                </c:pt>
                <c:pt idx="878">
                  <c:v>2.2043240710908609</c:v>
                </c:pt>
                <c:pt idx="879">
                  <c:v>2.214098939706183</c:v>
                </c:pt>
                <c:pt idx="880">
                  <c:v>2.2046521761184525</c:v>
                </c:pt>
                <c:pt idx="881">
                  <c:v>2.1928364837748013</c:v>
                </c:pt>
                <c:pt idx="882">
                  <c:v>2.1885408294404436</c:v>
                </c:pt>
                <c:pt idx="883">
                  <c:v>2.1554562352077866</c:v>
                </c:pt>
                <c:pt idx="884">
                  <c:v>2.1359722232829377</c:v>
                </c:pt>
                <c:pt idx="885">
                  <c:v>2.1410069717496518</c:v>
                </c:pt>
                <c:pt idx="886">
                  <c:v>2.144800539566837</c:v>
                </c:pt>
                <c:pt idx="887">
                  <c:v>2.129025295001759</c:v>
                </c:pt>
                <c:pt idx="888">
                  <c:v>2.1278141898946767</c:v>
                </c:pt>
                <c:pt idx="889">
                  <c:v>2.1267155421778883</c:v>
                </c:pt>
                <c:pt idx="890">
                  <c:v>2.1164678106584778</c:v>
                </c:pt>
                <c:pt idx="891">
                  <c:v>2.1197050904076491</c:v>
                </c:pt>
                <c:pt idx="892">
                  <c:v>2.1219314478622584</c:v>
                </c:pt>
                <c:pt idx="893">
                  <c:v>2.1183823354976035</c:v>
                </c:pt>
                <c:pt idx="894">
                  <c:v>2.0674397909221929</c:v>
                </c:pt>
                <c:pt idx="895">
                  <c:v>2.0794302962367088</c:v>
                </c:pt>
                <c:pt idx="896">
                  <c:v>1.9953763697573881</c:v>
                </c:pt>
                <c:pt idx="897">
                  <c:v>1.9719216339682202</c:v>
                </c:pt>
                <c:pt idx="898">
                  <c:v>1.9433393041956837</c:v>
                </c:pt>
                <c:pt idx="899">
                  <c:v>1.9362378772332038</c:v>
                </c:pt>
                <c:pt idx="900">
                  <c:v>1.9439398571968129</c:v>
                </c:pt>
                <c:pt idx="901">
                  <c:v>1.941461832353448</c:v>
                </c:pt>
                <c:pt idx="902">
                  <c:v>1.9689102062103696</c:v>
                </c:pt>
                <c:pt idx="903">
                  <c:v>1.9714921863029866</c:v>
                </c:pt>
                <c:pt idx="904">
                  <c:v>1.9696942656596137</c:v>
                </c:pt>
                <c:pt idx="905">
                  <c:v>1.9711348506631796</c:v>
                </c:pt>
                <c:pt idx="906">
                  <c:v>2.012500912406856</c:v>
                </c:pt>
                <c:pt idx="907">
                  <c:v>2.0252040512986875</c:v>
                </c:pt>
                <c:pt idx="908">
                  <c:v>2.0219329032334219</c:v>
                </c:pt>
                <c:pt idx="909">
                  <c:v>1.9783916624911324</c:v>
                </c:pt>
                <c:pt idx="910">
                  <c:v>1.971970001983042</c:v>
                </c:pt>
                <c:pt idx="911">
                  <c:v>1.9777220290428514</c:v>
                </c:pt>
                <c:pt idx="912">
                  <c:v>1.9676404755342889</c:v>
                </c:pt>
                <c:pt idx="913">
                  <c:v>1.9490165027236175</c:v>
                </c:pt>
                <c:pt idx="914">
                  <c:v>1.9557010097039831</c:v>
                </c:pt>
                <c:pt idx="915">
                  <c:v>1.9503228802759303</c:v>
                </c:pt>
                <c:pt idx="916">
                  <c:v>1.9468590089013318</c:v>
                </c:pt>
                <c:pt idx="917">
                  <c:v>1.9342236027640114</c:v>
                </c:pt>
                <c:pt idx="918">
                  <c:v>1.9246731346627648</c:v>
                </c:pt>
                <c:pt idx="919">
                  <c:v>1.9220197636911942</c:v>
                </c:pt>
                <c:pt idx="920">
                  <c:v>1.9115194558462096</c:v>
                </c:pt>
                <c:pt idx="921">
                  <c:v>1.938690590871142</c:v>
                </c:pt>
                <c:pt idx="922">
                  <c:v>1.9279647023554745</c:v>
                </c:pt>
                <c:pt idx="923">
                  <c:v>1.9239430897029719</c:v>
                </c:pt>
                <c:pt idx="924">
                  <c:v>1.9311378092650417</c:v>
                </c:pt>
                <c:pt idx="925">
                  <c:v>1.9276793208825347</c:v>
                </c:pt>
                <c:pt idx="926">
                  <c:v>1.9193025827756247</c:v>
                </c:pt>
                <c:pt idx="927">
                  <c:v>1.9131521100723852</c:v>
                </c:pt>
                <c:pt idx="928">
                  <c:v>1.8958900751285093</c:v>
                </c:pt>
                <c:pt idx="929">
                  <c:v>1.8344931934237154</c:v>
                </c:pt>
                <c:pt idx="930">
                  <c:v>1.816664223609193</c:v>
                </c:pt>
                <c:pt idx="931">
                  <c:v>1.8227835527268725</c:v>
                </c:pt>
                <c:pt idx="932">
                  <c:v>1.8270778710482602</c:v>
                </c:pt>
                <c:pt idx="933">
                  <c:v>1.8216628408860658</c:v>
                </c:pt>
                <c:pt idx="934">
                  <c:v>1.8351632910748756</c:v>
                </c:pt>
                <c:pt idx="935">
                  <c:v>1.8508773301251313</c:v>
                </c:pt>
                <c:pt idx="936">
                  <c:v>1.8112665153727796</c:v>
                </c:pt>
                <c:pt idx="937">
                  <c:v>1.7863312683090813</c:v>
                </c:pt>
                <c:pt idx="938">
                  <c:v>1.7772824427012739</c:v>
                </c:pt>
                <c:pt idx="939">
                  <c:v>1.8244321388978797</c:v>
                </c:pt>
                <c:pt idx="940">
                  <c:v>1.867694319014936</c:v>
                </c:pt>
                <c:pt idx="941">
                  <c:v>1.8608881090847449</c:v>
                </c:pt>
                <c:pt idx="942">
                  <c:v>1.8714928544561924</c:v>
                </c:pt>
                <c:pt idx="943">
                  <c:v>1.8658420088878371</c:v>
                </c:pt>
                <c:pt idx="944">
                  <c:v>1.8931860703675791</c:v>
                </c:pt>
                <c:pt idx="945">
                  <c:v>1.8844100665842258</c:v>
                </c:pt>
                <c:pt idx="946">
                  <c:v>1.9050420814820632</c:v>
                </c:pt>
                <c:pt idx="947">
                  <c:v>1.9161886752462263</c:v>
                </c:pt>
                <c:pt idx="948">
                  <c:v>1.9268701777926871</c:v>
                </c:pt>
                <c:pt idx="949">
                  <c:v>1.9129727551684592</c:v>
                </c:pt>
                <c:pt idx="950">
                  <c:v>1.9259718664515821</c:v>
                </c:pt>
                <c:pt idx="951">
                  <c:v>1.9252642817339447</c:v>
                </c:pt>
                <c:pt idx="952">
                  <c:v>1.9229036968189859</c:v>
                </c:pt>
                <c:pt idx="953">
                  <c:v>1.8971463390606014</c:v>
                </c:pt>
                <c:pt idx="954">
                  <c:v>1.9319504922282911</c:v>
                </c:pt>
                <c:pt idx="955">
                  <c:v>1.9237552917578762</c:v>
                </c:pt>
                <c:pt idx="956">
                  <c:v>1.9073187320312619</c:v>
                </c:pt>
                <c:pt idx="957">
                  <c:v>1.9206545982507723</c:v>
                </c:pt>
                <c:pt idx="958">
                  <c:v>1.9443374769974904</c:v>
                </c:pt>
                <c:pt idx="959">
                  <c:v>1.9266195119172338</c:v>
                </c:pt>
                <c:pt idx="960">
                  <c:v>1.9243458679805054</c:v>
                </c:pt>
                <c:pt idx="961">
                  <c:v>1.899028851679563</c:v>
                </c:pt>
                <c:pt idx="962">
                  <c:v>1.9024675884859972</c:v>
                </c:pt>
                <c:pt idx="963">
                  <c:v>1.9199157497555781</c:v>
                </c:pt>
                <c:pt idx="964">
                  <c:v>1.9109731588477143</c:v>
                </c:pt>
                <c:pt idx="965">
                  <c:v>1.9066986364020537</c:v>
                </c:pt>
                <c:pt idx="966">
                  <c:v>1.9063934645858929</c:v>
                </c:pt>
                <c:pt idx="967">
                  <c:v>1.9158060637868164</c:v>
                </c:pt>
                <c:pt idx="968">
                  <c:v>1.9300540258422401</c:v>
                </c:pt>
                <c:pt idx="969">
                  <c:v>1.9147859348419682</c:v>
                </c:pt>
                <c:pt idx="970">
                  <c:v>1.9020530325653577</c:v>
                </c:pt>
                <c:pt idx="971">
                  <c:v>1.9016197007521154</c:v>
                </c:pt>
                <c:pt idx="972">
                  <c:v>1.9051786944377722</c:v>
                </c:pt>
                <c:pt idx="973">
                  <c:v>1.9281002693167828</c:v>
                </c:pt>
                <c:pt idx="974">
                  <c:v>1.9318932105322062</c:v>
                </c:pt>
                <c:pt idx="975">
                  <c:v>1.9425531846491289</c:v>
                </c:pt>
                <c:pt idx="976">
                  <c:v>1.9315036960882768</c:v>
                </c:pt>
                <c:pt idx="977">
                  <c:v>1.9261830066351679</c:v>
                </c:pt>
                <c:pt idx="978">
                  <c:v>1.9722158832719816</c:v>
                </c:pt>
                <c:pt idx="979">
                  <c:v>2.0196603182621877</c:v>
                </c:pt>
                <c:pt idx="980">
                  <c:v>2.0002731736189081</c:v>
                </c:pt>
                <c:pt idx="981">
                  <c:v>1.9712478590712286</c:v>
                </c:pt>
                <c:pt idx="982">
                  <c:v>1.990958975999422</c:v>
                </c:pt>
                <c:pt idx="983">
                  <c:v>1.9912995751594949</c:v>
                </c:pt>
                <c:pt idx="984">
                  <c:v>2.0000655435206891</c:v>
                </c:pt>
                <c:pt idx="985">
                  <c:v>2.0069728606841761</c:v>
                </c:pt>
                <c:pt idx="986">
                  <c:v>2.0096828000957436</c:v>
                </c:pt>
                <c:pt idx="987">
                  <c:v>1.970915755494755</c:v>
                </c:pt>
                <c:pt idx="988">
                  <c:v>1.9667008095028244</c:v>
                </c:pt>
                <c:pt idx="989">
                  <c:v>1.9812548150982308</c:v>
                </c:pt>
                <c:pt idx="990">
                  <c:v>2.0005991192544865</c:v>
                </c:pt>
                <c:pt idx="991">
                  <c:v>2.0064499482965639</c:v>
                </c:pt>
                <c:pt idx="992">
                  <c:v>2.0030625768796462</c:v>
                </c:pt>
                <c:pt idx="993">
                  <c:v>2.0081064121472281</c:v>
                </c:pt>
                <c:pt idx="994">
                  <c:v>1.9916543238122362</c:v>
                </c:pt>
                <c:pt idx="995">
                  <c:v>1.9931892013171282</c:v>
                </c:pt>
                <c:pt idx="996">
                  <c:v>1.9970827076909816</c:v>
                </c:pt>
                <c:pt idx="997">
                  <c:v>1.9975902647015131</c:v>
                </c:pt>
                <c:pt idx="998">
                  <c:v>1.9948688573721201</c:v>
                </c:pt>
                <c:pt idx="999">
                  <c:v>2.0029508106449447</c:v>
                </c:pt>
                <c:pt idx="1000">
                  <c:v>1.9823275208701319</c:v>
                </c:pt>
                <c:pt idx="1001">
                  <c:v>1.9739611437699531</c:v>
                </c:pt>
                <c:pt idx="1002">
                  <c:v>1.9792719688293241</c:v>
                </c:pt>
                <c:pt idx="1003">
                  <c:v>1.9611310036949947</c:v>
                </c:pt>
                <c:pt idx="1004">
                  <c:v>1.9719009992427465</c:v>
                </c:pt>
                <c:pt idx="1005">
                  <c:v>1.9664111294546325</c:v>
                </c:pt>
                <c:pt idx="1006">
                  <c:v>1.9624829170922276</c:v>
                </c:pt>
                <c:pt idx="1007">
                  <c:v>1.9589594248175677</c:v>
                </c:pt>
                <c:pt idx="1008">
                  <c:v>1.9593620951036765</c:v>
                </c:pt>
                <c:pt idx="1009">
                  <c:v>1.959072831211</c:v>
                </c:pt>
                <c:pt idx="1010">
                  <c:v>1.9557966646574241</c:v>
                </c:pt>
                <c:pt idx="1011">
                  <c:v>1.9782213933682318</c:v>
                </c:pt>
                <c:pt idx="1012">
                  <c:v>1.9721466591458428</c:v>
                </c:pt>
                <c:pt idx="1013">
                  <c:v>1.9598578288424373</c:v>
                </c:pt>
                <c:pt idx="1014">
                  <c:v>1.9700486462646383</c:v>
                </c:pt>
                <c:pt idx="1015">
                  <c:v>1.9563144130487837</c:v>
                </c:pt>
                <c:pt idx="1016">
                  <c:v>1.9733756979614312</c:v>
                </c:pt>
                <c:pt idx="1017">
                  <c:v>1.9757620573494372</c:v>
                </c:pt>
                <c:pt idx="1018">
                  <c:v>1.9860827670949281</c:v>
                </c:pt>
                <c:pt idx="1019">
                  <c:v>1.9831353538940271</c:v>
                </c:pt>
                <c:pt idx="1020">
                  <c:v>1.9822072039164134</c:v>
                </c:pt>
                <c:pt idx="1021">
                  <c:v>2.0187885426295731</c:v>
                </c:pt>
                <c:pt idx="1022">
                  <c:v>2.0110401599341445</c:v>
                </c:pt>
                <c:pt idx="1023">
                  <c:v>1.9927015600566302</c:v>
                </c:pt>
                <c:pt idx="1024">
                  <c:v>2.0142322986620713</c:v>
                </c:pt>
                <c:pt idx="1025">
                  <c:v>2.0137285142141237</c:v>
                </c:pt>
                <c:pt idx="1026">
                  <c:v>2.02069619430993</c:v>
                </c:pt>
                <c:pt idx="1027">
                  <c:v>2.0160252693536265</c:v>
                </c:pt>
                <c:pt idx="1028">
                  <c:v>2.0031767233892541</c:v>
                </c:pt>
                <c:pt idx="1029">
                  <c:v>2.0090542949404564</c:v>
                </c:pt>
                <c:pt idx="1030">
                  <c:v>2.0211977770775578</c:v>
                </c:pt>
                <c:pt idx="1031">
                  <c:v>2.0224034149330126</c:v>
                </c:pt>
                <c:pt idx="1032">
                  <c:v>2.0228668792116289</c:v>
                </c:pt>
                <c:pt idx="1033">
                  <c:v>2.0201015927868888</c:v>
                </c:pt>
                <c:pt idx="1034">
                  <c:v>2.012011128048484</c:v>
                </c:pt>
                <c:pt idx="1035">
                  <c:v>2.0178840815892864</c:v>
                </c:pt>
                <c:pt idx="1036">
                  <c:v>1.9534963719599112</c:v>
                </c:pt>
                <c:pt idx="1037">
                  <c:v>1.944627452089646</c:v>
                </c:pt>
                <c:pt idx="1038">
                  <c:v>1.9225727849594585</c:v>
                </c:pt>
                <c:pt idx="1039">
                  <c:v>1.9046392691092191</c:v>
                </c:pt>
                <c:pt idx="1040">
                  <c:v>1.9049704116612978</c:v>
                </c:pt>
                <c:pt idx="1041">
                  <c:v>1.8820442195605331</c:v>
                </c:pt>
                <c:pt idx="1042">
                  <c:v>1.8753699724431652</c:v>
                </c:pt>
                <c:pt idx="1043">
                  <c:v>1.8954460130313373</c:v>
                </c:pt>
                <c:pt idx="1044">
                  <c:v>1.8824826720719241</c:v>
                </c:pt>
                <c:pt idx="1045">
                  <c:v>1.8852828959882155</c:v>
                </c:pt>
                <c:pt idx="1046">
                  <c:v>1.8955918896587578</c:v>
                </c:pt>
                <c:pt idx="1047">
                  <c:v>1.9005733342381559</c:v>
                </c:pt>
                <c:pt idx="1048">
                  <c:v>1.900020740252566</c:v>
                </c:pt>
                <c:pt idx="1049">
                  <c:v>1.8765758692425401</c:v>
                </c:pt>
                <c:pt idx="1050">
                  <c:v>1.8719155829214642</c:v>
                </c:pt>
                <c:pt idx="1051">
                  <c:v>1.8823769073444114</c:v>
                </c:pt>
                <c:pt idx="1052">
                  <c:v>1.8891409038843594</c:v>
                </c:pt>
                <c:pt idx="1053">
                  <c:v>1.8866041729664349</c:v>
                </c:pt>
                <c:pt idx="1054">
                  <c:v>1.896077098455889</c:v>
                </c:pt>
                <c:pt idx="1055">
                  <c:v>1.8928608308994088</c:v>
                </c:pt>
                <c:pt idx="1056">
                  <c:v>1.8923176405355551</c:v>
                </c:pt>
                <c:pt idx="1057">
                  <c:v>1.8985111653089721</c:v>
                </c:pt>
                <c:pt idx="1058">
                  <c:v>1.8799301036276996</c:v>
                </c:pt>
                <c:pt idx="1059">
                  <c:v>1.8725490416418509</c:v>
                </c:pt>
                <c:pt idx="1060">
                  <c:v>1.8728302838002999</c:v>
                </c:pt>
                <c:pt idx="1061">
                  <c:v>1.8861448832004319</c:v>
                </c:pt>
                <c:pt idx="1062">
                  <c:v>1.8872962694371371</c:v>
                </c:pt>
                <c:pt idx="1063">
                  <c:v>1.8982091017115315</c:v>
                </c:pt>
                <c:pt idx="1064">
                  <c:v>1.8863724704471749</c:v>
                </c:pt>
                <c:pt idx="1065">
                  <c:v>1.8793106305654674</c:v>
                </c:pt>
                <c:pt idx="1066">
                  <c:v>1.8748864035226498</c:v>
                </c:pt>
                <c:pt idx="1067">
                  <c:v>1.8778983458092102</c:v>
                </c:pt>
                <c:pt idx="1068">
                  <c:v>1.8852504133725563</c:v>
                </c:pt>
                <c:pt idx="1069">
                  <c:v>1.8624931039126338</c:v>
                </c:pt>
                <c:pt idx="1070">
                  <c:v>1.8359774595648068</c:v>
                </c:pt>
                <c:pt idx="1071">
                  <c:v>1.8401683725092501</c:v>
                </c:pt>
                <c:pt idx="1072">
                  <c:v>1.8477395454576093</c:v>
                </c:pt>
                <c:pt idx="1073">
                  <c:v>1.8522492240366071</c:v>
                </c:pt>
                <c:pt idx="1074">
                  <c:v>1.8536674006838894</c:v>
                </c:pt>
                <c:pt idx="1075">
                  <c:v>1.8481063685746004</c:v>
                </c:pt>
                <c:pt idx="1076">
                  <c:v>1.8407880393586531</c:v>
                </c:pt>
                <c:pt idx="1077">
                  <c:v>1.848263250774989</c:v>
                </c:pt>
                <c:pt idx="1078">
                  <c:v>1.8542396618409465</c:v>
                </c:pt>
                <c:pt idx="1079">
                  <c:v>1.8582085203524918</c:v>
                </c:pt>
                <c:pt idx="1080">
                  <c:v>1.8563100740275453</c:v>
                </c:pt>
                <c:pt idx="1081">
                  <c:v>1.8698498078481609</c:v>
                </c:pt>
                <c:pt idx="1082">
                  <c:v>1.8430492125144053</c:v>
                </c:pt>
                <c:pt idx="1083">
                  <c:v>1.832324057642905</c:v>
                </c:pt>
                <c:pt idx="1084">
                  <c:v>1.8393437038800113</c:v>
                </c:pt>
                <c:pt idx="1085">
                  <c:v>1.8449425420720054</c:v>
                </c:pt>
                <c:pt idx="1086">
                  <c:v>1.8434241922904631</c:v>
                </c:pt>
                <c:pt idx="1087">
                  <c:v>1.8418686964214679</c:v>
                </c:pt>
                <c:pt idx="1088">
                  <c:v>1.8263409973117921</c:v>
                </c:pt>
                <c:pt idx="1089">
                  <c:v>1.7993908406531005</c:v>
                </c:pt>
                <c:pt idx="1090">
                  <c:v>1.7705564346444151</c:v>
                </c:pt>
                <c:pt idx="1091">
                  <c:v>1.7750580372651628</c:v>
                </c:pt>
                <c:pt idx="1092">
                  <c:v>1.7740565431335598</c:v>
                </c:pt>
                <c:pt idx="1093">
                  <c:v>1.7778149723932246</c:v>
                </c:pt>
                <c:pt idx="1094">
                  <c:v>1.7735062403092219</c:v>
                </c:pt>
                <c:pt idx="1095">
                  <c:v>1.7567168823786814</c:v>
                </c:pt>
                <c:pt idx="1096">
                  <c:v>1.7694767434934573</c:v>
                </c:pt>
                <c:pt idx="1097">
                  <c:v>1.7700255049850653</c:v>
                </c:pt>
                <c:pt idx="1098">
                  <c:v>1.7628205128205128</c:v>
                </c:pt>
                <c:pt idx="1099">
                  <c:v>1.7710117212771623</c:v>
                </c:pt>
                <c:pt idx="1100">
                  <c:v>1.7699050624960531</c:v>
                </c:pt>
                <c:pt idx="1101">
                  <c:v>1.7930648298799485</c:v>
                </c:pt>
                <c:pt idx="1102">
                  <c:v>1.8188557615380361</c:v>
                </c:pt>
                <c:pt idx="1103">
                  <c:v>1.8487768973012761</c:v>
                </c:pt>
                <c:pt idx="1104">
                  <c:v>1.8791030409728984</c:v>
                </c:pt>
                <c:pt idx="1105">
                  <c:v>1.8882381545572184</c:v>
                </c:pt>
                <c:pt idx="1106">
                  <c:v>1.8727242239927704</c:v>
                </c:pt>
                <c:pt idx="1107">
                  <c:v>1.8835668234297251</c:v>
                </c:pt>
                <c:pt idx="1108">
                  <c:v>1.8722686300494091</c:v>
                </c:pt>
                <c:pt idx="1109">
                  <c:v>1.8692465946551837</c:v>
                </c:pt>
                <c:pt idx="1110">
                  <c:v>1.8728081523168065</c:v>
                </c:pt>
                <c:pt idx="1111">
                  <c:v>1.8858683224998676</c:v>
                </c:pt>
                <c:pt idx="1112">
                  <c:v>1.8801537382769835</c:v>
                </c:pt>
                <c:pt idx="1113">
                  <c:v>1.8782148254886959</c:v>
                </c:pt>
                <c:pt idx="1114">
                  <c:v>1.9107346954639153</c:v>
                </c:pt>
                <c:pt idx="1115">
                  <c:v>1.8956214500584707</c:v>
                </c:pt>
                <c:pt idx="1116">
                  <c:v>1.8924164487031185</c:v>
                </c:pt>
                <c:pt idx="1117">
                  <c:v>1.8712541053073921</c:v>
                </c:pt>
                <c:pt idx="1118">
                  <c:v>1.8848583547035331</c:v>
                </c:pt>
                <c:pt idx="1119">
                  <c:v>1.8781307201058268</c:v>
                </c:pt>
                <c:pt idx="1120">
                  <c:v>1.8855166543713275</c:v>
                </c:pt>
                <c:pt idx="1121">
                  <c:v>1.8816059304589747</c:v>
                </c:pt>
                <c:pt idx="1122">
                  <c:v>1.8728554257883876</c:v>
                </c:pt>
                <c:pt idx="1123">
                  <c:v>1.8662898646445105</c:v>
                </c:pt>
                <c:pt idx="1124">
                  <c:v>1.86333805721581</c:v>
                </c:pt>
                <c:pt idx="1125">
                  <c:v>1.8692579987966034</c:v>
                </c:pt>
                <c:pt idx="1126">
                  <c:v>1.8673672411761322</c:v>
                </c:pt>
                <c:pt idx="1127">
                  <c:v>1.8610142195392469</c:v>
                </c:pt>
                <c:pt idx="1128">
                  <c:v>1.871991196321747</c:v>
                </c:pt>
                <c:pt idx="1129">
                  <c:v>1.8706922249977926</c:v>
                </c:pt>
                <c:pt idx="1130">
                  <c:v>1.8724889762896968</c:v>
                </c:pt>
                <c:pt idx="1131">
                  <c:v>1.8737269714447642</c:v>
                </c:pt>
                <c:pt idx="1132">
                  <c:v>1.8644534866490023</c:v>
                </c:pt>
                <c:pt idx="1133">
                  <c:v>1.8548549583090064</c:v>
                </c:pt>
                <c:pt idx="1134">
                  <c:v>1.8440887404041872</c:v>
                </c:pt>
                <c:pt idx="1135">
                  <c:v>1.829616703088317</c:v>
                </c:pt>
                <c:pt idx="1136">
                  <c:v>1.8240689754632997</c:v>
                </c:pt>
                <c:pt idx="1137">
                  <c:v>1.8252313899936334</c:v>
                </c:pt>
                <c:pt idx="1138">
                  <c:v>1.8335432151189255</c:v>
                </c:pt>
                <c:pt idx="1139">
                  <c:v>1.8315222960877868</c:v>
                </c:pt>
                <c:pt idx="1140">
                  <c:v>1.8283813459503704</c:v>
                </c:pt>
                <c:pt idx="1141">
                  <c:v>1.8475048226061401</c:v>
                </c:pt>
                <c:pt idx="1142">
                  <c:v>1.8598168808811655</c:v>
                </c:pt>
                <c:pt idx="1143">
                  <c:v>1.8592020563501999</c:v>
                </c:pt>
                <c:pt idx="1144">
                  <c:v>1.8770490913433355</c:v>
                </c:pt>
                <c:pt idx="1145">
                  <c:v>1.8472884177691835</c:v>
                </c:pt>
                <c:pt idx="1146">
                  <c:v>1.8545704064835806</c:v>
                </c:pt>
                <c:pt idx="1147">
                  <c:v>1.8529908604836112</c:v>
                </c:pt>
                <c:pt idx="1148">
                  <c:v>1.8533150591172463</c:v>
                </c:pt>
                <c:pt idx="1149">
                  <c:v>1.8404752647934706</c:v>
                </c:pt>
                <c:pt idx="1150">
                  <c:v>1.8311163835191742</c:v>
                </c:pt>
                <c:pt idx="1151">
                  <c:v>1.8625637998949625</c:v>
                </c:pt>
                <c:pt idx="1152">
                  <c:v>1.8431450296677319</c:v>
                </c:pt>
                <c:pt idx="1153">
                  <c:v>1.8429468356367884</c:v>
                </c:pt>
                <c:pt idx="1154">
                  <c:v>1.8300564852485861</c:v>
                </c:pt>
                <c:pt idx="1155">
                  <c:v>1.8367987006397897</c:v>
                </c:pt>
                <c:pt idx="1156">
                  <c:v>1.8237241059469445</c:v>
                </c:pt>
                <c:pt idx="1157">
                  <c:v>1.8371853404340532</c:v>
                </c:pt>
                <c:pt idx="1158">
                  <c:v>1.8396510133036734</c:v>
                </c:pt>
                <c:pt idx="1159">
                  <c:v>1.8341167465309474</c:v>
                </c:pt>
                <c:pt idx="1160">
                  <c:v>1.8492592170957409</c:v>
                </c:pt>
                <c:pt idx="1161">
                  <c:v>1.8613230166360331</c:v>
                </c:pt>
                <c:pt idx="1162">
                  <c:v>1.8577659696734439</c:v>
                </c:pt>
                <c:pt idx="1163">
                  <c:v>1.8681174401377292</c:v>
                </c:pt>
                <c:pt idx="1164">
                  <c:v>1.868998889532957</c:v>
                </c:pt>
                <c:pt idx="1165">
                  <c:v>1.8716781682503583</c:v>
                </c:pt>
                <c:pt idx="1166">
                  <c:v>1.8829589774529294</c:v>
                </c:pt>
                <c:pt idx="1167">
                  <c:v>1.8982026991166843</c:v>
                </c:pt>
                <c:pt idx="1168">
                  <c:v>1.8942592674638221</c:v>
                </c:pt>
                <c:pt idx="1169">
                  <c:v>1.8955878152587657</c:v>
                </c:pt>
                <c:pt idx="1170">
                  <c:v>1.8974114364434405</c:v>
                </c:pt>
                <c:pt idx="1171">
                  <c:v>1.9182333094529267</c:v>
                </c:pt>
                <c:pt idx="1172">
                  <c:v>1.9452953385196021</c:v>
                </c:pt>
                <c:pt idx="1173">
                  <c:v>1.9377010283343303</c:v>
                </c:pt>
                <c:pt idx="1174">
                  <c:v>1.9558712170133628</c:v>
                </c:pt>
                <c:pt idx="1175">
                  <c:v>1.9632777301530242</c:v>
                </c:pt>
                <c:pt idx="1176">
                  <c:v>1.982320140826584</c:v>
                </c:pt>
                <c:pt idx="1177">
                  <c:v>1.9829153185087485</c:v>
                </c:pt>
                <c:pt idx="1178">
                  <c:v>1.9759519761018252</c:v>
                </c:pt>
                <c:pt idx="1179">
                  <c:v>1.9836799831851419</c:v>
                </c:pt>
                <c:pt idx="1180">
                  <c:v>1.9605004949197233</c:v>
                </c:pt>
                <c:pt idx="1181">
                  <c:v>1.9440475449644661</c:v>
                </c:pt>
                <c:pt idx="1182">
                  <c:v>1.9555144038556327</c:v>
                </c:pt>
                <c:pt idx="1183">
                  <c:v>1.9608789844505969</c:v>
                </c:pt>
                <c:pt idx="1184">
                  <c:v>1.9480936958919346</c:v>
                </c:pt>
                <c:pt idx="1185">
                  <c:v>1.9049471593133749</c:v>
                </c:pt>
                <c:pt idx="1186">
                  <c:v>1.8870409825076833</c:v>
                </c:pt>
                <c:pt idx="1187">
                  <c:v>1.8871774746380778</c:v>
                </c:pt>
                <c:pt idx="1188">
                  <c:v>1.8739959162978823</c:v>
                </c:pt>
                <c:pt idx="1189">
                  <c:v>1.8698828063092747</c:v>
                </c:pt>
                <c:pt idx="1190">
                  <c:v>1.8779175450439451</c:v>
                </c:pt>
                <c:pt idx="1191">
                  <c:v>1.8823901334165689</c:v>
                </c:pt>
                <c:pt idx="1192">
                  <c:v>1.894059640433464</c:v>
                </c:pt>
                <c:pt idx="1193">
                  <c:v>1.8936049962614574</c:v>
                </c:pt>
                <c:pt idx="1194">
                  <c:v>1.906233959425147</c:v>
                </c:pt>
                <c:pt idx="1195">
                  <c:v>1.9040878941780959</c:v>
                </c:pt>
                <c:pt idx="1196">
                  <c:v>1.8826154109022319</c:v>
                </c:pt>
                <c:pt idx="1197">
                  <c:v>1.9049753603209103</c:v>
                </c:pt>
                <c:pt idx="1198">
                  <c:v>1.879447677375796</c:v>
                </c:pt>
                <c:pt idx="1199">
                  <c:v>1.8806094550563026</c:v>
                </c:pt>
                <c:pt idx="1200">
                  <c:v>1.8876626057010766</c:v>
                </c:pt>
                <c:pt idx="1201">
                  <c:v>1.8877592767464211</c:v>
                </c:pt>
                <c:pt idx="1202">
                  <c:v>1.8816133618741842</c:v>
                </c:pt>
                <c:pt idx="1203">
                  <c:v>1.8839950689212113</c:v>
                </c:pt>
                <c:pt idx="1204">
                  <c:v>1.8828532082837235</c:v>
                </c:pt>
                <c:pt idx="1205">
                  <c:v>1.8841056208548923</c:v>
                </c:pt>
                <c:pt idx="1206">
                  <c:v>1.8705266033630017</c:v>
                </c:pt>
                <c:pt idx="1207">
                  <c:v>1.8707974766996482</c:v>
                </c:pt>
                <c:pt idx="1208">
                  <c:v>1.8834684848476655</c:v>
                </c:pt>
                <c:pt idx="1209">
                  <c:v>1.8938220472730067</c:v>
                </c:pt>
                <c:pt idx="1210">
                  <c:v>1.8964396653740232</c:v>
                </c:pt>
                <c:pt idx="1211">
                  <c:v>1.9092367776653669</c:v>
                </c:pt>
                <c:pt idx="1212">
                  <c:v>1.9076739150282773</c:v>
                </c:pt>
                <c:pt idx="1213">
                  <c:v>1.9087066387337284</c:v>
                </c:pt>
                <c:pt idx="1214">
                  <c:v>1.9109118202440178</c:v>
                </c:pt>
                <c:pt idx="1215">
                  <c:v>1.8935991950079309</c:v>
                </c:pt>
                <c:pt idx="1216">
                  <c:v>1.896366673997034</c:v>
                </c:pt>
                <c:pt idx="1217">
                  <c:v>1.9014070689848905</c:v>
                </c:pt>
                <c:pt idx="1218">
                  <c:v>1.9013877346190606</c:v>
                </c:pt>
                <c:pt idx="1219">
                  <c:v>1.8992175521269479</c:v>
                </c:pt>
                <c:pt idx="1220">
                  <c:v>1.9012837161847762</c:v>
                </c:pt>
                <c:pt idx="1221">
                  <c:v>1.9159248556736364</c:v>
                </c:pt>
                <c:pt idx="1222">
                  <c:v>1.8921945451277289</c:v>
                </c:pt>
                <c:pt idx="1223">
                  <c:v>1.9182551841898965</c:v>
                </c:pt>
                <c:pt idx="1224">
                  <c:v>1.9316319037885255</c:v>
                </c:pt>
                <c:pt idx="1225">
                  <c:v>1.9370461991420815</c:v>
                </c:pt>
                <c:pt idx="1226">
                  <c:v>1.9415279342727196</c:v>
                </c:pt>
                <c:pt idx="1227">
                  <c:v>1.9363855062764965</c:v>
                </c:pt>
                <c:pt idx="1228">
                  <c:v>1.9328281008408652</c:v>
                </c:pt>
                <c:pt idx="1229">
                  <c:v>1.9111051295691592</c:v>
                </c:pt>
                <c:pt idx="1230">
                  <c:v>1.9076606145620583</c:v>
                </c:pt>
                <c:pt idx="1231">
                  <c:v>1.8857127336053676</c:v>
                </c:pt>
                <c:pt idx="1232">
                  <c:v>1.8887692010734545</c:v>
                </c:pt>
                <c:pt idx="1233">
                  <c:v>1.8926191681551521</c:v>
                </c:pt>
                <c:pt idx="1234">
                  <c:v>1.8893629829332939</c:v>
                </c:pt>
                <c:pt idx="1235">
                  <c:v>1.9129968717557833</c:v>
                </c:pt>
                <c:pt idx="1236">
                  <c:v>1.9129304425618603</c:v>
                </c:pt>
                <c:pt idx="1237">
                  <c:v>1.8992927215534914</c:v>
                </c:pt>
                <c:pt idx="1238">
                  <c:v>1.8777167648371325</c:v>
                </c:pt>
                <c:pt idx="1239">
                  <c:v>1.8775167547405673</c:v>
                </c:pt>
                <c:pt idx="1240">
                  <c:v>1.8954169442688864</c:v>
                </c:pt>
                <c:pt idx="1241">
                  <c:v>1.9068781811135513</c:v>
                </c:pt>
                <c:pt idx="1242">
                  <c:v>1.9093009240314374</c:v>
                </c:pt>
                <c:pt idx="1243">
                  <c:v>1.9142005432672591</c:v>
                </c:pt>
                <c:pt idx="1244">
                  <c:v>1.9039533949268181</c:v>
                </c:pt>
                <c:pt idx="1245">
                  <c:v>1.90613543010027</c:v>
                </c:pt>
                <c:pt idx="1246">
                  <c:v>1.900728547269376</c:v>
                </c:pt>
                <c:pt idx="1247">
                  <c:v>1.9069500738313381</c:v>
                </c:pt>
                <c:pt idx="1248">
                  <c:v>1.908163511895868</c:v>
                </c:pt>
                <c:pt idx="1249">
                  <c:v>1.9037677662710581</c:v>
                </c:pt>
                <c:pt idx="1250">
                  <c:v>1.9176127550701771</c:v>
                </c:pt>
                <c:pt idx="1251">
                  <c:v>1.9333155282880516</c:v>
                </c:pt>
                <c:pt idx="1252">
                  <c:v>1.9415371735822626</c:v>
                </c:pt>
                <c:pt idx="1253">
                  <c:v>1.9337319662694499</c:v>
                </c:pt>
                <c:pt idx="1254">
                  <c:v>1.9288232882044352</c:v>
                </c:pt>
                <c:pt idx="1255">
                  <c:v>1.9316605669018305</c:v>
                </c:pt>
                <c:pt idx="1256">
                  <c:v>1.9315483375166427</c:v>
                </c:pt>
                <c:pt idx="1257">
                  <c:v>1.9267775024043927</c:v>
                </c:pt>
                <c:pt idx="1258">
                  <c:v>1.9324161383527279</c:v>
                </c:pt>
                <c:pt idx="1259">
                  <c:v>1.9290476778874159</c:v>
                </c:pt>
                <c:pt idx="1260">
                  <c:v>1.8842472031495858</c:v>
                </c:pt>
                <c:pt idx="1261">
                  <c:v>1.8850630540051063</c:v>
                </c:pt>
                <c:pt idx="1262">
                  <c:v>1.8847734667697458</c:v>
                </c:pt>
                <c:pt idx="1263">
                  <c:v>1.9026891196278595</c:v>
                </c:pt>
                <c:pt idx="1264">
                  <c:v>1.9218389374904985</c:v>
                </c:pt>
                <c:pt idx="1265">
                  <c:v>1.9320172331206036</c:v>
                </c:pt>
                <c:pt idx="1266">
                  <c:v>1.9577950767790342</c:v>
                </c:pt>
                <c:pt idx="1267">
                  <c:v>1.9623854200291873</c:v>
                </c:pt>
                <c:pt idx="1268">
                  <c:v>1.9694672625297844</c:v>
                </c:pt>
                <c:pt idx="1269">
                  <c:v>1.9605412326766931</c:v>
                </c:pt>
                <c:pt idx="1270">
                  <c:v>1.9572560883189458</c:v>
                </c:pt>
                <c:pt idx="1271">
                  <c:v>1.9732218129958838</c:v>
                </c:pt>
                <c:pt idx="1272">
                  <c:v>1.9646323033200581</c:v>
                </c:pt>
                <c:pt idx="1273">
                  <c:v>1.9870865318862638</c:v>
                </c:pt>
                <c:pt idx="1274">
                  <c:v>1.9763527672997594</c:v>
                </c:pt>
                <c:pt idx="1275">
                  <c:v>1.9889842189789531</c:v>
                </c:pt>
                <c:pt idx="1276">
                  <c:v>1.9993758335316596</c:v>
                </c:pt>
                <c:pt idx="1277">
                  <c:v>2.0048503856414475</c:v>
                </c:pt>
                <c:pt idx="1278">
                  <c:v>1.9918949319983459</c:v>
                </c:pt>
                <c:pt idx="1279">
                  <c:v>1.9950041344976133</c:v>
                </c:pt>
                <c:pt idx="1280">
                  <c:v>1.9990525473657585</c:v>
                </c:pt>
                <c:pt idx="1281">
                  <c:v>1.9781781847301498</c:v>
                </c:pt>
                <c:pt idx="1282">
                  <c:v>1.982221707498673</c:v>
                </c:pt>
                <c:pt idx="1283">
                  <c:v>1.9599192412136901</c:v>
                </c:pt>
                <c:pt idx="1284">
                  <c:v>1.9410866686531825</c:v>
                </c:pt>
                <c:pt idx="1285">
                  <c:v>1.9122036862900651</c:v>
                </c:pt>
                <c:pt idx="1286">
                  <c:v>1.9135740648253929</c:v>
                </c:pt>
                <c:pt idx="1287">
                  <c:v>1.9151516477353521</c:v>
                </c:pt>
                <c:pt idx="1288">
                  <c:v>1.963521563849274</c:v>
                </c:pt>
                <c:pt idx="1289">
                  <c:v>1.9635908147132153</c:v>
                </c:pt>
                <c:pt idx="1290">
                  <c:v>2.004947801957305</c:v>
                </c:pt>
                <c:pt idx="1291">
                  <c:v>2.0121037369360115</c:v>
                </c:pt>
                <c:pt idx="1292">
                  <c:v>2.0481221889399279</c:v>
                </c:pt>
                <c:pt idx="1293">
                  <c:v>2.04269797530422</c:v>
                </c:pt>
                <c:pt idx="1294">
                  <c:v>2.0421559258163215</c:v>
                </c:pt>
                <c:pt idx="1295">
                  <c:v>2.0047841707736338</c:v>
                </c:pt>
                <c:pt idx="1296">
                  <c:v>2.0370093919619028</c:v>
                </c:pt>
                <c:pt idx="1297">
                  <c:v>2.0276934432411684</c:v>
                </c:pt>
                <c:pt idx="1298">
                  <c:v>2.0203897144774294</c:v>
                </c:pt>
                <c:pt idx="1299">
                  <c:v>2.0140100008163797</c:v>
                </c:pt>
                <c:pt idx="1300">
                  <c:v>2.0193049516351076</c:v>
                </c:pt>
                <c:pt idx="1301">
                  <c:v>2.0308261312178408</c:v>
                </c:pt>
                <c:pt idx="1302">
                  <c:v>2.0461592468042249</c:v>
                </c:pt>
                <c:pt idx="1303">
                  <c:v>2.0256923918562046</c:v>
                </c:pt>
                <c:pt idx="1304">
                  <c:v>2.0294584877699302</c:v>
                </c:pt>
                <c:pt idx="1305">
                  <c:v>2.025858645582181</c:v>
                </c:pt>
                <c:pt idx="1306">
                  <c:v>2.0120570141969023</c:v>
                </c:pt>
                <c:pt idx="1307">
                  <c:v>2.0311893642789638</c:v>
                </c:pt>
                <c:pt idx="1308">
                  <c:v>2.0375158368299475</c:v>
                </c:pt>
                <c:pt idx="1309">
                  <c:v>2.0213466524826713</c:v>
                </c:pt>
                <c:pt idx="1310">
                  <c:v>2.0272895579157058</c:v>
                </c:pt>
                <c:pt idx="1311">
                  <c:v>2.0214613307598528</c:v>
                </c:pt>
                <c:pt idx="1312">
                  <c:v>1.9919052549455412</c:v>
                </c:pt>
                <c:pt idx="1313">
                  <c:v>1.9559568204371875</c:v>
                </c:pt>
                <c:pt idx="1314">
                  <c:v>1.9418592152029341</c:v>
                </c:pt>
                <c:pt idx="1315">
                  <c:v>2.0068577046125688</c:v>
                </c:pt>
                <c:pt idx="1316">
                  <c:v>1.9822256664227085</c:v>
                </c:pt>
                <c:pt idx="1317">
                  <c:v>1.981830155403397</c:v>
                </c:pt>
                <c:pt idx="1318">
                  <c:v>1.9889834601848106</c:v>
                </c:pt>
                <c:pt idx="1319">
                  <c:v>1.9988833826029502</c:v>
                </c:pt>
                <c:pt idx="1320">
                  <c:v>1.9981360811530289</c:v>
                </c:pt>
                <c:pt idx="1321">
                  <c:v>2.0009460613953909</c:v>
                </c:pt>
                <c:pt idx="1322">
                  <c:v>2.0085023997510101</c:v>
                </c:pt>
                <c:pt idx="1323">
                  <c:v>2.004538191956744</c:v>
                </c:pt>
                <c:pt idx="1324">
                  <c:v>2.0035796549303946</c:v>
                </c:pt>
                <c:pt idx="1325">
                  <c:v>1.9880888116611173</c:v>
                </c:pt>
                <c:pt idx="1326">
                  <c:v>1.9881363687151188</c:v>
                </c:pt>
                <c:pt idx="1327">
                  <c:v>1.9918559267816107</c:v>
                </c:pt>
                <c:pt idx="1328">
                  <c:v>1.9840543351591711</c:v>
                </c:pt>
                <c:pt idx="1329">
                  <c:v>1.9896300846313513</c:v>
                </c:pt>
                <c:pt idx="1330">
                  <c:v>2.0114908941549103</c:v>
                </c:pt>
                <c:pt idx="1331">
                  <c:v>1.929295282853654</c:v>
                </c:pt>
                <c:pt idx="1332">
                  <c:v>1.893516848537548</c:v>
                </c:pt>
                <c:pt idx="1333">
                  <c:v>1.9720070487889305</c:v>
                </c:pt>
                <c:pt idx="1334">
                  <c:v>1.9825274537736259</c:v>
                </c:pt>
                <c:pt idx="1335">
                  <c:v>1.9943333011130853</c:v>
                </c:pt>
                <c:pt idx="1336">
                  <c:v>2.0124973963757551</c:v>
                </c:pt>
                <c:pt idx="1337">
                  <c:v>1.9960906284505426</c:v>
                </c:pt>
                <c:pt idx="1338">
                  <c:v>1.9982461056404837</c:v>
                </c:pt>
                <c:pt idx="1339">
                  <c:v>2.0025885195521198</c:v>
                </c:pt>
                <c:pt idx="1340">
                  <c:v>1.9993376439616712</c:v>
                </c:pt>
                <c:pt idx="1341">
                  <c:v>1.9907413299395478</c:v>
                </c:pt>
                <c:pt idx="1342">
                  <c:v>1.9901066663134805</c:v>
                </c:pt>
                <c:pt idx="1343">
                  <c:v>2.0104876396648677</c:v>
                </c:pt>
                <c:pt idx="1344">
                  <c:v>2.0036922889965876</c:v>
                </c:pt>
                <c:pt idx="1345">
                  <c:v>2.0032968950790844</c:v>
                </c:pt>
                <c:pt idx="1346">
                  <c:v>1.994310709078466</c:v>
                </c:pt>
                <c:pt idx="1347">
                  <c:v>2.0034167092583304</c:v>
                </c:pt>
                <c:pt idx="1348">
                  <c:v>2.0098843095070604</c:v>
                </c:pt>
                <c:pt idx="1349">
                  <c:v>2.0120907466149074</c:v>
                </c:pt>
                <c:pt idx="1350">
                  <c:v>2.0109111113788036</c:v>
                </c:pt>
                <c:pt idx="1351">
                  <c:v>2.0065975722942007</c:v>
                </c:pt>
                <c:pt idx="1352">
                  <c:v>2.0057524890349834</c:v>
                </c:pt>
                <c:pt idx="1353">
                  <c:v>1.9857456887210132</c:v>
                </c:pt>
                <c:pt idx="1354">
                  <c:v>1.9927175171964349</c:v>
                </c:pt>
                <c:pt idx="1355">
                  <c:v>1.991285006577693</c:v>
                </c:pt>
                <c:pt idx="1356">
                  <c:v>1.994133597570015</c:v>
                </c:pt>
                <c:pt idx="1357">
                  <c:v>2.0066030470188547</c:v>
                </c:pt>
                <c:pt idx="1358">
                  <c:v>2.0012029945777368</c:v>
                </c:pt>
                <c:pt idx="1359">
                  <c:v>1.9976435525866176</c:v>
                </c:pt>
                <c:pt idx="1360">
                  <c:v>1.9794869712287273</c:v>
                </c:pt>
                <c:pt idx="1361">
                  <c:v>2.0021415523768837</c:v>
                </c:pt>
                <c:pt idx="1362">
                  <c:v>2.0355846311441566</c:v>
                </c:pt>
                <c:pt idx="1363">
                  <c:v>2.063790207252882</c:v>
                </c:pt>
                <c:pt idx="1364">
                  <c:v>2.0380971298414545</c:v>
                </c:pt>
                <c:pt idx="1365">
                  <c:v>2.0137556986930503</c:v>
                </c:pt>
                <c:pt idx="1366">
                  <c:v>2.0553942730974608</c:v>
                </c:pt>
                <c:pt idx="1367">
                  <c:v>2.0599434832203349</c:v>
                </c:pt>
                <c:pt idx="1368">
                  <c:v>2.0502228941040528</c:v>
                </c:pt>
                <c:pt idx="1369">
                  <c:v>2.0701682068478022</c:v>
                </c:pt>
                <c:pt idx="1370">
                  <c:v>2.0818901473784672</c:v>
                </c:pt>
                <c:pt idx="1371">
                  <c:v>2.077448127303088</c:v>
                </c:pt>
                <c:pt idx="1372">
                  <c:v>2.0731337173519395</c:v>
                </c:pt>
                <c:pt idx="1373">
                  <c:v>2.0805301507521969</c:v>
                </c:pt>
                <c:pt idx="1374">
                  <c:v>2.073692392970262</c:v>
                </c:pt>
                <c:pt idx="1375">
                  <c:v>2.0615249630124497</c:v>
                </c:pt>
                <c:pt idx="1376">
                  <c:v>2.0455688755699155</c:v>
                </c:pt>
                <c:pt idx="1377">
                  <c:v>2.0607734058344196</c:v>
                </c:pt>
                <c:pt idx="1378">
                  <c:v>2.0594762575461658</c:v>
                </c:pt>
                <c:pt idx="1379">
                  <c:v>2.071459535035161</c:v>
                </c:pt>
                <c:pt idx="1380">
                  <c:v>2.0592356234639908</c:v>
                </c:pt>
                <c:pt idx="1381">
                  <c:v>2.0600151434087062</c:v>
                </c:pt>
                <c:pt idx="1382">
                  <c:v>2.0747655115305705</c:v>
                </c:pt>
                <c:pt idx="1383">
                  <c:v>2.0837984380284236</c:v>
                </c:pt>
                <c:pt idx="1384">
                  <c:v>2.0720864941872721</c:v>
                </c:pt>
                <c:pt idx="1385">
                  <c:v>2.0675930209297091</c:v>
                </c:pt>
                <c:pt idx="1386">
                  <c:v>2.0374895326554658</c:v>
                </c:pt>
                <c:pt idx="1387">
                  <c:v>2.0377460904400175</c:v>
                </c:pt>
                <c:pt idx="1388">
                  <c:v>2.0614442264588817</c:v>
                </c:pt>
                <c:pt idx="1389">
                  <c:v>2.0715794093150399</c:v>
                </c:pt>
                <c:pt idx="1390">
                  <c:v>2.084745026671551</c:v>
                </c:pt>
                <c:pt idx="1391">
                  <c:v>2.1058151965319061</c:v>
                </c:pt>
                <c:pt idx="1392">
                  <c:v>2.1000866039444159</c:v>
                </c:pt>
                <c:pt idx="1393">
                  <c:v>2.1110788375869771</c:v>
                </c:pt>
                <c:pt idx="1394">
                  <c:v>2.1342277816375148</c:v>
                </c:pt>
                <c:pt idx="1395">
                  <c:v>2.1328770005626398</c:v>
                </c:pt>
                <c:pt idx="1396">
                  <c:v>2.1735083943256788</c:v>
                </c:pt>
                <c:pt idx="1397">
                  <c:v>2.1489980005153031</c:v>
                </c:pt>
                <c:pt idx="1398">
                  <c:v>2.1619028668693323</c:v>
                </c:pt>
                <c:pt idx="1399">
                  <c:v>2.1505786902613866</c:v>
                </c:pt>
                <c:pt idx="1400">
                  <c:v>2.141836354023579</c:v>
                </c:pt>
                <c:pt idx="1401">
                  <c:v>2.1406334629681751</c:v>
                </c:pt>
                <c:pt idx="1402">
                  <c:v>2.1451344376149599</c:v>
                </c:pt>
                <c:pt idx="1403">
                  <c:v>2.1627841700272574</c:v>
                </c:pt>
                <c:pt idx="1404">
                  <c:v>2.1570905663164455</c:v>
                </c:pt>
                <c:pt idx="1405">
                  <c:v>2.1299764694622483</c:v>
                </c:pt>
                <c:pt idx="1406">
                  <c:v>2.1208760208377329</c:v>
                </c:pt>
                <c:pt idx="1407">
                  <c:v>2.1416185578621771</c:v>
                </c:pt>
                <c:pt idx="1408">
                  <c:v>2.1427167438160439</c:v>
                </c:pt>
                <c:pt idx="1409">
                  <c:v>2.152898777224876</c:v>
                </c:pt>
                <c:pt idx="1410">
                  <c:v>2.1573143883501551</c:v>
                </c:pt>
                <c:pt idx="1411">
                  <c:v>2.1525980701279139</c:v>
                </c:pt>
                <c:pt idx="1412">
                  <c:v>2.1460908504774032</c:v>
                </c:pt>
                <c:pt idx="1413">
                  <c:v>2.1502731677799831</c:v>
                </c:pt>
                <c:pt idx="1414">
                  <c:v>2.149210065109997</c:v>
                </c:pt>
                <c:pt idx="1415">
                  <c:v>2.1391900303571028</c:v>
                </c:pt>
                <c:pt idx="1416">
                  <c:v>2.1151669824242112</c:v>
                </c:pt>
                <c:pt idx="1417">
                  <c:v>2.0982304742571989</c:v>
                </c:pt>
                <c:pt idx="1418">
                  <c:v>2.1312847471458776</c:v>
                </c:pt>
                <c:pt idx="1419">
                  <c:v>2.1228539218947882</c:v>
                </c:pt>
                <c:pt idx="1420">
                  <c:v>2.1110708588897396</c:v>
                </c:pt>
                <c:pt idx="1421">
                  <c:v>2.1139522145224663</c:v>
                </c:pt>
                <c:pt idx="1422">
                  <c:v>2.1183445966973173</c:v>
                </c:pt>
                <c:pt idx="1423">
                  <c:v>2.1362847483704734</c:v>
                </c:pt>
                <c:pt idx="1424">
                  <c:v>2.1177287952722597</c:v>
                </c:pt>
                <c:pt idx="1425">
                  <c:v>2.1149448735784069</c:v>
                </c:pt>
                <c:pt idx="1426">
                  <c:v>2.1277505610415899</c:v>
                </c:pt>
                <c:pt idx="1427">
                  <c:v>2.1339983422149542</c:v>
                </c:pt>
                <c:pt idx="1428">
                  <c:v>2.1624355967218629</c:v>
                </c:pt>
                <c:pt idx="1429">
                  <c:v>2.1238030628755826</c:v>
                </c:pt>
                <c:pt idx="1430">
                  <c:v>2.1280843721405098</c:v>
                </c:pt>
                <c:pt idx="1431">
                  <c:v>2.1270793328235489</c:v>
                </c:pt>
                <c:pt idx="1432">
                  <c:v>2.1208974438769994</c:v>
                </c:pt>
                <c:pt idx="1433">
                  <c:v>2.1161908364381361</c:v>
                </c:pt>
                <c:pt idx="1434">
                  <c:v>2.1191511072556497</c:v>
                </c:pt>
                <c:pt idx="1435">
                  <c:v>2.1229917193610004</c:v>
                </c:pt>
                <c:pt idx="1436">
                  <c:v>2.1211565964834689</c:v>
                </c:pt>
                <c:pt idx="1437">
                  <c:v>2.1302832679456221</c:v>
                </c:pt>
                <c:pt idx="1438">
                  <c:v>2.150984813449321</c:v>
                </c:pt>
                <c:pt idx="1439">
                  <c:v>2.1390058614985232</c:v>
                </c:pt>
                <c:pt idx="1440">
                  <c:v>2.1266901258535875</c:v>
                </c:pt>
                <c:pt idx="1441">
                  <c:v>2.1197573889937957</c:v>
                </c:pt>
                <c:pt idx="1442">
                  <c:v>2.1429669385306371</c:v>
                </c:pt>
                <c:pt idx="1443">
                  <c:v>2.1357994425926337</c:v>
                </c:pt>
                <c:pt idx="1444">
                  <c:v>2.1381467416935567</c:v>
                </c:pt>
                <c:pt idx="1445">
                  <c:v>2.1242213248343051</c:v>
                </c:pt>
                <c:pt idx="1446">
                  <c:v>2.1339826678828642</c:v>
                </c:pt>
                <c:pt idx="1447">
                  <c:v>2.1443956607982981</c:v>
                </c:pt>
                <c:pt idx="1448">
                  <c:v>2.1490554141620204</c:v>
                </c:pt>
                <c:pt idx="1449">
                  <c:v>2.1718152791630132</c:v>
                </c:pt>
                <c:pt idx="1450">
                  <c:v>2.1842961635461196</c:v>
                </c:pt>
                <c:pt idx="1451">
                  <c:v>2.1868896491363365</c:v>
                </c:pt>
                <c:pt idx="1452">
                  <c:v>2.1803009744289739</c:v>
                </c:pt>
                <c:pt idx="1453">
                  <c:v>2.1632857699233874</c:v>
                </c:pt>
                <c:pt idx="1454">
                  <c:v>2.1906615075199642</c:v>
                </c:pt>
                <c:pt idx="1455">
                  <c:v>2.1822547914317925</c:v>
                </c:pt>
                <c:pt idx="1456">
                  <c:v>2.1866205019500824</c:v>
                </c:pt>
                <c:pt idx="1457">
                  <c:v>2.1855525965599503</c:v>
                </c:pt>
                <c:pt idx="1458">
                  <c:v>2.1867677681606805</c:v>
                </c:pt>
                <c:pt idx="1459">
                  <c:v>2.2121043291583167</c:v>
                </c:pt>
                <c:pt idx="1460">
                  <c:v>2.1887604739923279</c:v>
                </c:pt>
                <c:pt idx="1461">
                  <c:v>2.187109610211059</c:v>
                </c:pt>
                <c:pt idx="1462">
                  <c:v>2.1680108893167938</c:v>
                </c:pt>
                <c:pt idx="1463">
                  <c:v>2.1810038553120301</c:v>
                </c:pt>
                <c:pt idx="1464">
                  <c:v>2.1781291962171152</c:v>
                </c:pt>
                <c:pt idx="1465">
                  <c:v>2.1736046604359198</c:v>
                </c:pt>
                <c:pt idx="1466">
                  <c:v>2.1820013666792808</c:v>
                </c:pt>
                <c:pt idx="1467">
                  <c:v>2.1825518362493201</c:v>
                </c:pt>
                <c:pt idx="1468">
                  <c:v>2.1947249111281359</c:v>
                </c:pt>
                <c:pt idx="1469">
                  <c:v>2.1848376012867572</c:v>
                </c:pt>
                <c:pt idx="1470">
                  <c:v>2.1713323198317274</c:v>
                </c:pt>
                <c:pt idx="1471">
                  <c:v>2.1812627297683655</c:v>
                </c:pt>
                <c:pt idx="1472">
                  <c:v>2.181870238628592</c:v>
                </c:pt>
                <c:pt idx="1473">
                  <c:v>2.1888887726011776</c:v>
                </c:pt>
                <c:pt idx="1474">
                  <c:v>2.2113842245377935</c:v>
                </c:pt>
                <c:pt idx="1475">
                  <c:v>2.1881978624544378</c:v>
                </c:pt>
                <c:pt idx="1476">
                  <c:v>2.1902093929846171</c:v>
                </c:pt>
                <c:pt idx="1477">
                  <c:v>2.1898458352905688</c:v>
                </c:pt>
                <c:pt idx="1478">
                  <c:v>2.1941646015480774</c:v>
                </c:pt>
                <c:pt idx="1479">
                  <c:v>2.1889345220791538</c:v>
                </c:pt>
                <c:pt idx="1480">
                  <c:v>2.1952158640403145</c:v>
                </c:pt>
                <c:pt idx="1481">
                  <c:v>2.1855238346787838</c:v>
                </c:pt>
                <c:pt idx="1482">
                  <c:v>2.1839207604857758</c:v>
                </c:pt>
                <c:pt idx="1483">
                  <c:v>2.1710430224443762</c:v>
                </c:pt>
                <c:pt idx="1484">
                  <c:v>2.1712989645071721</c:v>
                </c:pt>
                <c:pt idx="1485">
                  <c:v>2.1638102869331588</c:v>
                </c:pt>
                <c:pt idx="1486">
                  <c:v>2.1668431279410858</c:v>
                </c:pt>
                <c:pt idx="1487">
                  <c:v>2.1606992853789251</c:v>
                </c:pt>
                <c:pt idx="1488">
                  <c:v>2.1422634772584104</c:v>
                </c:pt>
                <c:pt idx="1489">
                  <c:v>2.131294549830808</c:v>
                </c:pt>
                <c:pt idx="1490">
                  <c:v>2.1323045626703214</c:v>
                </c:pt>
                <c:pt idx="1491">
                  <c:v>2.1189157278313342</c:v>
                </c:pt>
                <c:pt idx="1492">
                  <c:v>2.1072525376035185</c:v>
                </c:pt>
                <c:pt idx="1493">
                  <c:v>2.0914803819394154</c:v>
                </c:pt>
                <c:pt idx="1494">
                  <c:v>2.1006008031947889</c:v>
                </c:pt>
                <c:pt idx="1495">
                  <c:v>2.0994531348966716</c:v>
                </c:pt>
                <c:pt idx="1496">
                  <c:v>2.0909388477534026</c:v>
                </c:pt>
                <c:pt idx="1497">
                  <c:v>2.1123640122235647</c:v>
                </c:pt>
                <c:pt idx="1498">
                  <c:v>2.1044977895604511</c:v>
                </c:pt>
                <c:pt idx="1499">
                  <c:v>2.1176620265714852</c:v>
                </c:pt>
                <c:pt idx="1500">
                  <c:v>2.1074684721623678</c:v>
                </c:pt>
                <c:pt idx="1501">
                  <c:v>2.1071423027662757</c:v>
                </c:pt>
                <c:pt idx="1502">
                  <c:v>2.1021949180934469</c:v>
                </c:pt>
                <c:pt idx="1503">
                  <c:v>2.0783739567489703</c:v>
                </c:pt>
                <c:pt idx="1504">
                  <c:v>2.0928687239105841</c:v>
                </c:pt>
                <c:pt idx="1505">
                  <c:v>2.0872874926132341</c:v>
                </c:pt>
                <c:pt idx="1506">
                  <c:v>2.0823222560900052</c:v>
                </c:pt>
                <c:pt idx="1507">
                  <c:v>2.0853434538910411</c:v>
                </c:pt>
                <c:pt idx="1508">
                  <c:v>2.080236772709076</c:v>
                </c:pt>
                <c:pt idx="1509">
                  <c:v>2.0780710511734521</c:v>
                </c:pt>
                <c:pt idx="1510">
                  <c:v>2.061297342596029</c:v>
                </c:pt>
                <c:pt idx="1511">
                  <c:v>2.0510608811500526</c:v>
                </c:pt>
                <c:pt idx="1512">
                  <c:v>2.0627447464886077</c:v>
                </c:pt>
                <c:pt idx="1513">
                  <c:v>2.0764759454377071</c:v>
                </c:pt>
                <c:pt idx="1514">
                  <c:v>2.0872878452606871</c:v>
                </c:pt>
                <c:pt idx="1515">
                  <c:v>2.1114386202236157</c:v>
                </c:pt>
                <c:pt idx="1516">
                  <c:v>2.1290891671099961</c:v>
                </c:pt>
                <c:pt idx="1517">
                  <c:v>2.1303144496543949</c:v>
                </c:pt>
                <c:pt idx="1518">
                  <c:v>2.125627551863412</c:v>
                </c:pt>
                <c:pt idx="1519">
                  <c:v>2.1286870594159115</c:v>
                </c:pt>
                <c:pt idx="1520">
                  <c:v>2.1201074829671844</c:v>
                </c:pt>
                <c:pt idx="1521">
                  <c:v>2.1297342250901727</c:v>
                </c:pt>
                <c:pt idx="1522">
                  <c:v>2.1316447519288433</c:v>
                </c:pt>
                <c:pt idx="1523">
                  <c:v>2.1378146395473387</c:v>
                </c:pt>
                <c:pt idx="1524">
                  <c:v>2.1219661016737881</c:v>
                </c:pt>
                <c:pt idx="1525">
                  <c:v>2.1212374986008657</c:v>
                </c:pt>
                <c:pt idx="1526">
                  <c:v>2.1459822774528758</c:v>
                </c:pt>
                <c:pt idx="1527">
                  <c:v>2.1417795835221729</c:v>
                </c:pt>
                <c:pt idx="1528">
                  <c:v>2.164480609104642</c:v>
                </c:pt>
                <c:pt idx="1529">
                  <c:v>2.1635175158246986</c:v>
                </c:pt>
                <c:pt idx="1530">
                  <c:v>2.162286990099036</c:v>
                </c:pt>
                <c:pt idx="1531">
                  <c:v>2.1700088812117557</c:v>
                </c:pt>
                <c:pt idx="1532">
                  <c:v>2.1706417564185347</c:v>
                </c:pt>
                <c:pt idx="1533">
                  <c:v>2.1576626181360217</c:v>
                </c:pt>
                <c:pt idx="1534">
                  <c:v>2.1483574641754828</c:v>
                </c:pt>
                <c:pt idx="1535">
                  <c:v>2.1572292822979167</c:v>
                </c:pt>
                <c:pt idx="1536">
                  <c:v>2.1325993074305649</c:v>
                </c:pt>
                <c:pt idx="1537">
                  <c:v>2.159437578017644</c:v>
                </c:pt>
                <c:pt idx="1538">
                  <c:v>2.1347910240808612</c:v>
                </c:pt>
                <c:pt idx="1539">
                  <c:v>2.1481073914612643</c:v>
                </c:pt>
                <c:pt idx="1540">
                  <c:v>2.1617256847286122</c:v>
                </c:pt>
                <c:pt idx="1541">
                  <c:v>2.1063189200672063</c:v>
                </c:pt>
                <c:pt idx="1542">
                  <c:v>2.0491834133920972</c:v>
                </c:pt>
                <c:pt idx="1543">
                  <c:v>2.1314828058111437</c:v>
                </c:pt>
                <c:pt idx="1544">
                  <c:v>2.1230008064340358</c:v>
                </c:pt>
                <c:pt idx="1545">
                  <c:v>2.1365404613616459</c:v>
                </c:pt>
                <c:pt idx="1546">
                  <c:v>2.1492065435895791</c:v>
                </c:pt>
                <c:pt idx="1547">
                  <c:v>2.1488469747725762</c:v>
                </c:pt>
                <c:pt idx="1548">
                  <c:v>2.1429520948104193</c:v>
                </c:pt>
                <c:pt idx="1549">
                  <c:v>2.1216480079890676</c:v>
                </c:pt>
                <c:pt idx="1550">
                  <c:v>2.1217715746291628</c:v>
                </c:pt>
                <c:pt idx="1551">
                  <c:v>2.1412944399738558</c:v>
                </c:pt>
                <c:pt idx="1552">
                  <c:v>2.1310477975730486</c:v>
                </c:pt>
                <c:pt idx="1553">
                  <c:v>2.1559435511446385</c:v>
                </c:pt>
                <c:pt idx="1554">
                  <c:v>2.1759081597731891</c:v>
                </c:pt>
                <c:pt idx="1555">
                  <c:v>2.1750047131814831</c:v>
                </c:pt>
                <c:pt idx="1556">
                  <c:v>2.1766293772278629</c:v>
                </c:pt>
                <c:pt idx="1557">
                  <c:v>2.1755228751858793</c:v>
                </c:pt>
                <c:pt idx="1558">
                  <c:v>2.1957479498505732</c:v>
                </c:pt>
                <c:pt idx="1559">
                  <c:v>2.1796641719815213</c:v>
                </c:pt>
                <c:pt idx="1560">
                  <c:v>2.1989587765624607</c:v>
                </c:pt>
                <c:pt idx="1561">
                  <c:v>2.1660429168340021</c:v>
                </c:pt>
                <c:pt idx="1562">
                  <c:v>2.1883881899759023</c:v>
                </c:pt>
                <c:pt idx="1563">
                  <c:v>2.1783209298468575</c:v>
                </c:pt>
                <c:pt idx="1564">
                  <c:v>2.1776490176059133</c:v>
                </c:pt>
                <c:pt idx="1565">
                  <c:v>2.1730998127932328</c:v>
                </c:pt>
                <c:pt idx="1566">
                  <c:v>2.1811006784159441</c:v>
                </c:pt>
                <c:pt idx="1567">
                  <c:v>2.176726058121214</c:v>
                </c:pt>
                <c:pt idx="1568">
                  <c:v>2.1778063274896975</c:v>
                </c:pt>
                <c:pt idx="1569">
                  <c:v>2.1907947482223209</c:v>
                </c:pt>
                <c:pt idx="1570">
                  <c:v>2.1702672824949629</c:v>
                </c:pt>
                <c:pt idx="1571">
                  <c:v>2.1737676513245683</c:v>
                </c:pt>
                <c:pt idx="1572">
                  <c:v>2.2045949827059217</c:v>
                </c:pt>
                <c:pt idx="1573">
                  <c:v>2.2024684201410589</c:v>
                </c:pt>
                <c:pt idx="1574">
                  <c:v>2.2030703096069941</c:v>
                </c:pt>
                <c:pt idx="1575">
                  <c:v>2.222942638055506</c:v>
                </c:pt>
                <c:pt idx="1576">
                  <c:v>2.2056724763025177</c:v>
                </c:pt>
                <c:pt idx="1577">
                  <c:v>2.2177153093036375</c:v>
                </c:pt>
                <c:pt idx="1578">
                  <c:v>2.190206210426521</c:v>
                </c:pt>
                <c:pt idx="1579">
                  <c:v>2.1966692877293745</c:v>
                </c:pt>
                <c:pt idx="1580">
                  <c:v>2.1947061844120546</c:v>
                </c:pt>
                <c:pt idx="1581">
                  <c:v>2.1970592257279571</c:v>
                </c:pt>
                <c:pt idx="1582">
                  <c:v>2.2019274311742123</c:v>
                </c:pt>
                <c:pt idx="1583">
                  <c:v>2.1328813103240458</c:v>
                </c:pt>
                <c:pt idx="1584">
                  <c:v>2.1317056987987195</c:v>
                </c:pt>
                <c:pt idx="1585">
                  <c:v>2.1444526855219963</c:v>
                </c:pt>
                <c:pt idx="1586">
                  <c:v>2.1518911468033428</c:v>
                </c:pt>
                <c:pt idx="1587">
                  <c:v>2.1346997617011989</c:v>
                </c:pt>
                <c:pt idx="1588">
                  <c:v>2.1404181818181818</c:v>
                </c:pt>
                <c:pt idx="1589">
                  <c:v>2.1447538203119811</c:v>
                </c:pt>
                <c:pt idx="1590">
                  <c:v>2.1218209840409283</c:v>
                </c:pt>
                <c:pt idx="1591">
                  <c:v>2.1598440938685584</c:v>
                </c:pt>
                <c:pt idx="1592">
                  <c:v>2.15766539895961</c:v>
                </c:pt>
                <c:pt idx="1593">
                  <c:v>2.1492810136341589</c:v>
                </c:pt>
                <c:pt idx="1594">
                  <c:v>2.1417986586768789</c:v>
                </c:pt>
                <c:pt idx="1595">
                  <c:v>2.1316603100946221</c:v>
                </c:pt>
                <c:pt idx="1596">
                  <c:v>2.1513633441546545</c:v>
                </c:pt>
                <c:pt idx="1597">
                  <c:v>2.1520958642376478</c:v>
                </c:pt>
                <c:pt idx="1598">
                  <c:v>2.1656804698024037</c:v>
                </c:pt>
                <c:pt idx="1599">
                  <c:v>2.1717442424242424</c:v>
                </c:pt>
                <c:pt idx="1600">
                  <c:v>2.1770401987833341</c:v>
                </c:pt>
                <c:pt idx="1601">
                  <c:v>2.1737070691066886</c:v>
                </c:pt>
                <c:pt idx="1602">
                  <c:v>2.1658217214665121</c:v>
                </c:pt>
                <c:pt idx="1603">
                  <c:v>2.1677376609774024</c:v>
                </c:pt>
                <c:pt idx="1604">
                  <c:v>2.1598234046687987</c:v>
                </c:pt>
                <c:pt idx="1605">
                  <c:v>2.1602498064422657</c:v>
                </c:pt>
                <c:pt idx="1606">
                  <c:v>2.1587700628793529</c:v>
                </c:pt>
                <c:pt idx="1607">
                  <c:v>2.1543663210708037</c:v>
                </c:pt>
                <c:pt idx="1608">
                  <c:v>2.1503184205567289</c:v>
                </c:pt>
                <c:pt idx="1609">
                  <c:v>2.1526055949058471</c:v>
                </c:pt>
                <c:pt idx="1610">
                  <c:v>2.1588939026378346</c:v>
                </c:pt>
                <c:pt idx="1611">
                  <c:v>2.1663577782069856</c:v>
                </c:pt>
                <c:pt idx="1612">
                  <c:v>2.1900833006878662</c:v>
                </c:pt>
                <c:pt idx="1613">
                  <c:v>2.2023431782314398</c:v>
                </c:pt>
                <c:pt idx="1614">
                  <c:v>2.2038544795200603</c:v>
                </c:pt>
                <c:pt idx="1615">
                  <c:v>2.1950600718796425</c:v>
                </c:pt>
                <c:pt idx="1616">
                  <c:v>2.2027261421800262</c:v>
                </c:pt>
                <c:pt idx="1617">
                  <c:v>2.2041825662259322</c:v>
                </c:pt>
                <c:pt idx="1618">
                  <c:v>2.2070900235891417</c:v>
                </c:pt>
                <c:pt idx="1619">
                  <c:v>2.2054692061316437</c:v>
                </c:pt>
                <c:pt idx="1620">
                  <c:v>2.212044946803295</c:v>
                </c:pt>
                <c:pt idx="1621">
                  <c:v>2.2139434844947345</c:v>
                </c:pt>
                <c:pt idx="1622">
                  <c:v>2.2092145859248085</c:v>
                </c:pt>
                <c:pt idx="1623">
                  <c:v>2.2024529688026591</c:v>
                </c:pt>
                <c:pt idx="1624">
                  <c:v>2.2044217571474691</c:v>
                </c:pt>
                <c:pt idx="1625">
                  <c:v>2.1977374014191779</c:v>
                </c:pt>
                <c:pt idx="1626">
                  <c:v>2.1770373517099664</c:v>
                </c:pt>
                <c:pt idx="1627">
                  <c:v>2.1832978047334004</c:v>
                </c:pt>
                <c:pt idx="1628">
                  <c:v>2.2005886820726932</c:v>
                </c:pt>
                <c:pt idx="1629">
                  <c:v>2.1813866073653374</c:v>
                </c:pt>
                <c:pt idx="1630">
                  <c:v>2.1619299158742726</c:v>
                </c:pt>
                <c:pt idx="1631">
                  <c:v>2.1474385319081426</c:v>
                </c:pt>
                <c:pt idx="1632">
                  <c:v>2.1547007860797467</c:v>
                </c:pt>
                <c:pt idx="1633">
                  <c:v>2.15184006477527</c:v>
                </c:pt>
                <c:pt idx="1634">
                  <c:v>2.1473095665823365</c:v>
                </c:pt>
                <c:pt idx="1635">
                  <c:v>2.1526655943327091</c:v>
                </c:pt>
                <c:pt idx="1636">
                  <c:v>2.1511611267599107</c:v>
                </c:pt>
                <c:pt idx="1637">
                  <c:v>2.1641938216145005</c:v>
                </c:pt>
                <c:pt idx="1638">
                  <c:v>2.1757288749196828</c:v>
                </c:pt>
                <c:pt idx="1639">
                  <c:v>2.1765004795173839</c:v>
                </c:pt>
                <c:pt idx="1640">
                  <c:v>2.1837145945794374</c:v>
                </c:pt>
                <c:pt idx="1641">
                  <c:v>2.1841678912092255</c:v>
                </c:pt>
                <c:pt idx="1642">
                  <c:v>2.1761154692823812</c:v>
                </c:pt>
                <c:pt idx="1643">
                  <c:v>2.185073437554728</c:v>
                </c:pt>
                <c:pt idx="1644">
                  <c:v>2.1935566578956727</c:v>
                </c:pt>
                <c:pt idx="1645">
                  <c:v>2.1902048301065018</c:v>
                </c:pt>
                <c:pt idx="1646">
                  <c:v>2.1930421707333747</c:v>
                </c:pt>
                <c:pt idx="1647">
                  <c:v>2.1858729264227552</c:v>
                </c:pt>
                <c:pt idx="1648">
                  <c:v>2.1671562837529024</c:v>
                </c:pt>
                <c:pt idx="1649">
                  <c:v>2.1643558211839271</c:v>
                </c:pt>
                <c:pt idx="1650">
                  <c:v>2.2095998386851647</c:v>
                </c:pt>
                <c:pt idx="1651">
                  <c:v>2.2714410073994031</c:v>
                </c:pt>
                <c:pt idx="1652">
                  <c:v>2.289725754400401</c:v>
                </c:pt>
                <c:pt idx="1653">
                  <c:v>2.2790897375718546</c:v>
                </c:pt>
                <c:pt idx="1654">
                  <c:v>2.2824647058770391</c:v>
                </c:pt>
                <c:pt idx="1655">
                  <c:v>2.2801367904164125</c:v>
                </c:pt>
                <c:pt idx="1656">
                  <c:v>2.2904608205592156</c:v>
                </c:pt>
                <c:pt idx="1657">
                  <c:v>2.2886559044571215</c:v>
                </c:pt>
                <c:pt idx="1658">
                  <c:v>2.2889153149467836</c:v>
                </c:pt>
                <c:pt idx="1659">
                  <c:v>2.3234557874991726</c:v>
                </c:pt>
                <c:pt idx="1660">
                  <c:v>2.3237374823812207</c:v>
                </c:pt>
                <c:pt idx="1661">
                  <c:v>2.314157372054729</c:v>
                </c:pt>
                <c:pt idx="1662">
                  <c:v>2.3318568642735999</c:v>
                </c:pt>
                <c:pt idx="1663">
                  <c:v>2.3360341927372108</c:v>
                </c:pt>
                <c:pt idx="1664">
                  <c:v>2.3676435532236204</c:v>
                </c:pt>
                <c:pt idx="1665">
                  <c:v>2.3461600206970683</c:v>
                </c:pt>
                <c:pt idx="1666">
                  <c:v>2.3444321109924795</c:v>
                </c:pt>
                <c:pt idx="1667">
                  <c:v>2.3316978269605193</c:v>
                </c:pt>
                <c:pt idx="1668">
                  <c:v>2.2932692610238403</c:v>
                </c:pt>
                <c:pt idx="1669">
                  <c:v>2.2746085683898052</c:v>
                </c:pt>
                <c:pt idx="1670">
                  <c:v>2.2723961968870721</c:v>
                </c:pt>
                <c:pt idx="1671">
                  <c:v>2.2821020726898107</c:v>
                </c:pt>
                <c:pt idx="1672">
                  <c:v>2.2688469876296025</c:v>
                </c:pt>
                <c:pt idx="1673">
                  <c:v>2.2736790863758967</c:v>
                </c:pt>
                <c:pt idx="1674">
                  <c:v>2.2969463318352537</c:v>
                </c:pt>
                <c:pt idx="1675">
                  <c:v>2.2719797799482131</c:v>
                </c:pt>
                <c:pt idx="1676">
                  <c:v>2.262902194657753</c:v>
                </c:pt>
                <c:pt idx="1677">
                  <c:v>2.2698521343253235</c:v>
                </c:pt>
                <c:pt idx="1678">
                  <c:v>2.2627525447537815</c:v>
                </c:pt>
                <c:pt idx="1679">
                  <c:v>2.2668556969294547</c:v>
                </c:pt>
                <c:pt idx="1680">
                  <c:v>2.282018254635422</c:v>
                </c:pt>
                <c:pt idx="1681">
                  <c:v>2.2550173689690998</c:v>
                </c:pt>
                <c:pt idx="1682">
                  <c:v>2.2541768545034899</c:v>
                </c:pt>
                <c:pt idx="1683">
                  <c:v>2.2601210779201244</c:v>
                </c:pt>
                <c:pt idx="1684">
                  <c:v>2.240713192251532</c:v>
                </c:pt>
                <c:pt idx="1685">
                  <c:v>2.2375124441990062</c:v>
                </c:pt>
                <c:pt idx="1686">
                  <c:v>2.2295727086447439</c:v>
                </c:pt>
                <c:pt idx="1687">
                  <c:v>2.2367240763305847</c:v>
                </c:pt>
                <c:pt idx="1688">
                  <c:v>2.2426831323235712</c:v>
                </c:pt>
                <c:pt idx="1689">
                  <c:v>2.2687183818763987</c:v>
                </c:pt>
                <c:pt idx="1690">
                  <c:v>2.2772213129128431</c:v>
                </c:pt>
                <c:pt idx="1691">
                  <c:v>2.280111378816315</c:v>
                </c:pt>
                <c:pt idx="1692">
                  <c:v>2.2762065595608951</c:v>
                </c:pt>
                <c:pt idx="1693">
                  <c:v>2.2619654523892305</c:v>
                </c:pt>
                <c:pt idx="1694">
                  <c:v>2.2639495787828618</c:v>
                </c:pt>
                <c:pt idx="1695">
                  <c:v>2.2573582236973659</c:v>
                </c:pt>
                <c:pt idx="1696">
                  <c:v>2.2635590610407355</c:v>
                </c:pt>
                <c:pt idx="1697">
                  <c:v>2.2521550252124478</c:v>
                </c:pt>
                <c:pt idx="1698">
                  <c:v>2.2499729420406998</c:v>
                </c:pt>
                <c:pt idx="1699">
                  <c:v>2.2269132491974171</c:v>
                </c:pt>
                <c:pt idx="1700">
                  <c:v>2.2122399990439097</c:v>
                </c:pt>
                <c:pt idx="1701">
                  <c:v>2.2147130756952418</c:v>
                </c:pt>
                <c:pt idx="1702">
                  <c:v>2.2190359853075479</c:v>
                </c:pt>
                <c:pt idx="1703">
                  <c:v>2.1854560131747927</c:v>
                </c:pt>
                <c:pt idx="1704">
                  <c:v>2.1632584682532059</c:v>
                </c:pt>
                <c:pt idx="1705">
                  <c:v>2.1519097539762315</c:v>
                </c:pt>
                <c:pt idx="1706">
                  <c:v>2.1766577124275415</c:v>
                </c:pt>
                <c:pt idx="1707">
                  <c:v>2.1720746580669719</c:v>
                </c:pt>
                <c:pt idx="1708">
                  <c:v>2.1753477271962107</c:v>
                </c:pt>
                <c:pt idx="1709">
                  <c:v>2.1750344242161437</c:v>
                </c:pt>
                <c:pt idx="1710">
                  <c:v>2.1663897957719636</c:v>
                </c:pt>
                <c:pt idx="1711">
                  <c:v>2.1769951484691878</c:v>
                </c:pt>
                <c:pt idx="1712">
                  <c:v>2.1778851253578591</c:v>
                </c:pt>
                <c:pt idx="1713">
                  <c:v>2.2053487825249278</c:v>
                </c:pt>
                <c:pt idx="1714">
                  <c:v>2.3513583243894489</c:v>
                </c:pt>
                <c:pt idx="1715">
                  <c:v>2.3731720037988069</c:v>
                </c:pt>
                <c:pt idx="1716">
                  <c:v>2.341749384102477</c:v>
                </c:pt>
                <c:pt idx="1717">
                  <c:v>2.3529394503201075</c:v>
                </c:pt>
                <c:pt idx="1718">
                  <c:v>2.3690264203457074</c:v>
                </c:pt>
                <c:pt idx="1719">
                  <c:v>2.3968106758970742</c:v>
                </c:pt>
                <c:pt idx="1720">
                  <c:v>2.3592036468442403</c:v>
                </c:pt>
                <c:pt idx="1721">
                  <c:v>2.3577937048269577</c:v>
                </c:pt>
                <c:pt idx="1722">
                  <c:v>2.3434410664882486</c:v>
                </c:pt>
                <c:pt idx="1723">
                  <c:v>2.3390665777737443</c:v>
                </c:pt>
                <c:pt idx="1724">
                  <c:v>2.360469042218976</c:v>
                </c:pt>
                <c:pt idx="1725">
                  <c:v>2.3369908461096687</c:v>
                </c:pt>
                <c:pt idx="1726">
                  <c:v>2.3361658844055739</c:v>
                </c:pt>
                <c:pt idx="1727">
                  <c:v>2.3342689291475121</c:v>
                </c:pt>
                <c:pt idx="1728">
                  <c:v>2.3345067543433076</c:v>
                </c:pt>
                <c:pt idx="1729">
                  <c:v>2.3214351310664698</c:v>
                </c:pt>
                <c:pt idx="1730">
                  <c:v>2.3215554887341368</c:v>
                </c:pt>
                <c:pt idx="1731">
                  <c:v>2.3501275854600889</c:v>
                </c:pt>
                <c:pt idx="1732">
                  <c:v>2.3338427029739353</c:v>
                </c:pt>
                <c:pt idx="1733">
                  <c:v>2.3401558181017053</c:v>
                </c:pt>
                <c:pt idx="1734">
                  <c:v>2.2961096558182779</c:v>
                </c:pt>
                <c:pt idx="1735">
                  <c:v>2.2711292910052152</c:v>
                </c:pt>
                <c:pt idx="1736">
                  <c:v>2.2615158823408161</c:v>
                </c:pt>
                <c:pt idx="1737">
                  <c:v>2.2678457766550757</c:v>
                </c:pt>
                <c:pt idx="1738">
                  <c:v>2.2747871704194282</c:v>
                </c:pt>
                <c:pt idx="1739">
                  <c:v>2.2723372118613541</c:v>
                </c:pt>
                <c:pt idx="1740">
                  <c:v>2.2734833659491196</c:v>
                </c:pt>
                <c:pt idx="1741">
                  <c:v>2.2630545925201884</c:v>
                </c:pt>
                <c:pt idx="1742">
                  <c:v>2.2674948887924318</c:v>
                </c:pt>
                <c:pt idx="1743">
                  <c:v>2.2843876902133751</c:v>
                </c:pt>
                <c:pt idx="1744">
                  <c:v>2.2900249754092732</c:v>
                </c:pt>
                <c:pt idx="1745">
                  <c:v>2.2924510673105782</c:v>
                </c:pt>
                <c:pt idx="1746">
                  <c:v>2.2911049432951547</c:v>
                </c:pt>
                <c:pt idx="1747">
                  <c:v>2.3122898073871334</c:v>
                </c:pt>
                <c:pt idx="1748">
                  <c:v>2.35701894761036</c:v>
                </c:pt>
                <c:pt idx="1749">
                  <c:v>2.3586527573732226</c:v>
                </c:pt>
                <c:pt idx="1750">
                  <c:v>2.365330638300966</c:v>
                </c:pt>
                <c:pt idx="1751">
                  <c:v>2.3625237445432576</c:v>
                </c:pt>
                <c:pt idx="1752">
                  <c:v>2.3672363597715118</c:v>
                </c:pt>
                <c:pt idx="1753">
                  <c:v>2.3386364995634024</c:v>
                </c:pt>
                <c:pt idx="1754">
                  <c:v>2.3010899158799121</c:v>
                </c:pt>
                <c:pt idx="1755">
                  <c:v>2.2949615443464508</c:v>
                </c:pt>
                <c:pt idx="1756">
                  <c:v>2.3209779574904741</c:v>
                </c:pt>
                <c:pt idx="1757">
                  <c:v>2.3274810370770918</c:v>
                </c:pt>
                <c:pt idx="1758">
                  <c:v>2.3114667330775842</c:v>
                </c:pt>
                <c:pt idx="1759">
                  <c:v>2.3066667791790252</c:v>
                </c:pt>
                <c:pt idx="1760">
                  <c:v>2.3046428257143106</c:v>
                </c:pt>
                <c:pt idx="1761">
                  <c:v>2.3024033532645243</c:v>
                </c:pt>
                <c:pt idx="1762">
                  <c:v>2.2894179270963355</c:v>
                </c:pt>
                <c:pt idx="1763">
                  <c:v>2.2848704382767369</c:v>
                </c:pt>
                <c:pt idx="1764">
                  <c:v>2.2863044791109246</c:v>
                </c:pt>
                <c:pt idx="1765">
                  <c:v>2.2691152499807248</c:v>
                </c:pt>
                <c:pt idx="1766">
                  <c:v>2.2349548731532809</c:v>
                </c:pt>
                <c:pt idx="1767">
                  <c:v>2.2719478302499589</c:v>
                </c:pt>
                <c:pt idx="1768">
                  <c:v>2.2855935710980337</c:v>
                </c:pt>
                <c:pt idx="1769">
                  <c:v>2.2954416080767617</c:v>
                </c:pt>
                <c:pt idx="1770">
                  <c:v>2.3068662780717699</c:v>
                </c:pt>
                <c:pt idx="1771">
                  <c:v>2.3057317766629204</c:v>
                </c:pt>
                <c:pt idx="1772">
                  <c:v>2.3171956652407042</c:v>
                </c:pt>
                <c:pt idx="1773">
                  <c:v>2.3270368787049702</c:v>
                </c:pt>
                <c:pt idx="1774">
                  <c:v>2.3337009143708469</c:v>
                </c:pt>
                <c:pt idx="1775">
                  <c:v>2.3048363174361528</c:v>
                </c:pt>
                <c:pt idx="1776">
                  <c:v>2.2916172925549132</c:v>
                </c:pt>
                <c:pt idx="1777">
                  <c:v>2.3045858539933652</c:v>
                </c:pt>
                <c:pt idx="1778">
                  <c:v>2.3208803172961781</c:v>
                </c:pt>
                <c:pt idx="1779">
                  <c:v>2.3414080316662331</c:v>
                </c:pt>
                <c:pt idx="1780">
                  <c:v>2.3276912332849049</c:v>
                </c:pt>
                <c:pt idx="1781">
                  <c:v>2.3294529598232527</c:v>
                </c:pt>
                <c:pt idx="1782">
                  <c:v>2.3270045656179188</c:v>
                </c:pt>
                <c:pt idx="1783">
                  <c:v>2.3238157964220125</c:v>
                </c:pt>
                <c:pt idx="1784">
                  <c:v>2.3383691608828849</c:v>
                </c:pt>
                <c:pt idx="1785">
                  <c:v>2.3574412787165486</c:v>
                </c:pt>
                <c:pt idx="1786">
                  <c:v>2.3644043705237414</c:v>
                </c:pt>
                <c:pt idx="1787">
                  <c:v>2.3584245219515987</c:v>
                </c:pt>
                <c:pt idx="1788">
                  <c:v>2.3802324202364877</c:v>
                </c:pt>
                <c:pt idx="1789">
                  <c:v>2.3746222449809409</c:v>
                </c:pt>
                <c:pt idx="1790">
                  <c:v>2.3576982591435418</c:v>
                </c:pt>
                <c:pt idx="1791">
                  <c:v>2.4173955778438367</c:v>
                </c:pt>
                <c:pt idx="1792">
                  <c:v>2.4257158921044288</c:v>
                </c:pt>
                <c:pt idx="1793">
                  <c:v>2.4084163691701246</c:v>
                </c:pt>
                <c:pt idx="1794">
                  <c:v>2.3999977467112816</c:v>
                </c:pt>
                <c:pt idx="1795">
                  <c:v>2.4283122584648726</c:v>
                </c:pt>
                <c:pt idx="1796">
                  <c:v>2.3916205786637739</c:v>
                </c:pt>
                <c:pt idx="1797">
                  <c:v>2.4078627741301437</c:v>
                </c:pt>
                <c:pt idx="1798">
                  <c:v>2.4242736987502451</c:v>
                </c:pt>
                <c:pt idx="1799">
                  <c:v>2.4113102197126115</c:v>
                </c:pt>
                <c:pt idx="1800">
                  <c:v>2.4139559652664859</c:v>
                </c:pt>
                <c:pt idx="1801">
                  <c:v>2.3803157172506073</c:v>
                </c:pt>
                <c:pt idx="1802">
                  <c:v>2.3320186779805692</c:v>
                </c:pt>
                <c:pt idx="1803">
                  <c:v>2.3378881938953651</c:v>
                </c:pt>
                <c:pt idx="1804">
                  <c:v>2.3372456020020285</c:v>
                </c:pt>
                <c:pt idx="1805">
                  <c:v>2.3526895318914325</c:v>
                </c:pt>
                <c:pt idx="1806">
                  <c:v>2.3550900509791322</c:v>
                </c:pt>
                <c:pt idx="1807">
                  <c:v>2.3787855295428755</c:v>
                </c:pt>
                <c:pt idx="1808">
                  <c:v>2.3830309892364241</c:v>
                </c:pt>
                <c:pt idx="1809">
                  <c:v>2.3833910330409611</c:v>
                </c:pt>
                <c:pt idx="1810">
                  <c:v>2.3979695966602712</c:v>
                </c:pt>
                <c:pt idx="1811">
                  <c:v>2.4029055035204179</c:v>
                </c:pt>
                <c:pt idx="1812">
                  <c:v>2.4071674133284988</c:v>
                </c:pt>
                <c:pt idx="1813">
                  <c:v>2.4130299892282929</c:v>
                </c:pt>
                <c:pt idx="1814">
                  <c:v>2.3667367771135375</c:v>
                </c:pt>
                <c:pt idx="1815">
                  <c:v>2.3742845172482974</c:v>
                </c:pt>
                <c:pt idx="1816">
                  <c:v>2.3949519590529498</c:v>
                </c:pt>
                <c:pt idx="1817">
                  <c:v>2.3889038849044675</c:v>
                </c:pt>
                <c:pt idx="1818">
                  <c:v>2.4034575163764909</c:v>
                </c:pt>
                <c:pt idx="1819">
                  <c:v>2.4126173202224561</c:v>
                </c:pt>
                <c:pt idx="1820">
                  <c:v>2.3987013733128246</c:v>
                </c:pt>
                <c:pt idx="1821">
                  <c:v>2.4139869714518465</c:v>
                </c:pt>
                <c:pt idx="1822">
                  <c:v>2.4383807210536803</c:v>
                </c:pt>
                <c:pt idx="1823">
                  <c:v>2.42682861558924</c:v>
                </c:pt>
                <c:pt idx="1824">
                  <c:v>2.4018291683221844</c:v>
                </c:pt>
                <c:pt idx="1825">
                  <c:v>2.3808823265260095</c:v>
                </c:pt>
                <c:pt idx="1826">
                  <c:v>2.3959052991476146</c:v>
                </c:pt>
                <c:pt idx="1827">
                  <c:v>2.3869345783297993</c:v>
                </c:pt>
                <c:pt idx="1828">
                  <c:v>2.3895423049668381</c:v>
                </c:pt>
                <c:pt idx="1829">
                  <c:v>2.3920704936152588</c:v>
                </c:pt>
                <c:pt idx="1830">
                  <c:v>2.3906870552449075</c:v>
                </c:pt>
                <c:pt idx="1831">
                  <c:v>2.3968918387912419</c:v>
                </c:pt>
                <c:pt idx="1832">
                  <c:v>2.3907245765991783</c:v>
                </c:pt>
                <c:pt idx="1833">
                  <c:v>2.4260739894381911</c:v>
                </c:pt>
                <c:pt idx="1834">
                  <c:v>2.4362103324326498</c:v>
                </c:pt>
                <c:pt idx="1835">
                  <c:v>2.4196933308156208</c:v>
                </c:pt>
                <c:pt idx="1836">
                  <c:v>2.421531236299054</c:v>
                </c:pt>
                <c:pt idx="1837">
                  <c:v>2.4173759872351757</c:v>
                </c:pt>
                <c:pt idx="1838">
                  <c:v>2.4172561829074315</c:v>
                </c:pt>
                <c:pt idx="1839">
                  <c:v>2.3985715901281393</c:v>
                </c:pt>
                <c:pt idx="1840">
                  <c:v>2.3811038519975494</c:v>
                </c:pt>
                <c:pt idx="1841">
                  <c:v>2.3706480888253769</c:v>
                </c:pt>
                <c:pt idx="1842">
                  <c:v>2.3571681089833394</c:v>
                </c:pt>
                <c:pt idx="1843">
                  <c:v>2.3588885124802004</c:v>
                </c:pt>
                <c:pt idx="1844">
                  <c:v>2.3741940045625367</c:v>
                </c:pt>
                <c:pt idx="1845">
                  <c:v>2.3886809727169092</c:v>
                </c:pt>
                <c:pt idx="1846">
                  <c:v>2.3791989866476304</c:v>
                </c:pt>
                <c:pt idx="1847">
                  <c:v>2.3859929876032826</c:v>
                </c:pt>
                <c:pt idx="1848">
                  <c:v>2.385041692118564</c:v>
                </c:pt>
                <c:pt idx="1849">
                  <c:v>2.3918245378761274</c:v>
                </c:pt>
                <c:pt idx="1850">
                  <c:v>2.3812151102506514</c:v>
                </c:pt>
                <c:pt idx="1851">
                  <c:v>2.399742534584492</c:v>
                </c:pt>
                <c:pt idx="1852">
                  <c:v>2.3971112753540242</c:v>
                </c:pt>
                <c:pt idx="1853">
                  <c:v>2.4080837674633306</c:v>
                </c:pt>
                <c:pt idx="1854">
                  <c:v>2.3921755786448693</c:v>
                </c:pt>
                <c:pt idx="1855">
                  <c:v>2.4052619015249461</c:v>
                </c:pt>
                <c:pt idx="1856">
                  <c:v>2.4094991463081796</c:v>
                </c:pt>
                <c:pt idx="1857">
                  <c:v>2.4169725148314618</c:v>
                </c:pt>
                <c:pt idx="1858">
                  <c:v>2.4150913851748106</c:v>
                </c:pt>
                <c:pt idx="1859">
                  <c:v>2.4063510576260403</c:v>
                </c:pt>
                <c:pt idx="1860">
                  <c:v>2.4012490731895531</c:v>
                </c:pt>
                <c:pt idx="1861">
                  <c:v>2.3791804823089531</c:v>
                </c:pt>
                <c:pt idx="1862">
                  <c:v>2.3802717046813782</c:v>
                </c:pt>
                <c:pt idx="1863">
                  <c:v>2.3873611928002472</c:v>
                </c:pt>
                <c:pt idx="1864">
                  <c:v>2.4030355820625386</c:v>
                </c:pt>
                <c:pt idx="1865">
                  <c:v>2.3979290940181137</c:v>
                </c:pt>
                <c:pt idx="1866">
                  <c:v>2.3876569695075811</c:v>
                </c:pt>
                <c:pt idx="1867">
                  <c:v>2.3867319018187971</c:v>
                </c:pt>
                <c:pt idx="1868">
                  <c:v>2.3925586043976015</c:v>
                </c:pt>
                <c:pt idx="1869">
                  <c:v>2.3797412058017691</c:v>
                </c:pt>
                <c:pt idx="1870">
                  <c:v>2.3809299198017428</c:v>
                </c:pt>
                <c:pt idx="1871">
                  <c:v>2.3720066408398526</c:v>
                </c:pt>
                <c:pt idx="1872">
                  <c:v>2.3755166976168738</c:v>
                </c:pt>
                <c:pt idx="1873">
                  <c:v>2.3836333232346631</c:v>
                </c:pt>
                <c:pt idx="1874">
                  <c:v>2.3878411801862769</c:v>
                </c:pt>
                <c:pt idx="1875">
                  <c:v>2.3872942119490563</c:v>
                </c:pt>
                <c:pt idx="1876">
                  <c:v>2.3813285294023205</c:v>
                </c:pt>
                <c:pt idx="1877">
                  <c:v>2.3753208079172046</c:v>
                </c:pt>
                <c:pt idx="1878">
                  <c:v>2.3767495912383692</c:v>
                </c:pt>
                <c:pt idx="1879">
                  <c:v>2.3840740098828319</c:v>
                </c:pt>
                <c:pt idx="1880">
                  <c:v>2.3895041507753834</c:v>
                </c:pt>
                <c:pt idx="1881">
                  <c:v>2.4033871402781362</c:v>
                </c:pt>
                <c:pt idx="1882">
                  <c:v>2.4093391009202167</c:v>
                </c:pt>
                <c:pt idx="1883">
                  <c:v>2.4128791417216418</c:v>
                </c:pt>
                <c:pt idx="1884">
                  <c:v>2.4114325766477398</c:v>
                </c:pt>
                <c:pt idx="1885">
                  <c:v>2.4146724763720826</c:v>
                </c:pt>
                <c:pt idx="1886">
                  <c:v>2.4199332564800828</c:v>
                </c:pt>
                <c:pt idx="1887">
                  <c:v>2.4213393822475671</c:v>
                </c:pt>
                <c:pt idx="1888">
                  <c:v>2.4351902956511799</c:v>
                </c:pt>
                <c:pt idx="1889">
                  <c:v>2.4394146072601259</c:v>
                </c:pt>
                <c:pt idx="1890">
                  <c:v>2.4370349741904747</c:v>
                </c:pt>
                <c:pt idx="1891">
                  <c:v>2.4373476528577949</c:v>
                </c:pt>
                <c:pt idx="1892">
                  <c:v>2.4410252650077675</c:v>
                </c:pt>
                <c:pt idx="1893">
                  <c:v>2.4113538921788571</c:v>
                </c:pt>
                <c:pt idx="1894">
                  <c:v>2.4074819258467008</c:v>
                </c:pt>
                <c:pt idx="1895">
                  <c:v>2.4332937307075992</c:v>
                </c:pt>
                <c:pt idx="1896">
                  <c:v>2.4009259916577639</c:v>
                </c:pt>
                <c:pt idx="1897">
                  <c:v>2.3839621178136459</c:v>
                </c:pt>
                <c:pt idx="1898">
                  <c:v>2.3773408566886736</c:v>
                </c:pt>
                <c:pt idx="1899">
                  <c:v>2.3876345337201239</c:v>
                </c:pt>
                <c:pt idx="1900">
                  <c:v>2.3931692053794893</c:v>
                </c:pt>
                <c:pt idx="1901">
                  <c:v>2.3948192369007724</c:v>
                </c:pt>
                <c:pt idx="1902">
                  <c:v>2.4177709894926176</c:v>
                </c:pt>
                <c:pt idx="1903">
                  <c:v>2.4138479852403592</c:v>
                </c:pt>
                <c:pt idx="1904">
                  <c:v>2.4203599256598629</c:v>
                </c:pt>
                <c:pt idx="1905">
                  <c:v>2.4013356657272031</c:v>
                </c:pt>
                <c:pt idx="1906">
                  <c:v>2.4120368946108095</c:v>
                </c:pt>
                <c:pt idx="1907">
                  <c:v>2.4201913161628235</c:v>
                </c:pt>
                <c:pt idx="1908">
                  <c:v>2.4244891861689584</c:v>
                </c:pt>
                <c:pt idx="1909">
                  <c:v>2.3868640898729265</c:v>
                </c:pt>
                <c:pt idx="1910">
                  <c:v>2.3873803376672185</c:v>
                </c:pt>
                <c:pt idx="1911">
                  <c:v>2.3784510004704056</c:v>
                </c:pt>
                <c:pt idx="1912">
                  <c:v>2.396547123477315</c:v>
                </c:pt>
                <c:pt idx="1913">
                  <c:v>2.4070104047632004</c:v>
                </c:pt>
                <c:pt idx="1914">
                  <c:v>2.4144350012515075</c:v>
                </c:pt>
                <c:pt idx="1915">
                  <c:v>2.4194038853150235</c:v>
                </c:pt>
                <c:pt idx="1916">
                  <c:v>2.4195394331705504</c:v>
                </c:pt>
                <c:pt idx="1917">
                  <c:v>2.4265207761273797</c:v>
                </c:pt>
                <c:pt idx="1918">
                  <c:v>2.446117743506254</c:v>
                </c:pt>
                <c:pt idx="1919">
                  <c:v>2.44807822137839</c:v>
                </c:pt>
                <c:pt idx="1920">
                  <c:v>2.4576625908047012</c:v>
                </c:pt>
                <c:pt idx="1921">
                  <c:v>2.4584206892583857</c:v>
                </c:pt>
                <c:pt idx="1922">
                  <c:v>2.4703045742215943</c:v>
                </c:pt>
                <c:pt idx="1923">
                  <c:v>2.458967622432922</c:v>
                </c:pt>
                <c:pt idx="1924">
                  <c:v>2.4778801756061144</c:v>
                </c:pt>
                <c:pt idx="1925">
                  <c:v>2.434926983291672</c:v>
                </c:pt>
                <c:pt idx="1926">
                  <c:v>2.4012579438509958</c:v>
                </c:pt>
                <c:pt idx="1927">
                  <c:v>2.4302654420419385</c:v>
                </c:pt>
                <c:pt idx="1928">
                  <c:v>2.4256122299252572</c:v>
                </c:pt>
                <c:pt idx="1929">
                  <c:v>2.4127389785712094</c:v>
                </c:pt>
                <c:pt idx="1930">
                  <c:v>2.4051869381401181</c:v>
                </c:pt>
                <c:pt idx="1931">
                  <c:v>2.398546036752875</c:v>
                </c:pt>
                <c:pt idx="1932">
                  <c:v>2.4160038824834085</c:v>
                </c:pt>
                <c:pt idx="1933">
                  <c:v>2.4127958782516306</c:v>
                </c:pt>
                <c:pt idx="1934">
                  <c:v>2.420668439326398</c:v>
                </c:pt>
                <c:pt idx="1935">
                  <c:v>2.4352501517167742</c:v>
                </c:pt>
                <c:pt idx="1936">
                  <c:v>2.4321640728481957</c:v>
                </c:pt>
                <c:pt idx="1937">
                  <c:v>2.4307065608136087</c:v>
                </c:pt>
                <c:pt idx="1938">
                  <c:v>2.4430882605520599</c:v>
                </c:pt>
                <c:pt idx="1939">
                  <c:v>2.4338039368201909</c:v>
                </c:pt>
                <c:pt idx="1940">
                  <c:v>2.431229578412776</c:v>
                </c:pt>
                <c:pt idx="1941">
                  <c:v>2.4170952693991938</c:v>
                </c:pt>
                <c:pt idx="1942">
                  <c:v>2.4107239799109328</c:v>
                </c:pt>
                <c:pt idx="1943">
                  <c:v>2.4271151654810867</c:v>
                </c:pt>
                <c:pt idx="1944">
                  <c:v>2.4312318540024886</c:v>
                </c:pt>
                <c:pt idx="1945">
                  <c:v>2.4211794471127206</c:v>
                </c:pt>
                <c:pt idx="1946">
                  <c:v>2.4238409589770842</c:v>
                </c:pt>
                <c:pt idx="1947">
                  <c:v>2.4015124323625026</c:v>
                </c:pt>
                <c:pt idx="1948">
                  <c:v>2.3986876301771329</c:v>
                </c:pt>
                <c:pt idx="1949">
                  <c:v>2.3784278816285238</c:v>
                </c:pt>
                <c:pt idx="1950">
                  <c:v>2.3852432506118797</c:v>
                </c:pt>
                <c:pt idx="1951">
                  <c:v>2.3898263634140382</c:v>
                </c:pt>
                <c:pt idx="1952">
                  <c:v>2.3975455235013996</c:v>
                </c:pt>
                <c:pt idx="1953">
                  <c:v>2.3703272530452231</c:v>
                </c:pt>
                <c:pt idx="1954">
                  <c:v>2.375400379585122</c:v>
                </c:pt>
                <c:pt idx="1955">
                  <c:v>2.409577590022117</c:v>
                </c:pt>
                <c:pt idx="1956">
                  <c:v>2.4125862341893347</c:v>
                </c:pt>
                <c:pt idx="1957">
                  <c:v>2.3970490857586655</c:v>
                </c:pt>
                <c:pt idx="1958">
                  <c:v>2.4068652514237083</c:v>
                </c:pt>
                <c:pt idx="1959">
                  <c:v>2.4000231648580685</c:v>
                </c:pt>
                <c:pt idx="1960">
                  <c:v>2.3904089076142148</c:v>
                </c:pt>
                <c:pt idx="1961">
                  <c:v>2.378198530596189</c:v>
                </c:pt>
                <c:pt idx="1962">
                  <c:v>2.3837443203099338</c:v>
                </c:pt>
                <c:pt idx="1963">
                  <c:v>2.4124305805501085</c:v>
                </c:pt>
                <c:pt idx="1964">
                  <c:v>2.4257766774187304</c:v>
                </c:pt>
                <c:pt idx="1965">
                  <c:v>2.4107323847394988</c:v>
                </c:pt>
                <c:pt idx="1966">
                  <c:v>2.4159649859459122</c:v>
                </c:pt>
                <c:pt idx="1967">
                  <c:v>2.4238432370294904</c:v>
                </c:pt>
                <c:pt idx="1968">
                  <c:v>2.4338885960336545</c:v>
                </c:pt>
                <c:pt idx="1969">
                  <c:v>2.4479443890553636</c:v>
                </c:pt>
                <c:pt idx="1970">
                  <c:v>2.4563395948731928</c:v>
                </c:pt>
                <c:pt idx="1971">
                  <c:v>2.4446833149517291</c:v>
                </c:pt>
                <c:pt idx="1972">
                  <c:v>2.442680676004696</c:v>
                </c:pt>
                <c:pt idx="1973">
                  <c:v>2.4534137495619479</c:v>
                </c:pt>
                <c:pt idx="1974">
                  <c:v>2.4407871346226186</c:v>
                </c:pt>
                <c:pt idx="1975">
                  <c:v>2.433842488354661</c:v>
                </c:pt>
                <c:pt idx="1976">
                  <c:v>2.4375924555434594</c:v>
                </c:pt>
                <c:pt idx="1977">
                  <c:v>2.4166216349329752</c:v>
                </c:pt>
                <c:pt idx="1978">
                  <c:v>2.4163659989518154</c:v>
                </c:pt>
                <c:pt idx="1979">
                  <c:v>2.4202356144977744</c:v>
                </c:pt>
                <c:pt idx="1980">
                  <c:v>2.4056923726368846</c:v>
                </c:pt>
                <c:pt idx="1981">
                  <c:v>2.4047527388935492</c:v>
                </c:pt>
                <c:pt idx="1982">
                  <c:v>2.4054365201557242</c:v>
                </c:pt>
                <c:pt idx="1983">
                  <c:v>2.4089552612672311</c:v>
                </c:pt>
                <c:pt idx="1984">
                  <c:v>2.4124885012670014</c:v>
                </c:pt>
                <c:pt idx="1985">
                  <c:v>2.4114656605975187</c:v>
                </c:pt>
                <c:pt idx="1986">
                  <c:v>2.4113032477628606</c:v>
                </c:pt>
                <c:pt idx="1987">
                  <c:v>2.3804443900422489</c:v>
                </c:pt>
                <c:pt idx="1988">
                  <c:v>2.3987044770882218</c:v>
                </c:pt>
                <c:pt idx="1989">
                  <c:v>2.3868623685584311</c:v>
                </c:pt>
                <c:pt idx="1990">
                  <c:v>2.3596849186462703</c:v>
                </c:pt>
                <c:pt idx="1991">
                  <c:v>2.3566361911633353</c:v>
                </c:pt>
                <c:pt idx="1992">
                  <c:v>2.3556941331039765</c:v>
                </c:pt>
                <c:pt idx="1993">
                  <c:v>2.3712571647825249</c:v>
                </c:pt>
                <c:pt idx="1994">
                  <c:v>2.3775022613730235</c:v>
                </c:pt>
                <c:pt idx="1995">
                  <c:v>2.3633390863263246</c:v>
                </c:pt>
                <c:pt idx="1996">
                  <c:v>2.371260506700172</c:v>
                </c:pt>
                <c:pt idx="1997">
                  <c:v>2.3720348939408136</c:v>
                </c:pt>
                <c:pt idx="1998">
                  <c:v>2.3678045409444524</c:v>
                </c:pt>
                <c:pt idx="1999">
                  <c:v>2.3664526337302716</c:v>
                </c:pt>
                <c:pt idx="2000">
                  <c:v>2.3610960788370088</c:v>
                </c:pt>
                <c:pt idx="2001">
                  <c:v>2.35010985183875</c:v>
                </c:pt>
                <c:pt idx="2002">
                  <c:v>2.3504298723241863</c:v>
                </c:pt>
                <c:pt idx="2003">
                  <c:v>2.3445323796277608</c:v>
                </c:pt>
                <c:pt idx="2004">
                  <c:v>2.3447540187210114</c:v>
                </c:pt>
                <c:pt idx="2005">
                  <c:v>2.3427404270840473</c:v>
                </c:pt>
                <c:pt idx="2006">
                  <c:v>2.3410331557436752</c:v>
                </c:pt>
                <c:pt idx="2007">
                  <c:v>2.3405781894662265</c:v>
                </c:pt>
                <c:pt idx="2008">
                  <c:v>2.3423610997262161</c:v>
                </c:pt>
                <c:pt idx="2009">
                  <c:v>2.3424613961410587</c:v>
                </c:pt>
                <c:pt idx="2010">
                  <c:v>2.3416228604221834</c:v>
                </c:pt>
                <c:pt idx="2011">
                  <c:v>2.3462805630741528</c:v>
                </c:pt>
                <c:pt idx="2012">
                  <c:v>2.3522481281053778</c:v>
                </c:pt>
                <c:pt idx="2013">
                  <c:v>2.3583089398194677</c:v>
                </c:pt>
                <c:pt idx="2014">
                  <c:v>2.3588907027811574</c:v>
                </c:pt>
                <c:pt idx="2015">
                  <c:v>2.3632937248093242</c:v>
                </c:pt>
                <c:pt idx="2016">
                  <c:v>2.3669477563551191</c:v>
                </c:pt>
                <c:pt idx="2017">
                  <c:v>2.374841489787217</c:v>
                </c:pt>
                <c:pt idx="2018">
                  <c:v>2.3884694985481154</c:v>
                </c:pt>
                <c:pt idx="2019">
                  <c:v>2.3820104741274113</c:v>
                </c:pt>
                <c:pt idx="2020">
                  <c:v>2.379510764333578</c:v>
                </c:pt>
                <c:pt idx="2021">
                  <c:v>2.3811255661467108</c:v>
                </c:pt>
                <c:pt idx="2022">
                  <c:v>2.3549406844783909</c:v>
                </c:pt>
                <c:pt idx="2023">
                  <c:v>2.3429408319342255</c:v>
                </c:pt>
                <c:pt idx="2024">
                  <c:v>2.324521760197118</c:v>
                </c:pt>
                <c:pt idx="2025">
                  <c:v>2.2997768931619347</c:v>
                </c:pt>
                <c:pt idx="2026">
                  <c:v>2.321334163169976</c:v>
                </c:pt>
                <c:pt idx="2027">
                  <c:v>2.3025171106291973</c:v>
                </c:pt>
                <c:pt idx="2028">
                  <c:v>2.3191454390486501</c:v>
                </c:pt>
                <c:pt idx="2029">
                  <c:v>2.3155397452910811</c:v>
                </c:pt>
                <c:pt idx="2030">
                  <c:v>2.3122173551526166</c:v>
                </c:pt>
                <c:pt idx="2031">
                  <c:v>2.325788291791854</c:v>
                </c:pt>
                <c:pt idx="2032">
                  <c:v>2.3160624984899147</c:v>
                </c:pt>
                <c:pt idx="2033">
                  <c:v>2.3259888161390281</c:v>
                </c:pt>
                <c:pt idx="2034">
                  <c:v>2.3508184139809472</c:v>
                </c:pt>
                <c:pt idx="2035">
                  <c:v>2.3400647141158921</c:v>
                </c:pt>
                <c:pt idx="2036">
                  <c:v>2.3513100522676824</c:v>
                </c:pt>
                <c:pt idx="2037">
                  <c:v>2.3480277933437819</c:v>
                </c:pt>
                <c:pt idx="2038">
                  <c:v>2.3267436833384041</c:v>
                </c:pt>
                <c:pt idx="2039">
                  <c:v>2.3300016828557761</c:v>
                </c:pt>
                <c:pt idx="2040">
                  <c:v>2.3232945012165982</c:v>
                </c:pt>
                <c:pt idx="2041">
                  <c:v>2.3062510747624319</c:v>
                </c:pt>
                <c:pt idx="2042">
                  <c:v>2.3311418449380024</c:v>
                </c:pt>
                <c:pt idx="2043">
                  <c:v>2.3215871816264246</c:v>
                </c:pt>
                <c:pt idx="2044">
                  <c:v>2.321366130412478</c:v>
                </c:pt>
                <c:pt idx="2045">
                  <c:v>2.3105593595150102</c:v>
                </c:pt>
                <c:pt idx="2046">
                  <c:v>2.3258472779112398</c:v>
                </c:pt>
                <c:pt idx="2047">
                  <c:v>2.321078945767252</c:v>
                </c:pt>
                <c:pt idx="2048">
                  <c:v>2.3116666141453872</c:v>
                </c:pt>
                <c:pt idx="2049">
                  <c:v>2.3094280535176632</c:v>
                </c:pt>
                <c:pt idx="2050">
                  <c:v>2.3149686836986678</c:v>
                </c:pt>
                <c:pt idx="2051">
                  <c:v>2.3066100783949701</c:v>
                </c:pt>
                <c:pt idx="2052">
                  <c:v>2.3163304065588126</c:v>
                </c:pt>
                <c:pt idx="2053">
                  <c:v>2.3166894225602803</c:v>
                </c:pt>
                <c:pt idx="2054">
                  <c:v>2.3045051945070725</c:v>
                </c:pt>
                <c:pt idx="2055">
                  <c:v>2.3045028052235752</c:v>
                </c:pt>
                <c:pt idx="2056">
                  <c:v>2.2989592240808818</c:v>
                </c:pt>
                <c:pt idx="2057">
                  <c:v>2.3083433202092443</c:v>
                </c:pt>
                <c:pt idx="2058">
                  <c:v>2.3199815454835986</c:v>
                </c:pt>
                <c:pt idx="2059">
                  <c:v>2.3078136873191757</c:v>
                </c:pt>
                <c:pt idx="2060">
                  <c:v>2.3029850191227004</c:v>
                </c:pt>
                <c:pt idx="2061">
                  <c:v>2.2883069643903839</c:v>
                </c:pt>
                <c:pt idx="2062">
                  <c:v>2.2801814847042849</c:v>
                </c:pt>
                <c:pt idx="2063">
                  <c:v>2.275944846904304</c:v>
                </c:pt>
                <c:pt idx="2064">
                  <c:v>2.2566248528080814</c:v>
                </c:pt>
                <c:pt idx="2065">
                  <c:v>2.2703412113865662</c:v>
                </c:pt>
                <c:pt idx="2066">
                  <c:v>2.2727038671250859</c:v>
                </c:pt>
                <c:pt idx="2067">
                  <c:v>2.2600245150274283</c:v>
                </c:pt>
                <c:pt idx="2068">
                  <c:v>2.2555346644303667</c:v>
                </c:pt>
                <c:pt idx="2069">
                  <c:v>2.2576361977270514</c:v>
                </c:pt>
                <c:pt idx="2070">
                  <c:v>2.2488872948186938</c:v>
                </c:pt>
                <c:pt idx="2071">
                  <c:v>2.2517595064375548</c:v>
                </c:pt>
                <c:pt idx="2072">
                  <c:v>2.2429345737791269</c:v>
                </c:pt>
                <c:pt idx="2073">
                  <c:v>2.2388117418780378</c:v>
                </c:pt>
                <c:pt idx="2074">
                  <c:v>2.2145792096749886</c:v>
                </c:pt>
                <c:pt idx="2075">
                  <c:v>2.2386001843631926</c:v>
                </c:pt>
                <c:pt idx="2076">
                  <c:v>2.2431728241095867</c:v>
                </c:pt>
                <c:pt idx="2077">
                  <c:v>2.2502837742081132</c:v>
                </c:pt>
                <c:pt idx="2078">
                  <c:v>2.2482703451196397</c:v>
                </c:pt>
                <c:pt idx="2079">
                  <c:v>2.2499523889765776</c:v>
                </c:pt>
                <c:pt idx="2080">
                  <c:v>2.2591081385430805</c:v>
                </c:pt>
                <c:pt idx="2081">
                  <c:v>2.2691548376427533</c:v>
                </c:pt>
                <c:pt idx="2082">
                  <c:v>2.2765283449175437</c:v>
                </c:pt>
                <c:pt idx="2083">
                  <c:v>2.2805520895043752</c:v>
                </c:pt>
                <c:pt idx="2084">
                  <c:v>2.2835636611544294</c:v>
                </c:pt>
                <c:pt idx="2085">
                  <c:v>2.2963955269133165</c:v>
                </c:pt>
                <c:pt idx="2086">
                  <c:v>2.2856475449747982</c:v>
                </c:pt>
                <c:pt idx="2087">
                  <c:v>2.2856967098349195</c:v>
                </c:pt>
                <c:pt idx="2088">
                  <c:v>2.2786646149460421</c:v>
                </c:pt>
                <c:pt idx="2089">
                  <c:v>2.2731580925452559</c:v>
                </c:pt>
                <c:pt idx="2090">
                  <c:v>2.3443804983784897</c:v>
                </c:pt>
                <c:pt idx="2091">
                  <c:v>2.3487804819733529</c:v>
                </c:pt>
                <c:pt idx="2092">
                  <c:v>2.3249448452437744</c:v>
                </c:pt>
                <c:pt idx="2093">
                  <c:v>2.3347284915273585</c:v>
                </c:pt>
                <c:pt idx="2094">
                  <c:v>2.3396051459129552</c:v>
                </c:pt>
                <c:pt idx="2095">
                  <c:v>2.3324322836922735</c:v>
                </c:pt>
                <c:pt idx="2096">
                  <c:v>2.3427814347860094</c:v>
                </c:pt>
                <c:pt idx="2097">
                  <c:v>2.3336642917059329</c:v>
                </c:pt>
                <c:pt idx="2098">
                  <c:v>2.334935775529849</c:v>
                </c:pt>
                <c:pt idx="2099">
                  <c:v>2.34517047218187</c:v>
                </c:pt>
                <c:pt idx="2100">
                  <c:v>2.3482548783031838</c:v>
                </c:pt>
                <c:pt idx="2101">
                  <c:v>2.3483672965610509</c:v>
                </c:pt>
                <c:pt idx="2102">
                  <c:v>2.3516988734575879</c:v>
                </c:pt>
                <c:pt idx="2103">
                  <c:v>2.3630398599548363</c:v>
                </c:pt>
                <c:pt idx="2104">
                  <c:v>2.3653302153469222</c:v>
                </c:pt>
                <c:pt idx="2105">
                  <c:v>2.3614325373913458</c:v>
                </c:pt>
                <c:pt idx="2106">
                  <c:v>2.3507869767197018</c:v>
                </c:pt>
                <c:pt idx="2107">
                  <c:v>2.3326796997804058</c:v>
                </c:pt>
                <c:pt idx="2108">
                  <c:v>2.3177599105872084</c:v>
                </c:pt>
                <c:pt idx="2109">
                  <c:v>2.3228834096640671</c:v>
                </c:pt>
                <c:pt idx="2110">
                  <c:v>2.3036538848667982</c:v>
                </c:pt>
                <c:pt idx="2111">
                  <c:v>2.3215933690923327</c:v>
                </c:pt>
                <c:pt idx="2112">
                  <c:v>2.3127197672565134</c:v>
                </c:pt>
                <c:pt idx="2113">
                  <c:v>2.3190579694853017</c:v>
                </c:pt>
                <c:pt idx="2114">
                  <c:v>2.3134847544573884</c:v>
                </c:pt>
                <c:pt idx="2115">
                  <c:v>2.3129623579898126</c:v>
                </c:pt>
                <c:pt idx="2116">
                  <c:v>2.3153240717190284</c:v>
                </c:pt>
                <c:pt idx="2117">
                  <c:v>2.3120302134585717</c:v>
                </c:pt>
                <c:pt idx="2118">
                  <c:v>2.3033761425707802</c:v>
                </c:pt>
                <c:pt idx="2119">
                  <c:v>2.3246110820784565</c:v>
                </c:pt>
                <c:pt idx="2120">
                  <c:v>2.3334087210831354</c:v>
                </c:pt>
                <c:pt idx="2121">
                  <c:v>2.3288687303191273</c:v>
                </c:pt>
                <c:pt idx="2122">
                  <c:v>2.3157622945120031</c:v>
                </c:pt>
                <c:pt idx="2123">
                  <c:v>2.3135758879282502</c:v>
                </c:pt>
                <c:pt idx="2124">
                  <c:v>2.3173918811524694</c:v>
                </c:pt>
                <c:pt idx="2125">
                  <c:v>2.3174881022627498</c:v>
                </c:pt>
                <c:pt idx="2126">
                  <c:v>2.2981118599467005</c:v>
                </c:pt>
                <c:pt idx="2127">
                  <c:v>2.3189723215292468</c:v>
                </c:pt>
                <c:pt idx="2128">
                  <c:v>2.3269240844152206</c:v>
                </c:pt>
                <c:pt idx="2129">
                  <c:v>2.3201290921482158</c:v>
                </c:pt>
                <c:pt idx="2130">
                  <c:v>2.3269497458242183</c:v>
                </c:pt>
                <c:pt idx="2131">
                  <c:v>2.3439917189010999</c:v>
                </c:pt>
                <c:pt idx="2132">
                  <c:v>2.3331880674900161</c:v>
                </c:pt>
                <c:pt idx="2133">
                  <c:v>2.3414060720631888</c:v>
                </c:pt>
                <c:pt idx="2134">
                  <c:v>2.3478024700354321</c:v>
                </c:pt>
                <c:pt idx="2135">
                  <c:v>2.3521095293563126</c:v>
                </c:pt>
                <c:pt idx="2136">
                  <c:v>2.3568307770590087</c:v>
                </c:pt>
                <c:pt idx="2137">
                  <c:v>2.3683840647820116</c:v>
                </c:pt>
                <c:pt idx="2138">
                  <c:v>2.3471709694665002</c:v>
                </c:pt>
                <c:pt idx="2139">
                  <c:v>2.3558270894804894</c:v>
                </c:pt>
                <c:pt idx="2140">
                  <c:v>2.3727327759531924</c:v>
                </c:pt>
                <c:pt idx="2141">
                  <c:v>2.376800473068224</c:v>
                </c:pt>
                <c:pt idx="2142">
                  <c:v>2.378237151284067</c:v>
                </c:pt>
                <c:pt idx="2143">
                  <c:v>2.3754292236432848</c:v>
                </c:pt>
                <c:pt idx="2144">
                  <c:v>2.4202611162279668</c:v>
                </c:pt>
                <c:pt idx="2145">
                  <c:v>2.4222456138570916</c:v>
                </c:pt>
                <c:pt idx="2146">
                  <c:v>2.4264058220233413</c:v>
                </c:pt>
                <c:pt idx="2147">
                  <c:v>2.4231999446451504</c:v>
                </c:pt>
                <c:pt idx="2148">
                  <c:v>2.4395833616437241</c:v>
                </c:pt>
                <c:pt idx="2149">
                  <c:v>2.443363861399857</c:v>
                </c:pt>
                <c:pt idx="2150">
                  <c:v>2.4399022362117009</c:v>
                </c:pt>
                <c:pt idx="2151">
                  <c:v>2.4298894948324383</c:v>
                </c:pt>
                <c:pt idx="2152">
                  <c:v>2.4370093805913804</c:v>
                </c:pt>
                <c:pt idx="2153">
                  <c:v>2.4298271749071279</c:v>
                </c:pt>
                <c:pt idx="2154">
                  <c:v>2.4254407435931271</c:v>
                </c:pt>
                <c:pt idx="2155">
                  <c:v>2.4188419504996199</c:v>
                </c:pt>
                <c:pt idx="2156">
                  <c:v>2.4288561659959647</c:v>
                </c:pt>
                <c:pt idx="2157">
                  <c:v>2.4476474132047703</c:v>
                </c:pt>
                <c:pt idx="2158">
                  <c:v>2.5142735295030305</c:v>
                </c:pt>
                <c:pt idx="2159">
                  <c:v>2.5149913072278558</c:v>
                </c:pt>
                <c:pt idx="2160">
                  <c:v>2.5345275667307656</c:v>
                </c:pt>
                <c:pt idx="2161">
                  <c:v>2.5452606788870034</c:v>
                </c:pt>
                <c:pt idx="2162">
                  <c:v>2.5356857373661517</c:v>
                </c:pt>
                <c:pt idx="2163">
                  <c:v>2.5134747126427688</c:v>
                </c:pt>
                <c:pt idx="2164">
                  <c:v>2.5298509259227417</c:v>
                </c:pt>
                <c:pt idx="2165">
                  <c:v>2.5372002517034589</c:v>
                </c:pt>
                <c:pt idx="2166">
                  <c:v>2.5273835144062535</c:v>
                </c:pt>
                <c:pt idx="2167">
                  <c:v>2.5289084632630523</c:v>
                </c:pt>
                <c:pt idx="2168">
                  <c:v>2.5333622786377057</c:v>
                </c:pt>
                <c:pt idx="2169">
                  <c:v>2.5173655416928229</c:v>
                </c:pt>
                <c:pt idx="2170">
                  <c:v>2.503892823568902</c:v>
                </c:pt>
                <c:pt idx="2171">
                  <c:v>2.494990619200419</c:v>
                </c:pt>
                <c:pt idx="2172">
                  <c:v>2.5016523682018388</c:v>
                </c:pt>
                <c:pt idx="2173">
                  <c:v>2.499422521932019</c:v>
                </c:pt>
                <c:pt idx="2174">
                  <c:v>2.492781350373213</c:v>
                </c:pt>
                <c:pt idx="2175">
                  <c:v>2.500454701747103</c:v>
                </c:pt>
                <c:pt idx="2176">
                  <c:v>2.5058704490730381</c:v>
                </c:pt>
                <c:pt idx="2177">
                  <c:v>2.4977324432677701</c:v>
                </c:pt>
                <c:pt idx="2178">
                  <c:v>2.5030574019839844</c:v>
                </c:pt>
                <c:pt idx="2179">
                  <c:v>2.5080282701382823</c:v>
                </c:pt>
                <c:pt idx="2180">
                  <c:v>2.5182144033840306</c:v>
                </c:pt>
                <c:pt idx="2181">
                  <c:v>2.5180808602591709</c:v>
                </c:pt>
                <c:pt idx="2182">
                  <c:v>2.5172372119444892</c:v>
                </c:pt>
                <c:pt idx="2183">
                  <c:v>2.5131223036226271</c:v>
                </c:pt>
                <c:pt idx="2184">
                  <c:v>2.5304965152908743</c:v>
                </c:pt>
                <c:pt idx="2185">
                  <c:v>2.5261122897135033</c:v>
                </c:pt>
                <c:pt idx="2186">
                  <c:v>2.5197809479725146</c:v>
                </c:pt>
                <c:pt idx="2187">
                  <c:v>2.511807237559283</c:v>
                </c:pt>
                <c:pt idx="2188">
                  <c:v>2.5046493952105964</c:v>
                </c:pt>
                <c:pt idx="2189">
                  <c:v>2.5167822242941691</c:v>
                </c:pt>
                <c:pt idx="2190">
                  <c:v>2.5098059386498885</c:v>
                </c:pt>
                <c:pt idx="2191">
                  <c:v>2.508747797186123</c:v>
                </c:pt>
                <c:pt idx="2192">
                  <c:v>2.5299546379700062</c:v>
                </c:pt>
                <c:pt idx="2193">
                  <c:v>2.5253180063203717</c:v>
                </c:pt>
                <c:pt idx="2194">
                  <c:v>2.5336884356487683</c:v>
                </c:pt>
                <c:pt idx="2195">
                  <c:v>2.5454902192625153</c:v>
                </c:pt>
                <c:pt idx="2196">
                  <c:v>2.5461517449365276</c:v>
                </c:pt>
                <c:pt idx="2197">
                  <c:v>2.554569068221805</c:v>
                </c:pt>
                <c:pt idx="2198">
                  <c:v>2.5452884930464919</c:v>
                </c:pt>
                <c:pt idx="2199">
                  <c:v>2.5469988184882153</c:v>
                </c:pt>
                <c:pt idx="2200">
                  <c:v>2.5813174436991728</c:v>
                </c:pt>
                <c:pt idx="2201">
                  <c:v>2.5595427690933521</c:v>
                </c:pt>
                <c:pt idx="2202">
                  <c:v>2.5836147429283733</c:v>
                </c:pt>
                <c:pt idx="2203">
                  <c:v>2.6001605402410002</c:v>
                </c:pt>
                <c:pt idx="2204">
                  <c:v>2.6065457853450527</c:v>
                </c:pt>
                <c:pt idx="2205">
                  <c:v>2.6119840166027402</c:v>
                </c:pt>
                <c:pt idx="2206">
                  <c:v>2.5959697970818181</c:v>
                </c:pt>
                <c:pt idx="2207">
                  <c:v>2.5713933062665415</c:v>
                </c:pt>
                <c:pt idx="2208">
                  <c:v>2.5870407875853374</c:v>
                </c:pt>
                <c:pt idx="2209">
                  <c:v>2.5758366860052337</c:v>
                </c:pt>
                <c:pt idx="2210">
                  <c:v>2.5814262204706098</c:v>
                </c:pt>
                <c:pt idx="2211">
                  <c:v>2.5773648493583581</c:v>
                </c:pt>
                <c:pt idx="2212">
                  <c:v>2.5749388428342823</c:v>
                </c:pt>
                <c:pt idx="2213">
                  <c:v>2.5722869628550615</c:v>
                </c:pt>
                <c:pt idx="2214">
                  <c:v>2.5999901912111061</c:v>
                </c:pt>
                <c:pt idx="2215">
                  <c:v>2.6048517725867795</c:v>
                </c:pt>
                <c:pt idx="2216">
                  <c:v>2.5843046844927935</c:v>
                </c:pt>
                <c:pt idx="2217">
                  <c:v>2.5627468048411761</c:v>
                </c:pt>
                <c:pt idx="2218">
                  <c:v>2.5606481252052387</c:v>
                </c:pt>
                <c:pt idx="2219">
                  <c:v>2.542474835904597</c:v>
                </c:pt>
                <c:pt idx="2220">
                  <c:v>2.557057865056112</c:v>
                </c:pt>
                <c:pt idx="2221">
                  <c:v>2.5563525398618889</c:v>
                </c:pt>
                <c:pt idx="2222">
                  <c:v>2.5585528582969417</c:v>
                </c:pt>
                <c:pt idx="2223">
                  <c:v>2.5673970773633221</c:v>
                </c:pt>
                <c:pt idx="2224">
                  <c:v>2.5712749324855717</c:v>
                </c:pt>
                <c:pt idx="2225">
                  <c:v>2.5640753539097765</c:v>
                </c:pt>
                <c:pt idx="2226">
                  <c:v>2.5693229675894771</c:v>
                </c:pt>
                <c:pt idx="2227">
                  <c:v>2.5735999730659627</c:v>
                </c:pt>
                <c:pt idx="2228">
                  <c:v>2.5728947768735124</c:v>
                </c:pt>
                <c:pt idx="2229">
                  <c:v>2.5739307251187173</c:v>
                </c:pt>
                <c:pt idx="2230">
                  <c:v>2.5547199328418548</c:v>
                </c:pt>
                <c:pt idx="2231">
                  <c:v>2.5713227913317378</c:v>
                </c:pt>
                <c:pt idx="2232">
                  <c:v>2.5731611431794104</c:v>
                </c:pt>
                <c:pt idx="2233">
                  <c:v>2.5576677775143968</c:v>
                </c:pt>
                <c:pt idx="2234">
                  <c:v>2.550574013150114</c:v>
                </c:pt>
                <c:pt idx="2235">
                  <c:v>2.497561560002596</c:v>
                </c:pt>
                <c:pt idx="2236">
                  <c:v>2.4925458254308137</c:v>
                </c:pt>
                <c:pt idx="2237">
                  <c:v>2.4999793850205747</c:v>
                </c:pt>
                <c:pt idx="2238">
                  <c:v>2.5062709367880793</c:v>
                </c:pt>
                <c:pt idx="2239">
                  <c:v>2.511450445590464</c:v>
                </c:pt>
                <c:pt idx="2240">
                  <c:v>2.5074200071881321</c:v>
                </c:pt>
                <c:pt idx="2241">
                  <c:v>2.5222587920227668</c:v>
                </c:pt>
                <c:pt idx="2242">
                  <c:v>2.5040513769517285</c:v>
                </c:pt>
                <c:pt idx="2243">
                  <c:v>2.494959211288112</c:v>
                </c:pt>
                <c:pt idx="2244">
                  <c:v>2.4968728080190439</c:v>
                </c:pt>
                <c:pt idx="2245">
                  <c:v>2.5059316909115816</c:v>
                </c:pt>
                <c:pt idx="2246">
                  <c:v>2.5132592098148989</c:v>
                </c:pt>
                <c:pt idx="2247">
                  <c:v>2.4975361822154181</c:v>
                </c:pt>
                <c:pt idx="2248">
                  <c:v>2.5251875630797089</c:v>
                </c:pt>
                <c:pt idx="2249">
                  <c:v>2.5117666290123388</c:v>
                </c:pt>
                <c:pt idx="2250">
                  <c:v>2.5358391442517951</c:v>
                </c:pt>
                <c:pt idx="2251">
                  <c:v>2.5225352885047765</c:v>
                </c:pt>
                <c:pt idx="2252">
                  <c:v>2.5253019796960907</c:v>
                </c:pt>
                <c:pt idx="2253">
                  <c:v>2.4982245640120624</c:v>
                </c:pt>
                <c:pt idx="2254">
                  <c:v>2.5319929239961856</c:v>
                </c:pt>
                <c:pt idx="2255">
                  <c:v>2.5625568983737437</c:v>
                </c:pt>
                <c:pt idx="2256">
                  <c:v>2.5682420827184083</c:v>
                </c:pt>
                <c:pt idx="2257">
                  <c:v>2.5674625243014733</c:v>
                </c:pt>
                <c:pt idx="2258">
                  <c:v>2.5696109418749509</c:v>
                </c:pt>
                <c:pt idx="2259">
                  <c:v>2.5627433677367333</c:v>
                </c:pt>
                <c:pt idx="2260">
                  <c:v>2.5509554694026404</c:v>
                </c:pt>
                <c:pt idx="2261">
                  <c:v>2.5516047662570958</c:v>
                </c:pt>
                <c:pt idx="2262">
                  <c:v>2.5686815829233707</c:v>
                </c:pt>
                <c:pt idx="2263">
                  <c:v>2.5592629776176694</c:v>
                </c:pt>
                <c:pt idx="2264">
                  <c:v>2.5596219020586917</c:v>
                </c:pt>
                <c:pt idx="2265">
                  <c:v>2.5607440769909124</c:v>
                </c:pt>
                <c:pt idx="2266">
                  <c:v>2.5568275183761644</c:v>
                </c:pt>
                <c:pt idx="2267">
                  <c:v>2.556663997885364</c:v>
                </c:pt>
                <c:pt idx="2268">
                  <c:v>2.5363541222591</c:v>
                </c:pt>
                <c:pt idx="2269">
                  <c:v>2.5503523085027551</c:v>
                </c:pt>
                <c:pt idx="2270">
                  <c:v>2.5408470297284769</c:v>
                </c:pt>
                <c:pt idx="2271">
                  <c:v>2.537814494686081</c:v>
                </c:pt>
                <c:pt idx="2272">
                  <c:v>2.5366412136353138</c:v>
                </c:pt>
                <c:pt idx="2273">
                  <c:v>2.5171658025742358</c:v>
                </c:pt>
                <c:pt idx="2274">
                  <c:v>2.5126043884519071</c:v>
                </c:pt>
                <c:pt idx="2275">
                  <c:v>2.5194819090042491</c:v>
                </c:pt>
                <c:pt idx="2276">
                  <c:v>2.5166093120043782</c:v>
                </c:pt>
                <c:pt idx="2277">
                  <c:v>2.5115808000061524</c:v>
                </c:pt>
                <c:pt idx="2278">
                  <c:v>2.5208172017065711</c:v>
                </c:pt>
                <c:pt idx="2279">
                  <c:v>2.5206517641166486</c:v>
                </c:pt>
                <c:pt idx="2280">
                  <c:v>2.5312465665258981</c:v>
                </c:pt>
                <c:pt idx="2281">
                  <c:v>2.5433546498568362</c:v>
                </c:pt>
                <c:pt idx="2282">
                  <c:v>2.5317510947838113</c:v>
                </c:pt>
                <c:pt idx="2283">
                  <c:v>2.5161216882522059</c:v>
                </c:pt>
                <c:pt idx="2284">
                  <c:v>2.5233889094833457</c:v>
                </c:pt>
                <c:pt idx="2285">
                  <c:v>2.5291742188106014</c:v>
                </c:pt>
                <c:pt idx="2286">
                  <c:v>2.5385938114307711</c:v>
                </c:pt>
                <c:pt idx="2287">
                  <c:v>2.5291834113511258</c:v>
                </c:pt>
                <c:pt idx="2288">
                  <c:v>2.5292809929895741</c:v>
                </c:pt>
                <c:pt idx="2289">
                  <c:v>2.5456869893753988</c:v>
                </c:pt>
                <c:pt idx="2290">
                  <c:v>2.563446639859456</c:v>
                </c:pt>
                <c:pt idx="2291">
                  <c:v>2.5490509617870369</c:v>
                </c:pt>
                <c:pt idx="2292">
                  <c:v>2.5535119410941864</c:v>
                </c:pt>
                <c:pt idx="2293">
                  <c:v>2.5481483656867643</c:v>
                </c:pt>
                <c:pt idx="2294">
                  <c:v>2.6025897291842264</c:v>
                </c:pt>
                <c:pt idx="2295">
                  <c:v>2.6488062323992585</c:v>
                </c:pt>
                <c:pt idx="2296">
                  <c:v>2.6566711288856633</c:v>
                </c:pt>
                <c:pt idx="2297">
                  <c:v>2.6725702872945152</c:v>
                </c:pt>
                <c:pt idx="2298">
                  <c:v>2.6737589585666295</c:v>
                </c:pt>
                <c:pt idx="2299">
                  <c:v>2.6586157519473748</c:v>
                </c:pt>
                <c:pt idx="2300">
                  <c:v>2.6574186249581246</c:v>
                </c:pt>
                <c:pt idx="2301">
                  <c:v>2.6722423442749728</c:v>
                </c:pt>
                <c:pt idx="2302">
                  <c:v>2.6644683397102322</c:v>
                </c:pt>
                <c:pt idx="2303">
                  <c:v>2.6637912995460029</c:v>
                </c:pt>
                <c:pt idx="2304">
                  <c:v>2.663172518894493</c:v>
                </c:pt>
                <c:pt idx="2305">
                  <c:v>2.6565883579069314</c:v>
                </c:pt>
                <c:pt idx="2306">
                  <c:v>2.6650270083588303</c:v>
                </c:pt>
                <c:pt idx="2307">
                  <c:v>2.6548773135871429</c:v>
                </c:pt>
                <c:pt idx="2308">
                  <c:v>2.6446247548854958</c:v>
                </c:pt>
                <c:pt idx="2309">
                  <c:v>2.6548075511081395</c:v>
                </c:pt>
                <c:pt idx="2310">
                  <c:v>2.6511998307965339</c:v>
                </c:pt>
                <c:pt idx="2311">
                  <c:v>2.6556651415105783</c:v>
                </c:pt>
                <c:pt idx="2312">
                  <c:v>2.6551798237217938</c:v>
                </c:pt>
                <c:pt idx="2313">
                  <c:v>2.6458579016183954</c:v>
                </c:pt>
                <c:pt idx="2314">
                  <c:v>2.6433381190654091</c:v>
                </c:pt>
                <c:pt idx="2315">
                  <c:v>2.6320905903807796</c:v>
                </c:pt>
                <c:pt idx="2316">
                  <c:v>2.6341666434929185</c:v>
                </c:pt>
                <c:pt idx="2317">
                  <c:v>2.6672761861116956</c:v>
                </c:pt>
                <c:pt idx="2318">
                  <c:v>2.6597876176054429</c:v>
                </c:pt>
                <c:pt idx="2319">
                  <c:v>2.6797237004066523</c:v>
                </c:pt>
                <c:pt idx="2320">
                  <c:v>2.6644410010599757</c:v>
                </c:pt>
                <c:pt idx="2321">
                  <c:v>2.6591293950950741</c:v>
                </c:pt>
                <c:pt idx="2322">
                  <c:v>2.6726240189725767</c:v>
                </c:pt>
                <c:pt idx="2323">
                  <c:v>2.6801786206134897</c:v>
                </c:pt>
                <c:pt idx="2324">
                  <c:v>2.6915217026401264</c:v>
                </c:pt>
                <c:pt idx="2325">
                  <c:v>2.6718742334696612</c:v>
                </c:pt>
                <c:pt idx="2326">
                  <c:v>2.6797214808404348</c:v>
                </c:pt>
                <c:pt idx="2327">
                  <c:v>2.6798766760089126</c:v>
                </c:pt>
                <c:pt idx="2328">
                  <c:v>2.6626194250212265</c:v>
                </c:pt>
                <c:pt idx="2329">
                  <c:v>2.6650333814240206</c:v>
                </c:pt>
                <c:pt idx="2330">
                  <c:v>2.6669184040204592</c:v>
                </c:pt>
                <c:pt idx="2331">
                  <c:v>2.6552592206945334</c:v>
                </c:pt>
                <c:pt idx="2332">
                  <c:v>2.6587953902219894</c:v>
                </c:pt>
                <c:pt idx="2333">
                  <c:v>2.6440329910789431</c:v>
                </c:pt>
                <c:pt idx="2334">
                  <c:v>2.648468102735579</c:v>
                </c:pt>
                <c:pt idx="2335">
                  <c:v>2.6532166883411001</c:v>
                </c:pt>
                <c:pt idx="2336">
                  <c:v>2.6482087406888293</c:v>
                </c:pt>
                <c:pt idx="2337">
                  <c:v>2.6752097393380594</c:v>
                </c:pt>
                <c:pt idx="2338">
                  <c:v>2.662612043071328</c:v>
                </c:pt>
                <c:pt idx="2339">
                  <c:v>2.6603267114517855</c:v>
                </c:pt>
                <c:pt idx="2340">
                  <c:v>2.6575654240535864</c:v>
                </c:pt>
                <c:pt idx="2341">
                  <c:v>2.6574973021482355</c:v>
                </c:pt>
                <c:pt idx="2342">
                  <c:v>2.665426367814284</c:v>
                </c:pt>
                <c:pt idx="2343">
                  <c:v>2.6629093859581929</c:v>
                </c:pt>
                <c:pt idx="2344">
                  <c:v>2.6707803126851535</c:v>
                </c:pt>
                <c:pt idx="2345">
                  <c:v>2.6775597841126011</c:v>
                </c:pt>
                <c:pt idx="2346">
                  <c:v>2.650100661012071</c:v>
                </c:pt>
                <c:pt idx="2347">
                  <c:v>2.6480518382606189</c:v>
                </c:pt>
                <c:pt idx="2348">
                  <c:v>2.6544566452475689</c:v>
                </c:pt>
                <c:pt idx="2349">
                  <c:v>2.6267630648558602</c:v>
                </c:pt>
                <c:pt idx="2350">
                  <c:v>2.616704389125069</c:v>
                </c:pt>
                <c:pt idx="2351">
                  <c:v>2.6092627272607163</c:v>
                </c:pt>
                <c:pt idx="2352">
                  <c:v>2.6160385826237338</c:v>
                </c:pt>
                <c:pt idx="2353">
                  <c:v>2.620259693423979</c:v>
                </c:pt>
                <c:pt idx="2354">
                  <c:v>2.6083199734079958</c:v>
                </c:pt>
                <c:pt idx="2355">
                  <c:v>2.6194810075291026</c:v>
                </c:pt>
                <c:pt idx="2356">
                  <c:v>2.618656786961385</c:v>
                </c:pt>
                <c:pt idx="2357">
                  <c:v>2.6172928338934653</c:v>
                </c:pt>
                <c:pt idx="2358">
                  <c:v>2.6190796656934121</c:v>
                </c:pt>
                <c:pt idx="2359">
                  <c:v>2.6345111098051608</c:v>
                </c:pt>
                <c:pt idx="2360">
                  <c:v>2.6238419690703791</c:v>
                </c:pt>
                <c:pt idx="2361">
                  <c:v>2.6179130747998154</c:v>
                </c:pt>
                <c:pt idx="2362">
                  <c:v>2.6323780768863196</c:v>
                </c:pt>
                <c:pt idx="2363">
                  <c:v>2.6185505447305899</c:v>
                </c:pt>
                <c:pt idx="2364">
                  <c:v>2.6250701078441532</c:v>
                </c:pt>
                <c:pt idx="2365">
                  <c:v>2.6206236624653489</c:v>
                </c:pt>
                <c:pt idx="2366">
                  <c:v>2.6060573208992923</c:v>
                </c:pt>
                <c:pt idx="2367">
                  <c:v>2.6169802997482945</c:v>
                </c:pt>
                <c:pt idx="2368">
                  <c:v>2.6265981442476698</c:v>
                </c:pt>
                <c:pt idx="2369">
                  <c:v>2.6265109884002138</c:v>
                </c:pt>
                <c:pt idx="2370">
                  <c:v>2.6167005739014413</c:v>
                </c:pt>
                <c:pt idx="2371">
                  <c:v>2.6064178326065814</c:v>
                </c:pt>
                <c:pt idx="2372">
                  <c:v>2.6104991554514649</c:v>
                </c:pt>
                <c:pt idx="2373">
                  <c:v>2.609471318017861</c:v>
                </c:pt>
                <c:pt idx="2374">
                  <c:v>2.6060542528457336</c:v>
                </c:pt>
                <c:pt idx="2375">
                  <c:v>2.6184270681423301</c:v>
                </c:pt>
                <c:pt idx="2376">
                  <c:v>2.6143071991055948</c:v>
                </c:pt>
                <c:pt idx="2377">
                  <c:v>2.6044692222814319</c:v>
                </c:pt>
                <c:pt idx="2378">
                  <c:v>2.6104080270009384</c:v>
                </c:pt>
                <c:pt idx="2379">
                  <c:v>2.6083684438847081</c:v>
                </c:pt>
                <c:pt idx="2380">
                  <c:v>2.6162272360492329</c:v>
                </c:pt>
                <c:pt idx="2381">
                  <c:v>2.615546718205032</c:v>
                </c:pt>
                <c:pt idx="2382">
                  <c:v>2.6042838708029139</c:v>
                </c:pt>
                <c:pt idx="2383">
                  <c:v>2.6098339465293106</c:v>
                </c:pt>
                <c:pt idx="2384">
                  <c:v>2.6112855059090996</c:v>
                </c:pt>
                <c:pt idx="2385">
                  <c:v>2.6219708631806125</c:v>
                </c:pt>
                <c:pt idx="2386">
                  <c:v>2.6022448173677977</c:v>
                </c:pt>
                <c:pt idx="2387">
                  <c:v>2.6099680689421572</c:v>
                </c:pt>
                <c:pt idx="2388">
                  <c:v>2.6031833456980928</c:v>
                </c:pt>
                <c:pt idx="2389">
                  <c:v>2.5986931702505736</c:v>
                </c:pt>
                <c:pt idx="2390">
                  <c:v>2.5930144569382767</c:v>
                </c:pt>
                <c:pt idx="2391">
                  <c:v>2.5943273230348591</c:v>
                </c:pt>
                <c:pt idx="2392">
                  <c:v>2.6001504448695991</c:v>
                </c:pt>
                <c:pt idx="2393">
                  <c:v>2.6042501699699945</c:v>
                </c:pt>
                <c:pt idx="2394">
                  <c:v>2.5976089542527485</c:v>
                </c:pt>
                <c:pt idx="2395">
                  <c:v>2.6183158245705953</c:v>
                </c:pt>
                <c:pt idx="2396">
                  <c:v>2.6275490476818542</c:v>
                </c:pt>
                <c:pt idx="2397">
                  <c:v>2.5999284202109822</c:v>
                </c:pt>
                <c:pt idx="2398">
                  <c:v>2.5907880322407073</c:v>
                </c:pt>
                <c:pt idx="2399">
                  <c:v>2.6036780193841356</c:v>
                </c:pt>
                <c:pt idx="2400">
                  <c:v>2.59132048367956</c:v>
                </c:pt>
                <c:pt idx="2401">
                  <c:v>2.5973873168928314</c:v>
                </c:pt>
                <c:pt idx="2402">
                  <c:v>2.5944839537520874</c:v>
                </c:pt>
                <c:pt idx="2403">
                  <c:v>2.5997770365041681</c:v>
                </c:pt>
                <c:pt idx="2404">
                  <c:v>2.5979312178731333</c:v>
                </c:pt>
                <c:pt idx="2405">
                  <c:v>2.6023403837891665</c:v>
                </c:pt>
                <c:pt idx="2406">
                  <c:v>2.6153200240758063</c:v>
                </c:pt>
                <c:pt idx="2407">
                  <c:v>2.615142417062494</c:v>
                </c:pt>
                <c:pt idx="2408">
                  <c:v>2.5991621932958733</c:v>
                </c:pt>
                <c:pt idx="2409">
                  <c:v>2.5870858188279735</c:v>
                </c:pt>
                <c:pt idx="2410">
                  <c:v>2.569053998545185</c:v>
                </c:pt>
                <c:pt idx="2411">
                  <c:v>2.5591756723378345</c:v>
                </c:pt>
                <c:pt idx="2412">
                  <c:v>2.5686658684460948</c:v>
                </c:pt>
                <c:pt idx="2413">
                  <c:v>2.5612893043388674</c:v>
                </c:pt>
                <c:pt idx="2414">
                  <c:v>2.5606029199678604</c:v>
                </c:pt>
                <c:pt idx="2415">
                  <c:v>2.5713736645922767</c:v>
                </c:pt>
                <c:pt idx="2416">
                  <c:v>2.582534142606955</c:v>
                </c:pt>
                <c:pt idx="2417">
                  <c:v>2.5876656165960101</c:v>
                </c:pt>
                <c:pt idx="2418">
                  <c:v>2.5843998862517132</c:v>
                </c:pt>
                <c:pt idx="2419">
                  <c:v>2.5831944738439994</c:v>
                </c:pt>
                <c:pt idx="2420">
                  <c:v>2.5692041282511586</c:v>
                </c:pt>
                <c:pt idx="2421">
                  <c:v>2.5805364285510248</c:v>
                </c:pt>
                <c:pt idx="2422">
                  <c:v>2.5980272357824346</c:v>
                </c:pt>
                <c:pt idx="2423">
                  <c:v>2.600794116109058</c:v>
                </c:pt>
                <c:pt idx="2424">
                  <c:v>2.6030722750784809</c:v>
                </c:pt>
                <c:pt idx="2425">
                  <c:v>2.6067382923426581</c:v>
                </c:pt>
                <c:pt idx="2426">
                  <c:v>2.6001159136584602</c:v>
                </c:pt>
                <c:pt idx="2427">
                  <c:v>2.6141365688487581</c:v>
                </c:pt>
                <c:pt idx="2428">
                  <c:v>2.6111939542541496</c:v>
                </c:pt>
                <c:pt idx="2429">
                  <c:v>2.6006643243408387</c:v>
                </c:pt>
                <c:pt idx="2430">
                  <c:v>2.5843168216455346</c:v>
                </c:pt>
                <c:pt idx="2431">
                  <c:v>2.5670450187710521</c:v>
                </c:pt>
                <c:pt idx="2432">
                  <c:v>2.5686313239276743</c:v>
                </c:pt>
                <c:pt idx="2433">
                  <c:v>2.5736003501099236</c:v>
                </c:pt>
                <c:pt idx="2434">
                  <c:v>2.5795787437547482</c:v>
                </c:pt>
                <c:pt idx="2435">
                  <c:v>2.5834647395225097</c:v>
                </c:pt>
                <c:pt idx="2436">
                  <c:v>2.5729282991691824</c:v>
                </c:pt>
                <c:pt idx="2437">
                  <c:v>2.5657488981978975</c:v>
                </c:pt>
                <c:pt idx="2438">
                  <c:v>2.5741353822665816</c:v>
                </c:pt>
                <c:pt idx="2439">
                  <c:v>2.5703984047551423</c:v>
                </c:pt>
                <c:pt idx="2440">
                  <c:v>2.5264633852871863</c:v>
                </c:pt>
                <c:pt idx="2441">
                  <c:v>2.5287222936968035</c:v>
                </c:pt>
                <c:pt idx="2442">
                  <c:v>2.5028794097662641</c:v>
                </c:pt>
                <c:pt idx="2443">
                  <c:v>2.4829380580655322</c:v>
                </c:pt>
                <c:pt idx="2444">
                  <c:v>2.4982512466633104</c:v>
                </c:pt>
                <c:pt idx="2445">
                  <c:v>2.5088806820654606</c:v>
                </c:pt>
                <c:pt idx="2446">
                  <c:v>2.5157529099188465</c:v>
                </c:pt>
                <c:pt idx="2447">
                  <c:v>2.5118956984697056</c:v>
                </c:pt>
                <c:pt idx="2448">
                  <c:v>2.5028172815783627</c:v>
                </c:pt>
                <c:pt idx="2449">
                  <c:v>2.5064338065387379</c:v>
                </c:pt>
                <c:pt idx="2450">
                  <c:v>2.4804075931409462</c:v>
                </c:pt>
                <c:pt idx="2451">
                  <c:v>2.4715371287050942</c:v>
                </c:pt>
                <c:pt idx="2452">
                  <c:v>2.4751674846836873</c:v>
                </c:pt>
                <c:pt idx="2453">
                  <c:v>2.5106887467906054</c:v>
                </c:pt>
                <c:pt idx="2454">
                  <c:v>2.507724473730347</c:v>
                </c:pt>
                <c:pt idx="2455">
                  <c:v>2.497445862115073</c:v>
                </c:pt>
                <c:pt idx="2456">
                  <c:v>2.4571366737015636</c:v>
                </c:pt>
                <c:pt idx="2457">
                  <c:v>2.436154082060292</c:v>
                </c:pt>
                <c:pt idx="2458">
                  <c:v>2.4242122190865341</c:v>
                </c:pt>
                <c:pt idx="2459">
                  <c:v>2.447746522540112</c:v>
                </c:pt>
                <c:pt idx="2460">
                  <c:v>2.4482519550167718</c:v>
                </c:pt>
                <c:pt idx="2461">
                  <c:v>2.4439013393700679</c:v>
                </c:pt>
                <c:pt idx="2462">
                  <c:v>2.4363275380957208</c:v>
                </c:pt>
                <c:pt idx="2463">
                  <c:v>2.4401465898504808</c:v>
                </c:pt>
                <c:pt idx="2464">
                  <c:v>2.4601829317650914</c:v>
                </c:pt>
                <c:pt idx="2465">
                  <c:v>2.4601667764257562</c:v>
                </c:pt>
                <c:pt idx="2466">
                  <c:v>2.4575046248812691</c:v>
                </c:pt>
                <c:pt idx="2467">
                  <c:v>2.4328623577328798</c:v>
                </c:pt>
                <c:pt idx="2468">
                  <c:v>2.4339355820161228</c:v>
                </c:pt>
                <c:pt idx="2469">
                  <c:v>2.4396004468343659</c:v>
                </c:pt>
                <c:pt idx="2470">
                  <c:v>2.427590305421647</c:v>
                </c:pt>
                <c:pt idx="2471">
                  <c:v>2.4324774714314699</c:v>
                </c:pt>
                <c:pt idx="2472">
                  <c:v>2.4193172649852244</c:v>
                </c:pt>
                <c:pt idx="2473">
                  <c:v>2.4112509661009187</c:v>
                </c:pt>
                <c:pt idx="2474">
                  <c:v>2.4162636566760956</c:v>
                </c:pt>
                <c:pt idx="2475">
                  <c:v>2.4218092180010951</c:v>
                </c:pt>
                <c:pt idx="2476">
                  <c:v>2.4120016624495415</c:v>
                </c:pt>
                <c:pt idx="2477">
                  <c:v>2.4184319321845997</c:v>
                </c:pt>
                <c:pt idx="2478">
                  <c:v>2.42573407331788</c:v>
                </c:pt>
                <c:pt idx="2479">
                  <c:v>2.419745696338476</c:v>
                </c:pt>
                <c:pt idx="2480">
                  <c:v>2.4187391961503462</c:v>
                </c:pt>
                <c:pt idx="2481">
                  <c:v>2.4240376045210912</c:v>
                </c:pt>
                <c:pt idx="2482">
                  <c:v>2.4258085824288589</c:v>
                </c:pt>
                <c:pt idx="2483">
                  <c:v>2.4466226482500959</c:v>
                </c:pt>
                <c:pt idx="2484">
                  <c:v>2.43262945327433</c:v>
                </c:pt>
                <c:pt idx="2485">
                  <c:v>2.4439549686486086</c:v>
                </c:pt>
                <c:pt idx="2486">
                  <c:v>2.4623928036067055</c:v>
                </c:pt>
                <c:pt idx="2487">
                  <c:v>2.4621156155145854</c:v>
                </c:pt>
                <c:pt idx="2488">
                  <c:v>2.4805026544396989</c:v>
                </c:pt>
                <c:pt idx="2489">
                  <c:v>2.4971741655343087</c:v>
                </c:pt>
                <c:pt idx="2490">
                  <c:v>2.5309263058412435</c:v>
                </c:pt>
                <c:pt idx="2491">
                  <c:v>2.5499488058960065</c:v>
                </c:pt>
                <c:pt idx="2492">
                  <c:v>2.5572450052018216</c:v>
                </c:pt>
                <c:pt idx="2493">
                  <c:v>2.5325514032920466</c:v>
                </c:pt>
                <c:pt idx="2494">
                  <c:v>2.54837392092556</c:v>
                </c:pt>
                <c:pt idx="2495">
                  <c:v>2.5461639877493969</c:v>
                </c:pt>
                <c:pt idx="2496">
                  <c:v>2.5703033908559871</c:v>
                </c:pt>
                <c:pt idx="2497">
                  <c:v>2.5904963900756934</c:v>
                </c:pt>
                <c:pt idx="2498">
                  <c:v>2.5649511886124472</c:v>
                </c:pt>
                <c:pt idx="2499">
                  <c:v>2.5594906168647209</c:v>
                </c:pt>
                <c:pt idx="2500">
                  <c:v>2.559915142761831</c:v>
                </c:pt>
                <c:pt idx="2501">
                  <c:v>2.5610865460314076</c:v>
                </c:pt>
                <c:pt idx="2502">
                  <c:v>2.5790253821135107</c:v>
                </c:pt>
                <c:pt idx="2503">
                  <c:v>2.5690125802369623</c:v>
                </c:pt>
                <c:pt idx="2504">
                  <c:v>2.5921024323005879</c:v>
                </c:pt>
                <c:pt idx="2505">
                  <c:v>2.6091850150064024</c:v>
                </c:pt>
                <c:pt idx="2506">
                  <c:v>2.6117119698953908</c:v>
                </c:pt>
                <c:pt idx="2507">
                  <c:v>2.5857827790144055</c:v>
                </c:pt>
                <c:pt idx="2508">
                  <c:v>2.5832956571316528</c:v>
                </c:pt>
                <c:pt idx="2509">
                  <c:v>2.6005231578320842</c:v>
                </c:pt>
                <c:pt idx="2510">
                  <c:v>2.5895785847387747</c:v>
                </c:pt>
                <c:pt idx="2511">
                  <c:v>2.5905809825085768</c:v>
                </c:pt>
                <c:pt idx="2512">
                  <c:v>2.6023567152407798</c:v>
                </c:pt>
                <c:pt idx="2513">
                  <c:v>2.6129582933202156</c:v>
                </c:pt>
                <c:pt idx="2514">
                  <c:v>2.6210455504822447</c:v>
                </c:pt>
                <c:pt idx="2515">
                  <c:v>2.6148363460039965</c:v>
                </c:pt>
                <c:pt idx="2516">
                  <c:v>2.6169989311638009</c:v>
                </c:pt>
                <c:pt idx="2517">
                  <c:v>2.6301205939187011</c:v>
                </c:pt>
                <c:pt idx="2518">
                  <c:v>2.633465678917088</c:v>
                </c:pt>
                <c:pt idx="2519">
                  <c:v>2.6119759773338402</c:v>
                </c:pt>
                <c:pt idx="2520">
                  <c:v>2.6108506222566112</c:v>
                </c:pt>
                <c:pt idx="2521">
                  <c:v>2.5872698679975148</c:v>
                </c:pt>
                <c:pt idx="2522">
                  <c:v>2.5952679043528875</c:v>
                </c:pt>
                <c:pt idx="2523">
                  <c:v>2.5843224029689469</c:v>
                </c:pt>
                <c:pt idx="2524">
                  <c:v>2.5734274780512214</c:v>
                </c:pt>
                <c:pt idx="2525">
                  <c:v>2.5692432565057461</c:v>
                </c:pt>
                <c:pt idx="2526">
                  <c:v>2.5577872997241036</c:v>
                </c:pt>
                <c:pt idx="2527">
                  <c:v>2.5626053624206198</c:v>
                </c:pt>
                <c:pt idx="2528">
                  <c:v>2.5520714310262926</c:v>
                </c:pt>
                <c:pt idx="2529">
                  <c:v>2.564669880377167</c:v>
                </c:pt>
                <c:pt idx="2530">
                  <c:v>2.558593530962038</c:v>
                </c:pt>
                <c:pt idx="2531">
                  <c:v>2.5673297653034015</c:v>
                </c:pt>
                <c:pt idx="2532">
                  <c:v>2.5839048169684236</c:v>
                </c:pt>
                <c:pt idx="2533">
                  <c:v>2.5756336389573695</c:v>
                </c:pt>
                <c:pt idx="2534">
                  <c:v>2.551800236969104</c:v>
                </c:pt>
                <c:pt idx="2535">
                  <c:v>2.5462126058273804</c:v>
                </c:pt>
                <c:pt idx="2536">
                  <c:v>2.5278644140019586</c:v>
                </c:pt>
                <c:pt idx="2537">
                  <c:v>2.5277051719367294</c:v>
                </c:pt>
                <c:pt idx="2538">
                  <c:v>2.5478418692248619</c:v>
                </c:pt>
                <c:pt idx="2539">
                  <c:v>2.5468855223892275</c:v>
                </c:pt>
                <c:pt idx="2540">
                  <c:v>2.5544001551203568</c:v>
                </c:pt>
                <c:pt idx="2541">
                  <c:v>2.5586126056104628</c:v>
                </c:pt>
                <c:pt idx="2542">
                  <c:v>2.5689969929699328</c:v>
                </c:pt>
                <c:pt idx="2543">
                  <c:v>2.561349921903926</c:v>
                </c:pt>
                <c:pt idx="2544">
                  <c:v>2.5663160751248628</c:v>
                </c:pt>
                <c:pt idx="2545">
                  <c:v>2.5749374010634387</c:v>
                </c:pt>
                <c:pt idx="2546">
                  <c:v>2.5972086814947475</c:v>
                </c:pt>
                <c:pt idx="2547">
                  <c:v>2.5647766628196833</c:v>
                </c:pt>
                <c:pt idx="2548">
                  <c:v>2.5567963304371362</c:v>
                </c:pt>
                <c:pt idx="2549">
                  <c:v>2.4927883624297422</c:v>
                </c:pt>
                <c:pt idx="2550">
                  <c:v>2.4967839127394336</c:v>
                </c:pt>
                <c:pt idx="2551">
                  <c:v>2.4876986187153789</c:v>
                </c:pt>
                <c:pt idx="2552">
                  <c:v>2.5074973370522473</c:v>
                </c:pt>
                <c:pt idx="2553">
                  <c:v>2.5106975643953997</c:v>
                </c:pt>
                <c:pt idx="2554">
                  <c:v>2.5294830490494467</c:v>
                </c:pt>
                <c:pt idx="2555">
                  <c:v>2.5092256722620006</c:v>
                </c:pt>
                <c:pt idx="2556">
                  <c:v>2.5386277892015627</c:v>
                </c:pt>
                <c:pt idx="2557">
                  <c:v>2.5613341649830277</c:v>
                </c:pt>
                <c:pt idx="2558">
                  <c:v>2.5579976517558487</c:v>
                </c:pt>
                <c:pt idx="2559">
                  <c:v>2.5268149605306296</c:v>
                </c:pt>
                <c:pt idx="2560">
                  <c:v>2.5314129055791499</c:v>
                </c:pt>
                <c:pt idx="2561">
                  <c:v>2.5306270349831808</c:v>
                </c:pt>
                <c:pt idx="2562">
                  <c:v>2.5317887008137383</c:v>
                </c:pt>
                <c:pt idx="2563">
                  <c:v>2.5441665906384001</c:v>
                </c:pt>
                <c:pt idx="2564">
                  <c:v>2.5592554772728171</c:v>
                </c:pt>
                <c:pt idx="2565">
                  <c:v>2.5485452730385227</c:v>
                </c:pt>
                <c:pt idx="2566">
                  <c:v>2.5699291703316276</c:v>
                </c:pt>
                <c:pt idx="2567">
                  <c:v>2.5869796863250092</c:v>
                </c:pt>
                <c:pt idx="2568">
                  <c:v>2.5878649061661001</c:v>
                </c:pt>
                <c:pt idx="2569">
                  <c:v>2.5800995771971897</c:v>
                </c:pt>
                <c:pt idx="2570">
                  <c:v>2.5844647732223729</c:v>
                </c:pt>
                <c:pt idx="2571">
                  <c:v>2.5666438194748924</c:v>
                </c:pt>
                <c:pt idx="2572">
                  <c:v>2.5618674427385764</c:v>
                </c:pt>
                <c:pt idx="2573">
                  <c:v>2.5442582079976326</c:v>
                </c:pt>
                <c:pt idx="2574">
                  <c:v>2.539715838269994</c:v>
                </c:pt>
                <c:pt idx="2575">
                  <c:v>2.5229698365158186</c:v>
                </c:pt>
                <c:pt idx="2576">
                  <c:v>2.5172489740443913</c:v>
                </c:pt>
                <c:pt idx="2577">
                  <c:v>2.5249808561993636</c:v>
                </c:pt>
                <c:pt idx="2578">
                  <c:v>2.5356837269453152</c:v>
                </c:pt>
                <c:pt idx="2579">
                  <c:v>2.5285660215664501</c:v>
                </c:pt>
                <c:pt idx="2580">
                  <c:v>2.5240867732983081</c:v>
                </c:pt>
                <c:pt idx="2581">
                  <c:v>2.5092152490666364</c:v>
                </c:pt>
                <c:pt idx="2582">
                  <c:v>2.5056939077322391</c:v>
                </c:pt>
                <c:pt idx="2583">
                  <c:v>2.5055022176619697</c:v>
                </c:pt>
                <c:pt idx="2584">
                  <c:v>2.503792613130718</c:v>
                </c:pt>
                <c:pt idx="2585">
                  <c:v>2.5107699068329672</c:v>
                </c:pt>
                <c:pt idx="2586">
                  <c:v>2.5020949334597002</c:v>
                </c:pt>
                <c:pt idx="2587">
                  <c:v>2.4856276902420724</c:v>
                </c:pt>
                <c:pt idx="2588">
                  <c:v>2.4749149521473286</c:v>
                </c:pt>
                <c:pt idx="2589">
                  <c:v>2.4696990467790068</c:v>
                </c:pt>
                <c:pt idx="2590">
                  <c:v>2.475163733174703</c:v>
                </c:pt>
                <c:pt idx="2591">
                  <c:v>2.4405952797682824</c:v>
                </c:pt>
                <c:pt idx="2592">
                  <c:v>2.4181622285632605</c:v>
                </c:pt>
                <c:pt idx="2593">
                  <c:v>2.3970618107186867</c:v>
                </c:pt>
                <c:pt idx="2594">
                  <c:v>2.3572235292482304</c:v>
                </c:pt>
                <c:pt idx="2595">
                  <c:v>2.346647381391981</c:v>
                </c:pt>
                <c:pt idx="2596">
                  <c:v>2.3695992102735026</c:v>
                </c:pt>
                <c:pt idx="2597">
                  <c:v>2.3984639701616963</c:v>
                </c:pt>
                <c:pt idx="2598">
                  <c:v>2.4301694819692545</c:v>
                </c:pt>
                <c:pt idx="2599">
                  <c:v>2.3627395903133803</c:v>
                </c:pt>
                <c:pt idx="2600">
                  <c:v>2.3502789936979864</c:v>
                </c:pt>
                <c:pt idx="2601">
                  <c:v>2.3417353814966808</c:v>
                </c:pt>
                <c:pt idx="2602">
                  <c:v>2.3257952284999321</c:v>
                </c:pt>
                <c:pt idx="2603">
                  <c:v>2.3441204066081602</c:v>
                </c:pt>
                <c:pt idx="2604">
                  <c:v>2.351125065679025</c:v>
                </c:pt>
                <c:pt idx="2605">
                  <c:v>2.34525541276783</c:v>
                </c:pt>
                <c:pt idx="2606">
                  <c:v>2.3291138780313752</c:v>
                </c:pt>
                <c:pt idx="2607">
                  <c:v>2.3156154588372688</c:v>
                </c:pt>
                <c:pt idx="2608">
                  <c:v>2.3201318619881586</c:v>
                </c:pt>
                <c:pt idx="2609">
                  <c:v>2.3261547847800959</c:v>
                </c:pt>
                <c:pt idx="2610">
                  <c:v>2.3249863057991873</c:v>
                </c:pt>
                <c:pt idx="2611">
                  <c:v>2.3343790654407965</c:v>
                </c:pt>
                <c:pt idx="2612">
                  <c:v>2.3533737746426979</c:v>
                </c:pt>
                <c:pt idx="2613">
                  <c:v>2.3290106346908113</c:v>
                </c:pt>
                <c:pt idx="2614">
                  <c:v>2.3258567438469941</c:v>
                </c:pt>
                <c:pt idx="2615">
                  <c:v>2.3606892199618299</c:v>
                </c:pt>
                <c:pt idx="2616">
                  <c:v>2.3796310239609313</c:v>
                </c:pt>
                <c:pt idx="2617">
                  <c:v>2.3835508960538601</c:v>
                </c:pt>
                <c:pt idx="2618">
                  <c:v>2.3816377987339741</c:v>
                </c:pt>
                <c:pt idx="2619">
                  <c:v>2.3802292000940275</c:v>
                </c:pt>
                <c:pt idx="2620">
                  <c:v>2.3832368826129997</c:v>
                </c:pt>
                <c:pt idx="2621">
                  <c:v>2.3753999400876533</c:v>
                </c:pt>
                <c:pt idx="2622">
                  <c:v>2.3671852295305364</c:v>
                </c:pt>
                <c:pt idx="2623">
                  <c:v>2.3605984366801058</c:v>
                </c:pt>
                <c:pt idx="2624">
                  <c:v>2.3374794164610391</c:v>
                </c:pt>
                <c:pt idx="2625">
                  <c:v>2.3602034741103926</c:v>
                </c:pt>
                <c:pt idx="2626">
                  <c:v>2.3556813321661689</c:v>
                </c:pt>
                <c:pt idx="2627">
                  <c:v>2.3644782846786931</c:v>
                </c:pt>
                <c:pt idx="2628">
                  <c:v>2.3677669147894416</c:v>
                </c:pt>
                <c:pt idx="2629">
                  <c:v>2.3746750890314483</c:v>
                </c:pt>
                <c:pt idx="2630">
                  <c:v>2.38873948626577</c:v>
                </c:pt>
                <c:pt idx="2631">
                  <c:v>2.4193306759592841</c:v>
                </c:pt>
                <c:pt idx="2632">
                  <c:v>2.4277555235419417</c:v>
                </c:pt>
                <c:pt idx="2633">
                  <c:v>2.4546113328674624</c:v>
                </c:pt>
                <c:pt idx="2634">
                  <c:v>2.4352056078784683</c:v>
                </c:pt>
                <c:pt idx="2635">
                  <c:v>2.4458006419312834</c:v>
                </c:pt>
                <c:pt idx="2636">
                  <c:v>2.4615340221183013</c:v>
                </c:pt>
                <c:pt idx="2637">
                  <c:v>2.5046439527967608</c:v>
                </c:pt>
                <c:pt idx="2638">
                  <c:v>2.5216716791063254</c:v>
                </c:pt>
                <c:pt idx="2639">
                  <c:v>2.5168944796928931</c:v>
                </c:pt>
                <c:pt idx="2640">
                  <c:v>2.5095835397814694</c:v>
                </c:pt>
                <c:pt idx="2641">
                  <c:v>2.5298737667635951</c:v>
                </c:pt>
                <c:pt idx="2642">
                  <c:v>2.516086867400563</c:v>
                </c:pt>
                <c:pt idx="2643">
                  <c:v>2.4980730846471206</c:v>
                </c:pt>
                <c:pt idx="2644">
                  <c:v>2.519536151232959</c:v>
                </c:pt>
                <c:pt idx="2645">
                  <c:v>2.4890900039508139</c:v>
                </c:pt>
                <c:pt idx="2646">
                  <c:v>2.4686488560066162</c:v>
                </c:pt>
                <c:pt idx="2647">
                  <c:v>2.4699802274065212</c:v>
                </c:pt>
                <c:pt idx="2648">
                  <c:v>2.4425317945526079</c:v>
                </c:pt>
                <c:pt idx="2649">
                  <c:v>2.5263767483354203</c:v>
                </c:pt>
                <c:pt idx="2650">
                  <c:v>2.5286667512392769</c:v>
                </c:pt>
                <c:pt idx="2651">
                  <c:v>2.5127040675468821</c:v>
                </c:pt>
                <c:pt idx="2652">
                  <c:v>2.5348662572177521</c:v>
                </c:pt>
                <c:pt idx="2653">
                  <c:v>2.5415078302112173</c:v>
                </c:pt>
                <c:pt idx="2654">
                  <c:v>2.55500338894372</c:v>
                </c:pt>
                <c:pt idx="2655">
                  <c:v>2.5612494842311881</c:v>
                </c:pt>
                <c:pt idx="2656">
                  <c:v>2.5827880876206897</c:v>
                </c:pt>
                <c:pt idx="2657">
                  <c:v>2.5784260857103405</c:v>
                </c:pt>
                <c:pt idx="2658">
                  <c:v>2.5610847855612184</c:v>
                </c:pt>
                <c:pt idx="2659">
                  <c:v>2.5513259255895284</c:v>
                </c:pt>
                <c:pt idx="2660">
                  <c:v>2.5156436971430849</c:v>
                </c:pt>
                <c:pt idx="2661">
                  <c:v>2.5029123687467503</c:v>
                </c:pt>
                <c:pt idx="2662">
                  <c:v>2.4888569274099237</c:v>
                </c:pt>
                <c:pt idx="2663">
                  <c:v>2.4856033032303242</c:v>
                </c:pt>
                <c:pt idx="2664">
                  <c:v>2.4819785524730986</c:v>
                </c:pt>
                <c:pt idx="2665">
                  <c:v>2.4646646642466892</c:v>
                </c:pt>
                <c:pt idx="2666">
                  <c:v>2.4994085666947083</c:v>
                </c:pt>
                <c:pt idx="2667">
                  <c:v>2.5105737140704476</c:v>
                </c:pt>
                <c:pt idx="2668">
                  <c:v>2.5322588867909515</c:v>
                </c:pt>
                <c:pt idx="2669">
                  <c:v>2.4720366044388737</c:v>
                </c:pt>
                <c:pt idx="2670">
                  <c:v>2.4748646549374218</c:v>
                </c:pt>
                <c:pt idx="2671">
                  <c:v>2.4687459006326113</c:v>
                </c:pt>
                <c:pt idx="2672">
                  <c:v>2.4650836599347308</c:v>
                </c:pt>
                <c:pt idx="2673">
                  <c:v>2.4818243488049418</c:v>
                </c:pt>
                <c:pt idx="2674">
                  <c:v>2.4803340366885989</c:v>
                </c:pt>
                <c:pt idx="2675">
                  <c:v>2.4777509365998611</c:v>
                </c:pt>
                <c:pt idx="2676">
                  <c:v>2.4876650383342258</c:v>
                </c:pt>
                <c:pt idx="2677">
                  <c:v>2.4827128565487047</c:v>
                </c:pt>
                <c:pt idx="2678">
                  <c:v>2.4732212457733427</c:v>
                </c:pt>
                <c:pt idx="2679">
                  <c:v>2.4761250732540052</c:v>
                </c:pt>
                <c:pt idx="2680">
                  <c:v>2.4593301513880261</c:v>
                </c:pt>
                <c:pt idx="2681">
                  <c:v>2.4648803402762685</c:v>
                </c:pt>
                <c:pt idx="2682">
                  <c:v>2.4735148028577219</c:v>
                </c:pt>
                <c:pt idx="2683">
                  <c:v>2.4759929783686556</c:v>
                </c:pt>
                <c:pt idx="2684">
                  <c:v>2.4659510280002306</c:v>
                </c:pt>
                <c:pt idx="2685">
                  <c:v>2.4876641745903174</c:v>
                </c:pt>
                <c:pt idx="2686">
                  <c:v>2.5066793584732294</c:v>
                </c:pt>
                <c:pt idx="2687">
                  <c:v>2.5291804423394382</c:v>
                </c:pt>
                <c:pt idx="2688">
                  <c:v>2.4957352372997774</c:v>
                </c:pt>
                <c:pt idx="2689">
                  <c:v>2.5086527402636514</c:v>
                </c:pt>
                <c:pt idx="2690">
                  <c:v>2.5162747982622848</c:v>
                </c:pt>
                <c:pt idx="2691">
                  <c:v>2.502158749212962</c:v>
                </c:pt>
                <c:pt idx="2692">
                  <c:v>2.5019743609932341</c:v>
                </c:pt>
                <c:pt idx="2693">
                  <c:v>2.4988572168846614</c:v>
                </c:pt>
                <c:pt idx="2694">
                  <c:v>2.4983788108766292</c:v>
                </c:pt>
                <c:pt idx="2695">
                  <c:v>2.5244965508506225</c:v>
                </c:pt>
                <c:pt idx="2696">
                  <c:v>2.5065253414992137</c:v>
                </c:pt>
                <c:pt idx="2697">
                  <c:v>2.5066974713952801</c:v>
                </c:pt>
                <c:pt idx="2698">
                  <c:v>2.4968753651834903</c:v>
                </c:pt>
                <c:pt idx="2699">
                  <c:v>2.4906481170629142</c:v>
                </c:pt>
                <c:pt idx="2700">
                  <c:v>2.4856156001501755</c:v>
                </c:pt>
                <c:pt idx="2701">
                  <c:v>2.4821211025785876</c:v>
                </c:pt>
                <c:pt idx="2702">
                  <c:v>2.4519415684627757</c:v>
                </c:pt>
                <c:pt idx="2703">
                  <c:v>2.4662679511898631</c:v>
                </c:pt>
                <c:pt idx="2704">
                  <c:v>2.4468099268183985</c:v>
                </c:pt>
                <c:pt idx="2705">
                  <c:v>2.4284610348391951</c:v>
                </c:pt>
                <c:pt idx="2706">
                  <c:v>2.4353337219018418</c:v>
                </c:pt>
                <c:pt idx="2707">
                  <c:v>2.4095033350582975</c:v>
                </c:pt>
                <c:pt idx="2708">
                  <c:v>2.3519484488257736</c:v>
                </c:pt>
                <c:pt idx="2709">
                  <c:v>2.3584418152380242</c:v>
                </c:pt>
                <c:pt idx="2710">
                  <c:v>2.3395016576115735</c:v>
                </c:pt>
                <c:pt idx="2711">
                  <c:v>2.335339229306145</c:v>
                </c:pt>
                <c:pt idx="2712">
                  <c:v>2.3419933395869403</c:v>
                </c:pt>
                <c:pt idx="2713">
                  <c:v>2.3450186454042505</c:v>
                </c:pt>
                <c:pt idx="2714">
                  <c:v>2.3642866920475396</c:v>
                </c:pt>
                <c:pt idx="2715">
                  <c:v>2.3679790603449309</c:v>
                </c:pt>
                <c:pt idx="2716">
                  <c:v>2.3708132811457014</c:v>
                </c:pt>
                <c:pt idx="2717">
                  <c:v>2.3665125117790207</c:v>
                </c:pt>
                <c:pt idx="2718">
                  <c:v>2.3752677623930714</c:v>
                </c:pt>
                <c:pt idx="2719">
                  <c:v>2.3762881932382345</c:v>
                </c:pt>
                <c:pt idx="2720">
                  <c:v>2.3809303113406139</c:v>
                </c:pt>
                <c:pt idx="2721">
                  <c:v>2.3951820764935698</c:v>
                </c:pt>
                <c:pt idx="2722">
                  <c:v>2.3944590784040827</c:v>
                </c:pt>
                <c:pt idx="2723">
                  <c:v>2.3901595989541136</c:v>
                </c:pt>
                <c:pt idx="2724">
                  <c:v>2.4321680445457794</c:v>
                </c:pt>
                <c:pt idx="2725">
                  <c:v>2.4412923308749539</c:v>
                </c:pt>
                <c:pt idx="2726">
                  <c:v>2.4200734069881875</c:v>
                </c:pt>
                <c:pt idx="2727">
                  <c:v>2.4447863258070948</c:v>
                </c:pt>
                <c:pt idx="2728">
                  <c:v>2.4033209078023208</c:v>
                </c:pt>
                <c:pt idx="2729">
                  <c:v>2.3615625546011132</c:v>
                </c:pt>
                <c:pt idx="2730">
                  <c:v>2.3501524820919597</c:v>
                </c:pt>
                <c:pt idx="2731">
                  <c:v>2.3302956895365461</c:v>
                </c:pt>
                <c:pt idx="2732">
                  <c:v>2.3638119858505275</c:v>
                </c:pt>
                <c:pt idx="2733">
                  <c:v>2.3603962056833052</c:v>
                </c:pt>
                <c:pt idx="2734">
                  <c:v>2.3561172778227704</c:v>
                </c:pt>
                <c:pt idx="2735">
                  <c:v>2.3672061821662456</c:v>
                </c:pt>
                <c:pt idx="2736">
                  <c:v>2.3792880884492913</c:v>
                </c:pt>
                <c:pt idx="2737">
                  <c:v>2.3599338494400759</c:v>
                </c:pt>
                <c:pt idx="2738">
                  <c:v>2.3638372621582131</c:v>
                </c:pt>
                <c:pt idx="2739">
                  <c:v>2.358680128459159</c:v>
                </c:pt>
                <c:pt idx="2740">
                  <c:v>2.3626628749572554</c:v>
                </c:pt>
                <c:pt idx="2741">
                  <c:v>2.3734975634324296</c:v>
                </c:pt>
                <c:pt idx="2742">
                  <c:v>2.3706678209778307</c:v>
                </c:pt>
                <c:pt idx="2743">
                  <c:v>2.3635867017916827</c:v>
                </c:pt>
                <c:pt idx="2744">
                  <c:v>2.3802475548235003</c:v>
                </c:pt>
                <c:pt idx="2745">
                  <c:v>2.3688348716336778</c:v>
                </c:pt>
                <c:pt idx="2746">
                  <c:v>2.3853704453361737</c:v>
                </c:pt>
                <c:pt idx="2747">
                  <c:v>2.3730329220054887</c:v>
                </c:pt>
                <c:pt idx="2748">
                  <c:v>2.3984972267342006</c:v>
                </c:pt>
                <c:pt idx="2749">
                  <c:v>2.4104592895967571</c:v>
                </c:pt>
                <c:pt idx="2750">
                  <c:v>2.41523589463513</c:v>
                </c:pt>
                <c:pt idx="2751">
                  <c:v>2.3902805901563342</c:v>
                </c:pt>
                <c:pt idx="2752">
                  <c:v>2.3718254780013264</c:v>
                </c:pt>
                <c:pt idx="2753">
                  <c:v>2.3807798631892689</c:v>
                </c:pt>
                <c:pt idx="2754">
                  <c:v>2.373937885996583</c:v>
                </c:pt>
                <c:pt idx="2755">
                  <c:v>2.374266775316435</c:v>
                </c:pt>
                <c:pt idx="2756">
                  <c:v>2.382230331581173</c:v>
                </c:pt>
                <c:pt idx="2757">
                  <c:v>2.3917900102406011</c:v>
                </c:pt>
                <c:pt idx="2758">
                  <c:v>2.4071608719053321</c:v>
                </c:pt>
                <c:pt idx="2759">
                  <c:v>2.3237742239204753</c:v>
                </c:pt>
                <c:pt idx="2760">
                  <c:v>2.3498520834816512</c:v>
                </c:pt>
                <c:pt idx="2761">
                  <c:v>2.3288902813898815</c:v>
                </c:pt>
                <c:pt idx="2762">
                  <c:v>2.311500073599976</c:v>
                </c:pt>
                <c:pt idx="2763">
                  <c:v>2.3326014847047793</c:v>
                </c:pt>
                <c:pt idx="2764">
                  <c:v>2.3144209763540644</c:v>
                </c:pt>
                <c:pt idx="2765">
                  <c:v>2.3212794854158307</c:v>
                </c:pt>
                <c:pt idx="2766">
                  <c:v>2.3221190496596584</c:v>
                </c:pt>
                <c:pt idx="2767">
                  <c:v>2.3163686014732119</c:v>
                </c:pt>
                <c:pt idx="2768">
                  <c:v>2.3526021686551872</c:v>
                </c:pt>
                <c:pt idx="2769">
                  <c:v>2.3476990985818249</c:v>
                </c:pt>
                <c:pt idx="2770">
                  <c:v>2.3429815585327316</c:v>
                </c:pt>
                <c:pt idx="2771">
                  <c:v>2.3355448395212832</c:v>
                </c:pt>
                <c:pt idx="2772">
                  <c:v>2.3368417515191551</c:v>
                </c:pt>
                <c:pt idx="2773">
                  <c:v>2.3473414924262497</c:v>
                </c:pt>
                <c:pt idx="2774">
                  <c:v>2.3433902212078297</c:v>
                </c:pt>
                <c:pt idx="2775">
                  <c:v>2.3224189966791187</c:v>
                </c:pt>
                <c:pt idx="2776">
                  <c:v>2.3118576897297833</c:v>
                </c:pt>
                <c:pt idx="2777">
                  <c:v>2.2988842382665218</c:v>
                </c:pt>
                <c:pt idx="2778">
                  <c:v>2.2902227560205559</c:v>
                </c:pt>
                <c:pt idx="2779">
                  <c:v>2.3053256323654305</c:v>
                </c:pt>
                <c:pt idx="2780">
                  <c:v>2.3233228607556322</c:v>
                </c:pt>
                <c:pt idx="2781">
                  <c:v>2.3352261223329154</c:v>
                </c:pt>
                <c:pt idx="2782">
                  <c:v>2.3262135801431421</c:v>
                </c:pt>
                <c:pt idx="2783">
                  <c:v>2.3174774601288486</c:v>
                </c:pt>
                <c:pt idx="2784">
                  <c:v>2.3081641300800455</c:v>
                </c:pt>
                <c:pt idx="2785">
                  <c:v>2.3102852336366442</c:v>
                </c:pt>
                <c:pt idx="2786">
                  <c:v>2.3227056070348699</c:v>
                </c:pt>
                <c:pt idx="2787">
                  <c:v>2.3212488820010302</c:v>
                </c:pt>
                <c:pt idx="2788">
                  <c:v>2.3138055641980504</c:v>
                </c:pt>
                <c:pt idx="2789">
                  <c:v>2.3298297314055119</c:v>
                </c:pt>
                <c:pt idx="2790">
                  <c:v>2.3554357578654446</c:v>
                </c:pt>
                <c:pt idx="2791">
                  <c:v>2.3179494280899409</c:v>
                </c:pt>
                <c:pt idx="2792">
                  <c:v>2.3104507225425759</c:v>
                </c:pt>
                <c:pt idx="2793">
                  <c:v>2.3061009658668032</c:v>
                </c:pt>
                <c:pt idx="2794">
                  <c:v>2.3091650639093437</c:v>
                </c:pt>
                <c:pt idx="2795">
                  <c:v>2.3025032818969535</c:v>
                </c:pt>
                <c:pt idx="2796">
                  <c:v>2.2973588995953236</c:v>
                </c:pt>
                <c:pt idx="2797">
                  <c:v>2.2912509851196519</c:v>
                </c:pt>
                <c:pt idx="2798">
                  <c:v>2.3055585283396813</c:v>
                </c:pt>
                <c:pt idx="2799">
                  <c:v>2.3062072106591094</c:v>
                </c:pt>
                <c:pt idx="2800">
                  <c:v>2.4849008328332864</c:v>
                </c:pt>
                <c:pt idx="2801">
                  <c:v>2.5779654849229092</c:v>
                </c:pt>
                <c:pt idx="2802">
                  <c:v>2.6019915559839961</c:v>
                </c:pt>
                <c:pt idx="2803">
                  <c:v>2.5841833566863328</c:v>
                </c:pt>
                <c:pt idx="2804">
                  <c:v>2.5472811563315485</c:v>
                </c:pt>
                <c:pt idx="2805">
                  <c:v>2.5945763637592201</c:v>
                </c:pt>
                <c:pt idx="2806">
                  <c:v>2.598533334841036</c:v>
                </c:pt>
                <c:pt idx="2807">
                  <c:v>2.6110433060886651</c:v>
                </c:pt>
                <c:pt idx="2808">
                  <c:v>2.5830843267682293</c:v>
                </c:pt>
                <c:pt idx="2809">
                  <c:v>2.5870977081946922</c:v>
                </c:pt>
                <c:pt idx="2810">
                  <c:v>2.5968872924291997</c:v>
                </c:pt>
                <c:pt idx="2811">
                  <c:v>2.5813057812600015</c:v>
                </c:pt>
                <c:pt idx="2812">
                  <c:v>2.5810219564455776</c:v>
                </c:pt>
                <c:pt idx="2813">
                  <c:v>2.6035998724447311</c:v>
                </c:pt>
                <c:pt idx="2814">
                  <c:v>2.6008305387232076</c:v>
                </c:pt>
                <c:pt idx="2815">
                  <c:v>2.6066710707929461</c:v>
                </c:pt>
                <c:pt idx="2816">
                  <c:v>2.5609062187857705</c:v>
                </c:pt>
                <c:pt idx="2817">
                  <c:v>2.5676944351526481</c:v>
                </c:pt>
                <c:pt idx="2818">
                  <c:v>2.5584703003271816</c:v>
                </c:pt>
                <c:pt idx="2819">
                  <c:v>2.5414244369637822</c:v>
                </c:pt>
                <c:pt idx="2820">
                  <c:v>2.5674167664065783</c:v>
                </c:pt>
                <c:pt idx="2821">
                  <c:v>2.5968492897716438</c:v>
                </c:pt>
                <c:pt idx="2822">
                  <c:v>2.6063979742911711</c:v>
                </c:pt>
                <c:pt idx="2823">
                  <c:v>2.6131957474862499</c:v>
                </c:pt>
                <c:pt idx="2824">
                  <c:v>2.6390912021814317</c:v>
                </c:pt>
                <c:pt idx="2825">
                  <c:v>2.6429817928716646</c:v>
                </c:pt>
                <c:pt idx="2826">
                  <c:v>2.6400798398278438</c:v>
                </c:pt>
                <c:pt idx="2827">
                  <c:v>2.6307758361908071</c:v>
                </c:pt>
                <c:pt idx="2828">
                  <c:v>2.6296649233074301</c:v>
                </c:pt>
                <c:pt idx="2829">
                  <c:v>2.6302784516016224</c:v>
                </c:pt>
                <c:pt idx="2830">
                  <c:v>2.6297981304693714</c:v>
                </c:pt>
                <c:pt idx="2831">
                  <c:v>2.6258408073637685</c:v>
                </c:pt>
                <c:pt idx="2832">
                  <c:v>2.6273885099114698</c:v>
                </c:pt>
                <c:pt idx="2833">
                  <c:v>2.6469647208125866</c:v>
                </c:pt>
                <c:pt idx="2834">
                  <c:v>2.6279326604131543</c:v>
                </c:pt>
                <c:pt idx="2835">
                  <c:v>2.6317445791317575</c:v>
                </c:pt>
                <c:pt idx="2836">
                  <c:v>2.6354304879888222</c:v>
                </c:pt>
                <c:pt idx="2837">
                  <c:v>2.6323166457563159</c:v>
                </c:pt>
                <c:pt idx="2838">
                  <c:v>2.6312074388679139</c:v>
                </c:pt>
                <c:pt idx="2839">
                  <c:v>2.6192988227131258</c:v>
                </c:pt>
                <c:pt idx="2840">
                  <c:v>2.6296650829439145</c:v>
                </c:pt>
                <c:pt idx="2841">
                  <c:v>2.6457128795383147</c:v>
                </c:pt>
                <c:pt idx="2842">
                  <c:v>2.6217590091202765</c:v>
                </c:pt>
                <c:pt idx="2843">
                  <c:v>2.7012938407709681</c:v>
                </c:pt>
                <c:pt idx="2844">
                  <c:v>2.6916096109186292</c:v>
                </c:pt>
                <c:pt idx="2845">
                  <c:v>2.6823625716181065</c:v>
                </c:pt>
                <c:pt idx="2846">
                  <c:v>2.6508530654123126</c:v>
                </c:pt>
                <c:pt idx="2847">
                  <c:v>2.659997125719582</c:v>
                </c:pt>
                <c:pt idx="2848">
                  <c:v>2.651176693455521</c:v>
                </c:pt>
                <c:pt idx="2849">
                  <c:v>2.633729476190652</c:v>
                </c:pt>
                <c:pt idx="2850">
                  <c:v>2.6310492549911109</c:v>
                </c:pt>
                <c:pt idx="2851">
                  <c:v>2.6246014799925468</c:v>
                </c:pt>
                <c:pt idx="2852">
                  <c:v>2.6332261269628705</c:v>
                </c:pt>
                <c:pt idx="2853">
                  <c:v>2.6355895185141165</c:v>
                </c:pt>
                <c:pt idx="2854">
                  <c:v>2.6350746980829958</c:v>
                </c:pt>
                <c:pt idx="2855">
                  <c:v>2.6403670467731728</c:v>
                </c:pt>
                <c:pt idx="2856">
                  <c:v>2.6391969448236838</c:v>
                </c:pt>
                <c:pt idx="2857">
                  <c:v>2.6483104901043868</c:v>
                </c:pt>
                <c:pt idx="2858">
                  <c:v>2.6740892355627905</c:v>
                </c:pt>
                <c:pt idx="2859">
                  <c:v>2.6711507372069834</c:v>
                </c:pt>
                <c:pt idx="2860">
                  <c:v>2.6611444681143381</c:v>
                </c:pt>
                <c:pt idx="2861">
                  <c:v>2.631329178044278</c:v>
                </c:pt>
                <c:pt idx="2862">
                  <c:v>2.6447788745634524</c:v>
                </c:pt>
                <c:pt idx="2863">
                  <c:v>2.6421003431817085</c:v>
                </c:pt>
                <c:pt idx="2864">
                  <c:v>2.6674114332839429</c:v>
                </c:pt>
                <c:pt idx="2865">
                  <c:v>2.6758193677350794</c:v>
                </c:pt>
                <c:pt idx="2866">
                  <c:v>2.670134428124932</c:v>
                </c:pt>
                <c:pt idx="2867">
                  <c:v>2.6343247867439432</c:v>
                </c:pt>
                <c:pt idx="2868">
                  <c:v>2.6217383047627307</c:v>
                </c:pt>
                <c:pt idx="2869">
                  <c:v>2.6248947774719387</c:v>
                </c:pt>
                <c:pt idx="2870">
                  <c:v>2.6138615914262764</c:v>
                </c:pt>
                <c:pt idx="2871">
                  <c:v>2.6513807521624249</c:v>
                </c:pt>
                <c:pt idx="2872">
                  <c:v>2.6259098927542297</c:v>
                </c:pt>
                <c:pt idx="2873">
                  <c:v>2.6198388772678176</c:v>
                </c:pt>
                <c:pt idx="2874">
                  <c:v>2.5950004420280712</c:v>
                </c:pt>
                <c:pt idx="2875">
                  <c:v>2.5957732146163157</c:v>
                </c:pt>
                <c:pt idx="2876">
                  <c:v>2.6018429779481291</c:v>
                </c:pt>
                <c:pt idx="2877">
                  <c:v>2.6009049625927014</c:v>
                </c:pt>
                <c:pt idx="2878">
                  <c:v>2.6256713442580182</c:v>
                </c:pt>
                <c:pt idx="2879">
                  <c:v>2.6336581463840312</c:v>
                </c:pt>
                <c:pt idx="2880">
                  <c:v>2.6285272053275865</c:v>
                </c:pt>
                <c:pt idx="2881">
                  <c:v>2.6115709853064049</c:v>
                </c:pt>
                <c:pt idx="2882">
                  <c:v>2.613258247273178</c:v>
                </c:pt>
                <c:pt idx="2883">
                  <c:v>2.5999763752151646</c:v>
                </c:pt>
                <c:pt idx="2884">
                  <c:v>2.6183163288075733</c:v>
                </c:pt>
                <c:pt idx="2885">
                  <c:v>2.6210788180703197</c:v>
                </c:pt>
                <c:pt idx="2886">
                  <c:v>2.6120002428299967</c:v>
                </c:pt>
                <c:pt idx="2887">
                  <c:v>2.6101839340391164</c:v>
                </c:pt>
                <c:pt idx="2888">
                  <c:v>2.6118544894480364</c:v>
                </c:pt>
                <c:pt idx="2889">
                  <c:v>2.5967254920366716</c:v>
                </c:pt>
                <c:pt idx="2890">
                  <c:v>2.5983443455446817</c:v>
                </c:pt>
                <c:pt idx="2891">
                  <c:v>2.6015795357872746</c:v>
                </c:pt>
                <c:pt idx="2892">
                  <c:v>2.5912205299837328</c:v>
                </c:pt>
                <c:pt idx="2893">
                  <c:v>2.5883091366352806</c:v>
                </c:pt>
                <c:pt idx="2894">
                  <c:v>2.5686130187718117</c:v>
                </c:pt>
                <c:pt idx="2895">
                  <c:v>2.5606636661514437</c:v>
                </c:pt>
                <c:pt idx="2896">
                  <c:v>2.5848607844109242</c:v>
                </c:pt>
                <c:pt idx="2897">
                  <c:v>2.5656553585050226</c:v>
                </c:pt>
                <c:pt idx="2898">
                  <c:v>2.5621920238880818</c:v>
                </c:pt>
                <c:pt idx="2899">
                  <c:v>2.5665791601188155</c:v>
                </c:pt>
                <c:pt idx="2900">
                  <c:v>2.6069739535824046</c:v>
                </c:pt>
                <c:pt idx="2901">
                  <c:v>2.5947939686143662</c:v>
                </c:pt>
                <c:pt idx="2902">
                  <c:v>2.5701770037577858</c:v>
                </c:pt>
                <c:pt idx="2903">
                  <c:v>2.5864575452842513</c:v>
                </c:pt>
                <c:pt idx="2904">
                  <c:v>2.5792141777167927</c:v>
                </c:pt>
                <c:pt idx="2905">
                  <c:v>2.5575906533587993</c:v>
                </c:pt>
                <c:pt idx="2906">
                  <c:v>2.5668957823067164</c:v>
                </c:pt>
                <c:pt idx="2907">
                  <c:v>2.5442963123878988</c:v>
                </c:pt>
                <c:pt idx="2908">
                  <c:v>2.5564697443429609</c:v>
                </c:pt>
                <c:pt idx="2909">
                  <c:v>2.4186400941686479</c:v>
                </c:pt>
                <c:pt idx="2910">
                  <c:v>2.4147811572341169</c:v>
                </c:pt>
                <c:pt idx="2911">
                  <c:v>2.4429208843272567</c:v>
                </c:pt>
                <c:pt idx="2912">
                  <c:v>2.4346899710265513</c:v>
                </c:pt>
                <c:pt idx="2913">
                  <c:v>2.4485776974080773</c:v>
                </c:pt>
                <c:pt idx="2914">
                  <c:v>2.4412394968409101</c:v>
                </c:pt>
                <c:pt idx="2915">
                  <c:v>2.4408095641659187</c:v>
                </c:pt>
                <c:pt idx="2916">
                  <c:v>2.4560135800104361</c:v>
                </c:pt>
                <c:pt idx="2917">
                  <c:v>2.4569150009532388</c:v>
                </c:pt>
                <c:pt idx="2918">
                  <c:v>2.4207640941133866</c:v>
                </c:pt>
                <c:pt idx="2919">
                  <c:v>2.4314693222760861</c:v>
                </c:pt>
                <c:pt idx="2920">
                  <c:v>2.41499923138608</c:v>
                </c:pt>
                <c:pt idx="2921">
                  <c:v>2.4236963655016024</c:v>
                </c:pt>
                <c:pt idx="2922">
                  <c:v>2.4195777053403931</c:v>
                </c:pt>
                <c:pt idx="2923">
                  <c:v>2.4248599789058112</c:v>
                </c:pt>
                <c:pt idx="2924">
                  <c:v>2.4409454106740025</c:v>
                </c:pt>
                <c:pt idx="2925">
                  <c:v>2.4490741696081892</c:v>
                </c:pt>
                <c:pt idx="2926">
                  <c:v>2.4389197680505839</c:v>
                </c:pt>
                <c:pt idx="2927">
                  <c:v>2.4339259345742965</c:v>
                </c:pt>
                <c:pt idx="2928">
                  <c:v>2.436350729454992</c:v>
                </c:pt>
                <c:pt idx="2929">
                  <c:v>2.4634638831097844</c:v>
                </c:pt>
                <c:pt idx="2930">
                  <c:v>2.458647910455892</c:v>
                </c:pt>
                <c:pt idx="2931">
                  <c:v>2.4469529018107985</c:v>
                </c:pt>
                <c:pt idx="2932">
                  <c:v>2.4364032882144668</c:v>
                </c:pt>
                <c:pt idx="2933">
                  <c:v>2.4646122185011845</c:v>
                </c:pt>
                <c:pt idx="2934">
                  <c:v>2.4752400478601757</c:v>
                </c:pt>
                <c:pt idx="2935">
                  <c:v>2.4655659199878759</c:v>
                </c:pt>
                <c:pt idx="2936">
                  <c:v>2.4834075239100737</c:v>
                </c:pt>
                <c:pt idx="2937">
                  <c:v>2.4968232996247446</c:v>
                </c:pt>
                <c:pt idx="2938">
                  <c:v>2.4983520295403081</c:v>
                </c:pt>
                <c:pt idx="2939">
                  <c:v>2.5077542822538947</c:v>
                </c:pt>
                <c:pt idx="2940">
                  <c:v>2.4966582484441844</c:v>
                </c:pt>
                <c:pt idx="2941">
                  <c:v>2.5171563012343867</c:v>
                </c:pt>
                <c:pt idx="2942">
                  <c:v>2.5319303615402307</c:v>
                </c:pt>
                <c:pt idx="2943">
                  <c:v>2.5274695592013856</c:v>
                </c:pt>
                <c:pt idx="2944">
                  <c:v>2.5196348393333374</c:v>
                </c:pt>
                <c:pt idx="2945">
                  <c:v>2.5211680139714807</c:v>
                </c:pt>
                <c:pt idx="2946">
                  <c:v>2.5263385232364324</c:v>
                </c:pt>
                <c:pt idx="2947">
                  <c:v>2.5113381326280644</c:v>
                </c:pt>
                <c:pt idx="2948">
                  <c:v>2.5135631428500087</c:v>
                </c:pt>
                <c:pt idx="2949">
                  <c:v>2.5103210488850052</c:v>
                </c:pt>
                <c:pt idx="2950">
                  <c:v>2.4966003886570403</c:v>
                </c:pt>
                <c:pt idx="2951">
                  <c:v>2.5104997736138235</c:v>
                </c:pt>
                <c:pt idx="2952">
                  <c:v>2.513380623126118</c:v>
                </c:pt>
                <c:pt idx="2953">
                  <c:v>2.5044950139596942</c:v>
                </c:pt>
                <c:pt idx="2954">
                  <c:v>2.5054978443381191</c:v>
                </c:pt>
                <c:pt idx="2955">
                  <c:v>2.5070006101536411</c:v>
                </c:pt>
                <c:pt idx="2956">
                  <c:v>2.5084736406082957</c:v>
                </c:pt>
                <c:pt idx="2957">
                  <c:v>2.5301654618181031</c:v>
                </c:pt>
                <c:pt idx="2958">
                  <c:v>2.5254066357567813</c:v>
                </c:pt>
                <c:pt idx="2959">
                  <c:v>2.5351813251301354</c:v>
                </c:pt>
                <c:pt idx="2960">
                  <c:v>2.5738499254287484</c:v>
                </c:pt>
                <c:pt idx="2961">
                  <c:v>2.5841049534829055</c:v>
                </c:pt>
                <c:pt idx="2962">
                  <c:v>2.5800637614495785</c:v>
                </c:pt>
                <c:pt idx="2963">
                  <c:v>2.5734018417704396</c:v>
                </c:pt>
                <c:pt idx="2964">
                  <c:v>2.5728350827110065</c:v>
                </c:pt>
                <c:pt idx="2965">
                  <c:v>2.581735483036915</c:v>
                </c:pt>
                <c:pt idx="2966">
                  <c:v>2.5944603647572766</c:v>
                </c:pt>
                <c:pt idx="2967">
                  <c:v>2.5908791672178539</c:v>
                </c:pt>
                <c:pt idx="2968">
                  <c:v>2.5596827574214864</c:v>
                </c:pt>
                <c:pt idx="2969">
                  <c:v>2.5623301576600781</c:v>
                </c:pt>
                <c:pt idx="2970">
                  <c:v>2.5581254730503979</c:v>
                </c:pt>
                <c:pt idx="2971">
                  <c:v>2.4988730239702508</c:v>
                </c:pt>
                <c:pt idx="2972">
                  <c:v>2.5218076695922251</c:v>
                </c:pt>
                <c:pt idx="2973">
                  <c:v>2.5496776762432662</c:v>
                </c:pt>
                <c:pt idx="2974">
                  <c:v>2.5273399894648252</c:v>
                </c:pt>
                <c:pt idx="2975">
                  <c:v>2.5368231340811209</c:v>
                </c:pt>
                <c:pt idx="2976">
                  <c:v>2.5540478913035325</c:v>
                </c:pt>
                <c:pt idx="2977">
                  <c:v>2.5613169076900926</c:v>
                </c:pt>
                <c:pt idx="2978">
                  <c:v>2.5597724275083049</c:v>
                </c:pt>
                <c:pt idx="2979">
                  <c:v>2.5498942681309598</c:v>
                </c:pt>
                <c:pt idx="2980">
                  <c:v>2.5319224386538695</c:v>
                </c:pt>
                <c:pt idx="2981">
                  <c:v>2.5523454735657345</c:v>
                </c:pt>
                <c:pt idx="2982">
                  <c:v>2.5553848485455717</c:v>
                </c:pt>
                <c:pt idx="2983">
                  <c:v>2.5684424834402213</c:v>
                </c:pt>
                <c:pt idx="2984">
                  <c:v>2.5581397853294212</c:v>
                </c:pt>
                <c:pt idx="2985">
                  <c:v>2.5615703054503061</c:v>
                </c:pt>
                <c:pt idx="2986">
                  <c:v>2.561838900015168</c:v>
                </c:pt>
                <c:pt idx="2987">
                  <c:v>2.5657821394219793</c:v>
                </c:pt>
                <c:pt idx="2988">
                  <c:v>2.5642668094435899</c:v>
                </c:pt>
                <c:pt idx="2989">
                  <c:v>2.5551301314481587</c:v>
                </c:pt>
                <c:pt idx="2990">
                  <c:v>2.5452130548638299</c:v>
                </c:pt>
                <c:pt idx="2991">
                  <c:v>2.5524361088211047</c:v>
                </c:pt>
                <c:pt idx="2992">
                  <c:v>2.5398449454626553</c:v>
                </c:pt>
                <c:pt idx="2993">
                  <c:v>2.5471057356291795</c:v>
                </c:pt>
                <c:pt idx="2994">
                  <c:v>2.5247363922452308</c:v>
                </c:pt>
                <c:pt idx="2995">
                  <c:v>2.5403563506473503</c:v>
                </c:pt>
                <c:pt idx="2996">
                  <c:v>2.5400350253956536</c:v>
                </c:pt>
                <c:pt idx="2997">
                  <c:v>2.5264355647072532</c:v>
                </c:pt>
                <c:pt idx="2998">
                  <c:v>2.5294185907786098</c:v>
                </c:pt>
                <c:pt idx="2999">
                  <c:v>2.5309853001201517</c:v>
                </c:pt>
                <c:pt idx="3000">
                  <c:v>2.5366005142787191</c:v>
                </c:pt>
                <c:pt idx="3001">
                  <c:v>2.5210109013154129</c:v>
                </c:pt>
                <c:pt idx="3002">
                  <c:v>2.5108826950928451</c:v>
                </c:pt>
                <c:pt idx="3003">
                  <c:v>2.5220189005888449</c:v>
                </c:pt>
                <c:pt idx="3004">
                  <c:v>2.5265799849946351</c:v>
                </c:pt>
                <c:pt idx="3005">
                  <c:v>2.5347244706064704</c:v>
                </c:pt>
                <c:pt idx="3006">
                  <c:v>2.5474173499606381</c:v>
                </c:pt>
                <c:pt idx="3007">
                  <c:v>2.5450084534878772</c:v>
                </c:pt>
                <c:pt idx="3008">
                  <c:v>2.5519666602629822</c:v>
                </c:pt>
                <c:pt idx="3009">
                  <c:v>2.5444941589179182</c:v>
                </c:pt>
                <c:pt idx="3010">
                  <c:v>2.5454270834295802</c:v>
                </c:pt>
                <c:pt idx="3011">
                  <c:v>2.529188369794714</c:v>
                </c:pt>
                <c:pt idx="3012">
                  <c:v>2.5127650503253607</c:v>
                </c:pt>
                <c:pt idx="3013">
                  <c:v>2.5328105572445909</c:v>
                </c:pt>
                <c:pt idx="3014">
                  <c:v>2.5229370432795575</c:v>
                </c:pt>
                <c:pt idx="3015">
                  <c:v>2.5195929875154688</c:v>
                </c:pt>
                <c:pt idx="3016">
                  <c:v>2.5062528254376195</c:v>
                </c:pt>
                <c:pt idx="3017">
                  <c:v>2.5126615624902113</c:v>
                </c:pt>
                <c:pt idx="3018">
                  <c:v>2.4948542998149263</c:v>
                </c:pt>
                <c:pt idx="3019">
                  <c:v>2.4954013102775603</c:v>
                </c:pt>
                <c:pt idx="3020">
                  <c:v>2.4857495038546995</c:v>
                </c:pt>
                <c:pt idx="3021">
                  <c:v>2.4796165759362707</c:v>
                </c:pt>
                <c:pt idx="3022">
                  <c:v>2.4803270844739935</c:v>
                </c:pt>
                <c:pt idx="3023">
                  <c:v>2.4904446982100765</c:v>
                </c:pt>
                <c:pt idx="3024">
                  <c:v>2.5009066074224684</c:v>
                </c:pt>
                <c:pt idx="3025">
                  <c:v>2.4806552384555367</c:v>
                </c:pt>
                <c:pt idx="3026">
                  <c:v>2.4888402811737094</c:v>
                </c:pt>
                <c:pt idx="3027">
                  <c:v>2.4459500404610259</c:v>
                </c:pt>
                <c:pt idx="3028">
                  <c:v>2.4328784261257801</c:v>
                </c:pt>
                <c:pt idx="3029">
                  <c:v>2.4426539764489936</c:v>
                </c:pt>
                <c:pt idx="3030">
                  <c:v>2.4540632024600337</c:v>
                </c:pt>
                <c:pt idx="3031">
                  <c:v>2.4653871519331898</c:v>
                </c:pt>
                <c:pt idx="3032">
                  <c:v>2.4674267198042861</c:v>
                </c:pt>
                <c:pt idx="3033">
                  <c:v>2.4913263566444708</c:v>
                </c:pt>
                <c:pt idx="3034">
                  <c:v>2.4918434650344081</c:v>
                </c:pt>
                <c:pt idx="3035">
                  <c:v>2.4993076304574195</c:v>
                </c:pt>
                <c:pt idx="3036">
                  <c:v>2.4944882373201418</c:v>
                </c:pt>
                <c:pt idx="3037">
                  <c:v>2.4882655301415655</c:v>
                </c:pt>
                <c:pt idx="3038">
                  <c:v>2.483296277028578</c:v>
                </c:pt>
                <c:pt idx="3039">
                  <c:v>2.5090533220173934</c:v>
                </c:pt>
                <c:pt idx="3040">
                  <c:v>2.4965466283028697</c:v>
                </c:pt>
                <c:pt idx="3041">
                  <c:v>2.4539075703651374</c:v>
                </c:pt>
                <c:pt idx="3042">
                  <c:v>2.4421121622761395</c:v>
                </c:pt>
                <c:pt idx="3043">
                  <c:v>2.4430080685564537</c:v>
                </c:pt>
                <c:pt idx="3044">
                  <c:v>2.4443308126015775</c:v>
                </c:pt>
                <c:pt idx="3045">
                  <c:v>2.4623445393566259</c:v>
                </c:pt>
                <c:pt idx="3046">
                  <c:v>2.4570113950771808</c:v>
                </c:pt>
                <c:pt idx="3047">
                  <c:v>2.4663541621879519</c:v>
                </c:pt>
                <c:pt idx="3048">
                  <c:v>2.4481124914041779</c:v>
                </c:pt>
                <c:pt idx="3049">
                  <c:v>2.4617631636273778</c:v>
                </c:pt>
                <c:pt idx="3050">
                  <c:v>2.4692222750192894</c:v>
                </c:pt>
                <c:pt idx="3051">
                  <c:v>2.4675080001508012</c:v>
                </c:pt>
                <c:pt idx="3052">
                  <c:v>2.4622241096758932</c:v>
                </c:pt>
                <c:pt idx="3053">
                  <c:v>2.4561477994820691</c:v>
                </c:pt>
                <c:pt idx="3054">
                  <c:v>2.4451089312555747</c:v>
                </c:pt>
                <c:pt idx="3055">
                  <c:v>2.4409345679731489</c:v>
                </c:pt>
                <c:pt idx="3056">
                  <c:v>2.4358144298263351</c:v>
                </c:pt>
                <c:pt idx="3057">
                  <c:v>2.4423184930823765</c:v>
                </c:pt>
                <c:pt idx="3058">
                  <c:v>2.4506310121591564</c:v>
                </c:pt>
                <c:pt idx="3059">
                  <c:v>2.475332794116599</c:v>
                </c:pt>
                <c:pt idx="3060">
                  <c:v>2.4930913954891656</c:v>
                </c:pt>
                <c:pt idx="3061">
                  <c:v>2.4787285105756016</c:v>
                </c:pt>
                <c:pt idx="3062">
                  <c:v>2.4706836484617933</c:v>
                </c:pt>
                <c:pt idx="3063">
                  <c:v>2.4286867235047067</c:v>
                </c:pt>
                <c:pt idx="3064">
                  <c:v>2.4268656409681224</c:v>
                </c:pt>
                <c:pt idx="3065">
                  <c:v>2.4606843502420026</c:v>
                </c:pt>
                <c:pt idx="3066">
                  <c:v>2.5112193036683603</c:v>
                </c:pt>
                <c:pt idx="3067">
                  <c:v>2.5374447857331259</c:v>
                </c:pt>
                <c:pt idx="3068">
                  <c:v>2.5273141038757885</c:v>
                </c:pt>
                <c:pt idx="3069">
                  <c:v>2.5124953123415339</c:v>
                </c:pt>
                <c:pt idx="3070">
                  <c:v>2.4726219610510589</c:v>
                </c:pt>
                <c:pt idx="3071">
                  <c:v>2.6352766290742595</c:v>
                </c:pt>
                <c:pt idx="3072">
                  <c:v>2.5042002716870941</c:v>
                </c:pt>
                <c:pt idx="3073">
                  <c:v>2.7130660330574949</c:v>
                </c:pt>
                <c:pt idx="3074">
                  <c:v>2.7020602721929032</c:v>
                </c:pt>
                <c:pt idx="3075">
                  <c:v>2.8113670199856324</c:v>
                </c:pt>
                <c:pt idx="3076">
                  <c:v>2.7195780869318553</c:v>
                </c:pt>
                <c:pt idx="3077">
                  <c:v>2.8065125331230214</c:v>
                </c:pt>
                <c:pt idx="3078">
                  <c:v>2.8920595210375417</c:v>
                </c:pt>
                <c:pt idx="3079">
                  <c:v>2.7096562290440587</c:v>
                </c:pt>
                <c:pt idx="3080">
                  <c:v>2.7212903335460168</c:v>
                </c:pt>
                <c:pt idx="3081">
                  <c:v>2.8200512214641602</c:v>
                </c:pt>
                <c:pt idx="3082">
                  <c:v>2.7946113606395766</c:v>
                </c:pt>
                <c:pt idx="3083">
                  <c:v>2.7201268336709234</c:v>
                </c:pt>
                <c:pt idx="3084">
                  <c:v>2.8105704008296462</c:v>
                </c:pt>
                <c:pt idx="3085">
                  <c:v>2.8244350483212659</c:v>
                </c:pt>
                <c:pt idx="3086">
                  <c:v>2.848859808450976</c:v>
                </c:pt>
                <c:pt idx="3087">
                  <c:v>2.8165860006168471</c:v>
                </c:pt>
                <c:pt idx="3088">
                  <c:v>2.8116224522737392</c:v>
                </c:pt>
                <c:pt idx="3089">
                  <c:v>2.7792399106978563</c:v>
                </c:pt>
                <c:pt idx="3090">
                  <c:v>2.7331740605406845</c:v>
                </c:pt>
                <c:pt idx="3091">
                  <c:v>2.795215203350931</c:v>
                </c:pt>
                <c:pt idx="3092">
                  <c:v>2.8353651017700248</c:v>
                </c:pt>
                <c:pt idx="3093">
                  <c:v>2.842440928915992</c:v>
                </c:pt>
                <c:pt idx="3094">
                  <c:v>2.8861987475043822</c:v>
                </c:pt>
                <c:pt idx="3095">
                  <c:v>2.868376636791119</c:v>
                </c:pt>
                <c:pt idx="3096">
                  <c:v>2.8980781280265639</c:v>
                </c:pt>
                <c:pt idx="3097">
                  <c:v>2.8917932236771171</c:v>
                </c:pt>
                <c:pt idx="3098">
                  <c:v>2.909660431611099</c:v>
                </c:pt>
                <c:pt idx="3099">
                  <c:v>2.8965620365285734</c:v>
                </c:pt>
                <c:pt idx="3100">
                  <c:v>2.9640577991503707</c:v>
                </c:pt>
                <c:pt idx="3101">
                  <c:v>2.8806621409985262</c:v>
                </c:pt>
                <c:pt idx="3102">
                  <c:v>2.9230102077904099</c:v>
                </c:pt>
                <c:pt idx="3103">
                  <c:v>2.836480010500678</c:v>
                </c:pt>
                <c:pt idx="3104">
                  <c:v>2.8891382453502064</c:v>
                </c:pt>
                <c:pt idx="3105">
                  <c:v>2.8602586410747191</c:v>
                </c:pt>
                <c:pt idx="3106">
                  <c:v>2.9067239219009156</c:v>
                </c:pt>
                <c:pt idx="3107">
                  <c:v>2.9066340817015646</c:v>
                </c:pt>
                <c:pt idx="3108">
                  <c:v>2.9289216137569922</c:v>
                </c:pt>
                <c:pt idx="3109">
                  <c:v>2.9560747348071188</c:v>
                </c:pt>
                <c:pt idx="3110">
                  <c:v>2.9175202055244056</c:v>
                </c:pt>
                <c:pt idx="3111">
                  <c:v>2.9573376918406651</c:v>
                </c:pt>
                <c:pt idx="3112">
                  <c:v>2.9726458318155107</c:v>
                </c:pt>
                <c:pt idx="3113">
                  <c:v>3.0326368366526024</c:v>
                </c:pt>
                <c:pt idx="3114">
                  <c:v>3.0520440272800786</c:v>
                </c:pt>
                <c:pt idx="3115">
                  <c:v>3.1495757095199228</c:v>
                </c:pt>
                <c:pt idx="3116">
                  <c:v>3.0202294735165793</c:v>
                </c:pt>
                <c:pt idx="3117">
                  <c:v>2.9641063132271683</c:v>
                </c:pt>
                <c:pt idx="3118">
                  <c:v>2.866643627548342</c:v>
                </c:pt>
                <c:pt idx="3119">
                  <c:v>2.8890405773007726</c:v>
                </c:pt>
                <c:pt idx="3120">
                  <c:v>2.9040321002948968</c:v>
                </c:pt>
                <c:pt idx="3121">
                  <c:v>2.8213697758180678</c:v>
                </c:pt>
                <c:pt idx="3122">
                  <c:v>2.8054634314544806</c:v>
                </c:pt>
                <c:pt idx="3123">
                  <c:v>2.8155144420163434</c:v>
                </c:pt>
                <c:pt idx="3124">
                  <c:v>2.8243560229322169</c:v>
                </c:pt>
                <c:pt idx="3125">
                  <c:v>2.83643589442734</c:v>
                </c:pt>
                <c:pt idx="3126">
                  <c:v>2.8341855630301125</c:v>
                </c:pt>
                <c:pt idx="3127">
                  <c:v>2.7789922992448757</c:v>
                </c:pt>
                <c:pt idx="3128">
                  <c:v>2.7519717240976709</c:v>
                </c:pt>
                <c:pt idx="3129">
                  <c:v>2.7248558770261142</c:v>
                </c:pt>
                <c:pt idx="3130">
                  <c:v>2.6786531119986483</c:v>
                </c:pt>
                <c:pt idx="3131">
                  <c:v>2.740784983183143</c:v>
                </c:pt>
                <c:pt idx="3132">
                  <c:v>2.7863025673192681</c:v>
                </c:pt>
                <c:pt idx="3133">
                  <c:v>2.8352478867538635</c:v>
                </c:pt>
                <c:pt idx="3134">
                  <c:v>2.8314870017668183</c:v>
                </c:pt>
                <c:pt idx="3135">
                  <c:v>2.82067212707133</c:v>
                </c:pt>
                <c:pt idx="3136">
                  <c:v>2.8177928609995377</c:v>
                </c:pt>
                <c:pt idx="3137">
                  <c:v>2.8312209439602718</c:v>
                </c:pt>
                <c:pt idx="3138">
                  <c:v>2.8282439456388264</c:v>
                </c:pt>
                <c:pt idx="3139">
                  <c:v>2.8552332538964</c:v>
                </c:pt>
                <c:pt idx="3140">
                  <c:v>2.8676786403812691</c:v>
                </c:pt>
                <c:pt idx="3141">
                  <c:v>2.8807603208232981</c:v>
                </c:pt>
                <c:pt idx="3142">
                  <c:v>2.9042845044429551</c:v>
                </c:pt>
                <c:pt idx="3143">
                  <c:v>2.9273974280905075</c:v>
                </c:pt>
                <c:pt idx="3144">
                  <c:v>2.961802298650583</c:v>
                </c:pt>
                <c:pt idx="3145">
                  <c:v>2.9575666192465198</c:v>
                </c:pt>
                <c:pt idx="3146">
                  <c:v>2.9628178189098091</c:v>
                </c:pt>
                <c:pt idx="3147">
                  <c:v>2.9557965556090617</c:v>
                </c:pt>
                <c:pt idx="3148">
                  <c:v>2.9627726016590885</c:v>
                </c:pt>
                <c:pt idx="3149">
                  <c:v>2.9498047665969565</c:v>
                </c:pt>
                <c:pt idx="3150">
                  <c:v>2.9570869559303561</c:v>
                </c:pt>
                <c:pt idx="3151">
                  <c:v>2.9807070754516518</c:v>
                </c:pt>
                <c:pt idx="3152">
                  <c:v>3.0250308673011395</c:v>
                </c:pt>
                <c:pt idx="3153">
                  <c:v>2.9807461731475726</c:v>
                </c:pt>
                <c:pt idx="3154">
                  <c:v>2.9841126481927254</c:v>
                </c:pt>
                <c:pt idx="3155">
                  <c:v>2.9570886079565875</c:v>
                </c:pt>
                <c:pt idx="3156">
                  <c:v>2.8838359829857945</c:v>
                </c:pt>
                <c:pt idx="3157">
                  <c:v>2.9035787470486203</c:v>
                </c:pt>
                <c:pt idx="3158">
                  <c:v>2.8787026540536411</c:v>
                </c:pt>
                <c:pt idx="3159">
                  <c:v>2.888757011799211</c:v>
                </c:pt>
                <c:pt idx="3160">
                  <c:v>2.850649281305397</c:v>
                </c:pt>
                <c:pt idx="3161">
                  <c:v>2.8080047460300035</c:v>
                </c:pt>
                <c:pt idx="3162">
                  <c:v>2.8418195234643049</c:v>
                </c:pt>
                <c:pt idx="3163">
                  <c:v>2.8084576421436385</c:v>
                </c:pt>
                <c:pt idx="3164">
                  <c:v>2.8422764308789721</c:v>
                </c:pt>
                <c:pt idx="3165">
                  <c:v>2.8539499296237767</c:v>
                </c:pt>
                <c:pt idx="3166">
                  <c:v>2.874922771164794</c:v>
                </c:pt>
                <c:pt idx="3167">
                  <c:v>2.8897798764074536</c:v>
                </c:pt>
                <c:pt idx="3168">
                  <c:v>2.9166712903013785</c:v>
                </c:pt>
                <c:pt idx="3169">
                  <c:v>2.9551339024242611</c:v>
                </c:pt>
                <c:pt idx="3170">
                  <c:v>2.9469565966513294</c:v>
                </c:pt>
                <c:pt idx="3171">
                  <c:v>2.8880193011056168</c:v>
                </c:pt>
                <c:pt idx="3172">
                  <c:v>2.8639836513707899</c:v>
                </c:pt>
                <c:pt idx="3173">
                  <c:v>2.8632369794445691</c:v>
                </c:pt>
                <c:pt idx="3174">
                  <c:v>2.8520967399162003</c:v>
                </c:pt>
                <c:pt idx="3175">
                  <c:v>2.8216410762488024</c:v>
                </c:pt>
                <c:pt idx="3176">
                  <c:v>2.8478975927288959</c:v>
                </c:pt>
                <c:pt idx="3177">
                  <c:v>2.8570476617535765</c:v>
                </c:pt>
                <c:pt idx="3178">
                  <c:v>2.8417640846125423</c:v>
                </c:pt>
                <c:pt idx="3179">
                  <c:v>2.863385266633879</c:v>
                </c:pt>
                <c:pt idx="3180">
                  <c:v>2.85489390229684</c:v>
                </c:pt>
                <c:pt idx="3181">
                  <c:v>2.8831005904919875</c:v>
                </c:pt>
                <c:pt idx="3182">
                  <c:v>2.8900259081422335</c:v>
                </c:pt>
                <c:pt idx="3183">
                  <c:v>2.8888006166265283</c:v>
                </c:pt>
                <c:pt idx="3184">
                  <c:v>2.8718687749304874</c:v>
                </c:pt>
                <c:pt idx="3185">
                  <c:v>2.8683619040805635</c:v>
                </c:pt>
                <c:pt idx="3186">
                  <c:v>2.8777887974198131</c:v>
                </c:pt>
                <c:pt idx="3187">
                  <c:v>2.8721590244032948</c:v>
                </c:pt>
                <c:pt idx="3188">
                  <c:v>2.8108690532932714</c:v>
                </c:pt>
                <c:pt idx="3189">
                  <c:v>2.8303191241442236</c:v>
                </c:pt>
                <c:pt idx="3190">
                  <c:v>2.8362160081008785</c:v>
                </c:pt>
                <c:pt idx="3191">
                  <c:v>2.801692433577299</c:v>
                </c:pt>
                <c:pt idx="3192">
                  <c:v>2.7832440599696535</c:v>
                </c:pt>
                <c:pt idx="3193">
                  <c:v>2.7406587298953826</c:v>
                </c:pt>
                <c:pt idx="3194">
                  <c:v>2.7433695661853341</c:v>
                </c:pt>
                <c:pt idx="3195">
                  <c:v>2.7539328555377334</c:v>
                </c:pt>
                <c:pt idx="3196">
                  <c:v>2.7170169023222672</c:v>
                </c:pt>
                <c:pt idx="3197">
                  <c:v>2.6813425468904244</c:v>
                </c:pt>
                <c:pt idx="3198">
                  <c:v>2.6951291658450005</c:v>
                </c:pt>
                <c:pt idx="3199">
                  <c:v>2.6566111655239961</c:v>
                </c:pt>
                <c:pt idx="3200">
                  <c:v>2.6576097657019098</c:v>
                </c:pt>
                <c:pt idx="3201">
                  <c:v>2.6350148367952522</c:v>
                </c:pt>
                <c:pt idx="3202">
                  <c:v>2.6059464816650149</c:v>
                </c:pt>
                <c:pt idx="3203">
                  <c:v>2.6734571195762884</c:v>
                </c:pt>
                <c:pt idx="3204">
                  <c:v>2.6610952476842531</c:v>
                </c:pt>
                <c:pt idx="3205">
                  <c:v>2.7172785729101845</c:v>
                </c:pt>
                <c:pt idx="3206">
                  <c:v>2.7018480492813142</c:v>
                </c:pt>
                <c:pt idx="3207">
                  <c:v>2.7411740558292284</c:v>
                </c:pt>
                <c:pt idx="3208">
                  <c:v>2.7997159090909092</c:v>
                </c:pt>
                <c:pt idx="3209">
                  <c:v>2.8037612428454617</c:v>
                </c:pt>
                <c:pt idx="3210">
                  <c:v>2.8073731010735266</c:v>
                </c:pt>
                <c:pt idx="3211">
                  <c:v>2.8629524196827982</c:v>
                </c:pt>
                <c:pt idx="3212">
                  <c:v>2.7970016207455428</c:v>
                </c:pt>
                <c:pt idx="3213">
                  <c:v>2.7932359254759009</c:v>
                </c:pt>
                <c:pt idx="3214">
                  <c:v>2.7727829995913362</c:v>
                </c:pt>
                <c:pt idx="3215">
                  <c:v>2.7645276432606938</c:v>
                </c:pt>
                <c:pt idx="3216">
                  <c:v>2.7318670233848592</c:v>
                </c:pt>
                <c:pt idx="3217">
                  <c:v>2.724660499901594</c:v>
                </c:pt>
                <c:pt idx="3218">
                  <c:v>2.7819534155412016</c:v>
                </c:pt>
                <c:pt idx="3219">
                  <c:v>2.8582236160892074</c:v>
                </c:pt>
                <c:pt idx="3220">
                  <c:v>2.8435754189944138</c:v>
                </c:pt>
                <c:pt idx="3221">
                  <c:v>2.8226808254858748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397-B243-86C1-AE18C519E1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4495584"/>
        <c:axId val="1156119712"/>
      </c:areaChart>
      <c:dateAx>
        <c:axId val="624495584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PT"/>
          </a:p>
        </c:txPr>
        <c:crossAx val="1156119712"/>
        <c:crosses val="autoZero"/>
        <c:auto val="1"/>
        <c:lblOffset val="100"/>
        <c:baseTimeUnit val="days"/>
      </c:dateAx>
      <c:valAx>
        <c:axId val="1156119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PT"/>
          </a:p>
        </c:txPr>
        <c:crossAx val="6244955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PT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</cx:f>
      </cx:numDim>
    </cx:data>
  </cx:chartData>
  <cx:chart>
    <cx:title pos="t" align="ctr" overlay="0">
      <cx:tx>
        <cx:txData>
          <cx:v>Ratio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GB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Ratio</a:t>
          </a:r>
        </a:p>
      </cx:txPr>
    </cx:title>
    <cx:plotArea>
      <cx:plotAreaRegion>
        <cx:series layoutId="clusteredColumn" uniqueId="{C5ABE8EF-823F-7E41-AD3F-E1B8953B3297}">
          <cx:tx>
            <cx:txData>
              <cx:f>_xlchart.v1.0</cx:f>
              <cx:v>Ratio:</cx:v>
            </cx:txData>
          </cx:tx>
          <cx:dataId val="0"/>
          <cx:layoutPr>
            <cx:binning intervalClosed="r">
              <cx:binCount val="15"/>
            </cx:binning>
          </cx:layoutPr>
        </cx:series>
      </cx:plotAreaRegion>
      <cx:axis id="0">
        <cx:catScaling gapWidth="0"/>
        <cx:tickLabels/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 sz="700" b="1"/>
            </a:pPr>
            <a:endParaRPr lang="en-GB" sz="700" b="1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endParaRPr>
          </a:p>
        </cx:txPr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microsoft.com/office/2014/relationships/chartEx" Target="../charts/chartEx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</xdr:row>
          <xdr:rowOff>0</xdr:rowOff>
        </xdr:from>
        <xdr:to>
          <xdr:col>7</xdr:col>
          <xdr:colOff>12700</xdr:colOff>
          <xdr:row>4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Times New Roman" pitchFamily="1" charset="0"/>
                  <a:cs typeface="Times New Roman" pitchFamily="1" charset="0"/>
                </a:rPr>
                <a:t>Get_Data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501161</xdr:colOff>
      <xdr:row>9</xdr:row>
      <xdr:rowOff>78154</xdr:rowOff>
    </xdr:from>
    <xdr:to>
      <xdr:col>8</xdr:col>
      <xdr:colOff>525096</xdr:colOff>
      <xdr:row>25</xdr:row>
      <xdr:rowOff>61058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866661" y="1906954"/>
              <a:ext cx="3325935" cy="323410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8</xdr:col>
      <xdr:colOff>540969</xdr:colOff>
      <xdr:row>9</xdr:row>
      <xdr:rowOff>87679</xdr:rowOff>
    </xdr:from>
    <xdr:to>
      <xdr:col>14</xdr:col>
      <xdr:colOff>170961</xdr:colOff>
      <xdr:row>25</xdr:row>
      <xdr:rowOff>36634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3223"/>
  <sheetViews>
    <sheetView zoomScale="75" workbookViewId="0">
      <selection activeCell="D9" sqref="D9"/>
    </sheetView>
  </sheetViews>
  <sheetFormatPr baseColWidth="10" defaultRowHeight="16"/>
  <cols>
    <col min="1" max="1" width="10.83203125" style="1"/>
  </cols>
  <sheetData>
    <row r="1" spans="1:3">
      <c r="A1" s="1" t="s">
        <v>0</v>
      </c>
      <c r="B1" t="s">
        <v>37</v>
      </c>
      <c r="C1" t="s">
        <v>38</v>
      </c>
    </row>
    <row r="2" spans="1:3">
      <c r="A2" s="1">
        <v>39447</v>
      </c>
      <c r="B2">
        <v>51.800106048583899</v>
      </c>
      <c r="C2">
        <v>17.987623214721602</v>
      </c>
    </row>
    <row r="3" spans="1:3">
      <c r="A3" s="1">
        <v>39449</v>
      </c>
      <c r="B3">
        <v>51.383785247802699</v>
      </c>
      <c r="C3">
        <v>17.905550003051701</v>
      </c>
    </row>
    <row r="4" spans="1:3">
      <c r="A4" s="1">
        <v>39450</v>
      </c>
      <c r="B4">
        <v>51.718193054199197</v>
      </c>
      <c r="C4">
        <v>18.093132019042901</v>
      </c>
    </row>
    <row r="5" spans="1:3">
      <c r="A5" s="1">
        <v>39451</v>
      </c>
      <c r="B5">
        <v>51.5612182617187</v>
      </c>
      <c r="C5">
        <v>18.1283054351806</v>
      </c>
    </row>
    <row r="6" spans="1:3">
      <c r="A6" s="1">
        <v>39454</v>
      </c>
      <c r="B6">
        <v>52.769237518310497</v>
      </c>
      <c r="C6">
        <v>18.556238174438398</v>
      </c>
    </row>
    <row r="7" spans="1:3">
      <c r="A7" s="1">
        <v>39455</v>
      </c>
      <c r="B7">
        <v>53.192348480224602</v>
      </c>
      <c r="C7">
        <v>18.6324462890625</v>
      </c>
    </row>
    <row r="8" spans="1:3">
      <c r="A8" s="1">
        <v>39456</v>
      </c>
      <c r="B8">
        <v>53.738330841064403</v>
      </c>
      <c r="C8">
        <v>19.130710601806602</v>
      </c>
    </row>
    <row r="9" spans="1:3">
      <c r="A9" s="1">
        <v>39457</v>
      </c>
      <c r="B9">
        <v>54.304786682128899</v>
      </c>
      <c r="C9">
        <v>19.215713500976499</v>
      </c>
    </row>
    <row r="10" spans="1:3">
      <c r="A10" s="1">
        <v>39458</v>
      </c>
      <c r="B10">
        <v>53.083145141601499</v>
      </c>
      <c r="C10">
        <v>18.691066741943299</v>
      </c>
    </row>
    <row r="11" spans="1:3">
      <c r="A11" s="1">
        <v>39461</v>
      </c>
      <c r="B11">
        <v>52.496219635009702</v>
      </c>
      <c r="C11">
        <v>18.8464050292968</v>
      </c>
    </row>
    <row r="12" spans="1:3">
      <c r="A12" s="1">
        <v>39462</v>
      </c>
      <c r="B12">
        <v>51.069839477538999</v>
      </c>
      <c r="C12">
        <v>18.6441631317138</v>
      </c>
    </row>
    <row r="13" spans="1:3">
      <c r="A13" s="1">
        <v>39463</v>
      </c>
      <c r="B13">
        <v>50.189468383788999</v>
      </c>
      <c r="C13">
        <v>18.36279296875</v>
      </c>
    </row>
    <row r="14" spans="1:3">
      <c r="A14" s="1">
        <v>39464</v>
      </c>
      <c r="B14">
        <v>49.206695556640597</v>
      </c>
      <c r="C14">
        <v>18.184001922607401</v>
      </c>
    </row>
    <row r="15" spans="1:3">
      <c r="A15" s="1">
        <v>39465</v>
      </c>
      <c r="B15">
        <v>48.769886016845703</v>
      </c>
      <c r="C15">
        <v>17.8029689788818</v>
      </c>
    </row>
    <row r="16" spans="1:3">
      <c r="A16" s="1">
        <v>39469</v>
      </c>
      <c r="B16">
        <v>47.3912963867187</v>
      </c>
      <c r="C16">
        <v>17.231422424316399</v>
      </c>
    </row>
    <row r="17" spans="1:3">
      <c r="A17" s="1">
        <v>39470</v>
      </c>
      <c r="B17">
        <v>48.114719390869098</v>
      </c>
      <c r="C17">
        <v>17.254861831665</v>
      </c>
    </row>
    <row r="18" spans="1:3">
      <c r="A18" s="1">
        <v>39471</v>
      </c>
      <c r="B18">
        <v>47.589225769042898</v>
      </c>
      <c r="C18">
        <v>17.5509014129638</v>
      </c>
    </row>
    <row r="19" spans="1:3">
      <c r="A19" s="1">
        <v>39472</v>
      </c>
      <c r="B19">
        <v>47.036407470703097</v>
      </c>
      <c r="C19">
        <v>17.120038986206001</v>
      </c>
    </row>
    <row r="20" spans="1:3">
      <c r="A20" s="1">
        <v>39475</v>
      </c>
      <c r="B20">
        <v>47.957748413085902</v>
      </c>
      <c r="C20">
        <v>17.413139343261701</v>
      </c>
    </row>
    <row r="21" spans="1:3">
      <c r="A21" s="1">
        <v>39476</v>
      </c>
      <c r="B21">
        <v>46.838489532470703</v>
      </c>
      <c r="C21">
        <v>17.161077499389599</v>
      </c>
    </row>
    <row r="22" spans="1:3">
      <c r="A22" s="1">
        <v>39477</v>
      </c>
      <c r="B22">
        <v>45.992202758788999</v>
      </c>
      <c r="C22">
        <v>16.932447433471602</v>
      </c>
    </row>
    <row r="23" spans="1:3">
      <c r="A23" s="1">
        <v>39478</v>
      </c>
      <c r="B23">
        <v>46.442665100097599</v>
      </c>
      <c r="C23">
        <v>17.292964935302699</v>
      </c>
    </row>
    <row r="24" spans="1:3">
      <c r="A24" s="1">
        <v>39479</v>
      </c>
      <c r="B24">
        <v>46.9749946594238</v>
      </c>
      <c r="C24">
        <v>17.369176864623999</v>
      </c>
    </row>
    <row r="25" spans="1:3">
      <c r="A25" s="1">
        <v>39482</v>
      </c>
      <c r="B25">
        <v>47.241161346435497</v>
      </c>
      <c r="C25">
        <v>17.184520721435501</v>
      </c>
    </row>
    <row r="26" spans="1:3">
      <c r="A26" s="1">
        <v>39483</v>
      </c>
      <c r="B26">
        <v>46.374378204345703</v>
      </c>
      <c r="C26">
        <v>16.8240051269531</v>
      </c>
    </row>
    <row r="27" spans="1:3">
      <c r="A27" s="1">
        <v>39484</v>
      </c>
      <c r="B27">
        <v>45.541774749755803</v>
      </c>
      <c r="C27">
        <v>16.914869308471602</v>
      </c>
    </row>
    <row r="28" spans="1:3">
      <c r="A28" s="1">
        <v>39485</v>
      </c>
      <c r="B28">
        <v>48.053298950195298</v>
      </c>
      <c r="C28">
        <v>17.1317634582519</v>
      </c>
    </row>
    <row r="29" spans="1:3">
      <c r="A29" s="1">
        <v>39486</v>
      </c>
      <c r="B29">
        <v>47.643814086913999</v>
      </c>
      <c r="C29">
        <v>17.366245269775298</v>
      </c>
    </row>
    <row r="30" spans="1:3">
      <c r="A30" s="1">
        <v>39489</v>
      </c>
      <c r="B30">
        <v>48.428657531738203</v>
      </c>
      <c r="C30">
        <v>17.439516067504801</v>
      </c>
    </row>
    <row r="31" spans="1:3">
      <c r="A31" s="1">
        <v>39490</v>
      </c>
      <c r="B31">
        <v>49.111137390136697</v>
      </c>
      <c r="C31">
        <v>17.562618255615199</v>
      </c>
    </row>
    <row r="32" spans="1:3">
      <c r="A32" s="1">
        <v>39491</v>
      </c>
      <c r="B32">
        <v>48.885917663574197</v>
      </c>
      <c r="C32">
        <v>17.4072761535644</v>
      </c>
    </row>
    <row r="33" spans="1:3">
      <c r="A33" s="1">
        <v>39492</v>
      </c>
      <c r="B33">
        <v>48.8449897766113</v>
      </c>
      <c r="C33">
        <v>17.161077499389599</v>
      </c>
    </row>
    <row r="34" spans="1:3">
      <c r="A34" s="1">
        <v>39493</v>
      </c>
      <c r="B34">
        <v>48.954166412353501</v>
      </c>
      <c r="C34">
        <v>17.222618103027301</v>
      </c>
    </row>
    <row r="35" spans="1:3">
      <c r="A35" s="1">
        <v>39497</v>
      </c>
      <c r="B35">
        <v>48.551502227783203</v>
      </c>
      <c r="C35">
        <v>17.029180526733398</v>
      </c>
    </row>
    <row r="36" spans="1:3">
      <c r="A36" s="1">
        <v>39498</v>
      </c>
      <c r="B36">
        <v>48.537853240966797</v>
      </c>
      <c r="C36">
        <v>17.067283630371001</v>
      </c>
    </row>
    <row r="37" spans="1:3">
      <c r="A37" s="1">
        <v>39499</v>
      </c>
      <c r="B37">
        <v>48.510562896728501</v>
      </c>
      <c r="C37">
        <v>16.996942520141602</v>
      </c>
    </row>
    <row r="38" spans="1:3">
      <c r="A38" s="1">
        <v>39500</v>
      </c>
      <c r="B38">
        <v>48.715293884277301</v>
      </c>
      <c r="C38">
        <v>17.0760803222656</v>
      </c>
    </row>
    <row r="39" spans="1:3">
      <c r="A39" s="1">
        <v>39503</v>
      </c>
      <c r="B39">
        <v>48.858619689941399</v>
      </c>
      <c r="C39">
        <v>17.225559234619102</v>
      </c>
    </row>
    <row r="40" spans="1:3">
      <c r="A40" s="1">
        <v>39504</v>
      </c>
      <c r="B40">
        <v>48.681179046630803</v>
      </c>
      <c r="C40">
        <v>17.445384979248001</v>
      </c>
    </row>
    <row r="41" spans="1:3">
      <c r="A41" s="1">
        <v>39505</v>
      </c>
      <c r="B41">
        <v>48.592456817626903</v>
      </c>
      <c r="C41">
        <v>17.600725173950099</v>
      </c>
    </row>
    <row r="42" spans="1:3">
      <c r="A42" s="1">
        <v>39506</v>
      </c>
      <c r="B42">
        <v>48.496891021728501</v>
      </c>
      <c r="C42">
        <v>17.4277954101562</v>
      </c>
    </row>
    <row r="43" spans="1:3">
      <c r="A43" s="1">
        <v>39507</v>
      </c>
      <c r="B43">
        <v>47.473175048828097</v>
      </c>
      <c r="C43">
        <v>17.1346931457519</v>
      </c>
    </row>
    <row r="44" spans="1:3">
      <c r="A44" s="1">
        <v>39510</v>
      </c>
      <c r="B44">
        <v>47.889492034912102</v>
      </c>
      <c r="C44">
        <v>17.2988262176513</v>
      </c>
    </row>
    <row r="45" spans="1:3">
      <c r="A45" s="1">
        <v>39511</v>
      </c>
      <c r="B45">
        <v>47.80078125</v>
      </c>
      <c r="C45">
        <v>17.4014167785644</v>
      </c>
    </row>
    <row r="46" spans="1:3">
      <c r="A46" s="1">
        <v>39512</v>
      </c>
      <c r="B46">
        <v>48.222766876220703</v>
      </c>
      <c r="C46">
        <v>17.4922790527343</v>
      </c>
    </row>
    <row r="47" spans="1:3">
      <c r="A47" s="1">
        <v>39513</v>
      </c>
      <c r="B47">
        <v>48.112972259521399</v>
      </c>
      <c r="C47">
        <v>17.322280883788999</v>
      </c>
    </row>
    <row r="48" spans="1:3">
      <c r="A48" s="1">
        <v>39514</v>
      </c>
      <c r="B48">
        <v>47.749309539794901</v>
      </c>
      <c r="C48">
        <v>17.249002456665</v>
      </c>
    </row>
    <row r="49" spans="1:3">
      <c r="A49" s="1">
        <v>39517</v>
      </c>
      <c r="B49">
        <v>47.358211517333899</v>
      </c>
      <c r="C49">
        <v>17.193311691284102</v>
      </c>
    </row>
    <row r="50" spans="1:3">
      <c r="A50" s="1">
        <v>39518</v>
      </c>
      <c r="B50">
        <v>47.996337890625</v>
      </c>
      <c r="C50">
        <v>17.430728912353501</v>
      </c>
    </row>
    <row r="51" spans="1:3">
      <c r="A51" s="1">
        <v>39519</v>
      </c>
      <c r="B51">
        <v>47.728729248046797</v>
      </c>
      <c r="C51">
        <v>17.573236465454102</v>
      </c>
    </row>
    <row r="52" spans="1:3">
      <c r="A52" s="1">
        <v>39520</v>
      </c>
      <c r="B52">
        <v>47.509166717529297</v>
      </c>
      <c r="C52">
        <v>17.496038436889599</v>
      </c>
    </row>
    <row r="53" spans="1:3">
      <c r="A53" s="1">
        <v>39521</v>
      </c>
      <c r="B53">
        <v>46.967113494872997</v>
      </c>
      <c r="C53">
        <v>17.0803928375244</v>
      </c>
    </row>
    <row r="54" spans="1:3">
      <c r="A54" s="1">
        <v>39524</v>
      </c>
      <c r="B54">
        <v>47.447418212890597</v>
      </c>
      <c r="C54">
        <v>17.127891540527301</v>
      </c>
    </row>
    <row r="55" spans="1:3">
      <c r="A55" s="1">
        <v>39525</v>
      </c>
      <c r="B55">
        <v>48.044353485107401</v>
      </c>
      <c r="C55">
        <v>17.638551712036101</v>
      </c>
    </row>
    <row r="56" spans="1:3">
      <c r="A56" s="1">
        <v>39526</v>
      </c>
      <c r="B56">
        <v>48.1541328430175</v>
      </c>
      <c r="C56">
        <v>17.8018474578857</v>
      </c>
    </row>
    <row r="57" spans="1:3">
      <c r="A57" s="1">
        <v>39527</v>
      </c>
      <c r="B57">
        <v>48.847160339355398</v>
      </c>
      <c r="C57">
        <v>18.122493743896399</v>
      </c>
    </row>
    <row r="58" spans="1:3">
      <c r="A58" s="1">
        <v>39531</v>
      </c>
      <c r="B58">
        <v>49.025547027587798</v>
      </c>
      <c r="C58">
        <v>18.1640529632568</v>
      </c>
    </row>
    <row r="59" spans="1:3">
      <c r="A59" s="1">
        <v>39532</v>
      </c>
      <c r="B59">
        <v>49.087322235107401</v>
      </c>
      <c r="C59">
        <v>18.232345581054599</v>
      </c>
    </row>
    <row r="60" spans="1:3">
      <c r="A60" s="1">
        <v>39533</v>
      </c>
      <c r="B60">
        <v>48.826576232910099</v>
      </c>
      <c r="C60">
        <v>18.1551494598388</v>
      </c>
    </row>
    <row r="61" spans="1:3">
      <c r="A61" s="1">
        <v>39534</v>
      </c>
      <c r="B61">
        <v>48.847160339355398</v>
      </c>
      <c r="C61">
        <v>18.202651977538999</v>
      </c>
    </row>
    <row r="62" spans="1:3">
      <c r="A62" s="1">
        <v>39535</v>
      </c>
      <c r="B62">
        <v>49.101039886474602</v>
      </c>
      <c r="C62">
        <v>18.092798233032202</v>
      </c>
    </row>
    <row r="63" spans="1:3">
      <c r="A63" s="1">
        <v>39538</v>
      </c>
      <c r="B63">
        <v>49.540172576904297</v>
      </c>
      <c r="C63">
        <v>18.072021484375</v>
      </c>
    </row>
    <row r="64" spans="1:3">
      <c r="A64" s="1">
        <v>39539</v>
      </c>
      <c r="B64">
        <v>49.492141723632798</v>
      </c>
      <c r="C64">
        <v>18.241252899169901</v>
      </c>
    </row>
    <row r="65" spans="1:3">
      <c r="A65" s="1">
        <v>39540</v>
      </c>
      <c r="B65">
        <v>49.004981994628899</v>
      </c>
      <c r="C65">
        <v>17.950294494628899</v>
      </c>
    </row>
    <row r="66" spans="1:3">
      <c r="A66" s="1">
        <v>39541</v>
      </c>
      <c r="B66">
        <v>48.991264343261697</v>
      </c>
      <c r="C66">
        <v>17.979984283447202</v>
      </c>
    </row>
    <row r="67" spans="1:3">
      <c r="A67" s="1">
        <v>39542</v>
      </c>
      <c r="B67">
        <v>49.080429077148402</v>
      </c>
      <c r="C67">
        <v>17.887947082519499</v>
      </c>
    </row>
    <row r="68" spans="1:3">
      <c r="A68" s="1">
        <v>39545</v>
      </c>
      <c r="B68">
        <v>49.306884765625</v>
      </c>
      <c r="C68">
        <v>17.923576354980401</v>
      </c>
    </row>
    <row r="69" spans="1:3">
      <c r="A69" s="1">
        <v>39546</v>
      </c>
      <c r="B69">
        <v>48.908912658691399</v>
      </c>
      <c r="C69">
        <v>17.9651374816894</v>
      </c>
    </row>
    <row r="70" spans="1:3">
      <c r="A70" s="1">
        <v>39547</v>
      </c>
      <c r="B70">
        <v>48.696212768554602</v>
      </c>
      <c r="C70">
        <v>18.0452976226806</v>
      </c>
    </row>
    <row r="71" spans="1:3">
      <c r="A71" s="1">
        <v>39548</v>
      </c>
      <c r="B71">
        <v>49.197105407714801</v>
      </c>
      <c r="C71">
        <v>18.208591461181602</v>
      </c>
    </row>
    <row r="72" spans="1:3">
      <c r="A72" s="1">
        <v>39549</v>
      </c>
      <c r="B72">
        <v>48.991264343261697</v>
      </c>
      <c r="C72">
        <v>17.8998203277587</v>
      </c>
    </row>
    <row r="73" spans="1:3">
      <c r="A73" s="1">
        <v>39552</v>
      </c>
      <c r="B73">
        <v>48.682479858398402</v>
      </c>
      <c r="C73">
        <v>18.110612869262599</v>
      </c>
    </row>
    <row r="74" spans="1:3">
      <c r="A74" s="1">
        <v>39553</v>
      </c>
      <c r="B74">
        <v>48.867729187011697</v>
      </c>
      <c r="C74">
        <v>18.092798233032202</v>
      </c>
    </row>
    <row r="75" spans="1:3">
      <c r="A75" s="1">
        <v>39554</v>
      </c>
      <c r="B75">
        <v>48.792278289794901</v>
      </c>
      <c r="C75">
        <v>18.1551494598388</v>
      </c>
    </row>
    <row r="76" spans="1:3">
      <c r="A76" s="1">
        <v>39555</v>
      </c>
      <c r="B76">
        <v>48.558971405029297</v>
      </c>
      <c r="C76">
        <v>18.015607833862301</v>
      </c>
    </row>
    <row r="77" spans="1:3">
      <c r="A77" s="1">
        <v>39556</v>
      </c>
      <c r="B77">
        <v>48.442325592041001</v>
      </c>
      <c r="C77">
        <v>17.846380233764599</v>
      </c>
    </row>
    <row r="78" spans="1:3">
      <c r="A78" s="1">
        <v>39559</v>
      </c>
      <c r="B78">
        <v>47.962032318115199</v>
      </c>
      <c r="C78">
        <v>17.9176311492919</v>
      </c>
    </row>
    <row r="79" spans="1:3">
      <c r="A79" s="1">
        <v>39560</v>
      </c>
      <c r="B79">
        <v>47.413108825683501</v>
      </c>
      <c r="C79">
        <v>17.781057357788001</v>
      </c>
    </row>
    <row r="80" spans="1:3">
      <c r="A80" s="1">
        <v>39561</v>
      </c>
      <c r="B80">
        <v>47.474857330322202</v>
      </c>
      <c r="C80">
        <v>17.9087314605712</v>
      </c>
    </row>
    <row r="81" spans="1:3">
      <c r="A81" s="1">
        <v>39562</v>
      </c>
      <c r="B81">
        <v>46.658336639404297</v>
      </c>
      <c r="C81">
        <v>17.887947082519499</v>
      </c>
    </row>
    <row r="82" spans="1:3">
      <c r="A82" s="1">
        <v>39563</v>
      </c>
      <c r="B82">
        <v>46.397609710693303</v>
      </c>
      <c r="C82">
        <v>17.6148071289062</v>
      </c>
    </row>
    <row r="83" spans="1:3">
      <c r="A83" s="1">
        <v>39566</v>
      </c>
      <c r="B83">
        <v>46.768119812011697</v>
      </c>
      <c r="C83">
        <v>17.5108928680419</v>
      </c>
    </row>
    <row r="84" spans="1:3">
      <c r="A84" s="1">
        <v>39567</v>
      </c>
      <c r="B84">
        <v>46.795574188232401</v>
      </c>
      <c r="C84">
        <v>17.433696746826101</v>
      </c>
    </row>
    <row r="85" spans="1:3">
      <c r="A85" s="1">
        <v>39568</v>
      </c>
      <c r="B85">
        <v>47.021995544433501</v>
      </c>
      <c r="C85">
        <v>17.478223800659102</v>
      </c>
    </row>
    <row r="86" spans="1:3">
      <c r="A86" s="1">
        <v>39569</v>
      </c>
      <c r="B86">
        <v>47.001407623291001</v>
      </c>
      <c r="C86">
        <v>17.5435485839843</v>
      </c>
    </row>
    <row r="87" spans="1:3">
      <c r="A87" s="1">
        <v>39570</v>
      </c>
      <c r="B87">
        <v>47.413108825683501</v>
      </c>
      <c r="C87">
        <v>17.448543548583899</v>
      </c>
    </row>
    <row r="88" spans="1:3">
      <c r="A88" s="1">
        <v>39573</v>
      </c>
      <c r="B88">
        <v>47.049446105957003</v>
      </c>
      <c r="C88">
        <v>17.3327522277832</v>
      </c>
    </row>
    <row r="89" spans="1:3">
      <c r="A89" s="1">
        <v>39574</v>
      </c>
      <c r="B89">
        <v>47.049446105957003</v>
      </c>
      <c r="C89">
        <v>17.300096511840799</v>
      </c>
    </row>
    <row r="90" spans="1:3">
      <c r="A90" s="1">
        <v>39575</v>
      </c>
      <c r="B90">
        <v>46.665206909179602</v>
      </c>
      <c r="C90">
        <v>16.931943893432599</v>
      </c>
    </row>
    <row r="91" spans="1:3">
      <c r="A91" s="1">
        <v>39576</v>
      </c>
      <c r="B91">
        <v>46.3427124023437</v>
      </c>
      <c r="C91">
        <v>16.7122402191162</v>
      </c>
    </row>
    <row r="92" spans="1:3">
      <c r="A92" s="1">
        <v>39577</v>
      </c>
      <c r="B92">
        <v>46.322124481201101</v>
      </c>
      <c r="C92">
        <v>16.670680999755799</v>
      </c>
    </row>
    <row r="93" spans="1:3">
      <c r="A93" s="1">
        <v>39580</v>
      </c>
      <c r="B93">
        <v>46.212348937988203</v>
      </c>
      <c r="C93">
        <v>16.744897842407202</v>
      </c>
    </row>
    <row r="94" spans="1:3">
      <c r="A94" s="1">
        <v>39581</v>
      </c>
      <c r="B94">
        <v>46.143726348876903</v>
      </c>
      <c r="C94">
        <v>16.774587631225501</v>
      </c>
    </row>
    <row r="95" spans="1:3">
      <c r="A95" s="1">
        <v>39582</v>
      </c>
      <c r="B95">
        <v>46.040798187255803</v>
      </c>
      <c r="C95">
        <v>16.786460876464801</v>
      </c>
    </row>
    <row r="96" spans="1:3">
      <c r="A96" s="1">
        <v>39583</v>
      </c>
      <c r="B96">
        <v>46.706371307372997</v>
      </c>
      <c r="C96">
        <v>16.926008224487301</v>
      </c>
    </row>
    <row r="97" spans="1:3">
      <c r="A97" s="1">
        <v>39584</v>
      </c>
      <c r="B97">
        <v>46.569145202636697</v>
      </c>
      <c r="C97">
        <v>16.9438171386718</v>
      </c>
    </row>
    <row r="98" spans="1:3">
      <c r="A98" s="1">
        <v>39587</v>
      </c>
      <c r="B98">
        <v>46.678924560546797</v>
      </c>
      <c r="C98">
        <v>17.077419281005799</v>
      </c>
    </row>
    <row r="99" spans="1:3">
      <c r="A99" s="1">
        <v>39588</v>
      </c>
      <c r="B99">
        <v>46.287803649902301</v>
      </c>
      <c r="C99">
        <v>16.949758529663001</v>
      </c>
    </row>
    <row r="100" spans="1:3">
      <c r="A100" s="1">
        <v>39589</v>
      </c>
      <c r="B100">
        <v>46.157447814941399</v>
      </c>
      <c r="C100">
        <v>16.819128036498999</v>
      </c>
    </row>
    <row r="101" spans="1:3">
      <c r="A101" s="1">
        <v>39590</v>
      </c>
      <c r="B101">
        <v>46.919078826904297</v>
      </c>
      <c r="C101">
        <v>17.300096511840799</v>
      </c>
    </row>
    <row r="102" spans="1:3">
      <c r="A102" s="1">
        <v>39591</v>
      </c>
      <c r="B102">
        <v>46.8367309570312</v>
      </c>
      <c r="C102">
        <v>17.406978607177699</v>
      </c>
    </row>
    <row r="103" spans="1:3">
      <c r="A103" s="1">
        <v>39595</v>
      </c>
      <c r="B103">
        <v>47.351345062255803</v>
      </c>
      <c r="C103">
        <v>17.395105361938398</v>
      </c>
    </row>
    <row r="104" spans="1:3">
      <c r="A104" s="1">
        <v>39596</v>
      </c>
      <c r="B104">
        <v>46.610313415527301</v>
      </c>
      <c r="C104">
        <v>17.05366897583</v>
      </c>
    </row>
    <row r="105" spans="1:3">
      <c r="A105" s="1">
        <v>39597</v>
      </c>
      <c r="B105">
        <v>47.227859497070298</v>
      </c>
      <c r="C105">
        <v>17.181333541870099</v>
      </c>
    </row>
    <row r="106" spans="1:3">
      <c r="A106" s="1">
        <v>39598</v>
      </c>
      <c r="B106">
        <v>46.864185333251903</v>
      </c>
      <c r="C106">
        <v>17.0002326965332</v>
      </c>
    </row>
    <row r="107" spans="1:3">
      <c r="A107" s="1">
        <v>39601</v>
      </c>
      <c r="B107">
        <v>46.349559783935497</v>
      </c>
      <c r="C107">
        <v>16.9230422973632</v>
      </c>
    </row>
    <row r="108" spans="1:3">
      <c r="A108" s="1">
        <v>39602</v>
      </c>
      <c r="B108">
        <v>46.006500244140597</v>
      </c>
      <c r="C108">
        <v>16.744897842407202</v>
      </c>
    </row>
    <row r="109" spans="1:3">
      <c r="A109" s="1">
        <v>39603</v>
      </c>
      <c r="B109">
        <v>46.037563323974602</v>
      </c>
      <c r="C109">
        <v>16.833961486816399</v>
      </c>
    </row>
    <row r="110" spans="1:3">
      <c r="A110" s="1">
        <v>39604</v>
      </c>
      <c r="B110">
        <v>46.465690612792898</v>
      </c>
      <c r="C110">
        <v>16.979448318481399</v>
      </c>
    </row>
    <row r="111" spans="1:3">
      <c r="A111" s="1">
        <v>39605</v>
      </c>
      <c r="B111">
        <v>45.243461608886697</v>
      </c>
      <c r="C111">
        <v>16.5667629241943</v>
      </c>
    </row>
    <row r="112" spans="1:3">
      <c r="A112" s="1">
        <v>39608</v>
      </c>
      <c r="B112">
        <v>45.139869689941399</v>
      </c>
      <c r="C112">
        <v>16.5845737457275</v>
      </c>
    </row>
    <row r="113" spans="1:3">
      <c r="A113" s="1">
        <v>39609</v>
      </c>
      <c r="B113">
        <v>46.665950775146399</v>
      </c>
      <c r="C113">
        <v>17.222896575927699</v>
      </c>
    </row>
    <row r="114" spans="1:3">
      <c r="A114" s="1">
        <v>39610</v>
      </c>
      <c r="B114">
        <v>46.603786468505803</v>
      </c>
      <c r="C114">
        <v>17.189805984496999</v>
      </c>
    </row>
    <row r="115" spans="1:3">
      <c r="A115" s="1">
        <v>39611</v>
      </c>
      <c r="B115">
        <v>46.921428680419901</v>
      </c>
      <c r="C115">
        <v>17.189805984496999</v>
      </c>
    </row>
    <row r="116" spans="1:3">
      <c r="A116" s="1">
        <v>39612</v>
      </c>
      <c r="B116">
        <v>46.638328552246001</v>
      </c>
      <c r="C116">
        <v>16.672369003295898</v>
      </c>
    </row>
    <row r="117" spans="1:3">
      <c r="A117" s="1">
        <v>39615</v>
      </c>
      <c r="B117">
        <v>45.602523803710902</v>
      </c>
      <c r="C117">
        <v>16.299327850341701</v>
      </c>
    </row>
    <row r="118" spans="1:3">
      <c r="A118" s="1">
        <v>39616</v>
      </c>
      <c r="B118">
        <v>45.485145568847599</v>
      </c>
      <c r="C118">
        <v>16.233140945434499</v>
      </c>
    </row>
    <row r="119" spans="1:3">
      <c r="A119" s="1">
        <v>39617</v>
      </c>
      <c r="B119">
        <v>44.925807952880803</v>
      </c>
      <c r="C119">
        <v>15.992473602294901</v>
      </c>
    </row>
    <row r="120" spans="1:3">
      <c r="A120" s="1">
        <v>39618</v>
      </c>
      <c r="B120">
        <v>45.498950958251903</v>
      </c>
      <c r="C120">
        <v>16.0526523590087</v>
      </c>
    </row>
    <row r="121" spans="1:3">
      <c r="A121" s="1">
        <v>39619</v>
      </c>
      <c r="B121">
        <v>44.939628601074197</v>
      </c>
      <c r="C121">
        <v>16.142898559570298</v>
      </c>
    </row>
    <row r="122" spans="1:3">
      <c r="A122" s="1">
        <v>39622</v>
      </c>
      <c r="B122">
        <v>44.628871917724602</v>
      </c>
      <c r="C122">
        <v>16.0225620269775</v>
      </c>
    </row>
    <row r="123" spans="1:3">
      <c r="A123" s="1">
        <v>39623</v>
      </c>
      <c r="B123">
        <v>44.207656860351499</v>
      </c>
      <c r="C123">
        <v>16.055644989013601</v>
      </c>
    </row>
    <row r="124" spans="1:3">
      <c r="A124" s="1">
        <v>39624</v>
      </c>
      <c r="B124">
        <v>45.243461608886697</v>
      </c>
      <c r="C124">
        <v>16.2752685546875</v>
      </c>
    </row>
    <row r="125" spans="1:3">
      <c r="A125" s="1">
        <v>39625</v>
      </c>
      <c r="B125">
        <v>44.725566864013601</v>
      </c>
      <c r="C125">
        <v>16.010530471801701</v>
      </c>
    </row>
    <row r="126" spans="1:3">
      <c r="A126" s="1">
        <v>39626</v>
      </c>
      <c r="B126">
        <v>44.145500183105398</v>
      </c>
      <c r="C126">
        <v>15.5953760147094</v>
      </c>
    </row>
    <row r="127" spans="1:3">
      <c r="A127" s="1">
        <v>39629</v>
      </c>
      <c r="B127">
        <v>43.910728454589801</v>
      </c>
      <c r="C127">
        <v>15.637488365173301</v>
      </c>
    </row>
    <row r="128" spans="1:3">
      <c r="A128" s="1">
        <v>39630</v>
      </c>
      <c r="B128">
        <v>44.470066070556598</v>
      </c>
      <c r="C128">
        <v>15.342672348022401</v>
      </c>
    </row>
    <row r="129" spans="1:3">
      <c r="A129" s="1">
        <v>39631</v>
      </c>
      <c r="B129">
        <v>45.409168243408203</v>
      </c>
      <c r="C129">
        <v>15.453981399536101</v>
      </c>
    </row>
    <row r="130" spans="1:3">
      <c r="A130" s="1">
        <v>39632</v>
      </c>
      <c r="B130">
        <v>46.106609344482401</v>
      </c>
      <c r="C130">
        <v>15.4870691299438</v>
      </c>
    </row>
    <row r="131" spans="1:3">
      <c r="A131" s="1">
        <v>39636</v>
      </c>
      <c r="B131">
        <v>46.003040313720703</v>
      </c>
      <c r="C131">
        <v>15.429913520812899</v>
      </c>
    </row>
    <row r="132" spans="1:3">
      <c r="A132" s="1">
        <v>39637</v>
      </c>
      <c r="B132">
        <v>45.457527160644503</v>
      </c>
      <c r="C132">
        <v>15.4840641021728</v>
      </c>
    </row>
    <row r="133" spans="1:3">
      <c r="A133" s="1">
        <v>39638</v>
      </c>
      <c r="B133">
        <v>45.126064300537102</v>
      </c>
      <c r="C133">
        <v>15.3095798492431</v>
      </c>
    </row>
    <row r="134" spans="1:3">
      <c r="A134" s="1">
        <v>39639</v>
      </c>
      <c r="B134">
        <v>45.291774749755803</v>
      </c>
      <c r="C134">
        <v>15.053871154785099</v>
      </c>
    </row>
    <row r="135" spans="1:3">
      <c r="A135" s="1">
        <v>39640</v>
      </c>
      <c r="B135">
        <v>44.649593353271399</v>
      </c>
      <c r="C135">
        <v>15.123058319091699</v>
      </c>
    </row>
    <row r="136" spans="1:3">
      <c r="A136" s="1">
        <v>39643</v>
      </c>
      <c r="B136">
        <v>44.822242736816399</v>
      </c>
      <c r="C136">
        <v>15.3306369781494</v>
      </c>
    </row>
    <row r="137" spans="1:3">
      <c r="A137" s="1">
        <v>39644</v>
      </c>
      <c r="B137">
        <v>45.277996063232401</v>
      </c>
      <c r="C137">
        <v>15.5803308486938</v>
      </c>
    </row>
    <row r="138" spans="1:3">
      <c r="A138" s="1">
        <v>39645</v>
      </c>
      <c r="B138">
        <v>45.637054443359297</v>
      </c>
      <c r="C138">
        <v>15.7457885742187</v>
      </c>
    </row>
    <row r="139" spans="1:3">
      <c r="A139" s="1">
        <v>39646</v>
      </c>
      <c r="B139">
        <v>45.250370025634702</v>
      </c>
      <c r="C139">
        <v>15.1441221237182</v>
      </c>
    </row>
    <row r="140" spans="1:3">
      <c r="A140" s="1">
        <v>39647</v>
      </c>
      <c r="B140">
        <v>45.167495727538999</v>
      </c>
      <c r="C140">
        <v>15.0508604049682</v>
      </c>
    </row>
    <row r="141" spans="1:3">
      <c r="A141" s="1">
        <v>39650</v>
      </c>
      <c r="B141">
        <v>44.504589080810497</v>
      </c>
      <c r="C141">
        <v>14.921504974365201</v>
      </c>
    </row>
    <row r="142" spans="1:3">
      <c r="A142" s="1">
        <v>39651</v>
      </c>
      <c r="B142">
        <v>45.706111907958899</v>
      </c>
      <c r="C142">
        <v>15.447968482971101</v>
      </c>
    </row>
    <row r="143" spans="1:3">
      <c r="A143" s="1">
        <v>39652</v>
      </c>
      <c r="B143">
        <v>46.762622833251903</v>
      </c>
      <c r="C143">
        <v>15.793928146362299</v>
      </c>
    </row>
    <row r="144" spans="1:3">
      <c r="A144" s="1">
        <v>39653</v>
      </c>
      <c r="B144">
        <v>46.541641235351499</v>
      </c>
      <c r="C144">
        <v>15.601390838623001</v>
      </c>
    </row>
    <row r="145" spans="1:3">
      <c r="A145" s="1">
        <v>39654</v>
      </c>
      <c r="B145">
        <v>46.417354583740199</v>
      </c>
      <c r="C145">
        <v>15.661557197570801</v>
      </c>
    </row>
    <row r="146" spans="1:3">
      <c r="A146" s="1">
        <v>39657</v>
      </c>
      <c r="B146">
        <v>46.065177917480398</v>
      </c>
      <c r="C146">
        <v>15.3877954483032</v>
      </c>
    </row>
    <row r="147" spans="1:3">
      <c r="A147" s="1">
        <v>39658</v>
      </c>
      <c r="B147">
        <v>46.251636505126903</v>
      </c>
      <c r="C147">
        <v>15.514146804809499</v>
      </c>
    </row>
    <row r="148" spans="1:3">
      <c r="A148" s="1">
        <v>39659</v>
      </c>
      <c r="B148">
        <v>46.203300476074197</v>
      </c>
      <c r="C148">
        <v>15.435930252075099</v>
      </c>
    </row>
    <row r="149" spans="1:3">
      <c r="A149" s="1">
        <v>39660</v>
      </c>
      <c r="B149">
        <v>45.961597442626903</v>
      </c>
      <c r="C149">
        <v>15.493084907531699</v>
      </c>
    </row>
    <row r="150" spans="1:3">
      <c r="A150" s="1">
        <v>39661</v>
      </c>
      <c r="B150">
        <v>46.009937286376903</v>
      </c>
      <c r="C150">
        <v>15.986460685729901</v>
      </c>
    </row>
    <row r="151" spans="1:3">
      <c r="A151" s="1">
        <v>39664</v>
      </c>
      <c r="B151">
        <v>46.7280883789062</v>
      </c>
      <c r="C151">
        <v>16.2150974273681</v>
      </c>
    </row>
    <row r="152" spans="1:3">
      <c r="A152" s="1">
        <v>39665</v>
      </c>
      <c r="B152">
        <v>47.315055847167898</v>
      </c>
      <c r="C152">
        <v>16.518941879272401</v>
      </c>
    </row>
    <row r="153" spans="1:3">
      <c r="A153" s="1">
        <v>39666</v>
      </c>
      <c r="B153">
        <v>47.328865051269503</v>
      </c>
      <c r="C153">
        <v>16.654317855834901</v>
      </c>
    </row>
    <row r="154" spans="1:3">
      <c r="A154" s="1">
        <v>39667</v>
      </c>
      <c r="B154">
        <v>46.921428680419901</v>
      </c>
      <c r="C154">
        <v>16.248191833496001</v>
      </c>
    </row>
    <row r="155" spans="1:3">
      <c r="A155" s="1">
        <v>39668</v>
      </c>
      <c r="B155">
        <v>47.888175964355398</v>
      </c>
      <c r="C155">
        <v>16.669363021850501</v>
      </c>
    </row>
    <row r="156" spans="1:3">
      <c r="A156" s="1">
        <v>39671</v>
      </c>
      <c r="B156">
        <v>47.832954406738203</v>
      </c>
      <c r="C156">
        <v>16.651308059692301</v>
      </c>
    </row>
    <row r="157" spans="1:3">
      <c r="A157" s="1">
        <v>39672</v>
      </c>
      <c r="B157">
        <v>48.074607849121001</v>
      </c>
      <c r="C157">
        <v>16.482841491699201</v>
      </c>
    </row>
    <row r="158" spans="1:3">
      <c r="A158" s="1">
        <v>39673</v>
      </c>
      <c r="B158">
        <v>48.157497406005803</v>
      </c>
      <c r="C158">
        <v>16.6091918945312</v>
      </c>
    </row>
    <row r="159" spans="1:3">
      <c r="A159" s="1">
        <v>39674</v>
      </c>
      <c r="B159">
        <v>48.295589447021399</v>
      </c>
      <c r="C159">
        <v>16.552034378051701</v>
      </c>
    </row>
    <row r="160" spans="1:3">
      <c r="A160" s="1">
        <v>39675</v>
      </c>
      <c r="B160">
        <v>48.475143432617102</v>
      </c>
      <c r="C160">
        <v>16.564067840576101</v>
      </c>
    </row>
    <row r="161" spans="1:3">
      <c r="A161" s="1">
        <v>39678</v>
      </c>
      <c r="B161">
        <v>48.205841064453097</v>
      </c>
      <c r="C161">
        <v>16.344457626342699</v>
      </c>
    </row>
    <row r="162" spans="1:3">
      <c r="A162" s="1">
        <v>39679</v>
      </c>
      <c r="B162">
        <v>48.406070709228501</v>
      </c>
      <c r="C162">
        <v>16.344457626342699</v>
      </c>
    </row>
    <row r="163" spans="1:3">
      <c r="A163" s="1">
        <v>39680</v>
      </c>
      <c r="B163">
        <v>48.2334594726562</v>
      </c>
      <c r="C163">
        <v>16.3504734039306</v>
      </c>
    </row>
    <row r="164" spans="1:3">
      <c r="A164" s="1">
        <v>39681</v>
      </c>
      <c r="B164">
        <v>47.915798187255803</v>
      </c>
      <c r="C164">
        <v>16.097774505615199</v>
      </c>
    </row>
    <row r="165" spans="1:3">
      <c r="A165" s="1">
        <v>39682</v>
      </c>
      <c r="B165">
        <v>48.267978668212798</v>
      </c>
      <c r="C165">
        <v>16.356491088867099</v>
      </c>
    </row>
    <row r="166" spans="1:3">
      <c r="A166" s="1">
        <v>39685</v>
      </c>
      <c r="B166">
        <v>47.681026458740199</v>
      </c>
      <c r="C166">
        <v>16.115825653076101</v>
      </c>
    </row>
    <row r="167" spans="1:3">
      <c r="A167" s="1">
        <v>39686</v>
      </c>
      <c r="B167">
        <v>47.439334869384702</v>
      </c>
      <c r="C167">
        <v>16.1007766723632</v>
      </c>
    </row>
    <row r="168" spans="1:3">
      <c r="A168" s="1">
        <v>39687</v>
      </c>
      <c r="B168">
        <v>47.7846069335937</v>
      </c>
      <c r="C168">
        <v>16.1820068359375</v>
      </c>
    </row>
    <row r="169" spans="1:3">
      <c r="A169" s="1">
        <v>39688</v>
      </c>
      <c r="B169">
        <v>47.777698516845703</v>
      </c>
      <c r="C169">
        <v>15.980444908141999</v>
      </c>
    </row>
    <row r="170" spans="1:3">
      <c r="A170" s="1">
        <v>39689</v>
      </c>
      <c r="B170">
        <v>47.287437438964801</v>
      </c>
      <c r="C170">
        <v>15.664563179016101</v>
      </c>
    </row>
    <row r="171" spans="1:3">
      <c r="A171" s="1">
        <v>39693</v>
      </c>
      <c r="B171">
        <v>47.964145660400298</v>
      </c>
      <c r="C171">
        <v>15.6314783096313</v>
      </c>
    </row>
    <row r="172" spans="1:3">
      <c r="A172" s="1">
        <v>39694</v>
      </c>
      <c r="B172">
        <v>48.071834564208899</v>
      </c>
      <c r="C172">
        <v>15.5412254333496</v>
      </c>
    </row>
    <row r="173" spans="1:3">
      <c r="A173" s="1">
        <v>39695</v>
      </c>
      <c r="B173">
        <v>47.516017913818303</v>
      </c>
      <c r="C173">
        <v>15.556261062621999</v>
      </c>
    </row>
    <row r="174" spans="1:3">
      <c r="A174" s="1">
        <v>39696</v>
      </c>
      <c r="B174">
        <v>47.884243011474602</v>
      </c>
      <c r="C174">
        <v>15.622448921203601</v>
      </c>
    </row>
    <row r="175" spans="1:3">
      <c r="A175" s="1">
        <v>39699</v>
      </c>
      <c r="B175">
        <v>48.870830535888601</v>
      </c>
      <c r="C175">
        <v>16.058666229248001</v>
      </c>
    </row>
    <row r="176" spans="1:3">
      <c r="A176" s="1">
        <v>39700</v>
      </c>
      <c r="B176">
        <v>49.329372406005803</v>
      </c>
      <c r="C176">
        <v>16.209083557128899</v>
      </c>
    </row>
    <row r="177" spans="1:3">
      <c r="A177" s="1">
        <v>39701</v>
      </c>
      <c r="B177">
        <v>49.906051635742102</v>
      </c>
      <c r="C177">
        <v>16.188024520873999</v>
      </c>
    </row>
    <row r="178" spans="1:3">
      <c r="A178" s="1">
        <v>39702</v>
      </c>
      <c r="B178">
        <v>50.4549140930175</v>
      </c>
      <c r="C178">
        <v>16.523683547973601</v>
      </c>
    </row>
    <row r="179" spans="1:3">
      <c r="A179" s="1">
        <v>39703</v>
      </c>
      <c r="B179">
        <v>50.8231391906738</v>
      </c>
      <c r="C179">
        <v>16.6304817199707</v>
      </c>
    </row>
    <row r="180" spans="1:3">
      <c r="A180" s="1">
        <v>39706</v>
      </c>
      <c r="B180">
        <v>50.267345428466797</v>
      </c>
      <c r="C180">
        <v>16.706773757934499</v>
      </c>
    </row>
    <row r="181" spans="1:3">
      <c r="A181" s="1">
        <v>39707</v>
      </c>
      <c r="B181">
        <v>50.705043792724602</v>
      </c>
      <c r="C181">
        <v>16.737283706665</v>
      </c>
    </row>
    <row r="182" spans="1:3">
      <c r="A182" s="1">
        <v>39708</v>
      </c>
      <c r="B182">
        <v>49.801822662353501</v>
      </c>
      <c r="C182">
        <v>16.069017410278299</v>
      </c>
    </row>
    <row r="183" spans="1:3">
      <c r="A183" s="1">
        <v>39709</v>
      </c>
      <c r="B183">
        <v>50.878749847412102</v>
      </c>
      <c r="C183">
        <v>16.291772842407202</v>
      </c>
    </row>
    <row r="184" spans="1:3">
      <c r="A184" s="1">
        <v>39710</v>
      </c>
      <c r="B184">
        <v>50.850944519042898</v>
      </c>
      <c r="C184">
        <v>16.0873203277587</v>
      </c>
    </row>
    <row r="185" spans="1:3">
      <c r="A185" s="1">
        <v>39713</v>
      </c>
      <c r="B185">
        <v>49.384979248046797</v>
      </c>
      <c r="C185">
        <v>15.678428649902299</v>
      </c>
    </row>
    <row r="186" spans="1:3">
      <c r="A186" s="1">
        <v>39714</v>
      </c>
      <c r="B186">
        <v>49.155689239501903</v>
      </c>
      <c r="C186">
        <v>15.4648284912109</v>
      </c>
    </row>
    <row r="187" spans="1:3">
      <c r="A187" s="1">
        <v>39715</v>
      </c>
      <c r="B187">
        <v>48.704074859619098</v>
      </c>
      <c r="C187">
        <v>15.315303802490201</v>
      </c>
    </row>
    <row r="188" spans="1:3">
      <c r="A188" s="1">
        <v>39716</v>
      </c>
      <c r="B188">
        <v>49.537803649902301</v>
      </c>
      <c r="C188">
        <v>15.702841758728001</v>
      </c>
    </row>
    <row r="189" spans="1:3">
      <c r="A189" s="1">
        <v>39717</v>
      </c>
      <c r="B189">
        <v>49.822666168212798</v>
      </c>
      <c r="C189">
        <v>16.014085769653299</v>
      </c>
    </row>
    <row r="190" spans="1:3">
      <c r="A190" s="1">
        <v>39720</v>
      </c>
      <c r="B190">
        <v>48.398384094238203</v>
      </c>
      <c r="C190">
        <v>15.571625709533601</v>
      </c>
    </row>
    <row r="191" spans="1:3">
      <c r="A191" s="1">
        <v>39721</v>
      </c>
      <c r="B191">
        <v>49.516975402832003</v>
      </c>
      <c r="C191">
        <v>16.1361484527587</v>
      </c>
    </row>
    <row r="192" spans="1:3">
      <c r="A192" s="1">
        <v>39722</v>
      </c>
      <c r="B192">
        <v>49.7740478515625</v>
      </c>
      <c r="C192">
        <v>16.5267333984375</v>
      </c>
    </row>
    <row r="193" spans="1:3">
      <c r="A193" s="1">
        <v>39723</v>
      </c>
      <c r="B193">
        <v>49.266853332519503</v>
      </c>
      <c r="C193">
        <v>16.355850219726499</v>
      </c>
    </row>
    <row r="194" spans="1:3">
      <c r="A194" s="1">
        <v>39724</v>
      </c>
      <c r="B194">
        <v>47.939826965332003</v>
      </c>
      <c r="C194">
        <v>16.041557312011701</v>
      </c>
    </row>
    <row r="195" spans="1:3">
      <c r="A195" s="1">
        <v>39727</v>
      </c>
      <c r="B195">
        <v>46.300155639648402</v>
      </c>
      <c r="C195">
        <v>15.5380592346191</v>
      </c>
    </row>
    <row r="196" spans="1:3">
      <c r="A196" s="1">
        <v>39728</v>
      </c>
      <c r="B196">
        <v>45.244071960449197</v>
      </c>
      <c r="C196">
        <v>15.0437211990356</v>
      </c>
    </row>
    <row r="197" spans="1:3">
      <c r="A197" s="1">
        <v>39729</v>
      </c>
      <c r="B197">
        <v>44.194950103759702</v>
      </c>
      <c r="C197">
        <v>14.466992378234799</v>
      </c>
    </row>
    <row r="198" spans="1:3">
      <c r="A198" s="1">
        <v>39730</v>
      </c>
      <c r="B198">
        <v>41.353305816650298</v>
      </c>
      <c r="C198">
        <v>13.2128429412841</v>
      </c>
    </row>
    <row r="199" spans="1:3">
      <c r="A199" s="1">
        <v>39731</v>
      </c>
      <c r="B199">
        <v>40.158290863037102</v>
      </c>
      <c r="C199">
        <v>12.663577079772899</v>
      </c>
    </row>
    <row r="200" spans="1:3">
      <c r="A200" s="1">
        <v>39734</v>
      </c>
      <c r="B200">
        <v>42.9165649414062</v>
      </c>
      <c r="C200">
        <v>14.4212226867675</v>
      </c>
    </row>
    <row r="201" spans="1:3">
      <c r="A201" s="1">
        <v>39735</v>
      </c>
      <c r="B201">
        <v>37.796031951904297</v>
      </c>
      <c r="C201">
        <v>13.344056129455501</v>
      </c>
    </row>
    <row r="202" spans="1:3">
      <c r="A202" s="1">
        <v>39736</v>
      </c>
      <c r="B202">
        <v>35.607490539550703</v>
      </c>
      <c r="C202">
        <v>13.4905252456665</v>
      </c>
    </row>
    <row r="203" spans="1:3">
      <c r="A203" s="1">
        <v>39737</v>
      </c>
      <c r="B203">
        <v>36.8789253234863</v>
      </c>
      <c r="C203">
        <v>13.9696054458618</v>
      </c>
    </row>
    <row r="204" spans="1:3">
      <c r="A204" s="1">
        <v>39738</v>
      </c>
      <c r="B204">
        <v>37.434745788574197</v>
      </c>
      <c r="C204">
        <v>13.487470626831</v>
      </c>
    </row>
    <row r="205" spans="1:3">
      <c r="A205" s="1">
        <v>39741</v>
      </c>
      <c r="B205">
        <v>39.435714721679602</v>
      </c>
      <c r="C205">
        <v>14.177109718322701</v>
      </c>
    </row>
    <row r="206" spans="1:3">
      <c r="A206" s="1">
        <v>39742</v>
      </c>
      <c r="B206">
        <v>38.212913513183501</v>
      </c>
      <c r="C206">
        <v>14.0458936691284</v>
      </c>
    </row>
    <row r="207" spans="1:3">
      <c r="A207" s="1">
        <v>39743</v>
      </c>
      <c r="B207">
        <v>37.268013000488203</v>
      </c>
      <c r="C207">
        <v>13.8475494384765</v>
      </c>
    </row>
    <row r="208" spans="1:3">
      <c r="A208" s="1">
        <v>39744</v>
      </c>
      <c r="B208">
        <v>37.156841278076101</v>
      </c>
      <c r="C208">
        <v>13.1396121978759</v>
      </c>
    </row>
    <row r="209" spans="1:3">
      <c r="A209" s="1">
        <v>39745</v>
      </c>
      <c r="B209">
        <v>35.9618110656738</v>
      </c>
      <c r="C209">
        <v>12.6971435546875</v>
      </c>
    </row>
    <row r="210" spans="1:3">
      <c r="A210" s="1">
        <v>39748</v>
      </c>
      <c r="B210">
        <v>35.774227142333899</v>
      </c>
      <c r="C210">
        <v>12.5140581130981</v>
      </c>
    </row>
    <row r="211" spans="1:3">
      <c r="A211" s="1">
        <v>39749</v>
      </c>
      <c r="B211">
        <v>38.789573669433501</v>
      </c>
      <c r="C211">
        <v>13.8078813552856</v>
      </c>
    </row>
    <row r="212" spans="1:3">
      <c r="A212" s="1">
        <v>39750</v>
      </c>
      <c r="B212">
        <v>38.212913513183501</v>
      </c>
      <c r="C212">
        <v>13.380677223205501</v>
      </c>
    </row>
    <row r="213" spans="1:3">
      <c r="A213" s="1">
        <v>39751</v>
      </c>
      <c r="B213">
        <v>39.658046722412102</v>
      </c>
      <c r="C213">
        <v>13.627844810485801</v>
      </c>
    </row>
    <row r="214" spans="1:3">
      <c r="A214" s="1">
        <v>39752</v>
      </c>
      <c r="B214">
        <v>39.609409332275298</v>
      </c>
      <c r="C214">
        <v>13.4447565078735</v>
      </c>
    </row>
    <row r="215" spans="1:3">
      <c r="A215" s="1">
        <v>39755</v>
      </c>
      <c r="B215">
        <v>39.929012298583899</v>
      </c>
      <c r="C215">
        <v>13.868906974792401</v>
      </c>
    </row>
    <row r="216" spans="1:3">
      <c r="A216" s="1">
        <v>39756</v>
      </c>
      <c r="B216">
        <v>40.5334663391113</v>
      </c>
      <c r="C216">
        <v>14.0458936691284</v>
      </c>
    </row>
    <row r="217" spans="1:3">
      <c r="A217" s="1">
        <v>39757</v>
      </c>
      <c r="B217">
        <v>39.609409332275298</v>
      </c>
      <c r="C217">
        <v>13.6492004394531</v>
      </c>
    </row>
    <row r="218" spans="1:3">
      <c r="A218" s="1">
        <v>39758</v>
      </c>
      <c r="B218">
        <v>38.108673095703097</v>
      </c>
      <c r="C218">
        <v>13.575963973999</v>
      </c>
    </row>
    <row r="219" spans="1:3">
      <c r="A219" s="1">
        <v>39759</v>
      </c>
      <c r="B219">
        <v>38.463016510009702</v>
      </c>
      <c r="C219">
        <v>14.113022804260201</v>
      </c>
    </row>
    <row r="220" spans="1:3">
      <c r="A220" s="1">
        <v>39762</v>
      </c>
      <c r="B220">
        <v>37.941932678222599</v>
      </c>
      <c r="C220">
        <v>14.006227493286101</v>
      </c>
    </row>
    <row r="221" spans="1:3">
      <c r="A221" s="1">
        <v>39763</v>
      </c>
      <c r="B221">
        <v>38.268478393554602</v>
      </c>
      <c r="C221">
        <v>13.560711860656699</v>
      </c>
    </row>
    <row r="222" spans="1:3">
      <c r="A222" s="1">
        <v>39764</v>
      </c>
      <c r="B222">
        <v>36.892818450927699</v>
      </c>
      <c r="C222">
        <v>13.3745727539062</v>
      </c>
    </row>
    <row r="223" spans="1:3">
      <c r="A223" s="1">
        <v>39765</v>
      </c>
      <c r="B223">
        <v>38.622837066650298</v>
      </c>
      <c r="C223">
        <v>14.1221809387207</v>
      </c>
    </row>
    <row r="224" spans="1:3">
      <c r="A224" s="1">
        <v>39766</v>
      </c>
      <c r="B224">
        <v>37.1846313476562</v>
      </c>
      <c r="C224">
        <v>13.737694740295399</v>
      </c>
    </row>
    <row r="225" spans="1:3">
      <c r="A225" s="1">
        <v>39769</v>
      </c>
      <c r="B225">
        <v>36.802501678466797</v>
      </c>
      <c r="C225">
        <v>13.417293548583901</v>
      </c>
    </row>
    <row r="226" spans="1:3">
      <c r="A226" s="1">
        <v>39770</v>
      </c>
      <c r="B226">
        <v>36.920612335205</v>
      </c>
      <c r="C226">
        <v>13.2708206176757</v>
      </c>
    </row>
    <row r="227" spans="1:3">
      <c r="A227" s="1">
        <v>39771</v>
      </c>
      <c r="B227">
        <v>36.198047637939403</v>
      </c>
      <c r="C227">
        <v>12.898545265197701</v>
      </c>
    </row>
    <row r="228" spans="1:3">
      <c r="A228" s="1">
        <v>39772</v>
      </c>
      <c r="B228">
        <v>34.9404907226562</v>
      </c>
      <c r="C228">
        <v>12.532366752624499</v>
      </c>
    </row>
    <row r="229" spans="1:3">
      <c r="A229" s="1">
        <v>39773</v>
      </c>
      <c r="B229">
        <v>37.928043365478501</v>
      </c>
      <c r="C229">
        <v>13.426445007324199</v>
      </c>
    </row>
    <row r="230" spans="1:3">
      <c r="A230" s="1">
        <v>39776</v>
      </c>
      <c r="B230">
        <v>38.671459197997997</v>
      </c>
      <c r="C230">
        <v>13.801778793334901</v>
      </c>
    </row>
    <row r="231" spans="1:3">
      <c r="A231" s="1">
        <v>39777</v>
      </c>
      <c r="B231">
        <v>37.5181274414062</v>
      </c>
      <c r="C231">
        <v>13.752957344055099</v>
      </c>
    </row>
    <row r="232" spans="1:3">
      <c r="A232" s="1">
        <v>39778</v>
      </c>
      <c r="B232">
        <v>38.164260864257798</v>
      </c>
      <c r="C232">
        <v>14.0850629806518</v>
      </c>
    </row>
    <row r="233" spans="1:3">
      <c r="A233" s="1">
        <v>39780</v>
      </c>
      <c r="B233">
        <v>39.394031524658203</v>
      </c>
      <c r="C233">
        <v>14.5475254058837</v>
      </c>
    </row>
    <row r="234" spans="1:3">
      <c r="A234" s="1">
        <v>39783</v>
      </c>
      <c r="B234">
        <v>37.268013000488203</v>
      </c>
      <c r="C234">
        <v>13.759162902831999</v>
      </c>
    </row>
    <row r="235" spans="1:3">
      <c r="A235" s="1">
        <v>39784</v>
      </c>
      <c r="B235">
        <v>37.830768585205</v>
      </c>
      <c r="C235">
        <v>13.6350078582763</v>
      </c>
    </row>
    <row r="236" spans="1:3">
      <c r="A236" s="1">
        <v>39785</v>
      </c>
      <c r="B236">
        <v>37.869285583496001</v>
      </c>
      <c r="C236">
        <v>14.320946693420399</v>
      </c>
    </row>
    <row r="237" spans="1:3">
      <c r="A237" s="1">
        <v>39786</v>
      </c>
      <c r="B237">
        <v>36.6438598632812</v>
      </c>
      <c r="C237">
        <v>13.8895215988159</v>
      </c>
    </row>
    <row r="238" spans="1:3">
      <c r="A238" s="1">
        <v>39787</v>
      </c>
      <c r="B238">
        <v>37.372112274169901</v>
      </c>
      <c r="C238">
        <v>14.271288871765099</v>
      </c>
    </row>
    <row r="239" spans="1:3">
      <c r="A239" s="1">
        <v>39790</v>
      </c>
      <c r="B239">
        <v>37.533168792724602</v>
      </c>
      <c r="C239">
        <v>14.271288871765099</v>
      </c>
    </row>
    <row r="240" spans="1:3">
      <c r="A240" s="1">
        <v>39791</v>
      </c>
      <c r="B240">
        <v>36.601840972900298</v>
      </c>
      <c r="C240">
        <v>13.9143533706665</v>
      </c>
    </row>
    <row r="241" spans="1:3">
      <c r="A241" s="1">
        <v>39792</v>
      </c>
      <c r="B241">
        <v>37.120033264160099</v>
      </c>
      <c r="C241">
        <v>14.0633335113525</v>
      </c>
    </row>
    <row r="242" spans="1:3">
      <c r="A242" s="1">
        <v>39793</v>
      </c>
      <c r="B242">
        <v>36.909954071044901</v>
      </c>
      <c r="C242">
        <v>13.7250165939331</v>
      </c>
    </row>
    <row r="243" spans="1:3">
      <c r="A243" s="1">
        <v>39794</v>
      </c>
      <c r="B243">
        <v>36.433784484863203</v>
      </c>
      <c r="C243">
        <v>13.833655357360801</v>
      </c>
    </row>
    <row r="244" spans="1:3">
      <c r="A244" s="1">
        <v>39797</v>
      </c>
      <c r="B244">
        <v>36.706874847412102</v>
      </c>
      <c r="C244">
        <v>13.957801818847599</v>
      </c>
    </row>
    <row r="245" spans="1:3">
      <c r="A245" s="1">
        <v>39798</v>
      </c>
      <c r="B245">
        <v>37.960334777832003</v>
      </c>
      <c r="C245">
        <v>14.4202718734741</v>
      </c>
    </row>
    <row r="246" spans="1:3">
      <c r="A246" s="1">
        <v>39799</v>
      </c>
      <c r="B246">
        <v>38.044353485107401</v>
      </c>
      <c r="C246">
        <v>14.116095542907701</v>
      </c>
    </row>
    <row r="247" spans="1:3">
      <c r="A247" s="1">
        <v>39800</v>
      </c>
      <c r="B247">
        <v>38.310440063476499</v>
      </c>
      <c r="C247">
        <v>14.022986412048301</v>
      </c>
    </row>
    <row r="248" spans="1:3">
      <c r="A248" s="1">
        <v>39801</v>
      </c>
      <c r="B248">
        <v>37.876296997070298</v>
      </c>
      <c r="C248">
        <v>13.7902021408081</v>
      </c>
    </row>
    <row r="249" spans="1:3">
      <c r="A249" s="1">
        <v>39804</v>
      </c>
      <c r="B249">
        <v>37.638195037841797</v>
      </c>
      <c r="C249">
        <v>13.861588478088301</v>
      </c>
    </row>
    <row r="250" spans="1:3">
      <c r="A250" s="1">
        <v>39805</v>
      </c>
      <c r="B250">
        <v>37.9323120117187</v>
      </c>
      <c r="C250">
        <v>13.6474246978759</v>
      </c>
    </row>
    <row r="251" spans="1:3">
      <c r="A251" s="1">
        <v>39806</v>
      </c>
      <c r="B251">
        <v>38.191402435302699</v>
      </c>
      <c r="C251">
        <v>13.687770843505801</v>
      </c>
    </row>
    <row r="252" spans="1:3">
      <c r="A252" s="1">
        <v>39808</v>
      </c>
      <c r="B252">
        <v>38.2054023742675</v>
      </c>
      <c r="C252">
        <v>13.8367576599121</v>
      </c>
    </row>
    <row r="253" spans="1:3">
      <c r="A253" s="1">
        <v>39811</v>
      </c>
      <c r="B253">
        <v>37.862285614013601</v>
      </c>
      <c r="C253">
        <v>13.783992767333901</v>
      </c>
    </row>
    <row r="254" spans="1:3">
      <c r="A254" s="1">
        <v>39812</v>
      </c>
      <c r="B254">
        <v>38.429473876953097</v>
      </c>
      <c r="C254">
        <v>13.9453897476196</v>
      </c>
    </row>
    <row r="255" spans="1:3">
      <c r="A255" s="1">
        <v>39813</v>
      </c>
      <c r="B255">
        <v>38.352447509765597</v>
      </c>
      <c r="C255">
        <v>14.0509185791015</v>
      </c>
    </row>
    <row r="256" spans="1:3">
      <c r="A256" s="1">
        <v>39815</v>
      </c>
      <c r="B256">
        <v>39.192760467529297</v>
      </c>
      <c r="C256">
        <v>14.246462821960399</v>
      </c>
    </row>
    <row r="257" spans="1:3">
      <c r="A257" s="1">
        <v>39818</v>
      </c>
      <c r="B257">
        <v>38.933670043945298</v>
      </c>
      <c r="C257">
        <v>14.1036777496337</v>
      </c>
    </row>
    <row r="258" spans="1:3">
      <c r="A258" s="1">
        <v>39819</v>
      </c>
      <c r="B258">
        <v>39.0036811828613</v>
      </c>
      <c r="C258">
        <v>13.877107620239199</v>
      </c>
    </row>
    <row r="259" spans="1:3">
      <c r="A259" s="1">
        <v>39820</v>
      </c>
      <c r="B259">
        <v>37.736232757568303</v>
      </c>
      <c r="C259">
        <v>13.9453897476196</v>
      </c>
    </row>
    <row r="260" spans="1:3">
      <c r="A260" s="1">
        <v>39821</v>
      </c>
      <c r="B260">
        <v>37.288082122802699</v>
      </c>
      <c r="C260">
        <v>14.0416040420532</v>
      </c>
    </row>
    <row r="261" spans="1:3">
      <c r="A261" s="1">
        <v>39822</v>
      </c>
      <c r="B261">
        <v>36.811923980712798</v>
      </c>
      <c r="C261">
        <v>13.8429613113403</v>
      </c>
    </row>
    <row r="262" spans="1:3">
      <c r="A262" s="1">
        <v>39825</v>
      </c>
      <c r="B262">
        <v>35.985618591308501</v>
      </c>
      <c r="C262">
        <v>13.572934150695801</v>
      </c>
    </row>
    <row r="263" spans="1:3">
      <c r="A263" s="1">
        <v>39826</v>
      </c>
      <c r="B263">
        <v>36.573833465576101</v>
      </c>
      <c r="C263">
        <v>13.662940979003899</v>
      </c>
    </row>
    <row r="264" spans="1:3">
      <c r="A264" s="1">
        <v>39827</v>
      </c>
      <c r="B264">
        <v>35.7825508117675</v>
      </c>
      <c r="C264">
        <v>13.2284088134765</v>
      </c>
    </row>
    <row r="265" spans="1:3">
      <c r="A265" s="1">
        <v>39828</v>
      </c>
      <c r="B265">
        <v>35.383415222167898</v>
      </c>
      <c r="C265">
        <v>13.4580926895141</v>
      </c>
    </row>
    <row r="266" spans="1:3">
      <c r="A266" s="1">
        <v>39829</v>
      </c>
      <c r="B266">
        <v>35.971607208251903</v>
      </c>
      <c r="C266">
        <v>13.607076644897401</v>
      </c>
    </row>
    <row r="267" spans="1:3">
      <c r="A267" s="1">
        <v>39833</v>
      </c>
      <c r="B267">
        <v>35.313392639160099</v>
      </c>
      <c r="C267">
        <v>13.3091077804565</v>
      </c>
    </row>
    <row r="268" spans="1:3">
      <c r="A268" s="1">
        <v>39834</v>
      </c>
      <c r="B268">
        <v>35.320400238037102</v>
      </c>
      <c r="C268">
        <v>13.4363651275634</v>
      </c>
    </row>
    <row r="269" spans="1:3">
      <c r="A269" s="1">
        <v>39835</v>
      </c>
      <c r="B269">
        <v>35.257366180419901</v>
      </c>
      <c r="C269">
        <v>13.3835954666137</v>
      </c>
    </row>
    <row r="270" spans="1:3">
      <c r="A270" s="1">
        <v>39836</v>
      </c>
      <c r="B270">
        <v>35.446441650390597</v>
      </c>
      <c r="C270">
        <v>13.0980472564697</v>
      </c>
    </row>
    <row r="271" spans="1:3">
      <c r="A271" s="1">
        <v>39839</v>
      </c>
      <c r="B271">
        <v>36.006649017333899</v>
      </c>
      <c r="C271">
        <v>13.355664253234799</v>
      </c>
    </row>
    <row r="272" spans="1:3">
      <c r="A272" s="1">
        <v>39840</v>
      </c>
      <c r="B272">
        <v>36.160686492919901</v>
      </c>
      <c r="C272">
        <v>13.4487800598144</v>
      </c>
    </row>
    <row r="273" spans="1:3">
      <c r="A273" s="1">
        <v>39841</v>
      </c>
      <c r="B273">
        <v>36.440799713134702</v>
      </c>
      <c r="C273">
        <v>13.6132793426513</v>
      </c>
    </row>
    <row r="274" spans="1:3">
      <c r="A274" s="1">
        <v>39842</v>
      </c>
      <c r="B274">
        <v>36.188694000244098</v>
      </c>
      <c r="C274">
        <v>13.517066955566399</v>
      </c>
    </row>
    <row r="275" spans="1:3">
      <c r="A275" s="1">
        <v>39843</v>
      </c>
      <c r="B275">
        <v>35.173355102538999</v>
      </c>
      <c r="C275">
        <v>13.2594490051269</v>
      </c>
    </row>
    <row r="276" spans="1:3">
      <c r="A276" s="1">
        <v>39846</v>
      </c>
      <c r="B276">
        <v>35.103324890136697</v>
      </c>
      <c r="C276">
        <v>13.1104640960693</v>
      </c>
    </row>
    <row r="277" spans="1:3">
      <c r="A277" s="1">
        <v>39847</v>
      </c>
      <c r="B277">
        <v>36.076663970947202</v>
      </c>
      <c r="C277">
        <v>13.4456729888916</v>
      </c>
    </row>
    <row r="278" spans="1:3">
      <c r="A278" s="1">
        <v>39848</v>
      </c>
      <c r="B278">
        <v>36.055660247802699</v>
      </c>
      <c r="C278">
        <v>13.160128593444799</v>
      </c>
    </row>
    <row r="279" spans="1:3">
      <c r="A279" s="1">
        <v>39849</v>
      </c>
      <c r="B279">
        <v>36.657863616943303</v>
      </c>
      <c r="C279">
        <v>13.250134468078601</v>
      </c>
    </row>
    <row r="280" spans="1:3">
      <c r="A280" s="1">
        <v>39850</v>
      </c>
      <c r="B280">
        <v>37.484146118163999</v>
      </c>
      <c r="C280">
        <v>13.517066955566399</v>
      </c>
    </row>
    <row r="281" spans="1:3">
      <c r="A281" s="1">
        <v>39853</v>
      </c>
      <c r="B281">
        <v>36.013637542724602</v>
      </c>
      <c r="C281">
        <v>13.1321926116943</v>
      </c>
    </row>
    <row r="282" spans="1:3">
      <c r="A282" s="1">
        <v>39854</v>
      </c>
      <c r="B282">
        <v>34.683170318603501</v>
      </c>
      <c r="C282">
        <v>12.6231679916381</v>
      </c>
    </row>
    <row r="283" spans="1:3">
      <c r="A283" s="1">
        <v>39855</v>
      </c>
      <c r="B283">
        <v>35.439434051513601</v>
      </c>
      <c r="C283">
        <v>12.8093957901</v>
      </c>
    </row>
    <row r="284" spans="1:3">
      <c r="A284" s="1">
        <v>39856</v>
      </c>
      <c r="B284">
        <v>36.4127807617187</v>
      </c>
      <c r="C284">
        <v>13.777782440185501</v>
      </c>
    </row>
    <row r="285" spans="1:3">
      <c r="A285" s="1">
        <v>39857</v>
      </c>
      <c r="B285">
        <v>36.811923980712798</v>
      </c>
      <c r="C285">
        <v>13.610179901123001</v>
      </c>
    </row>
    <row r="286" spans="1:3">
      <c r="A286" s="1">
        <v>39861</v>
      </c>
      <c r="B286">
        <v>36.286731719970703</v>
      </c>
      <c r="C286">
        <v>13.222205162048301</v>
      </c>
    </row>
    <row r="287" spans="1:3">
      <c r="A287" s="1">
        <v>39862</v>
      </c>
      <c r="B287">
        <v>36.083648681640597</v>
      </c>
      <c r="C287">
        <v>13.247036933898899</v>
      </c>
    </row>
    <row r="288" spans="1:3">
      <c r="A288" s="1">
        <v>39863</v>
      </c>
      <c r="B288">
        <v>36.552822113037102</v>
      </c>
      <c r="C288">
        <v>13.439468383789</v>
      </c>
    </row>
    <row r="289" spans="1:3">
      <c r="A289" s="1">
        <v>39864</v>
      </c>
      <c r="B289">
        <v>36.0276489257812</v>
      </c>
      <c r="C289">
        <v>13.296692848205501</v>
      </c>
    </row>
    <row r="290" spans="1:3">
      <c r="A290" s="1">
        <v>39867</v>
      </c>
      <c r="B290">
        <v>35.124313354492102</v>
      </c>
      <c r="C290">
        <v>13.0639095306396</v>
      </c>
    </row>
    <row r="291" spans="1:3">
      <c r="A291" s="1">
        <v>39868</v>
      </c>
      <c r="B291">
        <v>36.188694000244098</v>
      </c>
      <c r="C291">
        <v>13.364982604980399</v>
      </c>
    </row>
    <row r="292" spans="1:3">
      <c r="A292" s="1">
        <v>39869</v>
      </c>
      <c r="B292">
        <v>35.516464233398402</v>
      </c>
      <c r="C292">
        <v>13.1508169174194</v>
      </c>
    </row>
    <row r="293" spans="1:3">
      <c r="A293" s="1">
        <v>39870</v>
      </c>
      <c r="B293">
        <v>34.606143951416001</v>
      </c>
      <c r="C293">
        <v>12.747320175170801</v>
      </c>
    </row>
    <row r="294" spans="1:3">
      <c r="A294" s="1">
        <v>39871</v>
      </c>
      <c r="B294">
        <v>33.709815979003899</v>
      </c>
      <c r="C294">
        <v>12.6790342330932</v>
      </c>
    </row>
    <row r="295" spans="1:3">
      <c r="A295" s="1">
        <v>39874</v>
      </c>
      <c r="B295">
        <v>32.806510925292898</v>
      </c>
      <c r="C295">
        <v>12.3189945220947</v>
      </c>
    </row>
    <row r="296" spans="1:3">
      <c r="A296" s="1">
        <v>39875</v>
      </c>
      <c r="B296">
        <v>33.940921783447202</v>
      </c>
      <c r="C296">
        <v>12.052069664001399</v>
      </c>
    </row>
    <row r="297" spans="1:3">
      <c r="A297" s="1">
        <v>39876</v>
      </c>
      <c r="B297">
        <v>33.626552581787102</v>
      </c>
      <c r="C297">
        <v>12.33141040802</v>
      </c>
    </row>
    <row r="298" spans="1:3">
      <c r="A298" s="1">
        <v>39877</v>
      </c>
      <c r="B298">
        <v>32.475048065185497</v>
      </c>
      <c r="C298">
        <v>11.7478942871093</v>
      </c>
    </row>
    <row r="299" spans="1:3">
      <c r="A299" s="1">
        <v>39878</v>
      </c>
      <c r="B299">
        <v>33.2733154296875</v>
      </c>
      <c r="C299">
        <v>12.135869026184</v>
      </c>
    </row>
    <row r="300" spans="1:3">
      <c r="A300" s="1">
        <v>39881</v>
      </c>
      <c r="B300">
        <v>32.362022399902301</v>
      </c>
      <c r="C300">
        <v>12.027237892150801</v>
      </c>
    </row>
    <row r="301" spans="1:3">
      <c r="A301" s="1">
        <v>39882</v>
      </c>
      <c r="B301">
        <v>32.920093536376903</v>
      </c>
      <c r="C301">
        <v>12.1544942855834</v>
      </c>
    </row>
    <row r="302" spans="1:3">
      <c r="A302" s="1">
        <v>39883</v>
      </c>
      <c r="B302">
        <v>33.499366760253899</v>
      </c>
      <c r="C302">
        <v>12.5444269180297</v>
      </c>
    </row>
    <row r="303" spans="1:3">
      <c r="A303" s="1">
        <v>39884</v>
      </c>
      <c r="B303">
        <v>34.113986968994098</v>
      </c>
      <c r="C303">
        <v>12.947042465209901</v>
      </c>
    </row>
    <row r="304" spans="1:3">
      <c r="A304" s="1">
        <v>39885</v>
      </c>
      <c r="B304">
        <v>34.347110748291001</v>
      </c>
      <c r="C304">
        <v>13.0675058364868</v>
      </c>
    </row>
    <row r="305" spans="1:3">
      <c r="A305" s="1">
        <v>39888</v>
      </c>
      <c r="B305">
        <v>34.4248237609863</v>
      </c>
      <c r="C305">
        <v>13.083355903625399</v>
      </c>
    </row>
    <row r="306" spans="1:3">
      <c r="A306" s="1">
        <v>39889</v>
      </c>
      <c r="B306">
        <v>34.792182922363203</v>
      </c>
      <c r="C306">
        <v>13.1404199600219</v>
      </c>
    </row>
    <row r="307" spans="1:3">
      <c r="A307" s="1">
        <v>39890</v>
      </c>
      <c r="B307">
        <v>34.947593688964801</v>
      </c>
      <c r="C307">
        <v>13.2038269042968</v>
      </c>
    </row>
    <row r="308" spans="1:3">
      <c r="A308" s="1">
        <v>39891</v>
      </c>
      <c r="B308">
        <v>34.608489990234297</v>
      </c>
      <c r="C308">
        <v>13.371842384338301</v>
      </c>
    </row>
    <row r="309" spans="1:3">
      <c r="A309" s="1">
        <v>39892</v>
      </c>
      <c r="B309">
        <v>35.336143493652301</v>
      </c>
      <c r="C309">
        <v>13.517675399780201</v>
      </c>
    </row>
    <row r="310" spans="1:3">
      <c r="A310" s="1">
        <v>39895</v>
      </c>
      <c r="B310">
        <v>36.473495483398402</v>
      </c>
      <c r="C310">
        <v>13.9931993484497</v>
      </c>
    </row>
    <row r="311" spans="1:3">
      <c r="A311" s="1">
        <v>39896</v>
      </c>
      <c r="B311">
        <v>36.402843475341797</v>
      </c>
      <c r="C311">
        <v>13.955161094665501</v>
      </c>
    </row>
    <row r="312" spans="1:3">
      <c r="A312" s="1">
        <v>39897</v>
      </c>
      <c r="B312">
        <v>37.066909790038999</v>
      </c>
      <c r="C312">
        <v>14.186582565307599</v>
      </c>
    </row>
    <row r="313" spans="1:3">
      <c r="A313" s="1">
        <v>39898</v>
      </c>
      <c r="B313">
        <v>37.554344177246001</v>
      </c>
      <c r="C313">
        <v>14.218289375305099</v>
      </c>
    </row>
    <row r="314" spans="1:3">
      <c r="A314" s="1">
        <v>39899</v>
      </c>
      <c r="B314">
        <v>37.010391235351499</v>
      </c>
      <c r="C314">
        <v>14.297538757324199</v>
      </c>
    </row>
    <row r="315" spans="1:3">
      <c r="A315" s="1">
        <v>39902</v>
      </c>
      <c r="B315">
        <v>36.586524963378899</v>
      </c>
      <c r="C315">
        <v>13.9234552383422</v>
      </c>
    </row>
    <row r="316" spans="1:3">
      <c r="A316" s="1">
        <v>39903</v>
      </c>
      <c r="B316">
        <v>36.367538452148402</v>
      </c>
      <c r="C316">
        <v>13.932969093322701</v>
      </c>
    </row>
    <row r="317" spans="1:3">
      <c r="A317" s="1">
        <v>39904</v>
      </c>
      <c r="B317">
        <v>36.890296936035099</v>
      </c>
      <c r="C317">
        <v>14.2214584350585</v>
      </c>
    </row>
    <row r="318" spans="1:3">
      <c r="A318" s="1">
        <v>39905</v>
      </c>
      <c r="B318">
        <v>37.342414855957003</v>
      </c>
      <c r="C318">
        <v>14.373623847961399</v>
      </c>
    </row>
    <row r="319" spans="1:3">
      <c r="A319" s="1">
        <v>39906</v>
      </c>
      <c r="B319">
        <v>37.222324371337798</v>
      </c>
      <c r="C319">
        <v>14.256328582763601</v>
      </c>
    </row>
    <row r="320" spans="1:3">
      <c r="A320" s="1">
        <v>39909</v>
      </c>
      <c r="B320">
        <v>37.2081909179687</v>
      </c>
      <c r="C320">
        <v>14.262665748596101</v>
      </c>
    </row>
    <row r="321" spans="1:3">
      <c r="A321" s="1">
        <v>39910</v>
      </c>
      <c r="B321">
        <v>36.911491394042898</v>
      </c>
      <c r="C321">
        <v>14.145368576049799</v>
      </c>
    </row>
    <row r="322" spans="1:3">
      <c r="A322" s="1">
        <v>39911</v>
      </c>
      <c r="B322">
        <v>36.9326782226562</v>
      </c>
      <c r="C322">
        <v>14.262665748596101</v>
      </c>
    </row>
    <row r="323" spans="1:3">
      <c r="A323" s="1">
        <v>39912</v>
      </c>
      <c r="B323">
        <v>36.805530548095703</v>
      </c>
      <c r="C323">
        <v>14.262665748596101</v>
      </c>
    </row>
    <row r="324" spans="1:3">
      <c r="A324" s="1">
        <v>39916</v>
      </c>
      <c r="B324">
        <v>36.374603271484297</v>
      </c>
      <c r="C324">
        <v>14.180239677429199</v>
      </c>
    </row>
    <row r="325" spans="1:3">
      <c r="A325" s="1">
        <v>39917</v>
      </c>
      <c r="B325">
        <v>35.7176094055175</v>
      </c>
      <c r="C325">
        <v>14.015393257141101</v>
      </c>
    </row>
    <row r="326" spans="1:3">
      <c r="A326" s="1">
        <v>39918</v>
      </c>
      <c r="B326">
        <v>36.763149261474602</v>
      </c>
      <c r="C326">
        <v>14.275346755981399</v>
      </c>
    </row>
    <row r="327" spans="1:3">
      <c r="A327" s="1">
        <v>39919</v>
      </c>
      <c r="B327">
        <v>36.706626892089801</v>
      </c>
      <c r="C327">
        <v>14.297538757324199</v>
      </c>
    </row>
    <row r="328" spans="1:3">
      <c r="A328" s="1">
        <v>39920</v>
      </c>
      <c r="B328">
        <v>36.826725006103501</v>
      </c>
      <c r="C328">
        <v>14.2721738815307</v>
      </c>
    </row>
    <row r="329" spans="1:3">
      <c r="A329" s="1">
        <v>39923</v>
      </c>
      <c r="B329">
        <v>35.22310256958</v>
      </c>
      <c r="C329">
        <v>14.053433418273899</v>
      </c>
    </row>
    <row r="330" spans="1:3">
      <c r="A330" s="1">
        <v>39924</v>
      </c>
      <c r="B330">
        <v>34.862815856933501</v>
      </c>
      <c r="C330">
        <v>13.660330772399901</v>
      </c>
    </row>
    <row r="331" spans="1:3">
      <c r="A331" s="1">
        <v>39925</v>
      </c>
      <c r="B331">
        <v>33.895008087158203</v>
      </c>
      <c r="C331">
        <v>13.6096086502075</v>
      </c>
    </row>
    <row r="332" spans="1:3">
      <c r="A332" s="1">
        <v>39926</v>
      </c>
      <c r="B332">
        <v>33.831405639648402</v>
      </c>
      <c r="C332">
        <v>13.6064386367797</v>
      </c>
    </row>
    <row r="333" spans="1:3">
      <c r="A333" s="1">
        <v>39927</v>
      </c>
      <c r="B333">
        <v>34.276462554931598</v>
      </c>
      <c r="C333">
        <v>13.5652294158935</v>
      </c>
    </row>
    <row r="334" spans="1:3">
      <c r="A334" s="1">
        <v>39930</v>
      </c>
      <c r="B334">
        <v>34.693267822265597</v>
      </c>
      <c r="C334">
        <v>13.3908672332763</v>
      </c>
    </row>
    <row r="335" spans="1:3">
      <c r="A335" s="1">
        <v>39931</v>
      </c>
      <c r="B335">
        <v>35.350261688232401</v>
      </c>
      <c r="C335">
        <v>13.403547286987299</v>
      </c>
    </row>
    <row r="336" spans="1:3">
      <c r="A336" s="1">
        <v>39932</v>
      </c>
      <c r="B336">
        <v>35.639907836913999</v>
      </c>
      <c r="C336">
        <v>13.5398616790771</v>
      </c>
    </row>
    <row r="337" spans="1:3">
      <c r="A337" s="1">
        <v>39933</v>
      </c>
      <c r="B337">
        <v>35.152446746826101</v>
      </c>
      <c r="C337">
        <v>13.6476516723632</v>
      </c>
    </row>
    <row r="338" spans="1:3">
      <c r="A338" s="1">
        <v>39934</v>
      </c>
      <c r="B338">
        <v>35.173641204833899</v>
      </c>
      <c r="C338">
        <v>13.4637804031372</v>
      </c>
    </row>
    <row r="339" spans="1:3">
      <c r="A339" s="1">
        <v>39937</v>
      </c>
      <c r="B339">
        <v>34.686214447021399</v>
      </c>
      <c r="C339">
        <v>13.685692787170399</v>
      </c>
    </row>
    <row r="340" spans="1:3">
      <c r="A340" s="1">
        <v>39938</v>
      </c>
      <c r="B340">
        <v>35.131256103515597</v>
      </c>
      <c r="C340">
        <v>13.676179885864199</v>
      </c>
    </row>
    <row r="341" spans="1:3">
      <c r="A341" s="1">
        <v>39939</v>
      </c>
      <c r="B341">
        <v>35.124195098876903</v>
      </c>
      <c r="C341">
        <v>13.612779617309499</v>
      </c>
    </row>
    <row r="342" spans="1:3">
      <c r="A342" s="1">
        <v>39940</v>
      </c>
      <c r="B342">
        <v>34.961715698242102</v>
      </c>
      <c r="C342">
        <v>13.5683984756469</v>
      </c>
    </row>
    <row r="343" spans="1:3">
      <c r="A343" s="1">
        <v>39941</v>
      </c>
      <c r="B343">
        <v>35.145397186279297</v>
      </c>
      <c r="C343">
        <v>13.6064386367797</v>
      </c>
    </row>
    <row r="344" spans="1:3">
      <c r="A344" s="1">
        <v>39944</v>
      </c>
      <c r="B344">
        <v>35.025295257568303</v>
      </c>
      <c r="C344">
        <v>13.552547454833901</v>
      </c>
    </row>
    <row r="345" spans="1:3">
      <c r="A345" s="1">
        <v>39945</v>
      </c>
      <c r="B345">
        <v>34.806297302246001</v>
      </c>
      <c r="C345">
        <v>14.075626373291</v>
      </c>
    </row>
    <row r="346" spans="1:3">
      <c r="A346" s="1">
        <v>39946</v>
      </c>
      <c r="B346">
        <v>35.0818061828613</v>
      </c>
      <c r="C346">
        <v>13.831521987915</v>
      </c>
    </row>
    <row r="347" spans="1:3">
      <c r="A347" s="1">
        <v>39947</v>
      </c>
      <c r="B347">
        <v>35.936599731445298</v>
      </c>
      <c r="C347">
        <v>14.234133720397899</v>
      </c>
    </row>
    <row r="348" spans="1:3">
      <c r="A348" s="1">
        <v>39948</v>
      </c>
      <c r="B348">
        <v>35.548053741455</v>
      </c>
      <c r="C348">
        <v>14.2531614303588</v>
      </c>
    </row>
    <row r="349" spans="1:3">
      <c r="A349" s="1">
        <v>39951</v>
      </c>
      <c r="B349">
        <v>36.148544311523402</v>
      </c>
      <c r="C349">
        <v>14.6050462722778</v>
      </c>
    </row>
    <row r="350" spans="1:3">
      <c r="A350" s="1">
        <v>39952</v>
      </c>
      <c r="B350">
        <v>36.459373474121001</v>
      </c>
      <c r="C350">
        <v>14.785748481750399</v>
      </c>
    </row>
    <row r="351" spans="1:3">
      <c r="A351" s="1">
        <v>39953</v>
      </c>
      <c r="B351">
        <v>36.777278900146399</v>
      </c>
      <c r="C351">
        <v>14.8998718261718</v>
      </c>
    </row>
    <row r="352" spans="1:3">
      <c r="A352" s="1">
        <v>39954</v>
      </c>
      <c r="B352">
        <v>36.374603271484297</v>
      </c>
      <c r="C352">
        <v>14.79843044281</v>
      </c>
    </row>
    <row r="353" spans="1:3">
      <c r="A353" s="1">
        <v>39955</v>
      </c>
      <c r="B353">
        <v>36.431098937988203</v>
      </c>
      <c r="C353">
        <v>14.994981765746999</v>
      </c>
    </row>
    <row r="354" spans="1:3">
      <c r="A354" s="1">
        <v>39959</v>
      </c>
      <c r="B354">
        <v>36.226249694824197</v>
      </c>
      <c r="C354">
        <v>14.966446876525801</v>
      </c>
    </row>
    <row r="355" spans="1:3">
      <c r="A355" s="1">
        <v>39960</v>
      </c>
      <c r="B355">
        <v>35.329078674316399</v>
      </c>
      <c r="C355">
        <v>14.782574653625399</v>
      </c>
    </row>
    <row r="356" spans="1:3">
      <c r="A356" s="1">
        <v>39961</v>
      </c>
      <c r="B356">
        <v>36.042572021484297</v>
      </c>
      <c r="C356">
        <v>14.868177413940399</v>
      </c>
    </row>
    <row r="357" spans="1:3">
      <c r="A357" s="1">
        <v>39962</v>
      </c>
      <c r="B357">
        <v>36.770206451416001</v>
      </c>
      <c r="C357">
        <v>15.584631919860801</v>
      </c>
    </row>
    <row r="358" spans="1:3">
      <c r="A358" s="1">
        <v>39965</v>
      </c>
      <c r="B358">
        <v>37.533153533935497</v>
      </c>
      <c r="C358">
        <v>15.540253639221101</v>
      </c>
    </row>
    <row r="359" spans="1:3">
      <c r="A359" s="1">
        <v>39966</v>
      </c>
      <c r="B359">
        <v>39.115581512451101</v>
      </c>
      <c r="C359">
        <v>15.743149757385201</v>
      </c>
    </row>
    <row r="360" spans="1:3">
      <c r="A360" s="1">
        <v>39967</v>
      </c>
      <c r="B360">
        <v>38.652633666992102</v>
      </c>
      <c r="C360">
        <v>15.562445640563899</v>
      </c>
    </row>
    <row r="361" spans="1:3">
      <c r="A361" s="1">
        <v>39968</v>
      </c>
      <c r="B361">
        <v>39.044357299804602</v>
      </c>
      <c r="C361">
        <v>15.7748460769653</v>
      </c>
    </row>
    <row r="362" spans="1:3">
      <c r="A362" s="1">
        <v>39969</v>
      </c>
      <c r="B362">
        <v>39.087100982666001</v>
      </c>
      <c r="C362">
        <v>15.6733961105346</v>
      </c>
    </row>
    <row r="363" spans="1:3">
      <c r="A363" s="1">
        <v>39972</v>
      </c>
      <c r="B363">
        <v>38.567173004150298</v>
      </c>
      <c r="C363">
        <v>15.654380798339799</v>
      </c>
    </row>
    <row r="364" spans="1:3">
      <c r="A364" s="1">
        <v>39973</v>
      </c>
      <c r="B364">
        <v>38.089973449707003</v>
      </c>
      <c r="C364">
        <v>15.562445640563899</v>
      </c>
    </row>
    <row r="365" spans="1:3">
      <c r="A365" s="1">
        <v>39974</v>
      </c>
      <c r="B365">
        <v>38.004501342773402</v>
      </c>
      <c r="C365">
        <v>15.3468675613403</v>
      </c>
    </row>
    <row r="366" spans="1:3">
      <c r="A366" s="1">
        <v>39975</v>
      </c>
      <c r="B366">
        <v>37.726741790771399</v>
      </c>
      <c r="C366">
        <v>15.666123390197701</v>
      </c>
    </row>
    <row r="367" spans="1:3">
      <c r="A367" s="1">
        <v>39976</v>
      </c>
      <c r="B367">
        <v>38.2110595703125</v>
      </c>
      <c r="C367">
        <v>15.766095161437899</v>
      </c>
    </row>
    <row r="368" spans="1:3">
      <c r="A368" s="1">
        <v>39979</v>
      </c>
      <c r="B368">
        <v>37.662643432617102</v>
      </c>
      <c r="C368">
        <v>15.5145597457885</v>
      </c>
    </row>
    <row r="369" spans="1:3">
      <c r="A369" s="1">
        <v>39980</v>
      </c>
      <c r="B369">
        <v>37.278034210205</v>
      </c>
      <c r="C369">
        <v>15.4242658615112</v>
      </c>
    </row>
    <row r="370" spans="1:3">
      <c r="A370" s="1">
        <v>39981</v>
      </c>
      <c r="B370">
        <v>37.726741790771399</v>
      </c>
      <c r="C370">
        <v>15.456513404846101</v>
      </c>
    </row>
    <row r="371" spans="1:3">
      <c r="A371" s="1">
        <v>39982</v>
      </c>
      <c r="B371">
        <v>38.809318542480398</v>
      </c>
      <c r="C371">
        <v>15.978935241699199</v>
      </c>
    </row>
    <row r="372" spans="1:3">
      <c r="A372" s="1">
        <v>39983</v>
      </c>
      <c r="B372">
        <v>38.396244049072202</v>
      </c>
      <c r="C372">
        <v>15.7402954101562</v>
      </c>
    </row>
    <row r="373" spans="1:3">
      <c r="A373" s="1">
        <v>39986</v>
      </c>
      <c r="B373">
        <v>38.097095489501903</v>
      </c>
      <c r="C373">
        <v>15.4758586883544</v>
      </c>
    </row>
    <row r="374" spans="1:3">
      <c r="A374" s="1">
        <v>39987</v>
      </c>
      <c r="B374">
        <v>37.755233764648402</v>
      </c>
      <c r="C374">
        <v>15.4145898818969</v>
      </c>
    </row>
    <row r="375" spans="1:3">
      <c r="A375" s="1">
        <v>39988</v>
      </c>
      <c r="B375">
        <v>37.7837104797363</v>
      </c>
      <c r="C375">
        <v>15.3178453445434</v>
      </c>
    </row>
    <row r="376" spans="1:3">
      <c r="A376" s="1">
        <v>39989</v>
      </c>
      <c r="B376">
        <v>38.453227996826101</v>
      </c>
      <c r="C376">
        <v>15.4307136535644</v>
      </c>
    </row>
    <row r="377" spans="1:3">
      <c r="A377" s="1">
        <v>39990</v>
      </c>
      <c r="B377">
        <v>38.958892822265597</v>
      </c>
      <c r="C377">
        <v>15.5210103988647</v>
      </c>
    </row>
    <row r="378" spans="1:3">
      <c r="A378" s="1">
        <v>39993</v>
      </c>
      <c r="B378">
        <v>39.058597564697202</v>
      </c>
      <c r="C378">
        <v>15.572612762451101</v>
      </c>
    </row>
    <row r="379" spans="1:3">
      <c r="A379" s="1">
        <v>39994</v>
      </c>
      <c r="B379">
        <v>39.144069671630803</v>
      </c>
      <c r="C379">
        <v>15.4758586883544</v>
      </c>
    </row>
    <row r="380" spans="1:3">
      <c r="A380" s="1">
        <v>39995</v>
      </c>
      <c r="B380">
        <v>40.2551460266113</v>
      </c>
      <c r="C380">
        <v>15.859615325927701</v>
      </c>
    </row>
    <row r="381" spans="1:3">
      <c r="A381" s="1">
        <v>39996</v>
      </c>
      <c r="B381">
        <v>40.134063720703097</v>
      </c>
      <c r="C381">
        <v>15.7628726959228</v>
      </c>
    </row>
    <row r="382" spans="1:3">
      <c r="A382" s="1">
        <v>40000</v>
      </c>
      <c r="B382">
        <v>40.689613342285099</v>
      </c>
      <c r="C382">
        <v>15.801570892333901</v>
      </c>
    </row>
    <row r="383" spans="1:3">
      <c r="A383" s="1">
        <v>40001</v>
      </c>
      <c r="B383">
        <v>39.884788513183501</v>
      </c>
      <c r="C383">
        <v>15.685476303100501</v>
      </c>
    </row>
    <row r="384" spans="1:3">
      <c r="A384" s="1">
        <v>40002</v>
      </c>
      <c r="B384">
        <v>39.065723419189403</v>
      </c>
      <c r="C384">
        <v>15.643550872802701</v>
      </c>
    </row>
    <row r="385" spans="1:3">
      <c r="A385" s="1">
        <v>40003</v>
      </c>
      <c r="B385">
        <v>38.944648742675703</v>
      </c>
      <c r="C385">
        <v>15.7080516815185</v>
      </c>
    </row>
    <row r="386" spans="1:3">
      <c r="A386" s="1">
        <v>40004</v>
      </c>
      <c r="B386">
        <v>38.966014862060497</v>
      </c>
      <c r="C386">
        <v>15.5790557861328</v>
      </c>
    </row>
    <row r="387" spans="1:3">
      <c r="A387" s="1">
        <v>40007</v>
      </c>
      <c r="B387">
        <v>39.649745941162102</v>
      </c>
      <c r="C387">
        <v>15.8176937103271</v>
      </c>
    </row>
    <row r="388" spans="1:3">
      <c r="A388" s="1">
        <v>40008</v>
      </c>
      <c r="B388">
        <v>39.948890686035099</v>
      </c>
      <c r="C388">
        <v>15.8950901031494</v>
      </c>
    </row>
    <row r="389" spans="1:3">
      <c r="A389" s="1">
        <v>40009</v>
      </c>
      <c r="B389">
        <v>40.796443939208899</v>
      </c>
      <c r="C389">
        <v>16.294965744018501</v>
      </c>
    </row>
    <row r="390" spans="1:3">
      <c r="A390" s="1">
        <v>40010</v>
      </c>
      <c r="B390">
        <v>40.782196044921797</v>
      </c>
      <c r="C390">
        <v>16.378805160522401</v>
      </c>
    </row>
    <row r="391" spans="1:3">
      <c r="A391" s="1">
        <v>40011</v>
      </c>
      <c r="B391">
        <v>40.354862213134702</v>
      </c>
      <c r="C391">
        <v>16.227245330810501</v>
      </c>
    </row>
    <row r="392" spans="1:3">
      <c r="A392" s="1">
        <v>40014</v>
      </c>
      <c r="B392">
        <v>39.941764831542898</v>
      </c>
      <c r="C392">
        <v>16.456203460693299</v>
      </c>
    </row>
    <row r="393" spans="1:3">
      <c r="A393" s="1">
        <v>40015</v>
      </c>
      <c r="B393">
        <v>40.169685363769503</v>
      </c>
      <c r="C393">
        <v>16.236921310424801</v>
      </c>
    </row>
    <row r="394" spans="1:3">
      <c r="A394" s="1">
        <v>40016</v>
      </c>
      <c r="B394">
        <v>39.806453704833899</v>
      </c>
      <c r="C394">
        <v>15.8434944152832</v>
      </c>
    </row>
    <row r="395" spans="1:3">
      <c r="A395" s="1">
        <v>40017</v>
      </c>
      <c r="B395">
        <v>40.240898132324197</v>
      </c>
      <c r="C395">
        <v>15.859615325927701</v>
      </c>
    </row>
    <row r="396" spans="1:3">
      <c r="A396" s="1">
        <v>40018</v>
      </c>
      <c r="B396">
        <v>40.176815032958899</v>
      </c>
      <c r="C396">
        <v>15.9176588058471</v>
      </c>
    </row>
    <row r="397" spans="1:3">
      <c r="A397" s="1">
        <v>40021</v>
      </c>
      <c r="B397">
        <v>40.126956939697202</v>
      </c>
      <c r="C397">
        <v>15.9692640304565</v>
      </c>
    </row>
    <row r="398" spans="1:3">
      <c r="A398" s="1">
        <v>40022</v>
      </c>
      <c r="B398">
        <v>39.863414764404297</v>
      </c>
      <c r="C398">
        <v>15.9273376464843</v>
      </c>
    </row>
    <row r="399" spans="1:3">
      <c r="A399" s="1">
        <v>40023</v>
      </c>
      <c r="B399">
        <v>40.119831085205</v>
      </c>
      <c r="C399">
        <v>15.8918647766113</v>
      </c>
    </row>
    <row r="400" spans="1:3">
      <c r="A400" s="1">
        <v>40024</v>
      </c>
      <c r="B400">
        <v>40.312126159667898</v>
      </c>
      <c r="C400">
        <v>16.017629623413001</v>
      </c>
    </row>
    <row r="401" spans="1:3">
      <c r="A401" s="1">
        <v>40025</v>
      </c>
      <c r="B401">
        <v>40.418968200683501</v>
      </c>
      <c r="C401">
        <v>16.0724563598632</v>
      </c>
    </row>
    <row r="402" spans="1:3">
      <c r="A402" s="1">
        <v>40028</v>
      </c>
      <c r="B402">
        <v>40.027233123779297</v>
      </c>
      <c r="C402">
        <v>15.9950561523437</v>
      </c>
    </row>
    <row r="403" spans="1:3">
      <c r="A403" s="1">
        <v>40029</v>
      </c>
      <c r="B403">
        <v>42.064208984375</v>
      </c>
      <c r="C403">
        <v>15.962810516357401</v>
      </c>
    </row>
    <row r="404" spans="1:3">
      <c r="A404" s="1">
        <v>40030</v>
      </c>
      <c r="B404">
        <v>41.587020874023402</v>
      </c>
      <c r="C404">
        <v>15.8563928604125</v>
      </c>
    </row>
    <row r="405" spans="1:3">
      <c r="A405" s="1">
        <v>40031</v>
      </c>
      <c r="B405">
        <v>41.188175201416001</v>
      </c>
      <c r="C405">
        <v>15.9273376464843</v>
      </c>
    </row>
    <row r="406" spans="1:3">
      <c r="A406" s="1">
        <v>40032</v>
      </c>
      <c r="B406">
        <v>41.124073028564403</v>
      </c>
      <c r="C406">
        <v>15.9112148284912</v>
      </c>
    </row>
    <row r="407" spans="1:3">
      <c r="A407" s="1">
        <v>40035</v>
      </c>
      <c r="B407">
        <v>40.889026641845703</v>
      </c>
      <c r="C407">
        <v>15.9434604644775</v>
      </c>
    </row>
    <row r="408" spans="1:3">
      <c r="A408" s="1">
        <v>40036</v>
      </c>
      <c r="B408">
        <v>40.532917022705</v>
      </c>
      <c r="C408">
        <v>15.814466476440399</v>
      </c>
    </row>
    <row r="409" spans="1:3">
      <c r="A409" s="1">
        <v>40037</v>
      </c>
      <c r="B409">
        <v>40.369113922119098</v>
      </c>
      <c r="C409">
        <v>15.627427101135201</v>
      </c>
    </row>
    <row r="410" spans="1:3">
      <c r="A410" s="1">
        <v>40038</v>
      </c>
      <c r="B410">
        <v>40.233772277832003</v>
      </c>
      <c r="C410">
        <v>15.517784118652299</v>
      </c>
    </row>
    <row r="411" spans="1:3">
      <c r="A411" s="1">
        <v>40039</v>
      </c>
      <c r="B411">
        <v>40.283634185791001</v>
      </c>
      <c r="C411">
        <v>15.630657196044901</v>
      </c>
    </row>
    <row r="412" spans="1:3">
      <c r="A412" s="1">
        <v>40042</v>
      </c>
      <c r="B412">
        <v>40.012996673583899</v>
      </c>
      <c r="C412">
        <v>15.7048273086547</v>
      </c>
    </row>
    <row r="413" spans="1:3">
      <c r="A413" s="1">
        <v>40043</v>
      </c>
      <c r="B413">
        <v>40.0557250976562</v>
      </c>
      <c r="C413">
        <v>15.675797462463301</v>
      </c>
    </row>
    <row r="414" spans="1:3">
      <c r="A414" s="1">
        <v>40044</v>
      </c>
      <c r="B414">
        <v>40.205295562744098</v>
      </c>
      <c r="C414">
        <v>15.9176588058471</v>
      </c>
    </row>
    <row r="415" spans="1:3">
      <c r="A415" s="1">
        <v>40045</v>
      </c>
      <c r="B415">
        <v>40.483058929443303</v>
      </c>
      <c r="C415">
        <v>15.9370164871215</v>
      </c>
    </row>
    <row r="416" spans="1:3">
      <c r="A416" s="1">
        <v>40046</v>
      </c>
      <c r="B416">
        <v>40.946018218994098</v>
      </c>
      <c r="C416">
        <v>16.095027923583899</v>
      </c>
    </row>
    <row r="417" spans="1:3">
      <c r="A417" s="1">
        <v>40049</v>
      </c>
      <c r="B417">
        <v>40.917522430419901</v>
      </c>
      <c r="C417">
        <v>15.8209180831909</v>
      </c>
    </row>
    <row r="418" spans="1:3">
      <c r="A418" s="1">
        <v>40050</v>
      </c>
      <c r="B418">
        <v>40.803562164306598</v>
      </c>
      <c r="C418">
        <v>15.717724800109799</v>
      </c>
    </row>
    <row r="419" spans="1:3">
      <c r="A419" s="1">
        <v>40051</v>
      </c>
      <c r="B419">
        <v>41.2237739562988</v>
      </c>
      <c r="C419">
        <v>15.859615325927701</v>
      </c>
    </row>
    <row r="420" spans="1:3">
      <c r="A420" s="1">
        <v>40052</v>
      </c>
      <c r="B420">
        <v>41.138313293457003</v>
      </c>
      <c r="C420">
        <v>15.9434604644775</v>
      </c>
    </row>
    <row r="421" spans="1:3">
      <c r="A421" s="1">
        <v>40053</v>
      </c>
      <c r="B421">
        <v>40.426082611083899</v>
      </c>
      <c r="C421">
        <v>15.8209180831909</v>
      </c>
    </row>
    <row r="422" spans="1:3">
      <c r="A422" s="1">
        <v>40056</v>
      </c>
      <c r="B422">
        <v>40.361976623535099</v>
      </c>
      <c r="C422">
        <v>15.7274017333984</v>
      </c>
    </row>
    <row r="423" spans="1:3">
      <c r="A423" s="1">
        <v>40057</v>
      </c>
      <c r="B423">
        <v>40.062850952148402</v>
      </c>
      <c r="C423">
        <v>15.649999618530201</v>
      </c>
    </row>
    <row r="424" spans="1:3">
      <c r="A424" s="1">
        <v>40058</v>
      </c>
      <c r="B424">
        <v>40.457736968994098</v>
      </c>
      <c r="C424">
        <v>16.0595607757568</v>
      </c>
    </row>
    <row r="425" spans="1:3">
      <c r="A425" s="1">
        <v>40059</v>
      </c>
      <c r="B425">
        <v>40.665943145751903</v>
      </c>
      <c r="C425">
        <v>15.988609313964799</v>
      </c>
    </row>
    <row r="426" spans="1:3">
      <c r="A426" s="1">
        <v>40060</v>
      </c>
      <c r="B426">
        <v>41.312126159667898</v>
      </c>
      <c r="C426">
        <v>16.1079292297363</v>
      </c>
    </row>
    <row r="427" spans="1:3">
      <c r="A427" s="1">
        <v>40064</v>
      </c>
      <c r="B427">
        <v>41.843410491943303</v>
      </c>
      <c r="C427">
        <v>16.256263732910099</v>
      </c>
    </row>
    <row r="428" spans="1:3">
      <c r="A428" s="1">
        <v>40065</v>
      </c>
      <c r="B428">
        <v>41.671108245849602</v>
      </c>
      <c r="C428">
        <v>16.327213287353501</v>
      </c>
    </row>
    <row r="429" spans="1:3">
      <c r="A429" s="1">
        <v>40066</v>
      </c>
      <c r="B429">
        <v>41.5418701171875</v>
      </c>
      <c r="C429">
        <v>16.311088562011701</v>
      </c>
    </row>
    <row r="430" spans="1:3">
      <c r="A430" s="1">
        <v>40067</v>
      </c>
      <c r="B430">
        <v>42.223945617675703</v>
      </c>
      <c r="C430">
        <v>16.884727478027301</v>
      </c>
    </row>
    <row r="431" spans="1:3">
      <c r="A431" s="1">
        <v>40070</v>
      </c>
      <c r="B431">
        <v>42.144966125488203</v>
      </c>
      <c r="C431">
        <v>17.097799301147401</v>
      </c>
    </row>
    <row r="432" spans="1:3">
      <c r="A432" s="1">
        <v>40071</v>
      </c>
      <c r="B432">
        <v>41.850597381591797</v>
      </c>
      <c r="C432">
        <v>17.192857742309499</v>
      </c>
    </row>
    <row r="433" spans="1:3">
      <c r="A433" s="1">
        <v>40072</v>
      </c>
      <c r="B433">
        <v>41.886489868163999</v>
      </c>
      <c r="C433">
        <v>17.264970779418899</v>
      </c>
    </row>
    <row r="434" spans="1:3">
      <c r="A434" s="1">
        <v>40073</v>
      </c>
      <c r="B434">
        <v>42.216766357421797</v>
      </c>
      <c r="C434">
        <v>17.5108222961425</v>
      </c>
    </row>
    <row r="435" spans="1:3">
      <c r="A435" s="1">
        <v>40074</v>
      </c>
      <c r="B435">
        <v>42.977817535400298</v>
      </c>
      <c r="C435">
        <v>17.622272491455</v>
      </c>
    </row>
    <row r="436" spans="1:3">
      <c r="A436" s="1">
        <v>40077</v>
      </c>
      <c r="B436">
        <v>42.374729156494098</v>
      </c>
      <c r="C436">
        <v>17.373140335083001</v>
      </c>
    </row>
    <row r="437" spans="1:3">
      <c r="A437" s="1">
        <v>40078</v>
      </c>
      <c r="B437">
        <v>42.058811187744098</v>
      </c>
      <c r="C437">
        <v>17.323980331420898</v>
      </c>
    </row>
    <row r="438" spans="1:3">
      <c r="A438" s="1">
        <v>40079</v>
      </c>
      <c r="B438">
        <v>41.979839324951101</v>
      </c>
      <c r="C438">
        <v>17.235469818115199</v>
      </c>
    </row>
    <row r="439" spans="1:3">
      <c r="A439" s="1">
        <v>40080</v>
      </c>
      <c r="B439">
        <v>42.030101776122997</v>
      </c>
      <c r="C439">
        <v>17.1567993164062</v>
      </c>
    </row>
    <row r="440" spans="1:3">
      <c r="A440" s="1">
        <v>40081</v>
      </c>
      <c r="B440">
        <v>42.130603790283203</v>
      </c>
      <c r="C440">
        <v>17.363313674926701</v>
      </c>
    </row>
    <row r="441" spans="1:3">
      <c r="A441" s="1">
        <v>40084</v>
      </c>
      <c r="B441">
        <v>42.381889343261697</v>
      </c>
      <c r="C441">
        <v>17.4157600402832</v>
      </c>
    </row>
    <row r="442" spans="1:3">
      <c r="A442" s="1">
        <v>40085</v>
      </c>
      <c r="B442">
        <v>42.008560180663999</v>
      </c>
      <c r="C442">
        <v>17.474765777587798</v>
      </c>
    </row>
    <row r="443" spans="1:3">
      <c r="A443" s="1">
        <v>40086</v>
      </c>
      <c r="B443">
        <v>42.116245269775298</v>
      </c>
      <c r="C443">
        <v>17.602602005004801</v>
      </c>
    </row>
    <row r="444" spans="1:3">
      <c r="A444" s="1">
        <v>40087</v>
      </c>
      <c r="B444">
        <v>41.972648620605398</v>
      </c>
      <c r="C444">
        <v>17.412479400634702</v>
      </c>
    </row>
    <row r="445" spans="1:3">
      <c r="A445" s="1">
        <v>40088</v>
      </c>
      <c r="B445">
        <v>43.724510192871001</v>
      </c>
      <c r="C445">
        <v>17.658319473266602</v>
      </c>
    </row>
    <row r="446" spans="1:3">
      <c r="A446" s="1">
        <v>40091</v>
      </c>
      <c r="B446">
        <v>43.688606262207003</v>
      </c>
      <c r="C446">
        <v>17.635381698608398</v>
      </c>
    </row>
    <row r="447" spans="1:3">
      <c r="A447" s="1">
        <v>40092</v>
      </c>
      <c r="B447">
        <v>43.702976226806598</v>
      </c>
      <c r="C447">
        <v>17.805833816528299</v>
      </c>
    </row>
    <row r="448" spans="1:3">
      <c r="A448" s="1">
        <v>40093</v>
      </c>
      <c r="B448">
        <v>43.918369293212798</v>
      </c>
      <c r="C448">
        <v>17.966455459594702</v>
      </c>
    </row>
    <row r="449" spans="1:3">
      <c r="A449" s="1">
        <v>40094</v>
      </c>
      <c r="B449">
        <v>43.358345031738203</v>
      </c>
      <c r="C449">
        <v>17.894340515136701</v>
      </c>
    </row>
    <row r="450" spans="1:3">
      <c r="A450" s="1">
        <v>40095</v>
      </c>
      <c r="B450">
        <v>43.501941680908203</v>
      </c>
      <c r="C450">
        <v>17.914007186889599</v>
      </c>
    </row>
    <row r="451" spans="1:3">
      <c r="A451" s="1">
        <v>40098</v>
      </c>
      <c r="B451">
        <v>43.738868713378899</v>
      </c>
      <c r="C451">
        <v>17.959901809692301</v>
      </c>
    </row>
    <row r="452" spans="1:3">
      <c r="A452" s="1">
        <v>40099</v>
      </c>
      <c r="B452">
        <v>43.5091133117675</v>
      </c>
      <c r="C452">
        <v>17.963180541992099</v>
      </c>
    </row>
    <row r="453" spans="1:3">
      <c r="A453" s="1">
        <v>40100</v>
      </c>
      <c r="B453">
        <v>44.241443634033203</v>
      </c>
      <c r="C453">
        <v>17.9762878417968</v>
      </c>
    </row>
    <row r="454" spans="1:3">
      <c r="A454" s="1">
        <v>40101</v>
      </c>
      <c r="B454">
        <v>45.002506256103501</v>
      </c>
      <c r="C454">
        <v>18.0025100708007</v>
      </c>
    </row>
    <row r="455" spans="1:3">
      <c r="A455" s="1">
        <v>40102</v>
      </c>
      <c r="B455">
        <v>44.722484588622997</v>
      </c>
      <c r="C455">
        <v>18.0320110321044</v>
      </c>
    </row>
    <row r="456" spans="1:3">
      <c r="A456" s="1">
        <v>40105</v>
      </c>
      <c r="B456">
        <v>44.550174713134702</v>
      </c>
      <c r="C456">
        <v>17.959901809692301</v>
      </c>
    </row>
    <row r="457" spans="1:3">
      <c r="A457" s="1">
        <v>40106</v>
      </c>
      <c r="B457">
        <v>44.212738037109297</v>
      </c>
      <c r="C457">
        <v>17.723890304565401</v>
      </c>
    </row>
    <row r="458" spans="1:3">
      <c r="A458" s="1">
        <v>40107</v>
      </c>
      <c r="B458">
        <v>44.399394989013601</v>
      </c>
      <c r="C458">
        <v>17.723890304565401</v>
      </c>
    </row>
    <row r="459" spans="1:3">
      <c r="A459" s="1">
        <v>40108</v>
      </c>
      <c r="B459">
        <v>44.155281066894503</v>
      </c>
      <c r="C459">
        <v>17.7501106262207</v>
      </c>
    </row>
    <row r="460" spans="1:3">
      <c r="A460" s="1">
        <v>40109</v>
      </c>
      <c r="B460">
        <v>43.817844390869098</v>
      </c>
      <c r="C460">
        <v>17.451814651489201</v>
      </c>
    </row>
    <row r="461" spans="1:3">
      <c r="A461" s="1">
        <v>40112</v>
      </c>
      <c r="B461">
        <v>43.415763854980398</v>
      </c>
      <c r="C461">
        <v>17.448543548583899</v>
      </c>
    </row>
    <row r="462" spans="1:3">
      <c r="A462" s="1">
        <v>40113</v>
      </c>
      <c r="B462">
        <v>43.796291351318303</v>
      </c>
      <c r="C462">
        <v>17.523931503295898</v>
      </c>
    </row>
    <row r="463" spans="1:3">
      <c r="A463" s="1">
        <v>40114</v>
      </c>
      <c r="B463">
        <v>43.789119720458899</v>
      </c>
      <c r="C463">
        <v>17.540319442748999</v>
      </c>
    </row>
    <row r="464" spans="1:3">
      <c r="A464" s="1">
        <v>40115</v>
      </c>
      <c r="B464">
        <v>44.076316833496001</v>
      </c>
      <c r="C464">
        <v>17.730443954467699</v>
      </c>
    </row>
    <row r="465" spans="1:3">
      <c r="A465" s="1">
        <v>40116</v>
      </c>
      <c r="B465">
        <v>43.4732055664062</v>
      </c>
      <c r="C465">
        <v>17.474765777587798</v>
      </c>
    </row>
    <row r="466" spans="1:3">
      <c r="A466" s="1">
        <v>40119</v>
      </c>
      <c r="B466">
        <v>43.5091133117675</v>
      </c>
      <c r="C466">
        <v>17.609157562255799</v>
      </c>
    </row>
    <row r="467" spans="1:3">
      <c r="A467" s="1">
        <v>40120</v>
      </c>
      <c r="B467">
        <v>43.121402740478501</v>
      </c>
      <c r="C467">
        <v>17.412479400634702</v>
      </c>
    </row>
    <row r="468" spans="1:3">
      <c r="A468" s="1">
        <v>40121</v>
      </c>
      <c r="B468">
        <v>43.351165771484297</v>
      </c>
      <c r="C468">
        <v>17.5337619781494</v>
      </c>
    </row>
    <row r="469" spans="1:3">
      <c r="A469" s="1">
        <v>40122</v>
      </c>
      <c r="B469">
        <v>43.961429595947202</v>
      </c>
      <c r="C469">
        <v>17.8320617675781</v>
      </c>
    </row>
    <row r="470" spans="1:3">
      <c r="A470" s="1">
        <v>40123</v>
      </c>
      <c r="B470">
        <v>44.341968536376903</v>
      </c>
      <c r="C470">
        <v>17.8615627288818</v>
      </c>
    </row>
    <row r="471" spans="1:3">
      <c r="A471" s="1">
        <v>40126</v>
      </c>
      <c r="B471">
        <v>44.71529006958</v>
      </c>
      <c r="C471">
        <v>18.186079025268501</v>
      </c>
    </row>
    <row r="472" spans="1:3">
      <c r="A472" s="1">
        <v>40127</v>
      </c>
      <c r="B472">
        <v>44.5717163085937</v>
      </c>
      <c r="C472">
        <v>18.294252395629801</v>
      </c>
    </row>
    <row r="473" spans="1:3">
      <c r="A473" s="1">
        <v>40128</v>
      </c>
      <c r="B473">
        <v>44.945053100585902</v>
      </c>
      <c r="C473">
        <v>18.399143218994102</v>
      </c>
    </row>
    <row r="474" spans="1:3">
      <c r="A474" s="1">
        <v>40129</v>
      </c>
      <c r="B474">
        <v>43.990158081054602</v>
      </c>
      <c r="C474">
        <v>18.336864471435501</v>
      </c>
    </row>
    <row r="475" spans="1:3">
      <c r="A475" s="1">
        <v>40130</v>
      </c>
      <c r="B475">
        <v>44.471187591552699</v>
      </c>
      <c r="C475">
        <v>18.5073146820068</v>
      </c>
    </row>
    <row r="476" spans="1:3">
      <c r="A476" s="1">
        <v>40133</v>
      </c>
      <c r="B476">
        <v>44.822994232177699</v>
      </c>
      <c r="C476">
        <v>18.599103927612301</v>
      </c>
    </row>
    <row r="477" spans="1:3">
      <c r="A477" s="1">
        <v>40134</v>
      </c>
      <c r="B477">
        <v>44.945053100585902</v>
      </c>
      <c r="C477">
        <v>18.641710281371999</v>
      </c>
    </row>
    <row r="478" spans="1:3">
      <c r="A478" s="1">
        <v>40135</v>
      </c>
      <c r="B478">
        <v>44.729663848876903</v>
      </c>
      <c r="C478">
        <v>18.546655654907202</v>
      </c>
    </row>
    <row r="479" spans="1:3">
      <c r="A479" s="1">
        <v>40136</v>
      </c>
      <c r="B479">
        <v>44.4281196594238</v>
      </c>
      <c r="C479">
        <v>18.6449890136718</v>
      </c>
    </row>
    <row r="480" spans="1:3">
      <c r="A480" s="1">
        <v>40137</v>
      </c>
      <c r="B480">
        <v>44.5717163085937</v>
      </c>
      <c r="C480">
        <v>18.841661453246999</v>
      </c>
    </row>
    <row r="481" spans="1:3">
      <c r="A481" s="1">
        <v>40140</v>
      </c>
      <c r="B481">
        <v>44.8660888671875</v>
      </c>
      <c r="C481">
        <v>19.090784072875898</v>
      </c>
    </row>
    <row r="482" spans="1:3">
      <c r="A482" s="1">
        <v>40141</v>
      </c>
      <c r="B482">
        <v>44.873264312744098</v>
      </c>
      <c r="C482">
        <v>19.0744018554687</v>
      </c>
    </row>
    <row r="483" spans="1:3">
      <c r="A483" s="1">
        <v>40142</v>
      </c>
      <c r="B483">
        <v>45.368663787841797</v>
      </c>
      <c r="C483">
        <v>19.048183441162099</v>
      </c>
    </row>
    <row r="484" spans="1:3">
      <c r="A484" s="1">
        <v>40144</v>
      </c>
      <c r="B484">
        <v>44.729663848876903</v>
      </c>
      <c r="C484">
        <v>19.011604309081999</v>
      </c>
    </row>
    <row r="485" spans="1:3">
      <c r="A485" s="1">
        <v>40147</v>
      </c>
      <c r="B485">
        <v>44.672222137451101</v>
      </c>
      <c r="C485">
        <v>19.0182571411132</v>
      </c>
    </row>
    <row r="486" spans="1:3">
      <c r="A486" s="1">
        <v>40148</v>
      </c>
      <c r="B486">
        <v>45.856887817382798</v>
      </c>
      <c r="C486">
        <v>19.310842514038001</v>
      </c>
    </row>
    <row r="487" spans="1:3">
      <c r="A487" s="1">
        <v>40149</v>
      </c>
      <c r="B487">
        <v>46.023197174072202</v>
      </c>
      <c r="C487">
        <v>19.270948410034102</v>
      </c>
    </row>
    <row r="488" spans="1:3">
      <c r="A488" s="1">
        <v>40150</v>
      </c>
      <c r="B488">
        <v>45.379650115966797</v>
      </c>
      <c r="C488">
        <v>19.041530609130799</v>
      </c>
    </row>
    <row r="489" spans="1:3">
      <c r="A489" s="1">
        <v>40151</v>
      </c>
      <c r="B489">
        <v>46.167808532714801</v>
      </c>
      <c r="C489">
        <v>19.1146736145019</v>
      </c>
    </row>
    <row r="490" spans="1:3">
      <c r="A490" s="1">
        <v>40154</v>
      </c>
      <c r="B490">
        <v>46.442577362060497</v>
      </c>
      <c r="C490">
        <v>19.241024017333899</v>
      </c>
    </row>
    <row r="491" spans="1:3">
      <c r="A491" s="1">
        <v>40155</v>
      </c>
      <c r="B491">
        <v>45.900260925292898</v>
      </c>
      <c r="C491">
        <v>19.1778469085693</v>
      </c>
    </row>
    <row r="492" spans="1:3">
      <c r="A492" s="1">
        <v>40156</v>
      </c>
      <c r="B492">
        <v>44.685508728027301</v>
      </c>
      <c r="C492">
        <v>19.227727890014599</v>
      </c>
    </row>
    <row r="493" spans="1:3">
      <c r="A493" s="1">
        <v>40157</v>
      </c>
      <c r="B493">
        <v>44.714427947997997</v>
      </c>
      <c r="C493">
        <v>19.477087020873999</v>
      </c>
    </row>
    <row r="494" spans="1:3">
      <c r="A494" s="1">
        <v>40158</v>
      </c>
      <c r="B494">
        <v>44.302299499511697</v>
      </c>
      <c r="C494">
        <v>19.653299331665</v>
      </c>
    </row>
    <row r="495" spans="1:3">
      <c r="A495" s="1">
        <v>40161</v>
      </c>
      <c r="B495">
        <v>44.092597961425703</v>
      </c>
      <c r="C495">
        <v>19.6300239562988</v>
      </c>
    </row>
    <row r="496" spans="1:3">
      <c r="A496" s="1">
        <v>40162</v>
      </c>
      <c r="B496">
        <v>44.099830627441399</v>
      </c>
      <c r="C496">
        <v>19.636674880981399</v>
      </c>
    </row>
    <row r="497" spans="1:3">
      <c r="A497" s="1">
        <v>40163</v>
      </c>
      <c r="B497">
        <v>43.875675201416001</v>
      </c>
      <c r="C497">
        <v>19.423883438110298</v>
      </c>
    </row>
    <row r="498" spans="1:3">
      <c r="A498" s="1">
        <v>40164</v>
      </c>
      <c r="B498">
        <v>43.412914276122997</v>
      </c>
      <c r="C498">
        <v>18.945102691650298</v>
      </c>
    </row>
    <row r="499" spans="1:3">
      <c r="A499" s="1">
        <v>40165</v>
      </c>
      <c r="B499">
        <v>43.008010864257798</v>
      </c>
      <c r="C499">
        <v>18.925163269042901</v>
      </c>
    </row>
    <row r="500" spans="1:3">
      <c r="A500" s="1">
        <v>40168</v>
      </c>
      <c r="B500">
        <v>43.731075286865199</v>
      </c>
      <c r="C500">
        <v>19.011604309081999</v>
      </c>
    </row>
    <row r="501" spans="1:3">
      <c r="A501" s="1">
        <v>40169</v>
      </c>
      <c r="B501">
        <v>43.839523315429602</v>
      </c>
      <c r="C501">
        <v>19.041530609130799</v>
      </c>
    </row>
    <row r="502" spans="1:3">
      <c r="A502" s="1">
        <v>40170</v>
      </c>
      <c r="B502">
        <v>43.875675201416001</v>
      </c>
      <c r="C502">
        <v>19.0481758117675</v>
      </c>
    </row>
    <row r="503" spans="1:3">
      <c r="A503" s="1">
        <v>40171</v>
      </c>
      <c r="B503">
        <v>44.0781440734863</v>
      </c>
      <c r="C503">
        <v>19.0980510711669</v>
      </c>
    </row>
    <row r="504" spans="1:3">
      <c r="A504" s="1">
        <v>40175</v>
      </c>
      <c r="B504">
        <v>44.222759246826101</v>
      </c>
      <c r="C504">
        <v>19.0980510711669</v>
      </c>
    </row>
    <row r="505" spans="1:3">
      <c r="A505" s="1">
        <v>40176</v>
      </c>
      <c r="B505">
        <v>44.179363250732401</v>
      </c>
      <c r="C505">
        <v>19.197795867919901</v>
      </c>
    </row>
    <row r="506" spans="1:3">
      <c r="A506" s="1">
        <v>40177</v>
      </c>
      <c r="B506">
        <v>44.331218719482401</v>
      </c>
      <c r="C506">
        <v>19.1778469085693</v>
      </c>
    </row>
    <row r="507" spans="1:3">
      <c r="A507" s="1">
        <v>40178</v>
      </c>
      <c r="B507">
        <v>43.962448120117102</v>
      </c>
      <c r="C507">
        <v>18.951757431030199</v>
      </c>
    </row>
    <row r="508" spans="1:3">
      <c r="A508" s="1">
        <v>40182</v>
      </c>
      <c r="B508">
        <v>44.280601501464801</v>
      </c>
      <c r="C508">
        <v>18.965061187744102</v>
      </c>
    </row>
    <row r="509" spans="1:3">
      <c r="A509" s="1">
        <v>40183</v>
      </c>
      <c r="B509">
        <v>44.815658569335902</v>
      </c>
      <c r="C509">
        <v>18.735643386840799</v>
      </c>
    </row>
    <row r="510" spans="1:3">
      <c r="A510" s="1">
        <v>40184</v>
      </c>
      <c r="B510">
        <v>44.367366790771399</v>
      </c>
      <c r="C510">
        <v>18.728988647460898</v>
      </c>
    </row>
    <row r="511" spans="1:3">
      <c r="A511" s="1">
        <v>40185</v>
      </c>
      <c r="B511">
        <v>44.085372924804602</v>
      </c>
      <c r="C511">
        <v>18.682439804077099</v>
      </c>
    </row>
    <row r="512" spans="1:3">
      <c r="A512" s="1">
        <v>40186</v>
      </c>
      <c r="B512">
        <v>43.940757751464801</v>
      </c>
      <c r="C512">
        <v>18.3366603851318</v>
      </c>
    </row>
    <row r="513" spans="1:3">
      <c r="A513" s="1">
        <v>40189</v>
      </c>
      <c r="B513">
        <v>43.890148162841797</v>
      </c>
      <c r="C513">
        <v>18.709041595458899</v>
      </c>
    </row>
    <row r="514" spans="1:3">
      <c r="A514" s="1">
        <v>40190</v>
      </c>
      <c r="B514">
        <v>44.504753112792898</v>
      </c>
      <c r="C514">
        <v>18.911857604980401</v>
      </c>
    </row>
    <row r="515" spans="1:3">
      <c r="A515" s="1">
        <v>40191</v>
      </c>
      <c r="B515">
        <v>44.866287231445298</v>
      </c>
      <c r="C515">
        <v>18.961729049682599</v>
      </c>
    </row>
    <row r="516" spans="1:3">
      <c r="A516" s="1">
        <v>40192</v>
      </c>
      <c r="B516">
        <v>45.408576965332003</v>
      </c>
      <c r="C516">
        <v>18.9949855804443</v>
      </c>
    </row>
    <row r="517" spans="1:3">
      <c r="A517" s="1">
        <v>40193</v>
      </c>
      <c r="B517">
        <v>45.039810180663999</v>
      </c>
      <c r="C517">
        <v>18.7156887054443</v>
      </c>
    </row>
    <row r="518" spans="1:3">
      <c r="A518" s="1">
        <v>40197</v>
      </c>
      <c r="B518">
        <v>45.0687446594238</v>
      </c>
      <c r="C518">
        <v>18.758914947509702</v>
      </c>
    </row>
    <row r="519" spans="1:3">
      <c r="A519" s="1">
        <v>40198</v>
      </c>
      <c r="B519">
        <v>44.793972015380803</v>
      </c>
      <c r="C519">
        <v>18.453025817871001</v>
      </c>
    </row>
    <row r="520" spans="1:3">
      <c r="A520" s="1">
        <v>40199</v>
      </c>
      <c r="B520">
        <v>44.063674926757798</v>
      </c>
      <c r="C520">
        <v>18.077318191528299</v>
      </c>
    </row>
    <row r="521" spans="1:3">
      <c r="A521" s="1">
        <v>40200</v>
      </c>
      <c r="B521">
        <v>43.665988922119098</v>
      </c>
      <c r="C521">
        <v>18.0340881347656</v>
      </c>
    </row>
    <row r="522" spans="1:3">
      <c r="A522" s="1">
        <v>40203</v>
      </c>
      <c r="B522">
        <v>43.550300598144503</v>
      </c>
      <c r="C522">
        <v>18.070665359496999</v>
      </c>
    </row>
    <row r="523" spans="1:3">
      <c r="A523" s="1">
        <v>40204</v>
      </c>
      <c r="B523">
        <v>43.564769744872997</v>
      </c>
      <c r="C523">
        <v>18.0008430480957</v>
      </c>
    </row>
    <row r="524" spans="1:3">
      <c r="A524" s="1">
        <v>40205</v>
      </c>
      <c r="B524">
        <v>43.593692779541001</v>
      </c>
      <c r="C524">
        <v>18.1238613128662</v>
      </c>
    </row>
    <row r="525" spans="1:3">
      <c r="A525" s="1">
        <v>40206</v>
      </c>
      <c r="B525">
        <v>43.195991516113203</v>
      </c>
      <c r="C525">
        <v>18.014141082763601</v>
      </c>
    </row>
    <row r="526" spans="1:3">
      <c r="A526" s="1">
        <v>40207</v>
      </c>
      <c r="B526">
        <v>43.109233856201101</v>
      </c>
      <c r="C526">
        <v>18.037418365478501</v>
      </c>
    </row>
    <row r="527" spans="1:3">
      <c r="A527" s="1">
        <v>40210</v>
      </c>
      <c r="B527">
        <v>43.890148162841797</v>
      </c>
      <c r="C527">
        <v>18.080642700195298</v>
      </c>
    </row>
    <row r="528" spans="1:3">
      <c r="A528" s="1">
        <v>40211</v>
      </c>
      <c r="B528">
        <v>44.215530395507798</v>
      </c>
      <c r="C528">
        <v>18.303398132324201</v>
      </c>
    </row>
    <row r="529" spans="1:3">
      <c r="A529" s="1">
        <v>40212</v>
      </c>
      <c r="B529">
        <v>44.316753387451101</v>
      </c>
      <c r="C529">
        <v>18.2435607910156</v>
      </c>
    </row>
    <row r="530" spans="1:3">
      <c r="A530" s="1">
        <v>40213</v>
      </c>
      <c r="B530">
        <v>43.123687744140597</v>
      </c>
      <c r="C530">
        <v>17.764783859252901</v>
      </c>
    </row>
    <row r="531" spans="1:3">
      <c r="A531" s="1">
        <v>40214</v>
      </c>
      <c r="B531">
        <v>43.029693603515597</v>
      </c>
      <c r="C531">
        <v>17.651737213134702</v>
      </c>
    </row>
    <row r="532" spans="1:3">
      <c r="A532" s="1">
        <v>40217</v>
      </c>
      <c r="B532">
        <v>42.631996154785099</v>
      </c>
      <c r="C532">
        <v>17.5054397583007</v>
      </c>
    </row>
    <row r="533" spans="1:3">
      <c r="A533" s="1">
        <v>40218</v>
      </c>
      <c r="B533">
        <v>43.420150756835902</v>
      </c>
      <c r="C533">
        <v>17.957622528076101</v>
      </c>
    </row>
    <row r="534" spans="1:3">
      <c r="A534" s="1">
        <v>40219</v>
      </c>
      <c r="B534">
        <v>43.658767700195298</v>
      </c>
      <c r="C534">
        <v>17.884471893310501</v>
      </c>
    </row>
    <row r="535" spans="1:3">
      <c r="A535" s="1">
        <v>40220</v>
      </c>
      <c r="B535">
        <v>44.244449615478501</v>
      </c>
      <c r="C535">
        <v>18.027442932128899</v>
      </c>
    </row>
    <row r="536" spans="1:3">
      <c r="A536" s="1">
        <v>40221</v>
      </c>
      <c r="B536">
        <v>44.049217224121001</v>
      </c>
      <c r="C536">
        <v>17.947645187377901</v>
      </c>
    </row>
    <row r="537" spans="1:3">
      <c r="A537" s="1">
        <v>40225</v>
      </c>
      <c r="B537">
        <v>44.331218719482401</v>
      </c>
      <c r="C537">
        <v>18.226936340331999</v>
      </c>
    </row>
    <row r="538" spans="1:3">
      <c r="A538" s="1">
        <v>40226</v>
      </c>
      <c r="B538">
        <v>44.909664154052699</v>
      </c>
      <c r="C538">
        <v>18.396507263183501</v>
      </c>
    </row>
    <row r="539" spans="1:3">
      <c r="A539" s="1">
        <v>40227</v>
      </c>
      <c r="B539">
        <v>45.213344573974602</v>
      </c>
      <c r="C539">
        <v>18.5893440246582</v>
      </c>
    </row>
    <row r="540" spans="1:3">
      <c r="A540" s="1">
        <v>40228</v>
      </c>
      <c r="B540">
        <v>45.307361602783203</v>
      </c>
      <c r="C540">
        <v>18.526168823242099</v>
      </c>
    </row>
    <row r="541" spans="1:3">
      <c r="A541" s="1">
        <v>40231</v>
      </c>
      <c r="B541">
        <v>45.126579284667898</v>
      </c>
      <c r="C541">
        <v>18.4131259918212</v>
      </c>
    </row>
    <row r="542" spans="1:3">
      <c r="A542" s="1">
        <v>40232</v>
      </c>
      <c r="B542">
        <v>44.671062469482401</v>
      </c>
      <c r="C542">
        <v>18.230258941650298</v>
      </c>
    </row>
    <row r="543" spans="1:3">
      <c r="A543" s="1">
        <v>40233</v>
      </c>
      <c r="B543">
        <v>44.887973785400298</v>
      </c>
      <c r="C543">
        <v>18.339979171752901</v>
      </c>
    </row>
    <row r="544" spans="1:3">
      <c r="A544" s="1">
        <v>40234</v>
      </c>
      <c r="B544">
        <v>45.047039031982401</v>
      </c>
      <c r="C544">
        <v>17.661706924438398</v>
      </c>
    </row>
    <row r="545" spans="1:3">
      <c r="A545" s="1">
        <v>40235</v>
      </c>
      <c r="B545">
        <v>45.169967651367102</v>
      </c>
      <c r="C545">
        <v>17.528709411621001</v>
      </c>
    </row>
    <row r="546" spans="1:3">
      <c r="A546" s="1">
        <v>40238</v>
      </c>
      <c r="B546">
        <v>45.864116668701101</v>
      </c>
      <c r="C546">
        <v>17.711580276489201</v>
      </c>
    </row>
    <row r="547" spans="1:3">
      <c r="A547" s="1">
        <v>40239</v>
      </c>
      <c r="B547">
        <v>46.131656646728501</v>
      </c>
      <c r="C547">
        <v>17.7215557098388</v>
      </c>
    </row>
    <row r="548" spans="1:3">
      <c r="A548" s="1">
        <v>40240</v>
      </c>
      <c r="B548">
        <v>46.590427398681598</v>
      </c>
      <c r="C548">
        <v>17.931022644042901</v>
      </c>
    </row>
    <row r="549" spans="1:3">
      <c r="A549" s="1">
        <v>40241</v>
      </c>
      <c r="B549">
        <v>46.685085296630803</v>
      </c>
      <c r="C549">
        <v>18.110559463500898</v>
      </c>
    </row>
    <row r="550" spans="1:3">
      <c r="A550" s="1">
        <v>40242</v>
      </c>
      <c r="B550">
        <v>46.874427795410099</v>
      </c>
      <c r="C550">
        <v>18.187038421630799</v>
      </c>
    </row>
    <row r="551" spans="1:3">
      <c r="A551" s="1">
        <v>40245</v>
      </c>
      <c r="B551">
        <v>46.714206695556598</v>
      </c>
      <c r="C551">
        <v>18.107236862182599</v>
      </c>
    </row>
    <row r="552" spans="1:3">
      <c r="A552" s="1">
        <v>40246</v>
      </c>
      <c r="B552">
        <v>46.867134094238203</v>
      </c>
      <c r="C552">
        <v>18.014141082763601</v>
      </c>
    </row>
    <row r="553" spans="1:3">
      <c r="A553" s="1">
        <v>40247</v>
      </c>
      <c r="B553">
        <v>46.9181098937988</v>
      </c>
      <c r="C553">
        <v>18.0207920074462</v>
      </c>
    </row>
    <row r="554" spans="1:3">
      <c r="A554" s="1">
        <v>40248</v>
      </c>
      <c r="B554">
        <v>47.311332702636697</v>
      </c>
      <c r="C554">
        <v>18.115432739257798</v>
      </c>
    </row>
    <row r="555" spans="1:3">
      <c r="A555" s="1">
        <v>40249</v>
      </c>
      <c r="B555">
        <v>47.405998229980398</v>
      </c>
      <c r="C555">
        <v>18.030935287475501</v>
      </c>
    </row>
    <row r="556" spans="1:3">
      <c r="A556" s="1">
        <v>40252</v>
      </c>
      <c r="B556">
        <v>48.170631408691399</v>
      </c>
      <c r="C556">
        <v>18.13232421875</v>
      </c>
    </row>
    <row r="557" spans="1:3">
      <c r="A557" s="1">
        <v>40253</v>
      </c>
      <c r="B557">
        <v>48.112354278564403</v>
      </c>
      <c r="C557">
        <v>18.1492309570312</v>
      </c>
    </row>
    <row r="558" spans="1:3">
      <c r="A558" s="1">
        <v>40254</v>
      </c>
      <c r="B558">
        <v>48.4764595031738</v>
      </c>
      <c r="C558">
        <v>18.196538925170898</v>
      </c>
    </row>
    <row r="559" spans="1:3">
      <c r="A559" s="1">
        <v>40255</v>
      </c>
      <c r="B559">
        <v>48.440040588378899</v>
      </c>
      <c r="C559">
        <v>18.233718872070298</v>
      </c>
    </row>
    <row r="560" spans="1:3">
      <c r="A560" s="1">
        <v>40256</v>
      </c>
      <c r="B560">
        <v>48.4691772460937</v>
      </c>
      <c r="C560">
        <v>18.504095077514599</v>
      </c>
    </row>
    <row r="561" spans="1:3">
      <c r="A561" s="1">
        <v>40259</v>
      </c>
      <c r="B561">
        <v>48.287124633788999</v>
      </c>
      <c r="C561">
        <v>18.433122634887599</v>
      </c>
    </row>
    <row r="562" spans="1:3">
      <c r="A562" s="1">
        <v>40260</v>
      </c>
      <c r="B562">
        <v>48.6876411437988</v>
      </c>
      <c r="C562">
        <v>18.689977645873999</v>
      </c>
    </row>
    <row r="563" spans="1:3">
      <c r="A563" s="1">
        <v>40261</v>
      </c>
      <c r="B563">
        <v>48.250724792480398</v>
      </c>
      <c r="C563">
        <v>18.460157394409102</v>
      </c>
    </row>
    <row r="564" spans="1:3">
      <c r="A564" s="1">
        <v>40262</v>
      </c>
      <c r="B564">
        <v>48.461906433105398</v>
      </c>
      <c r="C564">
        <v>18.520998001098601</v>
      </c>
    </row>
    <row r="565" spans="1:3">
      <c r="A565" s="1">
        <v>40263</v>
      </c>
      <c r="B565">
        <v>48.491024017333899</v>
      </c>
      <c r="C565">
        <v>18.470300674438398</v>
      </c>
    </row>
    <row r="566" spans="1:3">
      <c r="A566" s="1">
        <v>40266</v>
      </c>
      <c r="B566">
        <v>48.461906433105398</v>
      </c>
      <c r="C566">
        <v>18.510858535766602</v>
      </c>
    </row>
    <row r="567" spans="1:3">
      <c r="A567" s="1">
        <v>40267</v>
      </c>
      <c r="B567">
        <v>48.622097015380803</v>
      </c>
      <c r="C567">
        <v>18.544654846191399</v>
      </c>
    </row>
    <row r="568" spans="1:3">
      <c r="A568" s="1">
        <v>40268</v>
      </c>
      <c r="B568">
        <v>48.177909851074197</v>
      </c>
      <c r="C568">
        <v>18.5885906219482</v>
      </c>
    </row>
    <row r="569" spans="1:3">
      <c r="A569" s="1">
        <v>40269</v>
      </c>
      <c r="B569">
        <v>48.5565795898437</v>
      </c>
      <c r="C569">
        <v>18.689977645873999</v>
      </c>
    </row>
    <row r="570" spans="1:3">
      <c r="A570" s="1">
        <v>40273</v>
      </c>
      <c r="B570">
        <v>48.046829223632798</v>
      </c>
      <c r="C570">
        <v>18.541276931762599</v>
      </c>
    </row>
    <row r="571" spans="1:3">
      <c r="A571" s="1">
        <v>40274</v>
      </c>
      <c r="B571">
        <v>48.345390319824197</v>
      </c>
      <c r="C571">
        <v>18.348627090454102</v>
      </c>
    </row>
    <row r="572" spans="1:3">
      <c r="A572" s="1">
        <v>40275</v>
      </c>
      <c r="B572">
        <v>48.054100036621001</v>
      </c>
      <c r="C572">
        <v>18.189781188964801</v>
      </c>
    </row>
    <row r="573" spans="1:3">
      <c r="A573" s="1">
        <v>40276</v>
      </c>
      <c r="B573">
        <v>48.039543151855398</v>
      </c>
      <c r="C573">
        <v>18.1695022583007</v>
      </c>
    </row>
    <row r="574" spans="1:3">
      <c r="A574" s="1">
        <v>40277</v>
      </c>
      <c r="B574">
        <v>48.323535919189403</v>
      </c>
      <c r="C574">
        <v>18.450025558471602</v>
      </c>
    </row>
    <row r="575" spans="1:3">
      <c r="A575" s="1">
        <v>40280</v>
      </c>
      <c r="B575">
        <v>48.294414520263601</v>
      </c>
      <c r="C575">
        <v>18.5074748992919</v>
      </c>
    </row>
    <row r="576" spans="1:3">
      <c r="A576" s="1">
        <v>40281</v>
      </c>
      <c r="B576">
        <v>48.345390319824197</v>
      </c>
      <c r="C576">
        <v>18.595354080200099</v>
      </c>
    </row>
    <row r="577" spans="1:3">
      <c r="A577" s="1">
        <v>40282</v>
      </c>
      <c r="B577">
        <v>48.272567749023402</v>
      </c>
      <c r="C577">
        <v>18.571689605712798</v>
      </c>
    </row>
    <row r="578" spans="1:3">
      <c r="A578" s="1">
        <v>40283</v>
      </c>
      <c r="B578">
        <v>48.2579956054687</v>
      </c>
      <c r="C578">
        <v>18.3384914398193</v>
      </c>
    </row>
    <row r="579" spans="1:3">
      <c r="A579" s="1">
        <v>40284</v>
      </c>
      <c r="B579">
        <v>48.163341522216797</v>
      </c>
      <c r="C579">
        <v>18.578453063964801</v>
      </c>
    </row>
    <row r="580" spans="1:3">
      <c r="A580" s="1">
        <v>40287</v>
      </c>
      <c r="B580">
        <v>48.148773193359297</v>
      </c>
      <c r="C580">
        <v>18.6967468261718</v>
      </c>
    </row>
    <row r="581" spans="1:3">
      <c r="A581" s="1">
        <v>40288</v>
      </c>
      <c r="B581">
        <v>47.988571166992102</v>
      </c>
      <c r="C581">
        <v>18.409460067748999</v>
      </c>
    </row>
    <row r="582" spans="1:3">
      <c r="A582" s="1">
        <v>40289</v>
      </c>
      <c r="B582">
        <v>48.046829223632798</v>
      </c>
      <c r="C582">
        <v>18.314832687377901</v>
      </c>
    </row>
    <row r="583" spans="1:3">
      <c r="A583" s="1">
        <v>40290</v>
      </c>
      <c r="B583">
        <v>47.158424377441399</v>
      </c>
      <c r="C583">
        <v>18.355390548706001</v>
      </c>
    </row>
    <row r="584" spans="1:3">
      <c r="A584" s="1">
        <v>40291</v>
      </c>
      <c r="B584">
        <v>47.122001647949197</v>
      </c>
      <c r="C584">
        <v>18.210056304931602</v>
      </c>
    </row>
    <row r="585" spans="1:3">
      <c r="A585" s="1">
        <v>40294</v>
      </c>
      <c r="B585">
        <v>47.347766876220703</v>
      </c>
      <c r="C585">
        <v>18.159366607666001</v>
      </c>
    </row>
    <row r="586" spans="1:3">
      <c r="A586" s="1">
        <v>40295</v>
      </c>
      <c r="B586">
        <v>46.772476196288999</v>
      </c>
      <c r="C586">
        <v>17.868709564208899</v>
      </c>
    </row>
    <row r="587" spans="1:3">
      <c r="A587" s="1">
        <v>40296</v>
      </c>
      <c r="B587">
        <v>47.151134490966797</v>
      </c>
      <c r="C587">
        <v>18.034309387206999</v>
      </c>
    </row>
    <row r="588" spans="1:3">
      <c r="A588" s="1">
        <v>40297</v>
      </c>
      <c r="B588">
        <v>47.478828430175703</v>
      </c>
      <c r="C588">
        <v>18.162742614746001</v>
      </c>
    </row>
    <row r="589" spans="1:3">
      <c r="A589" s="1">
        <v>40298</v>
      </c>
      <c r="B589">
        <v>47.493396759033203</v>
      </c>
      <c r="C589">
        <v>18.0647277832031</v>
      </c>
    </row>
    <row r="590" spans="1:3">
      <c r="A590" s="1">
        <v>40301</v>
      </c>
      <c r="B590">
        <v>47.835651397705</v>
      </c>
      <c r="C590">
        <v>18.1695022583007</v>
      </c>
    </row>
    <row r="591" spans="1:3">
      <c r="A591" s="1">
        <v>40302</v>
      </c>
      <c r="B591">
        <v>47.646316528320298</v>
      </c>
      <c r="C591">
        <v>17.973472595214801</v>
      </c>
    </row>
    <row r="592" spans="1:3">
      <c r="A592" s="1">
        <v>40303</v>
      </c>
      <c r="B592">
        <v>47.478828430175703</v>
      </c>
      <c r="C592">
        <v>18.13570022583</v>
      </c>
    </row>
    <row r="593" spans="1:3">
      <c r="A593" s="1">
        <v>40304</v>
      </c>
      <c r="B593">
        <v>47.114719390869098</v>
      </c>
      <c r="C593">
        <v>17.676057815551701</v>
      </c>
    </row>
    <row r="594" spans="1:3">
      <c r="A594" s="1">
        <v>40305</v>
      </c>
      <c r="B594">
        <v>47.020057678222599</v>
      </c>
      <c r="C594">
        <v>17.8011074066162</v>
      </c>
    </row>
    <row r="595" spans="1:3">
      <c r="A595" s="1">
        <v>40308</v>
      </c>
      <c r="B595">
        <v>48.359947204589801</v>
      </c>
      <c r="C595">
        <v>18.264131546020501</v>
      </c>
    </row>
    <row r="596" spans="1:3">
      <c r="A596" s="1">
        <v>40309</v>
      </c>
      <c r="B596">
        <v>48.461906433105398</v>
      </c>
      <c r="C596">
        <v>18.118810653686499</v>
      </c>
    </row>
    <row r="597" spans="1:3">
      <c r="A597" s="1">
        <v>40310</v>
      </c>
      <c r="B597">
        <v>48.745883941650298</v>
      </c>
      <c r="C597">
        <v>18.257377624511701</v>
      </c>
    </row>
    <row r="598" spans="1:3">
      <c r="A598" s="1">
        <v>40311</v>
      </c>
      <c r="B598">
        <v>48.410926818847599</v>
      </c>
      <c r="C598">
        <v>18.078252792358398</v>
      </c>
    </row>
    <row r="599" spans="1:3">
      <c r="A599" s="1">
        <v>40312</v>
      </c>
      <c r="B599">
        <v>48.112354278564403</v>
      </c>
      <c r="C599">
        <v>18.027553558349599</v>
      </c>
    </row>
    <row r="600" spans="1:3">
      <c r="A600" s="1">
        <v>40315</v>
      </c>
      <c r="B600">
        <v>48.607540130615199</v>
      </c>
      <c r="C600">
        <v>18.0512084960937</v>
      </c>
    </row>
    <row r="601" spans="1:3">
      <c r="A601" s="1">
        <v>40316</v>
      </c>
      <c r="B601">
        <v>48.4473266601562</v>
      </c>
      <c r="C601">
        <v>17.9464397430419</v>
      </c>
    </row>
    <row r="602" spans="1:3">
      <c r="A602" s="1">
        <v>40317</v>
      </c>
      <c r="B602">
        <v>48.090492248535099</v>
      </c>
      <c r="C602">
        <v>17.953197479248001</v>
      </c>
    </row>
    <row r="603" spans="1:3">
      <c r="A603" s="1">
        <v>40318</v>
      </c>
      <c r="B603">
        <v>46.503021240234297</v>
      </c>
      <c r="C603">
        <v>17.419197082519499</v>
      </c>
    </row>
    <row r="604" spans="1:3">
      <c r="A604" s="1">
        <v>40319</v>
      </c>
      <c r="B604">
        <v>46.299137115478501</v>
      </c>
      <c r="C604">
        <v>17.436100006103501</v>
      </c>
    </row>
    <row r="605" spans="1:3">
      <c r="A605" s="1">
        <v>40322</v>
      </c>
      <c r="B605">
        <v>46.10982131958</v>
      </c>
      <c r="C605">
        <v>17.3921604156494</v>
      </c>
    </row>
    <row r="606" spans="1:3">
      <c r="A606" s="1">
        <v>40323</v>
      </c>
      <c r="B606">
        <v>45.796669006347599</v>
      </c>
      <c r="C606">
        <v>17.108261108398398</v>
      </c>
    </row>
    <row r="607" spans="1:3">
      <c r="A607" s="1">
        <v>40324</v>
      </c>
      <c r="B607">
        <v>44.587852478027301</v>
      </c>
      <c r="C607">
        <v>16.925758361816399</v>
      </c>
    </row>
    <row r="608" spans="1:3">
      <c r="A608" s="1">
        <v>40325</v>
      </c>
      <c r="B608">
        <v>45.803962707519503</v>
      </c>
      <c r="C608">
        <v>17.314426422119102</v>
      </c>
    </row>
    <row r="609" spans="1:3">
      <c r="A609" s="1">
        <v>40326</v>
      </c>
      <c r="B609">
        <v>45.796669006347599</v>
      </c>
      <c r="C609">
        <v>17.371879577636701</v>
      </c>
    </row>
    <row r="610" spans="1:3">
      <c r="A610" s="1">
        <v>40330</v>
      </c>
      <c r="B610">
        <v>45.702003479003899</v>
      </c>
      <c r="C610">
        <v>17.334701538085898</v>
      </c>
    </row>
    <row r="611" spans="1:3">
      <c r="A611" s="1">
        <v>40331</v>
      </c>
      <c r="B611">
        <v>46.567924499511697</v>
      </c>
      <c r="C611">
        <v>17.713233947753899</v>
      </c>
    </row>
    <row r="612" spans="1:3">
      <c r="A612" s="1">
        <v>40332</v>
      </c>
      <c r="B612">
        <v>46.501869201660099</v>
      </c>
      <c r="C612">
        <v>17.828149795532202</v>
      </c>
    </row>
    <row r="613" spans="1:3">
      <c r="A613" s="1">
        <v>40333</v>
      </c>
      <c r="B613">
        <v>45.085601806640597</v>
      </c>
      <c r="C613">
        <v>17.327947616577099</v>
      </c>
    </row>
    <row r="614" spans="1:3">
      <c r="A614" s="1">
        <v>40336</v>
      </c>
      <c r="B614">
        <v>45.2984008789062</v>
      </c>
      <c r="C614">
        <v>17.1690979003906</v>
      </c>
    </row>
    <row r="615" spans="1:3">
      <c r="A615" s="1">
        <v>40337</v>
      </c>
      <c r="B615">
        <v>45.9735298156738</v>
      </c>
      <c r="C615">
        <v>17.4259643554687</v>
      </c>
    </row>
    <row r="616" spans="1:3">
      <c r="A616" s="1">
        <v>40338</v>
      </c>
      <c r="B616">
        <v>45.856117248535099</v>
      </c>
      <c r="C616">
        <v>17.35498046875</v>
      </c>
    </row>
    <row r="617" spans="1:3">
      <c r="A617" s="1">
        <v>40339</v>
      </c>
      <c r="B617">
        <v>46.846736907958899</v>
      </c>
      <c r="C617">
        <v>17.7267551422119</v>
      </c>
    </row>
    <row r="618" spans="1:3">
      <c r="A618" s="1">
        <v>40340</v>
      </c>
      <c r="B618">
        <v>46.641292572021399</v>
      </c>
      <c r="C618">
        <v>17.754257202148398</v>
      </c>
    </row>
    <row r="619" spans="1:3">
      <c r="A619" s="1">
        <v>40343</v>
      </c>
      <c r="B619">
        <v>46.854106903076101</v>
      </c>
      <c r="C619">
        <v>17.7061252593994</v>
      </c>
    </row>
    <row r="620" spans="1:3">
      <c r="A620" s="1">
        <v>40344</v>
      </c>
      <c r="B620">
        <v>47.140281677246001</v>
      </c>
      <c r="C620">
        <v>17.936433792114201</v>
      </c>
    </row>
    <row r="621" spans="1:3">
      <c r="A621" s="1">
        <v>40345</v>
      </c>
      <c r="B621">
        <v>46.898128509521399</v>
      </c>
      <c r="C621">
        <v>18.012060165405199</v>
      </c>
    </row>
    <row r="622" spans="1:3">
      <c r="A622" s="1">
        <v>40346</v>
      </c>
      <c r="B622">
        <v>47.32373046875</v>
      </c>
      <c r="C622">
        <v>17.998313903808501</v>
      </c>
    </row>
    <row r="623" spans="1:3">
      <c r="A623" s="1">
        <v>40347</v>
      </c>
      <c r="B623">
        <v>47.022880554199197</v>
      </c>
      <c r="C623">
        <v>17.9811191558837</v>
      </c>
    </row>
    <row r="624" spans="1:3">
      <c r="A624" s="1">
        <v>40350</v>
      </c>
      <c r="B624">
        <v>46.978851318359297</v>
      </c>
      <c r="C624">
        <v>18.0395603179931</v>
      </c>
    </row>
    <row r="625" spans="1:3">
      <c r="A625" s="1">
        <v>40351</v>
      </c>
      <c r="B625">
        <v>46.450492858886697</v>
      </c>
      <c r="C625">
        <v>18.0326843261718</v>
      </c>
    </row>
    <row r="626" spans="1:3">
      <c r="A626" s="1">
        <v>40352</v>
      </c>
      <c r="B626">
        <v>46.032230377197202</v>
      </c>
      <c r="C626">
        <v>17.957065582275298</v>
      </c>
    </row>
    <row r="627" spans="1:3">
      <c r="A627" s="1">
        <v>40353</v>
      </c>
      <c r="B627">
        <v>45.790069580078097</v>
      </c>
      <c r="C627">
        <v>17.8058166503906</v>
      </c>
    </row>
    <row r="628" spans="1:3">
      <c r="A628" s="1">
        <v>40354</v>
      </c>
      <c r="B628">
        <v>44.593952178955</v>
      </c>
      <c r="C628">
        <v>17.276451110839801</v>
      </c>
    </row>
    <row r="629" spans="1:3">
      <c r="A629" s="1">
        <v>40357</v>
      </c>
      <c r="B629">
        <v>45.4671821594238</v>
      </c>
      <c r="C629">
        <v>17.558326721191399</v>
      </c>
    </row>
    <row r="630" spans="1:3">
      <c r="A630" s="1">
        <v>40358</v>
      </c>
      <c r="B630">
        <v>44.931499481201101</v>
      </c>
      <c r="C630">
        <v>17.300518035888601</v>
      </c>
    </row>
    <row r="631" spans="1:3">
      <c r="A631" s="1">
        <v>40359</v>
      </c>
      <c r="B631">
        <v>44.72603225708</v>
      </c>
      <c r="C631">
        <v>17.228328704833899</v>
      </c>
    </row>
    <row r="632" spans="1:3">
      <c r="A632" s="1">
        <v>40360</v>
      </c>
      <c r="B632">
        <v>45.144313812255803</v>
      </c>
      <c r="C632">
        <v>17.1973972320556</v>
      </c>
    </row>
    <row r="633" spans="1:3">
      <c r="A633" s="1">
        <v>40361</v>
      </c>
      <c r="B633">
        <v>45.151645660400298</v>
      </c>
      <c r="C633">
        <v>17.204269409179599</v>
      </c>
    </row>
    <row r="634" spans="1:3">
      <c r="A634" s="1">
        <v>40365</v>
      </c>
      <c r="B634">
        <v>45.232349395751903</v>
      </c>
      <c r="C634">
        <v>17.334894180297798</v>
      </c>
    </row>
    <row r="635" spans="1:3">
      <c r="A635" s="1">
        <v>40366</v>
      </c>
      <c r="B635">
        <v>46.178997039794901</v>
      </c>
      <c r="C635">
        <v>17.692384719848601</v>
      </c>
    </row>
    <row r="636" spans="1:3">
      <c r="A636" s="1">
        <v>40367</v>
      </c>
      <c r="B636">
        <v>46.964168548583899</v>
      </c>
      <c r="C636">
        <v>18.018936157226499</v>
      </c>
    </row>
    <row r="637" spans="1:3">
      <c r="A637" s="1">
        <v>40368</v>
      </c>
      <c r="B637">
        <v>46.597278594970703</v>
      </c>
      <c r="C637">
        <v>18.012060165405199</v>
      </c>
    </row>
    <row r="638" spans="1:3">
      <c r="A638" s="1">
        <v>40371</v>
      </c>
      <c r="B638">
        <v>46.773380279541001</v>
      </c>
      <c r="C638">
        <v>18.029251098632798</v>
      </c>
    </row>
    <row r="639" spans="1:3">
      <c r="A639" s="1">
        <v>40372</v>
      </c>
      <c r="B639">
        <v>46.545906066894503</v>
      </c>
      <c r="C639">
        <v>18.122055053710898</v>
      </c>
    </row>
    <row r="640" spans="1:3">
      <c r="A640" s="1">
        <v>40373</v>
      </c>
      <c r="B640">
        <v>46.641292572021399</v>
      </c>
      <c r="C640">
        <v>18.1564331054687</v>
      </c>
    </row>
    <row r="641" spans="1:3">
      <c r="A641" s="1">
        <v>40374</v>
      </c>
      <c r="B641">
        <v>46.347763061523402</v>
      </c>
      <c r="C641">
        <v>18.1667461395263</v>
      </c>
    </row>
    <row r="642" spans="1:3">
      <c r="A642" s="1">
        <v>40375</v>
      </c>
      <c r="B642">
        <v>45.826759338378899</v>
      </c>
      <c r="C642">
        <v>18.0017490386962</v>
      </c>
    </row>
    <row r="643" spans="1:3">
      <c r="A643" s="1">
        <v>40378</v>
      </c>
      <c r="B643">
        <v>45.533233642578097</v>
      </c>
      <c r="C643">
        <v>17.967372894287099</v>
      </c>
    </row>
    <row r="644" spans="1:3">
      <c r="A644" s="1">
        <v>40379</v>
      </c>
      <c r="B644">
        <v>47.499866485595703</v>
      </c>
      <c r="C644">
        <v>18.300807952880799</v>
      </c>
    </row>
    <row r="645" spans="1:3">
      <c r="A645" s="1">
        <v>40380</v>
      </c>
      <c r="B645">
        <v>46.927486419677699</v>
      </c>
      <c r="C645">
        <v>18.589542388916001</v>
      </c>
    </row>
    <row r="646" spans="1:3">
      <c r="A646" s="1">
        <v>40381</v>
      </c>
      <c r="B646">
        <v>47.118274688720703</v>
      </c>
      <c r="C646">
        <v>18.651418685913001</v>
      </c>
    </row>
    <row r="647" spans="1:3">
      <c r="A647" s="1">
        <v>40382</v>
      </c>
      <c r="B647">
        <v>47.294403076171797</v>
      </c>
      <c r="C647">
        <v>18.819850921630799</v>
      </c>
    </row>
    <row r="648" spans="1:3">
      <c r="A648" s="1">
        <v>40385</v>
      </c>
      <c r="B648">
        <v>47.683319091796797</v>
      </c>
      <c r="C648">
        <v>18.8851623535156</v>
      </c>
    </row>
    <row r="649" spans="1:3">
      <c r="A649" s="1">
        <v>40386</v>
      </c>
      <c r="B649">
        <v>48.204326629638601</v>
      </c>
      <c r="C649">
        <v>18.9229717254638</v>
      </c>
    </row>
    <row r="650" spans="1:3">
      <c r="A650" s="1">
        <v>40387</v>
      </c>
      <c r="B650">
        <v>47.844753265380803</v>
      </c>
      <c r="C650">
        <v>18.864540100097599</v>
      </c>
    </row>
    <row r="651" spans="1:3">
      <c r="A651" s="1">
        <v>40388</v>
      </c>
      <c r="B651">
        <v>47.617263793945298</v>
      </c>
      <c r="C651">
        <v>18.902349472045898</v>
      </c>
    </row>
    <row r="652" spans="1:3">
      <c r="A652" s="1">
        <v>40389</v>
      </c>
      <c r="B652">
        <v>47.631942749023402</v>
      </c>
      <c r="C652">
        <v>18.9436016082763</v>
      </c>
    </row>
    <row r="653" spans="1:3">
      <c r="A653" s="1">
        <v>40392</v>
      </c>
      <c r="B653">
        <v>47.896114349365199</v>
      </c>
      <c r="C653">
        <v>19.390474319458001</v>
      </c>
    </row>
    <row r="654" spans="1:3">
      <c r="A654" s="1">
        <v>40393</v>
      </c>
      <c r="B654">
        <v>48.2630195617675</v>
      </c>
      <c r="C654">
        <v>19.3801555633544</v>
      </c>
    </row>
    <row r="655" spans="1:3">
      <c r="A655" s="1">
        <v>40394</v>
      </c>
      <c r="B655">
        <v>48.556549072265597</v>
      </c>
      <c r="C655">
        <v>19.4385871887207</v>
      </c>
    </row>
    <row r="656" spans="1:3">
      <c r="A656" s="1">
        <v>40395</v>
      </c>
      <c r="B656">
        <v>48.123607635497997</v>
      </c>
      <c r="C656">
        <v>19.376716613769499</v>
      </c>
    </row>
    <row r="657" spans="1:3">
      <c r="A657" s="1">
        <v>40396</v>
      </c>
      <c r="B657">
        <v>48.358425140380803</v>
      </c>
      <c r="C657">
        <v>19.507337570190401</v>
      </c>
    </row>
    <row r="658" spans="1:3">
      <c r="A658" s="1">
        <v>40399</v>
      </c>
      <c r="B658">
        <v>48.7400093078613</v>
      </c>
      <c r="C658">
        <v>19.631086349487301</v>
      </c>
    </row>
    <row r="659" spans="1:3">
      <c r="A659" s="1">
        <v>40400</v>
      </c>
      <c r="B659">
        <v>48.820716857910099</v>
      </c>
      <c r="C659">
        <v>19.586397171020501</v>
      </c>
    </row>
    <row r="660" spans="1:3">
      <c r="A660" s="1">
        <v>40401</v>
      </c>
      <c r="B660">
        <v>48.028205871582003</v>
      </c>
      <c r="C660">
        <v>19.263280868530199</v>
      </c>
    </row>
    <row r="661" spans="1:3">
      <c r="A661" s="1">
        <v>40402</v>
      </c>
      <c r="B661">
        <v>47.830062866210902</v>
      </c>
      <c r="C661">
        <v>19.1429748535156</v>
      </c>
    </row>
    <row r="662" spans="1:3">
      <c r="A662" s="1">
        <v>40403</v>
      </c>
      <c r="B662">
        <v>48.108924865722599</v>
      </c>
      <c r="C662">
        <v>19.156719207763601</v>
      </c>
    </row>
    <row r="663" spans="1:3">
      <c r="A663" s="1">
        <v>40406</v>
      </c>
      <c r="B663">
        <v>48.013530731201101</v>
      </c>
      <c r="C663">
        <v>19.2082824707031</v>
      </c>
    </row>
    <row r="664" spans="1:3">
      <c r="A664" s="1">
        <v>40407</v>
      </c>
      <c r="B664">
        <v>48.101585388183501</v>
      </c>
      <c r="C664">
        <v>19.2907810211181</v>
      </c>
    </row>
    <row r="665" spans="1:3">
      <c r="A665" s="1">
        <v>40408</v>
      </c>
      <c r="B665">
        <v>48.079578399658203</v>
      </c>
      <c r="C665">
        <v>19.1945400238037</v>
      </c>
    </row>
    <row r="666" spans="1:3">
      <c r="A666" s="1">
        <v>40409</v>
      </c>
      <c r="B666">
        <v>47.448497772216797</v>
      </c>
      <c r="C666">
        <v>19.002038955688398</v>
      </c>
    </row>
    <row r="667" spans="1:3">
      <c r="A667" s="1">
        <v>40410</v>
      </c>
      <c r="B667">
        <v>47.551235198974602</v>
      </c>
      <c r="C667">
        <v>19.008907318115199</v>
      </c>
    </row>
    <row r="668" spans="1:3">
      <c r="A668" s="1">
        <v>40413</v>
      </c>
      <c r="B668">
        <v>47.565902709960902</v>
      </c>
      <c r="C668">
        <v>19.112035751342699</v>
      </c>
    </row>
    <row r="669" spans="1:3">
      <c r="A669" s="1">
        <v>40414</v>
      </c>
      <c r="B669">
        <v>47.536548614501903</v>
      </c>
      <c r="C669">
        <v>19.132665634155199</v>
      </c>
    </row>
    <row r="670" spans="1:3">
      <c r="A670" s="1">
        <v>40415</v>
      </c>
      <c r="B670">
        <v>47.3824462890625</v>
      </c>
      <c r="C670">
        <v>19.039846420288001</v>
      </c>
    </row>
    <row r="671" spans="1:3">
      <c r="A671" s="1">
        <v>40416</v>
      </c>
      <c r="B671">
        <v>47.059574127197202</v>
      </c>
      <c r="C671">
        <v>18.9607944488525</v>
      </c>
    </row>
    <row r="672" spans="1:3">
      <c r="A672" s="1">
        <v>40417</v>
      </c>
      <c r="B672">
        <v>47.052227020263601</v>
      </c>
      <c r="C672">
        <v>19.3045349121093</v>
      </c>
    </row>
    <row r="673" spans="1:3">
      <c r="A673" s="1">
        <v>40420</v>
      </c>
      <c r="B673">
        <v>46.670635223388601</v>
      </c>
      <c r="C673">
        <v>19.094844818115199</v>
      </c>
    </row>
    <row r="674" spans="1:3">
      <c r="A674" s="1">
        <v>40421</v>
      </c>
      <c r="B674">
        <v>47.096260070800703</v>
      </c>
      <c r="C674">
        <v>19.2082824707031</v>
      </c>
    </row>
    <row r="675" spans="1:3">
      <c r="A675" s="1">
        <v>40422</v>
      </c>
      <c r="B675">
        <v>47.97607421875</v>
      </c>
      <c r="C675">
        <v>19.6998386383056</v>
      </c>
    </row>
    <row r="676" spans="1:3">
      <c r="A676" s="1">
        <v>40423</v>
      </c>
      <c r="B676">
        <v>48.035221099853501</v>
      </c>
      <c r="C676">
        <v>19.723897933959901</v>
      </c>
    </row>
    <row r="677" spans="1:3">
      <c r="A677" s="1">
        <v>40424</v>
      </c>
      <c r="B677">
        <v>48.478828430175703</v>
      </c>
      <c r="C677">
        <v>19.785762786865199</v>
      </c>
    </row>
    <row r="678" spans="1:3">
      <c r="A678" s="1">
        <v>40428</v>
      </c>
      <c r="B678">
        <v>48.412296295166001</v>
      </c>
      <c r="C678">
        <v>19.809831619262599</v>
      </c>
    </row>
    <row r="679" spans="1:3">
      <c r="A679" s="1">
        <v>40429</v>
      </c>
      <c r="B679">
        <v>48.375328063964801</v>
      </c>
      <c r="C679">
        <v>19.878582000732401</v>
      </c>
    </row>
    <row r="680" spans="1:3">
      <c r="A680" s="1">
        <v>40430</v>
      </c>
      <c r="B680">
        <v>49.231864929199197</v>
      </c>
      <c r="C680">
        <v>20.036699295043899</v>
      </c>
    </row>
    <row r="681" spans="1:3">
      <c r="A681" s="1">
        <v>40431</v>
      </c>
      <c r="B681">
        <v>49.462745666503899</v>
      </c>
      <c r="C681">
        <v>20.115758895873999</v>
      </c>
    </row>
    <row r="682" spans="1:3">
      <c r="A682" s="1">
        <v>40434</v>
      </c>
      <c r="B682">
        <v>49.343574523925703</v>
      </c>
      <c r="C682">
        <v>20.251867294311499</v>
      </c>
    </row>
    <row r="683" spans="1:3">
      <c r="A683" s="1">
        <v>40435</v>
      </c>
      <c r="B683">
        <v>49.142486572265597</v>
      </c>
      <c r="C683">
        <v>20.098314285278299</v>
      </c>
    </row>
    <row r="684" spans="1:3">
      <c r="A684" s="1">
        <v>40436</v>
      </c>
      <c r="B684">
        <v>49.529777526855398</v>
      </c>
      <c r="C684">
        <v>20.038982391357401</v>
      </c>
    </row>
    <row r="685" spans="1:3">
      <c r="A685" s="1">
        <v>40437</v>
      </c>
      <c r="B685">
        <v>49.611709594726499</v>
      </c>
      <c r="C685">
        <v>20.070390701293899</v>
      </c>
    </row>
    <row r="686" spans="1:3">
      <c r="A686" s="1">
        <v>40438</v>
      </c>
      <c r="B686">
        <v>49.246749877929602</v>
      </c>
      <c r="C686">
        <v>20.087842941284102</v>
      </c>
    </row>
    <row r="687" spans="1:3">
      <c r="A687" s="1">
        <v>40441</v>
      </c>
      <c r="B687">
        <v>49.8202514648437</v>
      </c>
      <c r="C687">
        <v>20.2309246063232</v>
      </c>
    </row>
    <row r="688" spans="1:3">
      <c r="A688" s="1">
        <v>40442</v>
      </c>
      <c r="B688">
        <v>49.499988555908203</v>
      </c>
      <c r="C688">
        <v>20.27978515625</v>
      </c>
    </row>
    <row r="689" spans="1:3">
      <c r="A689" s="1">
        <v>40443</v>
      </c>
      <c r="B689">
        <v>49.648952484130803</v>
      </c>
      <c r="C689">
        <v>20.321668624877901</v>
      </c>
    </row>
    <row r="690" spans="1:3">
      <c r="A690" s="1">
        <v>40444</v>
      </c>
      <c r="B690">
        <v>49.000965118408203</v>
      </c>
      <c r="C690">
        <v>20.196029663085898</v>
      </c>
    </row>
    <row r="691" spans="1:3">
      <c r="A691" s="1">
        <v>40445</v>
      </c>
      <c r="B691">
        <v>49.254203796386697</v>
      </c>
      <c r="C691">
        <v>20.457767486572202</v>
      </c>
    </row>
    <row r="692" spans="1:3">
      <c r="A692" s="1">
        <v>40448</v>
      </c>
      <c r="B692">
        <v>49.432949066162102</v>
      </c>
      <c r="C692">
        <v>20.450792312621999</v>
      </c>
    </row>
    <row r="693" spans="1:3">
      <c r="A693" s="1">
        <v>40449</v>
      </c>
      <c r="B693">
        <v>49.738323211669901</v>
      </c>
      <c r="C693">
        <v>20.625286102294901</v>
      </c>
    </row>
    <row r="694" spans="1:3">
      <c r="A694" s="1">
        <v>40450</v>
      </c>
      <c r="B694">
        <v>49.715984344482401</v>
      </c>
      <c r="C694">
        <v>20.506629943847599</v>
      </c>
    </row>
    <row r="695" spans="1:3">
      <c r="A695" s="1">
        <v>40451</v>
      </c>
      <c r="B695">
        <v>49.485092163085902</v>
      </c>
      <c r="C695">
        <v>20.422872543334901</v>
      </c>
    </row>
    <row r="696" spans="1:3">
      <c r="A696" s="1">
        <v>40452</v>
      </c>
      <c r="B696">
        <v>49.902175903320298</v>
      </c>
      <c r="C696">
        <v>20.632268905639599</v>
      </c>
    </row>
    <row r="697" spans="1:3">
      <c r="A697" s="1">
        <v>40455</v>
      </c>
      <c r="B697">
        <v>49.805366516113203</v>
      </c>
      <c r="C697">
        <v>20.548505783081001</v>
      </c>
    </row>
    <row r="698" spans="1:3">
      <c r="A698" s="1">
        <v>40456</v>
      </c>
      <c r="B698">
        <v>50.468231201171797</v>
      </c>
      <c r="C698">
        <v>20.820722579956001</v>
      </c>
    </row>
    <row r="699" spans="1:3">
      <c r="A699" s="1">
        <v>40457</v>
      </c>
      <c r="B699">
        <v>50.728912353515597</v>
      </c>
      <c r="C699">
        <v>20.869581222534102</v>
      </c>
    </row>
    <row r="700" spans="1:3">
      <c r="A700" s="1">
        <v>40458</v>
      </c>
      <c r="B700">
        <v>49.231864929199197</v>
      </c>
      <c r="C700">
        <v>20.743938446044901</v>
      </c>
    </row>
    <row r="701" spans="1:3">
      <c r="A701" s="1">
        <v>40459</v>
      </c>
      <c r="B701">
        <v>48.971164703369098</v>
      </c>
      <c r="C701">
        <v>20.733465194702099</v>
      </c>
    </row>
    <row r="702" spans="1:3">
      <c r="A702" s="1">
        <v>40462</v>
      </c>
      <c r="B702">
        <v>48.799861907958899</v>
      </c>
      <c r="C702">
        <v>20.785821914672798</v>
      </c>
    </row>
    <row r="703" spans="1:3">
      <c r="A703" s="1">
        <v>40463</v>
      </c>
      <c r="B703">
        <v>49.216953277587798</v>
      </c>
      <c r="C703">
        <v>20.799783706665</v>
      </c>
    </row>
    <row r="704" spans="1:3">
      <c r="A704" s="1">
        <v>40464</v>
      </c>
      <c r="B704">
        <v>49.455295562744098</v>
      </c>
      <c r="C704">
        <v>20.918437957763601</v>
      </c>
    </row>
    <row r="705" spans="1:3">
      <c r="A705" s="1">
        <v>40465</v>
      </c>
      <c r="B705">
        <v>49.6340522766113</v>
      </c>
      <c r="C705">
        <v>20.907964706420898</v>
      </c>
    </row>
    <row r="706" spans="1:3">
      <c r="A706" s="1">
        <v>40466</v>
      </c>
      <c r="B706">
        <v>49.663856506347599</v>
      </c>
      <c r="C706">
        <v>20.918437957763601</v>
      </c>
    </row>
    <row r="707" spans="1:3">
      <c r="A707" s="1">
        <v>40469</v>
      </c>
      <c r="B707">
        <v>49.529777526855398</v>
      </c>
      <c r="C707">
        <v>20.939374923706001</v>
      </c>
    </row>
    <row r="708" spans="1:3">
      <c r="A708" s="1">
        <v>40470</v>
      </c>
      <c r="B708">
        <v>48.717933654785099</v>
      </c>
      <c r="C708">
        <v>21.058031082153299</v>
      </c>
    </row>
    <row r="709" spans="1:3">
      <c r="A709" s="1">
        <v>40471</v>
      </c>
      <c r="B709">
        <v>48.390220642089801</v>
      </c>
      <c r="C709">
        <v>21.340715408325099</v>
      </c>
    </row>
    <row r="710" spans="1:3">
      <c r="A710" s="1">
        <v>40472</v>
      </c>
      <c r="B710">
        <v>48.546619415283203</v>
      </c>
      <c r="C710">
        <v>21.452388763427699</v>
      </c>
    </row>
    <row r="711" spans="1:3">
      <c r="A711" s="1">
        <v>40473</v>
      </c>
      <c r="B711">
        <v>48.420013427734297</v>
      </c>
      <c r="C711">
        <v>21.501253128051701</v>
      </c>
    </row>
    <row r="712" spans="1:3">
      <c r="A712" s="1">
        <v>40476</v>
      </c>
      <c r="B712">
        <v>48.449813842773402</v>
      </c>
      <c r="C712">
        <v>21.291852951049801</v>
      </c>
    </row>
    <row r="713" spans="1:3">
      <c r="A713" s="1">
        <v>40477</v>
      </c>
      <c r="B713">
        <v>48.256168365478501</v>
      </c>
      <c r="C713">
        <v>21.372123718261701</v>
      </c>
    </row>
    <row r="714" spans="1:3">
      <c r="A714" s="1">
        <v>40478</v>
      </c>
      <c r="B714">
        <v>47.868843078613203</v>
      </c>
      <c r="C714">
        <v>21.354671478271399</v>
      </c>
    </row>
    <row r="715" spans="1:3">
      <c r="A715" s="1">
        <v>40479</v>
      </c>
      <c r="B715">
        <v>48.420013427734297</v>
      </c>
      <c r="C715">
        <v>21.3616523742675</v>
      </c>
    </row>
    <row r="716" spans="1:3">
      <c r="A716" s="1">
        <v>40480</v>
      </c>
      <c r="B716">
        <v>48.635997772216797</v>
      </c>
      <c r="C716">
        <v>21.4000434875488</v>
      </c>
    </row>
    <row r="717" spans="1:3">
      <c r="A717" s="1">
        <v>40483</v>
      </c>
      <c r="B717">
        <v>48.822208404541001</v>
      </c>
      <c r="C717">
        <v>21.536148071288999</v>
      </c>
    </row>
    <row r="718" spans="1:3">
      <c r="A718" s="1">
        <v>40484</v>
      </c>
      <c r="B718">
        <v>49.0084228515625</v>
      </c>
      <c r="C718">
        <v>21.5884914398193</v>
      </c>
    </row>
    <row r="719" spans="1:3">
      <c r="A719" s="1">
        <v>40485</v>
      </c>
      <c r="B719">
        <v>48.5615234375</v>
      </c>
      <c r="C719">
        <v>21.6199035644531</v>
      </c>
    </row>
    <row r="720" spans="1:3">
      <c r="A720" s="1">
        <v>40486</v>
      </c>
      <c r="B720">
        <v>48.673248291015597</v>
      </c>
      <c r="C720">
        <v>21.794399261474599</v>
      </c>
    </row>
    <row r="721" spans="1:3">
      <c r="A721" s="1">
        <v>40487</v>
      </c>
      <c r="B721">
        <v>48.472160339355398</v>
      </c>
      <c r="C721">
        <v>21.839773178100501</v>
      </c>
    </row>
    <row r="722" spans="1:3">
      <c r="A722" s="1">
        <v>40490</v>
      </c>
      <c r="B722">
        <v>48.494499206542898</v>
      </c>
      <c r="C722">
        <v>21.797889709472599</v>
      </c>
    </row>
    <row r="723" spans="1:3">
      <c r="A723" s="1">
        <v>40491</v>
      </c>
      <c r="B723">
        <v>48.635997772216797</v>
      </c>
      <c r="C723">
        <v>21.860704421996999</v>
      </c>
    </row>
    <row r="724" spans="1:3">
      <c r="A724" s="1">
        <v>40492</v>
      </c>
      <c r="B724">
        <v>48.598770141601499</v>
      </c>
      <c r="C724">
        <v>21.829299926757798</v>
      </c>
    </row>
    <row r="725" spans="1:3">
      <c r="A725" s="1">
        <v>40493</v>
      </c>
      <c r="B725">
        <v>48.338066101074197</v>
      </c>
      <c r="C725">
        <v>21.916545867919901</v>
      </c>
    </row>
    <row r="726" spans="1:3">
      <c r="A726" s="1">
        <v>40494</v>
      </c>
      <c r="B726">
        <v>48.144432067871001</v>
      </c>
      <c r="C726">
        <v>21.958427429199201</v>
      </c>
    </row>
    <row r="727" spans="1:3">
      <c r="A727" s="1">
        <v>40497</v>
      </c>
      <c r="B727">
        <v>47.980583190917898</v>
      </c>
      <c r="C727">
        <v>21.972385406494102</v>
      </c>
    </row>
    <row r="728" spans="1:3">
      <c r="A728" s="1">
        <v>40498</v>
      </c>
      <c r="B728">
        <v>47.697547912597599</v>
      </c>
      <c r="C728">
        <v>21.6652717590332</v>
      </c>
    </row>
    <row r="729" spans="1:3">
      <c r="A729" s="1">
        <v>40499</v>
      </c>
      <c r="B729">
        <v>47.623069763183501</v>
      </c>
      <c r="C729">
        <v>21.818834304809499</v>
      </c>
    </row>
    <row r="730" spans="1:3">
      <c r="A730" s="1">
        <v>40500</v>
      </c>
      <c r="B730">
        <v>48.241264343261697</v>
      </c>
      <c r="C730">
        <v>22.2795009613037</v>
      </c>
    </row>
    <row r="731" spans="1:3">
      <c r="A731" s="1">
        <v>40501</v>
      </c>
      <c r="B731">
        <v>48.196575164794901</v>
      </c>
      <c r="C731">
        <v>22.4470100402832</v>
      </c>
    </row>
    <row r="732" spans="1:3">
      <c r="A732" s="1">
        <v>40504</v>
      </c>
      <c r="B732">
        <v>48.189128875732401</v>
      </c>
      <c r="C732">
        <v>22.429559707641602</v>
      </c>
    </row>
    <row r="733" spans="1:3">
      <c r="A733" s="1">
        <v>40505</v>
      </c>
      <c r="B733">
        <v>47.585826873779297</v>
      </c>
      <c r="C733">
        <v>22.202714920043899</v>
      </c>
    </row>
    <row r="734" spans="1:3">
      <c r="A734" s="1">
        <v>40506</v>
      </c>
      <c r="B734">
        <v>47.913551330566399</v>
      </c>
      <c r="C734">
        <v>22.548219680786101</v>
      </c>
    </row>
    <row r="735" spans="1:3">
      <c r="A735" s="1">
        <v>40508</v>
      </c>
      <c r="B735">
        <v>47.593276977538999</v>
      </c>
      <c r="C735">
        <v>22.373722076416001</v>
      </c>
    </row>
    <row r="736" spans="1:3">
      <c r="A736" s="1">
        <v>40511</v>
      </c>
      <c r="B736">
        <v>47.675212860107401</v>
      </c>
      <c r="C736">
        <v>22.430332183837798</v>
      </c>
    </row>
    <row r="737" spans="1:3">
      <c r="A737" s="1">
        <v>40512</v>
      </c>
      <c r="B737">
        <v>48.1369819641113</v>
      </c>
      <c r="C737">
        <v>22.352493286132798</v>
      </c>
    </row>
    <row r="738" spans="1:3">
      <c r="A738" s="1">
        <v>40513</v>
      </c>
      <c r="B738">
        <v>49.247550964355398</v>
      </c>
      <c r="C738">
        <v>22.893875122070298</v>
      </c>
    </row>
    <row r="739" spans="1:3">
      <c r="A739" s="1">
        <v>40514</v>
      </c>
      <c r="B739">
        <v>48.924888610839801</v>
      </c>
      <c r="C739">
        <v>22.964647293090799</v>
      </c>
    </row>
    <row r="740" spans="1:3">
      <c r="A740" s="1">
        <v>40515</v>
      </c>
      <c r="B740">
        <v>48.902370452880803</v>
      </c>
      <c r="C740">
        <v>22.8231086730957</v>
      </c>
    </row>
    <row r="741" spans="1:3">
      <c r="A741" s="1">
        <v>40518</v>
      </c>
      <c r="B741">
        <v>48.572219848632798</v>
      </c>
      <c r="C741">
        <v>22.6426467895507</v>
      </c>
    </row>
    <row r="742" spans="1:3">
      <c r="A742" s="1">
        <v>40519</v>
      </c>
      <c r="B742">
        <v>48.5346870422363</v>
      </c>
      <c r="C742">
        <v>22.695724487304599</v>
      </c>
    </row>
    <row r="743" spans="1:3">
      <c r="A743" s="1">
        <v>40520</v>
      </c>
      <c r="B743">
        <v>48.497173309326101</v>
      </c>
      <c r="C743">
        <v>22.784181594848601</v>
      </c>
    </row>
    <row r="744" spans="1:3">
      <c r="A744" s="1">
        <v>40521</v>
      </c>
      <c r="B744">
        <v>48.564701080322202</v>
      </c>
      <c r="C744">
        <v>22.939872741699201</v>
      </c>
    </row>
    <row r="745" spans="1:3">
      <c r="A745" s="1">
        <v>40522</v>
      </c>
      <c r="B745">
        <v>48.699760437011697</v>
      </c>
      <c r="C745">
        <v>22.876184463500898</v>
      </c>
    </row>
    <row r="746" spans="1:3">
      <c r="A746" s="1">
        <v>40525</v>
      </c>
      <c r="B746">
        <v>49.172512054443303</v>
      </c>
      <c r="C746">
        <v>22.9469490051269</v>
      </c>
    </row>
    <row r="747" spans="1:3">
      <c r="A747" s="1">
        <v>40526</v>
      </c>
      <c r="B747">
        <v>49.217525482177699</v>
      </c>
      <c r="C747">
        <v>22.61079788208</v>
      </c>
    </row>
    <row r="748" spans="1:3">
      <c r="A748" s="1">
        <v>40527</v>
      </c>
      <c r="B748">
        <v>48.954902648925703</v>
      </c>
      <c r="C748">
        <v>22.908025741577099</v>
      </c>
    </row>
    <row r="749" spans="1:3">
      <c r="A749" s="1">
        <v>40528</v>
      </c>
      <c r="B749">
        <v>49.337589263916001</v>
      </c>
      <c r="C749">
        <v>23.120334625244102</v>
      </c>
    </row>
    <row r="750" spans="1:3">
      <c r="A750" s="1">
        <v>40529</v>
      </c>
      <c r="B750">
        <v>49.502685546875</v>
      </c>
      <c r="C750">
        <v>23.2477207183837</v>
      </c>
    </row>
    <row r="751" spans="1:3">
      <c r="A751" s="1">
        <v>40532</v>
      </c>
      <c r="B751">
        <v>49.757804870605398</v>
      </c>
      <c r="C751">
        <v>23.109722137451101</v>
      </c>
    </row>
    <row r="752" spans="1:3">
      <c r="A752" s="1">
        <v>40533</v>
      </c>
      <c r="B752">
        <v>49.074966430663999</v>
      </c>
      <c r="C752">
        <v>23.173418045043899</v>
      </c>
    </row>
    <row r="753" spans="1:3">
      <c r="A753" s="1">
        <v>40534</v>
      </c>
      <c r="B753">
        <v>49.285064697265597</v>
      </c>
      <c r="C753">
        <v>23.208797454833899</v>
      </c>
    </row>
    <row r="754" spans="1:3">
      <c r="A754" s="1">
        <v>40535</v>
      </c>
      <c r="B754">
        <v>49.292579650878899</v>
      </c>
      <c r="C754">
        <v>23.2052612304687</v>
      </c>
    </row>
    <row r="755" spans="1:3">
      <c r="A755" s="1">
        <v>40539</v>
      </c>
      <c r="B755">
        <v>49.089969635009702</v>
      </c>
      <c r="C755">
        <v>23.024795532226499</v>
      </c>
    </row>
    <row r="756" spans="1:3">
      <c r="A756" s="1">
        <v>40540</v>
      </c>
      <c r="B756">
        <v>48.984928131103501</v>
      </c>
      <c r="C756">
        <v>23.127426147460898</v>
      </c>
    </row>
    <row r="757" spans="1:3">
      <c r="A757" s="1">
        <v>40541</v>
      </c>
      <c r="B757">
        <v>49.022441864013601</v>
      </c>
      <c r="C757">
        <v>23.159257888793899</v>
      </c>
    </row>
    <row r="758" spans="1:3">
      <c r="A758" s="1">
        <v>40542</v>
      </c>
      <c r="B758">
        <v>48.864856719970703</v>
      </c>
      <c r="C758">
        <v>23.176958084106399</v>
      </c>
    </row>
    <row r="759" spans="1:3">
      <c r="A759" s="1">
        <v>40543</v>
      </c>
      <c r="B759">
        <v>49.022441864013601</v>
      </c>
      <c r="C759">
        <v>23.272495269775298</v>
      </c>
    </row>
    <row r="760" spans="1:3">
      <c r="A760" s="1">
        <v>40546</v>
      </c>
      <c r="B760">
        <v>49.337589263916001</v>
      </c>
      <c r="C760">
        <v>23.077880859375</v>
      </c>
    </row>
    <row r="761" spans="1:3">
      <c r="A761" s="1">
        <v>40547</v>
      </c>
      <c r="B761">
        <v>49.082469940185497</v>
      </c>
      <c r="C761">
        <v>22.600183486938398</v>
      </c>
    </row>
    <row r="762" spans="1:3">
      <c r="A762" s="1">
        <v>40548</v>
      </c>
      <c r="B762">
        <v>49.967926025390597</v>
      </c>
      <c r="C762">
        <v>22.4657173156738</v>
      </c>
    </row>
    <row r="763" spans="1:3">
      <c r="A763" s="1">
        <v>40549</v>
      </c>
      <c r="B763">
        <v>50.155513763427699</v>
      </c>
      <c r="C763">
        <v>22.302951812744102</v>
      </c>
    </row>
    <row r="764" spans="1:3">
      <c r="A764" s="1">
        <v>40550</v>
      </c>
      <c r="B764">
        <v>49.817844390869098</v>
      </c>
      <c r="C764">
        <v>22.2640285491943</v>
      </c>
    </row>
    <row r="765" spans="1:3">
      <c r="A765" s="1">
        <v>40553</v>
      </c>
      <c r="B765">
        <v>49.562709808349602</v>
      </c>
      <c r="C765">
        <v>22.3135662078857</v>
      </c>
    </row>
    <row r="766" spans="1:3">
      <c r="A766" s="1">
        <v>40554</v>
      </c>
      <c r="B766">
        <v>49.772811889648402</v>
      </c>
      <c r="C766">
        <v>22.182643890380799</v>
      </c>
    </row>
    <row r="767" spans="1:3">
      <c r="A767" s="1">
        <v>40555</v>
      </c>
      <c r="B767">
        <v>50.072971343994098</v>
      </c>
      <c r="C767">
        <v>22.306491851806602</v>
      </c>
    </row>
    <row r="768" spans="1:3">
      <c r="A768" s="1">
        <v>40556</v>
      </c>
      <c r="B768">
        <v>50.208049774169901</v>
      </c>
      <c r="C768">
        <v>22.433879852294901</v>
      </c>
    </row>
    <row r="769" spans="1:3">
      <c r="A769" s="1">
        <v>40557</v>
      </c>
      <c r="B769">
        <v>50.110496520996001</v>
      </c>
      <c r="C769">
        <v>22.3383388519287</v>
      </c>
    </row>
    <row r="770" spans="1:3">
      <c r="A770" s="1">
        <v>40561</v>
      </c>
      <c r="B770">
        <v>49.952919006347599</v>
      </c>
      <c r="C770">
        <v>22.462182998657202</v>
      </c>
    </row>
    <row r="771" spans="1:3">
      <c r="A771" s="1">
        <v>40562</v>
      </c>
      <c r="B771">
        <v>49.450157165527301</v>
      </c>
      <c r="C771">
        <v>22.440950393676701</v>
      </c>
    </row>
    <row r="772" spans="1:3">
      <c r="A772" s="1">
        <v>40563</v>
      </c>
      <c r="B772">
        <v>49.450157165527301</v>
      </c>
      <c r="C772">
        <v>22.267572402954102</v>
      </c>
    </row>
    <row r="773" spans="1:3">
      <c r="A773" s="1">
        <v>40564</v>
      </c>
      <c r="B773">
        <v>49.427639007568303</v>
      </c>
      <c r="C773">
        <v>22.210958480834901</v>
      </c>
    </row>
    <row r="774" spans="1:3">
      <c r="A774" s="1">
        <v>40567</v>
      </c>
      <c r="B774">
        <v>49.660266876220703</v>
      </c>
      <c r="C774">
        <v>22.380802154541001</v>
      </c>
    </row>
    <row r="775" spans="1:3">
      <c r="A775" s="1">
        <v>40568</v>
      </c>
      <c r="B775">
        <v>49.3526000976562</v>
      </c>
      <c r="C775">
        <v>22.278181076049801</v>
      </c>
    </row>
    <row r="776" spans="1:3">
      <c r="A776" s="1">
        <v>40569</v>
      </c>
      <c r="B776">
        <v>49.420143127441399</v>
      </c>
      <c r="C776">
        <v>22.278181076049801</v>
      </c>
    </row>
    <row r="777" spans="1:3">
      <c r="A777" s="1">
        <v>40570</v>
      </c>
      <c r="B777">
        <v>49.195022583007798</v>
      </c>
      <c r="C777">
        <v>22.186182022094702</v>
      </c>
    </row>
    <row r="778" spans="1:3">
      <c r="A778" s="1">
        <v>40571</v>
      </c>
      <c r="B778">
        <v>48.3245849609375</v>
      </c>
      <c r="C778">
        <v>22.012800216674801</v>
      </c>
    </row>
    <row r="779" spans="1:3">
      <c r="A779" s="1">
        <v>40574</v>
      </c>
      <c r="B779">
        <v>48.257049560546797</v>
      </c>
      <c r="C779">
        <v>22.2392578125</v>
      </c>
    </row>
    <row r="780" spans="1:3">
      <c r="A780" s="1">
        <v>40575</v>
      </c>
      <c r="B780">
        <v>48.812339782714801</v>
      </c>
      <c r="C780">
        <v>22.310029983520501</v>
      </c>
    </row>
    <row r="781" spans="1:3">
      <c r="A781" s="1">
        <v>40576</v>
      </c>
      <c r="B781">
        <v>48.512176513671797</v>
      </c>
      <c r="C781">
        <v>22.2428073883056</v>
      </c>
    </row>
    <row r="782" spans="1:3">
      <c r="A782" s="1">
        <v>40577</v>
      </c>
      <c r="B782">
        <v>48.1595039367675</v>
      </c>
      <c r="C782">
        <v>22.140180587768501</v>
      </c>
    </row>
    <row r="783" spans="1:3">
      <c r="A783" s="1">
        <v>40578</v>
      </c>
      <c r="B783">
        <v>47.904354095458899</v>
      </c>
      <c r="C783">
        <v>22.136648178100501</v>
      </c>
    </row>
    <row r="784" spans="1:3">
      <c r="A784" s="1">
        <v>40581</v>
      </c>
      <c r="B784">
        <v>47.7843208312988</v>
      </c>
      <c r="C784">
        <v>22.122489929199201</v>
      </c>
    </row>
    <row r="785" spans="1:3">
      <c r="A785" s="1">
        <v>40582</v>
      </c>
      <c r="B785">
        <v>48.151992797851499</v>
      </c>
      <c r="C785">
        <v>22.246339797973601</v>
      </c>
    </row>
    <row r="786" spans="1:3">
      <c r="A786" s="1">
        <v>40583</v>
      </c>
      <c r="B786">
        <v>48.339599609375</v>
      </c>
      <c r="C786">
        <v>22.345413208007798</v>
      </c>
    </row>
    <row r="787" spans="1:3">
      <c r="A787" s="1">
        <v>40584</v>
      </c>
      <c r="B787">
        <v>47.544189453125</v>
      </c>
      <c r="C787">
        <v>22.483411788940401</v>
      </c>
    </row>
    <row r="788" spans="1:3">
      <c r="A788" s="1">
        <v>40585</v>
      </c>
      <c r="B788">
        <v>47.926883697509702</v>
      </c>
      <c r="C788">
        <v>22.494033813476499</v>
      </c>
    </row>
    <row r="789" spans="1:3">
      <c r="A789" s="1">
        <v>40588</v>
      </c>
      <c r="B789">
        <v>47.529182434082003</v>
      </c>
      <c r="C789">
        <v>22.3418788909912</v>
      </c>
    </row>
    <row r="790" spans="1:3">
      <c r="A790" s="1">
        <v>40589</v>
      </c>
      <c r="B790">
        <v>48.287063598632798</v>
      </c>
      <c r="C790">
        <v>22.359573364257798</v>
      </c>
    </row>
    <row r="791" spans="1:3">
      <c r="A791" s="1">
        <v>40590</v>
      </c>
      <c r="B791">
        <v>47.994411468505803</v>
      </c>
      <c r="C791">
        <v>22.433879852294901</v>
      </c>
    </row>
    <row r="792" spans="1:3">
      <c r="A792" s="1">
        <v>40591</v>
      </c>
      <c r="B792">
        <v>48.549705505371001</v>
      </c>
      <c r="C792">
        <v>22.840799331665</v>
      </c>
    </row>
    <row r="793" spans="1:3">
      <c r="A793" s="1">
        <v>40592</v>
      </c>
      <c r="B793">
        <v>47.581707000732401</v>
      </c>
      <c r="C793">
        <v>22.840799331665</v>
      </c>
    </row>
    <row r="794" spans="1:3">
      <c r="A794" s="1">
        <v>40596</v>
      </c>
      <c r="B794">
        <v>47.386604309082003</v>
      </c>
      <c r="C794">
        <v>22.561262130737301</v>
      </c>
    </row>
    <row r="795" spans="1:3">
      <c r="A795" s="1">
        <v>40597</v>
      </c>
      <c r="B795">
        <v>47.221523284912102</v>
      </c>
      <c r="C795">
        <v>22.6143379211425</v>
      </c>
    </row>
    <row r="796" spans="1:3">
      <c r="A796" s="1">
        <v>40598</v>
      </c>
      <c r="B796">
        <v>47.296566009521399</v>
      </c>
      <c r="C796">
        <v>22.603725433349599</v>
      </c>
    </row>
    <row r="797" spans="1:3">
      <c r="A797" s="1">
        <v>40599</v>
      </c>
      <c r="B797">
        <v>47.724266052246001</v>
      </c>
      <c r="C797">
        <v>22.755876541137599</v>
      </c>
    </row>
    <row r="798" spans="1:3">
      <c r="A798" s="1">
        <v>40602</v>
      </c>
      <c r="B798">
        <v>47.589202880859297</v>
      </c>
      <c r="C798">
        <v>22.6178798675537</v>
      </c>
    </row>
    <row r="799" spans="1:3">
      <c r="A799" s="1">
        <v>40603</v>
      </c>
      <c r="B799">
        <v>47.431613922119098</v>
      </c>
      <c r="C799">
        <v>22.968185424804599</v>
      </c>
    </row>
    <row r="800" spans="1:3">
      <c r="A800" s="1">
        <v>40604</v>
      </c>
      <c r="B800">
        <v>47.590419769287102</v>
      </c>
      <c r="C800">
        <v>22.798341751098601</v>
      </c>
    </row>
    <row r="801" spans="1:3">
      <c r="A801" s="1">
        <v>40605</v>
      </c>
      <c r="B801">
        <v>48.202869415283203</v>
      </c>
      <c r="C801">
        <v>23.2017211914062</v>
      </c>
    </row>
    <row r="802" spans="1:3">
      <c r="A802" s="1">
        <v>40606</v>
      </c>
      <c r="B802">
        <v>47.938236236572202</v>
      </c>
      <c r="C802">
        <v>23.0743293762207</v>
      </c>
    </row>
    <row r="803" spans="1:3">
      <c r="A803" s="1">
        <v>40609</v>
      </c>
      <c r="B803">
        <v>47.991165161132798</v>
      </c>
      <c r="C803">
        <v>23.077880859375</v>
      </c>
    </row>
    <row r="804" spans="1:3">
      <c r="A804" s="1">
        <v>40610</v>
      </c>
      <c r="B804">
        <v>48.233119964599602</v>
      </c>
      <c r="C804">
        <v>23.226491928100501</v>
      </c>
    </row>
    <row r="805" spans="1:3">
      <c r="A805" s="1">
        <v>40611</v>
      </c>
      <c r="B805">
        <v>48.883392333984297</v>
      </c>
      <c r="C805">
        <v>23.219415664672798</v>
      </c>
    </row>
    <row r="806" spans="1:3">
      <c r="A806" s="1">
        <v>40612</v>
      </c>
      <c r="B806">
        <v>48.717033386230398</v>
      </c>
      <c r="C806">
        <v>23.102645874023398</v>
      </c>
    </row>
    <row r="807" spans="1:3">
      <c r="A807" s="1">
        <v>40613</v>
      </c>
      <c r="B807">
        <v>48.883392333984297</v>
      </c>
      <c r="C807">
        <v>23.267795562744102</v>
      </c>
    </row>
    <row r="808" spans="1:3">
      <c r="A808" s="1">
        <v>40616</v>
      </c>
      <c r="B808">
        <v>48.497776031494098</v>
      </c>
      <c r="C808">
        <v>22.955455780029201</v>
      </c>
    </row>
    <row r="809" spans="1:3">
      <c r="A809" s="1">
        <v>40617</v>
      </c>
      <c r="B809">
        <v>47.643333435058501</v>
      </c>
      <c r="C809">
        <v>22.628746032714801</v>
      </c>
    </row>
    <row r="810" spans="1:3">
      <c r="A810" s="1">
        <v>40618</v>
      </c>
      <c r="B810">
        <v>47.114059448242102</v>
      </c>
      <c r="C810">
        <v>22.1153545379638</v>
      </c>
    </row>
    <row r="811" spans="1:3">
      <c r="A811" s="1">
        <v>40619</v>
      </c>
      <c r="B811">
        <v>47.696266174316399</v>
      </c>
      <c r="C811">
        <v>22.3594856262207</v>
      </c>
    </row>
    <row r="812" spans="1:3">
      <c r="A812" s="1">
        <v>40620</v>
      </c>
      <c r="B812">
        <v>47.817256927490199</v>
      </c>
      <c r="C812">
        <v>22.510271072387599</v>
      </c>
    </row>
    <row r="813" spans="1:3">
      <c r="A813" s="1">
        <v>40623</v>
      </c>
      <c r="B813">
        <v>48.467517852783203</v>
      </c>
      <c r="C813">
        <v>22.822618484496999</v>
      </c>
    </row>
    <row r="814" spans="1:3">
      <c r="A814" s="1">
        <v>40624</v>
      </c>
      <c r="B814">
        <v>48.346534729003899</v>
      </c>
      <c r="C814">
        <v>22.8010749816894</v>
      </c>
    </row>
    <row r="815" spans="1:3">
      <c r="A815" s="1">
        <v>40625</v>
      </c>
      <c r="B815">
        <v>48.543132781982401</v>
      </c>
      <c r="C815">
        <v>23.073926925659102</v>
      </c>
    </row>
    <row r="816" spans="1:3">
      <c r="A816" s="1">
        <v>40626</v>
      </c>
      <c r="B816">
        <v>48.543132781982401</v>
      </c>
      <c r="C816">
        <v>23.2247104644775</v>
      </c>
    </row>
    <row r="817" spans="1:3">
      <c r="A817" s="1">
        <v>40627</v>
      </c>
      <c r="B817">
        <v>48.3767890930175</v>
      </c>
      <c r="C817">
        <v>23.41499710083</v>
      </c>
    </row>
    <row r="818" spans="1:3">
      <c r="A818" s="1">
        <v>40630</v>
      </c>
      <c r="B818">
        <v>48.6489868164062</v>
      </c>
      <c r="C818">
        <v>23.3467712402343</v>
      </c>
    </row>
    <row r="819" spans="1:3">
      <c r="A819" s="1">
        <v>40631</v>
      </c>
      <c r="B819">
        <v>48.512897491455</v>
      </c>
      <c r="C819">
        <v>23.594497680663999</v>
      </c>
    </row>
    <row r="820" spans="1:3">
      <c r="A820" s="1">
        <v>40632</v>
      </c>
      <c r="B820">
        <v>49.185844421386697</v>
      </c>
      <c r="C820">
        <v>23.709384918212798</v>
      </c>
    </row>
    <row r="821" spans="1:3">
      <c r="A821" s="1">
        <v>40633</v>
      </c>
      <c r="B821">
        <v>48.701919555663999</v>
      </c>
      <c r="C821">
        <v>23.8170852661132</v>
      </c>
    </row>
    <row r="822" spans="1:3">
      <c r="A822" s="1">
        <v>40634</v>
      </c>
      <c r="B822">
        <v>49.314384460449197</v>
      </c>
      <c r="C822">
        <v>24.133028030395501</v>
      </c>
    </row>
    <row r="823" spans="1:3">
      <c r="A823" s="1">
        <v>40637</v>
      </c>
      <c r="B823">
        <v>49.2160835266113</v>
      </c>
      <c r="C823">
        <v>24.290988922119102</v>
      </c>
    </row>
    <row r="824" spans="1:3">
      <c r="A824" s="1">
        <v>40638</v>
      </c>
      <c r="B824">
        <v>49.586582183837798</v>
      </c>
      <c r="C824">
        <v>24.222780227661101</v>
      </c>
    </row>
    <row r="825" spans="1:3">
      <c r="A825" s="1">
        <v>40639</v>
      </c>
      <c r="B825">
        <v>49.715110778808501</v>
      </c>
      <c r="C825">
        <v>24.280214309692301</v>
      </c>
    </row>
    <row r="826" spans="1:3">
      <c r="A826" s="1">
        <v>40640</v>
      </c>
      <c r="B826">
        <v>49.843654632568303</v>
      </c>
      <c r="C826">
        <v>24.212007522583001</v>
      </c>
    </row>
    <row r="827" spans="1:3">
      <c r="A827" s="1">
        <v>40641</v>
      </c>
      <c r="B827">
        <v>49.7000122070312</v>
      </c>
      <c r="C827">
        <v>24.150974273681602</v>
      </c>
    </row>
    <row r="828" spans="1:3">
      <c r="A828" s="1">
        <v>40644</v>
      </c>
      <c r="B828">
        <v>49.934375762939403</v>
      </c>
      <c r="C828">
        <v>24.197647094726499</v>
      </c>
    </row>
    <row r="829" spans="1:3">
      <c r="A829" s="1">
        <v>40645</v>
      </c>
      <c r="B829">
        <v>50.335132598876903</v>
      </c>
      <c r="C829">
        <v>24.018138885498001</v>
      </c>
    </row>
    <row r="830" spans="1:3">
      <c r="A830" s="1">
        <v>40646</v>
      </c>
      <c r="B830">
        <v>50.244407653808501</v>
      </c>
      <c r="C830">
        <v>24.1545600891113</v>
      </c>
    </row>
    <row r="831" spans="1:3">
      <c r="A831" s="1">
        <v>40647</v>
      </c>
      <c r="B831">
        <v>50.433437347412102</v>
      </c>
      <c r="C831">
        <v>24.524347305297798</v>
      </c>
    </row>
    <row r="832" spans="1:3">
      <c r="A832" s="1">
        <v>40648</v>
      </c>
      <c r="B832">
        <v>50.743450164794901</v>
      </c>
      <c r="C832">
        <v>24.4166450500488</v>
      </c>
    </row>
    <row r="833" spans="1:3">
      <c r="A833" s="1">
        <v>40651</v>
      </c>
      <c r="B833">
        <v>50.773693084716797</v>
      </c>
      <c r="C833">
        <v>24.165334701538001</v>
      </c>
    </row>
    <row r="834" spans="1:3">
      <c r="A834" s="1">
        <v>40652</v>
      </c>
      <c r="B834">
        <v>50.516605377197202</v>
      </c>
      <c r="C834">
        <v>24.086347579956001</v>
      </c>
    </row>
    <row r="835" spans="1:3">
      <c r="A835" s="1">
        <v>40653</v>
      </c>
      <c r="B835">
        <v>50.909801483154297</v>
      </c>
      <c r="C835">
        <v>24.359209060668899</v>
      </c>
    </row>
    <row r="836" spans="1:3">
      <c r="A836" s="1">
        <v>40654</v>
      </c>
      <c r="B836">
        <v>50.9702949523925</v>
      </c>
      <c r="C836">
        <v>24.369968414306602</v>
      </c>
    </row>
    <row r="837" spans="1:3">
      <c r="A837" s="1">
        <v>40658</v>
      </c>
      <c r="B837">
        <v>50.682968139648402</v>
      </c>
      <c r="C837">
        <v>24.319705963134702</v>
      </c>
    </row>
    <row r="838" spans="1:3">
      <c r="A838" s="1">
        <v>40659</v>
      </c>
      <c r="B838">
        <v>51.197132110595703</v>
      </c>
      <c r="C838">
        <v>24.028911590576101</v>
      </c>
    </row>
    <row r="839" spans="1:3">
      <c r="A839" s="1">
        <v>40660</v>
      </c>
      <c r="B839">
        <v>51.363475799560497</v>
      </c>
      <c r="C839">
        <v>24.054040908813398</v>
      </c>
    </row>
    <row r="840" spans="1:3">
      <c r="A840" s="1">
        <v>40661</v>
      </c>
      <c r="B840">
        <v>52.716941833496001</v>
      </c>
      <c r="C840">
        <v>24.2012329101562</v>
      </c>
    </row>
    <row r="841" spans="1:3">
      <c r="A841" s="1">
        <v>40662</v>
      </c>
      <c r="B841">
        <v>52.089344024658203</v>
      </c>
      <c r="C841">
        <v>24.2191772460937</v>
      </c>
    </row>
    <row r="842" spans="1:3">
      <c r="A842" s="1">
        <v>40665</v>
      </c>
      <c r="B842">
        <v>52.406909942626903</v>
      </c>
      <c r="C842">
        <v>24.3125305175781</v>
      </c>
    </row>
    <row r="843" spans="1:3">
      <c r="A843" s="1">
        <v>40666</v>
      </c>
      <c r="B843">
        <v>52.618633270263601</v>
      </c>
      <c r="C843">
        <v>24.369968414306602</v>
      </c>
    </row>
    <row r="844" spans="1:3">
      <c r="A844" s="1">
        <v>40667</v>
      </c>
      <c r="B844">
        <v>52.800113677978501</v>
      </c>
      <c r="C844">
        <v>24.2191772460937</v>
      </c>
    </row>
    <row r="845" spans="1:3">
      <c r="A845" s="1">
        <v>40668</v>
      </c>
      <c r="B845">
        <v>52.043979644775298</v>
      </c>
      <c r="C845">
        <v>23.946331024169901</v>
      </c>
    </row>
    <row r="846" spans="1:3">
      <c r="A846" s="1">
        <v>40669</v>
      </c>
      <c r="B846">
        <v>52.376667022705</v>
      </c>
      <c r="C846">
        <v>24.018138885498001</v>
      </c>
    </row>
    <row r="847" spans="1:3">
      <c r="A847" s="1">
        <v>40672</v>
      </c>
      <c r="B847">
        <v>52.7925415039062</v>
      </c>
      <c r="C847">
        <v>24.036085128784102</v>
      </c>
    </row>
    <row r="848" spans="1:3">
      <c r="A848" s="1">
        <v>40673</v>
      </c>
      <c r="B848">
        <v>52.951332092285099</v>
      </c>
      <c r="C848">
        <v>24.176103591918899</v>
      </c>
    </row>
    <row r="849" spans="1:3">
      <c r="A849" s="1">
        <v>40674</v>
      </c>
      <c r="B849">
        <v>53.079864501953097</v>
      </c>
      <c r="C849">
        <v>24.168922424316399</v>
      </c>
    </row>
    <row r="850" spans="1:3">
      <c r="A850" s="1">
        <v>40675</v>
      </c>
      <c r="B850">
        <v>53.654525756835902</v>
      </c>
      <c r="C850">
        <v>24.524347305297798</v>
      </c>
    </row>
    <row r="851" spans="1:3">
      <c r="A851" s="1">
        <v>40676</v>
      </c>
      <c r="B851">
        <v>53.352073669433501</v>
      </c>
      <c r="C851">
        <v>24.477685928344702</v>
      </c>
    </row>
    <row r="852" spans="1:3">
      <c r="A852" s="1">
        <v>40679</v>
      </c>
      <c r="B852">
        <v>53.473068237304602</v>
      </c>
      <c r="C852">
        <v>24.352027893066399</v>
      </c>
    </row>
    <row r="853" spans="1:3">
      <c r="A853" s="1">
        <v>40680</v>
      </c>
      <c r="B853">
        <v>53.767940521240199</v>
      </c>
      <c r="C853">
        <v>24.409465789794901</v>
      </c>
    </row>
    <row r="854" spans="1:3">
      <c r="A854" s="1">
        <v>40681</v>
      </c>
      <c r="B854">
        <v>53.888919830322202</v>
      </c>
      <c r="C854">
        <v>24.5207614898681</v>
      </c>
    </row>
    <row r="855" spans="1:3">
      <c r="A855" s="1">
        <v>40682</v>
      </c>
      <c r="B855">
        <v>54.274547576904297</v>
      </c>
      <c r="C855">
        <v>24.578203201293899</v>
      </c>
    </row>
    <row r="856" spans="1:3">
      <c r="A856" s="1">
        <v>40683</v>
      </c>
      <c r="B856">
        <v>53.911605834960902</v>
      </c>
      <c r="C856">
        <v>24.5207614898681</v>
      </c>
    </row>
    <row r="857" spans="1:3">
      <c r="A857" s="1">
        <v>40686</v>
      </c>
      <c r="B857">
        <v>53.715015411376903</v>
      </c>
      <c r="C857">
        <v>24.229959487915</v>
      </c>
    </row>
    <row r="858" spans="1:3">
      <c r="A858" s="1">
        <v>40687</v>
      </c>
      <c r="B858">
        <v>53.669666290283203</v>
      </c>
      <c r="C858">
        <v>24.222780227661101</v>
      </c>
    </row>
    <row r="859" spans="1:3">
      <c r="A859" s="1">
        <v>40688</v>
      </c>
      <c r="B859">
        <v>53.268905639648402</v>
      </c>
      <c r="C859">
        <v>24.0217266082763</v>
      </c>
    </row>
    <row r="860" spans="1:3">
      <c r="A860" s="1">
        <v>40689</v>
      </c>
      <c r="B860">
        <v>53.246208190917898</v>
      </c>
      <c r="C860">
        <v>23.946331024169901</v>
      </c>
    </row>
    <row r="861" spans="1:3">
      <c r="A861" s="1">
        <v>40690</v>
      </c>
      <c r="B861">
        <v>53.2310981750488</v>
      </c>
      <c r="C861">
        <v>23.878128051757798</v>
      </c>
    </row>
    <row r="862" spans="1:3">
      <c r="A862" s="1">
        <v>40694</v>
      </c>
      <c r="B862">
        <v>53.7755126953125</v>
      </c>
      <c r="C862">
        <v>23.985818862915</v>
      </c>
    </row>
    <row r="863" spans="1:3">
      <c r="A863" s="1">
        <v>40695</v>
      </c>
      <c r="B863">
        <v>53.5355834960937</v>
      </c>
      <c r="C863">
        <v>23.967876434326101</v>
      </c>
    </row>
    <row r="864" spans="1:3">
      <c r="A864" s="1">
        <v>40696</v>
      </c>
      <c r="B864">
        <v>52.941505432128899</v>
      </c>
      <c r="C864">
        <v>23.709384918212798</v>
      </c>
    </row>
    <row r="865" spans="1:3">
      <c r="A865" s="1">
        <v>40697</v>
      </c>
      <c r="B865">
        <v>52.530216217041001</v>
      </c>
      <c r="C865">
        <v>23.526287078857401</v>
      </c>
    </row>
    <row r="866" spans="1:3">
      <c r="A866" s="1">
        <v>40700</v>
      </c>
      <c r="B866">
        <v>52.469291687011697</v>
      </c>
      <c r="C866">
        <v>23.486797332763601</v>
      </c>
    </row>
    <row r="867" spans="1:3">
      <c r="A867" s="1">
        <v>40701</v>
      </c>
      <c r="B867">
        <v>52.499767303466797</v>
      </c>
      <c r="C867">
        <v>23.407810211181602</v>
      </c>
    </row>
    <row r="868" spans="1:3">
      <c r="A868" s="1">
        <v>40702</v>
      </c>
      <c r="B868">
        <v>52.431221008300703</v>
      </c>
      <c r="C868">
        <v>23.4796142578125</v>
      </c>
    </row>
    <row r="869" spans="1:3">
      <c r="A869" s="1">
        <v>40703</v>
      </c>
      <c r="B869">
        <v>52.941505432128899</v>
      </c>
      <c r="C869">
        <v>23.6555366516113</v>
      </c>
    </row>
    <row r="870" spans="1:3">
      <c r="A870" s="1">
        <v>40704</v>
      </c>
      <c r="B870">
        <v>52.316970825195298</v>
      </c>
      <c r="C870">
        <v>23.4760208129882</v>
      </c>
    </row>
    <row r="871" spans="1:3">
      <c r="A871" s="1">
        <v>40707</v>
      </c>
      <c r="B871">
        <v>52.598770141601499</v>
      </c>
      <c r="C871">
        <v>23.7200717926025</v>
      </c>
    </row>
    <row r="872" spans="1:3">
      <c r="A872" s="1">
        <v>40708</v>
      </c>
      <c r="B872">
        <v>52.987213134765597</v>
      </c>
      <c r="C872">
        <v>23.898555755615199</v>
      </c>
    </row>
    <row r="873" spans="1:3">
      <c r="A873" s="1">
        <v>40709</v>
      </c>
      <c r="B873">
        <v>52.157032012939403</v>
      </c>
      <c r="C873">
        <v>23.6654338836669</v>
      </c>
    </row>
    <row r="874" spans="1:3">
      <c r="A874" s="1">
        <v>40710</v>
      </c>
      <c r="B874">
        <v>52.469291687011697</v>
      </c>
      <c r="C874">
        <v>23.854841232299801</v>
      </c>
    </row>
    <row r="875" spans="1:3">
      <c r="A875" s="1">
        <v>40711</v>
      </c>
      <c r="B875">
        <v>52.339809417724602</v>
      </c>
      <c r="C875">
        <v>23.902196884155199</v>
      </c>
    </row>
    <row r="876" spans="1:3">
      <c r="A876" s="1">
        <v>40714</v>
      </c>
      <c r="B876">
        <v>52.537841796875</v>
      </c>
      <c r="C876">
        <v>23.978693008422798</v>
      </c>
    </row>
    <row r="877" spans="1:3">
      <c r="A877" s="1">
        <v>40715</v>
      </c>
      <c r="B877">
        <v>52.499767303466797</v>
      </c>
      <c r="C877">
        <v>24.135318756103501</v>
      </c>
    </row>
    <row r="878" spans="1:3">
      <c r="A878" s="1">
        <v>40716</v>
      </c>
      <c r="B878">
        <v>52.385524749755803</v>
      </c>
      <c r="C878">
        <v>24.186313629150298</v>
      </c>
    </row>
    <row r="879" spans="1:3">
      <c r="A879" s="1">
        <v>40717</v>
      </c>
      <c r="B879">
        <v>51.776206970214801</v>
      </c>
      <c r="C879">
        <v>23.6690769195556</v>
      </c>
    </row>
    <row r="880" spans="1:3">
      <c r="A880" s="1">
        <v>40718</v>
      </c>
      <c r="B880">
        <v>52.134162902832003</v>
      </c>
      <c r="C880">
        <v>23.650857925415</v>
      </c>
    </row>
    <row r="881" spans="1:3">
      <c r="A881" s="1">
        <v>40721</v>
      </c>
      <c r="B881">
        <v>52.591163635253899</v>
      </c>
      <c r="C881">
        <v>23.752853393554599</v>
      </c>
    </row>
    <row r="882" spans="1:3">
      <c r="A882" s="1">
        <v>40722</v>
      </c>
      <c r="B882">
        <v>53.025279998779297</v>
      </c>
      <c r="C882">
        <v>24.0515422821044</v>
      </c>
    </row>
    <row r="883" spans="1:3">
      <c r="A883" s="1">
        <v>40723</v>
      </c>
      <c r="B883">
        <v>53.2842597961425</v>
      </c>
      <c r="C883">
        <v>24.299236297607401</v>
      </c>
    </row>
    <row r="884" spans="1:3">
      <c r="A884" s="1">
        <v>40724</v>
      </c>
      <c r="B884">
        <v>53.642227172851499</v>
      </c>
      <c r="C884">
        <v>24.510498046875</v>
      </c>
    </row>
    <row r="885" spans="1:3">
      <c r="A885" s="1">
        <v>40725</v>
      </c>
      <c r="B885">
        <v>53.459407806396399</v>
      </c>
      <c r="C885">
        <v>24.801902770996001</v>
      </c>
    </row>
    <row r="886" spans="1:3">
      <c r="A886" s="1">
        <v>40729</v>
      </c>
      <c r="B886">
        <v>53.1395454406738</v>
      </c>
      <c r="C886">
        <v>24.878393173217699</v>
      </c>
    </row>
    <row r="887" spans="1:3">
      <c r="A887" s="1">
        <v>40730</v>
      </c>
      <c r="B887">
        <v>53.444179534912102</v>
      </c>
      <c r="C887">
        <v>24.962165832519499</v>
      </c>
    </row>
    <row r="888" spans="1:3">
      <c r="A888" s="1">
        <v>40731</v>
      </c>
      <c r="B888">
        <v>53.710758209228501</v>
      </c>
      <c r="C888">
        <v>25.0423069000244</v>
      </c>
    </row>
    <row r="889" spans="1:3">
      <c r="A889" s="1">
        <v>40732</v>
      </c>
      <c r="B889">
        <v>53.261398315429602</v>
      </c>
      <c r="C889">
        <v>25.016803741455</v>
      </c>
    </row>
    <row r="890" spans="1:3">
      <c r="A890" s="1">
        <v>40735</v>
      </c>
      <c r="B890">
        <v>52.781581878662102</v>
      </c>
      <c r="C890">
        <v>24.805538177490199</v>
      </c>
    </row>
    <row r="891" spans="1:3">
      <c r="A891" s="1">
        <v>40736</v>
      </c>
      <c r="B891">
        <v>52.560691833496001</v>
      </c>
      <c r="C891">
        <v>24.714485168456999</v>
      </c>
    </row>
    <row r="892" spans="1:3">
      <c r="A892" s="1">
        <v>40737</v>
      </c>
      <c r="B892">
        <v>52.469291687011697</v>
      </c>
      <c r="C892">
        <v>24.790969848632798</v>
      </c>
    </row>
    <row r="893" spans="1:3">
      <c r="A893" s="1">
        <v>40738</v>
      </c>
      <c r="B893">
        <v>52.248416900634702</v>
      </c>
      <c r="C893">
        <v>24.6489143371582</v>
      </c>
    </row>
    <row r="894" spans="1:3">
      <c r="A894" s="1">
        <v>40739</v>
      </c>
      <c r="B894">
        <v>52.195098876953097</v>
      </c>
      <c r="C894">
        <v>24.597923278808501</v>
      </c>
    </row>
    <row r="895" spans="1:3">
      <c r="A895" s="1">
        <v>40742</v>
      </c>
      <c r="B895">
        <v>51.7914428710937</v>
      </c>
      <c r="C895">
        <v>24.448581695556602</v>
      </c>
    </row>
    <row r="896" spans="1:3">
      <c r="A896" s="1">
        <v>40743</v>
      </c>
      <c r="B896">
        <v>52.202713012695298</v>
      </c>
      <c r="C896">
        <v>25.249933242797798</v>
      </c>
    </row>
    <row r="897" spans="1:3">
      <c r="A897" s="1">
        <v>40744</v>
      </c>
      <c r="B897">
        <v>52.164634704589801</v>
      </c>
      <c r="C897">
        <v>25.086015701293899</v>
      </c>
    </row>
    <row r="898" spans="1:3">
      <c r="A898" s="1">
        <v>40745</v>
      </c>
      <c r="B898">
        <v>50.3976440429687</v>
      </c>
      <c r="C898">
        <v>25.257213592529201</v>
      </c>
    </row>
    <row r="899" spans="1:3">
      <c r="A899" s="1">
        <v>40746</v>
      </c>
      <c r="B899">
        <v>50.085372924804602</v>
      </c>
      <c r="C899">
        <v>25.399274826049801</v>
      </c>
    </row>
    <row r="900" spans="1:3">
      <c r="A900" s="1">
        <v>40749</v>
      </c>
      <c r="B900">
        <v>49.026699066162102</v>
      </c>
      <c r="C900">
        <v>25.228071212768501</v>
      </c>
    </row>
    <row r="901" spans="1:3">
      <c r="A901" s="1">
        <v>40750</v>
      </c>
      <c r="B901">
        <v>48.798194885253899</v>
      </c>
      <c r="C901">
        <v>25.2025756835937</v>
      </c>
    </row>
    <row r="902" spans="1:3">
      <c r="A902" s="1">
        <v>40751</v>
      </c>
      <c r="B902">
        <v>48.638252258300703</v>
      </c>
      <c r="C902">
        <v>25.0204544067382</v>
      </c>
    </row>
    <row r="903" spans="1:3">
      <c r="A903" s="1">
        <v>40752</v>
      </c>
      <c r="B903">
        <v>48.661113739013601</v>
      </c>
      <c r="C903">
        <v>25.0641574859619</v>
      </c>
    </row>
    <row r="904" spans="1:3">
      <c r="A904" s="1">
        <v>40753</v>
      </c>
      <c r="B904">
        <v>48.775341033935497</v>
      </c>
      <c r="C904">
        <v>24.772762298583899</v>
      </c>
    </row>
    <row r="905" spans="1:3">
      <c r="A905" s="1">
        <v>40756</v>
      </c>
      <c r="B905">
        <v>48.638252258300703</v>
      </c>
      <c r="C905">
        <v>24.670778274536101</v>
      </c>
    </row>
    <row r="906" spans="1:3">
      <c r="A906" s="1">
        <v>40757</v>
      </c>
      <c r="B906">
        <v>48.120338439941399</v>
      </c>
      <c r="C906">
        <v>24.430364608764599</v>
      </c>
    </row>
    <row r="907" spans="1:3">
      <c r="A907" s="1">
        <v>40758</v>
      </c>
      <c r="B907">
        <v>49.1104736328125</v>
      </c>
      <c r="C907">
        <v>24.914815902709901</v>
      </c>
    </row>
    <row r="908" spans="1:3">
      <c r="A908" s="1">
        <v>40759</v>
      </c>
      <c r="B908">
        <v>48.249813079833899</v>
      </c>
      <c r="C908">
        <v>23.9750461578369</v>
      </c>
    </row>
    <row r="909" spans="1:3">
      <c r="A909" s="1">
        <v>40760</v>
      </c>
      <c r="B909">
        <v>49.255172729492102</v>
      </c>
      <c r="C909">
        <v>24.321090698242099</v>
      </c>
    </row>
    <row r="910" spans="1:3">
      <c r="A910" s="1">
        <v>40763</v>
      </c>
      <c r="B910">
        <v>47.960391998291001</v>
      </c>
      <c r="C910">
        <v>23.7200717926025</v>
      </c>
    </row>
    <row r="911" spans="1:3">
      <c r="A911" s="1">
        <v>40764</v>
      </c>
      <c r="B911">
        <v>48.051792144775298</v>
      </c>
      <c r="C911">
        <v>24.28830909729</v>
      </c>
    </row>
    <row r="912" spans="1:3">
      <c r="A912" s="1">
        <v>40765</v>
      </c>
      <c r="B912">
        <v>45.942050933837798</v>
      </c>
      <c r="C912">
        <v>23.297544479370099</v>
      </c>
    </row>
    <row r="913" spans="1:3">
      <c r="A913" s="1">
        <v>40766</v>
      </c>
      <c r="B913">
        <v>47.884231567382798</v>
      </c>
      <c r="C913">
        <v>24.211809158325099</v>
      </c>
    </row>
    <row r="914" spans="1:3">
      <c r="A914" s="1">
        <v>40767</v>
      </c>
      <c r="B914">
        <v>48.120338439941399</v>
      </c>
      <c r="C914">
        <v>24.4558601379394</v>
      </c>
    </row>
    <row r="915" spans="1:3">
      <c r="A915" s="1">
        <v>40770</v>
      </c>
      <c r="B915">
        <v>48.417388916015597</v>
      </c>
      <c r="C915">
        <v>24.841964721679599</v>
      </c>
    </row>
    <row r="916" spans="1:3">
      <c r="A916" s="1">
        <v>40771</v>
      </c>
      <c r="B916">
        <v>48.562088012695298</v>
      </c>
      <c r="C916">
        <v>24.831037521362301</v>
      </c>
    </row>
    <row r="917" spans="1:3">
      <c r="A917" s="1">
        <v>40772</v>
      </c>
      <c r="B917">
        <v>49.2171020507812</v>
      </c>
      <c r="C917">
        <v>25.2353610992431</v>
      </c>
    </row>
    <row r="918" spans="1:3">
      <c r="A918" s="1">
        <v>40773</v>
      </c>
      <c r="B918">
        <v>48.051792144775298</v>
      </c>
      <c r="C918">
        <v>24.681695938110298</v>
      </c>
    </row>
    <row r="919" spans="1:3">
      <c r="A919" s="1">
        <v>40774</v>
      </c>
      <c r="B919">
        <v>47.2749214172363</v>
      </c>
      <c r="C919">
        <v>24.441289901733398</v>
      </c>
    </row>
    <row r="920" spans="1:3">
      <c r="A920" s="1">
        <v>40777</v>
      </c>
      <c r="B920">
        <v>47.160671234130803</v>
      </c>
      <c r="C920">
        <v>24.5032138824462</v>
      </c>
    </row>
    <row r="921" spans="1:3">
      <c r="A921" s="1">
        <v>40778</v>
      </c>
      <c r="B921">
        <v>48.348831176757798</v>
      </c>
      <c r="C921">
        <v>25.155223846435501</v>
      </c>
    </row>
    <row r="922" spans="1:3">
      <c r="A922" s="1">
        <v>40779</v>
      </c>
      <c r="B922">
        <v>48.516391754150298</v>
      </c>
      <c r="C922">
        <v>25.381059646606399</v>
      </c>
    </row>
    <row r="923" spans="1:3">
      <c r="A923" s="1">
        <v>40780</v>
      </c>
      <c r="B923">
        <v>47.998470306396399</v>
      </c>
      <c r="C923">
        <v>24.758192062377901</v>
      </c>
    </row>
    <row r="924" spans="1:3">
      <c r="A924" s="1">
        <v>40781</v>
      </c>
      <c r="B924">
        <v>48.105106353759702</v>
      </c>
      <c r="C924">
        <v>24.9512424468994</v>
      </c>
    </row>
    <row r="925" spans="1:3">
      <c r="A925" s="1">
        <v>40784</v>
      </c>
      <c r="B925">
        <v>48.866752624511697</v>
      </c>
      <c r="C925">
        <v>25.399274826049801</v>
      </c>
    </row>
    <row r="926" spans="1:3">
      <c r="A926" s="1">
        <v>40785</v>
      </c>
      <c r="B926">
        <v>49.1409301757812</v>
      </c>
      <c r="C926">
        <v>25.4466247558593</v>
      </c>
    </row>
    <row r="927" spans="1:3">
      <c r="A927" s="1">
        <v>40786</v>
      </c>
      <c r="B927">
        <v>49.4672241210937</v>
      </c>
      <c r="C927">
        <v>25.661535263061499</v>
      </c>
    </row>
    <row r="928" spans="1:3">
      <c r="A928" s="1">
        <v>40787</v>
      </c>
      <c r="B928">
        <v>49.252262115478501</v>
      </c>
      <c r="C928">
        <v>25.661535263061499</v>
      </c>
    </row>
    <row r="929" spans="1:3">
      <c r="A929" s="1">
        <v>40788</v>
      </c>
      <c r="B929">
        <v>48.599651336669901</v>
      </c>
      <c r="C929">
        <v>25.402917861938398</v>
      </c>
    </row>
    <row r="930" spans="1:3">
      <c r="A930" s="1">
        <v>40792</v>
      </c>
      <c r="B930">
        <v>47.947059631347599</v>
      </c>
      <c r="C930">
        <v>25.290002822875898</v>
      </c>
    </row>
    <row r="931" spans="1:3">
      <c r="A931" s="1">
        <v>40793</v>
      </c>
      <c r="B931">
        <v>47.309803009033203</v>
      </c>
      <c r="C931">
        <v>25.789028167724599</v>
      </c>
    </row>
    <row r="932" spans="1:3">
      <c r="A932" s="1">
        <v>40794</v>
      </c>
      <c r="B932">
        <v>47.094844818115199</v>
      </c>
      <c r="C932">
        <v>25.923801422119102</v>
      </c>
    </row>
    <row r="933" spans="1:3">
      <c r="A933" s="1">
        <v>40795</v>
      </c>
      <c r="B933">
        <v>46.058353424072202</v>
      </c>
      <c r="C933">
        <v>25.268140792846602</v>
      </c>
    </row>
    <row r="934" spans="1:3">
      <c r="A934" s="1">
        <v>40798</v>
      </c>
      <c r="B934">
        <v>46.173507690429602</v>
      </c>
      <c r="C934">
        <v>25.271781921386701</v>
      </c>
    </row>
    <row r="935" spans="1:3">
      <c r="A935" s="1">
        <v>40799</v>
      </c>
      <c r="B935">
        <v>46.480621337890597</v>
      </c>
      <c r="C935">
        <v>25.515485763549801</v>
      </c>
    </row>
    <row r="936" spans="1:3">
      <c r="A936" s="1">
        <v>40800</v>
      </c>
      <c r="B936">
        <v>47.2791137695312</v>
      </c>
      <c r="C936">
        <v>25.762893676757798</v>
      </c>
    </row>
    <row r="937" spans="1:3">
      <c r="A937" s="1">
        <v>40801</v>
      </c>
      <c r="B937">
        <v>48.538238525390597</v>
      </c>
      <c r="C937">
        <v>26.224451065063398</v>
      </c>
    </row>
    <row r="938" spans="1:3">
      <c r="A938" s="1">
        <v>40802</v>
      </c>
      <c r="B938">
        <v>47.639945983886697</v>
      </c>
      <c r="C938">
        <v>26.302009582519499</v>
      </c>
    </row>
    <row r="939" spans="1:3">
      <c r="A939" s="1">
        <v>40805</v>
      </c>
      <c r="B939">
        <v>46.4959716796875</v>
      </c>
      <c r="C939">
        <v>26.028749465942301</v>
      </c>
    </row>
    <row r="940" spans="1:3">
      <c r="A940" s="1">
        <v>40806</v>
      </c>
      <c r="B940">
        <v>46.365459442138601</v>
      </c>
      <c r="C940">
        <v>26.0878391265869</v>
      </c>
    </row>
    <row r="941" spans="1:3">
      <c r="A941" s="1">
        <v>40807</v>
      </c>
      <c r="B941">
        <v>46.672554016113203</v>
      </c>
      <c r="C941">
        <v>25.581956863403299</v>
      </c>
    </row>
    <row r="942" spans="1:3">
      <c r="A942" s="1">
        <v>40808</v>
      </c>
      <c r="B942">
        <v>46.772369384765597</v>
      </c>
      <c r="C942">
        <v>25.042840957641602</v>
      </c>
    </row>
    <row r="943" spans="1:3">
      <c r="A943" s="1">
        <v>40809</v>
      </c>
      <c r="B943">
        <v>46.327068328857401</v>
      </c>
      <c r="C943">
        <v>24.895143508911101</v>
      </c>
    </row>
    <row r="944" spans="1:3">
      <c r="A944" s="1">
        <v>40812</v>
      </c>
      <c r="B944">
        <v>47.5171089172363</v>
      </c>
      <c r="C944">
        <v>25.389949798583899</v>
      </c>
    </row>
    <row r="945" spans="1:3">
      <c r="A945" s="1">
        <v>40813</v>
      </c>
      <c r="B945">
        <v>47.931694030761697</v>
      </c>
      <c r="C945">
        <v>25.689039230346602</v>
      </c>
    </row>
    <row r="946" spans="1:3">
      <c r="A946" s="1">
        <v>40814</v>
      </c>
      <c r="B946">
        <v>47.578529357910099</v>
      </c>
      <c r="C946">
        <v>25.131462097167901</v>
      </c>
    </row>
    <row r="947" spans="1:3">
      <c r="A947" s="1">
        <v>40815</v>
      </c>
      <c r="B947">
        <v>48.046855926513601</v>
      </c>
      <c r="C947">
        <v>25.497032165527301</v>
      </c>
    </row>
    <row r="948" spans="1:3">
      <c r="A948" s="1">
        <v>40816</v>
      </c>
      <c r="B948">
        <v>47.524784088134702</v>
      </c>
      <c r="C948">
        <v>24.946836471557599</v>
      </c>
    </row>
    <row r="949" spans="1:3">
      <c r="A949" s="1">
        <v>40819</v>
      </c>
      <c r="B949">
        <v>46.288677215576101</v>
      </c>
      <c r="C949">
        <v>24.1566352844238</v>
      </c>
    </row>
    <row r="950" spans="1:3">
      <c r="A950" s="1">
        <v>40820</v>
      </c>
      <c r="B950">
        <v>46.411521911621001</v>
      </c>
      <c r="C950">
        <v>24.086483001708899</v>
      </c>
    </row>
    <row r="951" spans="1:3">
      <c r="A951" s="1">
        <v>40821</v>
      </c>
      <c r="B951">
        <v>46.288677215576101</v>
      </c>
      <c r="C951">
        <v>24.197252273559499</v>
      </c>
    </row>
    <row r="952" spans="1:3">
      <c r="A952" s="1">
        <v>40822</v>
      </c>
      <c r="B952">
        <v>46.503654479980398</v>
      </c>
      <c r="C952">
        <v>24.145553588867099</v>
      </c>
    </row>
    <row r="953" spans="1:3">
      <c r="A953" s="1">
        <v>40823</v>
      </c>
      <c r="B953">
        <v>46.849147796630803</v>
      </c>
      <c r="C953">
        <v>24.3338813781738</v>
      </c>
    </row>
    <row r="954" spans="1:3">
      <c r="A954" s="1">
        <v>40826</v>
      </c>
      <c r="B954">
        <v>47.501743316650298</v>
      </c>
      <c r="C954">
        <v>24.703130722045898</v>
      </c>
    </row>
    <row r="955" spans="1:3">
      <c r="A955" s="1">
        <v>40827</v>
      </c>
      <c r="B955">
        <v>46.795406341552699</v>
      </c>
      <c r="C955">
        <v>24.666212081909102</v>
      </c>
    </row>
    <row r="956" spans="1:3">
      <c r="A956" s="1">
        <v>40828</v>
      </c>
      <c r="B956">
        <v>48.138988494872997</v>
      </c>
      <c r="C956">
        <v>24.9172973632812</v>
      </c>
    </row>
    <row r="957" spans="1:3">
      <c r="A957" s="1">
        <v>40829</v>
      </c>
      <c r="B957">
        <v>47.877964019775298</v>
      </c>
      <c r="C957">
        <v>24.887760162353501</v>
      </c>
    </row>
    <row r="958" spans="1:3">
      <c r="A958" s="1">
        <v>40830</v>
      </c>
      <c r="B958">
        <v>47.7858276367187</v>
      </c>
      <c r="C958">
        <v>25.053926467895501</v>
      </c>
    </row>
    <row r="959" spans="1:3">
      <c r="A959" s="1">
        <v>40833</v>
      </c>
      <c r="B959">
        <v>47.5171089172363</v>
      </c>
      <c r="C959">
        <v>24.740056991577099</v>
      </c>
    </row>
    <row r="960" spans="1:3">
      <c r="A960" s="1">
        <v>40834</v>
      </c>
      <c r="B960">
        <v>47.916347503662102</v>
      </c>
      <c r="C960">
        <v>24.6440525054931</v>
      </c>
    </row>
    <row r="961" spans="1:3">
      <c r="A961" s="1">
        <v>40835</v>
      </c>
      <c r="B961">
        <v>47.686008453369098</v>
      </c>
      <c r="C961">
        <v>24.7511291503906</v>
      </c>
    </row>
    <row r="962" spans="1:3">
      <c r="A962" s="1">
        <v>40836</v>
      </c>
      <c r="B962">
        <v>47.693698883056598</v>
      </c>
      <c r="C962">
        <v>24.784366607666001</v>
      </c>
    </row>
    <row r="963" spans="1:3">
      <c r="A963" s="1">
        <v>40837</v>
      </c>
      <c r="B963">
        <v>47.816539764404297</v>
      </c>
      <c r="C963">
        <v>25.179466247558501</v>
      </c>
    </row>
    <row r="964" spans="1:3">
      <c r="A964" s="1">
        <v>40840</v>
      </c>
      <c r="B964">
        <v>47.678325653076101</v>
      </c>
      <c r="C964">
        <v>25.061311721801701</v>
      </c>
    </row>
    <row r="965" spans="1:3">
      <c r="A965" s="1">
        <v>40841</v>
      </c>
      <c r="B965">
        <v>47.463371276855398</v>
      </c>
      <c r="C965">
        <v>24.721590042114201</v>
      </c>
    </row>
    <row r="966" spans="1:3">
      <c r="A966" s="1">
        <v>40842</v>
      </c>
      <c r="B966">
        <v>47.609237670898402</v>
      </c>
      <c r="C966">
        <v>24.913610458373999</v>
      </c>
    </row>
    <row r="967" spans="1:3">
      <c r="A967" s="1">
        <v>40843</v>
      </c>
      <c r="B967">
        <v>48.277191162109297</v>
      </c>
      <c r="C967">
        <v>25.31978225708</v>
      </c>
    </row>
    <row r="968" spans="1:3">
      <c r="A968" s="1">
        <v>40844</v>
      </c>
      <c r="B968">
        <v>48.522880554199197</v>
      </c>
      <c r="C968">
        <v>25.452711105346602</v>
      </c>
    </row>
    <row r="969" spans="1:3">
      <c r="A969" s="1">
        <v>40847</v>
      </c>
      <c r="B969">
        <v>48.330944061279297</v>
      </c>
      <c r="C969">
        <v>25.227472305297798</v>
      </c>
    </row>
    <row r="970" spans="1:3">
      <c r="A970" s="1">
        <v>40848</v>
      </c>
      <c r="B970">
        <v>47.778144836425703</v>
      </c>
      <c r="C970">
        <v>24.754823684692301</v>
      </c>
    </row>
    <row r="971" spans="1:3">
      <c r="A971" s="1">
        <v>40849</v>
      </c>
      <c r="B971">
        <v>47.916347503662102</v>
      </c>
      <c r="C971">
        <v>25.024385452270501</v>
      </c>
    </row>
    <row r="972" spans="1:3">
      <c r="A972" s="1">
        <v>40850</v>
      </c>
      <c r="B972">
        <v>48.215770721435497</v>
      </c>
      <c r="C972">
        <v>25.3493251800537</v>
      </c>
    </row>
    <row r="973" spans="1:3">
      <c r="A973" s="1">
        <v>40851</v>
      </c>
      <c r="B973">
        <v>47.5938911437988</v>
      </c>
      <c r="C973">
        <v>25.028078079223601</v>
      </c>
    </row>
    <row r="974" spans="1:3">
      <c r="A974" s="1">
        <v>40854</v>
      </c>
      <c r="B974">
        <v>47.985446929931598</v>
      </c>
      <c r="C974">
        <v>25.186853408813398</v>
      </c>
    </row>
    <row r="975" spans="1:3">
      <c r="A975" s="1">
        <v>40855</v>
      </c>
      <c r="B975">
        <v>48.876049041747997</v>
      </c>
      <c r="C975">
        <v>25.3493251800537</v>
      </c>
    </row>
    <row r="976" spans="1:3">
      <c r="A976" s="1">
        <v>40856</v>
      </c>
      <c r="B976">
        <v>47.816539764404297</v>
      </c>
      <c r="C976">
        <v>24.7511291503906</v>
      </c>
    </row>
    <row r="977" spans="1:3">
      <c r="A977" s="1">
        <v>40857</v>
      </c>
      <c r="B977">
        <v>48.338607788085902</v>
      </c>
      <c r="C977">
        <v>24.884059906005799</v>
      </c>
    </row>
    <row r="978" spans="1:3">
      <c r="A978" s="1">
        <v>40858</v>
      </c>
      <c r="B978">
        <v>48.5843086242675</v>
      </c>
      <c r="C978">
        <v>25.153619766235298</v>
      </c>
    </row>
    <row r="979" spans="1:3">
      <c r="A979" s="1">
        <v>40861</v>
      </c>
      <c r="B979">
        <v>48.215770721435497</v>
      </c>
      <c r="C979">
        <v>25.0317687988281</v>
      </c>
    </row>
    <row r="980" spans="1:3">
      <c r="A980" s="1">
        <v>40862</v>
      </c>
      <c r="B980">
        <v>49.520984649658203</v>
      </c>
      <c r="C980">
        <v>25.109310150146399</v>
      </c>
    </row>
    <row r="981" spans="1:3">
      <c r="A981" s="1">
        <v>40863</v>
      </c>
      <c r="B981">
        <v>49.973972320556598</v>
      </c>
      <c r="C981">
        <v>24.743747711181602</v>
      </c>
    </row>
    <row r="982" spans="1:3">
      <c r="A982" s="1">
        <v>40864</v>
      </c>
      <c r="B982">
        <v>49.2061958312988</v>
      </c>
      <c r="C982">
        <v>24.599742889404201</v>
      </c>
    </row>
    <row r="983" spans="1:3">
      <c r="A983" s="1">
        <v>40865</v>
      </c>
      <c r="B983">
        <v>49.052650451660099</v>
      </c>
      <c r="C983">
        <v>24.884059906005799</v>
      </c>
    </row>
    <row r="984" spans="1:3">
      <c r="A984" s="1">
        <v>40868</v>
      </c>
      <c r="B984">
        <v>48.484493255615199</v>
      </c>
      <c r="C984">
        <v>24.3523349761962</v>
      </c>
    </row>
    <row r="985" spans="1:3">
      <c r="A985" s="1">
        <v>40869</v>
      </c>
      <c r="B985">
        <v>48.507522583007798</v>
      </c>
      <c r="C985">
        <v>24.3597297668457</v>
      </c>
    </row>
    <row r="986" spans="1:3">
      <c r="A986" s="1">
        <v>40870</v>
      </c>
      <c r="B986">
        <v>47.908672332763601</v>
      </c>
      <c r="C986">
        <v>23.953546524047798</v>
      </c>
    </row>
    <row r="987" spans="1:3">
      <c r="A987" s="1">
        <v>40872</v>
      </c>
      <c r="B987">
        <v>47.977767944335902</v>
      </c>
      <c r="C987">
        <v>23.905540466308501</v>
      </c>
    </row>
    <row r="988" spans="1:3">
      <c r="A988" s="1">
        <v>40875</v>
      </c>
      <c r="B988">
        <v>48.361648559570298</v>
      </c>
      <c r="C988">
        <v>24.064323425292901</v>
      </c>
    </row>
    <row r="989" spans="1:3">
      <c r="A989" s="1">
        <v>40876</v>
      </c>
      <c r="B989">
        <v>48.876049041747997</v>
      </c>
      <c r="C989">
        <v>24.798650741577099</v>
      </c>
    </row>
    <row r="990" spans="1:3">
      <c r="A990" s="1">
        <v>40877</v>
      </c>
      <c r="B990">
        <v>49.537853240966797</v>
      </c>
      <c r="C990">
        <v>25.1883010864257</v>
      </c>
    </row>
    <row r="991" spans="1:3">
      <c r="A991" s="1">
        <v>40878</v>
      </c>
      <c r="B991">
        <v>49.607513427734297</v>
      </c>
      <c r="C991">
        <v>25.0384311676025</v>
      </c>
    </row>
    <row r="992" spans="1:3">
      <c r="A992" s="1">
        <v>40879</v>
      </c>
      <c r="B992">
        <v>49.7545776367187</v>
      </c>
      <c r="C992">
        <v>24.869836807250898</v>
      </c>
    </row>
    <row r="993" spans="1:3">
      <c r="A993" s="1">
        <v>40882</v>
      </c>
      <c r="B993">
        <v>49.847461700439403</v>
      </c>
      <c r="C993">
        <v>24.843614578246999</v>
      </c>
    </row>
    <row r="994" spans="1:3">
      <c r="A994" s="1">
        <v>40883</v>
      </c>
      <c r="B994">
        <v>50.040966033935497</v>
      </c>
      <c r="C994">
        <v>24.982233047485298</v>
      </c>
    </row>
    <row r="995" spans="1:3">
      <c r="A995" s="1">
        <v>40884</v>
      </c>
      <c r="B995">
        <v>50.242218017578097</v>
      </c>
      <c r="C995">
        <v>25.019701004028299</v>
      </c>
    </row>
    <row r="996" spans="1:3">
      <c r="A996" s="1">
        <v>40885</v>
      </c>
      <c r="B996">
        <v>49.793289184570298</v>
      </c>
      <c r="C996">
        <v>25.000968933105401</v>
      </c>
    </row>
    <row r="997" spans="1:3">
      <c r="A997" s="1">
        <v>40886</v>
      </c>
      <c r="B997">
        <v>50.45894241333</v>
      </c>
      <c r="C997">
        <v>25.315677642822202</v>
      </c>
    </row>
    <row r="998" spans="1:3">
      <c r="A998" s="1">
        <v>40889</v>
      </c>
      <c r="B998">
        <v>50.0487060546875</v>
      </c>
      <c r="C998">
        <v>25.0609130859375</v>
      </c>
    </row>
    <row r="999" spans="1:3">
      <c r="A999" s="1">
        <v>40890</v>
      </c>
      <c r="B999">
        <v>49.7545776367187</v>
      </c>
      <c r="C999">
        <v>24.907299041748001</v>
      </c>
    </row>
    <row r="1000" spans="1:3">
      <c r="A1000" s="1">
        <v>40891</v>
      </c>
      <c r="B1000">
        <v>49.522377014160099</v>
      </c>
      <c r="C1000">
        <v>24.8248786926269</v>
      </c>
    </row>
    <row r="1001" spans="1:3">
      <c r="A1001" s="1">
        <v>40892</v>
      </c>
      <c r="B1001">
        <v>50.195766448974602</v>
      </c>
      <c r="C1001">
        <v>25.0609130859375</v>
      </c>
    </row>
    <row r="1002" spans="1:3">
      <c r="A1002" s="1">
        <v>40893</v>
      </c>
      <c r="B1002">
        <v>50.087409973144503</v>
      </c>
      <c r="C1002">
        <v>25.266973495483398</v>
      </c>
    </row>
    <row r="1003" spans="1:3">
      <c r="A1003" s="1">
        <v>40896</v>
      </c>
      <c r="B1003">
        <v>49.8242378234863</v>
      </c>
      <c r="C1003">
        <v>25.2407417297363</v>
      </c>
    </row>
    <row r="1004" spans="1:3">
      <c r="A1004" s="1">
        <v>40897</v>
      </c>
      <c r="B1004">
        <v>50.7221069335937</v>
      </c>
      <c r="C1004">
        <v>25.626646041870099</v>
      </c>
    </row>
    <row r="1005" spans="1:3">
      <c r="A1005" s="1">
        <v>40898</v>
      </c>
      <c r="B1005">
        <v>51.116863250732401</v>
      </c>
      <c r="C1005">
        <v>26.0649909973144</v>
      </c>
    </row>
    <row r="1006" spans="1:3">
      <c r="A1006" s="1">
        <v>40899</v>
      </c>
      <c r="B1006">
        <v>51.116863250732401</v>
      </c>
      <c r="C1006">
        <v>25.9226264953613</v>
      </c>
    </row>
    <row r="1007" spans="1:3">
      <c r="A1007" s="1">
        <v>40900</v>
      </c>
      <c r="B1007">
        <v>51.527091979980398</v>
      </c>
      <c r="C1007">
        <v>26.203620910644499</v>
      </c>
    </row>
    <row r="1008" spans="1:3">
      <c r="A1008" s="1">
        <v>40904</v>
      </c>
      <c r="B1008">
        <v>51.380039215087798</v>
      </c>
      <c r="C1008">
        <v>26.181144714355401</v>
      </c>
    </row>
    <row r="1009" spans="1:3">
      <c r="A1009" s="1">
        <v>40905</v>
      </c>
      <c r="B1009">
        <v>51.016239166259702</v>
      </c>
      <c r="C1009">
        <v>26.042524337768501</v>
      </c>
    </row>
    <row r="1010" spans="1:3">
      <c r="A1010" s="1">
        <v>40906</v>
      </c>
      <c r="B1010">
        <v>51.503894805908203</v>
      </c>
      <c r="C1010">
        <v>26.286054611206001</v>
      </c>
    </row>
    <row r="1011" spans="1:3">
      <c r="A1011" s="1">
        <v>40907</v>
      </c>
      <c r="B1011">
        <v>51.356819152832003</v>
      </c>
      <c r="C1011">
        <v>26.214859008788999</v>
      </c>
    </row>
    <row r="1012" spans="1:3">
      <c r="A1012" s="1">
        <v>40911</v>
      </c>
      <c r="B1012">
        <v>51.395515441894503</v>
      </c>
      <c r="C1012">
        <v>26.278556823730401</v>
      </c>
    </row>
    <row r="1013" spans="1:3">
      <c r="A1013" s="1">
        <v>40912</v>
      </c>
      <c r="B1013">
        <v>51.658679962158203</v>
      </c>
      <c r="C1013">
        <v>26.113698959350501</v>
      </c>
    </row>
    <row r="1014" spans="1:3">
      <c r="A1014" s="1">
        <v>40913</v>
      </c>
      <c r="B1014">
        <v>51.256206512451101</v>
      </c>
      <c r="C1014">
        <v>25.990062713623001</v>
      </c>
    </row>
    <row r="1015" spans="1:3">
      <c r="A1015" s="1">
        <v>40914</v>
      </c>
      <c r="B1015">
        <v>50.613742828369098</v>
      </c>
      <c r="C1015">
        <v>25.8252143859863</v>
      </c>
    </row>
    <row r="1016" spans="1:3">
      <c r="A1016" s="1">
        <v>40917</v>
      </c>
      <c r="B1016">
        <v>50.876918792724602</v>
      </c>
      <c r="C1016">
        <v>25.8252143859863</v>
      </c>
    </row>
    <row r="1017" spans="1:3">
      <c r="A1017" s="1">
        <v>40918</v>
      </c>
      <c r="B1017">
        <v>50.822738647460902</v>
      </c>
      <c r="C1017">
        <v>25.978824615478501</v>
      </c>
    </row>
    <row r="1018" spans="1:3">
      <c r="A1018" s="1">
        <v>40919</v>
      </c>
      <c r="B1018">
        <v>50.319622039794901</v>
      </c>
      <c r="C1018">
        <v>25.4992580413818</v>
      </c>
    </row>
    <row r="1019" spans="1:3">
      <c r="A1019" s="1">
        <v>40920</v>
      </c>
      <c r="B1019">
        <v>50.017757415771399</v>
      </c>
      <c r="C1019">
        <v>25.315677642822202</v>
      </c>
    </row>
    <row r="1020" spans="1:3">
      <c r="A1020" s="1">
        <v>40921</v>
      </c>
      <c r="B1020">
        <v>49.847461700439403</v>
      </c>
      <c r="C1020">
        <v>25.098375320434499</v>
      </c>
    </row>
    <row r="1021" spans="1:3">
      <c r="A1021" s="1">
        <v>40925</v>
      </c>
      <c r="B1021">
        <v>50.040966033935497</v>
      </c>
      <c r="C1021">
        <v>25.233259201049801</v>
      </c>
    </row>
    <row r="1022" spans="1:3">
      <c r="A1022" s="1">
        <v>40926</v>
      </c>
      <c r="B1022">
        <v>50.195766448974602</v>
      </c>
      <c r="C1022">
        <v>25.323173522949201</v>
      </c>
    </row>
    <row r="1023" spans="1:3">
      <c r="A1023" s="1">
        <v>40927</v>
      </c>
      <c r="B1023">
        <v>51.016239166259702</v>
      </c>
      <c r="C1023">
        <v>25.270723342895501</v>
      </c>
    </row>
    <row r="1024" spans="1:3">
      <c r="A1024" s="1">
        <v>40928</v>
      </c>
      <c r="B1024">
        <v>51.302639007568303</v>
      </c>
      <c r="C1024">
        <v>25.510499954223601</v>
      </c>
    </row>
    <row r="1025" spans="1:3">
      <c r="A1025" s="1">
        <v>40931</v>
      </c>
      <c r="B1025">
        <v>51.163307189941399</v>
      </c>
      <c r="C1025">
        <v>25.675352096557599</v>
      </c>
    </row>
    <row r="1026" spans="1:3">
      <c r="A1026" s="1">
        <v>40932</v>
      </c>
      <c r="B1026">
        <v>51.240699768066399</v>
      </c>
      <c r="C1026">
        <v>25.4393196105957</v>
      </c>
    </row>
    <row r="1027" spans="1:3">
      <c r="A1027" s="1">
        <v>40933</v>
      </c>
      <c r="B1027">
        <v>51.627727508544901</v>
      </c>
      <c r="C1027">
        <v>25.637882232666001</v>
      </c>
    </row>
    <row r="1028" spans="1:3">
      <c r="A1028" s="1">
        <v>40934</v>
      </c>
      <c r="B1028">
        <v>51.488407135009702</v>
      </c>
      <c r="C1028">
        <v>25.480533599853501</v>
      </c>
    </row>
    <row r="1029" spans="1:3">
      <c r="A1029" s="1">
        <v>40935</v>
      </c>
      <c r="B1029">
        <v>50.938846588134702</v>
      </c>
      <c r="C1029">
        <v>25.266973495483398</v>
      </c>
    </row>
    <row r="1030" spans="1:3">
      <c r="A1030" s="1">
        <v>40938</v>
      </c>
      <c r="B1030">
        <v>50.629226684570298</v>
      </c>
      <c r="C1030">
        <v>25.274467468261701</v>
      </c>
    </row>
    <row r="1031" spans="1:3">
      <c r="A1031" s="1">
        <v>40939</v>
      </c>
      <c r="B1031">
        <v>50.830482482910099</v>
      </c>
      <c r="C1031">
        <v>25.300701141357401</v>
      </c>
    </row>
    <row r="1032" spans="1:3">
      <c r="A1032" s="1">
        <v>40940</v>
      </c>
      <c r="B1032">
        <v>51.380039215087798</v>
      </c>
      <c r="C1032">
        <v>25.420589447021399</v>
      </c>
    </row>
    <row r="1033" spans="1:3">
      <c r="A1033" s="1">
        <v>40941</v>
      </c>
      <c r="B1033">
        <v>51.395515441894503</v>
      </c>
      <c r="C1033">
        <v>25.413093566894499</v>
      </c>
    </row>
    <row r="1034" spans="1:3">
      <c r="A1034" s="1">
        <v>40942</v>
      </c>
      <c r="B1034">
        <v>51.596782684326101</v>
      </c>
      <c r="C1034">
        <v>25.506755828857401</v>
      </c>
    </row>
    <row r="1035" spans="1:3">
      <c r="A1035" s="1">
        <v>40945</v>
      </c>
      <c r="B1035">
        <v>51.488407135009702</v>
      </c>
      <c r="C1035">
        <v>25.4880256652832</v>
      </c>
    </row>
    <row r="1036" spans="1:3">
      <c r="A1036" s="1">
        <v>40946</v>
      </c>
      <c r="B1036">
        <v>51.674179077148402</v>
      </c>
      <c r="C1036">
        <v>25.682846069335898</v>
      </c>
    </row>
    <row r="1037" spans="1:3">
      <c r="A1037" s="1">
        <v>40947</v>
      </c>
      <c r="B1037">
        <v>51.658679962158203</v>
      </c>
      <c r="C1037">
        <v>25.6004238128662</v>
      </c>
    </row>
    <row r="1038" spans="1:3">
      <c r="A1038" s="1">
        <v>40948</v>
      </c>
      <c r="B1038">
        <v>49.746837615966797</v>
      </c>
      <c r="C1038">
        <v>25.465538024902301</v>
      </c>
    </row>
    <row r="1039" spans="1:3">
      <c r="A1039" s="1">
        <v>40949</v>
      </c>
      <c r="B1039">
        <v>49.4991455078125</v>
      </c>
      <c r="C1039">
        <v>25.454311370849599</v>
      </c>
    </row>
    <row r="1040" spans="1:3">
      <c r="A1040" s="1">
        <v>40952</v>
      </c>
      <c r="B1040">
        <v>49.297897338867102</v>
      </c>
      <c r="C1040">
        <v>25.6416301727294</v>
      </c>
    </row>
    <row r="1041" spans="1:3">
      <c r="A1041" s="1">
        <v>40953</v>
      </c>
      <c r="B1041">
        <v>49.166316986083899</v>
      </c>
      <c r="C1041">
        <v>25.813978195190401</v>
      </c>
    </row>
    <row r="1042" spans="1:3">
      <c r="A1042" s="1">
        <v>40954</v>
      </c>
      <c r="B1042">
        <v>48.818008422851499</v>
      </c>
      <c r="C1042">
        <v>25.626646041870099</v>
      </c>
    </row>
    <row r="1043" spans="1:3">
      <c r="A1043" s="1">
        <v>40955</v>
      </c>
      <c r="B1043">
        <v>48.554836273193303</v>
      </c>
      <c r="C1043">
        <v>25.798986434936499</v>
      </c>
    </row>
    <row r="1044" spans="1:3">
      <c r="A1044" s="1">
        <v>40956</v>
      </c>
      <c r="B1044">
        <v>48.516136169433501</v>
      </c>
      <c r="C1044">
        <v>25.870172500610298</v>
      </c>
    </row>
    <row r="1045" spans="1:3">
      <c r="A1045" s="1">
        <v>40960</v>
      </c>
      <c r="B1045">
        <v>48.872184753417898</v>
      </c>
      <c r="C1045">
        <v>25.783998489379801</v>
      </c>
    </row>
    <row r="1046" spans="1:3">
      <c r="A1046" s="1">
        <v>40961</v>
      </c>
      <c r="B1046">
        <v>48.841220855712798</v>
      </c>
      <c r="C1046">
        <v>25.945106506347599</v>
      </c>
    </row>
    <row r="1047" spans="1:3">
      <c r="A1047" s="1">
        <v>40962</v>
      </c>
      <c r="B1047">
        <v>48.864437103271399</v>
      </c>
      <c r="C1047">
        <v>25.918889999389599</v>
      </c>
    </row>
    <row r="1048" spans="1:3">
      <c r="A1048" s="1">
        <v>40963</v>
      </c>
      <c r="B1048">
        <v>49.003776550292898</v>
      </c>
      <c r="C1048">
        <v>25.851444244384702</v>
      </c>
    </row>
    <row r="1049" spans="1:3">
      <c r="A1049" s="1">
        <v>40966</v>
      </c>
      <c r="B1049">
        <v>49.011512756347599</v>
      </c>
      <c r="C1049">
        <v>25.787752151489201</v>
      </c>
    </row>
    <row r="1050" spans="1:3">
      <c r="A1050" s="1">
        <v>40967</v>
      </c>
      <c r="B1050">
        <v>49.011512756347599</v>
      </c>
      <c r="C1050">
        <v>25.795251846313398</v>
      </c>
    </row>
    <row r="1051" spans="1:3">
      <c r="A1051" s="1">
        <v>40968</v>
      </c>
      <c r="B1051">
        <v>49.116844177246001</v>
      </c>
      <c r="C1051">
        <v>26.173650741577099</v>
      </c>
    </row>
    <row r="1052" spans="1:3">
      <c r="A1052" s="1">
        <v>40969</v>
      </c>
      <c r="B1052">
        <v>48.812515258788999</v>
      </c>
      <c r="C1052">
        <v>26.076236724853501</v>
      </c>
    </row>
    <row r="1053" spans="1:3">
      <c r="A1053" s="1">
        <v>40970</v>
      </c>
      <c r="B1053">
        <v>48.789115905761697</v>
      </c>
      <c r="C1053">
        <v>25.918889999389599</v>
      </c>
    </row>
    <row r="1054" spans="1:3">
      <c r="A1054" s="1">
        <v>40973</v>
      </c>
      <c r="B1054">
        <v>48.999801635742102</v>
      </c>
      <c r="C1054">
        <v>25.937614440917901</v>
      </c>
    </row>
    <row r="1055" spans="1:3">
      <c r="A1055" s="1">
        <v>40974</v>
      </c>
      <c r="B1055">
        <v>48.601814270019503</v>
      </c>
      <c r="C1055">
        <v>25.761531829833899</v>
      </c>
    </row>
    <row r="1056" spans="1:3">
      <c r="A1056" s="1">
        <v>40975</v>
      </c>
      <c r="B1056">
        <v>48.867141723632798</v>
      </c>
      <c r="C1056">
        <v>25.772760391235298</v>
      </c>
    </row>
    <row r="1057" spans="1:3">
      <c r="A1057" s="1">
        <v>40976</v>
      </c>
      <c r="B1057">
        <v>49.124660491943303</v>
      </c>
      <c r="C1057">
        <v>25.952602386474599</v>
      </c>
    </row>
    <row r="1058" spans="1:3">
      <c r="A1058" s="1">
        <v>40977</v>
      </c>
      <c r="B1058">
        <v>49.280723571777301</v>
      </c>
      <c r="C1058">
        <v>26.042524337768501</v>
      </c>
    </row>
    <row r="1059" spans="1:3">
      <c r="A1059" s="1">
        <v>40980</v>
      </c>
      <c r="B1059">
        <v>49.8972358703613</v>
      </c>
      <c r="C1059">
        <v>26.282304763793899</v>
      </c>
    </row>
    <row r="1060" spans="1:3">
      <c r="A1060" s="1">
        <v>40981</v>
      </c>
      <c r="B1060">
        <v>50.209381103515597</v>
      </c>
      <c r="C1060">
        <v>26.708110809326101</v>
      </c>
    </row>
    <row r="1061" spans="1:3">
      <c r="A1061" s="1">
        <v>40982</v>
      </c>
      <c r="B1061">
        <v>49.990879058837798</v>
      </c>
      <c r="C1061">
        <v>26.696702957153299</v>
      </c>
    </row>
    <row r="1062" spans="1:3">
      <c r="A1062" s="1">
        <v>40983</v>
      </c>
      <c r="B1062">
        <v>50.076709747314403</v>
      </c>
      <c r="C1062">
        <v>26.738521575927699</v>
      </c>
    </row>
    <row r="1063" spans="1:3">
      <c r="A1063" s="1">
        <v>40984</v>
      </c>
      <c r="B1063">
        <v>50.310836791992102</v>
      </c>
      <c r="C1063">
        <v>26.6738967895507</v>
      </c>
    </row>
    <row r="1064" spans="1:3">
      <c r="A1064" s="1">
        <v>40987</v>
      </c>
      <c r="B1064">
        <v>50.513725280761697</v>
      </c>
      <c r="C1064">
        <v>26.765132904052699</v>
      </c>
    </row>
    <row r="1065" spans="1:3">
      <c r="A1065" s="1">
        <v>40988</v>
      </c>
      <c r="B1065">
        <v>50.942939758300703</v>
      </c>
      <c r="C1065">
        <v>26.837368011474599</v>
      </c>
    </row>
    <row r="1066" spans="1:3">
      <c r="A1066" s="1">
        <v>40989</v>
      </c>
      <c r="B1066">
        <v>51.005378723144503</v>
      </c>
      <c r="C1066">
        <v>27.038871765136701</v>
      </c>
    </row>
    <row r="1067" spans="1:3">
      <c r="A1067" s="1">
        <v>40990</v>
      </c>
      <c r="B1067">
        <v>51.028785705566399</v>
      </c>
      <c r="C1067">
        <v>27.1529331207275</v>
      </c>
    </row>
    <row r="1068" spans="1:3">
      <c r="A1068" s="1">
        <v>40991</v>
      </c>
      <c r="B1068">
        <v>50.958549499511697</v>
      </c>
      <c r="C1068">
        <v>27.1795444488525</v>
      </c>
    </row>
    <row r="1069" spans="1:3">
      <c r="A1069" s="1">
        <v>40994</v>
      </c>
      <c r="B1069">
        <v>51.333137512207003</v>
      </c>
      <c r="C1069">
        <v>27.3354167938232</v>
      </c>
    </row>
    <row r="1070" spans="1:3">
      <c r="A1070" s="1">
        <v>40995</v>
      </c>
      <c r="B1070">
        <v>51.512622833251903</v>
      </c>
      <c r="C1070">
        <v>27.324016571044901</v>
      </c>
    </row>
    <row r="1071" spans="1:3">
      <c r="A1071" s="1">
        <v>40996</v>
      </c>
      <c r="B1071">
        <v>51.450183868408203</v>
      </c>
      <c r="C1071">
        <v>27.624361038208001</v>
      </c>
    </row>
    <row r="1072" spans="1:3">
      <c r="A1072" s="1">
        <v>40997</v>
      </c>
      <c r="B1072">
        <v>51.520412445068303</v>
      </c>
      <c r="C1072">
        <v>28.061574935913001</v>
      </c>
    </row>
    <row r="1073" spans="1:3">
      <c r="A1073" s="1">
        <v>40998</v>
      </c>
      <c r="B1073">
        <v>51.777942657470703</v>
      </c>
      <c r="C1073">
        <v>28.137609481811499</v>
      </c>
    </row>
    <row r="1074" spans="1:3">
      <c r="A1074" s="1">
        <v>41001</v>
      </c>
      <c r="B1074">
        <v>52.082290649413999</v>
      </c>
      <c r="C1074">
        <v>28.187034606933501</v>
      </c>
    </row>
    <row r="1075" spans="1:3">
      <c r="A1075" s="1">
        <v>41002</v>
      </c>
      <c r="B1075">
        <v>51.941806793212798</v>
      </c>
      <c r="C1075">
        <v>28.042564392089801</v>
      </c>
    </row>
    <row r="1076" spans="1:3">
      <c r="A1076" s="1">
        <v>41003</v>
      </c>
      <c r="B1076">
        <v>51.770145416259702</v>
      </c>
      <c r="C1076">
        <v>27.928503036498999</v>
      </c>
    </row>
    <row r="1077" spans="1:3">
      <c r="A1077" s="1">
        <v>41004</v>
      </c>
      <c r="B1077">
        <v>51.621879577636697</v>
      </c>
      <c r="C1077">
        <v>27.932306289672798</v>
      </c>
    </row>
    <row r="1078" spans="1:3">
      <c r="A1078" s="1">
        <v>41008</v>
      </c>
      <c r="B1078">
        <v>50.997562408447202</v>
      </c>
      <c r="C1078">
        <v>27.704196929931602</v>
      </c>
    </row>
    <row r="1079" spans="1:3">
      <c r="A1079" s="1">
        <v>41009</v>
      </c>
      <c r="B1079">
        <v>50.607372283935497</v>
      </c>
      <c r="C1079">
        <v>27.381036758422798</v>
      </c>
    </row>
    <row r="1080" spans="1:3">
      <c r="A1080" s="1">
        <v>41010</v>
      </c>
      <c r="B1080">
        <v>50.841487884521399</v>
      </c>
      <c r="C1080">
        <v>27.419048309326101</v>
      </c>
    </row>
    <row r="1081" spans="1:3">
      <c r="A1081" s="1">
        <v>41011</v>
      </c>
      <c r="B1081">
        <v>51.020980834960902</v>
      </c>
      <c r="C1081">
        <v>27.457077026367099</v>
      </c>
    </row>
    <row r="1082" spans="1:3">
      <c r="A1082" s="1">
        <v>41012</v>
      </c>
      <c r="B1082">
        <v>50.771251678466797</v>
      </c>
      <c r="C1082">
        <v>27.3506259918212</v>
      </c>
    </row>
    <row r="1083" spans="1:3">
      <c r="A1083" s="1">
        <v>41015</v>
      </c>
      <c r="B1083">
        <v>51.4970092773437</v>
      </c>
      <c r="C1083">
        <v>27.5407199859619</v>
      </c>
    </row>
    <row r="1084" spans="1:3">
      <c r="A1084" s="1">
        <v>41016</v>
      </c>
      <c r="B1084">
        <v>51.816959381103501</v>
      </c>
      <c r="C1084">
        <v>28.114803314208899</v>
      </c>
    </row>
    <row r="1085" spans="1:3">
      <c r="A1085" s="1">
        <v>41017</v>
      </c>
      <c r="B1085">
        <v>51.668682098388601</v>
      </c>
      <c r="C1085">
        <v>28.198440551757798</v>
      </c>
    </row>
    <row r="1086" spans="1:3">
      <c r="A1086" s="1">
        <v>41018</v>
      </c>
      <c r="B1086">
        <v>51.621879577636697</v>
      </c>
      <c r="C1086">
        <v>28.0653781890869</v>
      </c>
    </row>
    <row r="1087" spans="1:3">
      <c r="A1087" s="1">
        <v>41019</v>
      </c>
      <c r="B1087">
        <v>51.996444702148402</v>
      </c>
      <c r="C1087">
        <v>28.1832275390625</v>
      </c>
    </row>
    <row r="1088" spans="1:3">
      <c r="A1088" s="1">
        <v>41022</v>
      </c>
      <c r="B1088">
        <v>51.6452827453613</v>
      </c>
      <c r="C1088">
        <v>28.015953063964801</v>
      </c>
    </row>
    <row r="1089" spans="1:3">
      <c r="A1089" s="1">
        <v>41023</v>
      </c>
      <c r="B1089">
        <v>51.902809143066399</v>
      </c>
      <c r="C1089">
        <v>28.1794319152832</v>
      </c>
    </row>
    <row r="1090" spans="1:3">
      <c r="A1090" s="1">
        <v>41024</v>
      </c>
      <c r="B1090">
        <v>52.0276679992675</v>
      </c>
      <c r="C1090">
        <v>28.4873847961425</v>
      </c>
    </row>
    <row r="1091" spans="1:3">
      <c r="A1091" s="1">
        <v>41025</v>
      </c>
      <c r="B1091">
        <v>51.793540954589801</v>
      </c>
      <c r="C1091">
        <v>28.783927917480401</v>
      </c>
    </row>
    <row r="1092" spans="1:3">
      <c r="A1092" s="1">
        <v>41026</v>
      </c>
      <c r="B1092">
        <v>51.582855224609297</v>
      </c>
      <c r="C1092">
        <v>29.1336956024169</v>
      </c>
    </row>
    <row r="1093" spans="1:3">
      <c r="A1093" s="1">
        <v>41029</v>
      </c>
      <c r="B1093">
        <v>51.504802703857401</v>
      </c>
      <c r="C1093">
        <v>29.015842437744102</v>
      </c>
    </row>
    <row r="1094" spans="1:3">
      <c r="A1094" s="1">
        <v>41030</v>
      </c>
      <c r="B1094">
        <v>51.887184143066399</v>
      </c>
      <c r="C1094">
        <v>29.247760772705</v>
      </c>
    </row>
    <row r="1095" spans="1:3">
      <c r="A1095" s="1">
        <v>41031</v>
      </c>
      <c r="B1095">
        <v>52.152542114257798</v>
      </c>
      <c r="C1095">
        <v>29.335191726684499</v>
      </c>
    </row>
    <row r="1096" spans="1:3">
      <c r="A1096" s="1">
        <v>41032</v>
      </c>
      <c r="B1096">
        <v>52.214950561523402</v>
      </c>
      <c r="C1096">
        <v>29.441650390625</v>
      </c>
    </row>
    <row r="1097" spans="1:3">
      <c r="A1097" s="1">
        <v>41033</v>
      </c>
      <c r="B1097">
        <v>51.4267768859863</v>
      </c>
      <c r="C1097">
        <v>29.27437210083</v>
      </c>
    </row>
    <row r="1098" spans="1:3">
      <c r="A1098" s="1">
        <v>41036</v>
      </c>
      <c r="B1098">
        <v>51.988662719726499</v>
      </c>
      <c r="C1098">
        <v>29.3808078765869</v>
      </c>
    </row>
    <row r="1099" spans="1:3">
      <c r="A1099" s="1">
        <v>41037</v>
      </c>
      <c r="B1099">
        <v>51.910598754882798</v>
      </c>
      <c r="C1099">
        <v>29.327598571777301</v>
      </c>
    </row>
    <row r="1100" spans="1:3">
      <c r="A1100" s="1">
        <v>41038</v>
      </c>
      <c r="B1100">
        <v>51.458000183105398</v>
      </c>
      <c r="C1100">
        <v>29.1907234191894</v>
      </c>
    </row>
    <row r="1101" spans="1:3">
      <c r="A1101" s="1">
        <v>41039</v>
      </c>
      <c r="B1101">
        <v>52.121303558349602</v>
      </c>
      <c r="C1101">
        <v>29.430242538452099</v>
      </c>
    </row>
    <row r="1102" spans="1:3">
      <c r="A1102" s="1">
        <v>41040</v>
      </c>
      <c r="B1102">
        <v>52.129119873046797</v>
      </c>
      <c r="C1102">
        <v>29.453060150146399</v>
      </c>
    </row>
    <row r="1103" spans="1:3">
      <c r="A1103" s="1">
        <v>41043</v>
      </c>
      <c r="B1103">
        <v>52.402233123779297</v>
      </c>
      <c r="C1103">
        <v>29.224946975708001</v>
      </c>
    </row>
    <row r="1104" spans="1:3">
      <c r="A1104" s="1">
        <v>41044</v>
      </c>
      <c r="B1104">
        <v>52.948509216308501</v>
      </c>
      <c r="C1104">
        <v>29.1108894348144</v>
      </c>
    </row>
    <row r="1105" spans="1:3">
      <c r="A1105" s="1">
        <v>41045</v>
      </c>
      <c r="B1105">
        <v>53.65083694458</v>
      </c>
      <c r="C1105">
        <v>29.019638061523398</v>
      </c>
    </row>
    <row r="1106" spans="1:3">
      <c r="A1106" s="1">
        <v>41046</v>
      </c>
      <c r="B1106">
        <v>53.666446685791001</v>
      </c>
      <c r="C1106">
        <v>28.559614181518501</v>
      </c>
    </row>
    <row r="1107" spans="1:3">
      <c r="A1107" s="1">
        <v>41047</v>
      </c>
      <c r="B1107">
        <v>53.159206390380803</v>
      </c>
      <c r="C1107">
        <v>28.152812957763601</v>
      </c>
    </row>
    <row r="1108" spans="1:3">
      <c r="A1108" s="1">
        <v>41050</v>
      </c>
      <c r="B1108">
        <v>53.049968719482401</v>
      </c>
      <c r="C1108">
        <v>28.3276977539062</v>
      </c>
    </row>
    <row r="1109" spans="1:3">
      <c r="A1109" s="1">
        <v>41051</v>
      </c>
      <c r="B1109">
        <v>53.127983093261697</v>
      </c>
      <c r="C1109">
        <v>28.206048965454102</v>
      </c>
    </row>
    <row r="1110" spans="1:3">
      <c r="A1110" s="1">
        <v>41052</v>
      </c>
      <c r="B1110">
        <v>53.065563201904297</v>
      </c>
      <c r="C1110">
        <v>28.342920303344702</v>
      </c>
    </row>
    <row r="1111" spans="1:3">
      <c r="A1111" s="1">
        <v>41053</v>
      </c>
      <c r="B1111">
        <v>53.697662353515597</v>
      </c>
      <c r="C1111">
        <v>28.7268962860107</v>
      </c>
    </row>
    <row r="1112" spans="1:3">
      <c r="A1112" s="1">
        <v>41054</v>
      </c>
      <c r="B1112">
        <v>53.565006256103501</v>
      </c>
      <c r="C1112">
        <v>28.6014404296875</v>
      </c>
    </row>
    <row r="1113" spans="1:3">
      <c r="A1113" s="1">
        <v>41058</v>
      </c>
      <c r="B1113">
        <v>54.1034545898437</v>
      </c>
      <c r="C1113">
        <v>28.688879013061499</v>
      </c>
    </row>
    <row r="1114" spans="1:3">
      <c r="A1114" s="1">
        <v>41059</v>
      </c>
      <c r="B1114">
        <v>53.653594970703097</v>
      </c>
      <c r="C1114">
        <v>28.536808013916001</v>
      </c>
    </row>
    <row r="1115" spans="1:3">
      <c r="A1115" s="1">
        <v>41060</v>
      </c>
      <c r="B1115">
        <v>53.362598419189403</v>
      </c>
      <c r="C1115">
        <v>28.4113445281982</v>
      </c>
    </row>
    <row r="1116" spans="1:3">
      <c r="A1116" s="1">
        <v>41061</v>
      </c>
      <c r="B1116">
        <v>53.095191955566399</v>
      </c>
      <c r="C1116">
        <v>27.787836074829102</v>
      </c>
    </row>
    <row r="1117" spans="1:3">
      <c r="A1117" s="1">
        <v>41064</v>
      </c>
      <c r="B1117">
        <v>53.071601867675703</v>
      </c>
      <c r="C1117">
        <v>27.996940612792901</v>
      </c>
    </row>
    <row r="1118" spans="1:3">
      <c r="A1118" s="1">
        <v>41065</v>
      </c>
      <c r="B1118">
        <v>52.694087982177699</v>
      </c>
      <c r="C1118">
        <v>27.844865798950099</v>
      </c>
    </row>
    <row r="1119" spans="1:3">
      <c r="A1119" s="1">
        <v>41066</v>
      </c>
      <c r="B1119">
        <v>53.079471588134702</v>
      </c>
      <c r="C1119">
        <v>28.365716934204102</v>
      </c>
    </row>
    <row r="1120" spans="1:3">
      <c r="A1120" s="1">
        <v>41067</v>
      </c>
      <c r="B1120">
        <v>53.228893280029297</v>
      </c>
      <c r="C1120">
        <v>28.240259170532202</v>
      </c>
    </row>
    <row r="1121" spans="1:3">
      <c r="A1121" s="1">
        <v>41068</v>
      </c>
      <c r="B1121">
        <v>53.724376678466797</v>
      </c>
      <c r="C1121">
        <v>28.605236053466701</v>
      </c>
    </row>
    <row r="1122" spans="1:3">
      <c r="A1122" s="1">
        <v>41071</v>
      </c>
      <c r="B1122">
        <v>53.5198974609375</v>
      </c>
      <c r="C1122">
        <v>28.384737014770501</v>
      </c>
    </row>
    <row r="1123" spans="1:3">
      <c r="A1123" s="1">
        <v>41072</v>
      </c>
      <c r="B1123">
        <v>53.795166015625</v>
      </c>
      <c r="C1123">
        <v>28.5900344848632</v>
      </c>
    </row>
    <row r="1124" spans="1:3">
      <c r="A1124" s="1">
        <v>41073</v>
      </c>
      <c r="B1124">
        <v>53.913139343261697</v>
      </c>
      <c r="C1124">
        <v>28.786600112915</v>
      </c>
    </row>
    <row r="1125" spans="1:3">
      <c r="A1125" s="1">
        <v>41074</v>
      </c>
      <c r="B1125">
        <v>54.479393005371001</v>
      </c>
      <c r="C1125">
        <v>29.191276550292901</v>
      </c>
    </row>
    <row r="1126" spans="1:3">
      <c r="A1126" s="1">
        <v>41075</v>
      </c>
      <c r="B1126">
        <v>54.6445503234863</v>
      </c>
      <c r="C1126">
        <v>29.326164245605401</v>
      </c>
    </row>
    <row r="1127" spans="1:3">
      <c r="A1127" s="1">
        <v>41078</v>
      </c>
      <c r="B1127">
        <v>54.738937377929602</v>
      </c>
      <c r="C1127">
        <v>29.283779144287099</v>
      </c>
    </row>
    <row r="1128" spans="1:3">
      <c r="A1128" s="1">
        <v>41079</v>
      </c>
      <c r="B1128">
        <v>54.510841369628899</v>
      </c>
      <c r="C1128">
        <v>29.191276550292901</v>
      </c>
    </row>
    <row r="1129" spans="1:3">
      <c r="A1129" s="1">
        <v>41080</v>
      </c>
      <c r="B1129">
        <v>54.196266174316399</v>
      </c>
      <c r="C1129">
        <v>29.121902465820298</v>
      </c>
    </row>
    <row r="1130" spans="1:3">
      <c r="A1130" s="1">
        <v>41081</v>
      </c>
      <c r="B1130">
        <v>53.873813629150298</v>
      </c>
      <c r="C1130">
        <v>28.778884887695298</v>
      </c>
    </row>
    <row r="1131" spans="1:3">
      <c r="A1131" s="1">
        <v>41082</v>
      </c>
      <c r="B1131">
        <v>54.031105041503899</v>
      </c>
      <c r="C1131">
        <v>28.882949829101499</v>
      </c>
    </row>
    <row r="1132" spans="1:3">
      <c r="A1132" s="1">
        <v>41085</v>
      </c>
      <c r="B1132">
        <v>53.960319519042898</v>
      </c>
      <c r="C1132">
        <v>28.817426681518501</v>
      </c>
    </row>
    <row r="1133" spans="1:3">
      <c r="A1133" s="1">
        <v>41086</v>
      </c>
      <c r="B1133">
        <v>54.219852447509702</v>
      </c>
      <c r="C1133">
        <v>28.936901092529201</v>
      </c>
    </row>
    <row r="1134" spans="1:3">
      <c r="A1134" s="1">
        <v>41087</v>
      </c>
      <c r="B1134">
        <v>54.856918334960902</v>
      </c>
      <c r="C1134">
        <v>29.422517776489201</v>
      </c>
    </row>
    <row r="1135" spans="1:3">
      <c r="A1135" s="1">
        <v>41088</v>
      </c>
      <c r="B1135">
        <v>54.738937377929602</v>
      </c>
      <c r="C1135">
        <v>29.511167526245099</v>
      </c>
    </row>
    <row r="1136" spans="1:3">
      <c r="A1136" s="1">
        <v>41089</v>
      </c>
      <c r="B1136">
        <v>55.572605133056598</v>
      </c>
      <c r="C1136">
        <v>30.135536193847599</v>
      </c>
    </row>
    <row r="1137" spans="1:3">
      <c r="A1137" s="1">
        <v>41092</v>
      </c>
      <c r="B1137">
        <v>55.651252746582003</v>
      </c>
      <c r="C1137">
        <v>30.416887283325099</v>
      </c>
    </row>
    <row r="1138" spans="1:3">
      <c r="A1138" s="1">
        <v>41093</v>
      </c>
      <c r="B1138">
        <v>55.651252746582003</v>
      </c>
      <c r="C1138">
        <v>30.5093975067138</v>
      </c>
    </row>
    <row r="1139" spans="1:3">
      <c r="A1139" s="1">
        <v>41095</v>
      </c>
      <c r="B1139">
        <v>55.187244415283203</v>
      </c>
      <c r="C1139">
        <v>30.235750198364201</v>
      </c>
    </row>
    <row r="1140" spans="1:3">
      <c r="A1140" s="1">
        <v>41096</v>
      </c>
      <c r="B1140">
        <v>55.226558685302699</v>
      </c>
      <c r="C1140">
        <v>30.120128631591701</v>
      </c>
    </row>
    <row r="1141" spans="1:3">
      <c r="A1141" s="1">
        <v>41099</v>
      </c>
      <c r="B1141">
        <v>55.045669555663999</v>
      </c>
      <c r="C1141">
        <v>30.054603576660099</v>
      </c>
    </row>
    <row r="1142" spans="1:3">
      <c r="A1142" s="1">
        <v>41100</v>
      </c>
      <c r="B1142">
        <v>54.951274871826101</v>
      </c>
      <c r="C1142">
        <v>30.054603576660099</v>
      </c>
    </row>
    <row r="1143" spans="1:3">
      <c r="A1143" s="1">
        <v>41101</v>
      </c>
      <c r="B1143">
        <v>55.15576171875</v>
      </c>
      <c r="C1143">
        <v>29.854190826416001</v>
      </c>
    </row>
    <row r="1144" spans="1:3">
      <c r="A1144" s="1">
        <v>41102</v>
      </c>
      <c r="B1144">
        <v>54.935550689697202</v>
      </c>
      <c r="C1144">
        <v>29.538150787353501</v>
      </c>
    </row>
    <row r="1145" spans="1:3">
      <c r="A1145" s="1">
        <v>41103</v>
      </c>
      <c r="B1145">
        <v>55.375984191894503</v>
      </c>
      <c r="C1145">
        <v>29.784812927246001</v>
      </c>
    </row>
    <row r="1146" spans="1:3">
      <c r="A1146" s="1">
        <v>41106</v>
      </c>
      <c r="B1146">
        <v>55.3287963867187</v>
      </c>
      <c r="C1146">
        <v>29.476482391357401</v>
      </c>
    </row>
    <row r="1147" spans="1:3">
      <c r="A1147" s="1">
        <v>41107</v>
      </c>
      <c r="B1147">
        <v>55.313076019287102</v>
      </c>
      <c r="C1147">
        <v>29.942846298217699</v>
      </c>
    </row>
    <row r="1148" spans="1:3">
      <c r="A1148" s="1">
        <v>41108</v>
      </c>
      <c r="B1148">
        <v>55.3523750305175</v>
      </c>
      <c r="C1148">
        <v>29.846473693847599</v>
      </c>
    </row>
    <row r="1149" spans="1:3">
      <c r="A1149" s="1">
        <v>41109</v>
      </c>
      <c r="B1149">
        <v>55.383842468261697</v>
      </c>
      <c r="C1149">
        <v>29.888887405395501</v>
      </c>
    </row>
    <row r="1150" spans="1:3">
      <c r="A1150" s="1">
        <v>41110</v>
      </c>
      <c r="B1150">
        <v>55.022068023681598</v>
      </c>
      <c r="C1150">
        <v>29.688461303710898</v>
      </c>
    </row>
    <row r="1151" spans="1:3">
      <c r="A1151" s="1">
        <v>41113</v>
      </c>
      <c r="B1151">
        <v>54.534461975097599</v>
      </c>
      <c r="C1151">
        <v>29.6306438446044</v>
      </c>
    </row>
    <row r="1152" spans="1:3">
      <c r="A1152" s="1">
        <v>41114</v>
      </c>
      <c r="B1152">
        <v>54.101894378662102</v>
      </c>
      <c r="C1152">
        <v>29.545854568481399</v>
      </c>
    </row>
    <row r="1153" spans="1:3">
      <c r="A1153" s="1">
        <v>41115</v>
      </c>
      <c r="B1153">
        <v>55.289482116699197</v>
      </c>
      <c r="C1153">
        <v>29.6846103668212</v>
      </c>
    </row>
    <row r="1154" spans="1:3">
      <c r="A1154" s="1">
        <v>41116</v>
      </c>
      <c r="B1154">
        <v>56.013034820556598</v>
      </c>
      <c r="C1154">
        <v>30.389917373657202</v>
      </c>
    </row>
    <row r="1155" spans="1:3">
      <c r="A1155" s="1">
        <v>41117</v>
      </c>
      <c r="B1155">
        <v>56.830974578857401</v>
      </c>
      <c r="C1155">
        <v>30.8370056152343</v>
      </c>
    </row>
    <row r="1156" spans="1:3">
      <c r="A1156" s="1">
        <v>41120</v>
      </c>
      <c r="B1156">
        <v>57.216346740722599</v>
      </c>
      <c r="C1156">
        <v>31.2647991180419</v>
      </c>
    </row>
    <row r="1157" spans="1:3">
      <c r="A1157" s="1">
        <v>41121</v>
      </c>
      <c r="B1157">
        <v>57.200626373291001</v>
      </c>
      <c r="C1157">
        <v>31.141475677490199</v>
      </c>
    </row>
    <row r="1158" spans="1:3">
      <c r="A1158" s="1">
        <v>41122</v>
      </c>
      <c r="B1158">
        <v>56.941078186035099</v>
      </c>
      <c r="C1158">
        <v>31.222415924072202</v>
      </c>
    </row>
    <row r="1159" spans="1:3">
      <c r="A1159" s="1">
        <v>41123</v>
      </c>
      <c r="B1159">
        <v>56.469181060791001</v>
      </c>
      <c r="C1159">
        <v>30.7367858886718</v>
      </c>
    </row>
    <row r="1160" spans="1:3">
      <c r="A1160" s="1">
        <v>41124</v>
      </c>
      <c r="B1160">
        <v>57.310737609863203</v>
      </c>
      <c r="C1160">
        <v>31.1530456542968</v>
      </c>
    </row>
    <row r="1161" spans="1:3">
      <c r="A1161" s="1">
        <v>41127</v>
      </c>
      <c r="B1161">
        <v>57.004001617431598</v>
      </c>
      <c r="C1161">
        <v>31.079809188842699</v>
      </c>
    </row>
    <row r="1162" spans="1:3">
      <c r="A1162" s="1">
        <v>41128</v>
      </c>
      <c r="B1162">
        <v>56.8545532226562</v>
      </c>
      <c r="C1162">
        <v>30.744499206542901</v>
      </c>
    </row>
    <row r="1163" spans="1:3">
      <c r="A1163" s="1">
        <v>41129</v>
      </c>
      <c r="B1163">
        <v>57.074790954589801</v>
      </c>
      <c r="C1163">
        <v>30.663557052612301</v>
      </c>
    </row>
    <row r="1164" spans="1:3">
      <c r="A1164" s="1">
        <v>41130</v>
      </c>
      <c r="B1164">
        <v>56.736598968505803</v>
      </c>
      <c r="C1164">
        <v>30.540225982666001</v>
      </c>
    </row>
    <row r="1165" spans="1:3">
      <c r="A1165" s="1">
        <v>41131</v>
      </c>
      <c r="B1165">
        <v>56.728725433349602</v>
      </c>
      <c r="C1165">
        <v>30.3667907714843</v>
      </c>
    </row>
    <row r="1166" spans="1:3">
      <c r="A1166" s="1">
        <v>41134</v>
      </c>
      <c r="B1166">
        <v>56.618625640869098</v>
      </c>
      <c r="C1166">
        <v>30.293560028076101</v>
      </c>
    </row>
    <row r="1167" spans="1:3">
      <c r="A1167" s="1">
        <v>41135</v>
      </c>
      <c r="B1167">
        <v>56.815238952636697</v>
      </c>
      <c r="C1167">
        <v>30.355239868163999</v>
      </c>
    </row>
    <row r="1168" spans="1:3">
      <c r="A1168" s="1">
        <v>41136</v>
      </c>
      <c r="B1168">
        <v>57.114101409912102</v>
      </c>
      <c r="C1168">
        <v>30.332098007202099</v>
      </c>
    </row>
    <row r="1169" spans="1:3">
      <c r="A1169" s="1">
        <v>41137</v>
      </c>
      <c r="B1169">
        <v>57.869121551513601</v>
      </c>
      <c r="C1169">
        <v>30.486265182495099</v>
      </c>
    </row>
    <row r="1170" spans="1:3">
      <c r="A1170" s="1">
        <v>41138</v>
      </c>
      <c r="B1170">
        <v>57.719692230224602</v>
      </c>
      <c r="C1170">
        <v>30.4708538055419</v>
      </c>
    </row>
    <row r="1171" spans="1:3">
      <c r="A1171" s="1">
        <v>41141</v>
      </c>
      <c r="B1171">
        <v>57.672515869140597</v>
      </c>
      <c r="C1171">
        <v>30.424608230590799</v>
      </c>
    </row>
    <row r="1172" spans="1:3">
      <c r="A1172" s="1">
        <v>41142</v>
      </c>
      <c r="B1172">
        <v>57.420845031738203</v>
      </c>
      <c r="C1172">
        <v>30.262729644775298</v>
      </c>
    </row>
    <row r="1173" spans="1:3">
      <c r="A1173" s="1">
        <v>41143</v>
      </c>
      <c r="B1173">
        <v>57.326461791992102</v>
      </c>
      <c r="C1173">
        <v>29.8850288391113</v>
      </c>
    </row>
    <row r="1174" spans="1:3">
      <c r="A1174" s="1">
        <v>41144</v>
      </c>
      <c r="B1174">
        <v>57.145561218261697</v>
      </c>
      <c r="C1174">
        <v>29.376285552978501</v>
      </c>
    </row>
    <row r="1175" spans="1:3">
      <c r="A1175" s="1">
        <v>41145</v>
      </c>
      <c r="B1175">
        <v>57.460159301757798</v>
      </c>
      <c r="C1175">
        <v>29.653783798217699</v>
      </c>
    </row>
    <row r="1176" spans="1:3">
      <c r="A1176" s="1">
        <v>41148</v>
      </c>
      <c r="B1176">
        <v>57.546661376953097</v>
      </c>
      <c r="C1176">
        <v>29.422517776489201</v>
      </c>
    </row>
    <row r="1177" spans="1:3">
      <c r="A1177" s="1">
        <v>41149</v>
      </c>
      <c r="B1177">
        <v>57.507328033447202</v>
      </c>
      <c r="C1177">
        <v>29.2914924621582</v>
      </c>
    </row>
    <row r="1178" spans="1:3">
      <c r="A1178" s="1">
        <v>41150</v>
      </c>
      <c r="B1178">
        <v>57.239948272705</v>
      </c>
      <c r="C1178">
        <v>28.8752326965332</v>
      </c>
    </row>
    <row r="1179" spans="1:3">
      <c r="A1179" s="1">
        <v>41151</v>
      </c>
      <c r="B1179">
        <v>56.768028259277301</v>
      </c>
      <c r="C1179">
        <v>28.628572463989201</v>
      </c>
    </row>
    <row r="1180" spans="1:3">
      <c r="A1180" s="1">
        <v>41152</v>
      </c>
      <c r="B1180">
        <v>56.9646797180175</v>
      </c>
      <c r="C1180">
        <v>28.828983306884702</v>
      </c>
    </row>
    <row r="1181" spans="1:3">
      <c r="A1181" s="1">
        <v>41156</v>
      </c>
      <c r="B1181">
        <v>57.004001617431598</v>
      </c>
      <c r="C1181">
        <v>28.736492156982401</v>
      </c>
    </row>
    <row r="1182" spans="1:3">
      <c r="A1182" s="1">
        <v>41157</v>
      </c>
      <c r="B1182">
        <v>56.685482025146399</v>
      </c>
      <c r="C1182">
        <v>28.913780212402301</v>
      </c>
    </row>
    <row r="1183" spans="1:3">
      <c r="A1183" s="1">
        <v>41158</v>
      </c>
      <c r="B1183">
        <v>57.168815612792898</v>
      </c>
      <c r="C1183">
        <v>29.407110214233398</v>
      </c>
    </row>
    <row r="1184" spans="1:3">
      <c r="A1184" s="1">
        <v>41159</v>
      </c>
      <c r="B1184">
        <v>57.129180908203097</v>
      </c>
      <c r="C1184">
        <v>29.214397430419901</v>
      </c>
    </row>
    <row r="1185" spans="1:3">
      <c r="A1185" s="1">
        <v>41162</v>
      </c>
      <c r="B1185">
        <v>56.923164367675703</v>
      </c>
      <c r="C1185">
        <v>29.0294075012207</v>
      </c>
    </row>
    <row r="1186" spans="1:3">
      <c r="A1186" s="1">
        <v>41163</v>
      </c>
      <c r="B1186">
        <v>56.717170715332003</v>
      </c>
      <c r="C1186">
        <v>29.114194869995099</v>
      </c>
    </row>
    <row r="1187" spans="1:3">
      <c r="A1187" s="1">
        <v>41164</v>
      </c>
      <c r="B1187">
        <v>55.512767791747997</v>
      </c>
      <c r="C1187">
        <v>29.141365051269499</v>
      </c>
    </row>
    <row r="1188" spans="1:3">
      <c r="A1188" s="1">
        <v>41165</v>
      </c>
      <c r="B1188">
        <v>56.162513732910099</v>
      </c>
      <c r="C1188">
        <v>29.762210845947202</v>
      </c>
    </row>
    <row r="1189" spans="1:3">
      <c r="A1189" s="1">
        <v>41166</v>
      </c>
      <c r="B1189">
        <v>55.829727172851499</v>
      </c>
      <c r="C1189">
        <v>29.583715438842699</v>
      </c>
    </row>
    <row r="1190" spans="1:3">
      <c r="A1190" s="1">
        <v>41169</v>
      </c>
      <c r="B1190">
        <v>55.774257659912102</v>
      </c>
      <c r="C1190">
        <v>29.762210845947202</v>
      </c>
    </row>
    <row r="1191" spans="1:3">
      <c r="A1191" s="1">
        <v>41170</v>
      </c>
      <c r="B1191">
        <v>56.043655395507798</v>
      </c>
      <c r="C1191">
        <v>29.971746444702099</v>
      </c>
    </row>
    <row r="1192" spans="1:3">
      <c r="A1192" s="1">
        <v>41171</v>
      </c>
      <c r="B1192">
        <v>56.1387329101562</v>
      </c>
      <c r="C1192">
        <v>29.894142150878899</v>
      </c>
    </row>
    <row r="1193" spans="1:3">
      <c r="A1193" s="1">
        <v>41172</v>
      </c>
      <c r="B1193">
        <v>56.447761535644503</v>
      </c>
      <c r="C1193">
        <v>29.987276077270501</v>
      </c>
    </row>
    <row r="1194" spans="1:3">
      <c r="A1194" s="1">
        <v>41173</v>
      </c>
      <c r="B1194">
        <v>55.901031494140597</v>
      </c>
      <c r="C1194">
        <v>29.513872146606399</v>
      </c>
    </row>
    <row r="1195" spans="1:3">
      <c r="A1195" s="1">
        <v>41176</v>
      </c>
      <c r="B1195">
        <v>56.019882202148402</v>
      </c>
      <c r="C1195">
        <v>29.583715438842699</v>
      </c>
    </row>
    <row r="1196" spans="1:3">
      <c r="A1196" s="1">
        <v>41177</v>
      </c>
      <c r="B1196">
        <v>55.742565155029297</v>
      </c>
      <c r="C1196">
        <v>29.242254257202099</v>
      </c>
    </row>
    <row r="1197" spans="1:3">
      <c r="A1197" s="1">
        <v>41178</v>
      </c>
      <c r="B1197">
        <v>55.798023223876903</v>
      </c>
      <c r="C1197">
        <v>29.304334640502901</v>
      </c>
    </row>
    <row r="1198" spans="1:3">
      <c r="A1198" s="1">
        <v>41179</v>
      </c>
      <c r="B1198">
        <v>55.972339630126903</v>
      </c>
      <c r="C1198">
        <v>29.731164932250898</v>
      </c>
    </row>
    <row r="1199" spans="1:3">
      <c r="A1199" s="1">
        <v>41180</v>
      </c>
      <c r="B1199">
        <v>56.075347900390597</v>
      </c>
      <c r="C1199">
        <v>29.436262130737301</v>
      </c>
    </row>
    <row r="1200" spans="1:3">
      <c r="A1200" s="1">
        <v>41183</v>
      </c>
      <c r="B1200">
        <v>55.980266571044901</v>
      </c>
      <c r="C1200">
        <v>29.7854900360107</v>
      </c>
    </row>
    <row r="1201" spans="1:3">
      <c r="A1201" s="1">
        <v>41184</v>
      </c>
      <c r="B1201">
        <v>55.956497192382798</v>
      </c>
      <c r="C1201">
        <v>29.754447937011701</v>
      </c>
    </row>
    <row r="1202" spans="1:3">
      <c r="A1202" s="1">
        <v>41185</v>
      </c>
      <c r="B1202">
        <v>56.019882202148402</v>
      </c>
      <c r="C1202">
        <v>29.676845550537099</v>
      </c>
    </row>
    <row r="1203" spans="1:3">
      <c r="A1203" s="1">
        <v>41186</v>
      </c>
      <c r="B1203">
        <v>56.154590606689403</v>
      </c>
      <c r="C1203">
        <v>29.746688842773398</v>
      </c>
    </row>
    <row r="1204" spans="1:3">
      <c r="A1204" s="1">
        <v>41187</v>
      </c>
      <c r="B1204">
        <v>56.336837768554602</v>
      </c>
      <c r="C1204">
        <v>29.9407138824462</v>
      </c>
    </row>
    <row r="1205" spans="1:3">
      <c r="A1205" s="1">
        <v>41190</v>
      </c>
      <c r="B1205">
        <v>56.408145904541001</v>
      </c>
      <c r="C1205">
        <v>29.9407138824462</v>
      </c>
    </row>
    <row r="1206" spans="1:3">
      <c r="A1206" s="1">
        <v>41191</v>
      </c>
      <c r="B1206">
        <v>56.344741821288999</v>
      </c>
      <c r="C1206">
        <v>29.9251899719238</v>
      </c>
    </row>
    <row r="1207" spans="1:3">
      <c r="A1207" s="1">
        <v>41192</v>
      </c>
      <c r="B1207">
        <v>55.6950073242187</v>
      </c>
      <c r="C1207">
        <v>29.560445785522401</v>
      </c>
    </row>
    <row r="1208" spans="1:3">
      <c r="A1208" s="1">
        <v>41193</v>
      </c>
      <c r="B1208">
        <v>55.322620391845703</v>
      </c>
      <c r="C1208">
        <v>29.575962066650298</v>
      </c>
    </row>
    <row r="1209" spans="1:3">
      <c r="A1209" s="1">
        <v>41194</v>
      </c>
      <c r="B1209">
        <v>55.504844665527301</v>
      </c>
      <c r="C1209">
        <v>29.669080734252901</v>
      </c>
    </row>
    <row r="1210" spans="1:3">
      <c r="A1210" s="1">
        <v>41197</v>
      </c>
      <c r="B1210">
        <v>55.734622955322202</v>
      </c>
      <c r="C1210">
        <v>29.591478347778299</v>
      </c>
    </row>
    <row r="1211" spans="1:3">
      <c r="A1211" s="1">
        <v>41198</v>
      </c>
      <c r="B1211">
        <v>55.702945709228501</v>
      </c>
      <c r="C1211">
        <v>29.412979125976499</v>
      </c>
    </row>
    <row r="1212" spans="1:3">
      <c r="A1212" s="1">
        <v>41199</v>
      </c>
      <c r="B1212">
        <v>55.544475555419901</v>
      </c>
      <c r="C1212">
        <v>29.288818359375</v>
      </c>
    </row>
    <row r="1213" spans="1:3">
      <c r="A1213" s="1">
        <v>41200</v>
      </c>
      <c r="B1213">
        <v>56.067432403564403</v>
      </c>
      <c r="C1213">
        <v>29.366411209106399</v>
      </c>
    </row>
    <row r="1214" spans="1:3">
      <c r="A1214" s="1">
        <v>41201</v>
      </c>
      <c r="B1214">
        <v>55.370140075683501</v>
      </c>
      <c r="C1214">
        <v>29.024946212768501</v>
      </c>
    </row>
    <row r="1215" spans="1:3">
      <c r="A1215" s="1">
        <v>41204</v>
      </c>
      <c r="B1215">
        <v>55.148284912109297</v>
      </c>
      <c r="C1215">
        <v>28.8930130004882</v>
      </c>
    </row>
    <row r="1216" spans="1:3">
      <c r="A1216" s="1">
        <v>41205</v>
      </c>
      <c r="B1216">
        <v>54.2925415039062</v>
      </c>
      <c r="C1216">
        <v>28.411846160888601</v>
      </c>
    </row>
    <row r="1217" spans="1:3">
      <c r="A1217" s="1">
        <v>41206</v>
      </c>
      <c r="B1217">
        <v>54.197463989257798</v>
      </c>
      <c r="C1217">
        <v>28.621395111083899</v>
      </c>
    </row>
    <row r="1218" spans="1:3">
      <c r="A1218" s="1">
        <v>41207</v>
      </c>
      <c r="B1218">
        <v>54.585723876953097</v>
      </c>
      <c r="C1218">
        <v>28.784366607666001</v>
      </c>
    </row>
    <row r="1219" spans="1:3">
      <c r="A1219" s="1">
        <v>41208</v>
      </c>
      <c r="B1219">
        <v>54.657032012939403</v>
      </c>
      <c r="C1219">
        <v>28.745571136474599</v>
      </c>
    </row>
    <row r="1220" spans="1:3">
      <c r="A1220" s="1">
        <v>41213</v>
      </c>
      <c r="B1220">
        <v>54.863059997558501</v>
      </c>
      <c r="C1220">
        <v>28.8542156219482</v>
      </c>
    </row>
    <row r="1221" spans="1:3">
      <c r="A1221" s="1">
        <v>41214</v>
      </c>
      <c r="B1221">
        <v>55.021511077880803</v>
      </c>
      <c r="C1221">
        <v>28.970619201660099</v>
      </c>
    </row>
    <row r="1222" spans="1:3">
      <c r="A1222" s="1">
        <v>41215</v>
      </c>
      <c r="B1222">
        <v>54.712501525878899</v>
      </c>
      <c r="C1222">
        <v>28.776611328125</v>
      </c>
    </row>
    <row r="1223" spans="1:3">
      <c r="A1223" s="1">
        <v>41218</v>
      </c>
      <c r="B1223">
        <v>54.672866821288999</v>
      </c>
      <c r="C1223">
        <v>28.536022186279201</v>
      </c>
    </row>
    <row r="1224" spans="1:3">
      <c r="A1224" s="1">
        <v>41219</v>
      </c>
      <c r="B1224">
        <v>54.950199127197202</v>
      </c>
      <c r="C1224">
        <v>29.040464401245099</v>
      </c>
    </row>
    <row r="1225" spans="1:3">
      <c r="A1225" s="1">
        <v>41220</v>
      </c>
      <c r="B1225">
        <v>54.6649360656738</v>
      </c>
      <c r="C1225">
        <v>28.4972209930419</v>
      </c>
    </row>
    <row r="1226" spans="1:3">
      <c r="A1226" s="1">
        <v>41221</v>
      </c>
      <c r="B1226">
        <v>54.506484985351499</v>
      </c>
      <c r="C1226">
        <v>28.217840194702099</v>
      </c>
    </row>
    <row r="1227" spans="1:3">
      <c r="A1227" s="1">
        <v>41222</v>
      </c>
      <c r="B1227">
        <v>54.5540161132812</v>
      </c>
      <c r="C1227">
        <v>28.163509368896399</v>
      </c>
    </row>
    <row r="1228" spans="1:3">
      <c r="A1228" s="1">
        <v>41225</v>
      </c>
      <c r="B1228">
        <v>54.363853454589801</v>
      </c>
      <c r="C1228">
        <v>28.000547409057599</v>
      </c>
    </row>
    <row r="1229" spans="1:3">
      <c r="A1229" s="1">
        <v>41226</v>
      </c>
      <c r="B1229">
        <v>54.340072631835902</v>
      </c>
      <c r="C1229">
        <v>28.062627792358398</v>
      </c>
    </row>
    <row r="1230" spans="1:3">
      <c r="A1230" s="1">
        <v>41227</v>
      </c>
      <c r="B1230">
        <v>54.0152168273925</v>
      </c>
      <c r="C1230">
        <v>27.946208953857401</v>
      </c>
    </row>
    <row r="1231" spans="1:3">
      <c r="A1231" s="1">
        <v>41228</v>
      </c>
      <c r="B1231">
        <v>54.0310668945312</v>
      </c>
      <c r="C1231">
        <v>28.272161483764599</v>
      </c>
    </row>
    <row r="1232" spans="1:3">
      <c r="A1232" s="1">
        <v>41229</v>
      </c>
      <c r="B1232">
        <v>54.126148223876903</v>
      </c>
      <c r="C1232">
        <v>28.373052597045898</v>
      </c>
    </row>
    <row r="1233" spans="1:3">
      <c r="A1233" s="1">
        <v>41232</v>
      </c>
      <c r="B1233">
        <v>54.4985542297363</v>
      </c>
      <c r="C1233">
        <v>28.900774002075099</v>
      </c>
    </row>
    <row r="1234" spans="1:3">
      <c r="A1234" s="1">
        <v>41233</v>
      </c>
      <c r="B1234">
        <v>54.6015625</v>
      </c>
      <c r="C1234">
        <v>28.9085388183593</v>
      </c>
    </row>
    <row r="1235" spans="1:3">
      <c r="A1235" s="1">
        <v>41234</v>
      </c>
      <c r="B1235">
        <v>54.918491363525298</v>
      </c>
      <c r="C1235">
        <v>29.017189025878899</v>
      </c>
    </row>
    <row r="1236" spans="1:3">
      <c r="A1236" s="1">
        <v>41236</v>
      </c>
      <c r="B1236">
        <v>55.615779876708899</v>
      </c>
      <c r="C1236">
        <v>29.436262130737301</v>
      </c>
    </row>
    <row r="1237" spans="1:3">
      <c r="A1237" s="1">
        <v>41239</v>
      </c>
      <c r="B1237">
        <v>55.465240478515597</v>
      </c>
      <c r="C1237">
        <v>28.993904113769499</v>
      </c>
    </row>
    <row r="1238" spans="1:3">
      <c r="A1238" s="1">
        <v>41240</v>
      </c>
      <c r="B1238">
        <v>55.552383422851499</v>
      </c>
      <c r="C1238">
        <v>29.040464401245099</v>
      </c>
    </row>
    <row r="1239" spans="1:3">
      <c r="A1239" s="1">
        <v>41241</v>
      </c>
      <c r="B1239">
        <v>55.742565155029297</v>
      </c>
      <c r="C1239">
        <v>29.349123001098601</v>
      </c>
    </row>
    <row r="1240" spans="1:3">
      <c r="A1240" s="1">
        <v>41242</v>
      </c>
      <c r="B1240">
        <v>55.710880279541001</v>
      </c>
      <c r="C1240">
        <v>29.669481277465799</v>
      </c>
    </row>
    <row r="1241" spans="1:3">
      <c r="A1241" s="1">
        <v>41243</v>
      </c>
      <c r="B1241">
        <v>55.631614685058501</v>
      </c>
      <c r="C1241">
        <v>29.630418777465799</v>
      </c>
    </row>
    <row r="1242" spans="1:3">
      <c r="A1242" s="1">
        <v>41246</v>
      </c>
      <c r="B1242">
        <v>55.362213134765597</v>
      </c>
      <c r="C1242">
        <v>29.208457946777301</v>
      </c>
    </row>
    <row r="1243" spans="1:3">
      <c r="A1243" s="1">
        <v>41247</v>
      </c>
      <c r="B1243">
        <v>55.354293823242102</v>
      </c>
      <c r="C1243">
        <v>29.028749465942301</v>
      </c>
    </row>
    <row r="1244" spans="1:3">
      <c r="A1244" s="1">
        <v>41248</v>
      </c>
      <c r="B1244">
        <v>55.663322448730398</v>
      </c>
      <c r="C1244">
        <v>29.153774261474599</v>
      </c>
    </row>
    <row r="1245" spans="1:3">
      <c r="A1245" s="1">
        <v>41249</v>
      </c>
      <c r="B1245">
        <v>55.910846710205</v>
      </c>
      <c r="C1245">
        <v>29.208457946777301</v>
      </c>
    </row>
    <row r="1246" spans="1:3">
      <c r="A1246" s="1">
        <v>41250</v>
      </c>
      <c r="B1246">
        <v>56.10249710083</v>
      </c>
      <c r="C1246">
        <v>29.466321945190401</v>
      </c>
    </row>
    <row r="1247" spans="1:3">
      <c r="A1247" s="1">
        <v>41253</v>
      </c>
      <c r="B1247">
        <v>56.062553405761697</v>
      </c>
      <c r="C1247">
        <v>29.411626815795898</v>
      </c>
    </row>
    <row r="1248" spans="1:3">
      <c r="A1248" s="1">
        <v>41254</v>
      </c>
      <c r="B1248">
        <v>56.230258941650298</v>
      </c>
      <c r="C1248">
        <v>29.583530426025298</v>
      </c>
    </row>
    <row r="1249" spans="1:3">
      <c r="A1249" s="1">
        <v>41255</v>
      </c>
      <c r="B1249">
        <v>56.086513519287102</v>
      </c>
      <c r="C1249">
        <v>29.411626815795898</v>
      </c>
    </row>
    <row r="1250" spans="1:3">
      <c r="A1250" s="1">
        <v>41256</v>
      </c>
      <c r="B1250">
        <v>56.062553405761697</v>
      </c>
      <c r="C1250">
        <v>29.380365371704102</v>
      </c>
    </row>
    <row r="1251" spans="1:3">
      <c r="A1251" s="1">
        <v>41257</v>
      </c>
      <c r="B1251">
        <v>56.022647857666001</v>
      </c>
      <c r="C1251">
        <v>29.427253723144499</v>
      </c>
    </row>
    <row r="1252" spans="1:3">
      <c r="A1252" s="1">
        <v>41260</v>
      </c>
      <c r="B1252">
        <v>56.1903266906738</v>
      </c>
      <c r="C1252">
        <v>29.302227020263601</v>
      </c>
    </row>
    <row r="1253" spans="1:3">
      <c r="A1253" s="1">
        <v>41261</v>
      </c>
      <c r="B1253">
        <v>56.318096160888601</v>
      </c>
      <c r="C1253">
        <v>29.130321502685501</v>
      </c>
    </row>
    <row r="1254" spans="1:3">
      <c r="A1254" s="1">
        <v>41262</v>
      </c>
      <c r="B1254">
        <v>55.799060821533203</v>
      </c>
      <c r="C1254">
        <v>28.739627838134702</v>
      </c>
    </row>
    <row r="1255" spans="1:3">
      <c r="A1255" s="1">
        <v>41263</v>
      </c>
      <c r="B1255">
        <v>55.982719421386697</v>
      </c>
      <c r="C1255">
        <v>28.950607299804599</v>
      </c>
    </row>
    <row r="1256" spans="1:3">
      <c r="A1256" s="1">
        <v>41264</v>
      </c>
      <c r="B1256">
        <v>55.5994453430175</v>
      </c>
      <c r="C1256">
        <v>28.825584411621001</v>
      </c>
    </row>
    <row r="1257" spans="1:3">
      <c r="A1257" s="1">
        <v>41267</v>
      </c>
      <c r="B1257">
        <v>55.439739227294901</v>
      </c>
      <c r="C1257">
        <v>28.700557708740199</v>
      </c>
    </row>
    <row r="1258" spans="1:3">
      <c r="A1258" s="1">
        <v>41269</v>
      </c>
      <c r="B1258">
        <v>54.968639373779297</v>
      </c>
      <c r="C1258">
        <v>28.458326339721602</v>
      </c>
    </row>
    <row r="1259" spans="1:3">
      <c r="A1259" s="1">
        <v>41270</v>
      </c>
      <c r="B1259">
        <v>54.832870483398402</v>
      </c>
      <c r="C1259">
        <v>28.458326339721602</v>
      </c>
    </row>
    <row r="1260" spans="1:3">
      <c r="A1260" s="1">
        <v>41271</v>
      </c>
      <c r="B1260">
        <v>54.313858032226499</v>
      </c>
      <c r="C1260">
        <v>28.106706619262599</v>
      </c>
    </row>
    <row r="1261" spans="1:3">
      <c r="A1261" s="1">
        <v>41274</v>
      </c>
      <c r="B1261">
        <v>54.641242980957003</v>
      </c>
      <c r="C1261">
        <v>28.325496673583899</v>
      </c>
    </row>
    <row r="1262" spans="1:3">
      <c r="A1262" s="1">
        <v>41276</v>
      </c>
      <c r="B1262">
        <v>55.359878540038999</v>
      </c>
      <c r="C1262">
        <v>29.380365371704102</v>
      </c>
    </row>
    <row r="1263" spans="1:3">
      <c r="A1263" s="1">
        <v>41277</v>
      </c>
      <c r="B1263">
        <v>55.383846282958899</v>
      </c>
      <c r="C1263">
        <v>29.380365371704102</v>
      </c>
    </row>
    <row r="1264" spans="1:3">
      <c r="A1264" s="1">
        <v>41278</v>
      </c>
      <c r="B1264">
        <v>55.463695526122997</v>
      </c>
      <c r="C1264">
        <v>29.427253723144499</v>
      </c>
    </row>
    <row r="1265" spans="1:3">
      <c r="A1265" s="1">
        <v>41281</v>
      </c>
      <c r="B1265">
        <v>55.455718994140597</v>
      </c>
      <c r="C1265">
        <v>29.1459655761718</v>
      </c>
    </row>
    <row r="1266" spans="1:3">
      <c r="A1266" s="1">
        <v>41282</v>
      </c>
      <c r="B1266">
        <v>55.623397827148402</v>
      </c>
      <c r="C1266">
        <v>28.942804336547798</v>
      </c>
    </row>
    <row r="1267" spans="1:3">
      <c r="A1267" s="1">
        <v>41283</v>
      </c>
      <c r="B1267">
        <v>55.902877807617102</v>
      </c>
      <c r="C1267">
        <v>28.934978485107401</v>
      </c>
    </row>
    <row r="1268" spans="1:3">
      <c r="A1268" s="1">
        <v>41284</v>
      </c>
      <c r="B1268">
        <v>56.541667938232401</v>
      </c>
      <c r="C1268">
        <v>28.880281448364201</v>
      </c>
    </row>
    <row r="1269" spans="1:3">
      <c r="A1269" s="1">
        <v>41285</v>
      </c>
      <c r="B1269">
        <v>56.597568511962798</v>
      </c>
      <c r="C1269">
        <v>28.841207504272401</v>
      </c>
    </row>
    <row r="1270" spans="1:3">
      <c r="A1270" s="1">
        <v>41288</v>
      </c>
      <c r="B1270">
        <v>56.924953460693303</v>
      </c>
      <c r="C1270">
        <v>28.903730392456001</v>
      </c>
    </row>
    <row r="1271" spans="1:3">
      <c r="A1271" s="1">
        <v>41289</v>
      </c>
      <c r="B1271">
        <v>57.172481536865199</v>
      </c>
      <c r="C1271">
        <v>29.161584854125898</v>
      </c>
    </row>
    <row r="1272" spans="1:3">
      <c r="A1272" s="1">
        <v>41290</v>
      </c>
      <c r="B1272">
        <v>57.0766792297363</v>
      </c>
      <c r="C1272">
        <v>29.161584854125898</v>
      </c>
    </row>
    <row r="1273" spans="1:3">
      <c r="A1273" s="1">
        <v>41291</v>
      </c>
      <c r="B1273">
        <v>57.835227966308501</v>
      </c>
      <c r="C1273">
        <v>29.310052871704102</v>
      </c>
    </row>
    <row r="1274" spans="1:3">
      <c r="A1274" s="1">
        <v>41292</v>
      </c>
      <c r="B1274">
        <v>57.875156402587798</v>
      </c>
      <c r="C1274">
        <v>29.458520889282202</v>
      </c>
    </row>
    <row r="1275" spans="1:3">
      <c r="A1275" s="1">
        <v>41296</v>
      </c>
      <c r="B1275">
        <v>57.651576995849602</v>
      </c>
      <c r="C1275">
        <v>29.013124465942301</v>
      </c>
    </row>
    <row r="1276" spans="1:3">
      <c r="A1276" s="1">
        <v>41297</v>
      </c>
      <c r="B1276">
        <v>57.340160369872997</v>
      </c>
      <c r="C1276">
        <v>29.013124465942301</v>
      </c>
    </row>
    <row r="1277" spans="1:3">
      <c r="A1277" s="1">
        <v>41298</v>
      </c>
      <c r="B1277">
        <v>57.675552368163999</v>
      </c>
      <c r="C1277">
        <v>28.997491836547798</v>
      </c>
    </row>
    <row r="1278" spans="1:3">
      <c r="A1278" s="1">
        <v>41299</v>
      </c>
      <c r="B1278">
        <v>57.883152008056598</v>
      </c>
      <c r="C1278">
        <v>28.950607299804599</v>
      </c>
    </row>
    <row r="1279" spans="1:3">
      <c r="A1279" s="1">
        <v>41302</v>
      </c>
      <c r="B1279">
        <v>57.978969573974602</v>
      </c>
      <c r="C1279">
        <v>28.919349670410099</v>
      </c>
    </row>
    <row r="1280" spans="1:3">
      <c r="A1280" s="1">
        <v>41303</v>
      </c>
      <c r="B1280">
        <v>58.242473602294901</v>
      </c>
      <c r="C1280">
        <v>29.239727020263601</v>
      </c>
    </row>
    <row r="1281" spans="1:3">
      <c r="A1281" s="1">
        <v>41304</v>
      </c>
      <c r="B1281">
        <v>58.458065032958899</v>
      </c>
      <c r="C1281">
        <v>29.302227020263601</v>
      </c>
    </row>
    <row r="1282" spans="1:3">
      <c r="A1282" s="1">
        <v>41305</v>
      </c>
      <c r="B1282">
        <v>58.1705932617187</v>
      </c>
      <c r="C1282">
        <v>29.0990810394287</v>
      </c>
    </row>
    <row r="1283" spans="1:3">
      <c r="A1283" s="1">
        <v>41306</v>
      </c>
      <c r="B1283">
        <v>58.026866912841797</v>
      </c>
      <c r="C1283">
        <v>29.3334865570068</v>
      </c>
    </row>
    <row r="1284" spans="1:3">
      <c r="A1284" s="1">
        <v>41309</v>
      </c>
      <c r="B1284">
        <v>57.851203918457003</v>
      </c>
      <c r="C1284">
        <v>29.1850280761718</v>
      </c>
    </row>
    <row r="1285" spans="1:3">
      <c r="A1285" s="1">
        <v>41310</v>
      </c>
      <c r="B1285">
        <v>58.410163879394503</v>
      </c>
      <c r="C1285">
        <v>29.8023262023925</v>
      </c>
    </row>
    <row r="1286" spans="1:3">
      <c r="A1286" s="1">
        <v>41311</v>
      </c>
      <c r="B1286">
        <v>58.106735229492102</v>
      </c>
      <c r="C1286">
        <v>29.935161590576101</v>
      </c>
    </row>
    <row r="1287" spans="1:3">
      <c r="A1287" s="1">
        <v>41312</v>
      </c>
      <c r="B1287">
        <v>58.138664245605398</v>
      </c>
      <c r="C1287">
        <v>30.404005050659102</v>
      </c>
    </row>
    <row r="1288" spans="1:3">
      <c r="A1288" s="1">
        <v>41313</v>
      </c>
      <c r="B1288">
        <v>57.970981597900298</v>
      </c>
      <c r="C1288">
        <v>30.294609069824201</v>
      </c>
    </row>
    <row r="1289" spans="1:3">
      <c r="A1289" s="1">
        <v>41316</v>
      </c>
      <c r="B1289">
        <v>57.779338836669901</v>
      </c>
      <c r="C1289">
        <v>30.169589996337798</v>
      </c>
    </row>
    <row r="1290" spans="1:3">
      <c r="A1290" s="1">
        <v>41317</v>
      </c>
      <c r="B1290">
        <v>57.627628326416001</v>
      </c>
      <c r="C1290">
        <v>29.349123001098601</v>
      </c>
    </row>
    <row r="1291" spans="1:3">
      <c r="A1291" s="1">
        <v>41318</v>
      </c>
      <c r="B1291">
        <v>57.092643737792898</v>
      </c>
      <c r="C1291">
        <v>29.0756301879882</v>
      </c>
    </row>
    <row r="1292" spans="1:3">
      <c r="A1292" s="1">
        <v>41319</v>
      </c>
      <c r="B1292">
        <v>57.715469360351499</v>
      </c>
      <c r="C1292">
        <v>28.7865180969238</v>
      </c>
    </row>
    <row r="1293" spans="1:3">
      <c r="A1293" s="1">
        <v>41320</v>
      </c>
      <c r="B1293">
        <v>58.833366394042898</v>
      </c>
      <c r="C1293">
        <v>29.239727020263601</v>
      </c>
    </row>
    <row r="1294" spans="1:3">
      <c r="A1294" s="1">
        <v>41324</v>
      </c>
      <c r="B1294">
        <v>60.286617279052699</v>
      </c>
      <c r="C1294">
        <v>29.435071945190401</v>
      </c>
    </row>
    <row r="1295" spans="1:3">
      <c r="A1295" s="1">
        <v>41325</v>
      </c>
      <c r="B1295">
        <v>60.2227363586425</v>
      </c>
      <c r="C1295">
        <v>29.481958389282202</v>
      </c>
    </row>
    <row r="1296" spans="1:3">
      <c r="A1296" s="1">
        <v>41326</v>
      </c>
      <c r="B1296">
        <v>60.1748237609863</v>
      </c>
      <c r="C1296">
        <v>29.466321945190401</v>
      </c>
    </row>
    <row r="1297" spans="1:3">
      <c r="A1297" s="1">
        <v>41327</v>
      </c>
      <c r="B1297">
        <v>60.342517852783203</v>
      </c>
      <c r="C1297">
        <v>30.099258422851499</v>
      </c>
    </row>
    <row r="1298" spans="1:3">
      <c r="A1298" s="1">
        <v>41330</v>
      </c>
      <c r="B1298">
        <v>60.039096832275298</v>
      </c>
      <c r="C1298">
        <v>29.474142074584901</v>
      </c>
    </row>
    <row r="1299" spans="1:3">
      <c r="A1299" s="1">
        <v>41331</v>
      </c>
      <c r="B1299">
        <v>60.382457733154297</v>
      </c>
      <c r="C1299">
        <v>29.7788906097412</v>
      </c>
    </row>
    <row r="1300" spans="1:3">
      <c r="A1300" s="1">
        <v>41332</v>
      </c>
      <c r="B1300">
        <v>60.701717376708899</v>
      </c>
      <c r="C1300">
        <v>30.044563293456999</v>
      </c>
    </row>
    <row r="1301" spans="1:3">
      <c r="A1301" s="1">
        <v>41333</v>
      </c>
      <c r="B1301">
        <v>60.9349365234375</v>
      </c>
      <c r="C1301">
        <v>30.255531311035099</v>
      </c>
    </row>
    <row r="1302" spans="1:3">
      <c r="A1302" s="1">
        <v>41334</v>
      </c>
      <c r="B1302">
        <v>61.0635986328125</v>
      </c>
      <c r="C1302">
        <v>30.239906311035099</v>
      </c>
    </row>
    <row r="1303" spans="1:3">
      <c r="A1303" s="1">
        <v>41337</v>
      </c>
      <c r="B1303">
        <v>61.602432250976499</v>
      </c>
      <c r="C1303">
        <v>30.3336791992187</v>
      </c>
    </row>
    <row r="1304" spans="1:3">
      <c r="A1304" s="1">
        <v>41338</v>
      </c>
      <c r="B1304">
        <v>61.843685150146399</v>
      </c>
      <c r="C1304">
        <v>30.2242832183837</v>
      </c>
    </row>
    <row r="1305" spans="1:3">
      <c r="A1305" s="1">
        <v>41339</v>
      </c>
      <c r="B1305">
        <v>61.763275146484297</v>
      </c>
      <c r="C1305">
        <v>30.4899578094482</v>
      </c>
    </row>
    <row r="1306" spans="1:3">
      <c r="A1306" s="1">
        <v>41340</v>
      </c>
      <c r="B1306">
        <v>62.036693572997997</v>
      </c>
      <c r="C1306">
        <v>30.568098068237301</v>
      </c>
    </row>
    <row r="1307" spans="1:3">
      <c r="A1307" s="1">
        <v>41341</v>
      </c>
      <c r="B1307">
        <v>62.084934234619098</v>
      </c>
      <c r="C1307">
        <v>30.6462306976318</v>
      </c>
    </row>
    <row r="1308" spans="1:3">
      <c r="A1308" s="1">
        <v>41344</v>
      </c>
      <c r="B1308">
        <v>61.803470611572202</v>
      </c>
      <c r="C1308">
        <v>30.716556549072202</v>
      </c>
    </row>
    <row r="1309" spans="1:3">
      <c r="A1309" s="1">
        <v>41345</v>
      </c>
      <c r="B1309">
        <v>61.835636138916001</v>
      </c>
      <c r="C1309">
        <v>30.443071365356399</v>
      </c>
    </row>
    <row r="1310" spans="1:3">
      <c r="A1310" s="1">
        <v>41346</v>
      </c>
      <c r="B1310">
        <v>61.883918762207003</v>
      </c>
      <c r="C1310">
        <v>30.372240066528299</v>
      </c>
    </row>
    <row r="1311" spans="1:3">
      <c r="A1311" s="1">
        <v>41347</v>
      </c>
      <c r="B1311">
        <v>62.076911926269503</v>
      </c>
      <c r="C1311">
        <v>30.710666656494102</v>
      </c>
    </row>
    <row r="1312" spans="1:3">
      <c r="A1312" s="1">
        <v>41348</v>
      </c>
      <c r="B1312">
        <v>61.956275939941399</v>
      </c>
      <c r="C1312">
        <v>30.5611362457275</v>
      </c>
    </row>
    <row r="1313" spans="1:3">
      <c r="A1313" s="1">
        <v>41351</v>
      </c>
      <c r="B1313">
        <v>61.666759490966797</v>
      </c>
      <c r="C1313">
        <v>30.506032943725501</v>
      </c>
    </row>
    <row r="1314" spans="1:3">
      <c r="A1314" s="1">
        <v>41352</v>
      </c>
      <c r="B1314">
        <v>61.658729553222599</v>
      </c>
      <c r="C1314">
        <v>30.954652786254801</v>
      </c>
    </row>
    <row r="1315" spans="1:3">
      <c r="A1315" s="1">
        <v>41353</v>
      </c>
      <c r="B1315">
        <v>61.377262115478501</v>
      </c>
      <c r="C1315">
        <v>31.379661560058501</v>
      </c>
    </row>
    <row r="1316" spans="1:3">
      <c r="A1316" s="1">
        <v>41354</v>
      </c>
      <c r="B1316">
        <v>61.240554809570298</v>
      </c>
      <c r="C1316">
        <v>31.537073135375898</v>
      </c>
    </row>
    <row r="1317" spans="1:3">
      <c r="A1317" s="1">
        <v>41355</v>
      </c>
      <c r="B1317">
        <v>63.243026733398402</v>
      </c>
      <c r="C1317">
        <v>31.5134563446044</v>
      </c>
    </row>
    <row r="1318" spans="1:3">
      <c r="A1318" s="1">
        <v>41358</v>
      </c>
      <c r="B1318">
        <v>62.591606140136697</v>
      </c>
      <c r="C1318">
        <v>31.576429367065401</v>
      </c>
    </row>
    <row r="1319" spans="1:3">
      <c r="A1319" s="1">
        <v>41359</v>
      </c>
      <c r="B1319">
        <v>63.468189239501903</v>
      </c>
      <c r="C1319">
        <v>32.025035858154297</v>
      </c>
    </row>
    <row r="1320" spans="1:3">
      <c r="A1320" s="1">
        <v>41360</v>
      </c>
      <c r="B1320">
        <v>62.961528778076101</v>
      </c>
      <c r="C1320">
        <v>31.6551303863525</v>
      </c>
    </row>
    <row r="1321" spans="1:3">
      <c r="A1321" s="1">
        <v>41361</v>
      </c>
      <c r="B1321">
        <v>63.620998382568303</v>
      </c>
      <c r="C1321">
        <v>31.828271865844702</v>
      </c>
    </row>
    <row r="1322" spans="1:3">
      <c r="A1322" s="1">
        <v>41365</v>
      </c>
      <c r="B1322">
        <v>63.612964630126903</v>
      </c>
      <c r="C1322">
        <v>31.836147308349599</v>
      </c>
    </row>
    <row r="1323" spans="1:3">
      <c r="A1323" s="1">
        <v>41366</v>
      </c>
      <c r="B1323">
        <v>64.127639770507798</v>
      </c>
      <c r="C1323">
        <v>32.048656463622997</v>
      </c>
    </row>
    <row r="1324" spans="1:3">
      <c r="A1324" s="1">
        <v>41367</v>
      </c>
      <c r="B1324">
        <v>63.500373840332003</v>
      </c>
      <c r="C1324">
        <v>31.615777969360298</v>
      </c>
    </row>
    <row r="1325" spans="1:3">
      <c r="A1325" s="1">
        <v>41368</v>
      </c>
      <c r="B1325">
        <v>63.9587593078613</v>
      </c>
      <c r="C1325">
        <v>31.906978607177699</v>
      </c>
    </row>
    <row r="1326" spans="1:3">
      <c r="A1326" s="1">
        <v>41369</v>
      </c>
      <c r="B1326">
        <v>63.202804565429602</v>
      </c>
      <c r="C1326">
        <v>31.544944763183501</v>
      </c>
    </row>
    <row r="1327" spans="1:3">
      <c r="A1327" s="1">
        <v>41372</v>
      </c>
      <c r="B1327">
        <v>63.9346313476562</v>
      </c>
      <c r="C1327">
        <v>32.158843994140597</v>
      </c>
    </row>
    <row r="1328" spans="1:3">
      <c r="A1328" s="1">
        <v>41373</v>
      </c>
      <c r="B1328">
        <v>63.701442718505803</v>
      </c>
      <c r="C1328">
        <v>32.040779113769503</v>
      </c>
    </row>
    <row r="1329" spans="1:3">
      <c r="A1329" s="1">
        <v>41374</v>
      </c>
      <c r="B1329">
        <v>64.384986877441406</v>
      </c>
      <c r="C1329">
        <v>32.3241157531738</v>
      </c>
    </row>
    <row r="1330" spans="1:3">
      <c r="A1330" s="1">
        <v>41375</v>
      </c>
      <c r="B1330">
        <v>64.3045654296875</v>
      </c>
      <c r="C1330">
        <v>32.410694122314403</v>
      </c>
    </row>
    <row r="1331" spans="1:3">
      <c r="A1331" s="1">
        <v>41376</v>
      </c>
      <c r="B1331">
        <v>64.328697204589801</v>
      </c>
      <c r="C1331">
        <v>32.33198928833</v>
      </c>
    </row>
    <row r="1332" spans="1:3">
      <c r="A1332" s="1">
        <v>41379</v>
      </c>
      <c r="B1332">
        <v>63.468189239501903</v>
      </c>
      <c r="C1332">
        <v>31.552810668945298</v>
      </c>
    </row>
    <row r="1333" spans="1:3">
      <c r="A1333" s="1">
        <v>41380</v>
      </c>
      <c r="B1333">
        <v>64.336753845214801</v>
      </c>
      <c r="C1333">
        <v>33.347278594970703</v>
      </c>
    </row>
    <row r="1334" spans="1:3">
      <c r="A1334" s="1">
        <v>41381</v>
      </c>
      <c r="B1334">
        <v>63.411911010742102</v>
      </c>
      <c r="C1334">
        <v>33.488956451416001</v>
      </c>
    </row>
    <row r="1335" spans="1:3">
      <c r="A1335" s="1">
        <v>41382</v>
      </c>
      <c r="B1335">
        <v>65.342002868652301</v>
      </c>
      <c r="C1335">
        <v>33.134769439697202</v>
      </c>
    </row>
    <row r="1336" spans="1:3">
      <c r="A1336" s="1">
        <v>41383</v>
      </c>
      <c r="B1336">
        <v>66.564407348632798</v>
      </c>
      <c r="C1336">
        <v>33.575527191162102</v>
      </c>
    </row>
    <row r="1337" spans="1:3">
      <c r="A1337" s="1">
        <v>41386</v>
      </c>
      <c r="B1337">
        <v>67.054969787597599</v>
      </c>
      <c r="C1337">
        <v>33.622745513916001</v>
      </c>
    </row>
    <row r="1338" spans="1:3">
      <c r="A1338" s="1">
        <v>41387</v>
      </c>
      <c r="B1338">
        <v>67.633995056152301</v>
      </c>
      <c r="C1338">
        <v>33.606998443603501</v>
      </c>
    </row>
    <row r="1339" spans="1:3">
      <c r="A1339" s="1">
        <v>41388</v>
      </c>
      <c r="B1339">
        <v>66.218574523925696</v>
      </c>
      <c r="C1339">
        <v>33.1741333007812</v>
      </c>
    </row>
    <row r="1340" spans="1:3">
      <c r="A1340" s="1">
        <v>41389</v>
      </c>
      <c r="B1340">
        <v>66.604621887207003</v>
      </c>
      <c r="C1340">
        <v>33.331539154052699</v>
      </c>
    </row>
    <row r="1341" spans="1:3">
      <c r="A1341" s="1">
        <v>41390</v>
      </c>
      <c r="B1341">
        <v>66.355308532714801</v>
      </c>
      <c r="C1341">
        <v>33.134769439697202</v>
      </c>
    </row>
    <row r="1342" spans="1:3">
      <c r="A1342" s="1">
        <v>41393</v>
      </c>
      <c r="B1342">
        <v>66.467903137207003</v>
      </c>
      <c r="C1342">
        <v>33.244964599609297</v>
      </c>
    </row>
    <row r="1343" spans="1:3">
      <c r="A1343" s="1">
        <v>41394</v>
      </c>
      <c r="B1343">
        <v>66.323135375976506</v>
      </c>
      <c r="C1343">
        <v>33.315803527832003</v>
      </c>
    </row>
    <row r="1344" spans="1:3">
      <c r="A1344" s="1">
        <v>41395</v>
      </c>
      <c r="B1344">
        <v>66.114051818847599</v>
      </c>
      <c r="C1344">
        <v>33.221355438232401</v>
      </c>
    </row>
    <row r="1345" spans="1:3">
      <c r="A1345" s="1">
        <v>41396</v>
      </c>
      <c r="B1345">
        <v>66.395530700683594</v>
      </c>
      <c r="C1345">
        <v>33.024593353271399</v>
      </c>
    </row>
    <row r="1346" spans="1:3">
      <c r="A1346" s="1">
        <v>41397</v>
      </c>
      <c r="B1346">
        <v>66.6126708984375</v>
      </c>
      <c r="C1346">
        <v>33.244964599609297</v>
      </c>
    </row>
    <row r="1347" spans="1:3">
      <c r="A1347" s="1">
        <v>41400</v>
      </c>
      <c r="B1347">
        <v>66.347267150878906</v>
      </c>
      <c r="C1347">
        <v>33.119041442871001</v>
      </c>
    </row>
    <row r="1348" spans="1:3">
      <c r="A1348" s="1">
        <v>41401</v>
      </c>
      <c r="B1348">
        <v>67.022804260253906</v>
      </c>
      <c r="C1348">
        <v>33.606998443603501</v>
      </c>
    </row>
    <row r="1349" spans="1:3">
      <c r="A1349" s="1">
        <v>41402</v>
      </c>
      <c r="B1349">
        <v>66.950416564941406</v>
      </c>
      <c r="C1349">
        <v>33.418117523193303</v>
      </c>
    </row>
    <row r="1350" spans="1:3">
      <c r="A1350" s="1">
        <v>41403</v>
      </c>
      <c r="B1350">
        <v>66.628707885742102</v>
      </c>
      <c r="C1350">
        <v>33.150516510009702</v>
      </c>
    </row>
    <row r="1351" spans="1:3">
      <c r="A1351" s="1">
        <v>41404</v>
      </c>
      <c r="B1351">
        <v>66.749359130859304</v>
      </c>
      <c r="C1351">
        <v>33.1741333007812</v>
      </c>
    </row>
    <row r="1352" spans="1:3">
      <c r="A1352" s="1">
        <v>41407</v>
      </c>
      <c r="B1352">
        <v>66.773506164550696</v>
      </c>
      <c r="C1352">
        <v>33.205604553222599</v>
      </c>
    </row>
    <row r="1353" spans="1:3">
      <c r="A1353" s="1">
        <v>41408</v>
      </c>
      <c r="B1353">
        <v>67.151473999023395</v>
      </c>
      <c r="C1353">
        <v>33.465343475341797</v>
      </c>
    </row>
    <row r="1354" spans="1:3">
      <c r="A1354" s="1">
        <v>41409</v>
      </c>
      <c r="B1354">
        <v>67.754638671875</v>
      </c>
      <c r="C1354">
        <v>33.780155181884702</v>
      </c>
    </row>
    <row r="1355" spans="1:3">
      <c r="A1355" s="1">
        <v>41410</v>
      </c>
      <c r="B1355">
        <v>67.344482421875</v>
      </c>
      <c r="C1355">
        <v>33.913951873779297</v>
      </c>
    </row>
    <row r="1356" spans="1:3">
      <c r="A1356" s="1">
        <v>41411</v>
      </c>
      <c r="B1356">
        <v>67.392730712890597</v>
      </c>
      <c r="C1356">
        <v>33.819507598876903</v>
      </c>
    </row>
    <row r="1357" spans="1:3">
      <c r="A1357" s="1">
        <v>41414</v>
      </c>
      <c r="B1357">
        <v>66.419631958007798</v>
      </c>
      <c r="C1357">
        <v>33.3551635742187</v>
      </c>
    </row>
    <row r="1358" spans="1:3">
      <c r="A1358" s="1">
        <v>41415</v>
      </c>
      <c r="B1358">
        <v>66.451828002929602</v>
      </c>
      <c r="C1358">
        <v>33.323661804199197</v>
      </c>
    </row>
    <row r="1359" spans="1:3">
      <c r="A1359" s="1">
        <v>41416</v>
      </c>
      <c r="B1359">
        <v>66.725234985351506</v>
      </c>
      <c r="C1359">
        <v>33.252834320068303</v>
      </c>
    </row>
    <row r="1360" spans="1:3">
      <c r="A1360" s="1">
        <v>41417</v>
      </c>
      <c r="B1360">
        <v>66.041664123535099</v>
      </c>
      <c r="C1360">
        <v>33.000984191894503</v>
      </c>
    </row>
    <row r="1361" spans="1:3">
      <c r="A1361" s="1">
        <v>41418</v>
      </c>
      <c r="B1361">
        <v>66.411582946777301</v>
      </c>
      <c r="C1361">
        <v>33.244964599609297</v>
      </c>
    </row>
    <row r="1362" spans="1:3">
      <c r="A1362" s="1">
        <v>41422</v>
      </c>
      <c r="B1362">
        <v>66.290962219238196</v>
      </c>
      <c r="C1362">
        <v>33.488956451416001</v>
      </c>
    </row>
    <row r="1363" spans="1:3">
      <c r="A1363" s="1">
        <v>41423</v>
      </c>
      <c r="B1363">
        <v>65.237464904785099</v>
      </c>
      <c r="C1363">
        <v>32.583839416503899</v>
      </c>
    </row>
    <row r="1364" spans="1:3">
      <c r="A1364" s="1">
        <v>41424</v>
      </c>
      <c r="B1364">
        <v>65.317863464355398</v>
      </c>
      <c r="C1364">
        <v>32.0880126953125</v>
      </c>
    </row>
    <row r="1365" spans="1:3">
      <c r="A1365" s="1">
        <v>41425</v>
      </c>
      <c r="B1365">
        <v>64.955955505371094</v>
      </c>
      <c r="C1365">
        <v>31.4741096496582</v>
      </c>
    </row>
    <row r="1366" spans="1:3">
      <c r="A1366" s="1">
        <v>41428</v>
      </c>
      <c r="B1366">
        <v>65.462623596191406</v>
      </c>
      <c r="C1366">
        <v>32.119483947753899</v>
      </c>
    </row>
    <row r="1367" spans="1:3">
      <c r="A1367" s="1">
        <v>41429</v>
      </c>
      <c r="B1367">
        <v>65.647590637207003</v>
      </c>
      <c r="C1367">
        <v>32.599578857421797</v>
      </c>
    </row>
    <row r="1368" spans="1:3">
      <c r="A1368" s="1">
        <v>41430</v>
      </c>
      <c r="B1368">
        <v>65.759376525878906</v>
      </c>
      <c r="C1368">
        <v>31.993564605712798</v>
      </c>
    </row>
    <row r="1369" spans="1:3">
      <c r="A1369" s="1">
        <v>41431</v>
      </c>
      <c r="B1369">
        <v>66.131889343261705</v>
      </c>
      <c r="C1369">
        <v>32.103736877441399</v>
      </c>
    </row>
    <row r="1370" spans="1:3">
      <c r="A1370" s="1">
        <v>41432</v>
      </c>
      <c r="B1370">
        <v>66.820266723632798</v>
      </c>
      <c r="C1370">
        <v>32.591712951660099</v>
      </c>
    </row>
    <row r="1371" spans="1:3">
      <c r="A1371" s="1">
        <v>41435</v>
      </c>
      <c r="B1371">
        <v>67.0955810546875</v>
      </c>
      <c r="C1371">
        <v>32.410694122314403</v>
      </c>
    </row>
    <row r="1372" spans="1:3">
      <c r="A1372" s="1">
        <v>41436</v>
      </c>
      <c r="B1372">
        <v>66.836463928222599</v>
      </c>
      <c r="C1372">
        <v>32.103736877441399</v>
      </c>
    </row>
    <row r="1373" spans="1:3">
      <c r="A1373" s="1">
        <v>41437</v>
      </c>
      <c r="B1373">
        <v>66.496307373046804</v>
      </c>
      <c r="C1373">
        <v>32.008647918701101</v>
      </c>
    </row>
    <row r="1374" spans="1:3">
      <c r="A1374" s="1">
        <v>41438</v>
      </c>
      <c r="B1374">
        <v>66.391052246093693</v>
      </c>
      <c r="C1374">
        <v>32.024490356445298</v>
      </c>
    </row>
    <row r="1375" spans="1:3">
      <c r="A1375" s="1">
        <v>41439</v>
      </c>
      <c r="B1375">
        <v>66.512512207031193</v>
      </c>
      <c r="C1375">
        <v>31.969018936157202</v>
      </c>
    </row>
    <row r="1376" spans="1:3">
      <c r="A1376" s="1">
        <v>41442</v>
      </c>
      <c r="B1376">
        <v>66.852668762207003</v>
      </c>
      <c r="C1376">
        <v>32.238471984863203</v>
      </c>
    </row>
    <row r="1377" spans="1:3">
      <c r="A1377" s="1">
        <v>41443</v>
      </c>
      <c r="B1377">
        <v>66.868843078613196</v>
      </c>
      <c r="C1377">
        <v>32.436588287353501</v>
      </c>
    </row>
    <row r="1378" spans="1:3">
      <c r="A1378" s="1">
        <v>41444</v>
      </c>
      <c r="B1378">
        <v>65.50830078125</v>
      </c>
      <c r="C1378">
        <v>32.024490356445298</v>
      </c>
    </row>
    <row r="1379" spans="1:3">
      <c r="A1379" s="1">
        <v>41445</v>
      </c>
      <c r="B1379">
        <v>63.904811859130803</v>
      </c>
      <c r="C1379">
        <v>31.010105133056602</v>
      </c>
    </row>
    <row r="1380" spans="1:3">
      <c r="A1380" s="1">
        <v>41446</v>
      </c>
      <c r="B1380">
        <v>64.892822265625</v>
      </c>
      <c r="C1380">
        <v>31.509382247924801</v>
      </c>
    </row>
    <row r="1381" spans="1:3">
      <c r="A1381" s="1">
        <v>41449</v>
      </c>
      <c r="B1381">
        <v>64.892822265625</v>
      </c>
      <c r="C1381">
        <v>31.327104568481399</v>
      </c>
    </row>
    <row r="1382" spans="1:3">
      <c r="A1382" s="1">
        <v>41450</v>
      </c>
      <c r="B1382">
        <v>64.819961547851506</v>
      </c>
      <c r="C1382">
        <v>31.477678298950099</v>
      </c>
    </row>
    <row r="1383" spans="1:3">
      <c r="A1383" s="1">
        <v>41451</v>
      </c>
      <c r="B1383">
        <v>65.840354919433594</v>
      </c>
      <c r="C1383">
        <v>31.961097717285099</v>
      </c>
    </row>
    <row r="1384" spans="1:3">
      <c r="A1384" s="1">
        <v>41452</v>
      </c>
      <c r="B1384">
        <v>66.196678161621094</v>
      </c>
      <c r="C1384">
        <v>31.905620574951101</v>
      </c>
    </row>
    <row r="1385" spans="1:3">
      <c r="A1385" s="1">
        <v>41453</v>
      </c>
      <c r="B1385">
        <v>66.2371826171875</v>
      </c>
      <c r="C1385">
        <v>31.786748886108398</v>
      </c>
    </row>
    <row r="1386" spans="1:3">
      <c r="A1386" s="1">
        <v>41456</v>
      </c>
      <c r="B1386">
        <v>66.439628601074205</v>
      </c>
      <c r="C1386">
        <v>32.064121246337798</v>
      </c>
    </row>
    <row r="1387" spans="1:3">
      <c r="A1387" s="1">
        <v>41457</v>
      </c>
      <c r="B1387">
        <v>66.148094177246094</v>
      </c>
      <c r="C1387">
        <v>31.9927978515625</v>
      </c>
    </row>
    <row r="1388" spans="1:3">
      <c r="A1388" s="1">
        <v>41458</v>
      </c>
      <c r="B1388">
        <v>65.378738403320298</v>
      </c>
      <c r="C1388">
        <v>32.087886810302699</v>
      </c>
    </row>
    <row r="1389" spans="1:3">
      <c r="A1389" s="1">
        <v>41460</v>
      </c>
      <c r="B1389">
        <v>65.435432434082003</v>
      </c>
      <c r="C1389">
        <v>32.111667633056598</v>
      </c>
    </row>
    <row r="1390" spans="1:3">
      <c r="A1390" s="1">
        <v>41463</v>
      </c>
      <c r="B1390">
        <v>66.229072570800696</v>
      </c>
      <c r="C1390">
        <v>32.127513885497997</v>
      </c>
    </row>
    <row r="1391" spans="1:3">
      <c r="A1391" s="1">
        <v>41464</v>
      </c>
      <c r="B1391">
        <v>67.030822753906193</v>
      </c>
      <c r="C1391">
        <v>32.357345581054602</v>
      </c>
    </row>
    <row r="1392" spans="1:3">
      <c r="A1392" s="1">
        <v>41465</v>
      </c>
      <c r="B1392">
        <v>67.208992004394503</v>
      </c>
      <c r="C1392">
        <v>32.238471984863203</v>
      </c>
    </row>
    <row r="1393" spans="1:3">
      <c r="A1393" s="1">
        <v>41466</v>
      </c>
      <c r="B1393">
        <v>68.472351074218693</v>
      </c>
      <c r="C1393">
        <v>32.515838623046797</v>
      </c>
    </row>
    <row r="1394" spans="1:3">
      <c r="A1394" s="1">
        <v>41467</v>
      </c>
      <c r="B1394">
        <v>68.286079406738196</v>
      </c>
      <c r="C1394">
        <v>32.515838623046797</v>
      </c>
    </row>
    <row r="1395" spans="1:3">
      <c r="A1395" s="1">
        <v>41470</v>
      </c>
      <c r="B1395">
        <v>68.610015869140597</v>
      </c>
      <c r="C1395">
        <v>32.499980926513601</v>
      </c>
    </row>
    <row r="1396" spans="1:3">
      <c r="A1396" s="1">
        <v>41471</v>
      </c>
      <c r="B1396">
        <v>68.043128967285099</v>
      </c>
      <c r="C1396">
        <v>31.881851196288999</v>
      </c>
    </row>
    <row r="1397" spans="1:3">
      <c r="A1397" s="1">
        <v>41472</v>
      </c>
      <c r="B1397">
        <v>69.031135559082003</v>
      </c>
      <c r="C1397">
        <v>32.365268707275298</v>
      </c>
    </row>
    <row r="1398" spans="1:3">
      <c r="A1398" s="1">
        <v>41473</v>
      </c>
      <c r="B1398">
        <v>70.294502258300696</v>
      </c>
      <c r="C1398">
        <v>32.3414916992187</v>
      </c>
    </row>
    <row r="1399" spans="1:3">
      <c r="A1399" s="1">
        <v>41474</v>
      </c>
      <c r="B1399">
        <v>69.978660583496094</v>
      </c>
      <c r="C1399">
        <v>32.563388824462798</v>
      </c>
    </row>
    <row r="1400" spans="1:3">
      <c r="A1400" s="1">
        <v>41477</v>
      </c>
      <c r="B1400">
        <v>69.970565795898395</v>
      </c>
      <c r="C1400">
        <v>32.365268707275298</v>
      </c>
    </row>
    <row r="1401" spans="1:3">
      <c r="A1401" s="1">
        <v>41478</v>
      </c>
      <c r="B1401">
        <v>69.808578491210895</v>
      </c>
      <c r="C1401">
        <v>32.460365295410099</v>
      </c>
    </row>
    <row r="1402" spans="1:3">
      <c r="A1402" s="1">
        <v>41479</v>
      </c>
      <c r="B1402">
        <v>69.355056762695298</v>
      </c>
      <c r="C1402">
        <v>32.381118774413999</v>
      </c>
    </row>
    <row r="1403" spans="1:3">
      <c r="A1403" s="1">
        <v>41480</v>
      </c>
      <c r="B1403">
        <v>69.282180786132798</v>
      </c>
      <c r="C1403">
        <v>32.365268707275298</v>
      </c>
    </row>
    <row r="1404" spans="1:3">
      <c r="A1404" s="1">
        <v>41481</v>
      </c>
      <c r="B1404">
        <v>69.087829589843693</v>
      </c>
      <c r="C1404">
        <v>32.206764221191399</v>
      </c>
    </row>
    <row r="1405" spans="1:3">
      <c r="A1405" s="1">
        <v>41484</v>
      </c>
      <c r="B1405">
        <v>69.039245605468693</v>
      </c>
      <c r="C1405">
        <v>31.921474456787099</v>
      </c>
    </row>
    <row r="1406" spans="1:3">
      <c r="A1406" s="1">
        <v>41485</v>
      </c>
      <c r="B1406">
        <v>68.925857543945298</v>
      </c>
      <c r="C1406">
        <v>31.953159332275298</v>
      </c>
    </row>
    <row r="1407" spans="1:3">
      <c r="A1407" s="1">
        <v>41486</v>
      </c>
      <c r="B1407">
        <v>67.654396057128906</v>
      </c>
      <c r="C1407">
        <v>31.7629795074462</v>
      </c>
    </row>
    <row r="1408" spans="1:3">
      <c r="A1408" s="1">
        <v>41487</v>
      </c>
      <c r="B1408">
        <v>68.188896179199205</v>
      </c>
      <c r="C1408">
        <v>32.151290893554602</v>
      </c>
    </row>
    <row r="1409" spans="1:3">
      <c r="A1409" s="1">
        <v>41488</v>
      </c>
      <c r="B1409">
        <v>68.261795043945298</v>
      </c>
      <c r="C1409">
        <v>31.873926162719702</v>
      </c>
    </row>
    <row r="1410" spans="1:3">
      <c r="A1410" s="1">
        <v>41491</v>
      </c>
      <c r="B1410">
        <v>68.415664672851506</v>
      </c>
      <c r="C1410">
        <v>31.929399490356399</v>
      </c>
    </row>
    <row r="1411" spans="1:3">
      <c r="A1411" s="1">
        <v>41492</v>
      </c>
      <c r="B1411">
        <v>68.877258300781193</v>
      </c>
      <c r="C1411">
        <v>31.9927978515625</v>
      </c>
    </row>
    <row r="1412" spans="1:3">
      <c r="A1412" s="1">
        <v>41493</v>
      </c>
      <c r="B1412">
        <v>68.642402648925696</v>
      </c>
      <c r="C1412">
        <v>31.818452835083001</v>
      </c>
    </row>
    <row r="1413" spans="1:3">
      <c r="A1413" s="1">
        <v>41494</v>
      </c>
      <c r="B1413">
        <v>68.577621459960895</v>
      </c>
      <c r="C1413">
        <v>31.8580722808837</v>
      </c>
    </row>
    <row r="1414" spans="1:3">
      <c r="A1414" s="1">
        <v>41495</v>
      </c>
      <c r="B1414">
        <v>68.302261352539006</v>
      </c>
      <c r="C1414">
        <v>31.8263626098632</v>
      </c>
    </row>
    <row r="1415" spans="1:3">
      <c r="A1415" s="1">
        <v>41498</v>
      </c>
      <c r="B1415">
        <v>67.873046875</v>
      </c>
      <c r="C1415">
        <v>31.5648498535156</v>
      </c>
    </row>
    <row r="1416" spans="1:3">
      <c r="A1416" s="1">
        <v>41499</v>
      </c>
      <c r="B1416">
        <v>67.532928466796804</v>
      </c>
      <c r="C1416">
        <v>31.422206878662099</v>
      </c>
    </row>
    <row r="1417" spans="1:3">
      <c r="A1417" s="1">
        <v>41500</v>
      </c>
      <c r="B1417">
        <v>67.014617919921804</v>
      </c>
      <c r="C1417">
        <v>31.327104568481399</v>
      </c>
    </row>
    <row r="1418" spans="1:3">
      <c r="A1418" s="1">
        <v>41501</v>
      </c>
      <c r="B1418">
        <v>65.524505615234304</v>
      </c>
      <c r="C1418">
        <v>30.9784126281738</v>
      </c>
    </row>
    <row r="1419" spans="1:3">
      <c r="A1419" s="1">
        <v>41502</v>
      </c>
      <c r="B1419">
        <v>64.933326721191406</v>
      </c>
      <c r="C1419">
        <v>30.946706771850501</v>
      </c>
    </row>
    <row r="1420" spans="1:3">
      <c r="A1420" s="1">
        <v>41505</v>
      </c>
      <c r="B1420">
        <v>65.500221252441406</v>
      </c>
      <c r="C1420">
        <v>30.7327365875244</v>
      </c>
    </row>
    <row r="1421" spans="1:3">
      <c r="A1421" s="1">
        <v>41506</v>
      </c>
      <c r="B1421">
        <v>65.022399902343693</v>
      </c>
      <c r="C1421">
        <v>30.629714965820298</v>
      </c>
    </row>
    <row r="1422" spans="1:3">
      <c r="A1422" s="1">
        <v>41507</v>
      </c>
      <c r="B1422">
        <v>64.04248046875</v>
      </c>
      <c r="C1422">
        <v>30.3364868164062</v>
      </c>
    </row>
    <row r="1423" spans="1:3">
      <c r="A1423" s="1">
        <v>41508</v>
      </c>
      <c r="B1423">
        <v>64.180160522460895</v>
      </c>
      <c r="C1423">
        <v>30.3602695465087</v>
      </c>
    </row>
    <row r="1424" spans="1:3">
      <c r="A1424" s="1">
        <v>41509</v>
      </c>
      <c r="B1424">
        <v>64.666069030761705</v>
      </c>
      <c r="C1424">
        <v>30.526695251464801</v>
      </c>
    </row>
    <row r="1425" spans="1:3">
      <c r="A1425" s="1">
        <v>41512</v>
      </c>
      <c r="B1425">
        <v>64.5364990234375</v>
      </c>
      <c r="C1425">
        <v>30.209692001342699</v>
      </c>
    </row>
    <row r="1426" spans="1:3">
      <c r="A1426" s="1">
        <v>41513</v>
      </c>
      <c r="B1426">
        <v>64.026290893554602</v>
      </c>
      <c r="C1426">
        <v>30.233472824096602</v>
      </c>
    </row>
    <row r="1427" spans="1:3">
      <c r="A1427" s="1">
        <v>41514</v>
      </c>
      <c r="B1427">
        <v>64.277320861816406</v>
      </c>
      <c r="C1427">
        <v>30.391962051391602</v>
      </c>
    </row>
    <row r="1428" spans="1:3">
      <c r="A1428" s="1">
        <v>41515</v>
      </c>
      <c r="B1428">
        <v>64.244956970214801</v>
      </c>
      <c r="C1428">
        <v>30.193841934204102</v>
      </c>
    </row>
    <row r="1429" spans="1:3">
      <c r="A1429" s="1">
        <v>41516</v>
      </c>
      <c r="B1429">
        <v>64.568901062011705</v>
      </c>
      <c r="C1429">
        <v>30.257238388061499</v>
      </c>
    </row>
    <row r="1430" spans="1:3">
      <c r="A1430" s="1">
        <v>41520</v>
      </c>
      <c r="B1430">
        <v>64.949508666992102</v>
      </c>
      <c r="C1430">
        <v>30.0353469848632</v>
      </c>
    </row>
    <row r="1431" spans="1:3">
      <c r="A1431" s="1">
        <v>41521</v>
      </c>
      <c r="B1431">
        <v>64.866340637207003</v>
      </c>
      <c r="C1431">
        <v>30.542543411254801</v>
      </c>
    </row>
    <row r="1432" spans="1:3">
      <c r="A1432" s="1">
        <v>41522</v>
      </c>
      <c r="B1432">
        <v>64.491149902343693</v>
      </c>
      <c r="C1432">
        <v>30.3047885894775</v>
      </c>
    </row>
    <row r="1433" spans="1:3">
      <c r="A1433" s="1">
        <v>41523</v>
      </c>
      <c r="B1433">
        <v>64.646110534667898</v>
      </c>
      <c r="C1433">
        <v>30.391962051391602</v>
      </c>
    </row>
    <row r="1434" spans="1:3">
      <c r="A1434" s="1">
        <v>41526</v>
      </c>
      <c r="B1434">
        <v>64.743995666503906</v>
      </c>
      <c r="C1434">
        <v>30.526695251464801</v>
      </c>
    </row>
    <row r="1435" spans="1:3">
      <c r="A1435" s="1">
        <v>41527</v>
      </c>
      <c r="B1435">
        <v>64.784774780273395</v>
      </c>
      <c r="C1435">
        <v>30.6138610839843</v>
      </c>
    </row>
    <row r="1436" spans="1:3">
      <c r="A1436" s="1">
        <v>41528</v>
      </c>
      <c r="B1436">
        <v>65.1273193359375</v>
      </c>
      <c r="C1436">
        <v>30.7327365875244</v>
      </c>
    </row>
    <row r="1437" spans="1:3">
      <c r="A1437" s="1">
        <v>41529</v>
      </c>
      <c r="B1437">
        <v>65.143638610839801</v>
      </c>
      <c r="C1437">
        <v>30.6848335266113</v>
      </c>
    </row>
    <row r="1438" spans="1:3">
      <c r="A1438" s="1">
        <v>41530</v>
      </c>
      <c r="B1438">
        <v>65.510673522949205</v>
      </c>
      <c r="C1438">
        <v>30.884405136108398</v>
      </c>
    </row>
    <row r="1439" spans="1:3">
      <c r="A1439" s="1">
        <v>41533</v>
      </c>
      <c r="B1439">
        <v>66.081604003906193</v>
      </c>
      <c r="C1439">
        <v>31.020103454589801</v>
      </c>
    </row>
    <row r="1440" spans="1:3">
      <c r="A1440" s="1">
        <v>41534</v>
      </c>
      <c r="B1440">
        <v>66.603607177734304</v>
      </c>
      <c r="C1440">
        <v>30.964235305786101</v>
      </c>
    </row>
    <row r="1441" spans="1:3">
      <c r="A1441" s="1">
        <v>41535</v>
      </c>
      <c r="B1441">
        <v>67.598663330078097</v>
      </c>
      <c r="C1441">
        <v>31.602840423583899</v>
      </c>
    </row>
    <row r="1442" spans="1:3">
      <c r="A1442" s="1">
        <v>41536</v>
      </c>
      <c r="B1442">
        <v>66.734092712402301</v>
      </c>
      <c r="C1442">
        <v>31.379323959350501</v>
      </c>
    </row>
    <row r="1443" spans="1:3">
      <c r="A1443" s="1">
        <v>41537</v>
      </c>
      <c r="B1443">
        <v>66.668846130371094</v>
      </c>
      <c r="C1443">
        <v>31.4511699676513</v>
      </c>
    </row>
    <row r="1444" spans="1:3">
      <c r="A1444" s="1">
        <v>41540</v>
      </c>
      <c r="B1444">
        <v>66.081604003906193</v>
      </c>
      <c r="C1444">
        <v>30.836502075195298</v>
      </c>
    </row>
    <row r="1445" spans="1:3">
      <c r="A1445" s="1">
        <v>41541</v>
      </c>
      <c r="B1445">
        <v>65.690101623535099</v>
      </c>
      <c r="C1445">
        <v>30.7566814422607</v>
      </c>
    </row>
    <row r="1446" spans="1:3">
      <c r="A1446" s="1">
        <v>41542</v>
      </c>
      <c r="B1446">
        <v>65.420944213867102</v>
      </c>
      <c r="C1446">
        <v>30.597032546996999</v>
      </c>
    </row>
    <row r="1447" spans="1:3">
      <c r="A1447" s="1">
        <v>41543</v>
      </c>
      <c r="B1447">
        <v>65.690101623535099</v>
      </c>
      <c r="C1447">
        <v>30.92431640625</v>
      </c>
    </row>
    <row r="1448" spans="1:3">
      <c r="A1448" s="1">
        <v>41544</v>
      </c>
      <c r="B1448">
        <v>65.412803649902301</v>
      </c>
      <c r="C1448">
        <v>30.652919769287099</v>
      </c>
    </row>
    <row r="1449" spans="1:3">
      <c r="A1449" s="1">
        <v>41547</v>
      </c>
      <c r="B1449">
        <v>64.841850280761705</v>
      </c>
      <c r="C1449">
        <v>30.237815856933501</v>
      </c>
    </row>
    <row r="1450" spans="1:3">
      <c r="A1450" s="1">
        <v>41548</v>
      </c>
      <c r="B1450">
        <v>65.102844238281193</v>
      </c>
      <c r="C1450">
        <v>30.293701171875</v>
      </c>
    </row>
    <row r="1451" spans="1:3">
      <c r="A1451" s="1">
        <v>41549</v>
      </c>
      <c r="B1451">
        <v>64.890800476074205</v>
      </c>
      <c r="C1451">
        <v>29.878604888916001</v>
      </c>
    </row>
    <row r="1452" spans="1:3">
      <c r="A1452" s="1">
        <v>41550</v>
      </c>
      <c r="B1452">
        <v>64.792930603027301</v>
      </c>
      <c r="C1452">
        <v>29.663066864013601</v>
      </c>
    </row>
    <row r="1453" spans="1:3">
      <c r="A1453" s="1">
        <v>41551</v>
      </c>
      <c r="B1453">
        <v>64.939712524414006</v>
      </c>
      <c r="C1453">
        <v>29.6950073242187</v>
      </c>
    </row>
    <row r="1454" spans="1:3">
      <c r="A1454" s="1">
        <v>41554</v>
      </c>
      <c r="B1454">
        <v>64.482986450195298</v>
      </c>
      <c r="C1454">
        <v>29.5752658843994</v>
      </c>
    </row>
    <row r="1455" spans="1:3">
      <c r="A1455" s="1">
        <v>41555</v>
      </c>
      <c r="B1455">
        <v>64.376937866210895</v>
      </c>
      <c r="C1455">
        <v>29.758867263793899</v>
      </c>
    </row>
    <row r="1456" spans="1:3">
      <c r="A1456" s="1">
        <v>41556</v>
      </c>
      <c r="B1456">
        <v>64.841850280761705</v>
      </c>
      <c r="C1456">
        <v>29.5992126464843</v>
      </c>
    </row>
    <row r="1457" spans="1:3">
      <c r="A1457" s="1">
        <v>41557</v>
      </c>
      <c r="B1457">
        <v>65.812438964843693</v>
      </c>
      <c r="C1457">
        <v>30.157995223998999</v>
      </c>
    </row>
    <row r="1458" spans="1:3">
      <c r="A1458" s="1">
        <v>41558</v>
      </c>
      <c r="B1458">
        <v>65.926628112792898</v>
      </c>
      <c r="C1458">
        <v>30.1500148773193</v>
      </c>
    </row>
    <row r="1459" spans="1:3">
      <c r="A1459" s="1">
        <v>41561</v>
      </c>
      <c r="B1459">
        <v>66.138694763183594</v>
      </c>
      <c r="C1459">
        <v>30.2617683410644</v>
      </c>
    </row>
    <row r="1460" spans="1:3">
      <c r="A1460" s="1">
        <v>41562</v>
      </c>
      <c r="B1460">
        <v>65.739051818847599</v>
      </c>
      <c r="C1460">
        <v>30.062196731567301</v>
      </c>
    </row>
    <row r="1461" spans="1:3">
      <c r="A1461" s="1">
        <v>41563</v>
      </c>
      <c r="B1461">
        <v>67.101112365722599</v>
      </c>
      <c r="C1461">
        <v>30.3336067199707</v>
      </c>
    </row>
    <row r="1462" spans="1:3">
      <c r="A1462" s="1">
        <v>41564</v>
      </c>
      <c r="B1462">
        <v>67.353958129882798</v>
      </c>
      <c r="C1462">
        <v>30.772645950317301</v>
      </c>
    </row>
    <row r="1463" spans="1:3">
      <c r="A1463" s="1">
        <v>41565</v>
      </c>
      <c r="B1463">
        <v>67.704689025878906</v>
      </c>
      <c r="C1463">
        <v>30.956243515014599</v>
      </c>
    </row>
    <row r="1464" spans="1:3">
      <c r="A1464" s="1">
        <v>41568</v>
      </c>
      <c r="B1464">
        <v>67.182685852050696</v>
      </c>
      <c r="C1464">
        <v>30.988172531127901</v>
      </c>
    </row>
    <row r="1465" spans="1:3">
      <c r="A1465" s="1">
        <v>41569</v>
      </c>
      <c r="B1465">
        <v>68.055389404296804</v>
      </c>
      <c r="C1465">
        <v>31.2037048339843</v>
      </c>
    </row>
    <row r="1466" spans="1:3">
      <c r="A1466" s="1">
        <v>41570</v>
      </c>
      <c r="B1466">
        <v>67.965690612792898</v>
      </c>
      <c r="C1466">
        <v>31.2037048339843</v>
      </c>
    </row>
    <row r="1467" spans="1:3">
      <c r="A1467" s="1">
        <v>41571</v>
      </c>
      <c r="B1467">
        <v>67.321342468261705</v>
      </c>
      <c r="C1467">
        <v>30.972211837768501</v>
      </c>
    </row>
    <row r="1468" spans="1:3">
      <c r="A1468" s="1">
        <v>41572</v>
      </c>
      <c r="B1468">
        <v>67.982017517089801</v>
      </c>
      <c r="C1468">
        <v>31.155807495117099</v>
      </c>
    </row>
    <row r="1469" spans="1:3">
      <c r="A1469" s="1">
        <v>41575</v>
      </c>
      <c r="B1469">
        <v>69.009666442871094</v>
      </c>
      <c r="C1469">
        <v>31.618797302246001</v>
      </c>
    </row>
    <row r="1470" spans="1:3">
      <c r="A1470" s="1">
        <v>41576</v>
      </c>
      <c r="B1470">
        <v>69.727424621582003</v>
      </c>
      <c r="C1470">
        <v>31.770463943481399</v>
      </c>
    </row>
    <row r="1471" spans="1:3">
      <c r="A1471" s="1">
        <v>41577</v>
      </c>
      <c r="B1471">
        <v>69.099403381347599</v>
      </c>
      <c r="C1471">
        <v>31.626785278320298</v>
      </c>
    </row>
    <row r="1472" spans="1:3">
      <c r="A1472" s="1">
        <v>41578</v>
      </c>
      <c r="B1472">
        <v>68.5855712890625</v>
      </c>
      <c r="C1472">
        <v>31.5868606567382</v>
      </c>
    </row>
    <row r="1473" spans="1:3">
      <c r="A1473" s="1">
        <v>41579</v>
      </c>
      <c r="B1473">
        <v>68.968910217285099</v>
      </c>
      <c r="C1473">
        <v>31.618797302246001</v>
      </c>
    </row>
    <row r="1474" spans="1:3">
      <c r="A1474" s="1">
        <v>41582</v>
      </c>
      <c r="B1474">
        <v>68.813941955566406</v>
      </c>
      <c r="C1474">
        <v>31.538972854614201</v>
      </c>
    </row>
    <row r="1475" spans="1:3">
      <c r="A1475" s="1">
        <v>41583</v>
      </c>
      <c r="B1475">
        <v>69.017829895019503</v>
      </c>
      <c r="C1475">
        <v>31.530992507934499</v>
      </c>
    </row>
    <row r="1476" spans="1:3">
      <c r="A1476" s="1">
        <v>41584</v>
      </c>
      <c r="B1476">
        <v>70.698020935058594</v>
      </c>
      <c r="C1476">
        <v>31.970029830932599</v>
      </c>
    </row>
    <row r="1477" spans="1:3">
      <c r="A1477" s="1">
        <v>41585</v>
      </c>
      <c r="B1477">
        <v>69.572463989257798</v>
      </c>
      <c r="C1477">
        <v>31.794412612915</v>
      </c>
    </row>
    <row r="1478" spans="1:3">
      <c r="A1478" s="1">
        <v>41586</v>
      </c>
      <c r="B1478">
        <v>70.021057128906193</v>
      </c>
      <c r="C1478">
        <v>31.970029830932599</v>
      </c>
    </row>
    <row r="1479" spans="1:3">
      <c r="A1479" s="1">
        <v>41589</v>
      </c>
      <c r="B1479">
        <v>69.694801330566406</v>
      </c>
      <c r="C1479">
        <v>31.826347351074201</v>
      </c>
    </row>
    <row r="1480" spans="1:3">
      <c r="A1480" s="1">
        <v>41590</v>
      </c>
      <c r="B1480">
        <v>69.849761962890597</v>
      </c>
      <c r="C1480">
        <v>31.834327697753899</v>
      </c>
    </row>
    <row r="1481" spans="1:3">
      <c r="A1481" s="1">
        <v>41591</v>
      </c>
      <c r="B1481">
        <v>70.102615356445298</v>
      </c>
      <c r="C1481">
        <v>32.025913238525298</v>
      </c>
    </row>
    <row r="1482" spans="1:3">
      <c r="A1482" s="1">
        <v>41592</v>
      </c>
      <c r="B1482">
        <v>70.461494445800696</v>
      </c>
      <c r="C1482">
        <v>32.097751617431598</v>
      </c>
    </row>
    <row r="1483" spans="1:3">
      <c r="A1483" s="1">
        <v>41593</v>
      </c>
      <c r="B1483">
        <v>70.167861938476506</v>
      </c>
      <c r="C1483">
        <v>32.105735778808501</v>
      </c>
    </row>
    <row r="1484" spans="1:3">
      <c r="A1484" s="1">
        <v>41596</v>
      </c>
      <c r="B1484">
        <v>70.029212951660099</v>
      </c>
      <c r="C1484">
        <v>32.065822601318303</v>
      </c>
    </row>
    <row r="1485" spans="1:3">
      <c r="A1485" s="1">
        <v>41597</v>
      </c>
      <c r="B1485">
        <v>69.564300537109304</v>
      </c>
      <c r="C1485">
        <v>32.041877746582003</v>
      </c>
    </row>
    <row r="1486" spans="1:3">
      <c r="A1486" s="1">
        <v>41598</v>
      </c>
      <c r="B1486">
        <v>69.433815002441406</v>
      </c>
      <c r="C1486">
        <v>31.978010177612301</v>
      </c>
    </row>
    <row r="1487" spans="1:3">
      <c r="A1487" s="1">
        <v>41599</v>
      </c>
      <c r="B1487">
        <v>69.833450317382798</v>
      </c>
      <c r="C1487">
        <v>32.273365020751903</v>
      </c>
    </row>
    <row r="1488" spans="1:3">
      <c r="A1488" s="1">
        <v>41600</v>
      </c>
      <c r="B1488">
        <v>69.931327819824205</v>
      </c>
      <c r="C1488">
        <v>32.273365020751903</v>
      </c>
    </row>
    <row r="1489" spans="1:3">
      <c r="A1489" s="1">
        <v>41603</v>
      </c>
      <c r="B1489">
        <v>69.629554748535099</v>
      </c>
      <c r="C1489">
        <v>32.225471496582003</v>
      </c>
    </row>
    <row r="1490" spans="1:3">
      <c r="A1490" s="1">
        <v>41604</v>
      </c>
      <c r="B1490">
        <v>68.830238342285099</v>
      </c>
      <c r="C1490">
        <v>32.129684448242102</v>
      </c>
    </row>
    <row r="1491" spans="1:3">
      <c r="A1491" s="1">
        <v>41605</v>
      </c>
      <c r="B1491">
        <v>68.854713439941406</v>
      </c>
      <c r="C1491">
        <v>32.306522369384702</v>
      </c>
    </row>
    <row r="1492" spans="1:3">
      <c r="A1492" s="1">
        <v>41607</v>
      </c>
      <c r="B1492">
        <v>68.887344360351506</v>
      </c>
      <c r="C1492">
        <v>32.306522369384702</v>
      </c>
    </row>
    <row r="1493" spans="1:3">
      <c r="A1493" s="1">
        <v>41610</v>
      </c>
      <c r="B1493">
        <v>68.2674560546875</v>
      </c>
      <c r="C1493">
        <v>32.218109130859297</v>
      </c>
    </row>
    <row r="1494" spans="1:3">
      <c r="A1494" s="1">
        <v>41611</v>
      </c>
      <c r="B1494">
        <v>68.349014282226506</v>
      </c>
      <c r="C1494">
        <v>32.435127258300703</v>
      </c>
    </row>
    <row r="1495" spans="1:3">
      <c r="A1495" s="1">
        <v>41612</v>
      </c>
      <c r="B1495">
        <v>67.871086120605398</v>
      </c>
      <c r="C1495">
        <v>32.451221466064403</v>
      </c>
    </row>
    <row r="1496" spans="1:3">
      <c r="A1496" s="1">
        <v>41613</v>
      </c>
      <c r="B1496">
        <v>67.255233764648395</v>
      </c>
      <c r="C1496">
        <v>32.017143249511697</v>
      </c>
    </row>
    <row r="1497" spans="1:3">
      <c r="A1497" s="1">
        <v>41614</v>
      </c>
      <c r="B1497">
        <v>68.281692504882798</v>
      </c>
      <c r="C1497">
        <v>32.523563385009702</v>
      </c>
    </row>
    <row r="1498" spans="1:3">
      <c r="A1498" s="1">
        <v>41617</v>
      </c>
      <c r="B1498">
        <v>67.903953552246094</v>
      </c>
      <c r="C1498">
        <v>32.475337982177699</v>
      </c>
    </row>
    <row r="1499" spans="1:3">
      <c r="A1499" s="1">
        <v>41618</v>
      </c>
      <c r="B1499">
        <v>67.665802001953097</v>
      </c>
      <c r="C1499">
        <v>32.033210754394503</v>
      </c>
    </row>
    <row r="1500" spans="1:3">
      <c r="A1500" s="1">
        <v>41619</v>
      </c>
      <c r="B1500">
        <v>67.887504577636705</v>
      </c>
      <c r="C1500">
        <v>32.258293151855398</v>
      </c>
    </row>
    <row r="1501" spans="1:3">
      <c r="A1501" s="1">
        <v>41620</v>
      </c>
      <c r="B1501">
        <v>66.746063232421804</v>
      </c>
      <c r="C1501">
        <v>31.518754959106399</v>
      </c>
    </row>
    <row r="1502" spans="1:3">
      <c r="A1502" s="1">
        <v>41621</v>
      </c>
      <c r="B1502">
        <v>66.458663940429602</v>
      </c>
      <c r="C1502">
        <v>31.534833908081001</v>
      </c>
    </row>
    <row r="1503" spans="1:3">
      <c r="A1503" s="1">
        <v>41624</v>
      </c>
      <c r="B1503">
        <v>66.516143798828097</v>
      </c>
      <c r="C1503">
        <v>31.566991806030199</v>
      </c>
    </row>
    <row r="1504" spans="1:3">
      <c r="A1504" s="1">
        <v>41625</v>
      </c>
      <c r="B1504">
        <v>66.072677612304602</v>
      </c>
      <c r="C1504">
        <v>31.4303283691406</v>
      </c>
    </row>
    <row r="1505" spans="1:3">
      <c r="A1505" s="1">
        <v>41626</v>
      </c>
      <c r="B1505">
        <v>66.861022949218693</v>
      </c>
      <c r="C1505">
        <v>32.169872283935497</v>
      </c>
    </row>
    <row r="1506" spans="1:3">
      <c r="A1506" s="1">
        <v>41627</v>
      </c>
      <c r="B1506">
        <v>67.058128356933594</v>
      </c>
      <c r="C1506">
        <v>32.041252136230398</v>
      </c>
    </row>
    <row r="1507" spans="1:3">
      <c r="A1507" s="1">
        <v>41628</v>
      </c>
      <c r="B1507">
        <v>67.181312561035099</v>
      </c>
      <c r="C1507">
        <v>32.185943603515597</v>
      </c>
    </row>
    <row r="1508" spans="1:3">
      <c r="A1508" s="1">
        <v>41631</v>
      </c>
      <c r="B1508">
        <v>67.222358703613196</v>
      </c>
      <c r="C1508">
        <v>32.282402038574197</v>
      </c>
    </row>
    <row r="1509" spans="1:3">
      <c r="A1509" s="1">
        <v>41632</v>
      </c>
      <c r="B1509">
        <v>67.370185852050696</v>
      </c>
      <c r="C1509">
        <v>32.306522369384702</v>
      </c>
    </row>
    <row r="1510" spans="1:3">
      <c r="A1510" s="1">
        <v>41634</v>
      </c>
      <c r="B1510">
        <v>67.706863403320298</v>
      </c>
      <c r="C1510">
        <v>32.547672271728501</v>
      </c>
    </row>
    <row r="1511" spans="1:3">
      <c r="A1511" s="1">
        <v>41635</v>
      </c>
      <c r="B1511">
        <v>67.920364379882798</v>
      </c>
      <c r="C1511">
        <v>32.684326171875</v>
      </c>
    </row>
    <row r="1512" spans="1:3">
      <c r="A1512" s="1">
        <v>41638</v>
      </c>
      <c r="B1512">
        <v>68.084609985351506</v>
      </c>
      <c r="C1512">
        <v>33.029983520507798</v>
      </c>
    </row>
    <row r="1513" spans="1:3">
      <c r="A1513" s="1">
        <v>41639</v>
      </c>
      <c r="B1513">
        <v>68.109230041503906</v>
      </c>
      <c r="C1513">
        <v>33.206832885742102</v>
      </c>
    </row>
    <row r="1514" spans="1:3">
      <c r="A1514" s="1">
        <v>41641</v>
      </c>
      <c r="B1514">
        <v>67.41943359375</v>
      </c>
      <c r="C1514">
        <v>32.684326171875</v>
      </c>
    </row>
    <row r="1515" spans="1:3">
      <c r="A1515" s="1">
        <v>41642</v>
      </c>
      <c r="B1515">
        <v>67.534393310546804</v>
      </c>
      <c r="C1515">
        <v>32.523563385009702</v>
      </c>
    </row>
    <row r="1516" spans="1:3">
      <c r="A1516" s="1">
        <v>41645</v>
      </c>
      <c r="B1516">
        <v>67.567237854003906</v>
      </c>
      <c r="C1516">
        <v>32.370826721191399</v>
      </c>
    </row>
    <row r="1517" spans="1:3">
      <c r="A1517" s="1">
        <v>41646</v>
      </c>
      <c r="B1517">
        <v>68.552688598632798</v>
      </c>
      <c r="C1517">
        <v>32.467288970947202</v>
      </c>
    </row>
    <row r="1518" spans="1:3">
      <c r="A1518" s="1">
        <v>41647</v>
      </c>
      <c r="B1518">
        <v>68.355598449707003</v>
      </c>
      <c r="C1518">
        <v>32.105556488037102</v>
      </c>
    </row>
    <row r="1519" spans="1:3">
      <c r="A1519" s="1">
        <v>41648</v>
      </c>
      <c r="B1519">
        <v>68.035324096679602</v>
      </c>
      <c r="C1519">
        <v>31.936752319335898</v>
      </c>
    </row>
    <row r="1520" spans="1:3">
      <c r="A1520" s="1">
        <v>41649</v>
      </c>
      <c r="B1520">
        <v>68.569107055664006</v>
      </c>
      <c r="C1520">
        <v>32.258293151855398</v>
      </c>
    </row>
    <row r="1521" spans="1:3">
      <c r="A1521" s="1">
        <v>41652</v>
      </c>
      <c r="B1521">
        <v>67.641159057617102</v>
      </c>
      <c r="C1521">
        <v>31.775995254516602</v>
      </c>
    </row>
    <row r="1522" spans="1:3">
      <c r="A1522" s="1">
        <v>41653</v>
      </c>
      <c r="B1522">
        <v>67.641159057617102</v>
      </c>
      <c r="C1522">
        <v>31.904592514038001</v>
      </c>
    </row>
    <row r="1523" spans="1:3">
      <c r="A1523" s="1">
        <v>41654</v>
      </c>
      <c r="B1523">
        <v>68.068176269531193</v>
      </c>
      <c r="C1523">
        <v>31.960878372192301</v>
      </c>
    </row>
    <row r="1524" spans="1:3">
      <c r="A1524" s="1">
        <v>41655</v>
      </c>
      <c r="B1524">
        <v>68.043548583984304</v>
      </c>
      <c r="C1524">
        <v>31.920680999755799</v>
      </c>
    </row>
    <row r="1525" spans="1:3">
      <c r="A1525" s="1">
        <v>41656</v>
      </c>
      <c r="B1525">
        <v>67.501541137695298</v>
      </c>
      <c r="C1525">
        <v>31.575017929077099</v>
      </c>
    </row>
    <row r="1526" spans="1:3">
      <c r="A1526" s="1">
        <v>41660</v>
      </c>
      <c r="B1526">
        <v>68.092811584472599</v>
      </c>
      <c r="C1526">
        <v>32.089488983154297</v>
      </c>
    </row>
    <row r="1527" spans="1:3">
      <c r="A1527" s="1">
        <v>41661</v>
      </c>
      <c r="B1527">
        <v>68.035324096679602</v>
      </c>
      <c r="C1527">
        <v>32.073413848876903</v>
      </c>
    </row>
    <row r="1528" spans="1:3">
      <c r="A1528" s="1">
        <v>41662</v>
      </c>
      <c r="B1528">
        <v>67.690437316894503</v>
      </c>
      <c r="C1528">
        <v>31.542867660522401</v>
      </c>
    </row>
    <row r="1529" spans="1:3">
      <c r="A1529" s="1">
        <v>41663</v>
      </c>
      <c r="B1529">
        <v>66.869247436523395</v>
      </c>
      <c r="C1529">
        <v>31.221349716186499</v>
      </c>
    </row>
    <row r="1530" spans="1:3">
      <c r="A1530" s="1">
        <v>41666</v>
      </c>
      <c r="B1530">
        <v>67.386581420898395</v>
      </c>
      <c r="C1530">
        <v>31.132911682128899</v>
      </c>
    </row>
    <row r="1531" spans="1:3">
      <c r="A1531" s="1">
        <v>41667</v>
      </c>
      <c r="B1531">
        <v>67.60009765625</v>
      </c>
      <c r="C1531">
        <v>31.245456695556602</v>
      </c>
    </row>
    <row r="1532" spans="1:3">
      <c r="A1532" s="1">
        <v>41668</v>
      </c>
      <c r="B1532">
        <v>65.875633239746094</v>
      </c>
      <c r="C1532">
        <v>30.465723037719702</v>
      </c>
    </row>
    <row r="1533" spans="1:3">
      <c r="A1533" s="1">
        <v>41669</v>
      </c>
      <c r="B1533">
        <v>66.581840515136705</v>
      </c>
      <c r="C1533">
        <v>30.682752609252901</v>
      </c>
    </row>
    <row r="1534" spans="1:3">
      <c r="A1534" s="1">
        <v>41670</v>
      </c>
      <c r="B1534">
        <v>65.990570068359304</v>
      </c>
      <c r="C1534">
        <v>30.401409149169901</v>
      </c>
    </row>
    <row r="1535" spans="1:3">
      <c r="A1535" s="1">
        <v>41673</v>
      </c>
      <c r="B1535">
        <v>64.520652770996094</v>
      </c>
      <c r="C1535">
        <v>29.903028488159102</v>
      </c>
    </row>
    <row r="1536" spans="1:3">
      <c r="A1536" s="1">
        <v>41674</v>
      </c>
      <c r="B1536">
        <v>64.7259521484375</v>
      </c>
      <c r="C1536">
        <v>30.128108978271399</v>
      </c>
    </row>
    <row r="1537" spans="1:3">
      <c r="A1537" s="1">
        <v>41675</v>
      </c>
      <c r="B1537">
        <v>65.218650817871094</v>
      </c>
      <c r="C1537">
        <v>30.232603073120099</v>
      </c>
    </row>
    <row r="1538" spans="1:3">
      <c r="A1538" s="1">
        <v>41676</v>
      </c>
      <c r="B1538">
        <v>65.194030761718693</v>
      </c>
      <c r="C1538">
        <v>30.570224761962798</v>
      </c>
    </row>
    <row r="1539" spans="1:3">
      <c r="A1539" s="1">
        <v>41677</v>
      </c>
      <c r="B1539">
        <v>65.875633239746094</v>
      </c>
      <c r="C1539">
        <v>30.505916595458899</v>
      </c>
    </row>
    <row r="1540" spans="1:3">
      <c r="A1540" s="1">
        <v>41680</v>
      </c>
      <c r="B1540">
        <v>66.187675476074205</v>
      </c>
      <c r="C1540">
        <v>31.004293441772401</v>
      </c>
    </row>
    <row r="1541" spans="1:3">
      <c r="A1541" s="1">
        <v>41681</v>
      </c>
      <c r="B1541">
        <v>66.721435546875</v>
      </c>
      <c r="C1541">
        <v>31.060573577880799</v>
      </c>
    </row>
    <row r="1542" spans="1:3">
      <c r="A1542" s="1">
        <v>41682</v>
      </c>
      <c r="B1542">
        <v>66.918510437011705</v>
      </c>
      <c r="C1542">
        <v>30.956060409545898</v>
      </c>
    </row>
    <row r="1543" spans="1:3">
      <c r="A1543" s="1">
        <v>41683</v>
      </c>
      <c r="B1543">
        <v>65.440383911132798</v>
      </c>
      <c r="C1543">
        <v>31.068603515625</v>
      </c>
    </row>
    <row r="1544" spans="1:3">
      <c r="A1544" s="1">
        <v>41684</v>
      </c>
      <c r="B1544">
        <v>64.126487731933594</v>
      </c>
      <c r="C1544">
        <v>31.293676376342699</v>
      </c>
    </row>
    <row r="1545" spans="1:3">
      <c r="A1545" s="1">
        <v>41688</v>
      </c>
      <c r="B1545">
        <v>64.200393676757798</v>
      </c>
      <c r="C1545">
        <v>30.120058059692301</v>
      </c>
    </row>
    <row r="1546" spans="1:3">
      <c r="A1546" s="1">
        <v>41689</v>
      </c>
      <c r="B1546">
        <v>63.313507080078097</v>
      </c>
      <c r="C1546">
        <v>29.822645187377901</v>
      </c>
    </row>
    <row r="1547" spans="1:3">
      <c r="A1547" s="1">
        <v>41690</v>
      </c>
      <c r="B1547">
        <v>64.060791015625</v>
      </c>
      <c r="C1547">
        <v>29.9834175109863</v>
      </c>
    </row>
    <row r="1548" spans="1:3">
      <c r="A1548" s="1">
        <v>41691</v>
      </c>
      <c r="B1548">
        <v>64.233245849609304</v>
      </c>
      <c r="C1548">
        <v>29.8869609832763</v>
      </c>
    </row>
    <row r="1549" spans="1:3">
      <c r="A1549" s="1">
        <v>41694</v>
      </c>
      <c r="B1549">
        <v>64.775230407714801</v>
      </c>
      <c r="C1549">
        <v>30.144180297851499</v>
      </c>
    </row>
    <row r="1550" spans="1:3">
      <c r="A1550" s="1">
        <v>41695</v>
      </c>
      <c r="B1550">
        <v>65.062637329101506</v>
      </c>
      <c r="C1550">
        <v>30.361221313476499</v>
      </c>
    </row>
    <row r="1551" spans="1:3">
      <c r="A1551" s="1">
        <v>41696</v>
      </c>
      <c r="B1551">
        <v>64.586364746093693</v>
      </c>
      <c r="C1551">
        <v>30.441604614257798</v>
      </c>
    </row>
    <row r="1552" spans="1:3">
      <c r="A1552" s="1">
        <v>41697</v>
      </c>
      <c r="B1552">
        <v>64.931259155273395</v>
      </c>
      <c r="C1552">
        <v>30.6023769378662</v>
      </c>
    </row>
    <row r="1553" spans="1:3">
      <c r="A1553" s="1">
        <v>41698</v>
      </c>
      <c r="B1553">
        <v>65.752449035644503</v>
      </c>
      <c r="C1553">
        <v>30.7068672180175</v>
      </c>
    </row>
    <row r="1554" spans="1:3">
      <c r="A1554" s="1">
        <v>41701</v>
      </c>
      <c r="B1554">
        <v>65.300758361816406</v>
      </c>
      <c r="C1554">
        <v>30.642564773559499</v>
      </c>
    </row>
    <row r="1555" spans="1:3">
      <c r="A1555" s="1">
        <v>41702</v>
      </c>
      <c r="B1555">
        <v>66.392951965332003</v>
      </c>
      <c r="C1555">
        <v>30.795305252075099</v>
      </c>
    </row>
    <row r="1556" spans="1:3">
      <c r="A1556" s="1">
        <v>41703</v>
      </c>
      <c r="B1556">
        <v>67.077697753906193</v>
      </c>
      <c r="C1556">
        <v>30.827445983886701</v>
      </c>
    </row>
    <row r="1557" spans="1:3">
      <c r="A1557" s="1">
        <v>41704</v>
      </c>
      <c r="B1557">
        <v>67.259651184082003</v>
      </c>
      <c r="C1557">
        <v>30.923913955688398</v>
      </c>
    </row>
    <row r="1558" spans="1:3">
      <c r="A1558" s="1">
        <v>41705</v>
      </c>
      <c r="B1558">
        <v>67.449867248535099</v>
      </c>
      <c r="C1558">
        <v>30.988218307495099</v>
      </c>
    </row>
    <row r="1559" spans="1:3">
      <c r="A1559" s="1">
        <v>41708</v>
      </c>
      <c r="B1559">
        <v>67.590446472167898</v>
      </c>
      <c r="C1559">
        <v>31.068603515625</v>
      </c>
    </row>
    <row r="1560" spans="1:3">
      <c r="A1560" s="1">
        <v>41709</v>
      </c>
      <c r="B1560">
        <v>68.483604431152301</v>
      </c>
      <c r="C1560">
        <v>31.189186096191399</v>
      </c>
    </row>
    <row r="1561" spans="1:3">
      <c r="A1561" s="1">
        <v>41710</v>
      </c>
      <c r="B1561">
        <v>67.937797546386705</v>
      </c>
      <c r="C1561">
        <v>31.168928146362301</v>
      </c>
    </row>
    <row r="1562" spans="1:3">
      <c r="A1562" s="1">
        <v>41711</v>
      </c>
      <c r="B1562">
        <v>67.648353576660099</v>
      </c>
      <c r="C1562">
        <v>30.763811111450099</v>
      </c>
    </row>
    <row r="1563" spans="1:3">
      <c r="A1563" s="1">
        <v>41712</v>
      </c>
      <c r="B1563">
        <v>66.986740112304602</v>
      </c>
      <c r="C1563">
        <v>30.925859451293899</v>
      </c>
    </row>
    <row r="1564" spans="1:3">
      <c r="A1564" s="1">
        <v>41715</v>
      </c>
      <c r="B1564">
        <v>67.855087280273395</v>
      </c>
      <c r="C1564">
        <v>31.006877899169901</v>
      </c>
    </row>
    <row r="1565" spans="1:3">
      <c r="A1565" s="1">
        <v>41716</v>
      </c>
      <c r="B1565">
        <v>67.772399902343693</v>
      </c>
      <c r="C1565">
        <v>31.112216949462798</v>
      </c>
    </row>
    <row r="1566" spans="1:3">
      <c r="A1566" s="1">
        <v>41717</v>
      </c>
      <c r="B1566">
        <v>67.292732238769503</v>
      </c>
      <c r="C1566">
        <v>30.901552200317301</v>
      </c>
    </row>
    <row r="1567" spans="1:3">
      <c r="A1567" s="1">
        <v>41718</v>
      </c>
      <c r="B1567">
        <v>67.697967529296804</v>
      </c>
      <c r="C1567">
        <v>31.152723312377901</v>
      </c>
    </row>
    <row r="1568" spans="1:3">
      <c r="A1568" s="1">
        <v>41719</v>
      </c>
      <c r="B1568">
        <v>67.929534912109304</v>
      </c>
      <c r="C1568">
        <v>31.1446132659912</v>
      </c>
    </row>
    <row r="1569" spans="1:3">
      <c r="A1569" s="1">
        <v>41722</v>
      </c>
      <c r="B1569">
        <v>67.7227783203125</v>
      </c>
      <c r="C1569">
        <v>31.112216949462798</v>
      </c>
    </row>
    <row r="1570" spans="1:3">
      <c r="A1570" s="1">
        <v>41723</v>
      </c>
      <c r="B1570">
        <v>68.144538879394503</v>
      </c>
      <c r="C1570">
        <v>31.2904548645019</v>
      </c>
    </row>
    <row r="1571" spans="1:3">
      <c r="A1571" s="1">
        <v>41724</v>
      </c>
      <c r="B1571">
        <v>68.533233642578097</v>
      </c>
      <c r="C1571">
        <v>31.2823581695556</v>
      </c>
    </row>
    <row r="1572" spans="1:3">
      <c r="A1572" s="1">
        <v>41725</v>
      </c>
      <c r="B1572">
        <v>68.260314941406193</v>
      </c>
      <c r="C1572">
        <v>31.4524936676025</v>
      </c>
    </row>
    <row r="1573" spans="1:3">
      <c r="A1573" s="1">
        <v>41726</v>
      </c>
      <c r="B1573">
        <v>68.599388122558594</v>
      </c>
      <c r="C1573">
        <v>31.5578289031982</v>
      </c>
    </row>
    <row r="1574" spans="1:3">
      <c r="A1574" s="1">
        <v>41729</v>
      </c>
      <c r="B1574">
        <v>69.054222106933594</v>
      </c>
      <c r="C1574">
        <v>31.322858810424801</v>
      </c>
    </row>
    <row r="1575" spans="1:3">
      <c r="A1575" s="1">
        <v>41730</v>
      </c>
      <c r="B1575">
        <v>68.541496276855398</v>
      </c>
      <c r="C1575">
        <v>31.1203079223632</v>
      </c>
    </row>
    <row r="1576" spans="1:3">
      <c r="A1576" s="1">
        <v>41731</v>
      </c>
      <c r="B1576">
        <v>68.417449951171804</v>
      </c>
      <c r="C1576">
        <v>31.0555000305175</v>
      </c>
    </row>
    <row r="1577" spans="1:3">
      <c r="A1577" s="1">
        <v>41732</v>
      </c>
      <c r="B1577">
        <v>68.566307067871094</v>
      </c>
      <c r="C1577">
        <v>30.844842910766602</v>
      </c>
    </row>
    <row r="1578" spans="1:3">
      <c r="A1578" s="1">
        <v>41733</v>
      </c>
      <c r="B1578">
        <v>68.301673889160099</v>
      </c>
      <c r="C1578">
        <v>30.966367721557599</v>
      </c>
    </row>
    <row r="1579" spans="1:3">
      <c r="A1579" s="1">
        <v>41736</v>
      </c>
      <c r="B1579">
        <v>69.393310546875</v>
      </c>
      <c r="C1579">
        <v>31.2904548645019</v>
      </c>
    </row>
    <row r="1580" spans="1:3">
      <c r="A1580" s="1">
        <v>41737</v>
      </c>
      <c r="B1580">
        <v>69.029426574707003</v>
      </c>
      <c r="C1580">
        <v>31.517316818237301</v>
      </c>
    </row>
    <row r="1581" spans="1:3">
      <c r="A1581" s="1">
        <v>41738</v>
      </c>
      <c r="B1581">
        <v>69.393310546875</v>
      </c>
      <c r="C1581">
        <v>31.590236663818299</v>
      </c>
    </row>
    <row r="1582" spans="1:3">
      <c r="A1582" s="1">
        <v>41739</v>
      </c>
      <c r="B1582">
        <v>69.153480529785099</v>
      </c>
      <c r="C1582">
        <v>31.5092163085937</v>
      </c>
    </row>
    <row r="1583" spans="1:3">
      <c r="A1583" s="1">
        <v>41740</v>
      </c>
      <c r="B1583">
        <v>68.764793395996094</v>
      </c>
      <c r="C1583">
        <v>31.298561096191399</v>
      </c>
    </row>
    <row r="1584" spans="1:3">
      <c r="A1584" s="1">
        <v>41743</v>
      </c>
      <c r="B1584">
        <v>69.0955810546875</v>
      </c>
      <c r="C1584">
        <v>31.3795852661132</v>
      </c>
    </row>
    <row r="1585" spans="1:3">
      <c r="A1585" s="1">
        <v>41744</v>
      </c>
      <c r="B1585">
        <v>69.434646606445298</v>
      </c>
      <c r="C1585">
        <v>32.554393768310497</v>
      </c>
    </row>
    <row r="1586" spans="1:3">
      <c r="A1586" s="1">
        <v>41745</v>
      </c>
      <c r="B1586">
        <v>70.104507446289006</v>
      </c>
      <c r="C1586">
        <v>32.886581420898402</v>
      </c>
    </row>
    <row r="1587" spans="1:3">
      <c r="A1587" s="1">
        <v>41746</v>
      </c>
      <c r="B1587">
        <v>70.749588012695298</v>
      </c>
      <c r="C1587">
        <v>32.991912841796797</v>
      </c>
    </row>
    <row r="1588" spans="1:3">
      <c r="A1588" s="1">
        <v>41750</v>
      </c>
      <c r="B1588">
        <v>71.047294616699205</v>
      </c>
      <c r="C1588">
        <v>33.016212463378899</v>
      </c>
    </row>
    <row r="1589" spans="1:3">
      <c r="A1589" s="1">
        <v>41751</v>
      </c>
      <c r="B1589">
        <v>70.410514831542898</v>
      </c>
      <c r="C1589">
        <v>32.983802795410099</v>
      </c>
    </row>
    <row r="1590" spans="1:3">
      <c r="A1590" s="1">
        <v>41752</v>
      </c>
      <c r="B1590">
        <v>70.633796691894503</v>
      </c>
      <c r="C1590">
        <v>33</v>
      </c>
    </row>
    <row r="1591" spans="1:3">
      <c r="A1591" s="1">
        <v>41753</v>
      </c>
      <c r="B1591">
        <v>70.724784851074205</v>
      </c>
      <c r="C1591">
        <v>32.9757080078125</v>
      </c>
    </row>
    <row r="1592" spans="1:3">
      <c r="A1592" s="1">
        <v>41754</v>
      </c>
      <c r="B1592">
        <v>70.501472473144503</v>
      </c>
      <c r="C1592">
        <v>33.2268676757812</v>
      </c>
    </row>
    <row r="1593" spans="1:3">
      <c r="A1593" s="1">
        <v>41757</v>
      </c>
      <c r="B1593">
        <v>71.799865722656193</v>
      </c>
      <c r="C1593">
        <v>33.243080139160099</v>
      </c>
    </row>
    <row r="1594" spans="1:3">
      <c r="A1594" s="1">
        <v>41758</v>
      </c>
      <c r="B1594">
        <v>70.923263549804602</v>
      </c>
      <c r="C1594">
        <v>32.870372772216797</v>
      </c>
    </row>
    <row r="1595" spans="1:3">
      <c r="A1595" s="1">
        <v>41759</v>
      </c>
      <c r="B1595">
        <v>71.030754089355398</v>
      </c>
      <c r="C1595">
        <v>33.048614501953097</v>
      </c>
    </row>
    <row r="1596" spans="1:3">
      <c r="A1596" s="1">
        <v>41760</v>
      </c>
      <c r="B1596">
        <v>70.766120910644503</v>
      </c>
      <c r="C1596">
        <v>33.040512084960902</v>
      </c>
    </row>
    <row r="1597" spans="1:3">
      <c r="A1597" s="1">
        <v>41761</v>
      </c>
      <c r="B1597">
        <v>70.724784851074205</v>
      </c>
      <c r="C1597">
        <v>33.178260803222599</v>
      </c>
    </row>
    <row r="1598" spans="1:3">
      <c r="A1598" s="1">
        <v>41764</v>
      </c>
      <c r="B1598">
        <v>71.047294616699205</v>
      </c>
      <c r="C1598">
        <v>33.024314880371001</v>
      </c>
    </row>
    <row r="1599" spans="1:3">
      <c r="A1599" s="1">
        <v>41765</v>
      </c>
      <c r="B1599">
        <v>70.6007080078125</v>
      </c>
      <c r="C1599">
        <v>32.805557250976499</v>
      </c>
    </row>
    <row r="1600" spans="1:3">
      <c r="A1600" s="1">
        <v>41766</v>
      </c>
      <c r="B1600">
        <v>71.783317565917898</v>
      </c>
      <c r="C1600">
        <v>33.145851135253899</v>
      </c>
    </row>
    <row r="1601" spans="1:3">
      <c r="A1601" s="1">
        <v>41767</v>
      </c>
      <c r="B1601">
        <v>71.667556762695298</v>
      </c>
      <c r="C1601">
        <v>33</v>
      </c>
    </row>
    <row r="1602" spans="1:3">
      <c r="A1602" s="1">
        <v>41768</v>
      </c>
      <c r="B1602">
        <v>72.089286804199205</v>
      </c>
      <c r="C1602">
        <v>33.113437652587798</v>
      </c>
    </row>
    <row r="1603" spans="1:3">
      <c r="A1603" s="1">
        <v>41771</v>
      </c>
      <c r="B1603">
        <v>71.890838623046804</v>
      </c>
      <c r="C1603">
        <v>33.072917938232401</v>
      </c>
    </row>
    <row r="1604" spans="1:3">
      <c r="A1604" s="1">
        <v>41772</v>
      </c>
      <c r="B1604">
        <v>72.138931274414006</v>
      </c>
      <c r="C1604">
        <v>33.3078804016113</v>
      </c>
    </row>
    <row r="1605" spans="1:3">
      <c r="A1605" s="1">
        <v>41773</v>
      </c>
      <c r="B1605">
        <v>71.816390991210895</v>
      </c>
      <c r="C1605">
        <v>33.129650115966797</v>
      </c>
    </row>
    <row r="1606" spans="1:3">
      <c r="A1606" s="1">
        <v>41774</v>
      </c>
      <c r="B1606">
        <v>70.906700134277301</v>
      </c>
      <c r="C1606">
        <v>32.829856872558501</v>
      </c>
    </row>
    <row r="1607" spans="1:3">
      <c r="A1607" s="1">
        <v>41775</v>
      </c>
      <c r="B1607">
        <v>71.568321228027301</v>
      </c>
      <c r="C1607">
        <v>33.129650115966797</v>
      </c>
    </row>
    <row r="1608" spans="1:3">
      <c r="A1608" s="1">
        <v>41778</v>
      </c>
      <c r="B1608">
        <v>71.204437255859304</v>
      </c>
      <c r="C1608">
        <v>32.983802795410099</v>
      </c>
    </row>
    <row r="1609" spans="1:3">
      <c r="A1609" s="1">
        <v>41779</v>
      </c>
      <c r="B1609">
        <v>70.832290649414006</v>
      </c>
      <c r="C1609">
        <v>32.878475189208899</v>
      </c>
    </row>
    <row r="1610" spans="1:3">
      <c r="A1610" s="1">
        <v>41780</v>
      </c>
      <c r="B1610">
        <v>71.204437255859304</v>
      </c>
      <c r="C1610">
        <v>33.113437652587798</v>
      </c>
    </row>
    <row r="1611" spans="1:3">
      <c r="A1611" s="1">
        <v>41781</v>
      </c>
      <c r="B1611">
        <v>70.774398803710895</v>
      </c>
      <c r="C1611">
        <v>32.878475189208899</v>
      </c>
    </row>
    <row r="1612" spans="1:3">
      <c r="A1612" s="1">
        <v>41782</v>
      </c>
      <c r="B1612">
        <v>70.981147766113196</v>
      </c>
      <c r="C1612">
        <v>32.878475189208899</v>
      </c>
    </row>
    <row r="1613" spans="1:3">
      <c r="A1613" s="1">
        <v>41786</v>
      </c>
      <c r="B1613">
        <v>71.560035705566406</v>
      </c>
      <c r="C1613">
        <v>33.032424926757798</v>
      </c>
    </row>
    <row r="1614" spans="1:3">
      <c r="A1614" s="1">
        <v>41787</v>
      </c>
      <c r="B1614">
        <v>72.006607055664006</v>
      </c>
      <c r="C1614">
        <v>32.878475189208899</v>
      </c>
    </row>
    <row r="1615" spans="1:3">
      <c r="A1615" s="1">
        <v>41788</v>
      </c>
      <c r="B1615">
        <v>72.552429199218693</v>
      </c>
      <c r="C1615">
        <v>32.943286895751903</v>
      </c>
    </row>
    <row r="1616" spans="1:3">
      <c r="A1616" s="1">
        <v>41789</v>
      </c>
      <c r="B1616">
        <v>73.048629760742102</v>
      </c>
      <c r="C1616">
        <v>33.145851135253899</v>
      </c>
    </row>
    <row r="1617" spans="1:3">
      <c r="A1617" s="1">
        <v>41792</v>
      </c>
      <c r="B1617">
        <v>72.668212890625</v>
      </c>
      <c r="C1617">
        <v>33.105342864990199</v>
      </c>
    </row>
    <row r="1618" spans="1:3">
      <c r="A1618" s="1">
        <v>41793</v>
      </c>
      <c r="B1618">
        <v>72.957664489746094</v>
      </c>
      <c r="C1618">
        <v>33.121532440185497</v>
      </c>
    </row>
    <row r="1619" spans="1:3">
      <c r="A1619" s="1">
        <v>41794</v>
      </c>
      <c r="B1619">
        <v>72.845169067382798</v>
      </c>
      <c r="C1619">
        <v>33.048614501953097</v>
      </c>
    </row>
    <row r="1620" spans="1:3">
      <c r="A1620" s="1">
        <v>41795</v>
      </c>
      <c r="B1620">
        <v>73.120124816894503</v>
      </c>
      <c r="C1620">
        <v>33.129650115966797</v>
      </c>
    </row>
    <row r="1621" spans="1:3">
      <c r="A1621" s="1">
        <v>41796</v>
      </c>
      <c r="B1621">
        <v>73.245109558105398</v>
      </c>
      <c r="C1621">
        <v>33.210666656494098</v>
      </c>
    </row>
    <row r="1622" spans="1:3">
      <c r="A1622" s="1">
        <v>41799</v>
      </c>
      <c r="B1622">
        <v>73.320106506347599</v>
      </c>
      <c r="C1622">
        <v>33.145851135253899</v>
      </c>
    </row>
    <row r="1623" spans="1:3">
      <c r="A1623" s="1">
        <v>41800</v>
      </c>
      <c r="B1623">
        <v>73.670013427734304</v>
      </c>
      <c r="C1623">
        <v>33.275474548339801</v>
      </c>
    </row>
    <row r="1624" spans="1:3">
      <c r="A1624" s="1">
        <v>41801</v>
      </c>
      <c r="B1624">
        <v>73.136802673339801</v>
      </c>
      <c r="C1624">
        <v>33.105342864990199</v>
      </c>
    </row>
    <row r="1625" spans="1:3">
      <c r="A1625" s="1">
        <v>41802</v>
      </c>
      <c r="B1625">
        <v>72.670196533203097</v>
      </c>
      <c r="C1625">
        <v>32.995124816894503</v>
      </c>
    </row>
    <row r="1626" spans="1:3">
      <c r="A1626" s="1">
        <v>41803</v>
      </c>
      <c r="B1626">
        <v>72.645217895507798</v>
      </c>
      <c r="C1626">
        <v>32.954322814941399</v>
      </c>
    </row>
    <row r="1627" spans="1:3">
      <c r="A1627" s="1">
        <v>41806</v>
      </c>
      <c r="B1627">
        <v>72.9451904296875</v>
      </c>
      <c r="C1627">
        <v>33.1910400390625</v>
      </c>
    </row>
    <row r="1628" spans="1:3">
      <c r="A1628" s="1">
        <v>41807</v>
      </c>
      <c r="B1628">
        <v>72.720207214355398</v>
      </c>
      <c r="C1628">
        <v>33.403289794921797</v>
      </c>
    </row>
    <row r="1629" spans="1:3">
      <c r="A1629" s="1">
        <v>41808</v>
      </c>
      <c r="B1629">
        <v>74.0699462890625</v>
      </c>
      <c r="C1629">
        <v>33.925724029541001</v>
      </c>
    </row>
    <row r="1630" spans="1:3">
      <c r="A1630" s="1">
        <v>41809</v>
      </c>
      <c r="B1630">
        <v>75.069763183593693</v>
      </c>
      <c r="C1630">
        <v>34.113487243652301</v>
      </c>
    </row>
    <row r="1631" spans="1:3">
      <c r="A1631" s="1">
        <v>41810</v>
      </c>
      <c r="B1631">
        <v>74.236602783203097</v>
      </c>
      <c r="C1631">
        <v>34.031841278076101</v>
      </c>
    </row>
    <row r="1632" spans="1:3">
      <c r="A1632" s="1">
        <v>41813</v>
      </c>
      <c r="B1632">
        <v>73.645042419433594</v>
      </c>
      <c r="C1632">
        <v>34.064491271972599</v>
      </c>
    </row>
    <row r="1633" spans="1:3">
      <c r="A1633" s="1">
        <v>41814</v>
      </c>
      <c r="B1633">
        <v>73.361740112304602</v>
      </c>
      <c r="C1633">
        <v>34.162441253662102</v>
      </c>
    </row>
    <row r="1634" spans="1:3">
      <c r="A1634" s="1">
        <v>41815</v>
      </c>
      <c r="B1634">
        <v>73.803352355957003</v>
      </c>
      <c r="C1634">
        <v>34.252254486083899</v>
      </c>
    </row>
    <row r="1635" spans="1:3">
      <c r="A1635" s="1">
        <v>41816</v>
      </c>
      <c r="B1635">
        <v>73.828323364257798</v>
      </c>
      <c r="C1635">
        <v>34.3093872070312</v>
      </c>
    </row>
    <row r="1636" spans="1:3">
      <c r="A1636" s="1">
        <v>41817</v>
      </c>
      <c r="B1636">
        <v>73.953315734863196</v>
      </c>
      <c r="C1636">
        <v>34.439994812011697</v>
      </c>
    </row>
    <row r="1637" spans="1:3">
      <c r="A1637" s="1">
        <v>41820</v>
      </c>
      <c r="B1637">
        <v>74.436553955078097</v>
      </c>
      <c r="C1637">
        <v>34.578777313232401</v>
      </c>
    </row>
    <row r="1638" spans="1:3">
      <c r="A1638" s="1">
        <v>41821</v>
      </c>
      <c r="B1638">
        <v>74.261611938476506</v>
      </c>
      <c r="C1638">
        <v>34.521636962890597</v>
      </c>
    </row>
    <row r="1639" spans="1:3">
      <c r="A1639" s="1">
        <v>41822</v>
      </c>
      <c r="B1639">
        <v>74.711524963378906</v>
      </c>
      <c r="C1639">
        <v>34.521636962890597</v>
      </c>
    </row>
    <row r="1640" spans="1:3">
      <c r="A1640" s="1">
        <v>41823</v>
      </c>
      <c r="B1640">
        <v>75.003135681152301</v>
      </c>
      <c r="C1640">
        <v>34.472652435302699</v>
      </c>
    </row>
    <row r="1641" spans="1:3">
      <c r="A1641" s="1">
        <v>41827</v>
      </c>
      <c r="B1641">
        <v>74.869812011718693</v>
      </c>
      <c r="C1641">
        <v>34.399173736572202</v>
      </c>
    </row>
    <row r="1642" spans="1:3">
      <c r="A1642" s="1">
        <v>41828</v>
      </c>
      <c r="B1642">
        <v>74.761497497558594</v>
      </c>
      <c r="C1642">
        <v>34.235927581787102</v>
      </c>
    </row>
    <row r="1643" spans="1:3">
      <c r="A1643" s="1">
        <v>41829</v>
      </c>
      <c r="B1643">
        <v>74.794822692871094</v>
      </c>
      <c r="C1643">
        <v>34.244083404541001</v>
      </c>
    </row>
    <row r="1644" spans="1:3">
      <c r="A1644" s="1">
        <v>41830</v>
      </c>
      <c r="B1644">
        <v>75.069763183593693</v>
      </c>
      <c r="C1644">
        <v>34.497142791747997</v>
      </c>
    </row>
    <row r="1645" spans="1:3">
      <c r="A1645" s="1">
        <v>41831</v>
      </c>
      <c r="B1645">
        <v>74.861488342285099</v>
      </c>
      <c r="C1645">
        <v>34.260402679443303</v>
      </c>
    </row>
    <row r="1646" spans="1:3">
      <c r="A1646" s="1">
        <v>41834</v>
      </c>
      <c r="B1646">
        <v>75.886291503906193</v>
      </c>
      <c r="C1646">
        <v>34.5950927734375</v>
      </c>
    </row>
    <row r="1647" spans="1:3">
      <c r="A1647" s="1">
        <v>41835</v>
      </c>
      <c r="B1647">
        <v>75.269737243652301</v>
      </c>
      <c r="C1647">
        <v>34.366527557372997</v>
      </c>
    </row>
    <row r="1648" spans="1:3">
      <c r="A1648" s="1">
        <v>41836</v>
      </c>
      <c r="B1648">
        <v>75.403038024902301</v>
      </c>
      <c r="C1648">
        <v>34.382850646972599</v>
      </c>
    </row>
    <row r="1649" spans="1:3">
      <c r="A1649" s="1">
        <v>41837</v>
      </c>
      <c r="B1649">
        <v>74.978134155273395</v>
      </c>
      <c r="C1649">
        <v>34.30122756958</v>
      </c>
    </row>
    <row r="1650" spans="1:3">
      <c r="A1650" s="1">
        <v>41838</v>
      </c>
      <c r="B1650">
        <v>75.061431884765597</v>
      </c>
      <c r="C1650">
        <v>34.635910034179602</v>
      </c>
    </row>
    <row r="1651" spans="1:3">
      <c r="A1651" s="1">
        <v>41841</v>
      </c>
      <c r="B1651">
        <v>74.911453247070298</v>
      </c>
      <c r="C1651">
        <v>34.611431121826101</v>
      </c>
    </row>
    <row r="1652" spans="1:3">
      <c r="A1652" s="1">
        <v>41842</v>
      </c>
      <c r="B1652">
        <v>74.294898986816406</v>
      </c>
      <c r="C1652">
        <v>33.623687744140597</v>
      </c>
    </row>
    <row r="1653" spans="1:3">
      <c r="A1653" s="1">
        <v>41843</v>
      </c>
      <c r="B1653">
        <v>75.669647216796804</v>
      </c>
      <c r="C1653">
        <v>33.313503265380803</v>
      </c>
    </row>
    <row r="1654" spans="1:3">
      <c r="A1654" s="1">
        <v>41844</v>
      </c>
      <c r="B1654">
        <v>76.577842712402301</v>
      </c>
      <c r="C1654">
        <v>33.444107055663999</v>
      </c>
    </row>
    <row r="1655" spans="1:3">
      <c r="A1655" s="1">
        <v>41845</v>
      </c>
      <c r="B1655">
        <v>76.277915954589801</v>
      </c>
      <c r="C1655">
        <v>33.4685859680175</v>
      </c>
    </row>
    <row r="1656" spans="1:3">
      <c r="A1656" s="1">
        <v>41848</v>
      </c>
      <c r="B1656">
        <v>75.794654846191406</v>
      </c>
      <c r="C1656">
        <v>33.207366943359297</v>
      </c>
    </row>
    <row r="1657" spans="1:3">
      <c r="A1657" s="1">
        <v>41849</v>
      </c>
      <c r="B1657">
        <v>75.103103637695298</v>
      </c>
      <c r="C1657">
        <v>32.937980651855398</v>
      </c>
    </row>
    <row r="1658" spans="1:3">
      <c r="A1658" s="1">
        <v>41850</v>
      </c>
      <c r="B1658">
        <v>74.078285217285099</v>
      </c>
      <c r="C1658">
        <v>32.342090606689403</v>
      </c>
    </row>
    <row r="1659" spans="1:3">
      <c r="A1659" s="1">
        <v>41851</v>
      </c>
      <c r="B1659">
        <v>73.403419494628906</v>
      </c>
      <c r="C1659">
        <v>32.072715759277301</v>
      </c>
    </row>
    <row r="1660" spans="1:3">
      <c r="A1660" s="1">
        <v>41852</v>
      </c>
      <c r="B1660">
        <v>73.4117431640625</v>
      </c>
      <c r="C1660">
        <v>32.072715759277301</v>
      </c>
    </row>
    <row r="1661" spans="1:3">
      <c r="A1661" s="1">
        <v>41855</v>
      </c>
      <c r="B1661">
        <v>74.728172302246094</v>
      </c>
      <c r="C1661">
        <v>32.162509918212798</v>
      </c>
    </row>
    <row r="1662" spans="1:3">
      <c r="A1662" s="1">
        <v>41856</v>
      </c>
      <c r="B1662">
        <v>74.319908142089801</v>
      </c>
      <c r="C1662">
        <v>31.982921600341701</v>
      </c>
    </row>
    <row r="1663" spans="1:3">
      <c r="A1663" s="1">
        <v>41857</v>
      </c>
      <c r="B1663">
        <v>75.411399841308594</v>
      </c>
      <c r="C1663">
        <v>32.586982727050703</v>
      </c>
    </row>
    <row r="1664" spans="1:3">
      <c r="A1664" s="1">
        <v>41858</v>
      </c>
      <c r="B1664">
        <v>74.903160095214801</v>
      </c>
      <c r="C1664">
        <v>32.121681213378899</v>
      </c>
    </row>
    <row r="1665" spans="1:3">
      <c r="A1665" s="1">
        <v>41859</v>
      </c>
      <c r="B1665">
        <v>75.228080749511705</v>
      </c>
      <c r="C1665">
        <v>32.203327178955</v>
      </c>
    </row>
    <row r="1666" spans="1:3">
      <c r="A1666" s="1">
        <v>41862</v>
      </c>
      <c r="B1666">
        <v>76.477867126464801</v>
      </c>
      <c r="C1666">
        <v>32.301261901855398</v>
      </c>
    </row>
    <row r="1667" spans="1:3">
      <c r="A1667" s="1">
        <v>41863</v>
      </c>
      <c r="B1667">
        <v>75.994606018066406</v>
      </c>
      <c r="C1667">
        <v>32.391063690185497</v>
      </c>
    </row>
    <row r="1668" spans="1:3">
      <c r="A1668" s="1">
        <v>41864</v>
      </c>
      <c r="B1668">
        <v>76.436195373535099</v>
      </c>
      <c r="C1668">
        <v>32.603294372558501</v>
      </c>
    </row>
    <row r="1669" spans="1:3">
      <c r="A1669" s="1">
        <v>41865</v>
      </c>
      <c r="B1669">
        <v>76.477867126464801</v>
      </c>
      <c r="C1669">
        <v>32.799224853515597</v>
      </c>
    </row>
    <row r="1670" spans="1:3">
      <c r="A1670" s="1">
        <v>41866</v>
      </c>
      <c r="B1670">
        <v>76.527839660644503</v>
      </c>
      <c r="C1670">
        <v>33.370628356933501</v>
      </c>
    </row>
    <row r="1671" spans="1:3">
      <c r="A1671" s="1">
        <v>41869</v>
      </c>
      <c r="B1671">
        <v>76.777816772460895</v>
      </c>
      <c r="C1671">
        <v>33.754295349121001</v>
      </c>
    </row>
    <row r="1672" spans="1:3">
      <c r="A1672" s="1">
        <v>41870</v>
      </c>
      <c r="B1672">
        <v>76.536186218261705</v>
      </c>
      <c r="C1672">
        <v>33.680828094482401</v>
      </c>
    </row>
    <row r="1673" spans="1:3">
      <c r="A1673" s="1">
        <v>41871</v>
      </c>
      <c r="B1673">
        <v>76.844467163085895</v>
      </c>
      <c r="C1673">
        <v>33.672672271728501</v>
      </c>
    </row>
    <row r="1674" spans="1:3">
      <c r="A1674" s="1">
        <v>41872</v>
      </c>
      <c r="B1674">
        <v>76.694465637207003</v>
      </c>
      <c r="C1674">
        <v>33.803279876708899</v>
      </c>
    </row>
    <row r="1675" spans="1:3">
      <c r="A1675" s="1">
        <v>41873</v>
      </c>
      <c r="B1675">
        <v>76.319541931152301</v>
      </c>
      <c r="C1675">
        <v>33.566543579101499</v>
      </c>
    </row>
    <row r="1676" spans="1:3">
      <c r="A1676" s="1">
        <v>41876</v>
      </c>
      <c r="B1676">
        <v>77.644317626953097</v>
      </c>
      <c r="C1676">
        <v>33.803279876708899</v>
      </c>
    </row>
    <row r="1677" spans="1:3">
      <c r="A1677" s="1">
        <v>41877</v>
      </c>
      <c r="B1677">
        <v>77.152732849121094</v>
      </c>
      <c r="C1677">
        <v>33.9583740234375</v>
      </c>
    </row>
    <row r="1678" spans="1:3">
      <c r="A1678" s="1">
        <v>41878</v>
      </c>
      <c r="B1678">
        <v>76.844467163085895</v>
      </c>
      <c r="C1678">
        <v>33.9583740234375</v>
      </c>
    </row>
    <row r="1679" spans="1:3">
      <c r="A1679" s="1">
        <v>41879</v>
      </c>
      <c r="B1679">
        <v>77.136085510253906</v>
      </c>
      <c r="C1679">
        <v>33.982872009277301</v>
      </c>
    </row>
    <row r="1680" spans="1:3">
      <c r="A1680" s="1">
        <v>41880</v>
      </c>
      <c r="B1680">
        <v>77.061065673828097</v>
      </c>
      <c r="C1680">
        <v>34.056343078613203</v>
      </c>
    </row>
    <row r="1681" spans="1:3">
      <c r="A1681" s="1">
        <v>41884</v>
      </c>
      <c r="B1681">
        <v>77.052757263183594</v>
      </c>
      <c r="C1681">
        <v>33.991031646728501</v>
      </c>
    </row>
    <row r="1682" spans="1:3">
      <c r="A1682" s="1">
        <v>41885</v>
      </c>
      <c r="B1682">
        <v>77.828941345214801</v>
      </c>
      <c r="C1682">
        <v>34.105308532714801</v>
      </c>
    </row>
    <row r="1683" spans="1:3">
      <c r="A1683" s="1">
        <v>41886</v>
      </c>
      <c r="B1683">
        <v>77.073722839355398</v>
      </c>
      <c r="C1683">
        <v>34.1787719726562</v>
      </c>
    </row>
    <row r="1684" spans="1:3">
      <c r="A1684" s="1">
        <v>41887</v>
      </c>
      <c r="B1684">
        <v>76.989807128906193</v>
      </c>
      <c r="C1684">
        <v>34.154293060302699</v>
      </c>
    </row>
    <row r="1685" spans="1:3">
      <c r="A1685" s="1">
        <v>41890</v>
      </c>
      <c r="B1685">
        <v>77.082130432128906</v>
      </c>
      <c r="C1685">
        <v>34.105308532714801</v>
      </c>
    </row>
    <row r="1686" spans="1:3">
      <c r="A1686" s="1">
        <v>41891</v>
      </c>
      <c r="B1686">
        <v>76.712898254394503</v>
      </c>
      <c r="C1686">
        <v>34.235927581787102</v>
      </c>
    </row>
    <row r="1687" spans="1:3">
      <c r="A1687" s="1">
        <v>41892</v>
      </c>
      <c r="B1687">
        <v>77.023391723632798</v>
      </c>
      <c r="C1687">
        <v>34.423671722412102</v>
      </c>
    </row>
    <row r="1688" spans="1:3">
      <c r="A1688" s="1">
        <v>41893</v>
      </c>
      <c r="B1688">
        <v>76.905899047851506</v>
      </c>
      <c r="C1688">
        <v>34.493560791015597</v>
      </c>
    </row>
    <row r="1689" spans="1:3">
      <c r="A1689" s="1">
        <v>41894</v>
      </c>
      <c r="B1689">
        <v>76.251396179199205</v>
      </c>
      <c r="C1689">
        <v>34.0906562805175</v>
      </c>
    </row>
    <row r="1690" spans="1:3">
      <c r="A1690" s="1">
        <v>41897</v>
      </c>
      <c r="B1690">
        <v>76.528312683105398</v>
      </c>
      <c r="C1690">
        <v>34.123550415038999</v>
      </c>
    </row>
    <row r="1691" spans="1:3">
      <c r="A1691" s="1">
        <v>41898</v>
      </c>
      <c r="B1691">
        <v>77.677902221679602</v>
      </c>
      <c r="C1691">
        <v>34.238670349121001</v>
      </c>
    </row>
    <row r="1692" spans="1:3">
      <c r="A1692" s="1">
        <v>41899</v>
      </c>
      <c r="B1692">
        <v>77.912849426269503</v>
      </c>
      <c r="C1692">
        <v>34.213996887207003</v>
      </c>
    </row>
    <row r="1693" spans="1:3">
      <c r="A1693" s="1">
        <v>41900</v>
      </c>
      <c r="B1693">
        <v>78.349212646484304</v>
      </c>
      <c r="C1693">
        <v>34.362014770507798</v>
      </c>
    </row>
    <row r="1694" spans="1:3">
      <c r="A1694" s="1">
        <v>41901</v>
      </c>
      <c r="B1694">
        <v>78.701644897460895</v>
      </c>
      <c r="C1694">
        <v>34.575794219970703</v>
      </c>
    </row>
    <row r="1695" spans="1:3">
      <c r="A1695" s="1">
        <v>41904</v>
      </c>
      <c r="B1695">
        <v>78.525421142578097</v>
      </c>
      <c r="C1695">
        <v>34.715568542480398</v>
      </c>
    </row>
    <row r="1696" spans="1:3">
      <c r="A1696" s="1">
        <v>41905</v>
      </c>
      <c r="B1696">
        <v>77.979995727539006</v>
      </c>
      <c r="C1696">
        <v>34.4442329406738</v>
      </c>
    </row>
    <row r="1697" spans="1:3">
      <c r="A1697" s="1">
        <v>41906</v>
      </c>
      <c r="B1697">
        <v>78.458297729492102</v>
      </c>
      <c r="C1697">
        <v>34.756694793701101</v>
      </c>
    </row>
    <row r="1698" spans="1:3">
      <c r="A1698" s="1">
        <v>41907</v>
      </c>
      <c r="B1698">
        <v>77.761810302734304</v>
      </c>
      <c r="C1698">
        <v>34.353782653808501</v>
      </c>
    </row>
    <row r="1699" spans="1:3">
      <c r="A1699" s="1">
        <v>41908</v>
      </c>
      <c r="B1699">
        <v>78.147819519042898</v>
      </c>
      <c r="C1699">
        <v>34.699127197265597</v>
      </c>
    </row>
    <row r="1700" spans="1:3">
      <c r="A1700" s="1">
        <v>41911</v>
      </c>
      <c r="B1700">
        <v>78.164596557617102</v>
      </c>
      <c r="C1700">
        <v>34.740242004394503</v>
      </c>
    </row>
    <row r="1701" spans="1:3">
      <c r="A1701" s="1">
        <v>41912</v>
      </c>
      <c r="B1701">
        <v>78.1142578125</v>
      </c>
      <c r="C1701">
        <v>35.077365875244098</v>
      </c>
    </row>
    <row r="1702" spans="1:3">
      <c r="A1702" s="1">
        <v>41913</v>
      </c>
      <c r="B1702">
        <v>77.745056152343693</v>
      </c>
      <c r="C1702">
        <v>35.143138885497997</v>
      </c>
    </row>
    <row r="1703" spans="1:3">
      <c r="A1703" s="1">
        <v>41914</v>
      </c>
      <c r="B1703">
        <v>77.686309814453097</v>
      </c>
      <c r="C1703">
        <v>35.077365875244098</v>
      </c>
    </row>
    <row r="1704" spans="1:3">
      <c r="A1704" s="1">
        <v>41915</v>
      </c>
      <c r="B1704">
        <v>78.458297729492102</v>
      </c>
      <c r="C1704">
        <v>35.356929779052699</v>
      </c>
    </row>
    <row r="1705" spans="1:3">
      <c r="A1705" s="1">
        <v>41918</v>
      </c>
      <c r="B1705">
        <v>78.349212646484304</v>
      </c>
      <c r="C1705">
        <v>35.8502807617187</v>
      </c>
    </row>
    <row r="1706" spans="1:3">
      <c r="A1706" s="1">
        <v>41919</v>
      </c>
      <c r="B1706">
        <v>78.122642517089801</v>
      </c>
      <c r="C1706">
        <v>36.113407135009702</v>
      </c>
    </row>
    <row r="1707" spans="1:3">
      <c r="A1707" s="1">
        <v>41920</v>
      </c>
      <c r="B1707">
        <v>78.827507019042898</v>
      </c>
      <c r="C1707">
        <v>36.631423950195298</v>
      </c>
    </row>
    <row r="1708" spans="1:3">
      <c r="A1708" s="1">
        <v>41921</v>
      </c>
      <c r="B1708">
        <v>78.517051696777301</v>
      </c>
      <c r="C1708">
        <v>36.072296142578097</v>
      </c>
    </row>
    <row r="1709" spans="1:3">
      <c r="A1709" s="1">
        <v>41922</v>
      </c>
      <c r="B1709">
        <v>79.423301696777301</v>
      </c>
      <c r="C1709">
        <v>36.565639495849602</v>
      </c>
    </row>
    <row r="1710" spans="1:3">
      <c r="A1710" s="1">
        <v>41925</v>
      </c>
      <c r="B1710">
        <v>78.827507019042898</v>
      </c>
      <c r="C1710">
        <v>36.236743927001903</v>
      </c>
    </row>
    <row r="1711" spans="1:3">
      <c r="A1711" s="1">
        <v>41926</v>
      </c>
      <c r="B1711">
        <v>78.047126770019503</v>
      </c>
      <c r="C1711">
        <v>35.883174896240199</v>
      </c>
    </row>
    <row r="1712" spans="1:3">
      <c r="A1712" s="1">
        <v>41927</v>
      </c>
      <c r="B1712">
        <v>77.006599426269503</v>
      </c>
      <c r="C1712">
        <v>35.546051025390597</v>
      </c>
    </row>
    <row r="1713" spans="1:3">
      <c r="A1713" s="1">
        <v>41928</v>
      </c>
      <c r="B1713">
        <v>76.184249877929602</v>
      </c>
      <c r="C1713">
        <v>34.995143890380803</v>
      </c>
    </row>
    <row r="1714" spans="1:3">
      <c r="A1714" s="1">
        <v>41929</v>
      </c>
      <c r="B1714">
        <v>76.788444519042898</v>
      </c>
      <c r="C1714">
        <v>35.258255004882798</v>
      </c>
    </row>
    <row r="1715" spans="1:3">
      <c r="A1715" s="1">
        <v>41932</v>
      </c>
      <c r="B1715">
        <v>78.500251770019503</v>
      </c>
      <c r="C1715">
        <v>35.595390319824197</v>
      </c>
    </row>
    <row r="1716" spans="1:3">
      <c r="A1716" s="1">
        <v>41933</v>
      </c>
      <c r="B1716">
        <v>78.651290893554602</v>
      </c>
      <c r="C1716">
        <v>33.4492988586425</v>
      </c>
    </row>
    <row r="1717" spans="1:3">
      <c r="A1717" s="1">
        <v>41934</v>
      </c>
      <c r="B1717">
        <v>79.263847351074205</v>
      </c>
      <c r="C1717">
        <v>33.3999633789062</v>
      </c>
    </row>
    <row r="1718" spans="1:3">
      <c r="A1718" s="1">
        <v>41935</v>
      </c>
      <c r="B1718">
        <v>78.676483154296804</v>
      </c>
      <c r="C1718">
        <v>33.597312927246001</v>
      </c>
    </row>
    <row r="1719" spans="1:3">
      <c r="A1719" s="1">
        <v>41936</v>
      </c>
      <c r="B1719">
        <v>79.381332397460895</v>
      </c>
      <c r="C1719">
        <v>33.737094879150298</v>
      </c>
    </row>
    <row r="1720" spans="1:3">
      <c r="A1720" s="1">
        <v>41939</v>
      </c>
      <c r="B1720">
        <v>79.398109436035099</v>
      </c>
      <c r="C1720">
        <v>33.515083312988203</v>
      </c>
    </row>
    <row r="1721" spans="1:3">
      <c r="A1721" s="1">
        <v>41940</v>
      </c>
      <c r="B1721">
        <v>79.935165405273395</v>
      </c>
      <c r="C1721">
        <v>33.350639343261697</v>
      </c>
    </row>
    <row r="1722" spans="1:3">
      <c r="A1722" s="1">
        <v>41941</v>
      </c>
      <c r="B1722">
        <v>79.456871032714801</v>
      </c>
      <c r="C1722">
        <v>33.679531097412102</v>
      </c>
    </row>
    <row r="1723" spans="1:3">
      <c r="A1723" s="1">
        <v>41942</v>
      </c>
      <c r="B1723">
        <v>80.262413024902301</v>
      </c>
      <c r="C1723">
        <v>34.041324615478501</v>
      </c>
    </row>
    <row r="1724" spans="1:3">
      <c r="A1724" s="1">
        <v>41943</v>
      </c>
      <c r="B1724">
        <v>80.698760986328097</v>
      </c>
      <c r="C1724">
        <v>34.436008453369098</v>
      </c>
    </row>
    <row r="1725" spans="1:3">
      <c r="A1725" s="1">
        <v>41946</v>
      </c>
      <c r="B1725">
        <v>80.413459777832003</v>
      </c>
      <c r="C1725">
        <v>34.378440856933501</v>
      </c>
    </row>
    <row r="1726" spans="1:3">
      <c r="A1726" s="1">
        <v>41947</v>
      </c>
      <c r="B1726">
        <v>81.168670654296804</v>
      </c>
      <c r="C1726">
        <v>34.386669158935497</v>
      </c>
    </row>
    <row r="1727" spans="1:3">
      <c r="A1727" s="1">
        <v>41948</v>
      </c>
      <c r="B1727">
        <v>81.302932739257798</v>
      </c>
      <c r="C1727">
        <v>34.789581298828097</v>
      </c>
    </row>
    <row r="1728" spans="1:3">
      <c r="A1728" s="1">
        <v>41949</v>
      </c>
      <c r="B1728">
        <v>81.235801696777301</v>
      </c>
      <c r="C1728">
        <v>34.7731323242187</v>
      </c>
    </row>
    <row r="1729" spans="1:3">
      <c r="A1729" s="1">
        <v>41950</v>
      </c>
      <c r="B1729">
        <v>81.227401733398395</v>
      </c>
      <c r="C1729">
        <v>34.797794342041001</v>
      </c>
    </row>
    <row r="1730" spans="1:3">
      <c r="A1730" s="1">
        <v>41953</v>
      </c>
      <c r="B1730">
        <v>81.370048522949205</v>
      </c>
      <c r="C1730">
        <v>34.8553466796875</v>
      </c>
    </row>
    <row r="1731" spans="1:3">
      <c r="A1731" s="1">
        <v>41954</v>
      </c>
      <c r="B1731">
        <v>81.143486022949205</v>
      </c>
      <c r="C1731">
        <v>34.954021453857401</v>
      </c>
    </row>
    <row r="1732" spans="1:3">
      <c r="A1732" s="1">
        <v>41955</v>
      </c>
      <c r="B1732">
        <v>81.529495239257798</v>
      </c>
      <c r="C1732">
        <v>35.118480682372997</v>
      </c>
    </row>
    <row r="1733" spans="1:3">
      <c r="A1733" s="1">
        <v>41956</v>
      </c>
      <c r="B1733">
        <v>82.6875</v>
      </c>
      <c r="C1733">
        <v>35.184257507324197</v>
      </c>
    </row>
    <row r="1734" spans="1:3">
      <c r="A1734" s="1">
        <v>41957</v>
      </c>
      <c r="B1734">
        <v>81.999397277832003</v>
      </c>
      <c r="C1734">
        <v>35.134925842285099</v>
      </c>
    </row>
    <row r="1735" spans="1:3">
      <c r="A1735" s="1">
        <v>41960</v>
      </c>
      <c r="B1735">
        <v>82.5867919921875</v>
      </c>
      <c r="C1735">
        <v>35.291145324707003</v>
      </c>
    </row>
    <row r="1736" spans="1:3">
      <c r="A1736" s="1">
        <v>41961</v>
      </c>
      <c r="B1736">
        <v>82.184013366699205</v>
      </c>
      <c r="C1736">
        <v>35.792724609375</v>
      </c>
    </row>
    <row r="1737" spans="1:3">
      <c r="A1737" s="1">
        <v>41962</v>
      </c>
      <c r="B1737">
        <v>82.578422546386705</v>
      </c>
      <c r="C1737">
        <v>36.360065460205</v>
      </c>
    </row>
    <row r="1738" spans="1:3">
      <c r="A1738" s="1">
        <v>41963</v>
      </c>
      <c r="B1738">
        <v>82.284690856933594</v>
      </c>
      <c r="C1738">
        <v>36.384746551513601</v>
      </c>
    </row>
    <row r="1739" spans="1:3">
      <c r="A1739" s="1">
        <v>41964</v>
      </c>
      <c r="B1739">
        <v>82.981178283691406</v>
      </c>
      <c r="C1739">
        <v>36.590309143066399</v>
      </c>
    </row>
    <row r="1740" spans="1:3">
      <c r="A1740" s="1">
        <v>41967</v>
      </c>
      <c r="B1740">
        <v>82.804962158203097</v>
      </c>
      <c r="C1740">
        <v>36.401187896728501</v>
      </c>
    </row>
    <row r="1741" spans="1:3">
      <c r="A1741" s="1">
        <v>41968</v>
      </c>
      <c r="B1741">
        <v>83.014747619628906</v>
      </c>
      <c r="C1741">
        <v>36.532756805419901</v>
      </c>
    </row>
    <row r="1742" spans="1:3">
      <c r="A1742" s="1">
        <v>41969</v>
      </c>
      <c r="B1742">
        <v>83.367179870605398</v>
      </c>
      <c r="C1742">
        <v>36.669361114501903</v>
      </c>
    </row>
    <row r="1743" spans="1:3">
      <c r="A1743" s="1">
        <v>41971</v>
      </c>
      <c r="B1743">
        <v>83.996528625488196</v>
      </c>
      <c r="C1743">
        <v>37.116443634033203</v>
      </c>
    </row>
    <row r="1744" spans="1:3">
      <c r="A1744" s="1">
        <v>41974</v>
      </c>
      <c r="B1744">
        <v>83.635711669921804</v>
      </c>
      <c r="C1744">
        <v>36.884632110595703</v>
      </c>
    </row>
    <row r="1745" spans="1:3">
      <c r="A1745" s="1">
        <v>41975</v>
      </c>
      <c r="B1745">
        <v>84.239875793457003</v>
      </c>
      <c r="C1745">
        <v>36.876350402832003</v>
      </c>
    </row>
    <row r="1746" spans="1:3">
      <c r="A1746" s="1">
        <v>41976</v>
      </c>
      <c r="B1746">
        <v>83.044708251953097</v>
      </c>
      <c r="C1746">
        <v>36.263671875</v>
      </c>
    </row>
    <row r="1747" spans="1:3">
      <c r="A1747" s="1">
        <v>41977</v>
      </c>
      <c r="B1747">
        <v>82.563285827636705</v>
      </c>
      <c r="C1747">
        <v>36.015289306640597</v>
      </c>
    </row>
    <row r="1748" spans="1:3">
      <c r="A1748" s="1">
        <v>41978</v>
      </c>
      <c r="B1748">
        <v>82.571723937988196</v>
      </c>
      <c r="C1748">
        <v>36.040130615234297</v>
      </c>
    </row>
    <row r="1749" spans="1:3">
      <c r="A1749" s="1">
        <v>41981</v>
      </c>
      <c r="B1749">
        <v>82.588607788085895</v>
      </c>
      <c r="C1749">
        <v>35.717239379882798</v>
      </c>
    </row>
    <row r="1750" spans="1:3">
      <c r="A1750" s="1">
        <v>41982</v>
      </c>
      <c r="B1750">
        <v>82.039581298828097</v>
      </c>
      <c r="C1750">
        <v>34.806499481201101</v>
      </c>
    </row>
    <row r="1751" spans="1:3">
      <c r="A1751" s="1">
        <v>41983</v>
      </c>
      <c r="B1751">
        <v>81.237190246582003</v>
      </c>
      <c r="C1751">
        <v>34.442203521728501</v>
      </c>
    </row>
    <row r="1752" spans="1:3">
      <c r="A1752" s="1">
        <v>41984</v>
      </c>
      <c r="B1752">
        <v>81.330116271972599</v>
      </c>
      <c r="C1752">
        <v>34.384254455566399</v>
      </c>
    </row>
    <row r="1753" spans="1:3">
      <c r="A1753" s="1">
        <v>41985</v>
      </c>
      <c r="B1753">
        <v>80.020896911621094</v>
      </c>
      <c r="C1753">
        <v>33.870937347412102</v>
      </c>
    </row>
    <row r="1754" spans="1:3">
      <c r="A1754" s="1">
        <v>41988</v>
      </c>
      <c r="B1754">
        <v>79.514122009277301</v>
      </c>
      <c r="C1754">
        <v>33.589427947997997</v>
      </c>
    </row>
    <row r="1755" spans="1:3">
      <c r="A1755" s="1">
        <v>41989</v>
      </c>
      <c r="B1755">
        <v>78.204940795898395</v>
      </c>
      <c r="C1755">
        <v>33.440402984619098</v>
      </c>
    </row>
    <row r="1756" spans="1:3">
      <c r="A1756" s="1">
        <v>41990</v>
      </c>
      <c r="B1756">
        <v>79.159378051757798</v>
      </c>
      <c r="C1756">
        <v>34.4008178710937</v>
      </c>
    </row>
    <row r="1757" spans="1:3">
      <c r="A1757" s="1">
        <v>41991</v>
      </c>
      <c r="B1757">
        <v>80.544586181640597</v>
      </c>
      <c r="C1757">
        <v>35.0962715148925</v>
      </c>
    </row>
    <row r="1758" spans="1:3">
      <c r="A1758" s="1">
        <v>41992</v>
      </c>
      <c r="B1758">
        <v>80.612159729003906</v>
      </c>
      <c r="C1758">
        <v>34.731979370117102</v>
      </c>
    </row>
    <row r="1759" spans="1:3">
      <c r="A1759" s="1">
        <v>41995</v>
      </c>
      <c r="B1759">
        <v>81.608840942382798</v>
      </c>
      <c r="C1759">
        <v>35.063156127929602</v>
      </c>
    </row>
    <row r="1760" spans="1:3">
      <c r="A1760" s="1">
        <v>41996</v>
      </c>
      <c r="B1760">
        <v>82.233848571777301</v>
      </c>
      <c r="C1760">
        <v>35.576484680175703</v>
      </c>
    </row>
    <row r="1761" spans="1:3">
      <c r="A1761" s="1">
        <v>41997</v>
      </c>
      <c r="B1761">
        <v>82.005813598632798</v>
      </c>
      <c r="C1761">
        <v>35.551647186279297</v>
      </c>
    </row>
    <row r="1762" spans="1:3">
      <c r="A1762" s="1">
        <v>41999</v>
      </c>
      <c r="B1762">
        <v>81.972015380859304</v>
      </c>
      <c r="C1762">
        <v>35.568210601806598</v>
      </c>
    </row>
    <row r="1763" spans="1:3">
      <c r="A1763" s="1">
        <v>42002</v>
      </c>
      <c r="B1763">
        <v>81.701751708984304</v>
      </c>
      <c r="C1763">
        <v>35.485416412353501</v>
      </c>
    </row>
    <row r="1764" spans="1:3">
      <c r="A1764" s="1">
        <v>42003</v>
      </c>
      <c r="B1764">
        <v>81.051368713378906</v>
      </c>
      <c r="C1764">
        <v>35.402614593505803</v>
      </c>
    </row>
    <row r="1765" spans="1:3">
      <c r="A1765" s="1">
        <v>42004</v>
      </c>
      <c r="B1765">
        <v>79.868881225585895</v>
      </c>
      <c r="C1765">
        <v>34.955535888671797</v>
      </c>
    </row>
    <row r="1766" spans="1:3">
      <c r="A1766" s="1">
        <v>42006</v>
      </c>
      <c r="B1766">
        <v>79.767539978027301</v>
      </c>
      <c r="C1766">
        <v>34.889289855957003</v>
      </c>
    </row>
    <row r="1767" spans="1:3">
      <c r="A1767" s="1">
        <v>42009</v>
      </c>
      <c r="B1767">
        <v>79.167823791503906</v>
      </c>
      <c r="C1767">
        <v>34.889289855957003</v>
      </c>
    </row>
    <row r="1768" spans="1:3">
      <c r="A1768" s="1">
        <v>42010</v>
      </c>
      <c r="B1768">
        <v>78.568138122558594</v>
      </c>
      <c r="C1768">
        <v>35.154239654541001</v>
      </c>
    </row>
    <row r="1769" spans="1:3">
      <c r="A1769" s="1">
        <v>42011</v>
      </c>
      <c r="B1769">
        <v>80.865531921386705</v>
      </c>
      <c r="C1769">
        <v>35.593044281005803</v>
      </c>
    </row>
    <row r="1770" spans="1:3">
      <c r="A1770" s="1">
        <v>42012</v>
      </c>
      <c r="B1770">
        <v>82.335235595703097</v>
      </c>
      <c r="C1770">
        <v>36.023567199707003</v>
      </c>
    </row>
    <row r="1771" spans="1:3">
      <c r="A1771" s="1">
        <v>42013</v>
      </c>
      <c r="B1771">
        <v>81.777770996093693</v>
      </c>
      <c r="C1771">
        <v>35.626155853271399</v>
      </c>
    </row>
    <row r="1772" spans="1:3">
      <c r="A1772" s="1">
        <v>42016</v>
      </c>
      <c r="B1772">
        <v>81.439895629882798</v>
      </c>
      <c r="C1772">
        <v>35.303260803222599</v>
      </c>
    </row>
    <row r="1773" spans="1:3">
      <c r="A1773" s="1">
        <v>42017</v>
      </c>
      <c r="B1773">
        <v>81.380783081054602</v>
      </c>
      <c r="C1773">
        <v>35.294994354247997</v>
      </c>
    </row>
    <row r="1774" spans="1:3">
      <c r="A1774" s="1">
        <v>42018</v>
      </c>
      <c r="B1774">
        <v>81.651069641113196</v>
      </c>
      <c r="C1774">
        <v>35.237022399902301</v>
      </c>
    </row>
    <row r="1775" spans="1:3">
      <c r="A1775" s="1">
        <v>42019</v>
      </c>
      <c r="B1775">
        <v>81.651069641113196</v>
      </c>
      <c r="C1775">
        <v>35.088001251220703</v>
      </c>
    </row>
    <row r="1776" spans="1:3">
      <c r="A1776" s="1">
        <v>42020</v>
      </c>
      <c r="B1776">
        <v>82.174720764160099</v>
      </c>
      <c r="C1776">
        <v>35.212192535400298</v>
      </c>
    </row>
    <row r="1777" spans="1:3">
      <c r="A1777" s="1">
        <v>42024</v>
      </c>
      <c r="B1777">
        <v>82.360557556152301</v>
      </c>
      <c r="C1777">
        <v>35.733795166015597</v>
      </c>
    </row>
    <row r="1778" spans="1:3">
      <c r="A1778" s="1">
        <v>42025</v>
      </c>
      <c r="B1778">
        <v>82.267639160156193</v>
      </c>
      <c r="C1778">
        <v>35.899379730224602</v>
      </c>
    </row>
    <row r="1779" spans="1:3">
      <c r="A1779" s="1">
        <v>42026</v>
      </c>
      <c r="B1779">
        <v>83.534599304199205</v>
      </c>
      <c r="C1779">
        <v>36.247123718261697</v>
      </c>
    </row>
    <row r="1780" spans="1:3">
      <c r="A1780" s="1">
        <v>42027</v>
      </c>
      <c r="B1780">
        <v>83.222084045410099</v>
      </c>
      <c r="C1780">
        <v>35.857978820800703</v>
      </c>
    </row>
    <row r="1781" spans="1:3">
      <c r="A1781" s="1">
        <v>42030</v>
      </c>
      <c r="B1781">
        <v>83.357238769531193</v>
      </c>
      <c r="C1781">
        <v>35.601325988769503</v>
      </c>
    </row>
    <row r="1782" spans="1:3">
      <c r="A1782" s="1">
        <v>42031</v>
      </c>
      <c r="B1782">
        <v>81.693275451660099</v>
      </c>
      <c r="C1782">
        <v>35.0962715148925</v>
      </c>
    </row>
    <row r="1783" spans="1:3">
      <c r="A1783" s="1">
        <v>42032</v>
      </c>
      <c r="B1783">
        <v>80.848648071289006</v>
      </c>
      <c r="C1783">
        <v>34.707141876220703</v>
      </c>
    </row>
    <row r="1784" spans="1:3">
      <c r="A1784" s="1">
        <v>42033</v>
      </c>
      <c r="B1784">
        <v>81.110488891601506</v>
      </c>
      <c r="C1784">
        <v>34.856178283691399</v>
      </c>
    </row>
    <row r="1785" spans="1:3">
      <c r="A1785" s="1">
        <v>42034</v>
      </c>
      <c r="B1785">
        <v>79.210052490234304</v>
      </c>
      <c r="C1785">
        <v>34.086196899413999</v>
      </c>
    </row>
    <row r="1786" spans="1:3">
      <c r="A1786" s="1">
        <v>42037</v>
      </c>
      <c r="B1786">
        <v>80.519241333007798</v>
      </c>
      <c r="C1786">
        <v>34.433925628662102</v>
      </c>
    </row>
    <row r="1787" spans="1:3">
      <c r="A1787" s="1">
        <v>42038</v>
      </c>
      <c r="B1787">
        <v>81.254066467285099</v>
      </c>
      <c r="C1787">
        <v>34.467056274413999</v>
      </c>
    </row>
    <row r="1788" spans="1:3">
      <c r="A1788" s="1">
        <v>42039</v>
      </c>
      <c r="B1788">
        <v>81.591934204101506</v>
      </c>
      <c r="C1788">
        <v>34.508449554443303</v>
      </c>
    </row>
    <row r="1789" spans="1:3">
      <c r="A1789" s="1">
        <v>42040</v>
      </c>
      <c r="B1789">
        <v>81.600379943847599</v>
      </c>
      <c r="C1789">
        <v>34.599525451660099</v>
      </c>
    </row>
    <row r="1790" spans="1:3">
      <c r="A1790" s="1">
        <v>42041</v>
      </c>
      <c r="B1790">
        <v>81.684844970703097</v>
      </c>
      <c r="C1790">
        <v>34.3180122375488</v>
      </c>
    </row>
    <row r="1791" spans="1:3">
      <c r="A1791" s="1">
        <v>42044</v>
      </c>
      <c r="B1791">
        <v>81.059822082519503</v>
      </c>
      <c r="C1791">
        <v>34.135879516601499</v>
      </c>
    </row>
    <row r="1792" spans="1:3">
      <c r="A1792" s="1">
        <v>42045</v>
      </c>
      <c r="B1792">
        <v>82.765960693359304</v>
      </c>
      <c r="C1792">
        <v>35.104560852050703</v>
      </c>
    </row>
    <row r="1793" spans="1:3">
      <c r="A1793" s="1">
        <v>42046</v>
      </c>
      <c r="B1793">
        <v>84.801559448242102</v>
      </c>
      <c r="C1793">
        <v>35.079719543457003</v>
      </c>
    </row>
    <row r="1794" spans="1:3">
      <c r="A1794" s="1">
        <v>42047</v>
      </c>
      <c r="B1794">
        <v>84.691757202148395</v>
      </c>
      <c r="C1794">
        <v>34.914134979247997</v>
      </c>
    </row>
    <row r="1795" spans="1:3">
      <c r="A1795" s="1">
        <v>42048</v>
      </c>
      <c r="B1795">
        <v>83.728858947753906</v>
      </c>
      <c r="C1795">
        <v>34.765113830566399</v>
      </c>
    </row>
    <row r="1796" spans="1:3">
      <c r="A1796" s="1">
        <v>42052</v>
      </c>
      <c r="B1796">
        <v>83.0784912109375</v>
      </c>
      <c r="C1796">
        <v>34.616073608398402</v>
      </c>
    </row>
    <row r="1797" spans="1:3">
      <c r="A1797" s="1">
        <v>42053</v>
      </c>
      <c r="B1797">
        <v>83.897804260253906</v>
      </c>
      <c r="C1797">
        <v>34.549842834472599</v>
      </c>
    </row>
    <row r="1798" spans="1:3">
      <c r="A1798" s="1">
        <v>42054</v>
      </c>
      <c r="B1798">
        <v>83.382560729980398</v>
      </c>
      <c r="C1798">
        <v>34.864459991455</v>
      </c>
    </row>
    <row r="1799" spans="1:3">
      <c r="A1799" s="1">
        <v>42055</v>
      </c>
      <c r="B1799">
        <v>83.669738769531193</v>
      </c>
      <c r="C1799">
        <v>34.748546600341797</v>
      </c>
    </row>
    <row r="1800" spans="1:3">
      <c r="A1800" s="1">
        <v>42058</v>
      </c>
      <c r="B1800">
        <v>83.999122619628906</v>
      </c>
      <c r="C1800">
        <v>34.649185180663999</v>
      </c>
    </row>
    <row r="1801" spans="1:3">
      <c r="A1801" s="1">
        <v>42059</v>
      </c>
      <c r="B1801">
        <v>84.108963012695298</v>
      </c>
      <c r="C1801">
        <v>34.881023406982401</v>
      </c>
    </row>
    <row r="1802" spans="1:3">
      <c r="A1802" s="1">
        <v>42060</v>
      </c>
      <c r="B1802">
        <v>84.041374206542898</v>
      </c>
      <c r="C1802">
        <v>34.814788818359297</v>
      </c>
    </row>
    <row r="1803" spans="1:3">
      <c r="A1803" s="1">
        <v>42061</v>
      </c>
      <c r="B1803">
        <v>83.678192138671804</v>
      </c>
      <c r="C1803">
        <v>35.154239654541001</v>
      </c>
    </row>
    <row r="1804" spans="1:3">
      <c r="A1804" s="1">
        <v>42062</v>
      </c>
      <c r="B1804">
        <v>83.6021728515625</v>
      </c>
      <c r="C1804">
        <v>35.849704742431598</v>
      </c>
    </row>
    <row r="1805" spans="1:3">
      <c r="A1805" s="1">
        <v>42065</v>
      </c>
      <c r="B1805">
        <v>83.619056701660099</v>
      </c>
      <c r="C1805">
        <v>35.766918182372997</v>
      </c>
    </row>
    <row r="1806" spans="1:3">
      <c r="A1806" s="1">
        <v>42066</v>
      </c>
      <c r="B1806">
        <v>83.112289428710895</v>
      </c>
      <c r="C1806">
        <v>35.559925079345703</v>
      </c>
    </row>
    <row r="1807" spans="1:3">
      <c r="A1807" s="1">
        <v>42067</v>
      </c>
      <c r="B1807">
        <v>82.784912109375</v>
      </c>
      <c r="C1807">
        <v>35.187351226806598</v>
      </c>
    </row>
    <row r="1808" spans="1:3">
      <c r="A1808" s="1">
        <v>42068</v>
      </c>
      <c r="B1808">
        <v>82.674400329589801</v>
      </c>
      <c r="C1808">
        <v>35.104560852050703</v>
      </c>
    </row>
    <row r="1809" spans="1:3">
      <c r="A1809" s="1">
        <v>42069</v>
      </c>
      <c r="B1809">
        <v>81.773063659667898</v>
      </c>
      <c r="C1809">
        <v>34.375972747802699</v>
      </c>
    </row>
    <row r="1810" spans="1:3">
      <c r="A1810" s="1">
        <v>42072</v>
      </c>
      <c r="B1810">
        <v>81.662536621093693</v>
      </c>
      <c r="C1810">
        <v>34.268348693847599</v>
      </c>
    </row>
    <row r="1811" spans="1:3">
      <c r="A1811" s="1">
        <v>42073</v>
      </c>
      <c r="B1811">
        <v>80.293556213378906</v>
      </c>
      <c r="C1811">
        <v>33.688789367675703</v>
      </c>
    </row>
    <row r="1812" spans="1:3">
      <c r="A1812" s="1">
        <v>42074</v>
      </c>
      <c r="B1812">
        <v>79.613311767578097</v>
      </c>
      <c r="C1812">
        <v>33.200302124023402</v>
      </c>
    </row>
    <row r="1813" spans="1:3">
      <c r="A1813" s="1">
        <v>42075</v>
      </c>
      <c r="B1813">
        <v>81.381935119628906</v>
      </c>
      <c r="C1813">
        <v>33.868144989013601</v>
      </c>
    </row>
    <row r="1814" spans="1:3">
      <c r="A1814" s="1">
        <v>42076</v>
      </c>
      <c r="B1814">
        <v>80.200027465820298</v>
      </c>
      <c r="C1814">
        <v>33.317180633544901</v>
      </c>
    </row>
    <row r="1815" spans="1:3">
      <c r="A1815" s="1">
        <v>42079</v>
      </c>
      <c r="B1815">
        <v>81.160835266113196</v>
      </c>
      <c r="C1815">
        <v>33.634410858154297</v>
      </c>
    </row>
    <row r="1816" spans="1:3">
      <c r="A1816" s="1">
        <v>42080</v>
      </c>
      <c r="B1816">
        <v>80.038467407226506</v>
      </c>
      <c r="C1816">
        <v>33.818065643310497</v>
      </c>
    </row>
    <row r="1817" spans="1:3">
      <c r="A1817" s="1">
        <v>42081</v>
      </c>
      <c r="B1817">
        <v>80.472099304199205</v>
      </c>
      <c r="C1817">
        <v>33.893196105957003</v>
      </c>
    </row>
    <row r="1818" spans="1:3">
      <c r="A1818" s="1">
        <v>42082</v>
      </c>
      <c r="B1818">
        <v>80.012947082519503</v>
      </c>
      <c r="C1818">
        <v>33.409004211425703</v>
      </c>
    </row>
    <row r="1819" spans="1:3">
      <c r="A1819" s="1">
        <v>42083</v>
      </c>
      <c r="B1819">
        <v>81.067314147949205</v>
      </c>
      <c r="C1819">
        <v>33.934940338134702</v>
      </c>
    </row>
    <row r="1820" spans="1:3">
      <c r="A1820" s="1">
        <v>42086</v>
      </c>
      <c r="B1820">
        <v>81.5009765625</v>
      </c>
      <c r="C1820">
        <v>33.909885406494098</v>
      </c>
    </row>
    <row r="1821" spans="1:3">
      <c r="A1821" s="1">
        <v>42087</v>
      </c>
      <c r="B1821">
        <v>81.509475708007798</v>
      </c>
      <c r="C1821">
        <v>33.784671783447202</v>
      </c>
    </row>
    <row r="1822" spans="1:3">
      <c r="A1822" s="1">
        <v>42088</v>
      </c>
      <c r="B1822">
        <v>80.999298095703097</v>
      </c>
      <c r="C1822">
        <v>33.767978668212798</v>
      </c>
    </row>
    <row r="1823" spans="1:3">
      <c r="A1823" s="1">
        <v>42089</v>
      </c>
      <c r="B1823">
        <v>81.313919067382798</v>
      </c>
      <c r="C1823">
        <v>33.684494018554602</v>
      </c>
    </row>
    <row r="1824" spans="1:3">
      <c r="A1824" s="1">
        <v>42090</v>
      </c>
      <c r="B1824">
        <v>81.585998535156193</v>
      </c>
      <c r="C1824">
        <v>33.459091186523402</v>
      </c>
    </row>
    <row r="1825" spans="1:3">
      <c r="A1825" s="1">
        <v>42093</v>
      </c>
      <c r="B1825">
        <v>82.070663452148395</v>
      </c>
      <c r="C1825">
        <v>33.818065643310497</v>
      </c>
    </row>
    <row r="1826" spans="1:3">
      <c r="A1826" s="1">
        <v>42094</v>
      </c>
      <c r="B1826">
        <v>81.305404663085895</v>
      </c>
      <c r="C1826">
        <v>33.851451873779297</v>
      </c>
    </row>
    <row r="1827" spans="1:3">
      <c r="A1827" s="1">
        <v>42095</v>
      </c>
      <c r="B1827">
        <v>80.854736328125</v>
      </c>
      <c r="C1827">
        <v>33.959987640380803</v>
      </c>
    </row>
    <row r="1828" spans="1:3">
      <c r="A1828" s="1">
        <v>42096</v>
      </c>
      <c r="B1828">
        <v>81.364921569824205</v>
      </c>
      <c r="C1828">
        <v>33.959987640380803</v>
      </c>
    </row>
    <row r="1829" spans="1:3">
      <c r="A1829" s="1">
        <v>42100</v>
      </c>
      <c r="B1829">
        <v>82.036651611328097</v>
      </c>
      <c r="C1829">
        <v>34.3690376281738</v>
      </c>
    </row>
    <row r="1830" spans="1:3">
      <c r="A1830" s="1">
        <v>42101</v>
      </c>
      <c r="B1830">
        <v>81.807083129882798</v>
      </c>
      <c r="C1830">
        <v>34.235458374023402</v>
      </c>
    </row>
    <row r="1831" spans="1:3">
      <c r="A1831" s="1">
        <v>42102</v>
      </c>
      <c r="B1831">
        <v>81.654022216796804</v>
      </c>
      <c r="C1831">
        <v>34.135288238525298</v>
      </c>
    </row>
    <row r="1832" spans="1:3">
      <c r="A1832" s="1">
        <v>42103</v>
      </c>
      <c r="B1832">
        <v>81.926124572753906</v>
      </c>
      <c r="C1832">
        <v>34.268856048583899</v>
      </c>
    </row>
    <row r="1833" spans="1:3">
      <c r="A1833" s="1">
        <v>42104</v>
      </c>
      <c r="B1833">
        <v>81.798561096191406</v>
      </c>
      <c r="C1833">
        <v>34.126934051513601</v>
      </c>
    </row>
    <row r="1834" spans="1:3">
      <c r="A1834" s="1">
        <v>42107</v>
      </c>
      <c r="B1834">
        <v>81.228858947753906</v>
      </c>
      <c r="C1834">
        <v>33.976673126220703</v>
      </c>
    </row>
    <row r="1835" spans="1:3">
      <c r="A1835" s="1">
        <v>42108</v>
      </c>
      <c r="B1835">
        <v>82.045143127441406</v>
      </c>
      <c r="C1835">
        <v>33.818065643310497</v>
      </c>
    </row>
    <row r="1836" spans="1:3">
      <c r="A1836" s="1">
        <v>42109</v>
      </c>
      <c r="B1836">
        <v>82.164192199707003</v>
      </c>
      <c r="C1836">
        <v>33.726234436035099</v>
      </c>
    </row>
    <row r="1837" spans="1:3">
      <c r="A1837" s="1">
        <v>42110</v>
      </c>
      <c r="B1837">
        <v>82.011146545410099</v>
      </c>
      <c r="C1837">
        <v>33.893196105957003</v>
      </c>
    </row>
    <row r="1838" spans="1:3">
      <c r="A1838" s="1">
        <v>42111</v>
      </c>
      <c r="B1838">
        <v>81.466972351074205</v>
      </c>
      <c r="C1838">
        <v>33.642753601074197</v>
      </c>
    </row>
    <row r="1839" spans="1:3">
      <c r="A1839" s="1">
        <v>42114</v>
      </c>
      <c r="B1839">
        <v>82.053665161132798</v>
      </c>
      <c r="C1839">
        <v>33.943283081054602</v>
      </c>
    </row>
    <row r="1840" spans="1:3">
      <c r="A1840" s="1">
        <v>42115</v>
      </c>
      <c r="B1840">
        <v>82.291740417480398</v>
      </c>
      <c r="C1840">
        <v>34.043449401855398</v>
      </c>
    </row>
    <row r="1841" spans="1:3">
      <c r="A1841" s="1">
        <v>42116</v>
      </c>
      <c r="B1841">
        <v>82.716896057128906</v>
      </c>
      <c r="C1841">
        <v>34.4859008789062</v>
      </c>
    </row>
    <row r="1842" spans="1:3">
      <c r="A1842" s="1">
        <v>42117</v>
      </c>
      <c r="B1842">
        <v>81.398941040039006</v>
      </c>
      <c r="C1842">
        <v>34.1853828430175</v>
      </c>
    </row>
    <row r="1843" spans="1:3">
      <c r="A1843" s="1">
        <v>42118</v>
      </c>
      <c r="B1843">
        <v>80.922760009765597</v>
      </c>
      <c r="C1843">
        <v>34.135288238525298</v>
      </c>
    </row>
    <row r="1844" spans="1:3">
      <c r="A1844" s="1">
        <v>42121</v>
      </c>
      <c r="B1844">
        <v>80.344573974609304</v>
      </c>
      <c r="C1844">
        <v>34.085208892822202</v>
      </c>
    </row>
    <row r="1845" spans="1:3">
      <c r="A1845" s="1">
        <v>42122</v>
      </c>
      <c r="B1845">
        <v>80.2850341796875</v>
      </c>
      <c r="C1845">
        <v>34.035110473632798</v>
      </c>
    </row>
    <row r="1846" spans="1:3">
      <c r="A1846" s="1">
        <v>42123</v>
      </c>
      <c r="B1846">
        <v>80.251014709472599</v>
      </c>
      <c r="C1846">
        <v>33.801368713378899</v>
      </c>
    </row>
    <row r="1847" spans="1:3">
      <c r="A1847" s="1">
        <v>42124</v>
      </c>
      <c r="B1847">
        <v>80.880256652832003</v>
      </c>
      <c r="C1847">
        <v>33.8598022460937</v>
      </c>
    </row>
    <row r="1848" spans="1:3">
      <c r="A1848" s="1">
        <v>42125</v>
      </c>
      <c r="B1848">
        <v>81.254379272460895</v>
      </c>
      <c r="C1848">
        <v>34.151985168457003</v>
      </c>
    </row>
    <row r="1849" spans="1:3">
      <c r="A1849" s="1">
        <v>42128</v>
      </c>
      <c r="B1849">
        <v>81.585998535156193</v>
      </c>
      <c r="C1849">
        <v>34.1937255859375</v>
      </c>
    </row>
    <row r="1850" spans="1:3">
      <c r="A1850" s="1">
        <v>42129</v>
      </c>
      <c r="B1850">
        <v>81.135353088378906</v>
      </c>
      <c r="C1850">
        <v>34.018424987792898</v>
      </c>
    </row>
    <row r="1851" spans="1:3">
      <c r="A1851" s="1">
        <v>42130</v>
      </c>
      <c r="B1851">
        <v>81.186370849609304</v>
      </c>
      <c r="C1851">
        <v>33.943283081054602</v>
      </c>
    </row>
    <row r="1852" spans="1:3">
      <c r="A1852" s="1">
        <v>42131</v>
      </c>
      <c r="B1852">
        <v>80.90576171875</v>
      </c>
      <c r="C1852">
        <v>33.976673126220703</v>
      </c>
    </row>
    <row r="1853" spans="1:3">
      <c r="A1853" s="1">
        <v>42132</v>
      </c>
      <c r="B1853">
        <v>82.096199035644503</v>
      </c>
      <c r="C1853">
        <v>34.210422515869098</v>
      </c>
    </row>
    <row r="1854" spans="1:3">
      <c r="A1854" s="1">
        <v>42135</v>
      </c>
      <c r="B1854">
        <v>81.926124572753906</v>
      </c>
      <c r="C1854">
        <v>34.177024841308501</v>
      </c>
    </row>
    <row r="1855" spans="1:3">
      <c r="A1855" s="1">
        <v>42136</v>
      </c>
      <c r="B1855">
        <v>81.798561096191406</v>
      </c>
      <c r="C1855">
        <v>33.9683227539062</v>
      </c>
    </row>
    <row r="1856" spans="1:3">
      <c r="A1856" s="1">
        <v>42137</v>
      </c>
      <c r="B1856">
        <v>81.977134704589801</v>
      </c>
      <c r="C1856">
        <v>34.268856048583899</v>
      </c>
    </row>
    <row r="1857" spans="1:3">
      <c r="A1857" s="1">
        <v>42138</v>
      </c>
      <c r="B1857">
        <v>83.329116821289006</v>
      </c>
      <c r="C1857">
        <v>34.644512176513601</v>
      </c>
    </row>
    <row r="1858" spans="1:3">
      <c r="A1858" s="1">
        <v>42139</v>
      </c>
      <c r="B1858">
        <v>83.516181945800696</v>
      </c>
      <c r="C1858">
        <v>34.661216735839801</v>
      </c>
    </row>
    <row r="1859" spans="1:3">
      <c r="A1859" s="1">
        <v>42142</v>
      </c>
      <c r="B1859">
        <v>83.371627807617102</v>
      </c>
      <c r="C1859">
        <v>34.494243621826101</v>
      </c>
    </row>
    <row r="1860" spans="1:3">
      <c r="A1860" s="1">
        <v>42143</v>
      </c>
      <c r="B1860">
        <v>83.286598205566406</v>
      </c>
      <c r="C1860">
        <v>34.4859008789062</v>
      </c>
    </row>
    <row r="1861" spans="1:3">
      <c r="A1861" s="1">
        <v>42144</v>
      </c>
      <c r="B1861">
        <v>83.065528869628906</v>
      </c>
      <c r="C1861">
        <v>34.519294738769503</v>
      </c>
    </row>
    <row r="1862" spans="1:3">
      <c r="A1862" s="1">
        <v>42145</v>
      </c>
      <c r="B1862">
        <v>82.648880004882798</v>
      </c>
      <c r="C1862">
        <v>34.419120788574197</v>
      </c>
    </row>
    <row r="1863" spans="1:3">
      <c r="A1863" s="1">
        <v>42146</v>
      </c>
      <c r="B1863">
        <v>81.849586486816406</v>
      </c>
      <c r="C1863">
        <v>34.402427673339801</v>
      </c>
    </row>
    <row r="1864" spans="1:3">
      <c r="A1864" s="1">
        <v>42150</v>
      </c>
      <c r="B1864">
        <v>81.449966430664006</v>
      </c>
      <c r="C1864">
        <v>34.218772888183501</v>
      </c>
    </row>
    <row r="1865" spans="1:3">
      <c r="A1865" s="1">
        <v>42151</v>
      </c>
      <c r="B1865">
        <v>81.951644897460895</v>
      </c>
      <c r="C1865">
        <v>34.3272895812988</v>
      </c>
    </row>
    <row r="1866" spans="1:3">
      <c r="A1866" s="1">
        <v>42152</v>
      </c>
      <c r="B1866">
        <v>82.529830932617102</v>
      </c>
      <c r="C1866">
        <v>34.343986511230398</v>
      </c>
    </row>
    <row r="1867" spans="1:3">
      <c r="A1867" s="1">
        <v>42153</v>
      </c>
      <c r="B1867">
        <v>81.994140625</v>
      </c>
      <c r="C1867">
        <v>34.1937255859375</v>
      </c>
    </row>
    <row r="1868" spans="1:3">
      <c r="A1868" s="1">
        <v>42156</v>
      </c>
      <c r="B1868">
        <v>81.602996826171804</v>
      </c>
      <c r="C1868">
        <v>34.177024841308501</v>
      </c>
    </row>
    <row r="1869" spans="1:3">
      <c r="A1869" s="1">
        <v>42157</v>
      </c>
      <c r="B1869">
        <v>81.671028137207003</v>
      </c>
      <c r="C1869">
        <v>34.218772888183501</v>
      </c>
    </row>
    <row r="1870" spans="1:3">
      <c r="A1870" s="1">
        <v>42158</v>
      </c>
      <c r="B1870">
        <v>81.630752563476506</v>
      </c>
      <c r="C1870">
        <v>34.118598937988203</v>
      </c>
    </row>
    <row r="1871" spans="1:3">
      <c r="A1871" s="1">
        <v>42159</v>
      </c>
      <c r="B1871">
        <v>80.637145996093693</v>
      </c>
      <c r="C1871">
        <v>33.884841918945298</v>
      </c>
    </row>
    <row r="1872" spans="1:3">
      <c r="A1872" s="1">
        <v>42160</v>
      </c>
      <c r="B1872">
        <v>79.703514099121094</v>
      </c>
      <c r="C1872">
        <v>33.475791931152301</v>
      </c>
    </row>
    <row r="1873" spans="1:3">
      <c r="A1873" s="1">
        <v>42163</v>
      </c>
      <c r="B1873">
        <v>79.523612976074205</v>
      </c>
      <c r="C1873">
        <v>33.525875091552699</v>
      </c>
    </row>
    <row r="1874" spans="1:3">
      <c r="A1874" s="1">
        <v>42164</v>
      </c>
      <c r="B1874">
        <v>79.720634460449205</v>
      </c>
      <c r="C1874">
        <v>33.559276580810497</v>
      </c>
    </row>
    <row r="1875" spans="1:3">
      <c r="A1875" s="1">
        <v>42165</v>
      </c>
      <c r="B1875">
        <v>80.251693725585895</v>
      </c>
      <c r="C1875">
        <v>33.667800903320298</v>
      </c>
    </row>
    <row r="1876" spans="1:3">
      <c r="A1876" s="1">
        <v>42166</v>
      </c>
      <c r="B1876">
        <v>80.594322204589801</v>
      </c>
      <c r="C1876">
        <v>33.751956939697202</v>
      </c>
    </row>
    <row r="1877" spans="1:3">
      <c r="A1877" s="1">
        <v>42167</v>
      </c>
      <c r="B1877">
        <v>80.294540405273395</v>
      </c>
      <c r="C1877">
        <v>33.634120941162102</v>
      </c>
    </row>
    <row r="1878" spans="1:3">
      <c r="A1878" s="1">
        <v>42170</v>
      </c>
      <c r="B1878">
        <v>79.352317810058594</v>
      </c>
      <c r="C1878">
        <v>33.322708129882798</v>
      </c>
    </row>
    <row r="1879" spans="1:3">
      <c r="A1879" s="1">
        <v>42171</v>
      </c>
      <c r="B1879">
        <v>80.131782531738196</v>
      </c>
      <c r="C1879">
        <v>33.735137939453097</v>
      </c>
    </row>
    <row r="1880" spans="1:3">
      <c r="A1880" s="1">
        <v>42172</v>
      </c>
      <c r="B1880">
        <v>80.560073852539006</v>
      </c>
      <c r="C1880">
        <v>33.895057678222599</v>
      </c>
    </row>
    <row r="1881" spans="1:3">
      <c r="A1881" s="1">
        <v>42173</v>
      </c>
      <c r="B1881">
        <v>81.570831298828097</v>
      </c>
      <c r="C1881">
        <v>34.214893341064403</v>
      </c>
    </row>
    <row r="1882" spans="1:3">
      <c r="A1882" s="1">
        <v>42174</v>
      </c>
      <c r="B1882">
        <v>81.253868103027301</v>
      </c>
      <c r="C1882">
        <v>34.004489898681598</v>
      </c>
    </row>
    <row r="1883" spans="1:3">
      <c r="A1883" s="1">
        <v>42177</v>
      </c>
      <c r="B1883">
        <v>81.887748718261705</v>
      </c>
      <c r="C1883">
        <v>34.071811676025298</v>
      </c>
    </row>
    <row r="1884" spans="1:3">
      <c r="A1884" s="1">
        <v>42178</v>
      </c>
      <c r="B1884">
        <v>81.887748718261705</v>
      </c>
      <c r="C1884">
        <v>33.987636566162102</v>
      </c>
    </row>
    <row r="1885" spans="1:3">
      <c r="A1885" s="1">
        <v>42179</v>
      </c>
      <c r="B1885">
        <v>81.622200012207003</v>
      </c>
      <c r="C1885">
        <v>33.8277168273925</v>
      </c>
    </row>
    <row r="1886" spans="1:3">
      <c r="A1886" s="1">
        <v>42180</v>
      </c>
      <c r="B1886">
        <v>81.228187561035099</v>
      </c>
      <c r="C1886">
        <v>33.684623718261697</v>
      </c>
    </row>
    <row r="1887" spans="1:3">
      <c r="A1887" s="1">
        <v>42181</v>
      </c>
      <c r="B1887">
        <v>81.296714782714801</v>
      </c>
      <c r="C1887">
        <v>33.667797088622997</v>
      </c>
    </row>
    <row r="1888" spans="1:3">
      <c r="A1888" s="1">
        <v>42184</v>
      </c>
      <c r="B1888">
        <v>80.251693725585895</v>
      </c>
      <c r="C1888">
        <v>33.162773132324197</v>
      </c>
    </row>
    <row r="1889" spans="1:3">
      <c r="A1889" s="1">
        <v>42185</v>
      </c>
      <c r="B1889">
        <v>79.951904296875</v>
      </c>
      <c r="C1889">
        <v>33.019695281982401</v>
      </c>
    </row>
    <row r="1890" spans="1:3">
      <c r="A1890" s="1">
        <v>42186</v>
      </c>
      <c r="B1890">
        <v>80.962646484375</v>
      </c>
      <c r="C1890">
        <v>33.2469482421875</v>
      </c>
    </row>
    <row r="1891" spans="1:3">
      <c r="A1891" s="1">
        <v>42187</v>
      </c>
      <c r="B1891">
        <v>81.082580566406193</v>
      </c>
      <c r="C1891">
        <v>33.238536834716797</v>
      </c>
    </row>
    <row r="1892" spans="1:3">
      <c r="A1892" s="1">
        <v>42191</v>
      </c>
      <c r="B1892">
        <v>80.859870910644503</v>
      </c>
      <c r="C1892">
        <v>33.179611206054602</v>
      </c>
    </row>
    <row r="1893" spans="1:3">
      <c r="A1893" s="1">
        <v>42192</v>
      </c>
      <c r="B1893">
        <v>82.572998046875</v>
      </c>
      <c r="C1893">
        <v>33.878215789794901</v>
      </c>
    </row>
    <row r="1894" spans="1:3">
      <c r="A1894" s="1">
        <v>42193</v>
      </c>
      <c r="B1894">
        <v>81.896301269531193</v>
      </c>
      <c r="C1894">
        <v>33.549957275390597</v>
      </c>
    </row>
    <row r="1895" spans="1:3">
      <c r="A1895" s="1">
        <v>42194</v>
      </c>
      <c r="B1895">
        <v>81.022598266601506</v>
      </c>
      <c r="C1895">
        <v>33.600460052490199</v>
      </c>
    </row>
    <row r="1896" spans="1:3">
      <c r="A1896" s="1">
        <v>42195</v>
      </c>
      <c r="B1896">
        <v>81.844902038574205</v>
      </c>
      <c r="C1896">
        <v>33.996055603027301</v>
      </c>
    </row>
    <row r="1897" spans="1:3">
      <c r="A1897" s="1">
        <v>42198</v>
      </c>
      <c r="B1897">
        <v>83.275390625</v>
      </c>
      <c r="C1897">
        <v>34.223316192626903</v>
      </c>
    </row>
    <row r="1898" spans="1:3">
      <c r="A1898" s="1">
        <v>42199</v>
      </c>
      <c r="B1898">
        <v>83.198280334472599</v>
      </c>
      <c r="C1898">
        <v>34.652576446533203</v>
      </c>
    </row>
    <row r="1899" spans="1:3">
      <c r="A1899" s="1">
        <v>42200</v>
      </c>
      <c r="B1899">
        <v>82.530166625976506</v>
      </c>
      <c r="C1899">
        <v>34.618907928466797</v>
      </c>
    </row>
    <row r="1900" spans="1:3">
      <c r="A1900" s="1">
        <v>42201</v>
      </c>
      <c r="B1900">
        <v>83.001289367675696</v>
      </c>
      <c r="C1900">
        <v>34.913497924804602</v>
      </c>
    </row>
    <row r="1901" spans="1:3">
      <c r="A1901" s="1">
        <v>42202</v>
      </c>
      <c r="B1901">
        <v>82.898483276367102</v>
      </c>
      <c r="C1901">
        <v>34.719917297363203</v>
      </c>
    </row>
    <row r="1902" spans="1:3">
      <c r="A1902" s="1">
        <v>42205</v>
      </c>
      <c r="B1902">
        <v>83.352478027343693</v>
      </c>
      <c r="C1902">
        <v>34.829334259033203</v>
      </c>
    </row>
    <row r="1903" spans="1:3">
      <c r="A1903" s="1">
        <v>42206</v>
      </c>
      <c r="B1903">
        <v>83.026969909667898</v>
      </c>
      <c r="C1903">
        <v>34.669414520263601</v>
      </c>
    </row>
    <row r="1904" spans="1:3">
      <c r="A1904" s="1">
        <v>42207</v>
      </c>
      <c r="B1904">
        <v>83.232536315917898</v>
      </c>
      <c r="C1904">
        <v>34.425319671630803</v>
      </c>
    </row>
    <row r="1905" spans="1:3">
      <c r="A1905" s="1">
        <v>42208</v>
      </c>
      <c r="B1905">
        <v>82.9755859375</v>
      </c>
      <c r="C1905">
        <v>34.374820709228501</v>
      </c>
    </row>
    <row r="1906" spans="1:3">
      <c r="A1906" s="1">
        <v>42209</v>
      </c>
      <c r="B1906">
        <v>82.384552001953097</v>
      </c>
      <c r="C1906">
        <v>34.038135528564403</v>
      </c>
    </row>
    <row r="1907" spans="1:3">
      <c r="A1907" s="1">
        <v>42212</v>
      </c>
      <c r="B1907">
        <v>81.939117431640597</v>
      </c>
      <c r="C1907">
        <v>34.122314453125</v>
      </c>
    </row>
    <row r="1908" spans="1:3">
      <c r="A1908" s="1">
        <v>42213</v>
      </c>
      <c r="B1908">
        <v>82.3245849609375</v>
      </c>
      <c r="C1908">
        <v>34.130733489990199</v>
      </c>
    </row>
    <row r="1909" spans="1:3">
      <c r="A1909" s="1">
        <v>42214</v>
      </c>
      <c r="B1909">
        <v>82.684356689453097</v>
      </c>
      <c r="C1909">
        <v>34.164394378662102</v>
      </c>
    </row>
    <row r="1910" spans="1:3">
      <c r="A1910" s="1">
        <v>42215</v>
      </c>
      <c r="B1910">
        <v>82.769996643066406</v>
      </c>
      <c r="C1910">
        <v>34.139152526855398</v>
      </c>
    </row>
    <row r="1911" spans="1:3">
      <c r="A1911" s="1">
        <v>42216</v>
      </c>
      <c r="B1911">
        <v>82.530166625976506</v>
      </c>
      <c r="C1911">
        <v>34.576824188232401</v>
      </c>
    </row>
    <row r="1912" spans="1:3">
      <c r="A1912" s="1">
        <v>42219</v>
      </c>
      <c r="B1912">
        <v>83.472389221191406</v>
      </c>
      <c r="C1912">
        <v>34.9640083312988</v>
      </c>
    </row>
    <row r="1913" spans="1:3">
      <c r="A1913" s="1">
        <v>42220</v>
      </c>
      <c r="B1913">
        <v>83.780769348144503</v>
      </c>
      <c r="C1913">
        <v>35.2249336242675</v>
      </c>
    </row>
    <row r="1914" spans="1:3">
      <c r="A1914" s="1">
        <v>42221</v>
      </c>
      <c r="B1914">
        <v>84.962821960449205</v>
      </c>
      <c r="C1914">
        <v>35.452175140380803</v>
      </c>
    </row>
    <row r="1915" spans="1:3">
      <c r="A1915" s="1">
        <v>42222</v>
      </c>
      <c r="B1915">
        <v>84.928565979003906</v>
      </c>
      <c r="C1915">
        <v>35.283843994140597</v>
      </c>
    </row>
    <row r="1916" spans="1:3">
      <c r="A1916" s="1">
        <v>42223</v>
      </c>
      <c r="B1916">
        <v>84.8857421875</v>
      </c>
      <c r="C1916">
        <v>35.157600402832003</v>
      </c>
    </row>
    <row r="1917" spans="1:3">
      <c r="A1917" s="1">
        <v>42226</v>
      </c>
      <c r="B1917">
        <v>84.877143859863196</v>
      </c>
      <c r="C1917">
        <v>35.081840515136697</v>
      </c>
    </row>
    <row r="1918" spans="1:3">
      <c r="A1918" s="1">
        <v>42227</v>
      </c>
      <c r="B1918">
        <v>84.474586486816406</v>
      </c>
      <c r="C1918">
        <v>34.913497924804602</v>
      </c>
    </row>
    <row r="1919" spans="1:3">
      <c r="A1919" s="1">
        <v>42228</v>
      </c>
      <c r="B1919">
        <v>84.268989562988196</v>
      </c>
      <c r="C1919">
        <v>34.728324890136697</v>
      </c>
    </row>
    <row r="1920" spans="1:3">
      <c r="A1920" s="1">
        <v>42229</v>
      </c>
      <c r="B1920">
        <v>84.620193481445298</v>
      </c>
      <c r="C1920">
        <v>34.593666076660099</v>
      </c>
    </row>
    <row r="1921" spans="1:3">
      <c r="A1921" s="1">
        <v>42230</v>
      </c>
      <c r="B1921">
        <v>84.997077941894503</v>
      </c>
      <c r="C1921">
        <v>34.719917297363203</v>
      </c>
    </row>
    <row r="1922" spans="1:3">
      <c r="A1922" s="1">
        <v>42233</v>
      </c>
      <c r="B1922">
        <v>85.536712646484304</v>
      </c>
      <c r="C1922">
        <v>34.804088592529297</v>
      </c>
    </row>
    <row r="1923" spans="1:3">
      <c r="A1923" s="1">
        <v>42234</v>
      </c>
      <c r="B1923">
        <v>85.459617614746094</v>
      </c>
      <c r="C1923">
        <v>34.761997222900298</v>
      </c>
    </row>
    <row r="1924" spans="1:3">
      <c r="A1924" s="1">
        <v>42235</v>
      </c>
      <c r="B1924">
        <v>84.791496276855398</v>
      </c>
      <c r="C1924">
        <v>34.324310302734297</v>
      </c>
    </row>
    <row r="1925" spans="1:3">
      <c r="A1925" s="1">
        <v>42236</v>
      </c>
      <c r="B1925">
        <v>83.926361083984304</v>
      </c>
      <c r="C1925">
        <v>34.130733489990199</v>
      </c>
    </row>
    <row r="1926" spans="1:3">
      <c r="A1926" s="1">
        <v>42237</v>
      </c>
      <c r="B1926">
        <v>82.444503784179602</v>
      </c>
      <c r="C1926">
        <v>33.272193908691399</v>
      </c>
    </row>
    <row r="1927" spans="1:3">
      <c r="A1927" s="1">
        <v>42240</v>
      </c>
      <c r="B1927">
        <v>78.658493041992102</v>
      </c>
      <c r="C1927">
        <v>32.304252624511697</v>
      </c>
    </row>
    <row r="1928" spans="1:3">
      <c r="A1928" s="1">
        <v>42241</v>
      </c>
      <c r="B1928">
        <v>76.782600402832003</v>
      </c>
      <c r="C1928">
        <v>31.975994110107401</v>
      </c>
    </row>
    <row r="1929" spans="1:3">
      <c r="A1929" s="1">
        <v>42242</v>
      </c>
      <c r="B1929">
        <v>79.223808288574205</v>
      </c>
      <c r="C1929">
        <v>32.598834991455</v>
      </c>
    </row>
    <row r="1930" spans="1:3">
      <c r="A1930" s="1">
        <v>42243</v>
      </c>
      <c r="B1930">
        <v>80.174606323242102</v>
      </c>
      <c r="C1930">
        <v>33.053352355957003</v>
      </c>
    </row>
    <row r="1931" spans="1:3">
      <c r="A1931" s="1">
        <v>42244</v>
      </c>
      <c r="B1931">
        <v>80.114662170410099</v>
      </c>
      <c r="C1931">
        <v>33.204864501953097</v>
      </c>
    </row>
    <row r="1932" spans="1:3">
      <c r="A1932" s="1">
        <v>42247</v>
      </c>
      <c r="B1932">
        <v>79.600723266601506</v>
      </c>
      <c r="C1932">
        <v>33.095436096191399</v>
      </c>
    </row>
    <row r="1933" spans="1:3">
      <c r="A1933" s="1">
        <v>42248</v>
      </c>
      <c r="B1933">
        <v>78.230209350585895</v>
      </c>
      <c r="C1933">
        <v>32.615684509277301</v>
      </c>
    </row>
    <row r="1934" spans="1:3">
      <c r="A1934" s="1">
        <v>42249</v>
      </c>
      <c r="B1934">
        <v>79.104629516601506</v>
      </c>
      <c r="C1934">
        <v>32.741931915283203</v>
      </c>
    </row>
    <row r="1935" spans="1:3">
      <c r="A1935" s="1">
        <v>42250</v>
      </c>
      <c r="B1935">
        <v>79.527610778808594</v>
      </c>
      <c r="C1935">
        <v>32.9607734680175</v>
      </c>
    </row>
    <row r="1936" spans="1:3">
      <c r="A1936" s="1">
        <v>42251</v>
      </c>
      <c r="B1936">
        <v>78.483131408691406</v>
      </c>
      <c r="C1936">
        <v>32.422088623046797</v>
      </c>
    </row>
    <row r="1937" spans="1:3">
      <c r="A1937" s="1">
        <v>42255</v>
      </c>
      <c r="B1937">
        <v>79.734794616699205</v>
      </c>
      <c r="C1937">
        <v>32.741931915283203</v>
      </c>
    </row>
    <row r="1938" spans="1:3">
      <c r="A1938" s="1">
        <v>42256</v>
      </c>
      <c r="B1938">
        <v>78.405426025390597</v>
      </c>
      <c r="C1938">
        <v>32.236904144287102</v>
      </c>
    </row>
    <row r="1939" spans="1:3">
      <c r="A1939" s="1">
        <v>42257</v>
      </c>
      <c r="B1939">
        <v>78.603965759277301</v>
      </c>
      <c r="C1939">
        <v>32.3379096984863</v>
      </c>
    </row>
    <row r="1940" spans="1:3">
      <c r="A1940" s="1">
        <v>42258</v>
      </c>
      <c r="B1940">
        <v>79.087356567382798</v>
      </c>
      <c r="C1940">
        <v>32.371879577636697</v>
      </c>
    </row>
    <row r="1941" spans="1:3">
      <c r="A1941" s="1">
        <v>42261</v>
      </c>
      <c r="B1941">
        <v>78.724822998046804</v>
      </c>
      <c r="C1941">
        <v>32.346405029296797</v>
      </c>
    </row>
    <row r="1942" spans="1:3">
      <c r="A1942" s="1">
        <v>42262</v>
      </c>
      <c r="B1942">
        <v>79.467170715332003</v>
      </c>
      <c r="C1942">
        <v>32.685997009277301</v>
      </c>
    </row>
    <row r="1943" spans="1:3">
      <c r="A1943" s="1">
        <v>42263</v>
      </c>
      <c r="B1943">
        <v>80.339050292968693</v>
      </c>
      <c r="C1943">
        <v>33.237850189208899</v>
      </c>
    </row>
    <row r="1944" spans="1:3">
      <c r="A1944" s="1">
        <v>42264</v>
      </c>
      <c r="B1944">
        <v>80.597999572753906</v>
      </c>
      <c r="C1944">
        <v>33.433109283447202</v>
      </c>
    </row>
    <row r="1945" spans="1:3">
      <c r="A1945" s="1">
        <v>42265</v>
      </c>
      <c r="B1945">
        <v>80.321762084960895</v>
      </c>
      <c r="C1945">
        <v>33.093513488769503</v>
      </c>
    </row>
    <row r="1946" spans="1:3">
      <c r="A1946" s="1">
        <v>42268</v>
      </c>
      <c r="B1946">
        <v>80.891464233398395</v>
      </c>
      <c r="C1946">
        <v>33.271800994872997</v>
      </c>
    </row>
    <row r="1947" spans="1:3">
      <c r="A1947" s="1">
        <v>42269</v>
      </c>
      <c r="B1947">
        <v>79.734794616699205</v>
      </c>
      <c r="C1947">
        <v>32.9322090148925</v>
      </c>
    </row>
    <row r="1948" spans="1:3">
      <c r="A1948" s="1">
        <v>42270</v>
      </c>
      <c r="B1948">
        <v>79.760681152343693</v>
      </c>
      <c r="C1948">
        <v>32.906734466552699</v>
      </c>
    </row>
    <row r="1949" spans="1:3">
      <c r="A1949" s="1">
        <v>42271</v>
      </c>
      <c r="B1949">
        <v>79.821105957031193</v>
      </c>
      <c r="C1949">
        <v>33.237850189208899</v>
      </c>
    </row>
    <row r="1950" spans="1:3">
      <c r="A1950" s="1">
        <v>42272</v>
      </c>
      <c r="B1950">
        <v>80.684318542480398</v>
      </c>
      <c r="C1950">
        <v>33.6368598937988</v>
      </c>
    </row>
    <row r="1951" spans="1:3">
      <c r="A1951" s="1">
        <v>42275</v>
      </c>
      <c r="B1951">
        <v>79.821105957031193</v>
      </c>
      <c r="C1951">
        <v>33.560451507568303</v>
      </c>
    </row>
    <row r="1952" spans="1:3">
      <c r="A1952" s="1">
        <v>42276</v>
      </c>
      <c r="B1952">
        <v>80.313117980957003</v>
      </c>
      <c r="C1952">
        <v>33.670825958251903</v>
      </c>
    </row>
    <row r="1953" spans="1:3">
      <c r="A1953" s="1">
        <v>42277</v>
      </c>
      <c r="B1953">
        <v>81.400764465332003</v>
      </c>
      <c r="C1953">
        <v>34.061367034912102</v>
      </c>
    </row>
    <row r="1954" spans="1:3">
      <c r="A1954" s="1">
        <v>42278</v>
      </c>
      <c r="B1954">
        <v>81.012321472167898</v>
      </c>
      <c r="C1954">
        <v>33.789688110351499</v>
      </c>
    </row>
    <row r="1955" spans="1:3">
      <c r="A1955" s="1">
        <v>42279</v>
      </c>
      <c r="B1955">
        <v>81.279922485351506</v>
      </c>
      <c r="C1955">
        <v>34.2905883789062</v>
      </c>
    </row>
    <row r="1956" spans="1:3">
      <c r="A1956" s="1">
        <v>42282</v>
      </c>
      <c r="B1956">
        <v>82.7042236328125</v>
      </c>
      <c r="C1956">
        <v>34.816959381103501</v>
      </c>
    </row>
    <row r="1957" spans="1:3">
      <c r="A1957" s="1">
        <v>42283</v>
      </c>
      <c r="B1957">
        <v>83.791877746582003</v>
      </c>
      <c r="C1957">
        <v>34.774513244628899</v>
      </c>
    </row>
    <row r="1958" spans="1:3">
      <c r="A1958" s="1">
        <v>42284</v>
      </c>
      <c r="B1958">
        <v>85.043518066406193</v>
      </c>
      <c r="C1958">
        <v>35.249942779541001</v>
      </c>
    </row>
    <row r="1959" spans="1:3">
      <c r="A1959" s="1">
        <v>42285</v>
      </c>
      <c r="B1959">
        <v>85.431983947753906</v>
      </c>
      <c r="C1959">
        <v>35.640483856201101</v>
      </c>
    </row>
    <row r="1960" spans="1:3">
      <c r="A1960" s="1">
        <v>42286</v>
      </c>
      <c r="B1960">
        <v>85.863571166992102</v>
      </c>
      <c r="C1960">
        <v>35.6744384765625</v>
      </c>
    </row>
    <row r="1961" spans="1:3">
      <c r="A1961" s="1">
        <v>42289</v>
      </c>
      <c r="B1961">
        <v>85.578727722167898</v>
      </c>
      <c r="C1961">
        <v>35.657455444335902</v>
      </c>
    </row>
    <row r="1962" spans="1:3">
      <c r="A1962" s="1">
        <v>42290</v>
      </c>
      <c r="B1962">
        <v>84.525596618652301</v>
      </c>
      <c r="C1962">
        <v>35.36030960083</v>
      </c>
    </row>
    <row r="1963" spans="1:3">
      <c r="A1963" s="1">
        <v>42291</v>
      </c>
      <c r="B1963">
        <v>84.154411315917898</v>
      </c>
      <c r="C1963">
        <v>35.385780334472599</v>
      </c>
    </row>
    <row r="1964" spans="1:3">
      <c r="A1964" s="1">
        <v>42292</v>
      </c>
      <c r="B1964">
        <v>84.836341857910099</v>
      </c>
      <c r="C1964">
        <v>35.589534759521399</v>
      </c>
    </row>
    <row r="1965" spans="1:3">
      <c r="A1965" s="1">
        <v>42293</v>
      </c>
      <c r="B1965">
        <v>86.062110900878906</v>
      </c>
      <c r="C1965">
        <v>35.6744384765625</v>
      </c>
    </row>
    <row r="1966" spans="1:3">
      <c r="A1966" s="1">
        <v>42296</v>
      </c>
      <c r="B1966">
        <v>86.4764404296875</v>
      </c>
      <c r="C1966">
        <v>35.648971557617102</v>
      </c>
    </row>
    <row r="1967" spans="1:3">
      <c r="A1967" s="1">
        <v>42297</v>
      </c>
      <c r="B1967">
        <v>86.554138183593693</v>
      </c>
      <c r="C1967">
        <v>35.903671264648402</v>
      </c>
    </row>
    <row r="1968" spans="1:3">
      <c r="A1968" s="1">
        <v>42298</v>
      </c>
      <c r="B1968">
        <v>86.536872863769503</v>
      </c>
      <c r="C1968">
        <v>35.818763732910099</v>
      </c>
    </row>
    <row r="1969" spans="1:3">
      <c r="A1969" s="1">
        <v>42299</v>
      </c>
      <c r="B1969">
        <v>88.979766845703097</v>
      </c>
      <c r="C1969">
        <v>36.710197448730398</v>
      </c>
    </row>
    <row r="1970" spans="1:3">
      <c r="A1970" s="1">
        <v>42300</v>
      </c>
      <c r="B1970">
        <v>88.418670654296804</v>
      </c>
      <c r="C1970">
        <v>36.328151702880803</v>
      </c>
    </row>
    <row r="1971" spans="1:3">
      <c r="A1971" s="1">
        <v>42303</v>
      </c>
      <c r="B1971">
        <v>88.513633728027301</v>
      </c>
      <c r="C1971">
        <v>36.158351898193303</v>
      </c>
    </row>
    <row r="1972" spans="1:3">
      <c r="A1972" s="1">
        <v>42304</v>
      </c>
      <c r="B1972">
        <v>88.858917236328097</v>
      </c>
      <c r="C1972">
        <v>36.175342559814403</v>
      </c>
    </row>
    <row r="1973" spans="1:3">
      <c r="A1973" s="1">
        <v>42305</v>
      </c>
      <c r="B1973">
        <v>88.686286926269503</v>
      </c>
      <c r="C1973">
        <v>36.277210235595703</v>
      </c>
    </row>
    <row r="1974" spans="1:3">
      <c r="A1974" s="1">
        <v>42306</v>
      </c>
      <c r="B1974">
        <v>88.738067626953097</v>
      </c>
      <c r="C1974">
        <v>36.328151702880803</v>
      </c>
    </row>
    <row r="1975" spans="1:3">
      <c r="A1975" s="1">
        <v>42307</v>
      </c>
      <c r="B1975">
        <v>88.211509704589801</v>
      </c>
      <c r="C1975">
        <v>35.954601287841797</v>
      </c>
    </row>
    <row r="1976" spans="1:3">
      <c r="A1976" s="1">
        <v>42310</v>
      </c>
      <c r="B1976">
        <v>87.529579162597599</v>
      </c>
      <c r="C1976">
        <v>35.861209869384702</v>
      </c>
    </row>
    <row r="1977" spans="1:3">
      <c r="A1977" s="1">
        <v>42311</v>
      </c>
      <c r="B1977">
        <v>87.115234375</v>
      </c>
      <c r="C1977">
        <v>35.7932929992675</v>
      </c>
    </row>
    <row r="1978" spans="1:3">
      <c r="A1978" s="1">
        <v>42312</v>
      </c>
      <c r="B1978">
        <v>86.856269836425696</v>
      </c>
      <c r="C1978">
        <v>35.631992340087798</v>
      </c>
    </row>
    <row r="1979" spans="1:3">
      <c r="A1979" s="1">
        <v>42313</v>
      </c>
      <c r="B1979">
        <v>86.847633361816406</v>
      </c>
      <c r="C1979">
        <v>35.9376220703125</v>
      </c>
    </row>
    <row r="1980" spans="1:3">
      <c r="A1980" s="1">
        <v>42314</v>
      </c>
      <c r="B1980">
        <v>86.079391479492102</v>
      </c>
      <c r="C1980">
        <v>35.62349319458</v>
      </c>
    </row>
    <row r="1981" spans="1:3">
      <c r="A1981" s="1">
        <v>42317</v>
      </c>
      <c r="B1981">
        <v>85.354278564453097</v>
      </c>
      <c r="C1981">
        <v>35.2669258117675</v>
      </c>
    </row>
    <row r="1982" spans="1:3">
      <c r="A1982" s="1">
        <v>42318</v>
      </c>
      <c r="B1982">
        <v>85.311119079589801</v>
      </c>
      <c r="C1982">
        <v>35.462192535400298</v>
      </c>
    </row>
    <row r="1983" spans="1:3">
      <c r="A1983" s="1">
        <v>42319</v>
      </c>
      <c r="B1983">
        <v>85.829040527343693</v>
      </c>
      <c r="C1983">
        <v>35.691421508788999</v>
      </c>
    </row>
    <row r="1984" spans="1:3">
      <c r="A1984" s="1">
        <v>42320</v>
      </c>
      <c r="B1984">
        <v>84.914047241210895</v>
      </c>
      <c r="C1984">
        <v>35.300891876220703</v>
      </c>
    </row>
    <row r="1985" spans="1:3">
      <c r="A1985" s="1">
        <v>42321</v>
      </c>
      <c r="B1985">
        <v>84.629203796386705</v>
      </c>
      <c r="C1985">
        <v>35.131080627441399</v>
      </c>
    </row>
    <row r="1986" spans="1:3">
      <c r="A1986" s="1">
        <v>42324</v>
      </c>
      <c r="B1986">
        <v>85.941261291503906</v>
      </c>
      <c r="C1986">
        <v>35.62349319458</v>
      </c>
    </row>
    <row r="1987" spans="1:3">
      <c r="A1987" s="1">
        <v>42325</v>
      </c>
      <c r="B1987">
        <v>85.311119079589801</v>
      </c>
      <c r="C1987">
        <v>35.377288818359297</v>
      </c>
    </row>
    <row r="1988" spans="1:3">
      <c r="A1988" s="1">
        <v>42326</v>
      </c>
      <c r="B1988">
        <v>86.554138183593693</v>
      </c>
      <c r="C1988">
        <v>35.895172119140597</v>
      </c>
    </row>
    <row r="1989" spans="1:3">
      <c r="A1989" s="1">
        <v>42327</v>
      </c>
      <c r="B1989">
        <v>87.123855590820298</v>
      </c>
      <c r="C1989">
        <v>36.599834442138601</v>
      </c>
    </row>
    <row r="1990" spans="1:3">
      <c r="A1990" s="1">
        <v>42328</v>
      </c>
      <c r="B1990">
        <v>86.407379150390597</v>
      </c>
      <c r="C1990">
        <v>36.0225219726562</v>
      </c>
    </row>
    <row r="1991" spans="1:3">
      <c r="A1991" s="1">
        <v>42331</v>
      </c>
      <c r="B1991">
        <v>87.054794311523395</v>
      </c>
      <c r="C1991">
        <v>36.472480773925703</v>
      </c>
    </row>
    <row r="1992" spans="1:3">
      <c r="A1992" s="1">
        <v>42332</v>
      </c>
      <c r="B1992">
        <v>86.864913940429602</v>
      </c>
      <c r="C1992">
        <v>36.812080383300703</v>
      </c>
    </row>
    <row r="1993" spans="1:3">
      <c r="A1993" s="1">
        <v>42333</v>
      </c>
      <c r="B1993">
        <v>86.752677917480398</v>
      </c>
      <c r="C1993">
        <v>36.812080383300703</v>
      </c>
    </row>
    <row r="1994" spans="1:3">
      <c r="A1994" s="1">
        <v>42335</v>
      </c>
      <c r="B1994">
        <v>86.959861755371094</v>
      </c>
      <c r="C1994">
        <v>36.914745330810497</v>
      </c>
    </row>
    <row r="1995" spans="1:3">
      <c r="A1995" s="1">
        <v>42338</v>
      </c>
      <c r="B1995">
        <v>86.459190368652301</v>
      </c>
      <c r="C1995">
        <v>36.461330413818303</v>
      </c>
    </row>
    <row r="1996" spans="1:3">
      <c r="A1996" s="1">
        <v>42339</v>
      </c>
      <c r="B1996">
        <v>87.236053466796804</v>
      </c>
      <c r="C1996">
        <v>36.692306518554602</v>
      </c>
    </row>
    <row r="1997" spans="1:3">
      <c r="A1997" s="1">
        <v>42340</v>
      </c>
      <c r="B1997">
        <v>86.4737548828125</v>
      </c>
      <c r="C1997">
        <v>36.589653015136697</v>
      </c>
    </row>
    <row r="1998" spans="1:3">
      <c r="A1998" s="1">
        <v>42341</v>
      </c>
      <c r="B1998">
        <v>86.134712219238196</v>
      </c>
      <c r="C1998">
        <v>36.324443817138601</v>
      </c>
    </row>
    <row r="1999" spans="1:3">
      <c r="A1999" s="1">
        <v>42342</v>
      </c>
      <c r="B1999">
        <v>87.847145080566406</v>
      </c>
      <c r="C1999">
        <v>37.034507751464801</v>
      </c>
    </row>
    <row r="2000" spans="1:3">
      <c r="A2000" s="1">
        <v>42345</v>
      </c>
      <c r="B2000">
        <v>87.508155822753906</v>
      </c>
      <c r="C2000">
        <v>36.957511901855398</v>
      </c>
    </row>
    <row r="2001" spans="1:3">
      <c r="A2001" s="1">
        <v>42346</v>
      </c>
      <c r="B2001">
        <v>87.073532104492102</v>
      </c>
      <c r="C2001">
        <v>36.794963836669901</v>
      </c>
    </row>
    <row r="2002" spans="1:3">
      <c r="A2002" s="1">
        <v>42347</v>
      </c>
      <c r="B2002">
        <v>86.169502258300696</v>
      </c>
      <c r="C2002">
        <v>36.495548248291001</v>
      </c>
    </row>
    <row r="2003" spans="1:3">
      <c r="A2003" s="1">
        <v>42348</v>
      </c>
      <c r="B2003">
        <v>85.969581604003906</v>
      </c>
      <c r="C2003">
        <v>36.581089019775298</v>
      </c>
    </row>
    <row r="2004" spans="1:3">
      <c r="A2004" s="1">
        <v>42349</v>
      </c>
      <c r="B2004">
        <v>84.996009826660099</v>
      </c>
      <c r="C2004">
        <v>36.161899566650298</v>
      </c>
    </row>
    <row r="2005" spans="1:3">
      <c r="A2005" s="1">
        <v>42352</v>
      </c>
      <c r="B2005">
        <v>85.143775939941406</v>
      </c>
      <c r="C2005">
        <v>36.315891265869098</v>
      </c>
    </row>
    <row r="2006" spans="1:3">
      <c r="A2006" s="1">
        <v>42353</v>
      </c>
      <c r="B2006">
        <v>86.3955078125</v>
      </c>
      <c r="C2006">
        <v>36.846302032470703</v>
      </c>
    </row>
    <row r="2007" spans="1:3">
      <c r="A2007" s="1">
        <v>42354</v>
      </c>
      <c r="B2007">
        <v>87.864547729492102</v>
      </c>
      <c r="C2007">
        <v>37.505031585693303</v>
      </c>
    </row>
    <row r="2008" spans="1:3">
      <c r="A2008" s="1">
        <v>42355</v>
      </c>
      <c r="B2008">
        <v>87.099586486816406</v>
      </c>
      <c r="C2008">
        <v>37.205615997314403</v>
      </c>
    </row>
    <row r="2009" spans="1:3">
      <c r="A2009" s="1">
        <v>42356</v>
      </c>
      <c r="B2009">
        <v>85.100311279296804</v>
      </c>
      <c r="C2009">
        <v>36.358669281005803</v>
      </c>
    </row>
    <row r="2010" spans="1:3">
      <c r="A2010" s="1">
        <v>42359</v>
      </c>
      <c r="B2010">
        <v>85.7261962890625</v>
      </c>
      <c r="C2010">
        <v>36.598197937011697</v>
      </c>
    </row>
    <row r="2011" spans="1:3">
      <c r="A2011" s="1">
        <v>42360</v>
      </c>
      <c r="B2011">
        <v>86.751914978027301</v>
      </c>
      <c r="C2011">
        <v>37.034507751464801</v>
      </c>
    </row>
    <row r="2012" spans="1:3">
      <c r="A2012" s="1">
        <v>42361</v>
      </c>
      <c r="B2012">
        <v>87.482070922851506</v>
      </c>
      <c r="C2012">
        <v>37.359588623046797</v>
      </c>
    </row>
    <row r="2013" spans="1:3">
      <c r="A2013" s="1">
        <v>42362</v>
      </c>
      <c r="B2013">
        <v>87.395149230957003</v>
      </c>
      <c r="C2013">
        <v>37.248382568359297</v>
      </c>
    </row>
    <row r="2014" spans="1:3">
      <c r="A2014" s="1">
        <v>42366</v>
      </c>
      <c r="B2014">
        <v>87.516845703125</v>
      </c>
      <c r="C2014">
        <v>37.205615997314403</v>
      </c>
    </row>
    <row r="2015" spans="1:3">
      <c r="A2015" s="1">
        <v>42367</v>
      </c>
      <c r="B2015">
        <v>88.186180114746094</v>
      </c>
      <c r="C2015">
        <v>37.3938179016113</v>
      </c>
    </row>
    <row r="2016" spans="1:3">
      <c r="A2016" s="1">
        <v>42368</v>
      </c>
      <c r="B2016">
        <v>87.925407409667898</v>
      </c>
      <c r="C2016">
        <v>37.2740478515625</v>
      </c>
    </row>
    <row r="2017" spans="1:3">
      <c r="A2017" s="1">
        <v>42369</v>
      </c>
      <c r="B2017">
        <v>86.856224060058594</v>
      </c>
      <c r="C2017">
        <v>36.752193450927699</v>
      </c>
    </row>
    <row r="2018" spans="1:3">
      <c r="A2018" s="1">
        <v>42373</v>
      </c>
      <c r="B2018">
        <v>85.856582641601506</v>
      </c>
      <c r="C2018">
        <v>36.273124694824197</v>
      </c>
    </row>
    <row r="2019" spans="1:3">
      <c r="A2019" s="1">
        <v>42374</v>
      </c>
      <c r="B2019">
        <v>86.447647094726506</v>
      </c>
      <c r="C2019">
        <v>36.401439666747997</v>
      </c>
    </row>
    <row r="2020" spans="1:3">
      <c r="A2020" s="1">
        <v>42375</v>
      </c>
      <c r="B2020">
        <v>86.4737548828125</v>
      </c>
      <c r="C2020">
        <v>36.204666137695298</v>
      </c>
    </row>
    <row r="2021" spans="1:3">
      <c r="A2021" s="1">
        <v>42376</v>
      </c>
      <c r="B2021">
        <v>84.813461303710895</v>
      </c>
      <c r="C2021">
        <v>35.605827331542898</v>
      </c>
    </row>
    <row r="2022" spans="1:3">
      <c r="A2022" s="1">
        <v>42377</v>
      </c>
      <c r="B2022">
        <v>84.500518798828097</v>
      </c>
      <c r="C2022">
        <v>35.511722564697202</v>
      </c>
    </row>
    <row r="2023" spans="1:3">
      <c r="A2023" s="1">
        <v>42380</v>
      </c>
      <c r="B2023">
        <v>84.700469970703097</v>
      </c>
      <c r="C2023">
        <v>35.571609497070298</v>
      </c>
    </row>
    <row r="2024" spans="1:3">
      <c r="A2024" s="1">
        <v>42381</v>
      </c>
      <c r="B2024">
        <v>84.856918334960895</v>
      </c>
      <c r="C2024">
        <v>36.033565521240199</v>
      </c>
    </row>
    <row r="2025" spans="1:3">
      <c r="A2025" s="1">
        <v>42382</v>
      </c>
      <c r="B2025">
        <v>83.883354187011705</v>
      </c>
      <c r="C2025">
        <v>35.802593231201101</v>
      </c>
    </row>
    <row r="2026" spans="1:3">
      <c r="A2026" s="1">
        <v>42383</v>
      </c>
      <c r="B2026">
        <v>83.2835693359375</v>
      </c>
      <c r="C2026">
        <v>35.828258514404297</v>
      </c>
    </row>
    <row r="2027" spans="1:3">
      <c r="A2027" s="1">
        <v>42384</v>
      </c>
      <c r="B2027">
        <v>81.649368286132798</v>
      </c>
      <c r="C2027">
        <v>35.503173828125</v>
      </c>
    </row>
    <row r="2028" spans="1:3">
      <c r="A2028" s="1">
        <v>42388</v>
      </c>
      <c r="B2028">
        <v>83.248802185058594</v>
      </c>
      <c r="C2028">
        <v>35.862480163574197</v>
      </c>
    </row>
    <row r="2029" spans="1:3">
      <c r="A2029" s="1">
        <v>42389</v>
      </c>
      <c r="B2029">
        <v>81.510276794433594</v>
      </c>
      <c r="C2029">
        <v>35.400505065917898</v>
      </c>
    </row>
    <row r="2030" spans="1:3">
      <c r="A2030" s="1">
        <v>42390</v>
      </c>
      <c r="B2030">
        <v>82.118759155273395</v>
      </c>
      <c r="C2030">
        <v>35.4090576171875</v>
      </c>
    </row>
    <row r="2031" spans="1:3">
      <c r="A2031" s="1">
        <v>42391</v>
      </c>
      <c r="B2031">
        <v>83.318328857421804</v>
      </c>
      <c r="C2031">
        <v>35.982254028320298</v>
      </c>
    </row>
    <row r="2032" spans="1:3">
      <c r="A2032" s="1">
        <v>42394</v>
      </c>
      <c r="B2032">
        <v>83.396568298339801</v>
      </c>
      <c r="C2032">
        <v>36.067790985107401</v>
      </c>
    </row>
    <row r="2033" spans="1:3">
      <c r="A2033" s="1">
        <v>42395</v>
      </c>
      <c r="B2033">
        <v>83.726890563964801</v>
      </c>
      <c r="C2033">
        <v>35.999359130859297</v>
      </c>
    </row>
    <row r="2034" spans="1:3">
      <c r="A2034" s="1">
        <v>42396</v>
      </c>
      <c r="B2034">
        <v>83.396568298339801</v>
      </c>
      <c r="C2034">
        <v>36.007911682128899</v>
      </c>
    </row>
    <row r="2035" spans="1:3">
      <c r="A2035" s="1">
        <v>42397</v>
      </c>
      <c r="B2035">
        <v>84.709144592285099</v>
      </c>
      <c r="C2035">
        <v>36.418552398681598</v>
      </c>
    </row>
    <row r="2036" spans="1:3">
      <c r="A2036" s="1">
        <v>42398</v>
      </c>
      <c r="B2036">
        <v>86.317276000976506</v>
      </c>
      <c r="C2036">
        <v>36.717971801757798</v>
      </c>
    </row>
    <row r="2037" spans="1:3">
      <c r="A2037" s="1">
        <v>42401</v>
      </c>
      <c r="B2037">
        <v>86.082580566406193</v>
      </c>
      <c r="C2037">
        <v>36.786411285400298</v>
      </c>
    </row>
    <row r="2038" spans="1:3">
      <c r="A2038" s="1">
        <v>42402</v>
      </c>
      <c r="B2038">
        <v>85.369789123535099</v>
      </c>
      <c r="C2038">
        <v>36.307331085205</v>
      </c>
    </row>
    <row r="2039" spans="1:3">
      <c r="A2039" s="1">
        <v>42403</v>
      </c>
      <c r="B2039">
        <v>85.813087463378906</v>
      </c>
      <c r="C2039">
        <v>36.546875</v>
      </c>
    </row>
    <row r="2040" spans="1:3">
      <c r="A2040" s="1">
        <v>42404</v>
      </c>
      <c r="B2040">
        <v>84.657005310058594</v>
      </c>
      <c r="C2040">
        <v>36.384326934814403</v>
      </c>
    </row>
    <row r="2041" spans="1:3">
      <c r="A2041" s="1">
        <v>42405</v>
      </c>
      <c r="B2041">
        <v>84.596138000488196</v>
      </c>
      <c r="C2041">
        <v>36.307331085205</v>
      </c>
    </row>
    <row r="2042" spans="1:3">
      <c r="A2042" s="1">
        <v>42408</v>
      </c>
      <c r="B2042">
        <v>84.770004272460895</v>
      </c>
      <c r="C2042">
        <v>36.486984252929602</v>
      </c>
    </row>
    <row r="2043" spans="1:3">
      <c r="A2043" s="1">
        <v>42409</v>
      </c>
      <c r="B2043">
        <v>85.430618286132798</v>
      </c>
      <c r="C2043">
        <v>37.043071746826101</v>
      </c>
    </row>
    <row r="2044" spans="1:3">
      <c r="A2044" s="1">
        <v>42410</v>
      </c>
      <c r="B2044">
        <v>84.856918334960895</v>
      </c>
      <c r="C2044">
        <v>36.401439666747997</v>
      </c>
    </row>
    <row r="2045" spans="1:3">
      <c r="A2045" s="1">
        <v>42411</v>
      </c>
      <c r="B2045">
        <v>84.231063842773395</v>
      </c>
      <c r="C2045">
        <v>36.281669616699197</v>
      </c>
    </row>
    <row r="2046" spans="1:3">
      <c r="A2046" s="1">
        <v>42412</v>
      </c>
      <c r="B2046">
        <v>85.613189697265597</v>
      </c>
      <c r="C2046">
        <v>36.880516052246001</v>
      </c>
    </row>
    <row r="2047" spans="1:3">
      <c r="A2047" s="1">
        <v>42416</v>
      </c>
      <c r="B2047">
        <v>85.708786010742102</v>
      </c>
      <c r="C2047">
        <v>37.094394683837798</v>
      </c>
    </row>
    <row r="2048" spans="1:3">
      <c r="A2048" s="1">
        <v>42417</v>
      </c>
      <c r="B2048">
        <v>86.534591674804602</v>
      </c>
      <c r="C2048">
        <v>37.205615997314403</v>
      </c>
    </row>
    <row r="2049" spans="1:3">
      <c r="A2049" s="1">
        <v>42418</v>
      </c>
      <c r="B2049">
        <v>86.595443725585895</v>
      </c>
      <c r="C2049">
        <v>37.308265686035099</v>
      </c>
    </row>
    <row r="2050" spans="1:3">
      <c r="A2050" s="1">
        <v>42419</v>
      </c>
      <c r="B2050">
        <v>86.560676574707003</v>
      </c>
      <c r="C2050">
        <v>37.445144653320298</v>
      </c>
    </row>
    <row r="2051" spans="1:3">
      <c r="A2051" s="1">
        <v>42422</v>
      </c>
      <c r="B2051">
        <v>86.812744140625</v>
      </c>
      <c r="C2051">
        <v>37.590583801269503</v>
      </c>
    </row>
    <row r="2052" spans="1:3">
      <c r="A2052" s="1">
        <v>42423</v>
      </c>
      <c r="B2052">
        <v>86.525886535644503</v>
      </c>
      <c r="C2052">
        <v>37.376701354980398</v>
      </c>
    </row>
    <row r="2053" spans="1:3">
      <c r="A2053" s="1">
        <v>42424</v>
      </c>
      <c r="B2053">
        <v>86.647598266601506</v>
      </c>
      <c r="C2053">
        <v>37.564910888671797</v>
      </c>
    </row>
    <row r="2054" spans="1:3">
      <c r="A2054" s="1">
        <v>42425</v>
      </c>
      <c r="B2054">
        <v>87.508155822753906</v>
      </c>
      <c r="C2054">
        <v>37.778789520263601</v>
      </c>
    </row>
    <row r="2055" spans="1:3">
      <c r="A2055" s="1">
        <v>42426</v>
      </c>
      <c r="B2055">
        <v>85.500175476074205</v>
      </c>
      <c r="C2055">
        <v>36.906185150146399</v>
      </c>
    </row>
    <row r="2056" spans="1:3">
      <c r="A2056" s="1">
        <v>42429</v>
      </c>
      <c r="B2056">
        <v>85.030784606933594</v>
      </c>
      <c r="C2056">
        <v>36.897628784179602</v>
      </c>
    </row>
    <row r="2057" spans="1:3">
      <c r="A2057" s="1">
        <v>42430</v>
      </c>
      <c r="B2057">
        <v>86.134712219238196</v>
      </c>
      <c r="C2057">
        <v>37.376701354980398</v>
      </c>
    </row>
    <row r="2058" spans="1:3">
      <c r="A2058" s="1">
        <v>42431</v>
      </c>
      <c r="B2058">
        <v>86.084846496582003</v>
      </c>
      <c r="C2058">
        <v>37.445144653320298</v>
      </c>
    </row>
    <row r="2059" spans="1:3">
      <c r="A2059" s="1">
        <v>42432</v>
      </c>
      <c r="B2059">
        <v>86.811462402343693</v>
      </c>
      <c r="C2059">
        <v>37.607688903808501</v>
      </c>
    </row>
    <row r="2060" spans="1:3">
      <c r="A2060" s="1">
        <v>42433</v>
      </c>
      <c r="B2060">
        <v>87.546867370605398</v>
      </c>
      <c r="C2060">
        <v>37.736015319824197</v>
      </c>
    </row>
    <row r="2061" spans="1:3">
      <c r="A2061" s="1">
        <v>42436</v>
      </c>
      <c r="B2061">
        <v>86.890274047851506</v>
      </c>
      <c r="C2061">
        <v>37.650466918945298</v>
      </c>
    </row>
    <row r="2062" spans="1:3">
      <c r="A2062" s="1">
        <v>42437</v>
      </c>
      <c r="B2062">
        <v>87.319221496582003</v>
      </c>
      <c r="C2062">
        <v>37.9156684875488</v>
      </c>
    </row>
    <row r="2063" spans="1:3">
      <c r="A2063" s="1">
        <v>42438</v>
      </c>
      <c r="B2063">
        <v>87.721954345703097</v>
      </c>
      <c r="C2063">
        <v>38.334865570068303</v>
      </c>
    </row>
    <row r="2064" spans="1:3">
      <c r="A2064" s="1">
        <v>42439</v>
      </c>
      <c r="B2064">
        <v>88.229728698730398</v>
      </c>
      <c r="C2064">
        <v>38.694168090820298</v>
      </c>
    </row>
    <row r="2065" spans="1:3">
      <c r="A2065" s="1">
        <v>42440</v>
      </c>
      <c r="B2065">
        <v>88.693733215332003</v>
      </c>
      <c r="C2065">
        <v>38.970069885253899</v>
      </c>
    </row>
    <row r="2066" spans="1:3">
      <c r="A2066" s="1">
        <v>42443</v>
      </c>
      <c r="B2066">
        <v>88.115921020507798</v>
      </c>
      <c r="C2066">
        <v>39.047664642333899</v>
      </c>
    </row>
    <row r="2067" spans="1:3">
      <c r="A2067" s="1">
        <v>42444</v>
      </c>
      <c r="B2067">
        <v>88.553657531738196</v>
      </c>
      <c r="C2067">
        <v>39.004558563232401</v>
      </c>
    </row>
    <row r="2068" spans="1:3">
      <c r="A2068" s="1">
        <v>42445</v>
      </c>
      <c r="B2068">
        <v>88.273498535156193</v>
      </c>
      <c r="C2068">
        <v>38.840736389160099</v>
      </c>
    </row>
    <row r="2069" spans="1:3">
      <c r="A2069" s="1">
        <v>42446</v>
      </c>
      <c r="B2069">
        <v>89.183975219726506</v>
      </c>
      <c r="C2069">
        <v>39.4615058898925</v>
      </c>
    </row>
    <row r="2070" spans="1:3">
      <c r="A2070" s="1">
        <v>42447</v>
      </c>
      <c r="B2070">
        <v>88.676208496093693</v>
      </c>
      <c r="C2070">
        <v>39.31494140625</v>
      </c>
    </row>
    <row r="2071" spans="1:3">
      <c r="A2071" s="1">
        <v>42450</v>
      </c>
      <c r="B2071">
        <v>88.895080566406193</v>
      </c>
      <c r="C2071">
        <v>39.375289916992102</v>
      </c>
    </row>
    <row r="2072" spans="1:3">
      <c r="A2072" s="1">
        <v>42451</v>
      </c>
      <c r="B2072">
        <v>88.220970153808594</v>
      </c>
      <c r="C2072">
        <v>39.228717803955</v>
      </c>
    </row>
    <row r="2073" spans="1:3">
      <c r="A2073" s="1">
        <v>42452</v>
      </c>
      <c r="B2073">
        <v>88.2559814453125</v>
      </c>
      <c r="C2073">
        <v>39.1942329406738</v>
      </c>
    </row>
    <row r="2074" spans="1:3">
      <c r="A2074" s="1">
        <v>42453</v>
      </c>
      <c r="B2074">
        <v>88.142166137695298</v>
      </c>
      <c r="C2074">
        <v>39.297698974609297</v>
      </c>
    </row>
    <row r="2075" spans="1:3">
      <c r="A2075" s="1">
        <v>42457</v>
      </c>
      <c r="B2075">
        <v>88.404808044433594</v>
      </c>
      <c r="C2075">
        <v>39.487377166747997</v>
      </c>
    </row>
    <row r="2076" spans="1:3">
      <c r="A2076" s="1">
        <v>42458</v>
      </c>
      <c r="B2076">
        <v>88.746253967285099</v>
      </c>
      <c r="C2076">
        <v>40.073642730712798</v>
      </c>
    </row>
    <row r="2077" spans="1:3">
      <c r="A2077" s="1">
        <v>42459</v>
      </c>
      <c r="B2077">
        <v>89.901870727539006</v>
      </c>
      <c r="C2077">
        <v>40.159862518310497</v>
      </c>
    </row>
    <row r="2078" spans="1:3">
      <c r="A2078" s="1">
        <v>42460</v>
      </c>
      <c r="B2078">
        <v>89.718025207519503</v>
      </c>
      <c r="C2078">
        <v>39.996044158935497</v>
      </c>
    </row>
    <row r="2079" spans="1:3">
      <c r="A2079" s="1">
        <v>42461</v>
      </c>
      <c r="B2079">
        <v>90.856132507324205</v>
      </c>
      <c r="C2079">
        <v>40.375408172607401</v>
      </c>
    </row>
    <row r="2080" spans="1:3">
      <c r="A2080" s="1">
        <v>42464</v>
      </c>
      <c r="B2080">
        <v>90.891143798828097</v>
      </c>
      <c r="C2080">
        <v>40.427139282226499</v>
      </c>
    </row>
    <row r="2081" spans="1:3">
      <c r="A2081" s="1">
        <v>42465</v>
      </c>
      <c r="B2081">
        <v>90.260803222656193</v>
      </c>
      <c r="C2081">
        <v>40.116756439208899</v>
      </c>
    </row>
    <row r="2082" spans="1:3">
      <c r="A2082" s="1">
        <v>42466</v>
      </c>
      <c r="B2082">
        <v>90.978691101074205</v>
      </c>
      <c r="C2082">
        <v>40.271945953369098</v>
      </c>
    </row>
    <row r="2083" spans="1:3">
      <c r="A2083" s="1">
        <v>42467</v>
      </c>
      <c r="B2083">
        <v>90.698547363281193</v>
      </c>
      <c r="C2083">
        <v>39.970191955566399</v>
      </c>
    </row>
    <row r="2084" spans="1:3">
      <c r="A2084" s="1">
        <v>42468</v>
      </c>
      <c r="B2084">
        <v>91.9942626953125</v>
      </c>
      <c r="C2084">
        <v>40.409889221191399</v>
      </c>
    </row>
    <row r="2085" spans="1:3">
      <c r="A2085" s="1">
        <v>42471</v>
      </c>
      <c r="B2085">
        <v>91.311386108398395</v>
      </c>
      <c r="C2085">
        <v>40.039161682128899</v>
      </c>
    </row>
    <row r="2086" spans="1:3">
      <c r="A2086" s="1">
        <v>42472</v>
      </c>
      <c r="B2086">
        <v>91.845413208007798</v>
      </c>
      <c r="C2086">
        <v>40.220211029052699</v>
      </c>
    </row>
    <row r="2087" spans="1:3">
      <c r="A2087" s="1">
        <v>42473</v>
      </c>
      <c r="B2087">
        <v>91.153793334960895</v>
      </c>
      <c r="C2087">
        <v>39.694286346435497</v>
      </c>
    </row>
    <row r="2088" spans="1:3">
      <c r="A2088" s="1">
        <v>42474</v>
      </c>
      <c r="B2088">
        <v>90.313339233398395</v>
      </c>
      <c r="C2088">
        <v>39.513240814208899</v>
      </c>
    </row>
    <row r="2089" spans="1:3">
      <c r="A2089" s="1">
        <v>42475</v>
      </c>
      <c r="B2089">
        <v>90.847373962402301</v>
      </c>
      <c r="C2089">
        <v>39.746025085449197</v>
      </c>
    </row>
    <row r="2090" spans="1:3">
      <c r="A2090" s="1">
        <v>42478</v>
      </c>
      <c r="B2090">
        <v>90.803604125976506</v>
      </c>
      <c r="C2090">
        <v>39.849483489990199</v>
      </c>
    </row>
    <row r="2091" spans="1:3">
      <c r="A2091" s="1">
        <v>42479</v>
      </c>
      <c r="B2091">
        <v>91.328895568847599</v>
      </c>
      <c r="C2091">
        <v>40.177101135253899</v>
      </c>
    </row>
    <row r="2092" spans="1:3">
      <c r="A2092" s="1">
        <v>42480</v>
      </c>
      <c r="B2092">
        <v>89.683013916015597</v>
      </c>
      <c r="C2092">
        <v>38.254463195800703</v>
      </c>
    </row>
    <row r="2093" spans="1:3">
      <c r="A2093" s="1">
        <v>42481</v>
      </c>
      <c r="B2093">
        <v>88.413566589355398</v>
      </c>
      <c r="C2093">
        <v>37.642326354980398</v>
      </c>
    </row>
    <row r="2094" spans="1:3">
      <c r="A2094" s="1">
        <v>42482</v>
      </c>
      <c r="B2094">
        <v>89.280303955078097</v>
      </c>
      <c r="C2094">
        <v>38.401042938232401</v>
      </c>
    </row>
    <row r="2095" spans="1:3">
      <c r="A2095" s="1">
        <v>42485</v>
      </c>
      <c r="B2095">
        <v>89.998184204101506</v>
      </c>
      <c r="C2095">
        <v>38.547599792480398</v>
      </c>
    </row>
    <row r="2096" spans="1:3">
      <c r="A2096" s="1">
        <v>42486</v>
      </c>
      <c r="B2096">
        <v>89.823081970214801</v>
      </c>
      <c r="C2096">
        <v>38.3924140930175</v>
      </c>
    </row>
    <row r="2097" spans="1:3">
      <c r="A2097" s="1">
        <v>42487</v>
      </c>
      <c r="B2097">
        <v>89.849349975585895</v>
      </c>
      <c r="C2097">
        <v>38.521736145019503</v>
      </c>
    </row>
    <row r="2098" spans="1:3">
      <c r="A2098" s="1">
        <v>42488</v>
      </c>
      <c r="B2098">
        <v>90.147018432617102</v>
      </c>
      <c r="C2098">
        <v>38.478630065917898</v>
      </c>
    </row>
    <row r="2099" spans="1:3">
      <c r="A2099" s="1">
        <v>42489</v>
      </c>
      <c r="B2099">
        <v>90.138252258300696</v>
      </c>
      <c r="C2099">
        <v>38.625198364257798</v>
      </c>
    </row>
    <row r="2100" spans="1:3">
      <c r="A2100" s="1">
        <v>42492</v>
      </c>
      <c r="B2100">
        <v>90.549720764160099</v>
      </c>
      <c r="C2100">
        <v>38.780387878417898</v>
      </c>
    </row>
    <row r="2101" spans="1:3">
      <c r="A2101" s="1">
        <v>42493</v>
      </c>
      <c r="B2101">
        <v>90.663543701171804</v>
      </c>
      <c r="C2101">
        <v>38.659683227538999</v>
      </c>
    </row>
    <row r="2102" spans="1:3">
      <c r="A2102" s="1">
        <v>42494</v>
      </c>
      <c r="B2102">
        <v>91.066238403320298</v>
      </c>
      <c r="C2102">
        <v>38.780387878417898</v>
      </c>
    </row>
    <row r="2103" spans="1:3">
      <c r="A2103" s="1">
        <v>42495</v>
      </c>
      <c r="B2103">
        <v>91.232589721679602</v>
      </c>
      <c r="C2103">
        <v>38.849369049072202</v>
      </c>
    </row>
    <row r="2104" spans="1:3">
      <c r="A2104" s="1">
        <v>42496</v>
      </c>
      <c r="B2104">
        <v>91.889198303222599</v>
      </c>
      <c r="C2104">
        <v>39.073535919189403</v>
      </c>
    </row>
    <row r="2105" spans="1:3">
      <c r="A2105" s="1">
        <v>42499</v>
      </c>
      <c r="B2105">
        <v>92.169334411621094</v>
      </c>
      <c r="C2105">
        <v>39.004558563232401</v>
      </c>
    </row>
    <row r="2106" spans="1:3">
      <c r="A2106" s="1">
        <v>42500</v>
      </c>
      <c r="B2106">
        <v>93.298698425292898</v>
      </c>
      <c r="C2106">
        <v>39.444263458251903</v>
      </c>
    </row>
    <row r="2107" spans="1:3">
      <c r="A2107" s="1">
        <v>42501</v>
      </c>
      <c r="B2107">
        <v>92.554534912109304</v>
      </c>
      <c r="C2107">
        <v>39.1942329406738</v>
      </c>
    </row>
    <row r="2108" spans="1:3">
      <c r="A2108" s="1">
        <v>42502</v>
      </c>
      <c r="B2108">
        <v>92.887214660644503</v>
      </c>
      <c r="C2108">
        <v>39.513240814208899</v>
      </c>
    </row>
    <row r="2109" spans="1:3">
      <c r="A2109" s="1">
        <v>42503</v>
      </c>
      <c r="B2109">
        <v>91.206329345703097</v>
      </c>
      <c r="C2109">
        <v>39.0993843078613</v>
      </c>
    </row>
    <row r="2110" spans="1:3">
      <c r="A2110" s="1">
        <v>42506</v>
      </c>
      <c r="B2110">
        <v>91.162551879882798</v>
      </c>
      <c r="C2110">
        <v>39.332176208496001</v>
      </c>
    </row>
    <row r="2111" spans="1:3">
      <c r="A2111" s="1">
        <v>42507</v>
      </c>
      <c r="B2111">
        <v>89.621719360351506</v>
      </c>
      <c r="C2111">
        <v>38.582096099853501</v>
      </c>
    </row>
    <row r="2112" spans="1:3">
      <c r="A2112" s="1">
        <v>42508</v>
      </c>
      <c r="B2112">
        <v>88.343559265136705</v>
      </c>
      <c r="C2112">
        <v>38.349315643310497</v>
      </c>
    </row>
    <row r="2113" spans="1:3">
      <c r="A2113" s="1">
        <v>42509</v>
      </c>
      <c r="B2113">
        <v>88.711235046386705</v>
      </c>
      <c r="C2113">
        <v>38.211357116699197</v>
      </c>
    </row>
    <row r="2114" spans="1:3">
      <c r="A2114" s="1">
        <v>42510</v>
      </c>
      <c r="B2114">
        <v>87.634407043457003</v>
      </c>
      <c r="C2114">
        <v>37.892360687255803</v>
      </c>
    </row>
    <row r="2115" spans="1:3">
      <c r="A2115" s="1">
        <v>42513</v>
      </c>
      <c r="B2115">
        <v>87.914558410644503</v>
      </c>
      <c r="C2115">
        <v>37.909595489501903</v>
      </c>
    </row>
    <row r="2116" spans="1:3">
      <c r="A2116" s="1">
        <v>42514</v>
      </c>
      <c r="B2116">
        <v>88.501113891601506</v>
      </c>
      <c r="C2116">
        <v>38.254463195800703</v>
      </c>
    </row>
    <row r="2117" spans="1:3">
      <c r="A2117" s="1">
        <v>42515</v>
      </c>
      <c r="B2117">
        <v>88.501113891601506</v>
      </c>
      <c r="C2117">
        <v>38.263099670410099</v>
      </c>
    </row>
    <row r="2118" spans="1:3">
      <c r="A2118" s="1">
        <v>42516</v>
      </c>
      <c r="B2118">
        <v>89.210273742675696</v>
      </c>
      <c r="C2118">
        <v>38.530361175537102</v>
      </c>
    </row>
    <row r="2119" spans="1:3">
      <c r="A2119" s="1">
        <v>42517</v>
      </c>
      <c r="B2119">
        <v>89.262771606445298</v>
      </c>
      <c r="C2119">
        <v>38.607955932617102</v>
      </c>
    </row>
    <row r="2120" spans="1:3">
      <c r="A2120" s="1">
        <v>42521</v>
      </c>
      <c r="B2120">
        <v>88.5711669921875</v>
      </c>
      <c r="C2120">
        <v>38.452762603759702</v>
      </c>
    </row>
    <row r="2121" spans="1:3">
      <c r="A2121" s="1">
        <v>42522</v>
      </c>
      <c r="B2121">
        <v>89.588142395019503</v>
      </c>
      <c r="C2121">
        <v>38.538982391357401</v>
      </c>
    </row>
    <row r="2122" spans="1:3">
      <c r="A2122" s="1">
        <v>42523</v>
      </c>
      <c r="B2122">
        <v>89.967422485351506</v>
      </c>
      <c r="C2122">
        <v>38.556221008300703</v>
      </c>
    </row>
    <row r="2123" spans="1:3">
      <c r="A2123" s="1">
        <v>42524</v>
      </c>
      <c r="B2123">
        <v>90.434906005859304</v>
      </c>
      <c r="C2123">
        <v>38.832122802734297</v>
      </c>
    </row>
    <row r="2124" spans="1:3">
      <c r="A2124" s="1">
        <v>42527</v>
      </c>
      <c r="B2124">
        <v>90.5848388671875</v>
      </c>
      <c r="C2124">
        <v>39.116641998291001</v>
      </c>
    </row>
    <row r="2125" spans="1:3">
      <c r="A2125" s="1">
        <v>42528</v>
      </c>
      <c r="B2125">
        <v>90.399604797363196</v>
      </c>
      <c r="C2125">
        <v>39.073535919189403</v>
      </c>
    </row>
    <row r="2126" spans="1:3">
      <c r="A2126" s="1">
        <v>42529</v>
      </c>
      <c r="B2126">
        <v>91.008216857910099</v>
      </c>
      <c r="C2126">
        <v>39.271827697753899</v>
      </c>
    </row>
    <row r="2127" spans="1:3">
      <c r="A2127" s="1">
        <v>42530</v>
      </c>
      <c r="B2127">
        <v>91.431579589843693</v>
      </c>
      <c r="C2127">
        <v>39.452884674072202</v>
      </c>
    </row>
    <row r="2128" spans="1:3">
      <c r="A2128" s="1">
        <v>42531</v>
      </c>
      <c r="B2128">
        <v>91.122871398925696</v>
      </c>
      <c r="C2128">
        <v>39.651187896728501</v>
      </c>
    </row>
    <row r="2129" spans="1:3">
      <c r="A2129" s="1">
        <v>42534</v>
      </c>
      <c r="B2129">
        <v>90.902366638183594</v>
      </c>
      <c r="C2129">
        <v>39.199417114257798</v>
      </c>
    </row>
    <row r="2130" spans="1:3">
      <c r="A2130" s="1">
        <v>42535</v>
      </c>
      <c r="B2130">
        <v>91.052330017089801</v>
      </c>
      <c r="C2130">
        <v>39.129913330078097</v>
      </c>
    </row>
    <row r="2131" spans="1:3">
      <c r="A2131" s="1">
        <v>42536</v>
      </c>
      <c r="B2131">
        <v>90.725975036621094</v>
      </c>
      <c r="C2131">
        <v>39.103847503662102</v>
      </c>
    </row>
    <row r="2132" spans="1:3">
      <c r="A2132" s="1">
        <v>42537</v>
      </c>
      <c r="B2132">
        <v>91.599189758300696</v>
      </c>
      <c r="C2132">
        <v>39.364490509033203</v>
      </c>
    </row>
    <row r="2133" spans="1:3">
      <c r="A2133" s="1">
        <v>42538</v>
      </c>
      <c r="B2133">
        <v>91.211074829101506</v>
      </c>
      <c r="C2133">
        <v>38.912712097167898</v>
      </c>
    </row>
    <row r="2134" spans="1:3">
      <c r="A2134" s="1">
        <v>42541</v>
      </c>
      <c r="B2134">
        <v>91.175811767578097</v>
      </c>
      <c r="C2134">
        <v>39.077781677246001</v>
      </c>
    </row>
    <row r="2135" spans="1:3">
      <c r="A2135" s="1">
        <v>42542</v>
      </c>
      <c r="B2135">
        <v>91.802055358886705</v>
      </c>
      <c r="C2135">
        <v>39.208091735839801</v>
      </c>
    </row>
    <row r="2136" spans="1:3">
      <c r="A2136" s="1">
        <v>42543</v>
      </c>
      <c r="B2136">
        <v>91.502151489257798</v>
      </c>
      <c r="C2136">
        <v>38.9735298156738</v>
      </c>
    </row>
    <row r="2137" spans="1:3">
      <c r="A2137" s="1">
        <v>42544</v>
      </c>
      <c r="B2137">
        <v>92.119567871093693</v>
      </c>
      <c r="C2137">
        <v>39.164661407470703</v>
      </c>
    </row>
    <row r="2138" spans="1:3">
      <c r="A2138" s="1">
        <v>42545</v>
      </c>
      <c r="B2138">
        <v>89.949790954589801</v>
      </c>
      <c r="C2138">
        <v>38.165565490722599</v>
      </c>
    </row>
    <row r="2139" spans="1:3">
      <c r="A2139" s="1">
        <v>42548</v>
      </c>
      <c r="B2139">
        <v>90.082077026367102</v>
      </c>
      <c r="C2139">
        <v>38.035247802734297</v>
      </c>
    </row>
    <row r="2140" spans="1:3">
      <c r="A2140" s="1">
        <v>42549</v>
      </c>
      <c r="B2140">
        <v>90.090896606445298</v>
      </c>
      <c r="C2140">
        <v>38.382759094238203</v>
      </c>
    </row>
    <row r="2141" spans="1:3">
      <c r="A2141" s="1">
        <v>42550</v>
      </c>
      <c r="B2141">
        <v>90.955284118652301</v>
      </c>
      <c r="C2141">
        <v>38.608642578125</v>
      </c>
    </row>
    <row r="2142" spans="1:3">
      <c r="A2142" s="1">
        <v>42551</v>
      </c>
      <c r="B2142">
        <v>93.442626953125</v>
      </c>
      <c r="C2142">
        <v>39.381862640380803</v>
      </c>
    </row>
    <row r="2143" spans="1:3">
      <c r="A2143" s="1">
        <v>42552</v>
      </c>
      <c r="B2143">
        <v>93.169197082519503</v>
      </c>
      <c r="C2143">
        <v>39.199417114257798</v>
      </c>
    </row>
    <row r="2144" spans="1:3">
      <c r="A2144" s="1">
        <v>42556</v>
      </c>
      <c r="B2144">
        <v>93.865997314453097</v>
      </c>
      <c r="C2144">
        <v>39.468734741210902</v>
      </c>
    </row>
    <row r="2145" spans="1:3">
      <c r="A2145" s="1">
        <v>42557</v>
      </c>
      <c r="B2145">
        <v>93.424987792968693</v>
      </c>
      <c r="C2145">
        <v>39.329734802246001</v>
      </c>
    </row>
    <row r="2146" spans="1:3">
      <c r="A2146" s="1">
        <v>42558</v>
      </c>
      <c r="B2146">
        <v>94.809761047363196</v>
      </c>
      <c r="C2146">
        <v>39.173355102538999</v>
      </c>
    </row>
    <row r="2147" spans="1:3">
      <c r="A2147" s="1">
        <v>42559</v>
      </c>
      <c r="B2147">
        <v>95.497756958007798</v>
      </c>
      <c r="C2147">
        <v>39.425296783447202</v>
      </c>
    </row>
    <row r="2148" spans="1:3">
      <c r="A2148" s="1">
        <v>42562</v>
      </c>
      <c r="B2148">
        <v>96.062278747558594</v>
      </c>
      <c r="C2148">
        <v>39.590362548828097</v>
      </c>
    </row>
    <row r="2149" spans="1:3">
      <c r="A2149" s="1">
        <v>42563</v>
      </c>
      <c r="B2149">
        <v>95.956436157226506</v>
      </c>
      <c r="C2149">
        <v>39.5990600585937</v>
      </c>
    </row>
    <row r="2150" spans="1:3">
      <c r="A2150" s="1">
        <v>42564</v>
      </c>
      <c r="B2150">
        <v>96.944305419921804</v>
      </c>
      <c r="C2150">
        <v>39.738059997558501</v>
      </c>
    </row>
    <row r="2151" spans="1:3">
      <c r="A2151" s="1">
        <v>42565</v>
      </c>
      <c r="B2151">
        <v>96.9884033203125</v>
      </c>
      <c r="C2151">
        <v>39.694618225097599</v>
      </c>
    </row>
    <row r="2152" spans="1:3">
      <c r="A2152" s="1">
        <v>42566</v>
      </c>
      <c r="B2152">
        <v>96.723800659179602</v>
      </c>
      <c r="C2152">
        <v>39.642494201660099</v>
      </c>
    </row>
    <row r="2153" spans="1:3">
      <c r="A2153" s="1">
        <v>42569</v>
      </c>
      <c r="B2153">
        <v>96.326873779296804</v>
      </c>
      <c r="C2153">
        <v>39.642494201660099</v>
      </c>
    </row>
    <row r="2154" spans="1:3">
      <c r="A2154" s="1">
        <v>42570</v>
      </c>
      <c r="B2154">
        <v>96.609123229980398</v>
      </c>
      <c r="C2154">
        <v>39.642494201660099</v>
      </c>
    </row>
    <row r="2155" spans="1:3">
      <c r="A2155" s="1">
        <v>42571</v>
      </c>
      <c r="B2155">
        <v>96.071090698242102</v>
      </c>
      <c r="C2155">
        <v>39.538238525390597</v>
      </c>
    </row>
    <row r="2156" spans="1:3">
      <c r="A2156" s="1">
        <v>42572</v>
      </c>
      <c r="B2156">
        <v>95.771224975585895</v>
      </c>
      <c r="C2156">
        <v>39.486106872558501</v>
      </c>
    </row>
    <row r="2157" spans="1:3">
      <c r="A2157" s="1">
        <v>42573</v>
      </c>
      <c r="B2157">
        <v>96.309242248535099</v>
      </c>
      <c r="C2157">
        <v>39.816257476806598</v>
      </c>
    </row>
    <row r="2158" spans="1:3">
      <c r="A2158" s="1">
        <v>42576</v>
      </c>
      <c r="B2158">
        <v>96.159294128417898</v>
      </c>
      <c r="C2158">
        <v>39.590362548828097</v>
      </c>
    </row>
    <row r="2159" spans="1:3">
      <c r="A2159" s="1">
        <v>42577</v>
      </c>
      <c r="B2159">
        <v>95.436004638671804</v>
      </c>
      <c r="C2159">
        <v>38.9909057617187</v>
      </c>
    </row>
    <row r="2160" spans="1:3">
      <c r="A2160" s="1">
        <v>42578</v>
      </c>
      <c r="B2160">
        <v>94.800964355468693</v>
      </c>
      <c r="C2160">
        <v>37.705112457275298</v>
      </c>
    </row>
    <row r="2161" spans="1:3">
      <c r="A2161" s="1">
        <v>42579</v>
      </c>
      <c r="B2161">
        <v>95.374282836914006</v>
      </c>
      <c r="C2161">
        <v>37.922313690185497</v>
      </c>
    </row>
    <row r="2162" spans="1:3">
      <c r="A2162" s="1">
        <v>42580</v>
      </c>
      <c r="B2162">
        <v>96.071090698242102</v>
      </c>
      <c r="C2162">
        <v>37.904930114746001</v>
      </c>
    </row>
    <row r="2163" spans="1:3">
      <c r="A2163" s="1">
        <v>42583</v>
      </c>
      <c r="B2163">
        <v>96.079902648925696</v>
      </c>
      <c r="C2163">
        <v>37.7485542297363</v>
      </c>
    </row>
    <row r="2164" spans="1:3">
      <c r="A2164" s="1">
        <v>42584</v>
      </c>
      <c r="B2164">
        <v>95.894691467285099</v>
      </c>
      <c r="C2164">
        <v>37.818050384521399</v>
      </c>
    </row>
    <row r="2165" spans="1:3">
      <c r="A2165" s="1">
        <v>42585</v>
      </c>
      <c r="B2165">
        <v>95.294898986816406</v>
      </c>
      <c r="C2165">
        <v>37.913612365722599</v>
      </c>
    </row>
    <row r="2166" spans="1:3">
      <c r="A2166" s="1">
        <v>42586</v>
      </c>
      <c r="B2166">
        <v>95.630058288574205</v>
      </c>
      <c r="C2166">
        <v>37.800674438476499</v>
      </c>
    </row>
    <row r="2167" spans="1:3">
      <c r="A2167" s="1">
        <v>42587</v>
      </c>
      <c r="B2167">
        <v>95.841751098632798</v>
      </c>
      <c r="C2167">
        <v>37.774612426757798</v>
      </c>
    </row>
    <row r="2168" spans="1:3">
      <c r="A2168" s="1">
        <v>42590</v>
      </c>
      <c r="B2168">
        <v>95.383102416992102</v>
      </c>
      <c r="C2168">
        <v>37.739864349365199</v>
      </c>
    </row>
    <row r="2169" spans="1:3">
      <c r="A2169" s="1">
        <v>42591</v>
      </c>
      <c r="B2169">
        <v>95.506584167480398</v>
      </c>
      <c r="C2169">
        <v>37.7659301757812</v>
      </c>
    </row>
    <row r="2170" spans="1:3">
      <c r="A2170" s="1">
        <v>42592</v>
      </c>
      <c r="B2170">
        <v>95.982894897460895</v>
      </c>
      <c r="C2170">
        <v>37.887546539306598</v>
      </c>
    </row>
    <row r="2171" spans="1:3">
      <c r="A2171" s="1">
        <v>42593</v>
      </c>
      <c r="B2171">
        <v>95.682998657226506</v>
      </c>
      <c r="C2171">
        <v>38.009181976318303</v>
      </c>
    </row>
    <row r="2172" spans="1:3">
      <c r="A2172" s="1">
        <v>42594</v>
      </c>
      <c r="B2172">
        <v>95.780006408691406</v>
      </c>
      <c r="C2172">
        <v>38.25244140625</v>
      </c>
    </row>
    <row r="2173" spans="1:3">
      <c r="A2173" s="1">
        <v>42597</v>
      </c>
      <c r="B2173">
        <v>95.894691467285099</v>
      </c>
      <c r="C2173">
        <v>38.434890747070298</v>
      </c>
    </row>
    <row r="2174" spans="1:3">
      <c r="A2174" s="1">
        <v>42598</v>
      </c>
      <c r="B2174">
        <v>95.259620666503906</v>
      </c>
      <c r="C2174">
        <v>38.078678131103501</v>
      </c>
    </row>
    <row r="2175" spans="1:3">
      <c r="A2175" s="1">
        <v>42599</v>
      </c>
      <c r="B2175">
        <v>95.674171447753906</v>
      </c>
      <c r="C2175">
        <v>38.278514862060497</v>
      </c>
    </row>
    <row r="2176" spans="1:3">
      <c r="A2176" s="1">
        <v>42600</v>
      </c>
      <c r="B2176">
        <v>95.506584167480398</v>
      </c>
      <c r="C2176">
        <v>38.313259124755803</v>
      </c>
    </row>
    <row r="2177" spans="1:3">
      <c r="A2177" s="1">
        <v>42601</v>
      </c>
      <c r="B2177">
        <v>95.409553527832003</v>
      </c>
      <c r="C2177">
        <v>38.156875610351499</v>
      </c>
    </row>
    <row r="2178" spans="1:3">
      <c r="A2178" s="1">
        <v>42604</v>
      </c>
      <c r="B2178">
        <v>95.224334716796804</v>
      </c>
      <c r="C2178">
        <v>38.000495910644503</v>
      </c>
    </row>
    <row r="2179" spans="1:3">
      <c r="A2179" s="1">
        <v>42605</v>
      </c>
      <c r="B2179">
        <v>95.153785705566406</v>
      </c>
      <c r="C2179">
        <v>38.096065521240199</v>
      </c>
    </row>
    <row r="2180" spans="1:3">
      <c r="A2180" s="1">
        <v>42606</v>
      </c>
      <c r="B2180">
        <v>95.356651306152301</v>
      </c>
      <c r="C2180">
        <v>38.096065521240199</v>
      </c>
    </row>
    <row r="2181" spans="1:3">
      <c r="A2181" s="1">
        <v>42607</v>
      </c>
      <c r="B2181">
        <v>95.153785705566406</v>
      </c>
      <c r="C2181">
        <v>37.939682006835902</v>
      </c>
    </row>
    <row r="2182" spans="1:3">
      <c r="A2182" s="1">
        <v>42608</v>
      </c>
      <c r="B2182">
        <v>94.774505615234304</v>
      </c>
      <c r="C2182">
        <v>37.635601043701101</v>
      </c>
    </row>
    <row r="2183" spans="1:3">
      <c r="A2183" s="1">
        <v>42611</v>
      </c>
      <c r="B2183">
        <v>95.250793457031193</v>
      </c>
      <c r="C2183">
        <v>37.8267402648925</v>
      </c>
    </row>
    <row r="2184" spans="1:3">
      <c r="A2184" s="1">
        <v>42612</v>
      </c>
      <c r="B2184">
        <v>94.562812805175696</v>
      </c>
      <c r="C2184">
        <v>37.566108703613203</v>
      </c>
    </row>
    <row r="2185" spans="1:3">
      <c r="A2185" s="1">
        <v>42613</v>
      </c>
      <c r="B2185">
        <v>94.823074340820298</v>
      </c>
      <c r="C2185">
        <v>37.731178283691399</v>
      </c>
    </row>
    <row r="2186" spans="1:3">
      <c r="A2186" s="1">
        <v>42614</v>
      </c>
      <c r="B2186">
        <v>95.302749633789006</v>
      </c>
      <c r="C2186">
        <v>37.661678314208899</v>
      </c>
    </row>
    <row r="2187" spans="1:3">
      <c r="A2187" s="1">
        <v>42615</v>
      </c>
      <c r="B2187">
        <v>95.817939758300696</v>
      </c>
      <c r="C2187">
        <v>37.930992126464801</v>
      </c>
    </row>
    <row r="2188" spans="1:3">
      <c r="A2188" s="1">
        <v>42619</v>
      </c>
      <c r="B2188">
        <v>95.862365722656193</v>
      </c>
      <c r="C2188">
        <v>38.043933868408203</v>
      </c>
    </row>
    <row r="2189" spans="1:3">
      <c r="A2189" s="1">
        <v>42620</v>
      </c>
      <c r="B2189">
        <v>95.231681823730398</v>
      </c>
      <c r="C2189">
        <v>37.913612365722599</v>
      </c>
    </row>
    <row r="2190" spans="1:3">
      <c r="A2190" s="1">
        <v>42621</v>
      </c>
      <c r="B2190">
        <v>94.938560485839801</v>
      </c>
      <c r="C2190">
        <v>37.904930114746001</v>
      </c>
    </row>
    <row r="2191" spans="1:3">
      <c r="A2191" s="1">
        <v>42622</v>
      </c>
      <c r="B2191">
        <v>92.424751281738196</v>
      </c>
      <c r="C2191">
        <v>36.723381042480398</v>
      </c>
    </row>
    <row r="2192" spans="1:3">
      <c r="A2192" s="1">
        <v>42625</v>
      </c>
      <c r="B2192">
        <v>94.174621582031193</v>
      </c>
      <c r="C2192">
        <v>37.522670745849602</v>
      </c>
    </row>
    <row r="2193" spans="1:3">
      <c r="A2193" s="1">
        <v>42626</v>
      </c>
      <c r="B2193">
        <v>92.904403686523395</v>
      </c>
      <c r="C2193">
        <v>37.032176971435497</v>
      </c>
    </row>
    <row r="2194" spans="1:3">
      <c r="A2194" s="1">
        <v>42627</v>
      </c>
      <c r="B2194">
        <v>93.313003540039006</v>
      </c>
      <c r="C2194">
        <v>36.883274078369098</v>
      </c>
    </row>
    <row r="2195" spans="1:3">
      <c r="A2195" s="1">
        <v>42628</v>
      </c>
      <c r="B2195">
        <v>93.694984436035099</v>
      </c>
      <c r="C2195">
        <v>37.102245330810497</v>
      </c>
    </row>
    <row r="2196" spans="1:3">
      <c r="A2196" s="1">
        <v>42629</v>
      </c>
      <c r="B2196">
        <v>93.517303466796804</v>
      </c>
      <c r="C2196">
        <v>36.909549713134702</v>
      </c>
    </row>
    <row r="2197" spans="1:3">
      <c r="A2197" s="1">
        <v>42632</v>
      </c>
      <c r="B2197">
        <v>93.863731384277301</v>
      </c>
      <c r="C2197">
        <v>36.874515533447202</v>
      </c>
    </row>
    <row r="2198" spans="1:3">
      <c r="A2198" s="1">
        <v>42633</v>
      </c>
      <c r="B2198">
        <v>94.423347473144503</v>
      </c>
      <c r="C2198">
        <v>37.084728240966797</v>
      </c>
    </row>
    <row r="2199" spans="1:3">
      <c r="A2199" s="1">
        <v>42634</v>
      </c>
      <c r="B2199">
        <v>95.160614013671804</v>
      </c>
      <c r="C2199">
        <v>37.251140594482401</v>
      </c>
    </row>
    <row r="2200" spans="1:3">
      <c r="A2200" s="1">
        <v>42635</v>
      </c>
      <c r="B2200">
        <v>95.773529052734304</v>
      </c>
      <c r="C2200">
        <v>37.627773284912102</v>
      </c>
    </row>
    <row r="2201" spans="1:3">
      <c r="A2201" s="1">
        <v>42636</v>
      </c>
      <c r="B2201">
        <v>95.347129821777301</v>
      </c>
      <c r="C2201">
        <v>37.435085296630803</v>
      </c>
    </row>
    <row r="2202" spans="1:3">
      <c r="A2202" s="1">
        <v>42639</v>
      </c>
      <c r="B2202">
        <v>95.071784973144503</v>
      </c>
      <c r="C2202">
        <v>36.830722808837798</v>
      </c>
    </row>
    <row r="2203" spans="1:3">
      <c r="A2203" s="1">
        <v>42640</v>
      </c>
      <c r="B2203">
        <v>95.480392456054602</v>
      </c>
      <c r="C2203">
        <v>37.303691864013601</v>
      </c>
    </row>
    <row r="2204" spans="1:3">
      <c r="A2204" s="1">
        <v>42641</v>
      </c>
      <c r="B2204">
        <v>95.3826904296875</v>
      </c>
      <c r="C2204">
        <v>36.918312072753899</v>
      </c>
    </row>
    <row r="2205" spans="1:3">
      <c r="A2205" s="1">
        <v>42642</v>
      </c>
      <c r="B2205">
        <v>95.720230102539006</v>
      </c>
      <c r="C2205">
        <v>36.813201904296797</v>
      </c>
    </row>
    <row r="2206" spans="1:3">
      <c r="A2206" s="1">
        <v>42643</v>
      </c>
      <c r="B2206">
        <v>96.617378234863196</v>
      </c>
      <c r="C2206">
        <v>37.067211151122997</v>
      </c>
    </row>
    <row r="2207" spans="1:3">
      <c r="A2207" s="1">
        <v>42646</v>
      </c>
      <c r="B2207">
        <v>96.155487060546804</v>
      </c>
      <c r="C2207">
        <v>36.813201904296797</v>
      </c>
    </row>
    <row r="2208" spans="1:3">
      <c r="A2208" s="1">
        <v>42647</v>
      </c>
      <c r="B2208">
        <v>95.133964538574205</v>
      </c>
      <c r="C2208">
        <v>36.646785736083899</v>
      </c>
    </row>
    <row r="2209" spans="1:3">
      <c r="A2209" s="1">
        <v>42648</v>
      </c>
      <c r="B2209">
        <v>94.165763854980398</v>
      </c>
      <c r="C2209">
        <v>36.620517730712798</v>
      </c>
    </row>
    <row r="2210" spans="1:3">
      <c r="A2210" s="1">
        <v>42649</v>
      </c>
      <c r="B2210">
        <v>94.512184143066406</v>
      </c>
      <c r="C2210">
        <v>36.532932281494098</v>
      </c>
    </row>
    <row r="2211" spans="1:3">
      <c r="A2211" s="1">
        <v>42650</v>
      </c>
      <c r="B2211">
        <v>94.147987365722599</v>
      </c>
      <c r="C2211">
        <v>36.550445556640597</v>
      </c>
    </row>
    <row r="2212" spans="1:3">
      <c r="A2212" s="1">
        <v>42653</v>
      </c>
      <c r="B2212">
        <v>94.352294921875</v>
      </c>
      <c r="C2212">
        <v>36.550445556640597</v>
      </c>
    </row>
    <row r="2213" spans="1:3">
      <c r="A2213" s="1">
        <v>42654</v>
      </c>
      <c r="B2213">
        <v>93.774917602539006</v>
      </c>
      <c r="C2213">
        <v>36.384029388427699</v>
      </c>
    </row>
    <row r="2214" spans="1:3">
      <c r="A2214" s="1">
        <v>42655</v>
      </c>
      <c r="B2214">
        <v>94.227928161621094</v>
      </c>
      <c r="C2214">
        <v>36.59423828125</v>
      </c>
    </row>
    <row r="2215" spans="1:3">
      <c r="A2215" s="1">
        <v>42656</v>
      </c>
      <c r="B2215">
        <v>94.085823059082003</v>
      </c>
      <c r="C2215">
        <v>36.576717376708899</v>
      </c>
    </row>
    <row r="2216" spans="1:3">
      <c r="A2216" s="1">
        <v>42657</v>
      </c>
      <c r="B2216">
        <v>94.894134521484304</v>
      </c>
      <c r="C2216">
        <v>36.4978828430175</v>
      </c>
    </row>
    <row r="2217" spans="1:3">
      <c r="A2217" s="1">
        <v>42660</v>
      </c>
      <c r="B2217">
        <v>94.911888122558594</v>
      </c>
      <c r="C2217">
        <v>36.436576843261697</v>
      </c>
    </row>
    <row r="2218" spans="1:3">
      <c r="A2218" s="1">
        <v>42661</v>
      </c>
      <c r="B2218">
        <v>95.000724792480398</v>
      </c>
      <c r="C2218">
        <v>36.760650634765597</v>
      </c>
    </row>
    <row r="2219" spans="1:3">
      <c r="A2219" s="1">
        <v>42662</v>
      </c>
      <c r="B2219">
        <v>94.387809753417898</v>
      </c>
      <c r="C2219">
        <v>36.830722808837798</v>
      </c>
    </row>
    <row r="2220" spans="1:3">
      <c r="A2220" s="1">
        <v>42663</v>
      </c>
      <c r="B2220">
        <v>94.041389465332003</v>
      </c>
      <c r="C2220">
        <v>36.725620269775298</v>
      </c>
    </row>
    <row r="2221" spans="1:3">
      <c r="A2221" s="1">
        <v>42664</v>
      </c>
      <c r="B2221">
        <v>93.819328308105398</v>
      </c>
      <c r="C2221">
        <v>36.900794982910099</v>
      </c>
    </row>
    <row r="2222" spans="1:3">
      <c r="A2222" s="1">
        <v>42667</v>
      </c>
      <c r="B2222">
        <v>95.320518493652301</v>
      </c>
      <c r="C2222">
        <v>37.2774238586425</v>
      </c>
    </row>
    <row r="2223" spans="1:3">
      <c r="A2223" s="1">
        <v>42668</v>
      </c>
      <c r="B2223">
        <v>95.249435424804602</v>
      </c>
      <c r="C2223">
        <v>37.259899139404297</v>
      </c>
    </row>
    <row r="2224" spans="1:3">
      <c r="A2224" s="1">
        <v>42669</v>
      </c>
      <c r="B2224">
        <v>95.107315063476506</v>
      </c>
      <c r="C2224">
        <v>37.172309875488203</v>
      </c>
    </row>
    <row r="2225" spans="1:3">
      <c r="A2225" s="1">
        <v>42670</v>
      </c>
      <c r="B2225">
        <v>94.716491699218693</v>
      </c>
      <c r="C2225">
        <v>36.8920288085937</v>
      </c>
    </row>
    <row r="2226" spans="1:3">
      <c r="A2226" s="1">
        <v>42671</v>
      </c>
      <c r="B2226">
        <v>95.107315063476506</v>
      </c>
      <c r="C2226">
        <v>36.988388061523402</v>
      </c>
    </row>
    <row r="2227" spans="1:3">
      <c r="A2227" s="1">
        <v>42674</v>
      </c>
      <c r="B2227">
        <v>95.222808837890597</v>
      </c>
      <c r="C2227">
        <v>37.137290954589801</v>
      </c>
    </row>
    <row r="2228" spans="1:3">
      <c r="A2228" s="1">
        <v>42675</v>
      </c>
      <c r="B2228">
        <v>94.787544250488196</v>
      </c>
      <c r="C2228">
        <v>36.8920288085937</v>
      </c>
    </row>
    <row r="2229" spans="1:3">
      <c r="A2229" s="1">
        <v>42676</v>
      </c>
      <c r="B2229">
        <v>94.787544250488196</v>
      </c>
      <c r="C2229">
        <v>36.830722808837798</v>
      </c>
    </row>
    <row r="2230" spans="1:3">
      <c r="A2230" s="1">
        <v>42677</v>
      </c>
      <c r="B2230">
        <v>94.716491699218693</v>
      </c>
      <c r="C2230">
        <v>36.813201904296797</v>
      </c>
    </row>
    <row r="2231" spans="1:3">
      <c r="A2231" s="1">
        <v>42678</v>
      </c>
      <c r="B2231">
        <v>93.988105773925696</v>
      </c>
      <c r="C2231">
        <v>36.5153999328613</v>
      </c>
    </row>
    <row r="2232" spans="1:3">
      <c r="A2232" s="1">
        <v>42681</v>
      </c>
      <c r="B2232">
        <v>95.009597778320298</v>
      </c>
      <c r="C2232">
        <v>37.189826965332003</v>
      </c>
    </row>
    <row r="2233" spans="1:3">
      <c r="A2233" s="1">
        <v>42682</v>
      </c>
      <c r="B2233">
        <v>96.572967529296804</v>
      </c>
      <c r="C2233">
        <v>37.5576972961425</v>
      </c>
    </row>
    <row r="2234" spans="1:3">
      <c r="A2234" s="1">
        <v>42683</v>
      </c>
      <c r="B2234">
        <v>95.267204284667898</v>
      </c>
      <c r="C2234">
        <v>37.023406982421797</v>
      </c>
    </row>
    <row r="2235" spans="1:3">
      <c r="A2235" s="1">
        <v>42684</v>
      </c>
      <c r="B2235">
        <v>91.714126586914006</v>
      </c>
      <c r="C2235">
        <v>35.858497619628899</v>
      </c>
    </row>
    <row r="2236" spans="1:3">
      <c r="A2236" s="1">
        <v>42685</v>
      </c>
      <c r="B2236">
        <v>91.660820007324205</v>
      </c>
      <c r="C2236">
        <v>35.937328338622997</v>
      </c>
    </row>
    <row r="2237" spans="1:3">
      <c r="A2237" s="1">
        <v>42688</v>
      </c>
      <c r="B2237">
        <v>90.061920166015597</v>
      </c>
      <c r="C2237">
        <v>36.059944152832003</v>
      </c>
    </row>
    <row r="2238" spans="1:3">
      <c r="A2238" s="1">
        <v>42689</v>
      </c>
      <c r="B2238">
        <v>90.470535278320298</v>
      </c>
      <c r="C2238">
        <v>36.296440124511697</v>
      </c>
    </row>
    <row r="2239" spans="1:3">
      <c r="A2239" s="1">
        <v>42690</v>
      </c>
      <c r="B2239">
        <v>90.346183776855398</v>
      </c>
      <c r="C2239">
        <v>36.138774871826101</v>
      </c>
    </row>
    <row r="2240" spans="1:3">
      <c r="A2240" s="1">
        <v>42691</v>
      </c>
      <c r="B2240">
        <v>90.266227722167898</v>
      </c>
      <c r="C2240">
        <v>36.016151428222599</v>
      </c>
    </row>
    <row r="2241" spans="1:3">
      <c r="A2241" s="1">
        <v>42692</v>
      </c>
      <c r="B2241">
        <v>89.990867614746094</v>
      </c>
      <c r="C2241">
        <v>35.832225799560497</v>
      </c>
    </row>
    <row r="2242" spans="1:3">
      <c r="A2242" s="1">
        <v>42695</v>
      </c>
      <c r="B2242">
        <v>90.834747314453097</v>
      </c>
      <c r="C2242">
        <v>36.226375579833899</v>
      </c>
    </row>
    <row r="2243" spans="1:3">
      <c r="A2243" s="1">
        <v>42696</v>
      </c>
      <c r="B2243">
        <v>91.394348144531193</v>
      </c>
      <c r="C2243">
        <v>36.235115051269503</v>
      </c>
    </row>
    <row r="2244" spans="1:3">
      <c r="A2244" s="1">
        <v>42697</v>
      </c>
      <c r="B2244">
        <v>90.186286926269503</v>
      </c>
      <c r="C2244">
        <v>36.016151428222599</v>
      </c>
    </row>
    <row r="2245" spans="1:3">
      <c r="A2245" s="1">
        <v>42699</v>
      </c>
      <c r="B2245">
        <v>90.754791259765597</v>
      </c>
      <c r="C2245">
        <v>36.375259399413999</v>
      </c>
    </row>
    <row r="2246" spans="1:3">
      <c r="A2246" s="1">
        <v>42702</v>
      </c>
      <c r="B2246">
        <v>91.305519104003906</v>
      </c>
      <c r="C2246">
        <v>36.5679512023925</v>
      </c>
    </row>
    <row r="2247" spans="1:3">
      <c r="A2247" s="1">
        <v>42703</v>
      </c>
      <c r="B2247">
        <v>91.083450317382798</v>
      </c>
      <c r="C2247">
        <v>36.347137451171797</v>
      </c>
    </row>
    <row r="2248" spans="1:3">
      <c r="A2248" s="1">
        <v>42704</v>
      </c>
      <c r="B2248">
        <v>89.573844909667898</v>
      </c>
      <c r="C2248">
        <v>35.640506744384702</v>
      </c>
    </row>
    <row r="2249" spans="1:3">
      <c r="A2249" s="1">
        <v>42705</v>
      </c>
      <c r="B2249">
        <v>88.616378784179602</v>
      </c>
      <c r="C2249">
        <v>35.481521606445298</v>
      </c>
    </row>
    <row r="2250" spans="1:3">
      <c r="A2250" s="1">
        <v>42706</v>
      </c>
      <c r="B2250">
        <v>90.021270751953097</v>
      </c>
      <c r="C2250">
        <v>35.649337768554602</v>
      </c>
    </row>
    <row r="2251" spans="1:3">
      <c r="A2251" s="1">
        <v>42709</v>
      </c>
      <c r="B2251">
        <v>90.119697570800696</v>
      </c>
      <c r="C2251">
        <v>35.879005432128899</v>
      </c>
    </row>
    <row r="2252" spans="1:3">
      <c r="A2252" s="1">
        <v>42710</v>
      </c>
      <c r="B2252">
        <v>90.871391296386705</v>
      </c>
      <c r="C2252">
        <v>35.8348388671875</v>
      </c>
    </row>
    <row r="2253" spans="1:3">
      <c r="A2253" s="1">
        <v>42711</v>
      </c>
      <c r="B2253">
        <v>91.998878479003906</v>
      </c>
      <c r="C2253">
        <v>36.470802307128899</v>
      </c>
    </row>
    <row r="2254" spans="1:3">
      <c r="A2254" s="1">
        <v>42712</v>
      </c>
      <c r="B2254">
        <v>91.408279418945298</v>
      </c>
      <c r="C2254">
        <v>36.196971893310497</v>
      </c>
    </row>
    <row r="2255" spans="1:3">
      <c r="A2255" s="1">
        <v>42713</v>
      </c>
      <c r="B2255">
        <v>92.678955078125</v>
      </c>
      <c r="C2255">
        <v>37.097927093505803</v>
      </c>
    </row>
    <row r="2256" spans="1:3">
      <c r="A2256" s="1">
        <v>42716</v>
      </c>
      <c r="B2256">
        <v>93.708023071289006</v>
      </c>
      <c r="C2256">
        <v>37.009593963622997</v>
      </c>
    </row>
    <row r="2257" spans="1:3">
      <c r="A2257" s="1">
        <v>42717</v>
      </c>
      <c r="B2257">
        <v>94.522323608398395</v>
      </c>
      <c r="C2257">
        <v>36.885940551757798</v>
      </c>
    </row>
    <row r="2258" spans="1:3">
      <c r="A2258" s="1">
        <v>42718</v>
      </c>
      <c r="B2258">
        <v>93.484321594238196</v>
      </c>
      <c r="C2258">
        <v>36.400119781494098</v>
      </c>
    </row>
    <row r="2259" spans="1:3">
      <c r="A2259" s="1">
        <v>42719</v>
      </c>
      <c r="B2259">
        <v>94.227027893066406</v>
      </c>
      <c r="C2259">
        <v>36.700454711913999</v>
      </c>
    </row>
    <row r="2260" spans="1:3">
      <c r="A2260" s="1">
        <v>42720</v>
      </c>
      <c r="B2260">
        <v>94.737106323242102</v>
      </c>
      <c r="C2260">
        <v>36.868274688720703</v>
      </c>
    </row>
    <row r="2261" spans="1:3">
      <c r="A2261" s="1">
        <v>42723</v>
      </c>
      <c r="B2261">
        <v>94.325462341308594</v>
      </c>
      <c r="C2261">
        <v>36.806438446044901</v>
      </c>
    </row>
    <row r="2262" spans="1:3">
      <c r="A2262" s="1">
        <v>42724</v>
      </c>
      <c r="B2262">
        <v>93.869087219238196</v>
      </c>
      <c r="C2262">
        <v>36.797615051269503</v>
      </c>
    </row>
    <row r="2263" spans="1:3">
      <c r="A2263" s="1">
        <v>42725</v>
      </c>
      <c r="B2263">
        <v>93.690132141113196</v>
      </c>
      <c r="C2263">
        <v>36.718120574951101</v>
      </c>
    </row>
    <row r="2264" spans="1:3">
      <c r="A2264" s="1">
        <v>42726</v>
      </c>
      <c r="B2264">
        <v>94.271774291992102</v>
      </c>
      <c r="C2264">
        <v>36.700454711913999</v>
      </c>
    </row>
    <row r="2265" spans="1:3">
      <c r="A2265" s="1">
        <v>42727</v>
      </c>
      <c r="B2265">
        <v>94.039115905761705</v>
      </c>
      <c r="C2265">
        <v>36.744613647460902</v>
      </c>
    </row>
    <row r="2266" spans="1:3">
      <c r="A2266" s="1">
        <v>42731</v>
      </c>
      <c r="B2266">
        <v>94.074913024902301</v>
      </c>
      <c r="C2266">
        <v>36.753444671630803</v>
      </c>
    </row>
    <row r="2267" spans="1:3">
      <c r="A2267" s="1">
        <v>42732</v>
      </c>
      <c r="B2267">
        <v>93.618553161621094</v>
      </c>
      <c r="C2267">
        <v>36.559120178222599</v>
      </c>
    </row>
    <row r="2268" spans="1:3">
      <c r="A2268" s="1">
        <v>42733</v>
      </c>
      <c r="B2268">
        <v>93.949630737304602</v>
      </c>
      <c r="C2268">
        <v>36.744613647460902</v>
      </c>
    </row>
    <row r="2269" spans="1:3">
      <c r="A2269" s="1">
        <v>42734</v>
      </c>
      <c r="B2269">
        <v>93.627494812011705</v>
      </c>
      <c r="C2269">
        <v>36.620960235595703</v>
      </c>
    </row>
    <row r="2270" spans="1:3">
      <c r="A2270" s="1">
        <v>42738</v>
      </c>
      <c r="B2270">
        <v>93.6453857421875</v>
      </c>
      <c r="C2270">
        <v>36.9212646484375</v>
      </c>
    </row>
    <row r="2271" spans="1:3">
      <c r="A2271" s="1">
        <v>42739</v>
      </c>
      <c r="B2271">
        <v>93.824348449707003</v>
      </c>
      <c r="C2271">
        <v>36.788780212402301</v>
      </c>
    </row>
    <row r="2272" spans="1:3">
      <c r="A2272" s="1">
        <v>42740</v>
      </c>
      <c r="B2272">
        <v>93.699073791503906</v>
      </c>
      <c r="C2272">
        <v>36.877098083496001</v>
      </c>
    </row>
    <row r="2273" spans="1:3">
      <c r="A2273" s="1">
        <v>42741</v>
      </c>
      <c r="B2273">
        <v>93.564834594726506</v>
      </c>
      <c r="C2273">
        <v>36.868274688720703</v>
      </c>
    </row>
    <row r="2274" spans="1:3">
      <c r="A2274" s="1">
        <v>42744</v>
      </c>
      <c r="B2274">
        <v>92.580528259277301</v>
      </c>
      <c r="C2274">
        <v>36.497287750244098</v>
      </c>
    </row>
    <row r="2275" spans="1:3">
      <c r="A2275" s="1">
        <v>42745</v>
      </c>
      <c r="B2275">
        <v>91.247207641601506</v>
      </c>
      <c r="C2275">
        <v>36.249980926513601</v>
      </c>
    </row>
    <row r="2276" spans="1:3">
      <c r="A2276" s="1">
        <v>42746</v>
      </c>
      <c r="B2276">
        <v>91.104019165039006</v>
      </c>
      <c r="C2276">
        <v>36.258804321288999</v>
      </c>
    </row>
    <row r="2277" spans="1:3">
      <c r="A2277" s="1">
        <v>42747</v>
      </c>
      <c r="B2277">
        <v>91.130867004394503</v>
      </c>
      <c r="C2277">
        <v>36.170478820800703</v>
      </c>
    </row>
    <row r="2278" spans="1:3">
      <c r="A2278" s="1">
        <v>42748</v>
      </c>
      <c r="B2278">
        <v>90.871391296386705</v>
      </c>
      <c r="C2278">
        <v>36.108657836913999</v>
      </c>
    </row>
    <row r="2279" spans="1:3">
      <c r="A2279" s="1">
        <v>42752</v>
      </c>
      <c r="B2279">
        <v>91.444068908691406</v>
      </c>
      <c r="C2279">
        <v>36.408966064453097</v>
      </c>
    </row>
    <row r="2280" spans="1:3">
      <c r="A2280" s="1">
        <v>42753</v>
      </c>
      <c r="B2280">
        <v>91.936218261718693</v>
      </c>
      <c r="C2280">
        <v>36.470802307128899</v>
      </c>
    </row>
    <row r="2281" spans="1:3">
      <c r="A2281" s="1">
        <v>42754</v>
      </c>
      <c r="B2281">
        <v>91.596199035644503</v>
      </c>
      <c r="C2281">
        <v>36.338302612304602</v>
      </c>
    </row>
    <row r="2282" spans="1:3">
      <c r="A2282" s="1">
        <v>42755</v>
      </c>
      <c r="B2282">
        <v>92.383644104003906</v>
      </c>
      <c r="C2282">
        <v>36.497287750244098</v>
      </c>
    </row>
    <row r="2283" spans="1:3">
      <c r="A2283" s="1">
        <v>42758</v>
      </c>
      <c r="B2283">
        <v>93.072685241699205</v>
      </c>
      <c r="C2283">
        <v>36.594459533691399</v>
      </c>
    </row>
    <row r="2284" spans="1:3">
      <c r="A2284" s="1">
        <v>42759</v>
      </c>
      <c r="B2284">
        <v>93.699073791503906</v>
      </c>
      <c r="C2284">
        <v>37.009593963622997</v>
      </c>
    </row>
    <row r="2285" spans="1:3">
      <c r="A2285" s="1">
        <v>42760</v>
      </c>
      <c r="B2285">
        <v>93.609588623046804</v>
      </c>
      <c r="C2285">
        <v>37.2039184570312</v>
      </c>
    </row>
    <row r="2286" spans="1:3">
      <c r="A2286" s="1">
        <v>42761</v>
      </c>
      <c r="B2286">
        <v>93.189025878906193</v>
      </c>
      <c r="C2286">
        <v>36.930110931396399</v>
      </c>
    </row>
    <row r="2287" spans="1:3">
      <c r="A2287" s="1">
        <v>42762</v>
      </c>
      <c r="B2287">
        <v>92.598426818847599</v>
      </c>
      <c r="C2287">
        <v>36.6121215820312</v>
      </c>
    </row>
    <row r="2288" spans="1:3">
      <c r="A2288" s="1">
        <v>42765</v>
      </c>
      <c r="B2288">
        <v>92.786338806152301</v>
      </c>
      <c r="C2288">
        <v>36.55029296875</v>
      </c>
    </row>
    <row r="2289" spans="1:3">
      <c r="A2289" s="1">
        <v>42766</v>
      </c>
      <c r="B2289">
        <v>92.866859436035099</v>
      </c>
      <c r="C2289">
        <v>36.718120574951101</v>
      </c>
    </row>
    <row r="2290" spans="1:3">
      <c r="A2290" s="1">
        <v>42767</v>
      </c>
      <c r="B2290">
        <v>92.177848815917898</v>
      </c>
      <c r="C2290">
        <v>36.44429397583</v>
      </c>
    </row>
    <row r="2291" spans="1:3">
      <c r="A2291" s="1">
        <v>42768</v>
      </c>
      <c r="B2291">
        <v>93.090576171875</v>
      </c>
      <c r="C2291">
        <v>36.567955017089801</v>
      </c>
    </row>
    <row r="2292" spans="1:3">
      <c r="A2292" s="1">
        <v>42769</v>
      </c>
      <c r="B2292">
        <v>94.057014465332003</v>
      </c>
      <c r="C2292">
        <v>36.691623687744098</v>
      </c>
    </row>
    <row r="2293" spans="1:3">
      <c r="A2293" s="1">
        <v>42772</v>
      </c>
      <c r="B2293">
        <v>93.573799133300696</v>
      </c>
      <c r="C2293">
        <v>36.709274291992102</v>
      </c>
    </row>
    <row r="2294" spans="1:3">
      <c r="A2294" s="1">
        <v>42773</v>
      </c>
      <c r="B2294">
        <v>94.504432678222599</v>
      </c>
      <c r="C2294">
        <v>37.009593963622997</v>
      </c>
    </row>
    <row r="2295" spans="1:3">
      <c r="A2295" s="1">
        <v>42774</v>
      </c>
      <c r="B2295">
        <v>94.576034545898395</v>
      </c>
      <c r="C2295">
        <v>37.115592956542898</v>
      </c>
    </row>
    <row r="2296" spans="1:3">
      <c r="A2296" s="1">
        <v>42775</v>
      </c>
      <c r="B2296">
        <v>94.826576232910099</v>
      </c>
      <c r="C2296">
        <v>36.435470581054602</v>
      </c>
    </row>
    <row r="2297" spans="1:3">
      <c r="A2297" s="1">
        <v>42776</v>
      </c>
      <c r="B2297">
        <v>94.942909240722599</v>
      </c>
      <c r="C2297">
        <v>35.843658447265597</v>
      </c>
    </row>
    <row r="2298" spans="1:3">
      <c r="A2298" s="1">
        <v>42779</v>
      </c>
      <c r="B2298">
        <v>95.318733215332003</v>
      </c>
      <c r="C2298">
        <v>35.879005432128899</v>
      </c>
    </row>
    <row r="2299" spans="1:3">
      <c r="A2299" s="1">
        <v>42780</v>
      </c>
      <c r="B2299">
        <v>95.676681518554602</v>
      </c>
      <c r="C2299">
        <v>35.7994995117187</v>
      </c>
    </row>
    <row r="2300" spans="1:3">
      <c r="A2300" s="1">
        <v>42781</v>
      </c>
      <c r="B2300">
        <v>95.506668090820298</v>
      </c>
      <c r="C2300">
        <v>35.719997406005803</v>
      </c>
    </row>
    <row r="2301" spans="1:3">
      <c r="A2301" s="1">
        <v>42782</v>
      </c>
      <c r="B2301">
        <v>96.750511169433594</v>
      </c>
      <c r="C2301">
        <v>36.391311645507798</v>
      </c>
    </row>
    <row r="2302" spans="1:3">
      <c r="A2302" s="1">
        <v>42783</v>
      </c>
      <c r="B2302">
        <v>96.777336120605398</v>
      </c>
      <c r="C2302">
        <v>36.4178047180175</v>
      </c>
    </row>
    <row r="2303" spans="1:3">
      <c r="A2303" s="1">
        <v>42787</v>
      </c>
      <c r="B2303">
        <v>97.860084533691406</v>
      </c>
      <c r="C2303">
        <v>36.620960235595703</v>
      </c>
    </row>
    <row r="2304" spans="1:3">
      <c r="A2304" s="1">
        <v>42788</v>
      </c>
      <c r="B2304">
        <v>97.904846191406193</v>
      </c>
      <c r="C2304">
        <v>36.744613647460902</v>
      </c>
    </row>
    <row r="2305" spans="1:3">
      <c r="A2305" s="1">
        <v>42789</v>
      </c>
      <c r="B2305">
        <v>98.021179199218693</v>
      </c>
      <c r="C2305">
        <v>36.797615051269503</v>
      </c>
    </row>
    <row r="2306" spans="1:3">
      <c r="A2306" s="1">
        <v>42790</v>
      </c>
      <c r="B2306">
        <v>98.280677795410099</v>
      </c>
      <c r="C2306">
        <v>36.903610229492102</v>
      </c>
    </row>
    <row r="2307" spans="1:3">
      <c r="A2307" s="1">
        <v>42793</v>
      </c>
      <c r="B2307">
        <v>97.779563903808594</v>
      </c>
      <c r="C2307">
        <v>36.806438446044901</v>
      </c>
    </row>
    <row r="2308" spans="1:3">
      <c r="A2308" s="1">
        <v>42794</v>
      </c>
      <c r="B2308">
        <v>98.7728271484375</v>
      </c>
      <c r="C2308">
        <v>37.062595367431598</v>
      </c>
    </row>
    <row r="2309" spans="1:3">
      <c r="A2309" s="1">
        <v>42795</v>
      </c>
      <c r="B2309">
        <v>98.865638732910099</v>
      </c>
      <c r="C2309">
        <v>37.239253997802699</v>
      </c>
    </row>
    <row r="2310" spans="1:3">
      <c r="A2310" s="1">
        <v>42796</v>
      </c>
      <c r="B2310">
        <v>99.208015441894503</v>
      </c>
      <c r="C2310">
        <v>37.513076782226499</v>
      </c>
    </row>
    <row r="2311" spans="1:3">
      <c r="A2311" s="1">
        <v>42797</v>
      </c>
      <c r="B2311">
        <v>99.613449096679602</v>
      </c>
      <c r="C2311">
        <v>37.5219116210937</v>
      </c>
    </row>
    <row r="2312" spans="1:3">
      <c r="A2312" s="1">
        <v>42800</v>
      </c>
      <c r="B2312">
        <v>98.775535583496094</v>
      </c>
      <c r="C2312">
        <v>37.256919860839801</v>
      </c>
    </row>
    <row r="2313" spans="1:3">
      <c r="A2313" s="1">
        <v>42801</v>
      </c>
      <c r="B2313">
        <v>98.496231079101506</v>
      </c>
      <c r="C2313">
        <v>37.089096069335902</v>
      </c>
    </row>
    <row r="2314" spans="1:3">
      <c r="A2314" s="1">
        <v>42802</v>
      </c>
      <c r="B2314">
        <v>98.478225708007798</v>
      </c>
      <c r="C2314">
        <v>37.089096069335902</v>
      </c>
    </row>
    <row r="2315" spans="1:3">
      <c r="A2315" s="1">
        <v>42803</v>
      </c>
      <c r="B2315">
        <v>98.225944519042898</v>
      </c>
      <c r="C2315">
        <v>37.124423980712798</v>
      </c>
    </row>
    <row r="2316" spans="1:3">
      <c r="A2316" s="1">
        <v>42804</v>
      </c>
      <c r="B2316">
        <v>98.739494323730398</v>
      </c>
      <c r="C2316">
        <v>37.354091644287102</v>
      </c>
    </row>
    <row r="2317" spans="1:3">
      <c r="A2317" s="1">
        <v>42807</v>
      </c>
      <c r="B2317">
        <v>98.577323913574205</v>
      </c>
      <c r="C2317">
        <v>37.452102661132798</v>
      </c>
    </row>
    <row r="2318" spans="1:3">
      <c r="A2318" s="1">
        <v>42808</v>
      </c>
      <c r="B2318">
        <v>98.514251708984304</v>
      </c>
      <c r="C2318">
        <v>37.398635864257798</v>
      </c>
    </row>
    <row r="2319" spans="1:3">
      <c r="A2319" s="1">
        <v>42809</v>
      </c>
      <c r="B2319">
        <v>100.109008789062</v>
      </c>
      <c r="C2319">
        <v>37.532295227050703</v>
      </c>
    </row>
    <row r="2320" spans="1:3">
      <c r="A2320" s="1">
        <v>42810</v>
      </c>
      <c r="B2320">
        <v>100.136032104492</v>
      </c>
      <c r="C2320">
        <v>37.6481323242187</v>
      </c>
    </row>
    <row r="2321" spans="1:3">
      <c r="A2321" s="1">
        <v>42811</v>
      </c>
      <c r="B2321">
        <v>100.361282348632</v>
      </c>
      <c r="C2321">
        <v>37.452102661132798</v>
      </c>
    </row>
    <row r="2322" spans="1:3">
      <c r="A2322" s="1">
        <v>42814</v>
      </c>
      <c r="B2322">
        <v>100.145042419433</v>
      </c>
      <c r="C2322">
        <v>37.585758209228501</v>
      </c>
    </row>
    <row r="2323" spans="1:3">
      <c r="A2323" s="1">
        <v>42815</v>
      </c>
      <c r="B2323">
        <v>100.703651428222</v>
      </c>
      <c r="C2323">
        <v>37.8709106445312</v>
      </c>
    </row>
    <row r="2324" spans="1:3">
      <c r="A2324" s="1">
        <v>42816</v>
      </c>
      <c r="B2324">
        <v>100.928916931152</v>
      </c>
      <c r="C2324">
        <v>37.7639770507812</v>
      </c>
    </row>
    <row r="2325" spans="1:3">
      <c r="A2325" s="1">
        <v>42817</v>
      </c>
      <c r="B2325">
        <v>100.712669372558</v>
      </c>
      <c r="C2325">
        <v>37.576847076416001</v>
      </c>
    </row>
    <row r="2326" spans="1:3">
      <c r="A2326" s="1">
        <v>42818</v>
      </c>
      <c r="B2326">
        <v>101.019004821777</v>
      </c>
      <c r="C2326">
        <v>37.532295227050703</v>
      </c>
    </row>
    <row r="2327" spans="1:3">
      <c r="A2327" s="1">
        <v>42821</v>
      </c>
      <c r="B2327">
        <v>100.75773620605401</v>
      </c>
      <c r="C2327">
        <v>37.7105102539062</v>
      </c>
    </row>
    <row r="2328" spans="1:3">
      <c r="A2328" s="1">
        <v>42822</v>
      </c>
      <c r="B2328">
        <v>101.31632995605401</v>
      </c>
      <c r="C2328">
        <v>37.8085327148437</v>
      </c>
    </row>
    <row r="2329" spans="1:3">
      <c r="A2329" s="1">
        <v>42823</v>
      </c>
      <c r="B2329">
        <v>101.29831695556599</v>
      </c>
      <c r="C2329">
        <v>37.7996215820312</v>
      </c>
    </row>
    <row r="2330" spans="1:3">
      <c r="A2330" s="1">
        <v>42824</v>
      </c>
      <c r="B2330">
        <v>101.07305908203099</v>
      </c>
      <c r="C2330">
        <v>37.960010528564403</v>
      </c>
    </row>
    <row r="2331" spans="1:3">
      <c r="A2331" s="1">
        <v>42825</v>
      </c>
      <c r="B2331">
        <v>100.784744262695</v>
      </c>
      <c r="C2331">
        <v>37.817440032958899</v>
      </c>
    </row>
    <row r="2332" spans="1:3">
      <c r="A2332" s="1">
        <v>42828</v>
      </c>
      <c r="B2332">
        <v>100.784744262695</v>
      </c>
      <c r="C2332">
        <v>37.790706634521399</v>
      </c>
    </row>
    <row r="2333" spans="1:3">
      <c r="A2333" s="1">
        <v>42829</v>
      </c>
      <c r="B2333">
        <v>100.98296356201099</v>
      </c>
      <c r="C2333">
        <v>38.031299591064403</v>
      </c>
    </row>
    <row r="2334" spans="1:3">
      <c r="A2334" s="1">
        <v>42830</v>
      </c>
      <c r="B2334">
        <v>100.85682678222599</v>
      </c>
      <c r="C2334">
        <v>37.933284759521399</v>
      </c>
    </row>
    <row r="2335" spans="1:3">
      <c r="A2335" s="1">
        <v>42831</v>
      </c>
      <c r="B2335">
        <v>100.53247833251901</v>
      </c>
      <c r="C2335">
        <v>38.0223999023437</v>
      </c>
    </row>
    <row r="2336" spans="1:3">
      <c r="A2336" s="1">
        <v>42832</v>
      </c>
      <c r="B2336">
        <v>100.55950164794901</v>
      </c>
      <c r="C2336">
        <v>37.968929290771399</v>
      </c>
    </row>
    <row r="2337" spans="1:3">
      <c r="A2337" s="1">
        <v>42835</v>
      </c>
      <c r="B2337">
        <v>100.928916931152</v>
      </c>
      <c r="C2337">
        <v>38.040210723876903</v>
      </c>
    </row>
    <row r="2338" spans="1:3">
      <c r="A2338" s="1">
        <v>42836</v>
      </c>
      <c r="B2338">
        <v>100.66762542724599</v>
      </c>
      <c r="C2338">
        <v>38.013481140136697</v>
      </c>
    </row>
    <row r="2339" spans="1:3">
      <c r="A2339" s="1">
        <v>42837</v>
      </c>
      <c r="B2339">
        <v>102.36147308349599</v>
      </c>
      <c r="C2339">
        <v>38.262973785400298</v>
      </c>
    </row>
    <row r="2340" spans="1:3">
      <c r="A2340" s="1">
        <v>42838</v>
      </c>
      <c r="B2340">
        <v>101.523559570312</v>
      </c>
      <c r="C2340">
        <v>38.129314422607401</v>
      </c>
    </row>
    <row r="2341" spans="1:3">
      <c r="A2341" s="1">
        <v>42842</v>
      </c>
      <c r="B2341">
        <v>102.100204467773</v>
      </c>
      <c r="C2341">
        <v>38.378822326660099</v>
      </c>
    </row>
    <row r="2342" spans="1:3">
      <c r="A2342" s="1">
        <v>42843</v>
      </c>
      <c r="B2342">
        <v>102.96514129638599</v>
      </c>
      <c r="C2342">
        <v>38.744163513183501</v>
      </c>
    </row>
    <row r="2343" spans="1:3">
      <c r="A2343" s="1">
        <v>42844</v>
      </c>
      <c r="B2343">
        <v>102.370491027832</v>
      </c>
      <c r="C2343">
        <v>38.521392822265597</v>
      </c>
    </row>
    <row r="2344" spans="1:3">
      <c r="A2344" s="1">
        <v>42845</v>
      </c>
      <c r="B2344">
        <v>102.343467712402</v>
      </c>
      <c r="C2344">
        <v>38.396656036376903</v>
      </c>
    </row>
    <row r="2345" spans="1:3">
      <c r="A2345" s="1">
        <v>42846</v>
      </c>
      <c r="B2345">
        <v>102.199317932128</v>
      </c>
      <c r="C2345">
        <v>38.378822326660099</v>
      </c>
    </row>
    <row r="2346" spans="1:3">
      <c r="A2346" s="1">
        <v>42849</v>
      </c>
      <c r="B2346">
        <v>103.001182556152</v>
      </c>
      <c r="C2346">
        <v>38.565948486328097</v>
      </c>
    </row>
    <row r="2347" spans="1:3">
      <c r="A2347" s="1">
        <v>42850</v>
      </c>
      <c r="B2347">
        <v>102.857040405273</v>
      </c>
      <c r="C2347">
        <v>38.414466857910099</v>
      </c>
    </row>
    <row r="2348" spans="1:3">
      <c r="A2348" s="1">
        <v>42851</v>
      </c>
      <c r="B2348">
        <v>102.109199523925</v>
      </c>
      <c r="C2348">
        <v>38.530311584472599</v>
      </c>
    </row>
    <row r="2349" spans="1:3">
      <c r="A2349" s="1">
        <v>42852</v>
      </c>
      <c r="B2349">
        <v>101.48754119873</v>
      </c>
      <c r="C2349">
        <v>38.325355529785099</v>
      </c>
    </row>
    <row r="2350" spans="1:3">
      <c r="A2350" s="1">
        <v>42853</v>
      </c>
      <c r="B2350">
        <v>102.064147949218</v>
      </c>
      <c r="C2350">
        <v>38.450111389160099</v>
      </c>
    </row>
    <row r="2351" spans="1:3">
      <c r="A2351" s="1">
        <v>42856</v>
      </c>
      <c r="B2351">
        <v>101.163162231445</v>
      </c>
      <c r="C2351">
        <v>38.512481689453097</v>
      </c>
    </row>
    <row r="2352" spans="1:3">
      <c r="A2352" s="1">
        <v>42857</v>
      </c>
      <c r="B2352">
        <v>101.17218017578099</v>
      </c>
      <c r="C2352">
        <v>38.663967132568303</v>
      </c>
    </row>
    <row r="2353" spans="1:3">
      <c r="A2353" s="1">
        <v>42858</v>
      </c>
      <c r="B2353">
        <v>100.72168731689401</v>
      </c>
      <c r="C2353">
        <v>38.601589202880803</v>
      </c>
    </row>
    <row r="2354" spans="1:3">
      <c r="A2354" s="1">
        <v>42859</v>
      </c>
      <c r="B2354">
        <v>101.775825500488</v>
      </c>
      <c r="C2354">
        <v>38.9045600891113</v>
      </c>
    </row>
    <row r="2355" spans="1:3">
      <c r="A2355" s="1">
        <v>42860</v>
      </c>
      <c r="B2355">
        <v>102.01008605957</v>
      </c>
      <c r="C2355">
        <v>38.931285858154297</v>
      </c>
    </row>
    <row r="2356" spans="1:3">
      <c r="A2356" s="1">
        <v>42863</v>
      </c>
      <c r="B2356">
        <v>102.01008605957</v>
      </c>
      <c r="C2356">
        <v>39.109504699707003</v>
      </c>
    </row>
    <row r="2357" spans="1:3">
      <c r="A2357" s="1">
        <v>42864</v>
      </c>
      <c r="B2357">
        <v>101.559608459472</v>
      </c>
      <c r="C2357">
        <v>38.7708930969238</v>
      </c>
    </row>
    <row r="2358" spans="1:3">
      <c r="A2358" s="1">
        <v>42865</v>
      </c>
      <c r="B2358">
        <v>101.66770172119099</v>
      </c>
      <c r="C2358">
        <v>38.824367523193303</v>
      </c>
    </row>
    <row r="2359" spans="1:3">
      <c r="A2359" s="1">
        <v>42866</v>
      </c>
      <c r="B2359">
        <v>101.84791564941401</v>
      </c>
      <c r="C2359">
        <v>38.913463592529297</v>
      </c>
    </row>
    <row r="2360" spans="1:3">
      <c r="A2360" s="1">
        <v>42867</v>
      </c>
      <c r="B2360">
        <v>101.73078918457</v>
      </c>
      <c r="C2360">
        <v>38.842189788818303</v>
      </c>
    </row>
    <row r="2361" spans="1:3">
      <c r="A2361" s="1">
        <v>42870</v>
      </c>
      <c r="B2361">
        <v>102.658805847167</v>
      </c>
      <c r="C2361">
        <v>38.966934204101499</v>
      </c>
    </row>
    <row r="2362" spans="1:3">
      <c r="A2362" s="1">
        <v>42871</v>
      </c>
      <c r="B2362">
        <v>102.52365875244099</v>
      </c>
      <c r="C2362">
        <v>39.073867797851499</v>
      </c>
    </row>
    <row r="2363" spans="1:3">
      <c r="A2363" s="1">
        <v>42872</v>
      </c>
      <c r="B2363">
        <v>102.47859954833901</v>
      </c>
      <c r="C2363">
        <v>39.145153045654297</v>
      </c>
    </row>
    <row r="2364" spans="1:3">
      <c r="A2364" s="1">
        <v>42873</v>
      </c>
      <c r="B2364">
        <v>102.73989868164</v>
      </c>
      <c r="C2364">
        <v>39.029308319091797</v>
      </c>
    </row>
    <row r="2365" spans="1:3">
      <c r="A2365" s="1">
        <v>42874</v>
      </c>
      <c r="B2365">
        <v>102.433555603027</v>
      </c>
      <c r="C2365">
        <v>39.118423461913999</v>
      </c>
    </row>
    <row r="2366" spans="1:3">
      <c r="A2366" s="1">
        <v>42877</v>
      </c>
      <c r="B2366">
        <v>103.343551635742</v>
      </c>
      <c r="C2366">
        <v>39.367923736572202</v>
      </c>
    </row>
    <row r="2367" spans="1:3">
      <c r="A2367" s="1">
        <v>42878</v>
      </c>
      <c r="B2367">
        <v>103.658897399902</v>
      </c>
      <c r="C2367">
        <v>39.555049896240199</v>
      </c>
    </row>
    <row r="2368" spans="1:3">
      <c r="A2368" s="1">
        <v>42879</v>
      </c>
      <c r="B2368">
        <v>104.56890869140599</v>
      </c>
      <c r="C2368">
        <v>40.125328063964801</v>
      </c>
    </row>
    <row r="2369" spans="1:3">
      <c r="A2369" s="1">
        <v>42880</v>
      </c>
      <c r="B2369">
        <v>105.893356323242</v>
      </c>
      <c r="C2369">
        <v>40.463951110839801</v>
      </c>
    </row>
    <row r="2370" spans="1:3">
      <c r="A2370" s="1">
        <v>42881</v>
      </c>
      <c r="B2370">
        <v>106.23573303222599</v>
      </c>
      <c r="C2370">
        <v>40.446132659912102</v>
      </c>
    </row>
    <row r="2371" spans="1:3">
      <c r="A2371" s="1">
        <v>42885</v>
      </c>
      <c r="B2371">
        <v>106.32583618164</v>
      </c>
      <c r="C2371">
        <v>40.481777191162102</v>
      </c>
    </row>
    <row r="2372" spans="1:3">
      <c r="A2372" s="1">
        <v>42886</v>
      </c>
      <c r="B2372">
        <v>106.021934509277</v>
      </c>
      <c r="C2372">
        <v>40.517410278320298</v>
      </c>
    </row>
    <row r="2373" spans="1:3">
      <c r="A2373" s="1">
        <v>42887</v>
      </c>
      <c r="B2373">
        <v>106.348518371582</v>
      </c>
      <c r="C2373">
        <v>40.802558898925703</v>
      </c>
    </row>
    <row r="2374" spans="1:3">
      <c r="A2374" s="1">
        <v>42888</v>
      </c>
      <c r="B2374">
        <v>106.747673034667</v>
      </c>
      <c r="C2374">
        <v>40.891674041747997</v>
      </c>
    </row>
    <row r="2375" spans="1:3">
      <c r="A2375" s="1">
        <v>42891</v>
      </c>
      <c r="B2375">
        <v>106.938171386718</v>
      </c>
      <c r="C2375">
        <v>40.980777740478501</v>
      </c>
    </row>
    <row r="2376" spans="1:3">
      <c r="A2376" s="1">
        <v>42892</v>
      </c>
      <c r="B2376">
        <v>106.774894714355</v>
      </c>
      <c r="C2376">
        <v>40.9718627929687</v>
      </c>
    </row>
    <row r="2377" spans="1:3">
      <c r="A2377" s="1">
        <v>42893</v>
      </c>
      <c r="B2377">
        <v>106.18522644042901</v>
      </c>
      <c r="C2377">
        <v>40.5530586242675</v>
      </c>
    </row>
    <row r="2378" spans="1:3">
      <c r="A2378" s="1">
        <v>42894</v>
      </c>
      <c r="B2378">
        <v>105.13290405273401</v>
      </c>
      <c r="C2378">
        <v>40.214443206787102</v>
      </c>
    </row>
    <row r="2379" spans="1:3">
      <c r="A2379" s="1">
        <v>42895</v>
      </c>
      <c r="B2379">
        <v>105.178260803222</v>
      </c>
      <c r="C2379">
        <v>40.383758544921797</v>
      </c>
    </row>
    <row r="2380" spans="1:3">
      <c r="A2380" s="1">
        <v>42898</v>
      </c>
      <c r="B2380">
        <v>105.441345214843</v>
      </c>
      <c r="C2380">
        <v>40.392669677734297</v>
      </c>
    </row>
    <row r="2381" spans="1:3">
      <c r="A2381" s="1">
        <v>42899</v>
      </c>
      <c r="B2381">
        <v>105.522979736328</v>
      </c>
      <c r="C2381">
        <v>40.455551147460902</v>
      </c>
    </row>
    <row r="2382" spans="1:3">
      <c r="A2382" s="1">
        <v>42900</v>
      </c>
      <c r="B2382">
        <v>106.475532531738</v>
      </c>
      <c r="C2382">
        <v>40.698123931884702</v>
      </c>
    </row>
    <row r="2383" spans="1:3">
      <c r="A2383" s="1">
        <v>42901</v>
      </c>
      <c r="B2383">
        <v>106.330368041992</v>
      </c>
      <c r="C2383">
        <v>40.653205871582003</v>
      </c>
    </row>
    <row r="2384" spans="1:3">
      <c r="A2384" s="1">
        <v>42902</v>
      </c>
      <c r="B2384">
        <v>106.01287078857401</v>
      </c>
      <c r="C2384">
        <v>40.707107543945298</v>
      </c>
    </row>
    <row r="2385" spans="1:3">
      <c r="A2385" s="1">
        <v>42905</v>
      </c>
      <c r="B2385">
        <v>106.402931213378</v>
      </c>
      <c r="C2385">
        <v>40.769996643066399</v>
      </c>
    </row>
    <row r="2386" spans="1:3">
      <c r="A2386" s="1">
        <v>42906</v>
      </c>
      <c r="B2386">
        <v>107.00167846679599</v>
      </c>
      <c r="C2386">
        <v>40.976634979247997</v>
      </c>
    </row>
    <row r="2387" spans="1:3">
      <c r="A2387" s="1">
        <v>42907</v>
      </c>
      <c r="B2387">
        <v>106.520874023437</v>
      </c>
      <c r="C2387">
        <v>40.626255035400298</v>
      </c>
    </row>
    <row r="2388" spans="1:3">
      <c r="A2388" s="1">
        <v>42908</v>
      </c>
      <c r="B2388">
        <v>105.368766784667</v>
      </c>
      <c r="C2388">
        <v>40.491489410400298</v>
      </c>
    </row>
    <row r="2389" spans="1:3">
      <c r="A2389" s="1">
        <v>42909</v>
      </c>
      <c r="B2389">
        <v>106.10358428955</v>
      </c>
      <c r="C2389">
        <v>40.653205871582003</v>
      </c>
    </row>
    <row r="2390" spans="1:3">
      <c r="A2390" s="1">
        <v>42912</v>
      </c>
      <c r="B2390">
        <v>106.248718261718</v>
      </c>
      <c r="C2390">
        <v>40.814922332763601</v>
      </c>
    </row>
    <row r="2391" spans="1:3">
      <c r="A2391" s="1">
        <v>42913</v>
      </c>
      <c r="B2391">
        <v>105.178260803222</v>
      </c>
      <c r="C2391">
        <v>40.473522186279297</v>
      </c>
    </row>
    <row r="2392" spans="1:3">
      <c r="A2392" s="1">
        <v>42914</v>
      </c>
      <c r="B2392">
        <v>105.57740783691401</v>
      </c>
      <c r="C2392">
        <v>40.716094970703097</v>
      </c>
    </row>
    <row r="2393" spans="1:3">
      <c r="A2393" s="1">
        <v>42915</v>
      </c>
      <c r="B2393">
        <v>104.488792419433</v>
      </c>
      <c r="C2393">
        <v>40.275871276855398</v>
      </c>
    </row>
    <row r="2394" spans="1:3">
      <c r="A2394" s="1">
        <v>42916</v>
      </c>
      <c r="B2394">
        <v>104.77001953125</v>
      </c>
      <c r="C2394">
        <v>40.293834686279297</v>
      </c>
    </row>
    <row r="2395" spans="1:3">
      <c r="A2395" s="1">
        <v>42919</v>
      </c>
      <c r="B2395">
        <v>104.72466278076099</v>
      </c>
      <c r="C2395">
        <v>40.212982177734297</v>
      </c>
    </row>
    <row r="2396" spans="1:3">
      <c r="A2396" s="1">
        <v>42921</v>
      </c>
      <c r="B2396">
        <v>104.59766387939401</v>
      </c>
      <c r="C2396">
        <v>40.266895294189403</v>
      </c>
    </row>
    <row r="2397" spans="1:3">
      <c r="A2397" s="1">
        <v>42922</v>
      </c>
      <c r="B2397">
        <v>104.44344329833901</v>
      </c>
      <c r="C2397">
        <v>39.889549255371001</v>
      </c>
    </row>
    <row r="2398" spans="1:3">
      <c r="A2398" s="1">
        <v>42923</v>
      </c>
      <c r="B2398">
        <v>104.78817749023401</v>
      </c>
      <c r="C2398">
        <v>39.880577087402301</v>
      </c>
    </row>
    <row r="2399" spans="1:3">
      <c r="A2399" s="1">
        <v>42926</v>
      </c>
      <c r="B2399">
        <v>103.663276672363</v>
      </c>
      <c r="C2399">
        <v>39.871589660644503</v>
      </c>
    </row>
    <row r="2400" spans="1:3">
      <c r="A2400" s="1">
        <v>42927</v>
      </c>
      <c r="B2400">
        <v>103.18245697021401</v>
      </c>
      <c r="C2400">
        <v>39.826667785644503</v>
      </c>
    </row>
    <row r="2401" spans="1:3">
      <c r="A2401" s="1">
        <v>42928</v>
      </c>
      <c r="B2401">
        <v>104.11684417724599</v>
      </c>
      <c r="C2401">
        <v>39.988372802734297</v>
      </c>
    </row>
    <row r="2402" spans="1:3">
      <c r="A2402" s="1">
        <v>42929</v>
      </c>
      <c r="B2402">
        <v>103.436470031738</v>
      </c>
      <c r="C2402">
        <v>39.916507720947202</v>
      </c>
    </row>
    <row r="2403" spans="1:3">
      <c r="A2403" s="1">
        <v>42930</v>
      </c>
      <c r="B2403">
        <v>104.262008666992</v>
      </c>
      <c r="C2403">
        <v>40.141109466552699</v>
      </c>
    </row>
    <row r="2404" spans="1:3">
      <c r="A2404" s="1">
        <v>42933</v>
      </c>
      <c r="B2404">
        <v>104.262008666992</v>
      </c>
      <c r="C2404">
        <v>40.186031341552699</v>
      </c>
    </row>
    <row r="2405" spans="1:3">
      <c r="A2405" s="1">
        <v>42934</v>
      </c>
      <c r="B2405">
        <v>104.334594726562</v>
      </c>
      <c r="C2405">
        <v>40.132125854492102</v>
      </c>
    </row>
    <row r="2406" spans="1:3">
      <c r="A2406" s="1">
        <v>42935</v>
      </c>
      <c r="B2406">
        <v>104.63394165039</v>
      </c>
      <c r="C2406">
        <v>40.275871276855398</v>
      </c>
    </row>
    <row r="2407" spans="1:3">
      <c r="A2407" s="1">
        <v>42936</v>
      </c>
      <c r="B2407">
        <v>104.78817749023401</v>
      </c>
      <c r="C2407">
        <v>40.266895294189403</v>
      </c>
    </row>
    <row r="2408" spans="1:3">
      <c r="A2408" s="1">
        <v>42937</v>
      </c>
      <c r="B2408">
        <v>105.80421447753901</v>
      </c>
      <c r="C2408">
        <v>40.455551147460902</v>
      </c>
    </row>
    <row r="2409" spans="1:3">
      <c r="A2409" s="1">
        <v>42940</v>
      </c>
      <c r="B2409">
        <v>105.350616455078</v>
      </c>
      <c r="C2409">
        <v>40.284854888916001</v>
      </c>
    </row>
    <row r="2410" spans="1:3">
      <c r="A2410" s="1">
        <v>42941</v>
      </c>
      <c r="B2410">
        <v>105.64092254638599</v>
      </c>
      <c r="C2410">
        <v>40.644218444824197</v>
      </c>
    </row>
    <row r="2411" spans="1:3">
      <c r="A2411" s="1">
        <v>42942</v>
      </c>
      <c r="B2411">
        <v>106.31222534179599</v>
      </c>
      <c r="C2411">
        <v>41.093425750732401</v>
      </c>
    </row>
    <row r="2412" spans="1:3">
      <c r="A2412" s="1">
        <v>42943</v>
      </c>
      <c r="B2412">
        <v>106.448287963867</v>
      </c>
      <c r="C2412">
        <v>41.434818267822202</v>
      </c>
    </row>
    <row r="2413" spans="1:3">
      <c r="A2413" s="1">
        <v>42944</v>
      </c>
      <c r="B2413">
        <v>105.78606414794901</v>
      </c>
      <c r="C2413">
        <v>41.335994720458899</v>
      </c>
    </row>
    <row r="2414" spans="1:3">
      <c r="A2414" s="1">
        <v>42947</v>
      </c>
      <c r="B2414">
        <v>105.78606414794901</v>
      </c>
      <c r="C2414">
        <v>41.183265686035099</v>
      </c>
    </row>
    <row r="2415" spans="1:3">
      <c r="A2415" s="1">
        <v>42948</v>
      </c>
      <c r="B2415">
        <v>105.160110473632</v>
      </c>
      <c r="C2415">
        <v>41.057487487792898</v>
      </c>
    </row>
    <row r="2416" spans="1:3">
      <c r="A2416" s="1">
        <v>42949</v>
      </c>
      <c r="B2416">
        <v>104.87889099121</v>
      </c>
      <c r="C2416">
        <v>40.958671569824197</v>
      </c>
    </row>
    <row r="2417" spans="1:3">
      <c r="A2417" s="1">
        <v>42950</v>
      </c>
      <c r="B2417">
        <v>105.50485229492099</v>
      </c>
      <c r="C2417">
        <v>41.030540466308501</v>
      </c>
    </row>
    <row r="2418" spans="1:3">
      <c r="A2418" s="1">
        <v>42951</v>
      </c>
      <c r="B2418">
        <v>105.56834411621</v>
      </c>
      <c r="C2418">
        <v>40.877811431884702</v>
      </c>
    </row>
    <row r="2419" spans="1:3">
      <c r="A2419" s="1">
        <v>42954</v>
      </c>
      <c r="B2419">
        <v>106.10358428955</v>
      </c>
      <c r="C2419">
        <v>41.003589630126903</v>
      </c>
    </row>
    <row r="2420" spans="1:3">
      <c r="A2420" s="1">
        <v>42955</v>
      </c>
      <c r="B2420">
        <v>105.87678527832</v>
      </c>
      <c r="C2420">
        <v>40.967647552490199</v>
      </c>
    </row>
    <row r="2421" spans="1:3">
      <c r="A2421" s="1">
        <v>42956</v>
      </c>
      <c r="B2421">
        <v>105.80421447753901</v>
      </c>
      <c r="C2421">
        <v>40.958671569824197</v>
      </c>
    </row>
    <row r="2422" spans="1:3">
      <c r="A2422" s="1">
        <v>42957</v>
      </c>
      <c r="B2422">
        <v>105.57740783691401</v>
      </c>
      <c r="C2422">
        <v>41.093425750732401</v>
      </c>
    </row>
    <row r="2423" spans="1:3">
      <c r="A2423" s="1">
        <v>42958</v>
      </c>
      <c r="B2423">
        <v>105.695343017578</v>
      </c>
      <c r="C2423">
        <v>40.958671569824197</v>
      </c>
    </row>
    <row r="2424" spans="1:3">
      <c r="A2424" s="1">
        <v>42961</v>
      </c>
      <c r="B2424">
        <v>106.90190887451099</v>
      </c>
      <c r="C2424">
        <v>41.147335052490199</v>
      </c>
    </row>
    <row r="2425" spans="1:3">
      <c r="A2425" s="1">
        <v>42962</v>
      </c>
      <c r="B2425">
        <v>107.927001953125</v>
      </c>
      <c r="C2425">
        <v>41.497707366943303</v>
      </c>
    </row>
    <row r="2426" spans="1:3">
      <c r="A2426" s="1">
        <v>42963</v>
      </c>
      <c r="B2426">
        <v>108.04493713378901</v>
      </c>
      <c r="C2426">
        <v>41.506702423095703</v>
      </c>
    </row>
    <row r="2427" spans="1:3">
      <c r="A2427" s="1">
        <v>42964</v>
      </c>
      <c r="B2427">
        <v>107.40084838867099</v>
      </c>
      <c r="C2427">
        <v>41.201236724853501</v>
      </c>
    </row>
    <row r="2428" spans="1:3">
      <c r="A2428" s="1">
        <v>42965</v>
      </c>
      <c r="B2428">
        <v>106.684158325195</v>
      </c>
      <c r="C2428">
        <v>41.030540466308501</v>
      </c>
    </row>
    <row r="2429" spans="1:3">
      <c r="A2429" s="1">
        <v>42968</v>
      </c>
      <c r="B2429">
        <v>107.282905578613</v>
      </c>
      <c r="C2429">
        <v>41.039520263671797</v>
      </c>
    </row>
    <row r="2430" spans="1:3">
      <c r="A2430" s="1">
        <v>42969</v>
      </c>
      <c r="B2430">
        <v>106.974479675292</v>
      </c>
      <c r="C2430">
        <v>40.967647552490199</v>
      </c>
    </row>
    <row r="2431" spans="1:3">
      <c r="A2431" s="1">
        <v>42970</v>
      </c>
      <c r="B2431">
        <v>106.402931213378</v>
      </c>
      <c r="C2431">
        <v>40.913749694824197</v>
      </c>
    </row>
    <row r="2432" spans="1:3">
      <c r="A2432" s="1">
        <v>42971</v>
      </c>
      <c r="B2432">
        <v>105.43226623535099</v>
      </c>
      <c r="C2432">
        <v>40.7969551086425</v>
      </c>
    </row>
    <row r="2433" spans="1:3">
      <c r="A2433" s="1">
        <v>42972</v>
      </c>
      <c r="B2433">
        <v>105.096618652343</v>
      </c>
      <c r="C2433">
        <v>40.940704345703097</v>
      </c>
    </row>
    <row r="2434" spans="1:3">
      <c r="A2434" s="1">
        <v>42975</v>
      </c>
      <c r="B2434">
        <v>104.815391540527</v>
      </c>
      <c r="C2434">
        <v>40.805931091308501</v>
      </c>
    </row>
    <row r="2435" spans="1:3">
      <c r="A2435" s="1">
        <v>42976</v>
      </c>
      <c r="B2435">
        <v>105.08753967285099</v>
      </c>
      <c r="C2435">
        <v>40.832893371582003</v>
      </c>
    </row>
    <row r="2436" spans="1:3">
      <c r="A2436" s="1">
        <v>42977</v>
      </c>
      <c r="B2436">
        <v>105.192588806152</v>
      </c>
      <c r="C2436">
        <v>40.778980255126903</v>
      </c>
    </row>
    <row r="2437" spans="1:3">
      <c r="A2437" s="1">
        <v>42978</v>
      </c>
      <c r="B2437">
        <v>105.722434997558</v>
      </c>
      <c r="C2437">
        <v>40.9227294921875</v>
      </c>
    </row>
    <row r="2438" spans="1:3">
      <c r="A2438" s="1">
        <v>42979</v>
      </c>
      <c r="B2438">
        <v>105.82292175292901</v>
      </c>
      <c r="C2438">
        <v>41.129367828369098</v>
      </c>
    </row>
    <row r="2439" spans="1:3">
      <c r="A2439" s="1">
        <v>42983</v>
      </c>
      <c r="B2439">
        <v>105.85033416748</v>
      </c>
      <c r="C2439">
        <v>41.255142211913999</v>
      </c>
    </row>
    <row r="2440" spans="1:3">
      <c r="A2440" s="1">
        <v>42984</v>
      </c>
      <c r="B2440">
        <v>106.28882598876901</v>
      </c>
      <c r="C2440">
        <v>41.2910766601562</v>
      </c>
    </row>
    <row r="2441" spans="1:3">
      <c r="A2441" s="1">
        <v>42985</v>
      </c>
      <c r="B2441">
        <v>106.873489379882</v>
      </c>
      <c r="C2441">
        <v>41.57857131958</v>
      </c>
    </row>
    <row r="2442" spans="1:3">
      <c r="A2442" s="1">
        <v>42986</v>
      </c>
      <c r="B2442">
        <v>105.092109680175</v>
      </c>
      <c r="C2442">
        <v>41.596534729003899</v>
      </c>
    </row>
    <row r="2443" spans="1:3">
      <c r="A2443" s="1">
        <v>42989</v>
      </c>
      <c r="B2443">
        <v>105.685897827148</v>
      </c>
      <c r="C2443">
        <v>41.794185638427699</v>
      </c>
    </row>
    <row r="2444" spans="1:3">
      <c r="A2444" s="1">
        <v>42990</v>
      </c>
      <c r="B2444">
        <v>105.05556488037099</v>
      </c>
      <c r="C2444">
        <v>41.973880767822202</v>
      </c>
    </row>
    <row r="2445" spans="1:3">
      <c r="A2445" s="1">
        <v>42991</v>
      </c>
      <c r="B2445">
        <v>104.55311584472599</v>
      </c>
      <c r="C2445">
        <v>42.108631134033203</v>
      </c>
    </row>
    <row r="2446" spans="1:3">
      <c r="A2446" s="1">
        <v>42992</v>
      </c>
      <c r="B2446">
        <v>104.315628051757</v>
      </c>
      <c r="C2446">
        <v>41.755458831787102</v>
      </c>
    </row>
    <row r="2447" spans="1:3">
      <c r="A2447" s="1">
        <v>42993</v>
      </c>
      <c r="B2447">
        <v>104.9185256958</v>
      </c>
      <c r="C2447">
        <v>41.818855285644503</v>
      </c>
    </row>
    <row r="2448" spans="1:3">
      <c r="A2448" s="1">
        <v>42996</v>
      </c>
      <c r="B2448">
        <v>105.046417236328</v>
      </c>
      <c r="C2448">
        <v>41.755458831787102</v>
      </c>
    </row>
    <row r="2449" spans="1:3">
      <c r="A2449" s="1">
        <v>42997</v>
      </c>
      <c r="B2449">
        <v>104.58966064453099</v>
      </c>
      <c r="C2449">
        <v>41.637741088867102</v>
      </c>
    </row>
    <row r="2450" spans="1:3">
      <c r="A2450" s="1">
        <v>42998</v>
      </c>
      <c r="B2450">
        <v>103.7583694458</v>
      </c>
      <c r="C2450">
        <v>41.456626892089801</v>
      </c>
    </row>
    <row r="2451" spans="1:3">
      <c r="A2451" s="1">
        <v>42999</v>
      </c>
      <c r="B2451">
        <v>103.045806884765</v>
      </c>
      <c r="C2451">
        <v>41.112518310546797</v>
      </c>
    </row>
    <row r="2452" spans="1:3">
      <c r="A2452" s="1">
        <v>43000</v>
      </c>
      <c r="B2452">
        <v>102.17795562744099</v>
      </c>
      <c r="C2452">
        <v>41.194015502929602</v>
      </c>
    </row>
    <row r="2453" spans="1:3">
      <c r="A2453" s="1">
        <v>43003</v>
      </c>
      <c r="B2453">
        <v>102.26016998291</v>
      </c>
      <c r="C2453">
        <v>41.375125885009702</v>
      </c>
    </row>
    <row r="2454" spans="1:3">
      <c r="A2454" s="1">
        <v>43004</v>
      </c>
      <c r="B2454">
        <v>102.141395568847</v>
      </c>
      <c r="C2454">
        <v>41.266460418701101</v>
      </c>
    </row>
    <row r="2455" spans="1:3">
      <c r="A2455" s="1">
        <v>43005</v>
      </c>
      <c r="B2455">
        <v>101.49281311035099</v>
      </c>
      <c r="C2455">
        <v>40.424289703369098</v>
      </c>
    </row>
    <row r="2456" spans="1:3">
      <c r="A2456" s="1">
        <v>43006</v>
      </c>
      <c r="B2456">
        <v>101.986122131347</v>
      </c>
      <c r="C2456">
        <v>40.668788909912102</v>
      </c>
    </row>
    <row r="2457" spans="1:3">
      <c r="A2457" s="1">
        <v>43007</v>
      </c>
      <c r="B2457">
        <v>101.79426574707</v>
      </c>
      <c r="C2457">
        <v>40.759349822997997</v>
      </c>
    </row>
    <row r="2458" spans="1:3">
      <c r="A2458" s="1">
        <v>43010</v>
      </c>
      <c r="B2458">
        <v>99.684020996093693</v>
      </c>
      <c r="C2458">
        <v>40.569175720214801</v>
      </c>
    </row>
    <row r="2459" spans="1:3">
      <c r="A2459" s="1">
        <v>43011</v>
      </c>
      <c r="B2459">
        <v>99.693153381347599</v>
      </c>
      <c r="C2459">
        <v>40.922348022460902</v>
      </c>
    </row>
    <row r="2460" spans="1:3">
      <c r="A2460" s="1">
        <v>43012</v>
      </c>
      <c r="B2460">
        <v>99.885009765625</v>
      </c>
      <c r="C2460">
        <v>41.203075408935497</v>
      </c>
    </row>
    <row r="2461" spans="1:3">
      <c r="A2461" s="1">
        <v>43013</v>
      </c>
      <c r="B2461">
        <v>100.899002075195</v>
      </c>
      <c r="C2461">
        <v>41.221176147460902</v>
      </c>
    </row>
    <row r="2462" spans="1:3">
      <c r="A2462" s="1">
        <v>43014</v>
      </c>
      <c r="B2462">
        <v>100.853340148925</v>
      </c>
      <c r="C2462">
        <v>41.194015502929602</v>
      </c>
    </row>
    <row r="2463" spans="1:3">
      <c r="A2463" s="1">
        <v>43017</v>
      </c>
      <c r="B2463">
        <v>100.497062683105</v>
      </c>
      <c r="C2463">
        <v>41.121570587158203</v>
      </c>
    </row>
    <row r="2464" spans="1:3">
      <c r="A2464" s="1">
        <v>43018</v>
      </c>
      <c r="B2464">
        <v>101.200485229492</v>
      </c>
      <c r="C2464">
        <v>41.538127899169901</v>
      </c>
    </row>
    <row r="2465" spans="1:3">
      <c r="A2465" s="1">
        <v>43019</v>
      </c>
      <c r="B2465">
        <v>101.86736297607401</v>
      </c>
      <c r="C2465">
        <v>41.746414184570298</v>
      </c>
    </row>
    <row r="2466" spans="1:3">
      <c r="A2466" s="1">
        <v>43020</v>
      </c>
      <c r="B2466">
        <v>102.726066589355</v>
      </c>
      <c r="C2466">
        <v>41.755458831787102</v>
      </c>
    </row>
    <row r="2467" spans="1:3">
      <c r="A2467" s="1">
        <v>43021</v>
      </c>
      <c r="B2467">
        <v>102.881370544433</v>
      </c>
      <c r="C2467">
        <v>41.818855285644503</v>
      </c>
    </row>
    <row r="2468" spans="1:3">
      <c r="A2468" s="1">
        <v>43024</v>
      </c>
      <c r="B2468">
        <v>103.749206542968</v>
      </c>
      <c r="C2468">
        <v>42.217300415038999</v>
      </c>
    </row>
    <row r="2469" spans="1:3">
      <c r="A2469" s="1">
        <v>43025</v>
      </c>
      <c r="B2469">
        <v>102.488555908203</v>
      </c>
      <c r="C2469">
        <v>42.126739501953097</v>
      </c>
    </row>
    <row r="2470" spans="1:3">
      <c r="A2470" s="1">
        <v>43026</v>
      </c>
      <c r="B2470">
        <v>102.26930236816401</v>
      </c>
      <c r="C2470">
        <v>42.018081665038999</v>
      </c>
    </row>
    <row r="2471" spans="1:3">
      <c r="A2471" s="1">
        <v>43027</v>
      </c>
      <c r="B2471">
        <v>102.92705535888599</v>
      </c>
      <c r="C2471">
        <v>42.190132141113203</v>
      </c>
    </row>
    <row r="2472" spans="1:3">
      <c r="A2472" s="1">
        <v>43028</v>
      </c>
      <c r="B2472">
        <v>101.95871734619099</v>
      </c>
      <c r="C2472">
        <v>41.999969482421797</v>
      </c>
    </row>
    <row r="2473" spans="1:3">
      <c r="A2473" s="1">
        <v>43031</v>
      </c>
      <c r="B2473">
        <v>102.03179931640599</v>
      </c>
      <c r="C2473">
        <v>41.945632934570298</v>
      </c>
    </row>
    <row r="2474" spans="1:3">
      <c r="A2474" s="1">
        <v>43032</v>
      </c>
      <c r="B2474">
        <v>101.17308807373</v>
      </c>
      <c r="C2474">
        <v>41.818855285644503</v>
      </c>
    </row>
    <row r="2475" spans="1:3">
      <c r="A2475" s="1">
        <v>43033</v>
      </c>
      <c r="B2475">
        <v>100.551887512207</v>
      </c>
      <c r="C2475">
        <v>41.701133728027301</v>
      </c>
    </row>
    <row r="2476" spans="1:3">
      <c r="A2476" s="1">
        <v>43034</v>
      </c>
      <c r="B2476">
        <v>101.15480041503901</v>
      </c>
      <c r="C2476">
        <v>41.8641357421875</v>
      </c>
    </row>
    <row r="2477" spans="1:3">
      <c r="A2477" s="1">
        <v>43035</v>
      </c>
      <c r="B2477">
        <v>101.036041259765</v>
      </c>
      <c r="C2477">
        <v>41.719242095947202</v>
      </c>
    </row>
    <row r="2478" spans="1:3">
      <c r="A2478" s="1">
        <v>43038</v>
      </c>
      <c r="B2478">
        <v>100.16820526123</v>
      </c>
      <c r="C2478">
        <v>41.529079437255803</v>
      </c>
    </row>
    <row r="2479" spans="1:3">
      <c r="A2479" s="1">
        <v>43039</v>
      </c>
      <c r="B2479">
        <v>100.698036193847</v>
      </c>
      <c r="C2479">
        <v>41.637741088867102</v>
      </c>
    </row>
    <row r="2480" spans="1:3">
      <c r="A2480" s="1">
        <v>43040</v>
      </c>
      <c r="B2480">
        <v>100.606689453125</v>
      </c>
      <c r="C2480">
        <v>41.474735260009702</v>
      </c>
    </row>
    <row r="2481" spans="1:3">
      <c r="A2481" s="1">
        <v>43041</v>
      </c>
      <c r="B2481">
        <v>100.53360748291</v>
      </c>
      <c r="C2481">
        <v>41.547176361083899</v>
      </c>
    </row>
    <row r="2482" spans="1:3">
      <c r="A2482" s="1">
        <v>43042</v>
      </c>
      <c r="B2482">
        <v>100.688919067382</v>
      </c>
      <c r="C2482">
        <v>41.6286811828613</v>
      </c>
    </row>
    <row r="2483" spans="1:3">
      <c r="A2483" s="1">
        <v>43045</v>
      </c>
      <c r="B2483">
        <v>99.811927795410099</v>
      </c>
      <c r="C2483">
        <v>41.1759033203125</v>
      </c>
    </row>
    <row r="2484" spans="1:3">
      <c r="A2484" s="1">
        <v>43046</v>
      </c>
      <c r="B2484">
        <v>100.91729736328099</v>
      </c>
      <c r="C2484">
        <v>41.601512908935497</v>
      </c>
    </row>
    <row r="2485" spans="1:3">
      <c r="A2485" s="1">
        <v>43047</v>
      </c>
      <c r="B2485">
        <v>102.314971923828</v>
      </c>
      <c r="C2485">
        <v>41.818855285644503</v>
      </c>
    </row>
    <row r="2486" spans="1:3">
      <c r="A2486" s="1">
        <v>43048</v>
      </c>
      <c r="B2486">
        <v>101.839942932128</v>
      </c>
      <c r="C2486">
        <v>41.8641357421875</v>
      </c>
    </row>
    <row r="2487" spans="1:3">
      <c r="A2487" s="1">
        <v>43049</v>
      </c>
      <c r="B2487">
        <v>103.00013732910099</v>
      </c>
      <c r="C2487">
        <v>42.1448554992675</v>
      </c>
    </row>
    <row r="2488" spans="1:3">
      <c r="A2488" s="1">
        <v>43052</v>
      </c>
      <c r="B2488">
        <v>104.178573608398</v>
      </c>
      <c r="C2488">
        <v>42.307857513427699</v>
      </c>
    </row>
    <row r="2489" spans="1:3">
      <c r="A2489" s="1">
        <v>43053</v>
      </c>
      <c r="B2489">
        <v>105.749855041503</v>
      </c>
      <c r="C2489">
        <v>42.950809478759702</v>
      </c>
    </row>
    <row r="2490" spans="1:3">
      <c r="A2490" s="1">
        <v>43054</v>
      </c>
      <c r="B2490">
        <v>105.146919250488</v>
      </c>
      <c r="C2490">
        <v>42.389358520507798</v>
      </c>
    </row>
    <row r="2491" spans="1:3">
      <c r="A2491" s="1">
        <v>43055</v>
      </c>
      <c r="B2491">
        <v>105.26567840576099</v>
      </c>
      <c r="C2491">
        <v>42.153915405273402</v>
      </c>
    </row>
    <row r="2492" spans="1:3">
      <c r="A2492" s="1">
        <v>43056</v>
      </c>
      <c r="B2492">
        <v>104.76323699951099</v>
      </c>
      <c r="C2492">
        <v>41.393238067626903</v>
      </c>
    </row>
    <row r="2493" spans="1:3">
      <c r="A2493" s="1">
        <v>43059</v>
      </c>
      <c r="B2493">
        <v>104.97335815429599</v>
      </c>
      <c r="C2493">
        <v>41.166851043701101</v>
      </c>
    </row>
    <row r="2494" spans="1:3">
      <c r="A2494" s="1">
        <v>43060</v>
      </c>
      <c r="B2494">
        <v>106.014762878417</v>
      </c>
      <c r="C2494">
        <v>41.456626892089801</v>
      </c>
    </row>
    <row r="2495" spans="1:3">
      <c r="A2495" s="1">
        <v>43061</v>
      </c>
      <c r="B2495">
        <v>105.12863922119099</v>
      </c>
      <c r="C2495">
        <v>41.510963439941399</v>
      </c>
    </row>
    <row r="2496" spans="1:3">
      <c r="A2496" s="1">
        <v>43063</v>
      </c>
      <c r="B2496">
        <v>105.87774658203099</v>
      </c>
      <c r="C2496">
        <v>41.547176361083899</v>
      </c>
    </row>
    <row r="2497" spans="1:3">
      <c r="A2497" s="1">
        <v>43066</v>
      </c>
      <c r="B2497">
        <v>105.832069396972</v>
      </c>
      <c r="C2497">
        <v>41.565303802490199</v>
      </c>
    </row>
    <row r="2498" spans="1:3">
      <c r="A2498" s="1">
        <v>43067</v>
      </c>
      <c r="B2498">
        <v>106.67250061035099</v>
      </c>
      <c r="C2498">
        <v>41.501914978027301</v>
      </c>
    </row>
    <row r="2499" spans="1:3">
      <c r="A2499" s="1">
        <v>43068</v>
      </c>
      <c r="B2499">
        <v>106.736434936523</v>
      </c>
      <c r="C2499">
        <v>41.203075408935497</v>
      </c>
    </row>
    <row r="2500" spans="1:3">
      <c r="A2500" s="1">
        <v>43069</v>
      </c>
      <c r="B2500">
        <v>107.18258666992099</v>
      </c>
      <c r="C2500">
        <v>41.787384033203097</v>
      </c>
    </row>
    <row r="2501" spans="1:3">
      <c r="A2501" s="1">
        <v>43070</v>
      </c>
      <c r="B2501">
        <v>107.42176818847599</v>
      </c>
      <c r="C2501">
        <v>41.969982147216797</v>
      </c>
    </row>
    <row r="2502" spans="1:3">
      <c r="A2502" s="1">
        <v>43073</v>
      </c>
      <c r="B2502">
        <v>108.04725646972599</v>
      </c>
      <c r="C2502">
        <v>42.2073554992675</v>
      </c>
    </row>
    <row r="2503" spans="1:3">
      <c r="A2503" s="1">
        <v>43074</v>
      </c>
      <c r="B2503">
        <v>108.166847229003</v>
      </c>
      <c r="C2503">
        <v>42.234745025634702</v>
      </c>
    </row>
    <row r="2504" spans="1:3">
      <c r="A2504" s="1">
        <v>43075</v>
      </c>
      <c r="B2504">
        <v>109.371849060058</v>
      </c>
      <c r="C2504">
        <v>42.408214569091797</v>
      </c>
    </row>
    <row r="2505" spans="1:3">
      <c r="A2505" s="1">
        <v>43076</v>
      </c>
      <c r="B2505">
        <v>107.375755310058</v>
      </c>
      <c r="C2505">
        <v>41.796512603759702</v>
      </c>
    </row>
    <row r="2506" spans="1:3">
      <c r="A2506" s="1">
        <v>43077</v>
      </c>
      <c r="B2506">
        <v>107.228591918945</v>
      </c>
      <c r="C2506">
        <v>41.367416381835902</v>
      </c>
    </row>
    <row r="2507" spans="1:3">
      <c r="A2507" s="1">
        <v>43080</v>
      </c>
      <c r="B2507">
        <v>107.982872009277</v>
      </c>
      <c r="C2507">
        <v>41.385673522949197</v>
      </c>
    </row>
    <row r="2508" spans="1:3">
      <c r="A2508" s="1">
        <v>43081</v>
      </c>
      <c r="B2508">
        <v>107.992065429687</v>
      </c>
      <c r="C2508">
        <v>41.349151611328097</v>
      </c>
    </row>
    <row r="2509" spans="1:3">
      <c r="A2509" s="1">
        <v>43082</v>
      </c>
      <c r="B2509">
        <v>108.36001586914</v>
      </c>
      <c r="C2509">
        <v>41.906078338622997</v>
      </c>
    </row>
    <row r="2510" spans="1:3">
      <c r="A2510" s="1">
        <v>43083</v>
      </c>
      <c r="B2510">
        <v>108.562377929687</v>
      </c>
      <c r="C2510">
        <v>42.024757385253899</v>
      </c>
    </row>
    <row r="2511" spans="1:3">
      <c r="A2511" s="1">
        <v>43084</v>
      </c>
      <c r="B2511">
        <v>109.666221618652</v>
      </c>
      <c r="C2511">
        <v>42.170833587646399</v>
      </c>
    </row>
    <row r="2512" spans="1:3">
      <c r="A2512" s="1">
        <v>43087</v>
      </c>
      <c r="B2512">
        <v>108.58998870849599</v>
      </c>
      <c r="C2512">
        <v>41.933464050292898</v>
      </c>
    </row>
    <row r="2513" spans="1:3">
      <c r="A2513" s="1">
        <v>43088</v>
      </c>
      <c r="B2513">
        <v>109.105094909667</v>
      </c>
      <c r="C2513">
        <v>42.116065979003899</v>
      </c>
    </row>
    <row r="2514" spans="1:3">
      <c r="A2514" s="1">
        <v>43089</v>
      </c>
      <c r="B2514">
        <v>109.48223876953099</v>
      </c>
      <c r="C2514">
        <v>42.070415496826101</v>
      </c>
    </row>
    <row r="2515" spans="1:3">
      <c r="A2515" s="1">
        <v>43090</v>
      </c>
      <c r="B2515">
        <v>108.783149719238</v>
      </c>
      <c r="C2515">
        <v>41.632175445556598</v>
      </c>
    </row>
    <row r="2516" spans="1:3">
      <c r="A2516" s="1">
        <v>43091</v>
      </c>
      <c r="B2516">
        <v>109.095909118652</v>
      </c>
      <c r="C2516">
        <v>41.623046875</v>
      </c>
    </row>
    <row r="2517" spans="1:3">
      <c r="A2517" s="1">
        <v>43095</v>
      </c>
      <c r="B2517">
        <v>109.362678527832</v>
      </c>
      <c r="C2517">
        <v>41.823905944824197</v>
      </c>
    </row>
    <row r="2518" spans="1:3">
      <c r="A2518" s="1">
        <v>43096</v>
      </c>
      <c r="B2518">
        <v>109.739822387695</v>
      </c>
      <c r="C2518">
        <v>41.933464050292898</v>
      </c>
    </row>
    <row r="2519" spans="1:3">
      <c r="A2519" s="1">
        <v>43097</v>
      </c>
      <c r="B2519">
        <v>109.78581237792901</v>
      </c>
      <c r="C2519">
        <v>41.741737365722599</v>
      </c>
    </row>
    <row r="2520" spans="1:3">
      <c r="A2520" s="1">
        <v>43098</v>
      </c>
      <c r="B2520">
        <v>110.31011199951099</v>
      </c>
      <c r="C2520">
        <v>41.887809753417898</v>
      </c>
    </row>
    <row r="2521" spans="1:3">
      <c r="A2521" s="1">
        <v>43102</v>
      </c>
      <c r="B2521">
        <v>108.599166870117</v>
      </c>
      <c r="C2521">
        <v>41.577404022216797</v>
      </c>
    </row>
    <row r="2522" spans="1:3">
      <c r="A2522" s="1">
        <v>43103</v>
      </c>
      <c r="B2522">
        <v>108.314010620117</v>
      </c>
      <c r="C2522">
        <v>41.486099243163999</v>
      </c>
    </row>
    <row r="2523" spans="1:3">
      <c r="A2523" s="1">
        <v>43104</v>
      </c>
      <c r="B2523">
        <v>108.847534179687</v>
      </c>
      <c r="C2523">
        <v>42.070415496826101</v>
      </c>
    </row>
    <row r="2524" spans="1:3">
      <c r="A2524" s="1">
        <v>43105</v>
      </c>
      <c r="B2524">
        <v>109.16029357910099</v>
      </c>
      <c r="C2524">
        <v>42.061275482177699</v>
      </c>
    </row>
    <row r="2525" spans="1:3">
      <c r="A2525" s="1">
        <v>43108</v>
      </c>
      <c r="B2525">
        <v>108.534774780273</v>
      </c>
      <c r="C2525">
        <v>41.9973754882812</v>
      </c>
    </row>
    <row r="2526" spans="1:3">
      <c r="A2526" s="1">
        <v>43109</v>
      </c>
      <c r="B2526">
        <v>108.61757659912099</v>
      </c>
      <c r="C2526">
        <v>42.2073554992675</v>
      </c>
    </row>
    <row r="2527" spans="1:3">
      <c r="A2527" s="1">
        <v>43110</v>
      </c>
      <c r="B2527">
        <v>108.065658569335</v>
      </c>
      <c r="C2527">
        <v>42.061275482177699</v>
      </c>
    </row>
    <row r="2528" spans="1:3">
      <c r="A2528" s="1">
        <v>43111</v>
      </c>
      <c r="B2528">
        <v>107.513748168945</v>
      </c>
      <c r="C2528">
        <v>42.033889770507798</v>
      </c>
    </row>
    <row r="2529" spans="1:3">
      <c r="A2529" s="1">
        <v>43112</v>
      </c>
      <c r="B2529">
        <v>107.973663330078</v>
      </c>
      <c r="C2529">
        <v>42.134326934814403</v>
      </c>
    </row>
    <row r="2530" spans="1:3">
      <c r="A2530" s="1">
        <v>43116</v>
      </c>
      <c r="B2530">
        <v>108.41520690917901</v>
      </c>
      <c r="C2530">
        <v>42.481258392333899</v>
      </c>
    </row>
    <row r="2531" spans="1:3">
      <c r="A2531" s="1">
        <v>43117</v>
      </c>
      <c r="B2531">
        <v>109.629432678222</v>
      </c>
      <c r="C2531">
        <v>42.746017456054602</v>
      </c>
    </row>
    <row r="2532" spans="1:3">
      <c r="A2532" s="1">
        <v>43118</v>
      </c>
      <c r="B2532">
        <v>109.50984954833901</v>
      </c>
      <c r="C2532">
        <v>42.8008003234863</v>
      </c>
    </row>
    <row r="2533" spans="1:3">
      <c r="A2533" s="1">
        <v>43119</v>
      </c>
      <c r="B2533">
        <v>110.540084838867</v>
      </c>
      <c r="C2533">
        <v>43.056438446044901</v>
      </c>
    </row>
    <row r="2534" spans="1:3">
      <c r="A2534" s="1">
        <v>43122</v>
      </c>
      <c r="B2534">
        <v>111.77272033691401</v>
      </c>
      <c r="C2534">
        <v>43.257289886474602</v>
      </c>
    </row>
    <row r="2535" spans="1:3">
      <c r="A2535" s="1">
        <v>43123</v>
      </c>
      <c r="B2535">
        <v>111.579544067382</v>
      </c>
      <c r="C2535">
        <v>43.321201324462798</v>
      </c>
    </row>
    <row r="2536" spans="1:3">
      <c r="A2536" s="1">
        <v>43124</v>
      </c>
      <c r="B2536">
        <v>111.43236541748</v>
      </c>
      <c r="C2536">
        <v>43.668136596679602</v>
      </c>
    </row>
    <row r="2537" spans="1:3">
      <c r="A2537" s="1">
        <v>43125</v>
      </c>
      <c r="B2537">
        <v>111.211585998535</v>
      </c>
      <c r="C2537">
        <v>43.677261352538999</v>
      </c>
    </row>
    <row r="2538" spans="1:3">
      <c r="A2538" s="1">
        <v>43126</v>
      </c>
      <c r="B2538">
        <v>112.002670288085</v>
      </c>
      <c r="C2538">
        <v>44.307228088378899</v>
      </c>
    </row>
    <row r="2539" spans="1:3">
      <c r="A2539" s="1">
        <v>43129</v>
      </c>
      <c r="B2539">
        <v>110.08016967773401</v>
      </c>
      <c r="C2539">
        <v>43.549446105957003</v>
      </c>
    </row>
    <row r="2540" spans="1:3">
      <c r="A2540" s="1">
        <v>43130</v>
      </c>
      <c r="B2540">
        <v>110.28252410888599</v>
      </c>
      <c r="C2540">
        <v>43.284679412841797</v>
      </c>
    </row>
    <row r="2541" spans="1:3">
      <c r="A2541" s="1">
        <v>43131</v>
      </c>
      <c r="B2541">
        <v>110.65967559814401</v>
      </c>
      <c r="C2541">
        <v>43.449024200439403</v>
      </c>
    </row>
    <row r="2542" spans="1:3">
      <c r="A2542" s="1">
        <v>43132</v>
      </c>
      <c r="B2542">
        <v>110.65967559814401</v>
      </c>
      <c r="C2542">
        <v>43.321201324462798</v>
      </c>
    </row>
    <row r="2543" spans="1:3">
      <c r="A2543" s="1">
        <v>43133</v>
      </c>
      <c r="B2543">
        <v>109.16029357910099</v>
      </c>
      <c r="C2543">
        <v>42.663856506347599</v>
      </c>
    </row>
    <row r="2544" spans="1:3">
      <c r="A2544" s="1">
        <v>43136</v>
      </c>
      <c r="B2544">
        <v>105.287673950195</v>
      </c>
      <c r="C2544">
        <v>40.983955383300703</v>
      </c>
    </row>
    <row r="2545" spans="1:3">
      <c r="A2545" s="1">
        <v>43137</v>
      </c>
      <c r="B2545">
        <v>104.45979309082</v>
      </c>
      <c r="C2545">
        <v>40.7831001281738</v>
      </c>
    </row>
    <row r="2546" spans="1:3">
      <c r="A2546" s="1">
        <v>43138</v>
      </c>
      <c r="B2546">
        <v>104.40459442138599</v>
      </c>
      <c r="C2546">
        <v>40.682670593261697</v>
      </c>
    </row>
    <row r="2547" spans="1:3">
      <c r="A2547" s="1">
        <v>43139</v>
      </c>
      <c r="B2547">
        <v>101.323036193847</v>
      </c>
      <c r="C2547">
        <v>39.349708557128899</v>
      </c>
    </row>
    <row r="2548" spans="1:3">
      <c r="A2548" s="1">
        <v>43140</v>
      </c>
      <c r="B2548">
        <v>102.27052307128901</v>
      </c>
      <c r="C2548">
        <v>39.3770942687988</v>
      </c>
    </row>
    <row r="2549" spans="1:3">
      <c r="A2549" s="1">
        <v>43143</v>
      </c>
      <c r="B2549">
        <v>102.96041870117099</v>
      </c>
      <c r="C2549">
        <v>40.144008636474602</v>
      </c>
    </row>
    <row r="2550" spans="1:3">
      <c r="A2550" s="1">
        <v>43144</v>
      </c>
      <c r="B2550">
        <v>103.153594970703</v>
      </c>
      <c r="C2550">
        <v>40.344863891601499</v>
      </c>
    </row>
    <row r="2551" spans="1:3">
      <c r="A2551" s="1">
        <v>43145</v>
      </c>
      <c r="B2551">
        <v>100.36638641357401</v>
      </c>
      <c r="C2551">
        <v>40.262699127197202</v>
      </c>
    </row>
    <row r="2552" spans="1:3">
      <c r="A2552" s="1">
        <v>43146</v>
      </c>
      <c r="B2552">
        <v>102.077339172363</v>
      </c>
      <c r="C2552">
        <v>40.883525848388601</v>
      </c>
    </row>
    <row r="2553" spans="1:3">
      <c r="A2553" s="1">
        <v>43147</v>
      </c>
      <c r="B2553">
        <v>102.16012573242099</v>
      </c>
      <c r="C2553">
        <v>41.066120147705</v>
      </c>
    </row>
    <row r="2554" spans="1:3">
      <c r="A2554" s="1">
        <v>43151</v>
      </c>
      <c r="B2554">
        <v>100.70675659179599</v>
      </c>
      <c r="C2554">
        <v>40.162261962890597</v>
      </c>
    </row>
    <row r="2555" spans="1:3">
      <c r="A2555" s="1">
        <v>43152</v>
      </c>
      <c r="B2555">
        <v>99.345344543457003</v>
      </c>
      <c r="C2555">
        <v>39.568820953369098</v>
      </c>
    </row>
    <row r="2556" spans="1:3">
      <c r="A2556" s="1">
        <v>43153</v>
      </c>
      <c r="B2556">
        <v>100.50437927246</v>
      </c>
      <c r="C2556">
        <v>39.733169555663999</v>
      </c>
    </row>
    <row r="2557" spans="1:3">
      <c r="A2557" s="1">
        <v>43154</v>
      </c>
      <c r="B2557">
        <v>100.89071655273401</v>
      </c>
      <c r="C2557">
        <v>40.207912445068303</v>
      </c>
    </row>
    <row r="2558" spans="1:3">
      <c r="A2558" s="1">
        <v>43157</v>
      </c>
      <c r="B2558">
        <v>102.04973602294901</v>
      </c>
      <c r="C2558">
        <v>40.198783874511697</v>
      </c>
    </row>
    <row r="2559" spans="1:3">
      <c r="A2559" s="1">
        <v>43158</v>
      </c>
      <c r="B2559">
        <v>102.00374603271401</v>
      </c>
      <c r="C2559">
        <v>39.824459075927699</v>
      </c>
    </row>
    <row r="2560" spans="1:3">
      <c r="A2560" s="1">
        <v>43159</v>
      </c>
      <c r="B2560">
        <v>100.936721801757</v>
      </c>
      <c r="C2560">
        <v>39.459266662597599</v>
      </c>
    </row>
    <row r="2561" spans="1:3">
      <c r="A2561" s="1">
        <v>43160</v>
      </c>
      <c r="B2561">
        <v>100.190742492675</v>
      </c>
      <c r="C2561">
        <v>39.650997161865199</v>
      </c>
    </row>
    <row r="2562" spans="1:3">
      <c r="A2562" s="1">
        <v>43161</v>
      </c>
      <c r="B2562">
        <v>101.04327392578099</v>
      </c>
      <c r="C2562">
        <v>39.915763854980398</v>
      </c>
    </row>
    <row r="2563" spans="1:3">
      <c r="A2563" s="1">
        <v>43164</v>
      </c>
      <c r="B2563">
        <v>101.40467834472599</v>
      </c>
      <c r="C2563">
        <v>40.070972442626903</v>
      </c>
    </row>
    <row r="2564" spans="1:3">
      <c r="A2564" s="1">
        <v>43165</v>
      </c>
      <c r="B2564">
        <v>101.54369354248</v>
      </c>
      <c r="C2564">
        <v>40.107490539550703</v>
      </c>
    </row>
    <row r="2565" spans="1:3">
      <c r="A2565" s="1">
        <v>43166</v>
      </c>
      <c r="B2565">
        <v>101.78459930419901</v>
      </c>
      <c r="C2565">
        <v>40.007049560546797</v>
      </c>
    </row>
    <row r="2566" spans="1:3">
      <c r="A2566" s="1">
        <v>43167</v>
      </c>
      <c r="B2566">
        <v>103.86032104492099</v>
      </c>
      <c r="C2566">
        <v>40.582237243652301</v>
      </c>
    </row>
    <row r="2567" spans="1:3">
      <c r="A2567" s="1">
        <v>43168</v>
      </c>
      <c r="B2567">
        <v>104.28659820556599</v>
      </c>
      <c r="C2567">
        <v>40.920051574707003</v>
      </c>
    </row>
    <row r="2568" spans="1:3">
      <c r="A2568" s="1">
        <v>43171</v>
      </c>
      <c r="B2568">
        <v>104.481185913085</v>
      </c>
      <c r="C2568">
        <v>40.655281066894503</v>
      </c>
    </row>
    <row r="2569" spans="1:3">
      <c r="A2569" s="1">
        <v>43172</v>
      </c>
      <c r="B2569">
        <v>105.26885986328099</v>
      </c>
      <c r="C2569">
        <v>40.691795349121001</v>
      </c>
    </row>
    <row r="2570" spans="1:3">
      <c r="A2570" s="1">
        <v>43173</v>
      </c>
      <c r="B2570">
        <v>104.35146331787099</v>
      </c>
      <c r="C2570">
        <v>40.3233833312988</v>
      </c>
    </row>
    <row r="2571" spans="1:3">
      <c r="A2571" s="1">
        <v>43174</v>
      </c>
      <c r="B2571">
        <v>103.7769241333</v>
      </c>
      <c r="C2571">
        <v>40.222061157226499</v>
      </c>
    </row>
    <row r="2572" spans="1:3">
      <c r="A2572" s="1">
        <v>43175</v>
      </c>
      <c r="B2572">
        <v>103.45260620117099</v>
      </c>
      <c r="C2572">
        <v>40.028640747070298</v>
      </c>
    </row>
    <row r="2573" spans="1:3">
      <c r="A2573" s="1">
        <v>43178</v>
      </c>
      <c r="B2573">
        <v>102.266464233398</v>
      </c>
      <c r="C2573">
        <v>39.844432830810497</v>
      </c>
    </row>
    <row r="2574" spans="1:3">
      <c r="A2574" s="1">
        <v>43179</v>
      </c>
      <c r="B2574">
        <v>101.840202331542</v>
      </c>
      <c r="C2574">
        <v>39.752330780029297</v>
      </c>
    </row>
    <row r="2575" spans="1:3">
      <c r="A2575" s="1">
        <v>43180</v>
      </c>
      <c r="B2575">
        <v>100.765266418457</v>
      </c>
      <c r="C2575">
        <v>39.604969024658203</v>
      </c>
    </row>
    <row r="2576" spans="1:3">
      <c r="A2576" s="1">
        <v>43181</v>
      </c>
      <c r="B2576">
        <v>100.02394104003901</v>
      </c>
      <c r="C2576">
        <v>39.383914947509702</v>
      </c>
    </row>
    <row r="2577" spans="1:3">
      <c r="A2577" s="1">
        <v>43182</v>
      </c>
      <c r="B2577">
        <v>98.365219116210895</v>
      </c>
      <c r="C2577">
        <v>38.987869262695298</v>
      </c>
    </row>
    <row r="2578" spans="1:3">
      <c r="A2578" s="1">
        <v>43185</v>
      </c>
      <c r="B2578">
        <v>98.976821899414006</v>
      </c>
      <c r="C2578">
        <v>39.319438934326101</v>
      </c>
    </row>
    <row r="2579" spans="1:3">
      <c r="A2579" s="1">
        <v>43186</v>
      </c>
      <c r="B2579">
        <v>99.745964050292898</v>
      </c>
      <c r="C2579">
        <v>39.503654479980398</v>
      </c>
    </row>
    <row r="2580" spans="1:3">
      <c r="A2580" s="1">
        <v>43187</v>
      </c>
      <c r="B2580">
        <v>101.17301940917901</v>
      </c>
      <c r="C2580">
        <v>39.899696350097599</v>
      </c>
    </row>
    <row r="2581" spans="1:3">
      <c r="A2581" s="1">
        <v>43188</v>
      </c>
      <c r="B2581">
        <v>101.145217895507</v>
      </c>
      <c r="C2581">
        <v>40.001018524169901</v>
      </c>
    </row>
    <row r="2582" spans="1:3">
      <c r="A2582" s="1">
        <v>43192</v>
      </c>
      <c r="B2582">
        <v>99.199211120605398</v>
      </c>
      <c r="C2582">
        <v>39.301029205322202</v>
      </c>
    </row>
    <row r="2583" spans="1:3">
      <c r="A2583" s="1">
        <v>43193</v>
      </c>
      <c r="B2583">
        <v>100.25562286376901</v>
      </c>
      <c r="C2583">
        <v>39.954967498779297</v>
      </c>
    </row>
    <row r="2584" spans="1:3">
      <c r="A2584" s="1">
        <v>43194</v>
      </c>
      <c r="B2584">
        <v>102.09966278076099</v>
      </c>
      <c r="C2584">
        <v>40.747062683105398</v>
      </c>
    </row>
    <row r="2585" spans="1:3">
      <c r="A2585" s="1">
        <v>43195</v>
      </c>
      <c r="B2585">
        <v>102.461059570312</v>
      </c>
      <c r="C2585">
        <v>40.894424438476499</v>
      </c>
    </row>
    <row r="2586" spans="1:3">
      <c r="A2586" s="1">
        <v>43196</v>
      </c>
      <c r="B2586">
        <v>101.284217834472</v>
      </c>
      <c r="C2586">
        <v>40.452323913574197</v>
      </c>
    </row>
    <row r="2587" spans="1:3">
      <c r="A2587" s="1">
        <v>43199</v>
      </c>
      <c r="B2587">
        <v>101.358345031738</v>
      </c>
      <c r="C2587">
        <v>40.369430541992102</v>
      </c>
    </row>
    <row r="2588" spans="1:3">
      <c r="A2588" s="1">
        <v>43200</v>
      </c>
      <c r="B2588">
        <v>101.37687683105401</v>
      </c>
      <c r="C2588">
        <v>40.516803741455</v>
      </c>
    </row>
    <row r="2589" spans="1:3">
      <c r="A2589" s="1">
        <v>43201</v>
      </c>
      <c r="B2589">
        <v>100.709678649902</v>
      </c>
      <c r="C2589">
        <v>40.516803741455</v>
      </c>
    </row>
    <row r="2590" spans="1:3">
      <c r="A2590" s="1">
        <v>43202</v>
      </c>
      <c r="B2590">
        <v>100.366813659667</v>
      </c>
      <c r="C2590">
        <v>40.553638458251903</v>
      </c>
    </row>
    <row r="2591" spans="1:3">
      <c r="A2591" s="1">
        <v>43203</v>
      </c>
      <c r="B2591">
        <v>101.24713897705</v>
      </c>
      <c r="C2591">
        <v>40.995742797851499</v>
      </c>
    </row>
    <row r="2592" spans="1:3">
      <c r="A2592" s="1">
        <v>43206</v>
      </c>
      <c r="B2592">
        <v>101.85873413085901</v>
      </c>
      <c r="C2592">
        <v>41.152324676513601</v>
      </c>
    </row>
    <row r="2593" spans="1:3">
      <c r="A2593" s="1">
        <v>43207</v>
      </c>
      <c r="B2593">
        <v>100.8857421875</v>
      </c>
      <c r="C2593">
        <v>41.336528778076101</v>
      </c>
    </row>
    <row r="2594" spans="1:3">
      <c r="A2594" s="1">
        <v>43208</v>
      </c>
      <c r="B2594">
        <v>99.134346008300696</v>
      </c>
      <c r="C2594">
        <v>40.995742797851499</v>
      </c>
    </row>
    <row r="2595" spans="1:3">
      <c r="A2595" s="1">
        <v>43209</v>
      </c>
      <c r="B2595">
        <v>97.8277587890625</v>
      </c>
      <c r="C2595">
        <v>40.811534881591797</v>
      </c>
    </row>
    <row r="2596" spans="1:3">
      <c r="A2596" s="1">
        <v>43210</v>
      </c>
      <c r="B2596">
        <v>94.964378356933594</v>
      </c>
      <c r="C2596">
        <v>40.286544799804602</v>
      </c>
    </row>
    <row r="2597" spans="1:3">
      <c r="A2597" s="1">
        <v>43213</v>
      </c>
      <c r="B2597">
        <v>95.057029724121094</v>
      </c>
      <c r="C2597">
        <v>40.507591247558501</v>
      </c>
    </row>
    <row r="2598" spans="1:3">
      <c r="A2598" s="1">
        <v>43214</v>
      </c>
      <c r="B2598">
        <v>94.000648498535099</v>
      </c>
      <c r="C2598">
        <v>39.66943359375</v>
      </c>
    </row>
    <row r="2599" spans="1:3">
      <c r="A2599" s="1">
        <v>43215</v>
      </c>
      <c r="B2599">
        <v>93.731903076171804</v>
      </c>
      <c r="C2599">
        <v>39.079971313476499</v>
      </c>
    </row>
    <row r="2600" spans="1:3">
      <c r="A2600" s="1">
        <v>43216</v>
      </c>
      <c r="B2600">
        <v>95.687171936035099</v>
      </c>
      <c r="C2600">
        <v>39.3746948242187</v>
      </c>
    </row>
    <row r="2601" spans="1:3">
      <c r="A2601" s="1">
        <v>43217</v>
      </c>
      <c r="B2601">
        <v>94.250839233398395</v>
      </c>
      <c r="C2601">
        <v>39.890487670898402</v>
      </c>
    </row>
    <row r="2602" spans="1:3">
      <c r="A2602" s="1">
        <v>43220</v>
      </c>
      <c r="B2602">
        <v>93.537315368652301</v>
      </c>
      <c r="C2602">
        <v>39.798389434814403</v>
      </c>
    </row>
    <row r="2603" spans="1:3">
      <c r="A2603" s="1">
        <v>43221</v>
      </c>
      <c r="B2603">
        <v>91.860054016113196</v>
      </c>
      <c r="C2603">
        <v>39.227336883544901</v>
      </c>
    </row>
    <row r="2604" spans="1:3">
      <c r="A2604" s="1">
        <v>43222</v>
      </c>
      <c r="B2604">
        <v>90.099395751953097</v>
      </c>
      <c r="C2604">
        <v>38.739181518554602</v>
      </c>
    </row>
    <row r="2605" spans="1:3">
      <c r="A2605" s="1">
        <v>43223</v>
      </c>
      <c r="B2605">
        <v>90.4422607421875</v>
      </c>
      <c r="C2605">
        <v>38.582603454589801</v>
      </c>
    </row>
    <row r="2606" spans="1:3">
      <c r="A2606" s="1">
        <v>43224</v>
      </c>
      <c r="B2606">
        <v>91.730316162109304</v>
      </c>
      <c r="C2606">
        <v>39.015495300292898</v>
      </c>
    </row>
    <row r="2607" spans="1:3">
      <c r="A2607" s="1">
        <v>43227</v>
      </c>
      <c r="B2607">
        <v>91.026069641113196</v>
      </c>
      <c r="C2607">
        <v>38.812862396240199</v>
      </c>
    </row>
    <row r="2608" spans="1:3">
      <c r="A2608" s="1">
        <v>43228</v>
      </c>
      <c r="B2608">
        <v>89.691658020019503</v>
      </c>
      <c r="C2608">
        <v>38.508922576904297</v>
      </c>
    </row>
    <row r="2609" spans="1:3">
      <c r="A2609" s="1">
        <v>43229</v>
      </c>
      <c r="B2609">
        <v>89.107872009277301</v>
      </c>
      <c r="C2609">
        <v>38.481288909912102</v>
      </c>
    </row>
    <row r="2610" spans="1:3">
      <c r="A2610" s="1">
        <v>43230</v>
      </c>
      <c r="B2610">
        <v>90.136451721191406</v>
      </c>
      <c r="C2610">
        <v>38.849708557128899</v>
      </c>
    </row>
    <row r="2611" spans="1:3">
      <c r="A2611" s="1">
        <v>43231</v>
      </c>
      <c r="B2611">
        <v>90.284721374511705</v>
      </c>
      <c r="C2611">
        <v>38.812862396240199</v>
      </c>
    </row>
    <row r="2612" spans="1:3">
      <c r="A2612" s="1">
        <v>43234</v>
      </c>
      <c r="B2612">
        <v>90.025260925292898</v>
      </c>
      <c r="C2612">
        <v>38.720767974853501</v>
      </c>
    </row>
    <row r="2613" spans="1:3">
      <c r="A2613" s="1">
        <v>43235</v>
      </c>
      <c r="B2613">
        <v>89.700920104980398</v>
      </c>
      <c r="C2613">
        <v>38.426025390625</v>
      </c>
    </row>
    <row r="2614" spans="1:3">
      <c r="A2614" s="1">
        <v>43236</v>
      </c>
      <c r="B2614">
        <v>90.062324523925696</v>
      </c>
      <c r="C2614">
        <v>38.269447326660099</v>
      </c>
    </row>
    <row r="2615" spans="1:3">
      <c r="A2615" s="1">
        <v>43237</v>
      </c>
      <c r="B2615">
        <v>90.738792419433594</v>
      </c>
      <c r="C2615">
        <v>38.960231781005803</v>
      </c>
    </row>
    <row r="2616" spans="1:3">
      <c r="A2616" s="1">
        <v>43238</v>
      </c>
      <c r="B2616">
        <v>90.358856201171804</v>
      </c>
      <c r="C2616">
        <v>38.849708557128899</v>
      </c>
    </row>
    <row r="2617" spans="1:3">
      <c r="A2617" s="1">
        <v>43241</v>
      </c>
      <c r="B2617">
        <v>92.212181091308594</v>
      </c>
      <c r="C2617">
        <v>39.061550140380803</v>
      </c>
    </row>
    <row r="2618" spans="1:3">
      <c r="A2618" s="1">
        <v>43242</v>
      </c>
      <c r="B2618">
        <v>92.601387023925696</v>
      </c>
      <c r="C2618">
        <v>38.914180755615199</v>
      </c>
    </row>
    <row r="2619" spans="1:3">
      <c r="A2619" s="1">
        <v>43243</v>
      </c>
      <c r="B2619">
        <v>93.083244323730398</v>
      </c>
      <c r="C2619">
        <v>39.052337646484297</v>
      </c>
    </row>
    <row r="2620" spans="1:3">
      <c r="A2620" s="1">
        <v>43244</v>
      </c>
      <c r="B2620">
        <v>92.833045959472599</v>
      </c>
      <c r="C2620">
        <v>38.9786567687988</v>
      </c>
    </row>
    <row r="2621" spans="1:3">
      <c r="A2621" s="1">
        <v>43245</v>
      </c>
      <c r="B2621">
        <v>92.953521728515597</v>
      </c>
      <c r="C2621">
        <v>39.052337646484297</v>
      </c>
    </row>
    <row r="2622" spans="1:3">
      <c r="A2622" s="1">
        <v>43249</v>
      </c>
      <c r="B2622">
        <v>93.685585021972599</v>
      </c>
      <c r="C2622">
        <v>39.310230255126903</v>
      </c>
    </row>
    <row r="2623" spans="1:3">
      <c r="A2623" s="1">
        <v>43250</v>
      </c>
      <c r="B2623">
        <v>94.362045288085895</v>
      </c>
      <c r="C2623">
        <v>39.724697113037102</v>
      </c>
    </row>
    <row r="2624" spans="1:3">
      <c r="A2624" s="1">
        <v>43251</v>
      </c>
      <c r="B2624">
        <v>93.752296447753906</v>
      </c>
      <c r="C2624">
        <v>39.604969024658203</v>
      </c>
    </row>
    <row r="2625" spans="1:3">
      <c r="A2625" s="1">
        <v>43252</v>
      </c>
      <c r="B2625">
        <v>93.752296447753906</v>
      </c>
      <c r="C2625">
        <v>39.715484619140597</v>
      </c>
    </row>
    <row r="2626" spans="1:3">
      <c r="A2626" s="1">
        <v>43255</v>
      </c>
      <c r="B2626">
        <v>93.630729675292898</v>
      </c>
      <c r="C2626">
        <v>40.056282043457003</v>
      </c>
    </row>
    <row r="2627" spans="1:3">
      <c r="A2627" s="1">
        <v>43256</v>
      </c>
      <c r="B2627">
        <v>93.714897155761705</v>
      </c>
      <c r="C2627">
        <v>39.706283569335902</v>
      </c>
    </row>
    <row r="2628" spans="1:3">
      <c r="A2628" s="1">
        <v>43257</v>
      </c>
      <c r="B2628">
        <v>94.294715881347599</v>
      </c>
      <c r="C2628">
        <v>40.028640747070298</v>
      </c>
    </row>
    <row r="2629" spans="1:3">
      <c r="A2629" s="1">
        <v>43258</v>
      </c>
      <c r="B2629">
        <v>94.603317260742102</v>
      </c>
      <c r="C2629">
        <v>40.010227203369098</v>
      </c>
    </row>
    <row r="2630" spans="1:3">
      <c r="A2630" s="1">
        <v>43259</v>
      </c>
      <c r="B2630">
        <v>95.847114562988196</v>
      </c>
      <c r="C2630">
        <v>40.479961395263601</v>
      </c>
    </row>
    <row r="2631" spans="1:3">
      <c r="A2631" s="1">
        <v>43262</v>
      </c>
      <c r="B2631">
        <v>96.520446777343693</v>
      </c>
      <c r="C2631">
        <v>40.645748138427699</v>
      </c>
    </row>
    <row r="2632" spans="1:3">
      <c r="A2632" s="1">
        <v>43263</v>
      </c>
      <c r="B2632">
        <v>97.708137512207003</v>
      </c>
      <c r="C2632">
        <v>40.903640747070298</v>
      </c>
    </row>
    <row r="2633" spans="1:3">
      <c r="A2633" s="1">
        <v>43264</v>
      </c>
      <c r="B2633">
        <v>98.446922302246094</v>
      </c>
      <c r="C2633">
        <v>40.691795349121001</v>
      </c>
    </row>
    <row r="2634" spans="1:3">
      <c r="A2634" s="1">
        <v>43265</v>
      </c>
      <c r="B2634">
        <v>98.315994262695298</v>
      </c>
      <c r="C2634">
        <v>40.496658325195298</v>
      </c>
    </row>
    <row r="2635" spans="1:3">
      <c r="A2635" s="1">
        <v>43266</v>
      </c>
      <c r="B2635">
        <v>100.63526153564401</v>
      </c>
      <c r="C2635">
        <v>40.998447418212798</v>
      </c>
    </row>
    <row r="2636" spans="1:3">
      <c r="A2636" s="1">
        <v>43269</v>
      </c>
      <c r="B2636">
        <v>98.549797058105398</v>
      </c>
      <c r="C2636">
        <v>40.468784332275298</v>
      </c>
    </row>
    <row r="2637" spans="1:3">
      <c r="A2637" s="1">
        <v>43270</v>
      </c>
      <c r="B2637">
        <v>99.092201232910099</v>
      </c>
      <c r="C2637">
        <v>40.515243530273402</v>
      </c>
    </row>
    <row r="2638" spans="1:3">
      <c r="A2638" s="1">
        <v>43271</v>
      </c>
      <c r="B2638">
        <v>98.951919555664006</v>
      </c>
      <c r="C2638">
        <v>40.199291229247997</v>
      </c>
    </row>
    <row r="2639" spans="1:3">
      <c r="A2639" s="1">
        <v>43272</v>
      </c>
      <c r="B2639">
        <v>100.289253234863</v>
      </c>
      <c r="C2639">
        <v>40.041324615478501</v>
      </c>
    </row>
    <row r="2640" spans="1:3">
      <c r="A2640" s="1">
        <v>43273</v>
      </c>
      <c r="B2640">
        <v>101.34600830078099</v>
      </c>
      <c r="C2640">
        <v>40.190006256103501</v>
      </c>
    </row>
    <row r="2641" spans="1:3">
      <c r="A2641" s="1">
        <v>43276</v>
      </c>
      <c r="B2641">
        <v>101.925819396972</v>
      </c>
      <c r="C2641">
        <v>40.496658325195298</v>
      </c>
    </row>
    <row r="2642" spans="1:3">
      <c r="A2642" s="1">
        <v>43277</v>
      </c>
      <c r="B2642">
        <v>101.046745300292</v>
      </c>
      <c r="C2642">
        <v>40.264347076416001</v>
      </c>
    </row>
    <row r="2643" spans="1:3">
      <c r="A2643" s="1">
        <v>43278</v>
      </c>
      <c r="B2643">
        <v>101.252479553222</v>
      </c>
      <c r="C2643">
        <v>40.022735595703097</v>
      </c>
    </row>
    <row r="2644" spans="1:3">
      <c r="A2644" s="1">
        <v>43279</v>
      </c>
      <c r="B2644">
        <v>101.63591766357401</v>
      </c>
      <c r="C2644">
        <v>40.394439697265597</v>
      </c>
    </row>
    <row r="2645" spans="1:3">
      <c r="A2645" s="1">
        <v>43280</v>
      </c>
      <c r="B2645">
        <v>101.813591003417</v>
      </c>
      <c r="C2645">
        <v>40.756847381591797</v>
      </c>
    </row>
    <row r="2646" spans="1:3">
      <c r="A2646" s="1">
        <v>43283</v>
      </c>
      <c r="B2646">
        <v>102.43080902099599</v>
      </c>
      <c r="C2646">
        <v>40.654628753662102</v>
      </c>
    </row>
    <row r="2647" spans="1:3">
      <c r="A2647" s="1">
        <v>43284</v>
      </c>
      <c r="B2647">
        <v>101.748146057128</v>
      </c>
      <c r="C2647">
        <v>40.877651214599602</v>
      </c>
    </row>
    <row r="2648" spans="1:3">
      <c r="A2648" s="1">
        <v>43286</v>
      </c>
      <c r="B2648">
        <v>102.44952392578099</v>
      </c>
      <c r="C2648">
        <v>41.500244140625</v>
      </c>
    </row>
    <row r="2649" spans="1:3">
      <c r="A2649" s="1">
        <v>43287</v>
      </c>
      <c r="B2649">
        <v>102.45887756347599</v>
      </c>
      <c r="C2649">
        <v>41.481658935546797</v>
      </c>
    </row>
    <row r="2650" spans="1:3">
      <c r="A2650" s="1">
        <v>43290</v>
      </c>
      <c r="B2650">
        <v>100.77554321289</v>
      </c>
      <c r="C2650">
        <v>41.258636474609297</v>
      </c>
    </row>
    <row r="2651" spans="1:3">
      <c r="A2651" s="1">
        <v>43291</v>
      </c>
      <c r="B2651">
        <v>105.573036193847</v>
      </c>
      <c r="C2651">
        <v>41.788318634033203</v>
      </c>
    </row>
    <row r="2652" spans="1:3">
      <c r="A2652" s="1">
        <v>43292</v>
      </c>
      <c r="B2652">
        <v>105.245735168457</v>
      </c>
      <c r="C2652">
        <v>41.621044158935497</v>
      </c>
    </row>
    <row r="2653" spans="1:3">
      <c r="A2653" s="1">
        <v>43293</v>
      </c>
      <c r="B2653">
        <v>104.30119323730401</v>
      </c>
      <c r="C2653">
        <v>41.509536743163999</v>
      </c>
    </row>
    <row r="2654" spans="1:3">
      <c r="A2654" s="1">
        <v>43294</v>
      </c>
      <c r="B2654">
        <v>105.38600158691401</v>
      </c>
      <c r="C2654">
        <v>41.574581146240199</v>
      </c>
    </row>
    <row r="2655" spans="1:3">
      <c r="A2655" s="1">
        <v>43297</v>
      </c>
      <c r="B2655">
        <v>105.63851165771401</v>
      </c>
      <c r="C2655">
        <v>41.565292358398402</v>
      </c>
    </row>
    <row r="2656" spans="1:3">
      <c r="A2656" s="1">
        <v>43298</v>
      </c>
      <c r="B2656">
        <v>107.43405914306599</v>
      </c>
      <c r="C2656">
        <v>42.048500061035099</v>
      </c>
    </row>
    <row r="2657" spans="1:3">
      <c r="A2657" s="1">
        <v>43299</v>
      </c>
      <c r="B2657">
        <v>107.38729858398401</v>
      </c>
      <c r="C2657">
        <v>41.927700042724602</v>
      </c>
    </row>
    <row r="2658" spans="1:3">
      <c r="A2658" s="1">
        <v>43300</v>
      </c>
      <c r="B2658">
        <v>108.26636505126901</v>
      </c>
      <c r="C2658">
        <v>41.918407440185497</v>
      </c>
    </row>
    <row r="2659" spans="1:3">
      <c r="A2659" s="1">
        <v>43301</v>
      </c>
      <c r="B2659">
        <v>108.49081420898401</v>
      </c>
      <c r="C2659">
        <v>42.076370239257798</v>
      </c>
    </row>
    <row r="2660" spans="1:3">
      <c r="A2660" s="1">
        <v>43304</v>
      </c>
      <c r="B2660">
        <v>106.97582244873</v>
      </c>
      <c r="C2660">
        <v>41.769725799560497</v>
      </c>
    </row>
    <row r="2661" spans="1:3">
      <c r="A2661" s="1">
        <v>43305</v>
      </c>
      <c r="B2661">
        <v>107.303131103515</v>
      </c>
      <c r="C2661">
        <v>42.057792663574197</v>
      </c>
    </row>
    <row r="2662" spans="1:3">
      <c r="A2662" s="1">
        <v>43306</v>
      </c>
      <c r="B2662">
        <v>107.74267578125</v>
      </c>
      <c r="C2662">
        <v>42.829071044921797</v>
      </c>
    </row>
    <row r="2663" spans="1:3">
      <c r="A2663" s="1">
        <v>43307</v>
      </c>
      <c r="B2663">
        <v>107.54628753662099</v>
      </c>
      <c r="C2663">
        <v>42.968460083007798</v>
      </c>
    </row>
    <row r="2664" spans="1:3">
      <c r="A2664" s="1">
        <v>43308</v>
      </c>
      <c r="B2664">
        <v>106.872955322265</v>
      </c>
      <c r="C2664">
        <v>42.940578460693303</v>
      </c>
    </row>
    <row r="2665" spans="1:3">
      <c r="A2665" s="1">
        <v>43311</v>
      </c>
      <c r="B2665">
        <v>106.779426574707</v>
      </c>
      <c r="C2665">
        <v>42.959163665771399</v>
      </c>
    </row>
    <row r="2666" spans="1:3">
      <c r="A2666" s="1">
        <v>43312</v>
      </c>
      <c r="B2666">
        <v>107.54628753662099</v>
      </c>
      <c r="C2666">
        <v>43.330867767333899</v>
      </c>
    </row>
    <row r="2667" spans="1:3">
      <c r="A2667" s="1">
        <v>43313</v>
      </c>
      <c r="B2667">
        <v>106.246368408203</v>
      </c>
      <c r="C2667">
        <v>43.107841491699197</v>
      </c>
    </row>
    <row r="2668" spans="1:3">
      <c r="A2668" s="1">
        <v>43314</v>
      </c>
      <c r="B2668">
        <v>107.256370544433</v>
      </c>
      <c r="C2668">
        <v>42.912700653076101</v>
      </c>
    </row>
    <row r="2669" spans="1:3">
      <c r="A2669" s="1">
        <v>43315</v>
      </c>
      <c r="B2669">
        <v>108.76202392578099</v>
      </c>
      <c r="C2669">
        <v>43.321575164794901</v>
      </c>
    </row>
    <row r="2670" spans="1:3">
      <c r="A2670" s="1">
        <v>43318</v>
      </c>
      <c r="B2670">
        <v>109.77202606201099</v>
      </c>
      <c r="C2670">
        <v>43.3494453430175</v>
      </c>
    </row>
    <row r="2671" spans="1:3">
      <c r="A2671" s="1">
        <v>43319</v>
      </c>
      <c r="B2671">
        <v>106.816848754882</v>
      </c>
      <c r="C2671">
        <v>43.210060119628899</v>
      </c>
    </row>
    <row r="2672" spans="1:3">
      <c r="A2672" s="1">
        <v>43320</v>
      </c>
      <c r="B2672">
        <v>106.134147644042</v>
      </c>
      <c r="C2672">
        <v>42.884830474853501</v>
      </c>
    </row>
    <row r="2673" spans="1:3">
      <c r="A2673" s="1">
        <v>43321</v>
      </c>
      <c r="B2673">
        <v>106.33054351806599</v>
      </c>
      <c r="C2673">
        <v>43.070674896240199</v>
      </c>
    </row>
    <row r="2674" spans="1:3">
      <c r="A2674" s="1">
        <v>43322</v>
      </c>
      <c r="B2674">
        <v>105.55433654785099</v>
      </c>
      <c r="C2674">
        <v>42.81978225708</v>
      </c>
    </row>
    <row r="2675" spans="1:3">
      <c r="A2675" s="1">
        <v>43325</v>
      </c>
      <c r="B2675">
        <v>105.694618225097</v>
      </c>
      <c r="C2675">
        <v>42.587471008300703</v>
      </c>
    </row>
    <row r="2676" spans="1:3">
      <c r="A2676" s="1">
        <v>43326</v>
      </c>
      <c r="B2676">
        <v>105.76943206787099</v>
      </c>
      <c r="C2676">
        <v>42.643218994140597</v>
      </c>
    </row>
    <row r="2677" spans="1:3">
      <c r="A2677" s="1">
        <v>43327</v>
      </c>
      <c r="B2677">
        <v>106.09674835205</v>
      </c>
      <c r="C2677">
        <v>42.81978225708</v>
      </c>
    </row>
    <row r="2678" spans="1:3">
      <c r="A2678" s="1">
        <v>43328</v>
      </c>
      <c r="B2678">
        <v>106.84489440917901</v>
      </c>
      <c r="C2678">
        <v>42.949871063232401</v>
      </c>
    </row>
    <row r="2679" spans="1:3">
      <c r="A2679" s="1">
        <v>43329</v>
      </c>
      <c r="B2679">
        <v>107.508888244628</v>
      </c>
      <c r="C2679">
        <v>43.302986145019503</v>
      </c>
    </row>
    <row r="2680" spans="1:3">
      <c r="A2680" s="1">
        <v>43332</v>
      </c>
      <c r="B2680">
        <v>107.39663696289</v>
      </c>
      <c r="C2680">
        <v>43.423789978027301</v>
      </c>
    </row>
    <row r="2681" spans="1:3">
      <c r="A2681" s="1">
        <v>43333</v>
      </c>
      <c r="B2681">
        <v>106.349250793457</v>
      </c>
      <c r="C2681">
        <v>42.949871063232401</v>
      </c>
    </row>
    <row r="2682" spans="1:3">
      <c r="A2682" s="1">
        <v>43334</v>
      </c>
      <c r="B2682">
        <v>104.96517181396401</v>
      </c>
      <c r="C2682">
        <v>42.680393218994098</v>
      </c>
    </row>
    <row r="2683" spans="1:3">
      <c r="A2683" s="1">
        <v>43335</v>
      </c>
      <c r="B2683">
        <v>104.67526245117099</v>
      </c>
      <c r="C2683">
        <v>42.466667175292898</v>
      </c>
    </row>
    <row r="2684" spans="1:3">
      <c r="A2684" s="1">
        <v>43336</v>
      </c>
      <c r="B2684">
        <v>104.88101196289</v>
      </c>
      <c r="C2684">
        <v>42.401611328125</v>
      </c>
    </row>
    <row r="2685" spans="1:3">
      <c r="A2685" s="1">
        <v>43339</v>
      </c>
      <c r="B2685">
        <v>105.124153137207</v>
      </c>
      <c r="C2685">
        <v>42.457366943359297</v>
      </c>
    </row>
    <row r="2686" spans="1:3">
      <c r="A2686" s="1">
        <v>43340</v>
      </c>
      <c r="B2686">
        <v>103.964515686035</v>
      </c>
      <c r="C2686">
        <v>42.160007476806598</v>
      </c>
    </row>
    <row r="2687" spans="1:3">
      <c r="A2687" s="1">
        <v>43341</v>
      </c>
      <c r="B2687">
        <v>104.787483215332</v>
      </c>
      <c r="C2687">
        <v>42.122840881347599</v>
      </c>
    </row>
    <row r="2688" spans="1:3">
      <c r="A2688" s="1">
        <v>43342</v>
      </c>
      <c r="B2688">
        <v>104.703315734863</v>
      </c>
      <c r="C2688">
        <v>41.769725799560497</v>
      </c>
    </row>
    <row r="2689" spans="1:3">
      <c r="A2689" s="1">
        <v>43343</v>
      </c>
      <c r="B2689">
        <v>104.75008392333901</v>
      </c>
      <c r="C2689">
        <v>41.416606903076101</v>
      </c>
    </row>
    <row r="2690" spans="1:3">
      <c r="A2690" s="1">
        <v>43347</v>
      </c>
      <c r="B2690">
        <v>103.805541992187</v>
      </c>
      <c r="C2690">
        <v>41.593170166015597</v>
      </c>
    </row>
    <row r="2691" spans="1:3">
      <c r="A2691" s="1">
        <v>43348</v>
      </c>
      <c r="B2691">
        <v>105.788131713867</v>
      </c>
      <c r="C2691">
        <v>42.169303894042898</v>
      </c>
    </row>
    <row r="2692" spans="1:3">
      <c r="A2692" s="1">
        <v>43349</v>
      </c>
      <c r="B2692">
        <v>107.02146911621</v>
      </c>
      <c r="C2692">
        <v>42.531711578369098</v>
      </c>
    </row>
    <row r="2693" spans="1:3">
      <c r="A2693" s="1">
        <v>43350</v>
      </c>
      <c r="B2693">
        <v>106.30484008789</v>
      </c>
      <c r="C2693">
        <v>42.4852485656738</v>
      </c>
    </row>
    <row r="2694" spans="1:3">
      <c r="A2694" s="1">
        <v>43353</v>
      </c>
      <c r="B2694">
        <v>107.087478637695</v>
      </c>
      <c r="C2694">
        <v>42.801189422607401</v>
      </c>
    </row>
    <row r="2695" spans="1:3">
      <c r="A2695" s="1">
        <v>43354</v>
      </c>
      <c r="B2695">
        <v>106.86117553710901</v>
      </c>
      <c r="C2695">
        <v>42.764019012451101</v>
      </c>
    </row>
    <row r="2696" spans="1:3">
      <c r="A2696" s="1">
        <v>43355</v>
      </c>
      <c r="B2696">
        <v>107.35149383544901</v>
      </c>
      <c r="C2696">
        <v>42.968460083007798</v>
      </c>
    </row>
    <row r="2697" spans="1:3">
      <c r="A2697" s="1">
        <v>43356</v>
      </c>
      <c r="B2697">
        <v>108.42642211914</v>
      </c>
      <c r="C2697">
        <v>42.949718475341797</v>
      </c>
    </row>
    <row r="2698" spans="1:3">
      <c r="A2698" s="1">
        <v>43357</v>
      </c>
      <c r="B2698">
        <v>108.030387878417</v>
      </c>
      <c r="C2698">
        <v>43.099658966064403</v>
      </c>
    </row>
    <row r="2699" spans="1:3">
      <c r="A2699" s="1">
        <v>43360</v>
      </c>
      <c r="B2699">
        <v>108.813034057617</v>
      </c>
      <c r="C2699">
        <v>43.408916473388601</v>
      </c>
    </row>
    <row r="2700" spans="1:3">
      <c r="A2700" s="1">
        <v>43361</v>
      </c>
      <c r="B2700">
        <v>107.474082946777</v>
      </c>
      <c r="C2700">
        <v>43.043430328369098</v>
      </c>
    </row>
    <row r="2701" spans="1:3">
      <c r="A2701" s="1">
        <v>43362</v>
      </c>
      <c r="B2701">
        <v>107.27605438232401</v>
      </c>
      <c r="C2701">
        <v>43.071540832519503</v>
      </c>
    </row>
    <row r="2702" spans="1:3">
      <c r="A2702" s="1">
        <v>43363</v>
      </c>
      <c r="B2702">
        <v>108.643295288085</v>
      </c>
      <c r="C2702">
        <v>43.708805084228501</v>
      </c>
    </row>
    <row r="2703" spans="1:3">
      <c r="A2703" s="1">
        <v>43364</v>
      </c>
      <c r="B2703">
        <v>108.35099029541</v>
      </c>
      <c r="C2703">
        <v>43.652584075927699</v>
      </c>
    </row>
    <row r="2704" spans="1:3">
      <c r="A2704" s="1">
        <v>43367</v>
      </c>
      <c r="B2704">
        <v>105.861671447753</v>
      </c>
      <c r="C2704">
        <v>43.174633026122997</v>
      </c>
    </row>
    <row r="2705" spans="1:3">
      <c r="A2705" s="1">
        <v>43368</v>
      </c>
      <c r="B2705">
        <v>105.578811645507</v>
      </c>
      <c r="C2705">
        <v>42.809135437011697</v>
      </c>
    </row>
    <row r="2706" spans="1:3">
      <c r="A2706" s="1">
        <v>43369</v>
      </c>
      <c r="B2706">
        <v>105.135627746582</v>
      </c>
      <c r="C2706">
        <v>42.968452453613203</v>
      </c>
    </row>
    <row r="2707" spans="1:3">
      <c r="A2707" s="1">
        <v>43370</v>
      </c>
      <c r="B2707">
        <v>104.71132659912099</v>
      </c>
      <c r="C2707">
        <v>43.118392944335902</v>
      </c>
    </row>
    <row r="2708" spans="1:3">
      <c r="A2708" s="1">
        <v>43371</v>
      </c>
      <c r="B2708">
        <v>105.41851043701099</v>
      </c>
      <c r="C2708">
        <v>43.287086486816399</v>
      </c>
    </row>
    <row r="2709" spans="1:3">
      <c r="A2709" s="1">
        <v>43374</v>
      </c>
      <c r="B2709">
        <v>104.390724182128</v>
      </c>
      <c r="C2709">
        <v>43.324577331542898</v>
      </c>
    </row>
    <row r="2710" spans="1:3">
      <c r="A2710" s="1">
        <v>43375</v>
      </c>
      <c r="B2710">
        <v>102.51432800292901</v>
      </c>
      <c r="C2710">
        <v>43.5869750976562</v>
      </c>
    </row>
    <row r="2711" spans="1:3">
      <c r="A2711" s="1">
        <v>43376</v>
      </c>
      <c r="B2711">
        <v>101.3828125</v>
      </c>
      <c r="C2711">
        <v>42.987197875976499</v>
      </c>
    </row>
    <row r="2712" spans="1:3">
      <c r="A2712" s="1">
        <v>43377</v>
      </c>
      <c r="B2712">
        <v>100.524757385253</v>
      </c>
      <c r="C2712">
        <v>42.968452453613203</v>
      </c>
    </row>
    <row r="2713" spans="1:3">
      <c r="A2713" s="1">
        <v>43378</v>
      </c>
      <c r="B2713">
        <v>100.41159820556599</v>
      </c>
      <c r="C2713">
        <v>42.996578216552699</v>
      </c>
    </row>
    <row r="2714" spans="1:3">
      <c r="A2714" s="1">
        <v>43381</v>
      </c>
      <c r="B2714">
        <v>102.01456451416</v>
      </c>
      <c r="C2714">
        <v>43.558860778808501</v>
      </c>
    </row>
    <row r="2715" spans="1:3">
      <c r="A2715" s="1">
        <v>43382</v>
      </c>
      <c r="B2715">
        <v>101.94856262207</v>
      </c>
      <c r="C2715">
        <v>43.474517822265597</v>
      </c>
    </row>
    <row r="2716" spans="1:3">
      <c r="A2716" s="1">
        <v>43383</v>
      </c>
      <c r="B2716">
        <v>101.213081359863</v>
      </c>
      <c r="C2716">
        <v>42.809135437011697</v>
      </c>
    </row>
    <row r="2717" spans="1:3">
      <c r="A2717" s="1">
        <v>43384</v>
      </c>
      <c r="B2717">
        <v>99.063224792480398</v>
      </c>
      <c r="C2717">
        <v>41.834503173828097</v>
      </c>
    </row>
    <row r="2718" spans="1:3">
      <c r="A2718" s="1">
        <v>43385</v>
      </c>
      <c r="B2718">
        <v>99.270668029785099</v>
      </c>
      <c r="C2718">
        <v>41.871994018554602</v>
      </c>
    </row>
    <row r="2719" spans="1:3">
      <c r="A2719" s="1">
        <v>43388</v>
      </c>
      <c r="B2719">
        <v>99.600685119628906</v>
      </c>
      <c r="C2719">
        <v>42.087535858154297</v>
      </c>
    </row>
    <row r="2720" spans="1:3">
      <c r="A2720" s="1">
        <v>43389</v>
      </c>
      <c r="B2720">
        <v>101.26023101806599</v>
      </c>
      <c r="C2720">
        <v>42.631084442138601</v>
      </c>
    </row>
    <row r="2721" spans="1:3">
      <c r="A2721" s="1">
        <v>43390</v>
      </c>
      <c r="B2721">
        <v>102.127708435058</v>
      </c>
      <c r="C2721">
        <v>42.977825164794901</v>
      </c>
    </row>
    <row r="2722" spans="1:3">
      <c r="A2722" s="1">
        <v>43391</v>
      </c>
      <c r="B2722">
        <v>101.769393920898</v>
      </c>
      <c r="C2722">
        <v>42.743541717529297</v>
      </c>
    </row>
    <row r="2723" spans="1:3">
      <c r="A2723" s="1">
        <v>43392</v>
      </c>
      <c r="B2723">
        <v>103.99471282958901</v>
      </c>
      <c r="C2723">
        <v>43.4182929992675</v>
      </c>
    </row>
    <row r="2724" spans="1:3">
      <c r="A2724" s="1">
        <v>43395</v>
      </c>
      <c r="B2724">
        <v>103.155502319335</v>
      </c>
      <c r="C2724">
        <v>43.080917358398402</v>
      </c>
    </row>
    <row r="2725" spans="1:3">
      <c r="A2725" s="1">
        <v>43396</v>
      </c>
      <c r="B2725">
        <v>103.843826293945</v>
      </c>
      <c r="C2725">
        <v>43.446403503417898</v>
      </c>
    </row>
    <row r="2726" spans="1:3">
      <c r="A2726" s="1">
        <v>43397</v>
      </c>
      <c r="B2726">
        <v>106.51229858398401</v>
      </c>
      <c r="C2726">
        <v>43.7931518554687</v>
      </c>
    </row>
    <row r="2727" spans="1:3">
      <c r="A2727" s="1">
        <v>43398</v>
      </c>
      <c r="B2727">
        <v>106.408561706542</v>
      </c>
      <c r="C2727">
        <v>43.5869750976562</v>
      </c>
    </row>
    <row r="2728" spans="1:3">
      <c r="A2728" s="1">
        <v>43399</v>
      </c>
      <c r="B2728">
        <v>104.14556121826099</v>
      </c>
      <c r="C2728">
        <v>43.034053802490199</v>
      </c>
    </row>
    <row r="2729" spans="1:3">
      <c r="A2729" s="1">
        <v>43402</v>
      </c>
      <c r="B2729">
        <v>106.4462890625</v>
      </c>
      <c r="C2729">
        <v>43.5401191711425</v>
      </c>
    </row>
    <row r="2730" spans="1:3">
      <c r="A2730" s="1">
        <v>43403</v>
      </c>
      <c r="B2730">
        <v>107.27605438232401</v>
      </c>
      <c r="C2730">
        <v>44.636585235595703</v>
      </c>
    </row>
    <row r="2731" spans="1:3">
      <c r="A2731" s="1">
        <v>43404</v>
      </c>
      <c r="B2731">
        <v>105.96539306640599</v>
      </c>
      <c r="C2731">
        <v>44.870876312255803</v>
      </c>
    </row>
    <row r="2732" spans="1:3">
      <c r="A2732" s="1">
        <v>43405</v>
      </c>
      <c r="B2732">
        <v>105.14507293701099</v>
      </c>
      <c r="C2732">
        <v>44.739677429199197</v>
      </c>
    </row>
    <row r="2733" spans="1:3">
      <c r="A2733" s="1">
        <v>43406</v>
      </c>
      <c r="B2733">
        <v>104.824462890625</v>
      </c>
      <c r="C2733">
        <v>44.983333587646399</v>
      </c>
    </row>
    <row r="2734" spans="1:3">
      <c r="A2734" s="1">
        <v>43409</v>
      </c>
      <c r="B2734">
        <v>107.86067199707</v>
      </c>
      <c r="C2734">
        <v>45.629966735839801</v>
      </c>
    </row>
    <row r="2735" spans="1:3">
      <c r="A2735" s="1">
        <v>43410</v>
      </c>
      <c r="B2735">
        <v>108.63385772705</v>
      </c>
      <c r="C2735">
        <v>46.023574829101499</v>
      </c>
    </row>
    <row r="2736" spans="1:3">
      <c r="A2736" s="1">
        <v>43411</v>
      </c>
      <c r="B2736">
        <v>109.011024475097</v>
      </c>
      <c r="C2736">
        <v>46.267227172851499</v>
      </c>
    </row>
    <row r="2737" spans="1:3">
      <c r="A2737" s="1">
        <v>43412</v>
      </c>
      <c r="B2737">
        <v>109.435348510742</v>
      </c>
      <c r="C2737">
        <v>46.229751586913999</v>
      </c>
    </row>
    <row r="2738" spans="1:3">
      <c r="A2738" s="1">
        <v>43413</v>
      </c>
      <c r="B2738">
        <v>110.774299621582</v>
      </c>
      <c r="C2738">
        <v>46.557754516601499</v>
      </c>
    </row>
    <row r="2739" spans="1:3">
      <c r="A2739" s="1">
        <v>43416</v>
      </c>
      <c r="B2739">
        <v>110.293418884277</v>
      </c>
      <c r="C2739">
        <v>46.735813140869098</v>
      </c>
    </row>
    <row r="2740" spans="1:3">
      <c r="A2740" s="1">
        <v>43417</v>
      </c>
      <c r="B2740">
        <v>110.45370483398401</v>
      </c>
      <c r="C2740">
        <v>46.726444244384702</v>
      </c>
    </row>
    <row r="2741" spans="1:3">
      <c r="A2741" s="1">
        <v>43418</v>
      </c>
      <c r="B2741">
        <v>109.99166870117099</v>
      </c>
      <c r="C2741">
        <v>46.632724761962798</v>
      </c>
    </row>
    <row r="2742" spans="1:3">
      <c r="A2742" s="1">
        <v>43419</v>
      </c>
      <c r="B2742">
        <v>110.13311767578099</v>
      </c>
      <c r="C2742">
        <v>46.613979339599602</v>
      </c>
    </row>
    <row r="2743" spans="1:3">
      <c r="A2743" s="1">
        <v>43420</v>
      </c>
      <c r="B2743">
        <v>111.59464263916</v>
      </c>
      <c r="C2743">
        <v>47.016956329345703</v>
      </c>
    </row>
    <row r="2744" spans="1:3">
      <c r="A2744" s="1">
        <v>43423</v>
      </c>
      <c r="B2744">
        <v>112.21696472167901</v>
      </c>
      <c r="C2744">
        <v>47.335586547851499</v>
      </c>
    </row>
    <row r="2745" spans="1:3">
      <c r="A2745" s="1">
        <v>43424</v>
      </c>
      <c r="B2745">
        <v>109.378784179687</v>
      </c>
      <c r="C2745">
        <v>46.276607513427699</v>
      </c>
    </row>
    <row r="2746" spans="1:3">
      <c r="A2746" s="1">
        <v>43425</v>
      </c>
      <c r="B2746">
        <v>108.69985961914</v>
      </c>
      <c r="C2746">
        <v>45.667457580566399</v>
      </c>
    </row>
    <row r="2747" spans="1:3">
      <c r="A2747" s="1">
        <v>43427</v>
      </c>
      <c r="B2747">
        <v>108.822448730468</v>
      </c>
      <c r="C2747">
        <v>45.939231872558501</v>
      </c>
    </row>
    <row r="2748" spans="1:3">
      <c r="A2748" s="1">
        <v>43430</v>
      </c>
      <c r="B2748">
        <v>109.246765136718</v>
      </c>
      <c r="C2748">
        <v>45.798656463622997</v>
      </c>
    </row>
    <row r="2749" spans="1:3">
      <c r="A2749" s="1">
        <v>43431</v>
      </c>
      <c r="B2749">
        <v>109.793655395507</v>
      </c>
      <c r="C2749">
        <v>46.267227172851499</v>
      </c>
    </row>
    <row r="2750" spans="1:3">
      <c r="A2750" s="1">
        <v>43432</v>
      </c>
      <c r="B2750">
        <v>111.73607635498</v>
      </c>
      <c r="C2750">
        <v>46.585865020751903</v>
      </c>
    </row>
    <row r="2751" spans="1:3">
      <c r="A2751" s="1">
        <v>43433</v>
      </c>
      <c r="B2751">
        <v>111.519203186035</v>
      </c>
      <c r="C2751">
        <v>46.264713287353501</v>
      </c>
    </row>
    <row r="2752" spans="1:3">
      <c r="A2752" s="1">
        <v>43434</v>
      </c>
      <c r="B2752">
        <v>114.979721069335</v>
      </c>
      <c r="C2752">
        <v>47.605998992919901</v>
      </c>
    </row>
    <row r="2753" spans="1:3">
      <c r="A2753" s="1">
        <v>43437</v>
      </c>
      <c r="B2753">
        <v>112.188682556152</v>
      </c>
      <c r="C2753">
        <v>46.935359954833899</v>
      </c>
    </row>
    <row r="2754" spans="1:3">
      <c r="A2754" s="1">
        <v>43438</v>
      </c>
      <c r="B2754">
        <v>111.076049804687</v>
      </c>
      <c r="C2754">
        <v>46.831455230712798</v>
      </c>
    </row>
    <row r="2755" spans="1:3">
      <c r="A2755" s="1">
        <v>43440</v>
      </c>
      <c r="B2755">
        <v>111.045616149902</v>
      </c>
      <c r="C2755">
        <v>46.642539978027301</v>
      </c>
    </row>
    <row r="2756" spans="1:3">
      <c r="A2756" s="1">
        <v>43441</v>
      </c>
      <c r="B2756">
        <v>110.076202392578</v>
      </c>
      <c r="C2756">
        <v>46.36861038208</v>
      </c>
    </row>
    <row r="2757" spans="1:3">
      <c r="A2757" s="1">
        <v>43444</v>
      </c>
      <c r="B2757">
        <v>110.427864074707</v>
      </c>
      <c r="C2757">
        <v>46.510303497314403</v>
      </c>
    </row>
    <row r="2758" spans="1:3">
      <c r="A2758" s="1">
        <v>43445</v>
      </c>
      <c r="B2758">
        <v>111.47329711914</v>
      </c>
      <c r="C2758">
        <v>46.793674468994098</v>
      </c>
    </row>
    <row r="2759" spans="1:3">
      <c r="A2759" s="1">
        <v>43446</v>
      </c>
      <c r="B2759">
        <v>111.19768524169901</v>
      </c>
      <c r="C2759">
        <v>46.491413116455</v>
      </c>
    </row>
    <row r="2760" spans="1:3">
      <c r="A2760" s="1">
        <v>43447</v>
      </c>
      <c r="B2760">
        <v>112.48072814941401</v>
      </c>
      <c r="C2760">
        <v>46.727550506591797</v>
      </c>
    </row>
    <row r="2761" spans="1:3">
      <c r="A2761" s="1">
        <v>43448</v>
      </c>
      <c r="B2761">
        <v>108.298942565917</v>
      </c>
      <c r="C2761">
        <v>46.604759216308501</v>
      </c>
    </row>
    <row r="2762" spans="1:3">
      <c r="A2762" s="1">
        <v>43451</v>
      </c>
      <c r="B2762">
        <v>107.272506713867</v>
      </c>
      <c r="C2762">
        <v>45.650745391845703</v>
      </c>
    </row>
    <row r="2763" spans="1:3">
      <c r="A2763" s="1">
        <v>43452</v>
      </c>
      <c r="B2763">
        <v>106.293579101562</v>
      </c>
      <c r="C2763">
        <v>45.641304016113203</v>
      </c>
    </row>
    <row r="2764" spans="1:3">
      <c r="A2764" s="1">
        <v>43453</v>
      </c>
      <c r="B2764">
        <v>104.58284759521401</v>
      </c>
      <c r="C2764">
        <v>45.244583129882798</v>
      </c>
    </row>
    <row r="2765" spans="1:3">
      <c r="A2765" s="1">
        <v>43454</v>
      </c>
      <c r="B2765">
        <v>104.744415283203</v>
      </c>
      <c r="C2765">
        <v>44.904548645019503</v>
      </c>
    </row>
    <row r="2766" spans="1:3">
      <c r="A2766" s="1">
        <v>43455</v>
      </c>
      <c r="B2766">
        <v>103.993598937988</v>
      </c>
      <c r="C2766">
        <v>44.932876586913999</v>
      </c>
    </row>
    <row r="2767" spans="1:3">
      <c r="A2767" s="1">
        <v>43458</v>
      </c>
      <c r="B2767">
        <v>100.771713256835</v>
      </c>
      <c r="C2767">
        <v>43.412136077880803</v>
      </c>
    </row>
    <row r="2768" spans="1:3">
      <c r="A2768" s="1">
        <v>43460</v>
      </c>
      <c r="B2768">
        <v>102.957649230957</v>
      </c>
      <c r="C2768">
        <v>44.337802886962798</v>
      </c>
    </row>
    <row r="2769" spans="1:3">
      <c r="A2769" s="1">
        <v>43461</v>
      </c>
      <c r="B2769">
        <v>103.993598937988</v>
      </c>
      <c r="C2769">
        <v>44.895103454589801</v>
      </c>
    </row>
    <row r="2770" spans="1:3">
      <c r="A2770" s="1">
        <v>43462</v>
      </c>
      <c r="B2770">
        <v>104.88697814941401</v>
      </c>
      <c r="C2770">
        <v>44.5833930969238</v>
      </c>
    </row>
    <row r="2771" spans="1:3">
      <c r="A2771" s="1">
        <v>43465</v>
      </c>
      <c r="B2771">
        <v>105.00102996826099</v>
      </c>
      <c r="C2771">
        <v>44.725078582763601</v>
      </c>
    </row>
    <row r="2772" spans="1:3">
      <c r="A2772" s="1">
        <v>43467</v>
      </c>
      <c r="B2772">
        <v>103.860534667968</v>
      </c>
      <c r="C2772">
        <v>44.328361511230398</v>
      </c>
    </row>
    <row r="2773" spans="1:3">
      <c r="A2773" s="1">
        <v>43468</v>
      </c>
      <c r="B2773">
        <v>102.89112091064401</v>
      </c>
      <c r="C2773">
        <v>44.054435729980398</v>
      </c>
    </row>
    <row r="2774" spans="1:3">
      <c r="A2774" s="1">
        <v>43469</v>
      </c>
      <c r="B2774">
        <v>105.00102996826099</v>
      </c>
      <c r="C2774">
        <v>44.932876586913999</v>
      </c>
    </row>
    <row r="2775" spans="1:3">
      <c r="A2775" s="1">
        <v>43472</v>
      </c>
      <c r="B2775">
        <v>104.098136901855</v>
      </c>
      <c r="C2775">
        <v>44.347251892089801</v>
      </c>
    </row>
    <row r="2776" spans="1:3">
      <c r="A2776" s="1">
        <v>43473</v>
      </c>
      <c r="B2776">
        <v>105.096061706542</v>
      </c>
      <c r="C2776">
        <v>44.847869873046797</v>
      </c>
    </row>
    <row r="2777" spans="1:3">
      <c r="A2777" s="1">
        <v>43474</v>
      </c>
      <c r="B2777">
        <v>102.159309387207</v>
      </c>
      <c r="C2777">
        <v>43.988323211669901</v>
      </c>
    </row>
    <row r="2778" spans="1:3">
      <c r="A2778" s="1">
        <v>43475</v>
      </c>
      <c r="B2778">
        <v>102.786575317382</v>
      </c>
      <c r="C2778">
        <v>44.460597991943303</v>
      </c>
    </row>
    <row r="2779" spans="1:3">
      <c r="A2779" s="1">
        <v>43476</v>
      </c>
      <c r="B2779">
        <v>102.796081542968</v>
      </c>
      <c r="C2779">
        <v>44.7156372070312</v>
      </c>
    </row>
    <row r="2780" spans="1:3">
      <c r="A2780" s="1">
        <v>43479</v>
      </c>
      <c r="B2780">
        <v>101.997749328613</v>
      </c>
      <c r="C2780">
        <v>44.536167144775298</v>
      </c>
    </row>
    <row r="2781" spans="1:3">
      <c r="A2781" s="1">
        <v>43480</v>
      </c>
      <c r="B2781">
        <v>103.584922790527</v>
      </c>
      <c r="C2781">
        <v>44.932876586913999</v>
      </c>
    </row>
    <row r="2782" spans="1:3">
      <c r="A2782" s="1">
        <v>43481</v>
      </c>
      <c r="B2782">
        <v>102.967163085937</v>
      </c>
      <c r="C2782">
        <v>44.318916320800703</v>
      </c>
    </row>
    <row r="2783" spans="1:3">
      <c r="A2783" s="1">
        <v>43482</v>
      </c>
      <c r="B2783">
        <v>103.803512573242</v>
      </c>
      <c r="C2783">
        <v>44.451156616210902</v>
      </c>
    </row>
    <row r="2784" spans="1:3">
      <c r="A2784" s="1">
        <v>43483</v>
      </c>
      <c r="B2784">
        <v>104.611358642578</v>
      </c>
      <c r="C2784">
        <v>44.97066116333</v>
      </c>
    </row>
    <row r="2785" spans="1:3">
      <c r="A2785" s="1">
        <v>43487</v>
      </c>
      <c r="B2785">
        <v>104.45930480957</v>
      </c>
      <c r="C2785">
        <v>45.074569702148402</v>
      </c>
    </row>
    <row r="2786" spans="1:3">
      <c r="A2786" s="1">
        <v>43488</v>
      </c>
      <c r="B2786">
        <v>105.238624572753</v>
      </c>
      <c r="C2786">
        <v>45.594078063964801</v>
      </c>
    </row>
    <row r="2787" spans="1:3">
      <c r="A2787" s="1">
        <v>43489</v>
      </c>
      <c r="B2787">
        <v>104.06964111328099</v>
      </c>
      <c r="C2787">
        <v>45.046226501464801</v>
      </c>
    </row>
    <row r="2788" spans="1:3">
      <c r="A2788" s="1">
        <v>43490</v>
      </c>
      <c r="B2788">
        <v>103.927070617675</v>
      </c>
      <c r="C2788">
        <v>44.743965148925703</v>
      </c>
    </row>
    <row r="2789" spans="1:3">
      <c r="A2789" s="1">
        <v>43493</v>
      </c>
      <c r="B2789">
        <v>103.42335510253901</v>
      </c>
      <c r="C2789">
        <v>44.555049896240199</v>
      </c>
    </row>
    <row r="2790" spans="1:3">
      <c r="A2790" s="1">
        <v>43494</v>
      </c>
      <c r="B2790">
        <v>103.594421386718</v>
      </c>
      <c r="C2790">
        <v>44.772308349609297</v>
      </c>
    </row>
    <row r="2791" spans="1:3">
      <c r="A2791" s="1">
        <v>43495</v>
      </c>
      <c r="B2791">
        <v>105.324172973632</v>
      </c>
      <c r="C2791">
        <v>45.206809997558501</v>
      </c>
    </row>
    <row r="2792" spans="1:3">
      <c r="A2792" s="1">
        <v>43496</v>
      </c>
      <c r="B2792">
        <v>107.08242034912099</v>
      </c>
      <c r="C2792">
        <v>45.461830139160099</v>
      </c>
    </row>
    <row r="2793" spans="1:3">
      <c r="A2793" s="1">
        <v>43497</v>
      </c>
      <c r="B2793">
        <v>106.62622833251901</v>
      </c>
      <c r="C2793">
        <v>46.000240325927699</v>
      </c>
    </row>
    <row r="2794" spans="1:3">
      <c r="A2794" s="1">
        <v>43500</v>
      </c>
      <c r="B2794">
        <v>107.48159027099599</v>
      </c>
      <c r="C2794">
        <v>46.519748687744098</v>
      </c>
    </row>
    <row r="2795" spans="1:3">
      <c r="A2795" s="1">
        <v>43501</v>
      </c>
      <c r="B2795">
        <v>107.301010131835</v>
      </c>
      <c r="C2795">
        <v>46.5291938781738</v>
      </c>
    </row>
    <row r="2796" spans="1:3">
      <c r="A2796" s="1">
        <v>43502</v>
      </c>
      <c r="B2796">
        <v>107.44358062744099</v>
      </c>
      <c r="C2796">
        <v>46.5291938781738</v>
      </c>
    </row>
    <row r="2797" spans="1:3">
      <c r="A2797" s="1">
        <v>43503</v>
      </c>
      <c r="B2797">
        <v>107.48159027099599</v>
      </c>
      <c r="C2797">
        <v>46.680320739746001</v>
      </c>
    </row>
    <row r="2798" spans="1:3">
      <c r="A2798" s="1">
        <v>43504</v>
      </c>
      <c r="B2798">
        <v>107.415061950683</v>
      </c>
      <c r="C2798">
        <v>46.755886077880803</v>
      </c>
    </row>
    <row r="2799" spans="1:3">
      <c r="A2799" s="1">
        <v>43507</v>
      </c>
      <c r="B2799">
        <v>107.367538452148</v>
      </c>
      <c r="C2799">
        <v>46.859790802001903</v>
      </c>
    </row>
    <row r="2800" spans="1:3">
      <c r="A2800" s="1">
        <v>43508</v>
      </c>
      <c r="B2800">
        <v>108.146881103515</v>
      </c>
      <c r="C2800">
        <v>46.907020568847599</v>
      </c>
    </row>
    <row r="2801" spans="1:3">
      <c r="A2801" s="1">
        <v>43509</v>
      </c>
      <c r="B2801">
        <v>108.46051025390599</v>
      </c>
      <c r="C2801">
        <v>47.029815673828097</v>
      </c>
    </row>
    <row r="2802" spans="1:3">
      <c r="A2802" s="1">
        <v>43510</v>
      </c>
      <c r="B2802">
        <v>107.006385803222</v>
      </c>
      <c r="C2802">
        <v>43.062644958496001</v>
      </c>
    </row>
    <row r="2803" spans="1:3">
      <c r="A2803" s="1">
        <v>43511</v>
      </c>
      <c r="B2803">
        <v>110.161750793457</v>
      </c>
      <c r="C2803">
        <v>42.732051849365199</v>
      </c>
    </row>
    <row r="2804" spans="1:3">
      <c r="A2804" s="1">
        <v>43515</v>
      </c>
      <c r="B2804">
        <v>110.18075561523401</v>
      </c>
      <c r="C2804">
        <v>42.344779968261697</v>
      </c>
    </row>
    <row r="2805" spans="1:3">
      <c r="A2805" s="1">
        <v>43516</v>
      </c>
      <c r="B2805">
        <v>110.085716247558</v>
      </c>
      <c r="C2805">
        <v>42.599811553955</v>
      </c>
    </row>
    <row r="2806" spans="1:3">
      <c r="A2806" s="1">
        <v>43517</v>
      </c>
      <c r="B2806">
        <v>110.342308044433</v>
      </c>
      <c r="C2806">
        <v>43.317676544189403</v>
      </c>
    </row>
    <row r="2807" spans="1:3">
      <c r="A2807" s="1">
        <v>43518</v>
      </c>
      <c r="B2807">
        <v>110.969589233398</v>
      </c>
      <c r="C2807">
        <v>42.769828796386697</v>
      </c>
    </row>
    <row r="2808" spans="1:3">
      <c r="A2808" s="1">
        <v>43521</v>
      </c>
      <c r="B2808">
        <v>110.304313659667</v>
      </c>
      <c r="C2808">
        <v>42.448677062988203</v>
      </c>
    </row>
    <row r="2809" spans="1:3">
      <c r="A2809" s="1">
        <v>43522</v>
      </c>
      <c r="B2809">
        <v>110.21876525878901</v>
      </c>
      <c r="C2809">
        <v>42.212535858154297</v>
      </c>
    </row>
    <row r="2810" spans="1:3">
      <c r="A2810" s="1">
        <v>43523</v>
      </c>
      <c r="B2810">
        <v>109.64852142333901</v>
      </c>
      <c r="C2810">
        <v>42.448677062988203</v>
      </c>
    </row>
    <row r="2811" spans="1:3">
      <c r="A2811" s="1">
        <v>43524</v>
      </c>
      <c r="B2811">
        <v>110.796340942382</v>
      </c>
      <c r="C2811">
        <v>42.826503753662102</v>
      </c>
    </row>
    <row r="2812" spans="1:3">
      <c r="A2812" s="1">
        <v>43525</v>
      </c>
      <c r="B2812">
        <v>111.31372833251901</v>
      </c>
      <c r="C2812">
        <v>42.864292144775298</v>
      </c>
    </row>
    <row r="2813" spans="1:3">
      <c r="A2813" s="1">
        <v>43528</v>
      </c>
      <c r="B2813">
        <v>111.304145812988</v>
      </c>
      <c r="C2813">
        <v>43.119319915771399</v>
      </c>
    </row>
    <row r="2814" spans="1:3">
      <c r="A2814" s="1">
        <v>43529</v>
      </c>
      <c r="B2814">
        <v>111.17001342773401</v>
      </c>
      <c r="C2814">
        <v>43.072086334228501</v>
      </c>
    </row>
    <row r="2815" spans="1:3">
      <c r="A2815" s="1">
        <v>43530</v>
      </c>
      <c r="B2815">
        <v>111.77361297607401</v>
      </c>
      <c r="C2815">
        <v>42.930408477783203</v>
      </c>
    </row>
    <row r="2816" spans="1:3">
      <c r="A2816" s="1">
        <v>43531</v>
      </c>
      <c r="B2816">
        <v>111.237083435058</v>
      </c>
      <c r="C2816">
        <v>42.769828796386697</v>
      </c>
    </row>
    <row r="2817" spans="1:3">
      <c r="A2817" s="1">
        <v>43532</v>
      </c>
      <c r="B2817">
        <v>110.403518676757</v>
      </c>
      <c r="C2817">
        <v>42.354221343994098</v>
      </c>
    </row>
    <row r="2818" spans="1:3">
      <c r="A2818" s="1">
        <v>43535</v>
      </c>
      <c r="B2818">
        <v>111.70655059814401</v>
      </c>
      <c r="C2818">
        <v>43.6199340820312</v>
      </c>
    </row>
    <row r="2819" spans="1:3">
      <c r="A2819" s="1">
        <v>43536</v>
      </c>
      <c r="B2819">
        <v>111.687385559082</v>
      </c>
      <c r="C2819">
        <v>43.497146606445298</v>
      </c>
    </row>
    <row r="2820" spans="1:3">
      <c r="A2820" s="1">
        <v>43537</v>
      </c>
      <c r="B2820">
        <v>111.696975708007</v>
      </c>
      <c r="C2820">
        <v>43.657718658447202</v>
      </c>
    </row>
    <row r="2821" spans="1:3">
      <c r="A2821" s="1">
        <v>43538</v>
      </c>
      <c r="B2821">
        <v>110.662208557128</v>
      </c>
      <c r="C2821">
        <v>43.543384552001903</v>
      </c>
    </row>
    <row r="2822" spans="1:3">
      <c r="A2822" s="1">
        <v>43539</v>
      </c>
      <c r="B2822">
        <v>110.815505981445</v>
      </c>
      <c r="C2822">
        <v>43.162261962890597</v>
      </c>
    </row>
    <row r="2823" spans="1:3">
      <c r="A2823" s="1">
        <v>43542</v>
      </c>
      <c r="B2823">
        <v>112.35806274414</v>
      </c>
      <c r="C2823">
        <v>43.267070770263601</v>
      </c>
    </row>
    <row r="2824" spans="1:3">
      <c r="A2824" s="1">
        <v>43543</v>
      </c>
      <c r="B2824">
        <v>113.143714904785</v>
      </c>
      <c r="C2824">
        <v>43.409988403320298</v>
      </c>
    </row>
    <row r="2825" spans="1:3">
      <c r="A2825" s="1">
        <v>43544</v>
      </c>
      <c r="B2825">
        <v>113.36408996582</v>
      </c>
      <c r="C2825">
        <v>43.381404876708899</v>
      </c>
    </row>
    <row r="2826" spans="1:3">
      <c r="A2826" s="1">
        <v>43545</v>
      </c>
      <c r="B2826">
        <v>114.437171936035</v>
      </c>
      <c r="C2826">
        <v>43.362342834472599</v>
      </c>
    </row>
    <row r="2827" spans="1:3">
      <c r="A2827" s="1">
        <v>43546</v>
      </c>
      <c r="B2827">
        <v>115.66357421875</v>
      </c>
      <c r="C2827">
        <v>43.7625312805175</v>
      </c>
    </row>
    <row r="2828" spans="1:3">
      <c r="A2828" s="1">
        <v>43549</v>
      </c>
      <c r="B2828">
        <v>115.788124084472</v>
      </c>
      <c r="C2828">
        <v>43.857810974121001</v>
      </c>
    </row>
    <row r="2829" spans="1:3">
      <c r="A2829" s="1">
        <v>43550</v>
      </c>
      <c r="B2829">
        <v>116.90910339355401</v>
      </c>
      <c r="C2829">
        <v>44.439022064208899</v>
      </c>
    </row>
    <row r="2830" spans="1:3">
      <c r="A2830" s="1">
        <v>43551</v>
      </c>
      <c r="B2830">
        <v>116.784553527832</v>
      </c>
      <c r="C2830">
        <v>44.410434722900298</v>
      </c>
    </row>
    <row r="2831" spans="1:3">
      <c r="A2831" s="1">
        <v>43552</v>
      </c>
      <c r="B2831">
        <v>116.73664855957</v>
      </c>
      <c r="C2831">
        <v>44.381858825683501</v>
      </c>
    </row>
    <row r="2832" spans="1:3">
      <c r="A2832" s="1">
        <v>43553</v>
      </c>
      <c r="B2832">
        <v>117.41690826416</v>
      </c>
      <c r="C2832">
        <v>44.648643493652301</v>
      </c>
    </row>
    <row r="2833" spans="1:3">
      <c r="A2833" s="1">
        <v>43556</v>
      </c>
      <c r="B2833">
        <v>116.889961242675</v>
      </c>
      <c r="C2833">
        <v>44.515247344970703</v>
      </c>
    </row>
    <row r="2834" spans="1:3">
      <c r="A2834" s="1">
        <v>43557</v>
      </c>
      <c r="B2834">
        <v>116.583351135253</v>
      </c>
      <c r="C2834">
        <v>44.372329711913999</v>
      </c>
    </row>
    <row r="2835" spans="1:3">
      <c r="A2835" s="1">
        <v>43558</v>
      </c>
      <c r="B2835">
        <v>116.468383789062</v>
      </c>
      <c r="C2835">
        <v>44.000728607177699</v>
      </c>
    </row>
    <row r="2836" spans="1:3">
      <c r="A2836" s="1">
        <v>43559</v>
      </c>
      <c r="B2836">
        <v>116.382148742675</v>
      </c>
      <c r="C2836">
        <v>44.286575317382798</v>
      </c>
    </row>
    <row r="2837" spans="1:3">
      <c r="A2837" s="1">
        <v>43560</v>
      </c>
      <c r="B2837">
        <v>116.52585601806599</v>
      </c>
      <c r="C2837">
        <v>44.277042388916001</v>
      </c>
    </row>
    <row r="2838" spans="1:3">
      <c r="A2838" s="1">
        <v>43563</v>
      </c>
      <c r="B2838">
        <v>116.889961242675</v>
      </c>
      <c r="C2838">
        <v>44.353271484375</v>
      </c>
    </row>
    <row r="2839" spans="1:3">
      <c r="A2839" s="1">
        <v>43564</v>
      </c>
      <c r="B2839">
        <v>117.052833557128</v>
      </c>
      <c r="C2839">
        <v>44.467605590820298</v>
      </c>
    </row>
    <row r="2840" spans="1:3">
      <c r="A2840" s="1">
        <v>43565</v>
      </c>
      <c r="B2840">
        <v>116.92827606201099</v>
      </c>
      <c r="C2840">
        <v>44.439022064208899</v>
      </c>
    </row>
    <row r="2841" spans="1:3">
      <c r="A2841" s="1">
        <v>43566</v>
      </c>
      <c r="B2841">
        <v>116.573776245117</v>
      </c>
      <c r="C2841">
        <v>44.505718231201101</v>
      </c>
    </row>
    <row r="2842" spans="1:3">
      <c r="A2842" s="1">
        <v>43567</v>
      </c>
      <c r="B2842">
        <v>117.11032104492099</v>
      </c>
      <c r="C2842">
        <v>44.534305572509702</v>
      </c>
    </row>
    <row r="2843" spans="1:3">
      <c r="A2843" s="1">
        <v>43570</v>
      </c>
      <c r="B2843">
        <v>118.480422973632</v>
      </c>
      <c r="C2843">
        <v>44.782035827636697</v>
      </c>
    </row>
    <row r="2844" spans="1:3">
      <c r="A2844" s="1">
        <v>43571</v>
      </c>
      <c r="B2844">
        <v>117.282791137695</v>
      </c>
      <c r="C2844">
        <v>44.7343940734863</v>
      </c>
    </row>
    <row r="2845" spans="1:3">
      <c r="A2845" s="1">
        <v>43572</v>
      </c>
      <c r="B2845">
        <v>121.690101623535</v>
      </c>
      <c r="C2845">
        <v>45.048816680908203</v>
      </c>
    </row>
    <row r="2846" spans="1:3">
      <c r="A2846" s="1">
        <v>43573</v>
      </c>
      <c r="B2846">
        <v>121.76674652099599</v>
      </c>
      <c r="C2846">
        <v>45.2393798828125</v>
      </c>
    </row>
    <row r="2847" spans="1:3">
      <c r="A2847" s="1">
        <v>43577</v>
      </c>
      <c r="B2847">
        <v>121.14397430419901</v>
      </c>
      <c r="C2847">
        <v>45.163158416747997</v>
      </c>
    </row>
    <row r="2848" spans="1:3">
      <c r="A2848" s="1">
        <v>43578</v>
      </c>
      <c r="B2848">
        <v>121.76674652099599</v>
      </c>
      <c r="C2848">
        <v>45.934928894042898</v>
      </c>
    </row>
    <row r="2849" spans="1:3">
      <c r="A2849" s="1">
        <v>43579</v>
      </c>
      <c r="B2849">
        <v>121.603874206542</v>
      </c>
      <c r="C2849">
        <v>45.715785980224602</v>
      </c>
    </row>
    <row r="2850" spans="1:3">
      <c r="A2850" s="1">
        <v>43580</v>
      </c>
      <c r="B2850">
        <v>120.846969604492</v>
      </c>
      <c r="C2850">
        <v>45.582393646240199</v>
      </c>
    </row>
    <row r="2851" spans="1:3">
      <c r="A2851" s="1">
        <v>43581</v>
      </c>
      <c r="B2851">
        <v>121.105651855468</v>
      </c>
      <c r="C2851">
        <v>45.982570648193303</v>
      </c>
    </row>
    <row r="2852" spans="1:3">
      <c r="A2852" s="1">
        <v>43584</v>
      </c>
      <c r="B2852">
        <v>121.383506774902</v>
      </c>
      <c r="C2852">
        <v>46.135021209716797</v>
      </c>
    </row>
    <row r="2853" spans="1:3">
      <c r="A2853" s="1">
        <v>43585</v>
      </c>
      <c r="B2853">
        <v>122.686546325683</v>
      </c>
      <c r="C2853">
        <v>46.744827270507798</v>
      </c>
    </row>
    <row r="2854" spans="1:3">
      <c r="A2854" s="1">
        <v>43586</v>
      </c>
      <c r="B2854">
        <v>121.910469055175</v>
      </c>
      <c r="C2854">
        <v>46.297000885009702</v>
      </c>
    </row>
    <row r="2855" spans="1:3">
      <c r="A2855" s="1">
        <v>43587</v>
      </c>
      <c r="B2855">
        <v>121.51764678955</v>
      </c>
      <c r="C2855">
        <v>46.106437683105398</v>
      </c>
    </row>
    <row r="2856" spans="1:3">
      <c r="A2856" s="1">
        <v>43588</v>
      </c>
      <c r="B2856">
        <v>122.322456359863</v>
      </c>
      <c r="C2856">
        <v>46.420867919921797</v>
      </c>
    </row>
    <row r="2857" spans="1:3">
      <c r="A2857" s="1">
        <v>43591</v>
      </c>
      <c r="B2857">
        <v>121.93920135498</v>
      </c>
      <c r="C2857">
        <v>46.182666778564403</v>
      </c>
    </row>
    <row r="2858" spans="1:3">
      <c r="A2858" s="1">
        <v>43592</v>
      </c>
      <c r="B2858">
        <v>120.703247070312</v>
      </c>
      <c r="C2858">
        <v>45.734844207763601</v>
      </c>
    </row>
    <row r="2859" spans="1:3">
      <c r="A2859" s="1">
        <v>43593</v>
      </c>
      <c r="B2859">
        <v>120.741561889648</v>
      </c>
      <c r="C2859">
        <v>45.591922760009702</v>
      </c>
    </row>
    <row r="2860" spans="1:3">
      <c r="A2860" s="1">
        <v>43594</v>
      </c>
      <c r="B2860">
        <v>120.77032470703099</v>
      </c>
      <c r="C2860">
        <v>45.163158416747997</v>
      </c>
    </row>
    <row r="2861" spans="1:3">
      <c r="A2861" s="1">
        <v>43595</v>
      </c>
      <c r="B2861">
        <v>122.64820861816401</v>
      </c>
      <c r="C2861">
        <v>45.915874481201101</v>
      </c>
    </row>
    <row r="2862" spans="1:3">
      <c r="A2862" s="1">
        <v>43598</v>
      </c>
      <c r="B2862">
        <v>121.83381652832</v>
      </c>
      <c r="C2862">
        <v>45.782485961913999</v>
      </c>
    </row>
    <row r="2863" spans="1:3">
      <c r="A2863" s="1">
        <v>43599</v>
      </c>
      <c r="B2863">
        <v>122.073356628417</v>
      </c>
      <c r="C2863">
        <v>46.392276763916001</v>
      </c>
    </row>
    <row r="2864" spans="1:3">
      <c r="A2864" s="1">
        <v>43600</v>
      </c>
      <c r="B2864">
        <v>123.932090759277</v>
      </c>
      <c r="C2864">
        <v>46.859153747558501</v>
      </c>
    </row>
    <row r="2865" spans="1:3">
      <c r="A2865" s="1">
        <v>43601</v>
      </c>
      <c r="B2865">
        <v>124.81356048583901</v>
      </c>
      <c r="C2865">
        <v>47.240283966064403</v>
      </c>
    </row>
    <row r="2866" spans="1:3">
      <c r="A2866" s="1">
        <v>43602</v>
      </c>
      <c r="B2866">
        <v>125.043495178222</v>
      </c>
      <c r="C2866">
        <v>46.878215789794901</v>
      </c>
    </row>
    <row r="2867" spans="1:3">
      <c r="A2867" s="1">
        <v>43605</v>
      </c>
      <c r="B2867">
        <v>124.545288085937</v>
      </c>
      <c r="C2867">
        <v>46.544727325439403</v>
      </c>
    </row>
    <row r="2868" spans="1:3">
      <c r="A2868" s="1">
        <v>43606</v>
      </c>
      <c r="B2868">
        <v>123.644660949707</v>
      </c>
      <c r="C2868">
        <v>46.306526184082003</v>
      </c>
    </row>
    <row r="2869" spans="1:3">
      <c r="A2869" s="1">
        <v>43607</v>
      </c>
      <c r="B2869">
        <v>124.621948242187</v>
      </c>
      <c r="C2869">
        <v>47.306976318359297</v>
      </c>
    </row>
    <row r="2870" spans="1:3">
      <c r="A2870" s="1">
        <v>43608</v>
      </c>
      <c r="B2870">
        <v>124.526123046875</v>
      </c>
      <c r="C2870">
        <v>47.497535705566399</v>
      </c>
    </row>
    <row r="2871" spans="1:3">
      <c r="A2871" s="1">
        <v>43609</v>
      </c>
      <c r="B2871">
        <v>124.075805664062</v>
      </c>
      <c r="C2871">
        <v>47.268867492675703</v>
      </c>
    </row>
    <row r="2872" spans="1:3">
      <c r="A2872" s="1">
        <v>43613</v>
      </c>
      <c r="B2872">
        <v>122.284133911132</v>
      </c>
      <c r="C2872">
        <v>46.782936096191399</v>
      </c>
    </row>
    <row r="2873" spans="1:3">
      <c r="A2873" s="1">
        <v>43614</v>
      </c>
      <c r="B2873">
        <v>122.801513671875</v>
      </c>
      <c r="C2873">
        <v>46.3160591125488</v>
      </c>
    </row>
    <row r="2874" spans="1:3">
      <c r="A2874" s="1">
        <v>43615</v>
      </c>
      <c r="B2874">
        <v>123.223083496093</v>
      </c>
      <c r="C2874">
        <v>46.925857543945298</v>
      </c>
    </row>
    <row r="2875" spans="1:3">
      <c r="A2875" s="1">
        <v>43616</v>
      </c>
      <c r="B2875">
        <v>122.63864135742099</v>
      </c>
      <c r="C2875">
        <v>46.811519622802699</v>
      </c>
    </row>
    <row r="2876" spans="1:3">
      <c r="A2876" s="1">
        <v>43619</v>
      </c>
      <c r="B2876">
        <v>123.577583312988</v>
      </c>
      <c r="C2876">
        <v>47.621406555175703</v>
      </c>
    </row>
    <row r="2877" spans="1:3">
      <c r="A2877" s="1">
        <v>43620</v>
      </c>
      <c r="B2877">
        <v>123.66383361816401</v>
      </c>
      <c r="C2877">
        <v>47.640457153320298</v>
      </c>
    </row>
    <row r="2878" spans="1:3">
      <c r="A2878" s="1">
        <v>43621</v>
      </c>
      <c r="B2878">
        <v>125.886657714843</v>
      </c>
      <c r="C2878">
        <v>48.383651733398402</v>
      </c>
    </row>
    <row r="2879" spans="1:3">
      <c r="A2879" s="1">
        <v>43622</v>
      </c>
      <c r="B2879">
        <v>127.37776184082</v>
      </c>
      <c r="C2879">
        <v>48.974399566650298</v>
      </c>
    </row>
    <row r="2880" spans="1:3">
      <c r="A2880" s="1">
        <v>43623</v>
      </c>
      <c r="B2880">
        <v>128.815826416015</v>
      </c>
      <c r="C2880">
        <v>49.060150146484297</v>
      </c>
    </row>
    <row r="2881" spans="1:3">
      <c r="A2881" s="1">
        <v>43626</v>
      </c>
      <c r="B2881">
        <v>128.93162536621</v>
      </c>
      <c r="C2881">
        <v>48.9553413391113</v>
      </c>
    </row>
    <row r="2882" spans="1:3">
      <c r="A2882" s="1">
        <v>43627</v>
      </c>
      <c r="B2882">
        <v>128.55522155761699</v>
      </c>
      <c r="C2882">
        <v>48.907695770263601</v>
      </c>
    </row>
    <row r="2883" spans="1:3">
      <c r="A2883" s="1">
        <v>43628</v>
      </c>
      <c r="B2883">
        <v>128.497314453125</v>
      </c>
      <c r="C2883">
        <v>49.203067779541001</v>
      </c>
    </row>
    <row r="2884" spans="1:3">
      <c r="A2884" s="1">
        <v>43629</v>
      </c>
      <c r="B2884">
        <v>128.30429077148401</v>
      </c>
      <c r="C2884">
        <v>49.097442626953097</v>
      </c>
    </row>
    <row r="2885" spans="1:3">
      <c r="A2885" s="1">
        <v>43630</v>
      </c>
      <c r="B2885">
        <v>128.10159301757801</v>
      </c>
      <c r="C2885">
        <v>49.270286560058501</v>
      </c>
    </row>
    <row r="2886" spans="1:3">
      <c r="A2886" s="1">
        <v>43633</v>
      </c>
      <c r="B2886">
        <v>127.89894104003901</v>
      </c>
      <c r="C2886">
        <v>48.8477783203125</v>
      </c>
    </row>
    <row r="2887" spans="1:3">
      <c r="A2887" s="1">
        <v>43634</v>
      </c>
      <c r="B2887">
        <v>127.454986572265</v>
      </c>
      <c r="C2887">
        <v>48.626922607421797</v>
      </c>
    </row>
    <row r="2888" spans="1:3">
      <c r="A2888" s="1">
        <v>43635</v>
      </c>
      <c r="B2888">
        <v>128.21745300292901</v>
      </c>
      <c r="C2888">
        <v>49.087837219238203</v>
      </c>
    </row>
    <row r="2889" spans="1:3">
      <c r="A2889" s="1">
        <v>43636</v>
      </c>
      <c r="B2889">
        <v>129.48175048828099</v>
      </c>
      <c r="C2889">
        <v>49.606372833251903</v>
      </c>
    </row>
    <row r="2890" spans="1:3">
      <c r="A2890" s="1">
        <v>43637</v>
      </c>
      <c r="B2890">
        <v>129.28872680664</v>
      </c>
      <c r="C2890">
        <v>49.500743865966797</v>
      </c>
    </row>
    <row r="2891" spans="1:3">
      <c r="A2891" s="1">
        <v>43640</v>
      </c>
      <c r="B2891">
        <v>129.46244812011699</v>
      </c>
      <c r="C2891">
        <v>49.8560371398925</v>
      </c>
    </row>
    <row r="2892" spans="1:3">
      <c r="A2892" s="1">
        <v>43641</v>
      </c>
      <c r="B2892">
        <v>129.143951416015</v>
      </c>
      <c r="C2892">
        <v>49.702396392822202</v>
      </c>
    </row>
    <row r="2893" spans="1:3">
      <c r="A2893" s="1">
        <v>43642</v>
      </c>
      <c r="B2893">
        <v>127.705924987792</v>
      </c>
      <c r="C2893">
        <v>49.087837219238203</v>
      </c>
    </row>
    <row r="2894" spans="1:3">
      <c r="A2894" s="1">
        <v>43643</v>
      </c>
      <c r="B2894">
        <v>127.097885131835</v>
      </c>
      <c r="C2894">
        <v>49.049430847167898</v>
      </c>
    </row>
    <row r="2895" spans="1:3">
      <c r="A2895" s="1">
        <v>43644</v>
      </c>
      <c r="B2895">
        <v>126.557418823242</v>
      </c>
      <c r="C2895">
        <v>48.895790100097599</v>
      </c>
    </row>
    <row r="2896" spans="1:3">
      <c r="A2896" s="1">
        <v>43647</v>
      </c>
      <c r="B2896">
        <v>127.271591186523</v>
      </c>
      <c r="C2896">
        <v>49.548755645751903</v>
      </c>
    </row>
    <row r="2897" spans="1:3">
      <c r="A2897" s="1">
        <v>43648</v>
      </c>
      <c r="B2897">
        <v>127.81206512451099</v>
      </c>
      <c r="C2897">
        <v>49.913650512695298</v>
      </c>
    </row>
    <row r="2898" spans="1:3">
      <c r="A2898" s="1">
        <v>43649</v>
      </c>
      <c r="B2898">
        <v>129.31768798828099</v>
      </c>
      <c r="C2898">
        <v>50.028877258300703</v>
      </c>
    </row>
    <row r="2899" spans="1:3">
      <c r="A2899" s="1">
        <v>43651</v>
      </c>
      <c r="B2899">
        <v>128.38151550292901</v>
      </c>
      <c r="C2899">
        <v>50.038486480712798</v>
      </c>
    </row>
    <row r="2900" spans="1:3">
      <c r="A2900" s="1">
        <v>43654</v>
      </c>
      <c r="B2900">
        <v>127.93755340576099</v>
      </c>
      <c r="C2900">
        <v>49.932853698730398</v>
      </c>
    </row>
    <row r="2901" spans="1:3">
      <c r="A2901" s="1">
        <v>43655</v>
      </c>
      <c r="B2901">
        <v>127.14614868164</v>
      </c>
      <c r="C2901">
        <v>49.539154052734297</v>
      </c>
    </row>
    <row r="2902" spans="1:3">
      <c r="A2902" s="1">
        <v>43656</v>
      </c>
      <c r="B2902">
        <v>129.723052978515</v>
      </c>
      <c r="C2902">
        <v>49.760013580322202</v>
      </c>
    </row>
    <row r="2903" spans="1:3">
      <c r="A2903" s="1">
        <v>43657</v>
      </c>
      <c r="B2903">
        <v>129.66514587402301</v>
      </c>
      <c r="C2903">
        <v>49.971267700195298</v>
      </c>
    </row>
    <row r="2904" spans="1:3">
      <c r="A2904" s="1">
        <v>43658</v>
      </c>
      <c r="B2904">
        <v>128.63244628906199</v>
      </c>
      <c r="C2904">
        <v>50.048088073730398</v>
      </c>
    </row>
    <row r="2905" spans="1:3">
      <c r="A2905" s="1">
        <v>43661</v>
      </c>
      <c r="B2905">
        <v>129.47209167480401</v>
      </c>
      <c r="C2905">
        <v>50.057689666747997</v>
      </c>
    </row>
    <row r="2906" spans="1:3">
      <c r="A2906" s="1">
        <v>43662</v>
      </c>
      <c r="B2906">
        <v>129.13429260253901</v>
      </c>
      <c r="C2906">
        <v>50.067295074462798</v>
      </c>
    </row>
    <row r="2907" spans="1:3">
      <c r="A2907" s="1">
        <v>43663</v>
      </c>
      <c r="B2907">
        <v>128.14987182617099</v>
      </c>
      <c r="C2907">
        <v>50.105697631835902</v>
      </c>
    </row>
    <row r="2908" spans="1:3">
      <c r="A2908" s="1">
        <v>43664</v>
      </c>
      <c r="B2908">
        <v>128.24639892578099</v>
      </c>
      <c r="C2908">
        <v>49.961666107177699</v>
      </c>
    </row>
    <row r="2909" spans="1:3">
      <c r="A2909" s="1">
        <v>43665</v>
      </c>
      <c r="B2909">
        <v>125.553672790527</v>
      </c>
      <c r="C2909">
        <v>49.3471069335937</v>
      </c>
    </row>
    <row r="2910" spans="1:3">
      <c r="A2910" s="1">
        <v>43668</v>
      </c>
      <c r="B2910">
        <v>125.73705291748</v>
      </c>
      <c r="C2910">
        <v>49.183860778808501</v>
      </c>
    </row>
    <row r="2911" spans="1:3">
      <c r="A2911" s="1">
        <v>43669</v>
      </c>
      <c r="B2911">
        <v>126.181007385253</v>
      </c>
      <c r="C2911">
        <v>52.170230865478501</v>
      </c>
    </row>
    <row r="2912" spans="1:3">
      <c r="A2912" s="1">
        <v>43670</v>
      </c>
      <c r="B2912">
        <v>124.704368591308</v>
      </c>
      <c r="C2912">
        <v>51.642097473144503</v>
      </c>
    </row>
    <row r="2913" spans="1:3">
      <c r="A2913" s="1">
        <v>43671</v>
      </c>
      <c r="B2913">
        <v>124.49203491210901</v>
      </c>
      <c r="C2913">
        <v>50.960323333740199</v>
      </c>
    </row>
    <row r="2914" spans="1:3">
      <c r="A2914" s="1">
        <v>43672</v>
      </c>
      <c r="B2914">
        <v>126.644271850585</v>
      </c>
      <c r="C2914">
        <v>52.016590118408203</v>
      </c>
    </row>
    <row r="2915" spans="1:3">
      <c r="A2915" s="1">
        <v>43675</v>
      </c>
      <c r="B2915">
        <v>126.94345092773401</v>
      </c>
      <c r="C2915">
        <v>51.843746185302699</v>
      </c>
    </row>
    <row r="2916" spans="1:3">
      <c r="A2916" s="1">
        <v>43676</v>
      </c>
      <c r="B2916">
        <v>125.93006896972599</v>
      </c>
      <c r="C2916">
        <v>51.584480285644503</v>
      </c>
    </row>
    <row r="2917" spans="1:3">
      <c r="A2917" s="1">
        <v>43677</v>
      </c>
      <c r="B2917">
        <v>123.35317230224599</v>
      </c>
      <c r="C2917">
        <v>50.537811279296797</v>
      </c>
    </row>
    <row r="2918" spans="1:3">
      <c r="A2918" s="1">
        <v>43678</v>
      </c>
      <c r="B2918">
        <v>122.70654296875</v>
      </c>
      <c r="C2918">
        <v>49.961666107177699</v>
      </c>
    </row>
    <row r="2919" spans="1:3">
      <c r="A2919" s="1">
        <v>43679</v>
      </c>
      <c r="B2919">
        <v>123.459342956542</v>
      </c>
      <c r="C2919">
        <v>50.249736785888601</v>
      </c>
    </row>
    <row r="2920" spans="1:3">
      <c r="A2920" s="1">
        <v>43682</v>
      </c>
      <c r="B2920">
        <v>120.0620803833</v>
      </c>
      <c r="C2920">
        <v>49.596771240234297</v>
      </c>
    </row>
    <row r="2921" spans="1:3">
      <c r="A2921" s="1">
        <v>43683</v>
      </c>
      <c r="B2921">
        <v>122.0405960083</v>
      </c>
      <c r="C2921">
        <v>50.192123413085902</v>
      </c>
    </row>
    <row r="2922" spans="1:3">
      <c r="A2922" s="1">
        <v>43684</v>
      </c>
      <c r="B2922">
        <v>123.32423400878901</v>
      </c>
      <c r="C2922">
        <v>51.065948486328097</v>
      </c>
    </row>
    <row r="2923" spans="1:3">
      <c r="A2923" s="1">
        <v>43685</v>
      </c>
      <c r="B2923">
        <v>124.95529174804599</v>
      </c>
      <c r="C2923">
        <v>51.555671691894503</v>
      </c>
    </row>
    <row r="2924" spans="1:3">
      <c r="A2924" s="1">
        <v>43686</v>
      </c>
      <c r="B2924">
        <v>124.11564636230401</v>
      </c>
      <c r="C2924">
        <v>51.2964057922363</v>
      </c>
    </row>
    <row r="2925" spans="1:3">
      <c r="A2925" s="1">
        <v>43689</v>
      </c>
      <c r="B2925">
        <v>123.87435913085901</v>
      </c>
      <c r="C2925">
        <v>51.085159301757798</v>
      </c>
    </row>
    <row r="2926" spans="1:3">
      <c r="A2926" s="1">
        <v>43690</v>
      </c>
      <c r="B2926">
        <v>125.39924621582</v>
      </c>
      <c r="C2926">
        <v>51.373226165771399</v>
      </c>
    </row>
    <row r="2927" spans="1:3">
      <c r="A2927" s="1">
        <v>43691</v>
      </c>
      <c r="B2927">
        <v>124.61749267578099</v>
      </c>
      <c r="C2927">
        <v>50.883506774902301</v>
      </c>
    </row>
    <row r="2928" spans="1:3">
      <c r="A2928" s="1">
        <v>43692</v>
      </c>
      <c r="B2928">
        <v>126.16171264648401</v>
      </c>
      <c r="C2928">
        <v>51.728515625</v>
      </c>
    </row>
    <row r="2929" spans="1:3">
      <c r="A2929" s="1">
        <v>43693</v>
      </c>
      <c r="B2929">
        <v>127.16545104980401</v>
      </c>
      <c r="C2929">
        <v>52.247051239013601</v>
      </c>
    </row>
    <row r="2930" spans="1:3">
      <c r="A2930" s="1">
        <v>43696</v>
      </c>
      <c r="B2930">
        <v>127.947204589843</v>
      </c>
      <c r="C2930">
        <v>52.515922546386697</v>
      </c>
    </row>
    <row r="2931" spans="1:3">
      <c r="A2931" s="1">
        <v>43697</v>
      </c>
      <c r="B2931">
        <v>127.454986572265</v>
      </c>
      <c r="C2931">
        <v>51.738121032714801</v>
      </c>
    </row>
    <row r="2932" spans="1:3">
      <c r="A2932" s="1">
        <v>43698</v>
      </c>
      <c r="B2932">
        <v>127.725212097167</v>
      </c>
      <c r="C2932">
        <v>51.949371337890597</v>
      </c>
    </row>
    <row r="2933" spans="1:3">
      <c r="A2933" s="1">
        <v>43699</v>
      </c>
      <c r="B2933">
        <v>128.03407287597599</v>
      </c>
      <c r="C2933">
        <v>52.323879241943303</v>
      </c>
    </row>
    <row r="2934" spans="1:3">
      <c r="A2934" s="1">
        <v>43700</v>
      </c>
      <c r="B2934">
        <v>125.727401733398</v>
      </c>
      <c r="C2934">
        <v>51.603687286376903</v>
      </c>
    </row>
    <row r="2935" spans="1:3">
      <c r="A2935" s="1">
        <v>43703</v>
      </c>
      <c r="B2935">
        <v>129.076400756835</v>
      </c>
      <c r="C2935">
        <v>52.3718872070312</v>
      </c>
    </row>
    <row r="2936" spans="1:3">
      <c r="A2936" s="1">
        <v>43704</v>
      </c>
      <c r="B2936">
        <v>130.06082153320301</v>
      </c>
      <c r="C2936">
        <v>52.544731140136697</v>
      </c>
    </row>
    <row r="2937" spans="1:3">
      <c r="A2937" s="1">
        <v>43705</v>
      </c>
      <c r="B2937">
        <v>130.47584533691401</v>
      </c>
      <c r="C2937">
        <v>52.919227600097599</v>
      </c>
    </row>
    <row r="2938" spans="1:3">
      <c r="A2938" s="1">
        <v>43706</v>
      </c>
      <c r="B2938">
        <v>131.27691650390599</v>
      </c>
      <c r="C2938">
        <v>52.861610412597599</v>
      </c>
    </row>
    <row r="2939" spans="1:3">
      <c r="A2939" s="1">
        <v>43707</v>
      </c>
      <c r="B2939">
        <v>131.96212768554599</v>
      </c>
      <c r="C2939">
        <v>52.85200881958</v>
      </c>
    </row>
    <row r="2940" spans="1:3">
      <c r="A2940" s="1">
        <v>43711</v>
      </c>
      <c r="B2940">
        <v>132.66668701171801</v>
      </c>
      <c r="C2940">
        <v>53.101676940917898</v>
      </c>
    </row>
    <row r="2941" spans="1:3">
      <c r="A2941" s="1">
        <v>43712</v>
      </c>
      <c r="B2941">
        <v>134.29774475097599</v>
      </c>
      <c r="C2941">
        <v>53.552989959716797</v>
      </c>
    </row>
    <row r="2942" spans="1:3">
      <c r="A2942" s="1">
        <v>43713</v>
      </c>
      <c r="B2942">
        <v>132.14520263671801</v>
      </c>
      <c r="C2942">
        <v>52.928829193115199</v>
      </c>
    </row>
    <row r="2943" spans="1:3">
      <c r="A2943" s="1">
        <v>43714</v>
      </c>
      <c r="B2943">
        <v>133.496002197265</v>
      </c>
      <c r="C2943">
        <v>53.034454345703097</v>
      </c>
    </row>
    <row r="2944" spans="1:3">
      <c r="A2944" s="1">
        <v>43717</v>
      </c>
      <c r="B2944">
        <v>132.55334472656199</v>
      </c>
      <c r="C2944">
        <v>52.352676391601499</v>
      </c>
    </row>
    <row r="2945" spans="1:3">
      <c r="A2945" s="1">
        <v>43718</v>
      </c>
      <c r="B2945">
        <v>132.02859497070301</v>
      </c>
      <c r="C2945">
        <v>52.237457275390597</v>
      </c>
    </row>
    <row r="2946" spans="1:3">
      <c r="A2946" s="1">
        <v>43719</v>
      </c>
      <c r="B2946">
        <v>132.51449584960901</v>
      </c>
      <c r="C2946">
        <v>52.592742919921797</v>
      </c>
    </row>
    <row r="2947" spans="1:3">
      <c r="A2947" s="1">
        <v>43720</v>
      </c>
      <c r="B2947">
        <v>133.41827392578099</v>
      </c>
      <c r="C2947">
        <v>52.919227600097599</v>
      </c>
    </row>
    <row r="2948" spans="1:3">
      <c r="A2948" s="1">
        <v>43721</v>
      </c>
      <c r="B2948">
        <v>132.59225463867099</v>
      </c>
      <c r="C2948">
        <v>52.483955383300703</v>
      </c>
    </row>
    <row r="2949" spans="1:3">
      <c r="A2949" s="1">
        <v>43724</v>
      </c>
      <c r="B2949">
        <v>131.07623291015599</v>
      </c>
      <c r="C2949">
        <v>52.193775177001903</v>
      </c>
    </row>
    <row r="2950" spans="1:3">
      <c r="A2950" s="1">
        <v>43725</v>
      </c>
      <c r="B2950">
        <v>131.87310791015599</v>
      </c>
      <c r="C2950">
        <v>52.464611053466797</v>
      </c>
    </row>
    <row r="2951" spans="1:3">
      <c r="A2951" s="1">
        <v>43726</v>
      </c>
      <c r="B2951">
        <v>131.67874145507801</v>
      </c>
      <c r="C2951">
        <v>52.454936981201101</v>
      </c>
    </row>
    <row r="2952" spans="1:3">
      <c r="A2952" s="1">
        <v>43727</v>
      </c>
      <c r="B2952">
        <v>131.65931701660099</v>
      </c>
      <c r="C2952">
        <v>52.735443115234297</v>
      </c>
    </row>
    <row r="2953" spans="1:3">
      <c r="A2953" s="1">
        <v>43728</v>
      </c>
      <c r="B2953">
        <v>130.911041259765</v>
      </c>
      <c r="C2953">
        <v>52.145412445068303</v>
      </c>
    </row>
    <row r="2954" spans="1:3">
      <c r="A2954" s="1">
        <v>43731</v>
      </c>
      <c r="B2954">
        <v>131.62043762207</v>
      </c>
      <c r="C2954">
        <v>52.367885589599602</v>
      </c>
    </row>
    <row r="2955" spans="1:3">
      <c r="A2955" s="1">
        <v>43732</v>
      </c>
      <c r="B2955">
        <v>131.54269409179599</v>
      </c>
      <c r="C2955">
        <v>52.5226440429687</v>
      </c>
    </row>
    <row r="2956" spans="1:3">
      <c r="A2956" s="1">
        <v>43733</v>
      </c>
      <c r="B2956">
        <v>131.28031921386699</v>
      </c>
      <c r="C2956">
        <v>52.396900177001903</v>
      </c>
    </row>
    <row r="2957" spans="1:3">
      <c r="A2957" s="1">
        <v>43734</v>
      </c>
      <c r="B2957">
        <v>131.89254760742099</v>
      </c>
      <c r="C2957">
        <v>52.609703063964801</v>
      </c>
    </row>
    <row r="2958" spans="1:3">
      <c r="A2958" s="1">
        <v>43735</v>
      </c>
      <c r="B2958">
        <v>131.77593994140599</v>
      </c>
      <c r="C2958">
        <v>52.532321929931598</v>
      </c>
    </row>
    <row r="2959" spans="1:3">
      <c r="A2959" s="1">
        <v>43738</v>
      </c>
      <c r="B2959">
        <v>133.233627319335</v>
      </c>
      <c r="C2959">
        <v>52.658065795898402</v>
      </c>
    </row>
    <row r="2960" spans="1:3">
      <c r="A2960" s="1">
        <v>43739</v>
      </c>
      <c r="B2960">
        <v>133.496002197265</v>
      </c>
      <c r="C2960">
        <v>52.861190795898402</v>
      </c>
    </row>
    <row r="2961" spans="1:3">
      <c r="A2961" s="1">
        <v>43740</v>
      </c>
      <c r="B2961">
        <v>130.16275024414</v>
      </c>
      <c r="C2961">
        <v>51.342582702636697</v>
      </c>
    </row>
    <row r="2962" spans="1:3">
      <c r="A2962" s="1">
        <v>43741</v>
      </c>
      <c r="B2962">
        <v>134.04020690917901</v>
      </c>
      <c r="C2962">
        <v>52.077705383300703</v>
      </c>
    </row>
    <row r="2963" spans="1:3">
      <c r="A2963" s="1">
        <v>43742</v>
      </c>
      <c r="B2963">
        <v>136.32394409179599</v>
      </c>
      <c r="C2963">
        <v>52.754795074462798</v>
      </c>
    </row>
    <row r="2964" spans="1:3">
      <c r="A2964" s="1">
        <v>43745</v>
      </c>
      <c r="B2964">
        <v>134.43865966796801</v>
      </c>
      <c r="C2964">
        <v>52.106719970703097</v>
      </c>
    </row>
    <row r="2965" spans="1:3">
      <c r="A2965" s="1">
        <v>43746</v>
      </c>
      <c r="B2965">
        <v>133.36968994140599</v>
      </c>
      <c r="C2965">
        <v>51.826217651367102</v>
      </c>
    </row>
    <row r="2966" spans="1:3">
      <c r="A2966" s="1">
        <v>43747</v>
      </c>
      <c r="B2966">
        <v>133.962478637695</v>
      </c>
      <c r="C2966">
        <v>52.068035125732401</v>
      </c>
    </row>
    <row r="2967" spans="1:3">
      <c r="A2967" s="1">
        <v>43748</v>
      </c>
      <c r="B2967">
        <v>134.00134277343699</v>
      </c>
      <c r="C2967">
        <v>51.903594970703097</v>
      </c>
    </row>
    <row r="2968" spans="1:3">
      <c r="A2968" s="1">
        <v>43749</v>
      </c>
      <c r="B2968">
        <v>133.75839233398401</v>
      </c>
      <c r="C2968">
        <v>51.555381774902301</v>
      </c>
    </row>
    <row r="2969" spans="1:3">
      <c r="A2969" s="1">
        <v>43752</v>
      </c>
      <c r="B2969">
        <v>133.57376098632801</v>
      </c>
      <c r="C2969">
        <v>51.555381774902301</v>
      </c>
    </row>
    <row r="2970" spans="1:3">
      <c r="A2970" s="1">
        <v>43753</v>
      </c>
      <c r="B2970">
        <v>132.48533630371</v>
      </c>
      <c r="C2970">
        <v>51.758502960205</v>
      </c>
    </row>
    <row r="2971" spans="1:3">
      <c r="A2971" s="1">
        <v>43754</v>
      </c>
      <c r="B2971">
        <v>132.57281494140599</v>
      </c>
      <c r="C2971">
        <v>51.739162445068303</v>
      </c>
    </row>
    <row r="2972" spans="1:3">
      <c r="A2972" s="1">
        <v>43755</v>
      </c>
      <c r="B2972">
        <v>133.09757995605401</v>
      </c>
      <c r="C2972">
        <v>52.029338836669901</v>
      </c>
    </row>
    <row r="2973" spans="1:3">
      <c r="A2973" s="1">
        <v>43756</v>
      </c>
      <c r="B2973">
        <v>132.40760803222599</v>
      </c>
      <c r="C2973">
        <v>52.986934661865199</v>
      </c>
    </row>
    <row r="2974" spans="1:3">
      <c r="A2974" s="1">
        <v>43759</v>
      </c>
      <c r="B2974">
        <v>132.28126525878901</v>
      </c>
      <c r="C2974">
        <v>52.454936981201101</v>
      </c>
    </row>
    <row r="2975" spans="1:3">
      <c r="A2975" s="1">
        <v>43760</v>
      </c>
      <c r="B2975">
        <v>132.80603027343699</v>
      </c>
      <c r="C2975">
        <v>52.087375640869098</v>
      </c>
    </row>
    <row r="2976" spans="1:3">
      <c r="A2976" s="1">
        <v>43761</v>
      </c>
      <c r="B2976">
        <v>133.57376098632801</v>
      </c>
      <c r="C2976">
        <v>52.851516723632798</v>
      </c>
    </row>
    <row r="2977" spans="1:3">
      <c r="A2977" s="1">
        <v>43762</v>
      </c>
      <c r="B2977">
        <v>134.00134277343699</v>
      </c>
      <c r="C2977">
        <v>52.822502136230398</v>
      </c>
    </row>
    <row r="2978" spans="1:3">
      <c r="A2978" s="1">
        <v>43763</v>
      </c>
      <c r="B2978">
        <v>132.78660583496</v>
      </c>
      <c r="C2978">
        <v>51.990650177001903</v>
      </c>
    </row>
    <row r="2979" spans="1:3">
      <c r="A2979" s="1">
        <v>43766</v>
      </c>
      <c r="B2979">
        <v>132.71858215332</v>
      </c>
      <c r="C2979">
        <v>51.816539764404297</v>
      </c>
    </row>
    <row r="2980" spans="1:3">
      <c r="A2980" s="1">
        <v>43767</v>
      </c>
      <c r="B2980">
        <v>132.24240112304599</v>
      </c>
      <c r="C2980">
        <v>51.661777496337798</v>
      </c>
    </row>
    <row r="2981" spans="1:3">
      <c r="A2981" s="1">
        <v>43768</v>
      </c>
      <c r="B2981">
        <v>133.03927612304599</v>
      </c>
      <c r="C2981">
        <v>52.174427032470703</v>
      </c>
    </row>
    <row r="2982" spans="1:3">
      <c r="A2982" s="1">
        <v>43769</v>
      </c>
      <c r="B2982">
        <v>133.30163574218699</v>
      </c>
      <c r="C2982">
        <v>52.648391723632798</v>
      </c>
    </row>
    <row r="2983" spans="1:3">
      <c r="A2983" s="1">
        <v>43770</v>
      </c>
      <c r="B2983">
        <v>133.06842041015599</v>
      </c>
      <c r="C2983">
        <v>52.135738372802699</v>
      </c>
    </row>
    <row r="2984" spans="1:3">
      <c r="A2984" s="1">
        <v>43773</v>
      </c>
      <c r="B2984">
        <v>131.34834289550699</v>
      </c>
      <c r="C2984">
        <v>51.400611877441399</v>
      </c>
    </row>
    <row r="2985" spans="1:3">
      <c r="A2985" s="1">
        <v>43774</v>
      </c>
      <c r="B2985">
        <v>130.23077392578099</v>
      </c>
      <c r="C2985">
        <v>50.7041816711425</v>
      </c>
    </row>
    <row r="2986" spans="1:3">
      <c r="A2986" s="1">
        <v>43775</v>
      </c>
      <c r="B2986">
        <v>130.64865112304599</v>
      </c>
      <c r="C2986">
        <v>51.071743011474602</v>
      </c>
    </row>
    <row r="2987" spans="1:3">
      <c r="A2987" s="1">
        <v>43776</v>
      </c>
      <c r="B2987">
        <v>129.56022644042901</v>
      </c>
      <c r="C2987">
        <v>50.578437805175703</v>
      </c>
    </row>
    <row r="2988" spans="1:3">
      <c r="A2988" s="1">
        <v>43777</v>
      </c>
      <c r="B2988">
        <v>129.37557983398401</v>
      </c>
      <c r="C2988">
        <v>50.5010566711425</v>
      </c>
    </row>
    <row r="2989" spans="1:3">
      <c r="A2989" s="1">
        <v>43780</v>
      </c>
      <c r="B2989">
        <v>128.65644836425699</v>
      </c>
      <c r="C2989">
        <v>50.143169403076101</v>
      </c>
    </row>
    <row r="2990" spans="1:3">
      <c r="A2990" s="1">
        <v>43781</v>
      </c>
      <c r="B2990">
        <v>128.25801086425699</v>
      </c>
      <c r="C2990">
        <v>50.017421722412102</v>
      </c>
    </row>
    <row r="2991" spans="1:3">
      <c r="A2991" s="1">
        <v>43782</v>
      </c>
      <c r="B2991">
        <v>129.53106689453099</v>
      </c>
      <c r="C2991">
        <v>50.694511413574197</v>
      </c>
    </row>
    <row r="2992" spans="1:3">
      <c r="A2992" s="1">
        <v>43783</v>
      </c>
      <c r="B2992">
        <v>129.56994628906199</v>
      </c>
      <c r="C2992">
        <v>50.907310485839801</v>
      </c>
    </row>
    <row r="2993" spans="1:3">
      <c r="A2993" s="1">
        <v>43784</v>
      </c>
      <c r="B2993">
        <v>130.03640747070301</v>
      </c>
      <c r="C2993">
        <v>50.945999145507798</v>
      </c>
    </row>
    <row r="2994" spans="1:3">
      <c r="A2994" s="1">
        <v>43787</v>
      </c>
      <c r="B2994">
        <v>130.27934265136699</v>
      </c>
      <c r="C2994">
        <v>51.294212341308501</v>
      </c>
    </row>
    <row r="2995" spans="1:3">
      <c r="A2995" s="1">
        <v>43788</v>
      </c>
      <c r="B2995">
        <v>130.774978637695</v>
      </c>
      <c r="C2995">
        <v>51.342582702636697</v>
      </c>
    </row>
    <row r="2996" spans="1:3">
      <c r="A2996" s="1">
        <v>43789</v>
      </c>
      <c r="B2996">
        <v>129.96838378906199</v>
      </c>
      <c r="C2996">
        <v>51.478000640869098</v>
      </c>
    </row>
    <row r="2997" spans="1:3">
      <c r="A2997" s="1">
        <v>43790</v>
      </c>
      <c r="B2997">
        <v>130.13359069824199</v>
      </c>
      <c r="C2997">
        <v>51.226509094238203</v>
      </c>
    </row>
    <row r="2998" spans="1:3">
      <c r="A2998" s="1">
        <v>43791</v>
      </c>
      <c r="B2998">
        <v>130.28909301757801</v>
      </c>
      <c r="C2998">
        <v>51.294212341308501</v>
      </c>
    </row>
    <row r="2999" spans="1:3">
      <c r="A2999" s="1">
        <v>43794</v>
      </c>
      <c r="B2999">
        <v>130.05584716796801</v>
      </c>
      <c r="C2999">
        <v>51.478000640869098</v>
      </c>
    </row>
    <row r="3000" spans="1:3">
      <c r="A3000" s="1">
        <v>43795</v>
      </c>
      <c r="B3000">
        <v>131.87310791015599</v>
      </c>
      <c r="C3000">
        <v>52.135738372802699</v>
      </c>
    </row>
    <row r="3001" spans="1:3">
      <c r="A3001" s="1">
        <v>43796</v>
      </c>
      <c r="B3001">
        <v>132.07719421386699</v>
      </c>
      <c r="C3001">
        <v>52.184104919433501</v>
      </c>
    </row>
    <row r="3002" spans="1:3">
      <c r="A3002" s="1">
        <v>43798</v>
      </c>
      <c r="B3002">
        <v>131.99943542480401</v>
      </c>
      <c r="C3002">
        <v>52.037933349609297</v>
      </c>
    </row>
    <row r="3003" spans="1:3">
      <c r="A3003" s="1">
        <v>43801</v>
      </c>
      <c r="B3003">
        <v>132.04803466796801</v>
      </c>
      <c r="C3003">
        <v>52.379001617431598</v>
      </c>
    </row>
    <row r="3004" spans="1:3">
      <c r="A3004" s="1">
        <v>43802</v>
      </c>
      <c r="B3004">
        <v>131.639877319335</v>
      </c>
      <c r="C3004">
        <v>52.427726745605398</v>
      </c>
    </row>
    <row r="3005" spans="1:3">
      <c r="A3005" s="1">
        <v>43803</v>
      </c>
      <c r="B3005">
        <v>133.42799377441401</v>
      </c>
      <c r="C3005">
        <v>52.90523147583</v>
      </c>
    </row>
    <row r="3006" spans="1:3">
      <c r="A3006" s="1">
        <v>43804</v>
      </c>
      <c r="B3006">
        <v>133.423080444335</v>
      </c>
      <c r="C3006">
        <v>52.807777404785099</v>
      </c>
    </row>
    <row r="3007" spans="1:3">
      <c r="A3007" s="1">
        <v>43805</v>
      </c>
      <c r="B3007">
        <v>134.42127990722599</v>
      </c>
      <c r="C3007">
        <v>53.031909942626903</v>
      </c>
    </row>
    <row r="3008" spans="1:3">
      <c r="A3008" s="1">
        <v>43808</v>
      </c>
      <c r="B3008">
        <v>134.22555541992099</v>
      </c>
      <c r="C3008">
        <v>52.690837860107401</v>
      </c>
    </row>
    <row r="3009" spans="1:3">
      <c r="A3009" s="1">
        <v>43809</v>
      </c>
      <c r="B3009">
        <v>133.35459899902301</v>
      </c>
      <c r="C3009">
        <v>52.398490905761697</v>
      </c>
    </row>
    <row r="3010" spans="1:3">
      <c r="A3010" s="1">
        <v>43810</v>
      </c>
      <c r="B3010">
        <v>134.16683959960901</v>
      </c>
      <c r="C3010">
        <v>52.573902130126903</v>
      </c>
    </row>
    <row r="3011" spans="1:3">
      <c r="A3011" s="1">
        <v>43811</v>
      </c>
      <c r="B3011">
        <v>134.2451171875</v>
      </c>
      <c r="C3011">
        <v>52.759056091308501</v>
      </c>
    </row>
    <row r="3012" spans="1:3">
      <c r="A3012" s="1">
        <v>43812</v>
      </c>
      <c r="B3012">
        <v>134.98886108398401</v>
      </c>
      <c r="C3012">
        <v>53.031909942626903</v>
      </c>
    </row>
    <row r="3013" spans="1:3">
      <c r="A3013" s="1">
        <v>43815</v>
      </c>
      <c r="B3013">
        <v>134.127685546875</v>
      </c>
      <c r="C3013">
        <v>53.031909942626903</v>
      </c>
    </row>
    <row r="3014" spans="1:3">
      <c r="A3014" s="1">
        <v>43816</v>
      </c>
      <c r="B3014">
        <v>133.25672912597599</v>
      </c>
      <c r="C3014">
        <v>53.031909942626903</v>
      </c>
    </row>
    <row r="3015" spans="1:3">
      <c r="A3015" s="1">
        <v>43817</v>
      </c>
      <c r="B3015">
        <v>133.06100463867099</v>
      </c>
      <c r="C3015">
        <v>52.534919738769503</v>
      </c>
    </row>
    <row r="3016" spans="1:3">
      <c r="A3016" s="1">
        <v>43818</v>
      </c>
      <c r="B3016">
        <v>133.55030822753901</v>
      </c>
      <c r="C3016">
        <v>52.934459686279297</v>
      </c>
    </row>
    <row r="3017" spans="1:3">
      <c r="A3017" s="1">
        <v>43819</v>
      </c>
      <c r="B3017">
        <v>134.96928405761699</v>
      </c>
      <c r="C3017">
        <v>53.567886352538999</v>
      </c>
    </row>
    <row r="3018" spans="1:3">
      <c r="A3018" s="1">
        <v>43822</v>
      </c>
      <c r="B3018">
        <v>134.10810852050699</v>
      </c>
      <c r="C3018">
        <v>53.509410858154297</v>
      </c>
    </row>
    <row r="3019" spans="1:3">
      <c r="A3019" s="1">
        <v>43823</v>
      </c>
      <c r="B3019">
        <v>133.96131896972599</v>
      </c>
      <c r="C3019">
        <v>53.3145141601562</v>
      </c>
    </row>
    <row r="3020" spans="1:3">
      <c r="A3020" s="1">
        <v>43825</v>
      </c>
      <c r="B3020">
        <v>133.765625</v>
      </c>
      <c r="C3020">
        <v>53.616611480712798</v>
      </c>
    </row>
    <row r="3021" spans="1:3">
      <c r="A3021" s="1">
        <v>43826</v>
      </c>
      <c r="B3021">
        <v>134.59742736816401</v>
      </c>
      <c r="C3021">
        <v>53.938194274902301</v>
      </c>
    </row>
    <row r="3022" spans="1:3">
      <c r="A3022" s="1">
        <v>43829</v>
      </c>
      <c r="B3022">
        <v>133.883041381835</v>
      </c>
      <c r="C3022">
        <v>53.860233306884702</v>
      </c>
    </row>
    <row r="3023" spans="1:3">
      <c r="A3023" s="1">
        <v>43830</v>
      </c>
      <c r="B3023">
        <v>133.74603271484301</v>
      </c>
      <c r="C3023">
        <v>53.938194274902301</v>
      </c>
    </row>
    <row r="3024" spans="1:3">
      <c r="A3024" s="1">
        <v>43832</v>
      </c>
      <c r="B3024">
        <v>132.91423034667901</v>
      </c>
      <c r="C3024">
        <v>53.587375640869098</v>
      </c>
    </row>
    <row r="3025" spans="1:3">
      <c r="A3025" s="1">
        <v>43833</v>
      </c>
      <c r="B3025">
        <v>132.72830200195301</v>
      </c>
      <c r="C3025">
        <v>53.295024871826101</v>
      </c>
    </row>
    <row r="3026" spans="1:3">
      <c r="A3026" s="1">
        <v>43836</v>
      </c>
      <c r="B3026">
        <v>133.23715209960901</v>
      </c>
      <c r="C3026">
        <v>53.275535583496001</v>
      </c>
    </row>
    <row r="3027" spans="1:3">
      <c r="A3027" s="1">
        <v>43837</v>
      </c>
      <c r="B3027">
        <v>131.14294433593699</v>
      </c>
      <c r="C3027">
        <v>52.866249084472599</v>
      </c>
    </row>
    <row r="3028" spans="1:3">
      <c r="A3028" s="1">
        <v>43838</v>
      </c>
      <c r="B3028">
        <v>131.81819152832</v>
      </c>
      <c r="C3028">
        <v>52.963695526122997</v>
      </c>
    </row>
    <row r="3029" spans="1:3">
      <c r="A3029" s="1">
        <v>43839</v>
      </c>
      <c r="B3029">
        <v>131.90626525878901</v>
      </c>
      <c r="C3029">
        <v>53.928443908691399</v>
      </c>
    </row>
    <row r="3030" spans="1:3">
      <c r="A3030" s="1">
        <v>43840</v>
      </c>
      <c r="B3030">
        <v>131.65180969238199</v>
      </c>
      <c r="C3030">
        <v>54.113597869872997</v>
      </c>
    </row>
    <row r="3031" spans="1:3">
      <c r="A3031" s="1">
        <v>43843</v>
      </c>
      <c r="B3031">
        <v>133.60902404785099</v>
      </c>
      <c r="C3031">
        <v>54.698299407958899</v>
      </c>
    </row>
    <row r="3032" spans="1:3">
      <c r="A3032" s="1">
        <v>43844</v>
      </c>
      <c r="B3032">
        <v>133.92218017578099</v>
      </c>
      <c r="C3032">
        <v>54.571609497070298</v>
      </c>
    </row>
    <row r="3033" spans="1:3">
      <c r="A3033" s="1">
        <v>43845</v>
      </c>
      <c r="B3033">
        <v>136.221908569335</v>
      </c>
      <c r="C3033">
        <v>55.253757476806598</v>
      </c>
    </row>
    <row r="3034" spans="1:3">
      <c r="A3034" s="1">
        <v>43846</v>
      </c>
      <c r="B3034">
        <v>136.623123168945</v>
      </c>
      <c r="C3034">
        <v>55.370693206787102</v>
      </c>
    </row>
    <row r="3035" spans="1:3">
      <c r="A3035" s="1">
        <v>43847</v>
      </c>
      <c r="B3035">
        <v>138.23782348632801</v>
      </c>
      <c r="C3035">
        <v>55.487636566162102</v>
      </c>
    </row>
    <row r="3036" spans="1:3">
      <c r="A3036" s="1">
        <v>43851</v>
      </c>
      <c r="B3036">
        <v>138.82501220703099</v>
      </c>
      <c r="C3036">
        <v>55.711769104003899</v>
      </c>
    </row>
    <row r="3037" spans="1:3">
      <c r="A3037" s="1">
        <v>43852</v>
      </c>
      <c r="B3037">
        <v>140.31248474121</v>
      </c>
      <c r="C3037">
        <v>56.140544891357401</v>
      </c>
    </row>
    <row r="3038" spans="1:3">
      <c r="A3038" s="1">
        <v>43853</v>
      </c>
      <c r="B3038">
        <v>140.57670593261699</v>
      </c>
      <c r="C3038">
        <v>56.354934692382798</v>
      </c>
    </row>
    <row r="3039" spans="1:3">
      <c r="A3039" s="1">
        <v>43854</v>
      </c>
      <c r="B3039">
        <v>139.86231994628901</v>
      </c>
      <c r="C3039">
        <v>56.208755493163999</v>
      </c>
    </row>
    <row r="3040" spans="1:3">
      <c r="A3040" s="1">
        <v>43857</v>
      </c>
      <c r="B3040">
        <v>139.09901428222599</v>
      </c>
      <c r="C3040">
        <v>56.013858795166001</v>
      </c>
    </row>
    <row r="3041" spans="1:3">
      <c r="A3041" s="1">
        <v>43858</v>
      </c>
      <c r="B3041">
        <v>139.39259338378901</v>
      </c>
      <c r="C3041">
        <v>55.5558471679687</v>
      </c>
    </row>
    <row r="3042" spans="1:3">
      <c r="A3042" s="1">
        <v>43859</v>
      </c>
      <c r="B3042">
        <v>138.69776916503901</v>
      </c>
      <c r="C3042">
        <v>55.5558471679687</v>
      </c>
    </row>
    <row r="3043" spans="1:3">
      <c r="A3043" s="1">
        <v>43860</v>
      </c>
      <c r="B3043">
        <v>140.75285339355401</v>
      </c>
      <c r="C3043">
        <v>57.3586616516113</v>
      </c>
    </row>
    <row r="3044" spans="1:3">
      <c r="A3044" s="1">
        <v>43861</v>
      </c>
      <c r="B3044">
        <v>138.98158264160099</v>
      </c>
      <c r="C3044">
        <v>56.910400390625</v>
      </c>
    </row>
    <row r="3045" spans="1:3">
      <c r="A3045" s="1">
        <v>43864</v>
      </c>
      <c r="B3045">
        <v>139.46107482910099</v>
      </c>
      <c r="C3045">
        <v>57.085803985595703</v>
      </c>
    </row>
    <row r="3046" spans="1:3">
      <c r="A3046" s="1">
        <v>43865</v>
      </c>
      <c r="B3046">
        <v>140.15589904785099</v>
      </c>
      <c r="C3046">
        <v>57.3391723632812</v>
      </c>
    </row>
    <row r="3047" spans="1:3">
      <c r="A3047" s="1">
        <v>43866</v>
      </c>
      <c r="B3047">
        <v>141.212799072265</v>
      </c>
      <c r="C3047">
        <v>57.348915100097599</v>
      </c>
    </row>
    <row r="3048" spans="1:3">
      <c r="A3048" s="1">
        <v>43867</v>
      </c>
      <c r="B3048">
        <v>141.24215698242099</v>
      </c>
      <c r="C3048">
        <v>57.4853515625</v>
      </c>
    </row>
    <row r="3049" spans="1:3">
      <c r="A3049" s="1">
        <v>43868</v>
      </c>
      <c r="B3049">
        <v>142.25990295410099</v>
      </c>
      <c r="C3049">
        <v>57.680244445800703</v>
      </c>
    </row>
    <row r="3050" spans="1:3">
      <c r="A3050" s="1">
        <v>43871</v>
      </c>
      <c r="B3050">
        <v>142.543701171875</v>
      </c>
      <c r="C3050">
        <v>58.225959777832003</v>
      </c>
    </row>
    <row r="3051" spans="1:3">
      <c r="A3051" s="1">
        <v>43872</v>
      </c>
      <c r="B3051">
        <v>142.95471191406199</v>
      </c>
      <c r="C3051">
        <v>58.070045471191399</v>
      </c>
    </row>
    <row r="3052" spans="1:3">
      <c r="A3052" s="1">
        <v>43873</v>
      </c>
      <c r="B3052">
        <v>142.95471191406199</v>
      </c>
      <c r="C3052">
        <v>57.894634246826101</v>
      </c>
    </row>
    <row r="3053" spans="1:3">
      <c r="A3053" s="1">
        <v>43874</v>
      </c>
      <c r="B3053">
        <v>143.33638000488199</v>
      </c>
      <c r="C3053">
        <v>58.089530944824197</v>
      </c>
    </row>
    <row r="3054" spans="1:3">
      <c r="A3054" s="1">
        <v>43875</v>
      </c>
      <c r="B3054">
        <v>143.84524536132801</v>
      </c>
      <c r="C3054">
        <v>58.420860290527301</v>
      </c>
    </row>
    <row r="3055" spans="1:3">
      <c r="A3055" s="1">
        <v>43879</v>
      </c>
      <c r="B3055">
        <v>142.48498535156199</v>
      </c>
      <c r="C3055">
        <v>58.011569976806598</v>
      </c>
    </row>
    <row r="3056" spans="1:3">
      <c r="A3056" s="1">
        <v>43880</v>
      </c>
      <c r="B3056">
        <v>142.41647338867099</v>
      </c>
      <c r="C3056">
        <v>58.245452880859297</v>
      </c>
    </row>
    <row r="3057" spans="1:3">
      <c r="A3057" s="1">
        <v>43881</v>
      </c>
      <c r="B3057">
        <v>142.05441284179599</v>
      </c>
      <c r="C3057">
        <v>58.196727752685497</v>
      </c>
    </row>
    <row r="3058" spans="1:3">
      <c r="A3058" s="1">
        <v>43882</v>
      </c>
      <c r="B3058">
        <v>142.72964477539</v>
      </c>
      <c r="C3058">
        <v>58.596267700195298</v>
      </c>
    </row>
    <row r="3059" spans="1:3">
      <c r="A3059" s="1">
        <v>43885</v>
      </c>
      <c r="B3059">
        <v>139.58831787109301</v>
      </c>
      <c r="C3059">
        <v>57.154022216796797</v>
      </c>
    </row>
    <row r="3060" spans="1:3">
      <c r="A3060" s="1">
        <v>43886</v>
      </c>
      <c r="B3060">
        <v>138.08126831054599</v>
      </c>
      <c r="C3060">
        <v>56.345188140869098</v>
      </c>
    </row>
    <row r="3061" spans="1:3">
      <c r="A3061" s="1">
        <v>43887</v>
      </c>
      <c r="B3061">
        <v>138.94241333007801</v>
      </c>
      <c r="C3061">
        <v>56.130802154541001</v>
      </c>
    </row>
    <row r="3062" spans="1:3">
      <c r="A3062" s="1">
        <v>43888</v>
      </c>
      <c r="B3062">
        <v>133.45243835449199</v>
      </c>
      <c r="C3062">
        <v>53.528903961181598</v>
      </c>
    </row>
    <row r="3063" spans="1:3">
      <c r="A3063" s="1">
        <v>43889</v>
      </c>
      <c r="B3063">
        <v>129.205307006835</v>
      </c>
      <c r="C3063">
        <v>52.125637054443303</v>
      </c>
    </row>
    <row r="3064" spans="1:3">
      <c r="A3064" s="1">
        <v>43892</v>
      </c>
      <c r="B3064">
        <v>134.63656616210901</v>
      </c>
      <c r="C3064">
        <v>54.49365234375</v>
      </c>
    </row>
    <row r="3065" spans="1:3">
      <c r="A3065" s="1">
        <v>43893</v>
      </c>
      <c r="B3065">
        <v>132.67935180664</v>
      </c>
      <c r="C3065">
        <v>54.630084991455</v>
      </c>
    </row>
    <row r="3066" spans="1:3">
      <c r="A3066" s="1">
        <v>43894</v>
      </c>
      <c r="B3066">
        <v>139.343658447265</v>
      </c>
      <c r="C3066">
        <v>57.417125701904297</v>
      </c>
    </row>
    <row r="3067" spans="1:3">
      <c r="A3067" s="1">
        <v>43895</v>
      </c>
      <c r="B3067">
        <v>136.05798339843699</v>
      </c>
      <c r="C3067">
        <v>55.292739868163999</v>
      </c>
    </row>
    <row r="3068" spans="1:3">
      <c r="A3068" s="1">
        <v>43896</v>
      </c>
      <c r="B3068">
        <v>135.23039245605401</v>
      </c>
      <c r="C3068">
        <v>53.850486755371001</v>
      </c>
    </row>
    <row r="3069" spans="1:3">
      <c r="A3069" s="1">
        <v>43899</v>
      </c>
      <c r="B3069">
        <v>128.23538208007801</v>
      </c>
      <c r="C3069">
        <v>50.537208557128899</v>
      </c>
    </row>
    <row r="3070" spans="1:3">
      <c r="A3070" s="1">
        <v>43900</v>
      </c>
      <c r="B3070">
        <v>132.15653991699199</v>
      </c>
      <c r="C3070">
        <v>52.291297912597599</v>
      </c>
    </row>
    <row r="3071" spans="1:3">
      <c r="A3071" s="1">
        <v>43901</v>
      </c>
      <c r="B3071">
        <v>127.83144378662099</v>
      </c>
      <c r="C3071">
        <v>50.878284454345703</v>
      </c>
    </row>
    <row r="3072" spans="1:3">
      <c r="A3072" s="1">
        <v>43902</v>
      </c>
      <c r="B3072">
        <v>113.63451385498</v>
      </c>
      <c r="C3072">
        <v>45.9570922851562</v>
      </c>
    </row>
    <row r="3073" spans="1:3">
      <c r="A3073" s="1">
        <v>43903</v>
      </c>
      <c r="B3073">
        <v>125.565452575683</v>
      </c>
      <c r="C3073">
        <v>47.647918701171797</v>
      </c>
    </row>
    <row r="3074" spans="1:3">
      <c r="A3074" s="1">
        <v>43906</v>
      </c>
      <c r="B3074">
        <v>111.41777801513599</v>
      </c>
      <c r="C3074">
        <v>44.492362976074197</v>
      </c>
    </row>
    <row r="3075" spans="1:3">
      <c r="A3075" s="1">
        <v>43907</v>
      </c>
      <c r="B3075">
        <v>125.83145904541</v>
      </c>
      <c r="C3075">
        <v>46.379798889160099</v>
      </c>
    </row>
    <row r="3076" spans="1:3">
      <c r="A3076" s="1">
        <v>43908</v>
      </c>
      <c r="B3076">
        <v>119.13200378417901</v>
      </c>
      <c r="C3076">
        <v>44.089317321777301</v>
      </c>
    </row>
    <row r="3077" spans="1:3">
      <c r="A3077" s="1">
        <v>43909</v>
      </c>
      <c r="B3077">
        <v>115.604934692382</v>
      </c>
      <c r="C3077">
        <v>41.1205444335937</v>
      </c>
    </row>
    <row r="3078" spans="1:3">
      <c r="A3078" s="1">
        <v>43910</v>
      </c>
      <c r="B3078">
        <v>102.39323425292901</v>
      </c>
      <c r="C3078">
        <v>37.6504096984863</v>
      </c>
    </row>
    <row r="3079" spans="1:3">
      <c r="A3079" s="1">
        <v>43913</v>
      </c>
      <c r="B3079">
        <v>103.62474822998</v>
      </c>
      <c r="C3079">
        <v>36.922962188720703</v>
      </c>
    </row>
    <row r="3080" spans="1:3">
      <c r="A3080" s="1">
        <v>43914</v>
      </c>
      <c r="B3080">
        <v>112.156700134277</v>
      </c>
      <c r="C3080">
        <v>38.780906677246001</v>
      </c>
    </row>
    <row r="3081" spans="1:3">
      <c r="A3081" s="1">
        <v>43915</v>
      </c>
      <c r="B3081">
        <v>110.83650970458901</v>
      </c>
      <c r="C3081">
        <v>40.904270172119098</v>
      </c>
    </row>
    <row r="3082" spans="1:3">
      <c r="A3082" s="1">
        <v>43916</v>
      </c>
      <c r="B3082">
        <v>118.48177337646401</v>
      </c>
      <c r="C3082">
        <v>43.538818359375</v>
      </c>
    </row>
    <row r="3083" spans="1:3">
      <c r="A3083" s="1">
        <v>43917</v>
      </c>
      <c r="B3083">
        <v>118.678810119628</v>
      </c>
      <c r="C3083">
        <v>42.083919525146399</v>
      </c>
    </row>
    <row r="3084" spans="1:3">
      <c r="A3084" s="1">
        <v>43920</v>
      </c>
      <c r="B3084">
        <v>123.6245803833</v>
      </c>
      <c r="C3084">
        <v>44.23677444458</v>
      </c>
    </row>
    <row r="3085" spans="1:3">
      <c r="A3085" s="1">
        <v>43921</v>
      </c>
      <c r="B3085">
        <v>118.32413482666</v>
      </c>
      <c r="C3085">
        <v>43.499492645263601</v>
      </c>
    </row>
    <row r="3086" spans="1:3">
      <c r="A3086" s="1">
        <v>43922</v>
      </c>
      <c r="B3086">
        <v>116.373413085937</v>
      </c>
      <c r="C3086">
        <v>41.405620574951101</v>
      </c>
    </row>
    <row r="3087" spans="1:3">
      <c r="A3087" s="1">
        <v>43923</v>
      </c>
      <c r="B3087">
        <v>122.02853393554599</v>
      </c>
      <c r="C3087">
        <v>43.204582214355398</v>
      </c>
    </row>
    <row r="3088" spans="1:3">
      <c r="A3088" s="1">
        <v>43924</v>
      </c>
      <c r="B3088">
        <v>122.747741699218</v>
      </c>
      <c r="C3088">
        <v>43.086620330810497</v>
      </c>
    </row>
    <row r="3089" spans="1:3">
      <c r="A3089" s="1">
        <v>43927</v>
      </c>
      <c r="B3089">
        <v>129.22059631347599</v>
      </c>
      <c r="C3089">
        <v>45.878448486328097</v>
      </c>
    </row>
    <row r="3090" spans="1:3">
      <c r="A3090" s="1">
        <v>43928</v>
      </c>
      <c r="B3090">
        <v>128.55064392089801</v>
      </c>
      <c r="C3090">
        <v>45.721160888671797</v>
      </c>
    </row>
    <row r="3091" spans="1:3">
      <c r="A3091" s="1">
        <v>43929</v>
      </c>
      <c r="B3091">
        <v>130.649154663085</v>
      </c>
      <c r="C3091">
        <v>47.008945465087798</v>
      </c>
    </row>
    <row r="3092" spans="1:3">
      <c r="A3092" s="1">
        <v>43930</v>
      </c>
      <c r="B3092">
        <v>131.65406799316401</v>
      </c>
      <c r="C3092">
        <v>48.168933868408203</v>
      </c>
    </row>
    <row r="3093" spans="1:3">
      <c r="A3093" s="1">
        <v>43934</v>
      </c>
      <c r="B3093">
        <v>128.95457458496</v>
      </c>
      <c r="C3093">
        <v>46.134040832519503</v>
      </c>
    </row>
    <row r="3094" spans="1:3">
      <c r="A3094" s="1">
        <v>43935</v>
      </c>
      <c r="B3094">
        <v>136.35353088378901</v>
      </c>
      <c r="C3094">
        <v>48.090286254882798</v>
      </c>
    </row>
    <row r="3095" spans="1:3">
      <c r="A3095" s="1">
        <v>43936</v>
      </c>
      <c r="B3095">
        <v>133.03337097167901</v>
      </c>
      <c r="C3095">
        <v>46.802505493163999</v>
      </c>
    </row>
    <row r="3096" spans="1:3">
      <c r="A3096" s="1">
        <v>43937</v>
      </c>
      <c r="B3096">
        <v>133.634353637695</v>
      </c>
      <c r="C3096">
        <v>46.301155090332003</v>
      </c>
    </row>
    <row r="3097" spans="1:3">
      <c r="A3097" s="1">
        <v>43938</v>
      </c>
      <c r="B3097">
        <v>135.51611328125</v>
      </c>
      <c r="C3097">
        <v>47.244876861572202</v>
      </c>
    </row>
    <row r="3098" spans="1:3">
      <c r="A3098" s="1">
        <v>43941</v>
      </c>
      <c r="B3098">
        <v>132.56047058105401</v>
      </c>
      <c r="C3098">
        <v>45.740821838378899</v>
      </c>
    </row>
    <row r="3099" spans="1:3">
      <c r="A3099" s="1">
        <v>43942</v>
      </c>
      <c r="B3099">
        <v>129.00384521484301</v>
      </c>
      <c r="C3099">
        <v>44.610328674316399</v>
      </c>
    </row>
    <row r="3100" spans="1:3">
      <c r="A3100" s="1">
        <v>43943</v>
      </c>
      <c r="B3100">
        <v>130.65899658203099</v>
      </c>
      <c r="C3100">
        <v>44.905239105224602</v>
      </c>
    </row>
    <row r="3101" spans="1:3">
      <c r="A3101" s="1">
        <v>43944</v>
      </c>
      <c r="B3101">
        <v>128.333892822265</v>
      </c>
      <c r="C3101">
        <v>44.305587768554602</v>
      </c>
    </row>
    <row r="3102" spans="1:3">
      <c r="A3102" s="1">
        <v>43945</v>
      </c>
      <c r="B3102">
        <v>132.373275756835</v>
      </c>
      <c r="C3102">
        <v>44.659481048583899</v>
      </c>
    </row>
    <row r="3103" spans="1:3">
      <c r="A3103" s="1">
        <v>43948</v>
      </c>
      <c r="B3103">
        <v>132.47180175781199</v>
      </c>
      <c r="C3103">
        <v>45.986583709716797</v>
      </c>
    </row>
    <row r="3104" spans="1:3">
      <c r="A3104" s="1">
        <v>43949</v>
      </c>
      <c r="B3104">
        <v>134.30430603027301</v>
      </c>
      <c r="C3104">
        <v>45.947261810302699</v>
      </c>
    </row>
    <row r="3105" spans="1:3">
      <c r="A3105" s="1">
        <v>43950</v>
      </c>
      <c r="B3105">
        <v>131.38807678222599</v>
      </c>
      <c r="C3105">
        <v>46.3208198547363</v>
      </c>
    </row>
    <row r="3106" spans="1:3">
      <c r="A3106" s="1">
        <v>43951</v>
      </c>
      <c r="B3106">
        <v>130.33387756347599</v>
      </c>
      <c r="C3106">
        <v>45.111679077148402</v>
      </c>
    </row>
    <row r="3107" spans="1:3">
      <c r="A3107" s="1">
        <v>43952</v>
      </c>
      <c r="B3107">
        <v>128.21566772460901</v>
      </c>
      <c r="C3107">
        <v>44.826595306396399</v>
      </c>
    </row>
    <row r="3108" spans="1:3">
      <c r="A3108" s="1">
        <v>43955</v>
      </c>
      <c r="B3108">
        <v>128.984130859375</v>
      </c>
      <c r="C3108">
        <v>44.374401092529297</v>
      </c>
    </row>
    <row r="3109" spans="1:3">
      <c r="A3109" s="1">
        <v>43956</v>
      </c>
      <c r="B3109">
        <v>129.723052978515</v>
      </c>
      <c r="C3109">
        <v>44.629993438720703</v>
      </c>
    </row>
    <row r="3110" spans="1:3">
      <c r="A3110" s="1">
        <v>43957</v>
      </c>
      <c r="B3110">
        <v>128.84622192382801</v>
      </c>
      <c r="C3110">
        <v>43.991012573242102</v>
      </c>
    </row>
    <row r="3111" spans="1:3">
      <c r="A3111" s="1">
        <v>43958</v>
      </c>
      <c r="B3111">
        <v>129.60484313964801</v>
      </c>
      <c r="C3111">
        <v>43.843555450439403</v>
      </c>
    </row>
    <row r="3112" spans="1:3">
      <c r="A3112" s="1">
        <v>43959</v>
      </c>
      <c r="B3112">
        <v>132.24520874023401</v>
      </c>
      <c r="C3112">
        <v>45.327945709228501</v>
      </c>
    </row>
    <row r="3113" spans="1:3">
      <c r="A3113" s="1">
        <v>43962</v>
      </c>
      <c r="B3113">
        <v>132.392974853515</v>
      </c>
      <c r="C3113">
        <v>44.767616271972599</v>
      </c>
    </row>
    <row r="3114" spans="1:3">
      <c r="A3114" s="1">
        <v>43963</v>
      </c>
      <c r="B3114">
        <v>130.97427368164</v>
      </c>
      <c r="C3114">
        <v>44.059825897216797</v>
      </c>
    </row>
    <row r="3115" spans="1:3">
      <c r="A3115" s="1">
        <v>43964</v>
      </c>
      <c r="B3115">
        <v>130.99398803710901</v>
      </c>
      <c r="C3115">
        <v>43.194751739501903</v>
      </c>
    </row>
    <row r="3116" spans="1:3">
      <c r="A3116" s="1">
        <v>43965</v>
      </c>
      <c r="B3116">
        <v>131.112213134765</v>
      </c>
      <c r="C3116">
        <v>42.958824157714801</v>
      </c>
    </row>
    <row r="3117" spans="1:3">
      <c r="A3117" s="1">
        <v>43966</v>
      </c>
      <c r="B3117">
        <v>133.93977355957</v>
      </c>
      <c r="C3117">
        <v>42.526287078857401</v>
      </c>
    </row>
    <row r="3118" spans="1:3">
      <c r="A3118" s="1">
        <v>43969</v>
      </c>
      <c r="B3118">
        <v>133.51612854003901</v>
      </c>
      <c r="C3118">
        <v>44.207283020019503</v>
      </c>
    </row>
    <row r="3119" spans="1:3">
      <c r="A3119" s="1">
        <v>43970</v>
      </c>
      <c r="B3119">
        <v>129.78215026855401</v>
      </c>
      <c r="C3119">
        <v>43.784576416015597</v>
      </c>
    </row>
    <row r="3120" spans="1:3">
      <c r="A3120" s="1">
        <v>43971</v>
      </c>
      <c r="B3120">
        <v>129.31910705566401</v>
      </c>
      <c r="C3120">
        <v>45.111679077148402</v>
      </c>
    </row>
    <row r="3121" spans="1:3">
      <c r="A3121" s="1">
        <v>43972</v>
      </c>
      <c r="B3121">
        <v>128.28463745117099</v>
      </c>
      <c r="C3121">
        <v>44.4038887023925</v>
      </c>
    </row>
    <row r="3122" spans="1:3">
      <c r="A3122" s="1">
        <v>43973</v>
      </c>
      <c r="B3122">
        <v>128.55064392089801</v>
      </c>
      <c r="C3122">
        <v>44.266262054443303</v>
      </c>
    </row>
    <row r="3123" spans="1:3">
      <c r="A3123" s="1">
        <v>43977</v>
      </c>
      <c r="B3123">
        <v>127.83144378662099</v>
      </c>
      <c r="C3123">
        <v>45.3082885742187</v>
      </c>
    </row>
    <row r="3124" spans="1:3">
      <c r="A3124" s="1">
        <v>43978</v>
      </c>
      <c r="B3124">
        <v>128.87577819824199</v>
      </c>
      <c r="C3124">
        <v>45.937431335449197</v>
      </c>
    </row>
    <row r="3125" spans="1:3">
      <c r="A3125" s="1">
        <v>43979</v>
      </c>
      <c r="B3125">
        <v>130.33387756347599</v>
      </c>
      <c r="C3125">
        <v>46.291324615478501</v>
      </c>
    </row>
    <row r="3126" spans="1:3">
      <c r="A3126" s="1">
        <v>43980</v>
      </c>
      <c r="B3126">
        <v>129.60484313964801</v>
      </c>
      <c r="C3126">
        <v>45.888278961181598</v>
      </c>
    </row>
    <row r="3127" spans="1:3">
      <c r="A3127" s="1">
        <v>43983</v>
      </c>
      <c r="B3127">
        <v>131.02354431152301</v>
      </c>
      <c r="C3127">
        <v>46.193023681640597</v>
      </c>
    </row>
    <row r="3128" spans="1:3">
      <c r="A3128" s="1">
        <v>43984</v>
      </c>
      <c r="B3128">
        <v>130.668853759765</v>
      </c>
      <c r="C3128">
        <v>46.1045532226562</v>
      </c>
    </row>
    <row r="3129" spans="1:3">
      <c r="A3129" s="1">
        <v>43985</v>
      </c>
      <c r="B3129">
        <v>130.85604858398401</v>
      </c>
      <c r="C3129">
        <v>47.087589263916001</v>
      </c>
    </row>
    <row r="3130" spans="1:3">
      <c r="A3130" s="1">
        <v>43986</v>
      </c>
      <c r="B3130">
        <v>129.63781738281199</v>
      </c>
      <c r="C3130">
        <v>47.107250213622997</v>
      </c>
    </row>
    <row r="3131" spans="1:3">
      <c r="A3131" s="1">
        <v>43987</v>
      </c>
      <c r="B3131">
        <v>131.49446105957</v>
      </c>
      <c r="C3131">
        <v>48.2574043273925</v>
      </c>
    </row>
    <row r="3132" spans="1:3">
      <c r="A3132" s="1">
        <v>43990</v>
      </c>
      <c r="B3132">
        <v>131.26611328125</v>
      </c>
      <c r="C3132">
        <v>49.0045166015625</v>
      </c>
    </row>
    <row r="3133" spans="1:3">
      <c r="A3133" s="1">
        <v>43991</v>
      </c>
      <c r="B3133">
        <v>132.02067565917901</v>
      </c>
      <c r="C3133">
        <v>48.168933868408203</v>
      </c>
    </row>
    <row r="3134" spans="1:3">
      <c r="A3134" s="1">
        <v>43992</v>
      </c>
      <c r="B3134">
        <v>133.17239379882801</v>
      </c>
      <c r="C3134">
        <v>47.795375823974602</v>
      </c>
    </row>
    <row r="3135" spans="1:3">
      <c r="A3135" s="1">
        <v>43993</v>
      </c>
      <c r="B3135">
        <v>126.92729949951099</v>
      </c>
      <c r="C3135">
        <v>44.767616271972599</v>
      </c>
    </row>
    <row r="3136" spans="1:3">
      <c r="A3136" s="1">
        <v>43994</v>
      </c>
      <c r="B3136">
        <v>128.07902526855401</v>
      </c>
      <c r="C3136">
        <v>45.233840942382798</v>
      </c>
    </row>
    <row r="3137" spans="1:3">
      <c r="A3137" s="1">
        <v>43997</v>
      </c>
      <c r="B3137">
        <v>129.54844665527301</v>
      </c>
      <c r="C3137">
        <v>45.92822265625</v>
      </c>
    </row>
    <row r="3138" spans="1:3">
      <c r="A3138" s="1">
        <v>43998</v>
      </c>
      <c r="B3138">
        <v>130.72994995117099</v>
      </c>
      <c r="C3138">
        <v>46.394447326660099</v>
      </c>
    </row>
    <row r="3139" spans="1:3">
      <c r="A3139" s="1">
        <v>43999</v>
      </c>
      <c r="B3139">
        <v>130.81930541992099</v>
      </c>
      <c r="C3139">
        <v>46.205974578857401</v>
      </c>
    </row>
    <row r="3140" spans="1:3">
      <c r="A3140" s="1">
        <v>44000</v>
      </c>
      <c r="B3140">
        <v>131.83203125</v>
      </c>
      <c r="C3140">
        <v>46.612682342529297</v>
      </c>
    </row>
    <row r="3141" spans="1:3">
      <c r="A3141" s="1">
        <v>44001</v>
      </c>
      <c r="B3141">
        <v>130.34274291992099</v>
      </c>
      <c r="C3141">
        <v>45.6504707336425</v>
      </c>
    </row>
    <row r="3142" spans="1:3">
      <c r="A3142" s="1">
        <v>44004</v>
      </c>
      <c r="B3142">
        <v>130.11437988281199</v>
      </c>
      <c r="C3142">
        <v>45.372718811035099</v>
      </c>
    </row>
    <row r="3143" spans="1:3">
      <c r="A3143" s="1">
        <v>44005</v>
      </c>
      <c r="B3143">
        <v>130.42216491699199</v>
      </c>
      <c r="C3143">
        <v>45.273521423339801</v>
      </c>
    </row>
    <row r="3144" spans="1:3">
      <c r="A3144" s="1">
        <v>44006</v>
      </c>
      <c r="B3144">
        <v>128.63502502441401</v>
      </c>
      <c r="C3144">
        <v>44.291473388671797</v>
      </c>
    </row>
    <row r="3145" spans="1:3">
      <c r="A3145" s="1">
        <v>44007</v>
      </c>
      <c r="B3145">
        <v>130.47181701660099</v>
      </c>
      <c r="C3145">
        <v>44.569221496582003</v>
      </c>
    </row>
    <row r="3146" spans="1:3">
      <c r="A3146" s="1">
        <v>44008</v>
      </c>
      <c r="B3146">
        <v>128.009506225585</v>
      </c>
      <c r="C3146">
        <v>43.220142364501903</v>
      </c>
    </row>
    <row r="3147" spans="1:3">
      <c r="A3147" s="1">
        <v>44011</v>
      </c>
      <c r="B3147">
        <v>130.14416503906199</v>
      </c>
      <c r="C3147">
        <v>44.003799438476499</v>
      </c>
    </row>
    <row r="3148" spans="1:3">
      <c r="A3148" s="1">
        <v>44012</v>
      </c>
      <c r="B3148">
        <v>131.31573486328099</v>
      </c>
      <c r="C3148">
        <v>44.321231842041001</v>
      </c>
    </row>
    <row r="3149" spans="1:3">
      <c r="A3149" s="1">
        <v>44013</v>
      </c>
      <c r="B3149">
        <v>131.4150390625</v>
      </c>
      <c r="C3149">
        <v>44.460105895996001</v>
      </c>
    </row>
    <row r="3150" spans="1:3">
      <c r="A3150" s="1">
        <v>44014</v>
      </c>
      <c r="B3150">
        <v>131.90153503417901</v>
      </c>
      <c r="C3150">
        <v>44.519626617431598</v>
      </c>
    </row>
    <row r="3151" spans="1:3">
      <c r="A3151" s="1">
        <v>44018</v>
      </c>
      <c r="B3151">
        <v>132.34832763671801</v>
      </c>
      <c r="C3151">
        <v>44.866813659667898</v>
      </c>
    </row>
    <row r="3152" spans="1:3">
      <c r="A3152" s="1">
        <v>44019</v>
      </c>
      <c r="B3152">
        <v>132.61639404296801</v>
      </c>
      <c r="C3152">
        <v>44.846973419189403</v>
      </c>
    </row>
    <row r="3153" spans="1:3">
      <c r="A3153" s="1">
        <v>44020</v>
      </c>
      <c r="B3153">
        <v>133.26174926757801</v>
      </c>
      <c r="C3153">
        <v>44.708099365234297</v>
      </c>
    </row>
    <row r="3154" spans="1:3">
      <c r="A3154" s="1">
        <v>44021</v>
      </c>
      <c r="B3154">
        <v>131.76254272460901</v>
      </c>
      <c r="C3154">
        <v>43.557415008544901</v>
      </c>
    </row>
    <row r="3155" spans="1:3">
      <c r="A3155" s="1">
        <v>44022</v>
      </c>
      <c r="B3155">
        <v>133.50004577636699</v>
      </c>
      <c r="C3155">
        <v>44.787456512451101</v>
      </c>
    </row>
    <row r="3156" spans="1:3">
      <c r="A3156" s="1">
        <v>44025</v>
      </c>
      <c r="B3156">
        <v>133.94682312011699</v>
      </c>
      <c r="C3156">
        <v>44.886653900146399</v>
      </c>
    </row>
    <row r="3157" spans="1:3">
      <c r="A3157" s="1">
        <v>44026</v>
      </c>
      <c r="B3157">
        <v>134.552474975585</v>
      </c>
      <c r="C3157">
        <v>45.501674652099602</v>
      </c>
    </row>
    <row r="3158" spans="1:3">
      <c r="A3158" s="1">
        <v>44027</v>
      </c>
      <c r="B3158">
        <v>132.73553466796801</v>
      </c>
      <c r="C3158">
        <v>46.027420043945298</v>
      </c>
    </row>
    <row r="3159" spans="1:3">
      <c r="A3159" s="1">
        <v>44028</v>
      </c>
      <c r="B3159">
        <v>132.92417907714801</v>
      </c>
      <c r="C3159">
        <v>45.779426574707003</v>
      </c>
    </row>
    <row r="3160" spans="1:3">
      <c r="A3160" s="1">
        <v>44029</v>
      </c>
      <c r="B3160">
        <v>133.69860839843699</v>
      </c>
      <c r="C3160">
        <v>46.444046020507798</v>
      </c>
    </row>
    <row r="3161" spans="1:3">
      <c r="A3161" s="1">
        <v>44032</v>
      </c>
      <c r="B3161">
        <v>132.15968322753901</v>
      </c>
      <c r="C3161">
        <v>45.749668121337798</v>
      </c>
    </row>
    <row r="3162" spans="1:3">
      <c r="A3162" s="1">
        <v>44033</v>
      </c>
      <c r="B3162">
        <v>133.47024536132801</v>
      </c>
      <c r="C3162">
        <v>46.820995330810497</v>
      </c>
    </row>
    <row r="3163" spans="1:3">
      <c r="A3163" s="1">
        <v>44034</v>
      </c>
      <c r="B3163">
        <v>135.038970947265</v>
      </c>
      <c r="C3163">
        <v>48.0907173156738</v>
      </c>
    </row>
    <row r="3164" spans="1:3">
      <c r="A3164" s="1">
        <v>44035</v>
      </c>
      <c r="B3164">
        <v>136.10133361816401</v>
      </c>
      <c r="C3164">
        <v>47.892322540283203</v>
      </c>
    </row>
    <row r="3165" spans="1:3">
      <c r="A3165" s="1">
        <v>44036</v>
      </c>
      <c r="B3165">
        <v>135.088607788085</v>
      </c>
      <c r="C3165">
        <v>48.100639343261697</v>
      </c>
    </row>
    <row r="3166" spans="1:3">
      <c r="A3166" s="1">
        <v>44039</v>
      </c>
      <c r="B3166">
        <v>136.68711853027301</v>
      </c>
      <c r="C3166">
        <v>48.0907173156738</v>
      </c>
    </row>
    <row r="3167" spans="1:3">
      <c r="A3167" s="1">
        <v>44040</v>
      </c>
      <c r="B3167">
        <v>136.39920043945301</v>
      </c>
      <c r="C3167">
        <v>47.793125152587798</v>
      </c>
    </row>
    <row r="3168" spans="1:3">
      <c r="A3168" s="1">
        <v>44041</v>
      </c>
      <c r="B3168">
        <v>136.94525146484301</v>
      </c>
      <c r="C3168">
        <v>47.634410858154297</v>
      </c>
    </row>
    <row r="3169" spans="1:3">
      <c r="A3169" s="1">
        <v>44042</v>
      </c>
      <c r="B3169">
        <v>136.70698547363199</v>
      </c>
      <c r="C3169">
        <v>47.307060241699197</v>
      </c>
    </row>
    <row r="3170" spans="1:3">
      <c r="A3170" s="1">
        <v>44043</v>
      </c>
      <c r="B3170">
        <v>136.67720031738199</v>
      </c>
      <c r="C3170">
        <v>46.8606758117675</v>
      </c>
    </row>
    <row r="3171" spans="1:3">
      <c r="A3171" s="1">
        <v>44046</v>
      </c>
      <c r="B3171">
        <v>135.72404479980401</v>
      </c>
      <c r="C3171">
        <v>45.92822265625</v>
      </c>
    </row>
    <row r="3172" spans="1:3">
      <c r="A3172" s="1">
        <v>44047</v>
      </c>
      <c r="B3172">
        <v>136.48855590820301</v>
      </c>
      <c r="C3172">
        <v>46.315090179443303</v>
      </c>
    </row>
    <row r="3173" spans="1:3">
      <c r="A3173" s="1">
        <v>44048</v>
      </c>
      <c r="B3173">
        <v>135.277252197265</v>
      </c>
      <c r="C3173">
        <v>46.840835571288999</v>
      </c>
    </row>
    <row r="3174" spans="1:3">
      <c r="A3174" s="1">
        <v>44049</v>
      </c>
      <c r="B3174">
        <v>134.890045166015</v>
      </c>
      <c r="C3174">
        <v>47.098747253417898</v>
      </c>
    </row>
    <row r="3175" spans="1:3">
      <c r="A3175" s="1">
        <v>44050</v>
      </c>
      <c r="B3175">
        <v>135.76376342773401</v>
      </c>
      <c r="C3175">
        <v>47.416175842285099</v>
      </c>
    </row>
    <row r="3176" spans="1:3">
      <c r="A3176" s="1">
        <v>44053</v>
      </c>
      <c r="B3176">
        <v>135.009185791015</v>
      </c>
      <c r="C3176">
        <v>47.336822509765597</v>
      </c>
    </row>
    <row r="3177" spans="1:3">
      <c r="A3177" s="1">
        <v>44054</v>
      </c>
      <c r="B3177">
        <v>134.15531921386699</v>
      </c>
      <c r="C3177">
        <v>47.545135498046797</v>
      </c>
    </row>
    <row r="3178" spans="1:3">
      <c r="A3178" s="1">
        <v>44055</v>
      </c>
      <c r="B3178">
        <v>136.81619262695301</v>
      </c>
      <c r="C3178">
        <v>48.041118621826101</v>
      </c>
    </row>
    <row r="3179" spans="1:3">
      <c r="A3179" s="1">
        <v>44056</v>
      </c>
      <c r="B3179">
        <v>137.11405944824199</v>
      </c>
      <c r="C3179">
        <v>47.991519927978501</v>
      </c>
    </row>
    <row r="3180" spans="1:3">
      <c r="A3180" s="1">
        <v>44057</v>
      </c>
      <c r="B3180">
        <v>136.57791137695301</v>
      </c>
      <c r="C3180">
        <v>48.060958862304602</v>
      </c>
    </row>
    <row r="3181" spans="1:3">
      <c r="A3181" s="1">
        <v>44060</v>
      </c>
      <c r="B3181">
        <v>136.93533325195301</v>
      </c>
      <c r="C3181">
        <v>47.822883605957003</v>
      </c>
    </row>
    <row r="3182" spans="1:3">
      <c r="A3182" s="1">
        <v>44061</v>
      </c>
      <c r="B3182">
        <v>137.12397766113199</v>
      </c>
      <c r="C3182">
        <v>48.031196594238203</v>
      </c>
    </row>
    <row r="3183" spans="1:3">
      <c r="A3183" s="1">
        <v>44062</v>
      </c>
      <c r="B3183">
        <v>135.475830078125</v>
      </c>
      <c r="C3183">
        <v>46.989627838134702</v>
      </c>
    </row>
    <row r="3184" spans="1:3">
      <c r="A3184" s="1">
        <v>44063</v>
      </c>
      <c r="B3184">
        <v>135.74391174316401</v>
      </c>
      <c r="C3184">
        <v>46.9697875976562</v>
      </c>
    </row>
    <row r="3185" spans="1:3">
      <c r="A3185" s="1">
        <v>44064</v>
      </c>
      <c r="B3185">
        <v>135.48576354980401</v>
      </c>
      <c r="C3185">
        <v>46.900352478027301</v>
      </c>
    </row>
    <row r="3186" spans="1:3">
      <c r="A3186" s="1">
        <v>44067</v>
      </c>
      <c r="B3186">
        <v>136.65733337402301</v>
      </c>
      <c r="C3186">
        <v>47.584812164306598</v>
      </c>
    </row>
    <row r="3187" spans="1:3">
      <c r="A3187" s="1">
        <v>44068</v>
      </c>
      <c r="B3187">
        <v>136.31976318359301</v>
      </c>
      <c r="C3187">
        <v>47.525295257568303</v>
      </c>
    </row>
    <row r="3188" spans="1:3">
      <c r="A3188" s="1">
        <v>44069</v>
      </c>
      <c r="B3188">
        <v>137.48141479492099</v>
      </c>
      <c r="C3188">
        <v>47.773284912109297</v>
      </c>
    </row>
    <row r="3189" spans="1:3">
      <c r="A3189" s="1">
        <v>44070</v>
      </c>
      <c r="B3189">
        <v>137.41189575195301</v>
      </c>
      <c r="C3189">
        <v>47.842723846435497</v>
      </c>
    </row>
    <row r="3190" spans="1:3">
      <c r="A3190" s="1">
        <v>44071</v>
      </c>
      <c r="B3190">
        <v>138.94091796875</v>
      </c>
      <c r="C3190">
        <v>49.429878234863203</v>
      </c>
    </row>
    <row r="3191" spans="1:3">
      <c r="A3191" s="1">
        <v>44074</v>
      </c>
      <c r="B3191">
        <v>139.06005859375</v>
      </c>
      <c r="C3191">
        <v>49.132286071777301</v>
      </c>
    </row>
    <row r="3192" spans="1:3">
      <c r="A3192" s="1">
        <v>44075</v>
      </c>
      <c r="B3192">
        <v>138.19627380371</v>
      </c>
      <c r="C3192">
        <v>48.725578308105398</v>
      </c>
    </row>
    <row r="3193" spans="1:3">
      <c r="A3193" s="1">
        <v>44076</v>
      </c>
      <c r="B3193">
        <v>142.266998291015</v>
      </c>
      <c r="C3193">
        <v>50.778953552246001</v>
      </c>
    </row>
    <row r="3194" spans="1:3">
      <c r="A3194" s="1">
        <v>44077</v>
      </c>
      <c r="B3194">
        <v>139.36999511718699</v>
      </c>
      <c r="C3194">
        <v>50.074657440185497</v>
      </c>
    </row>
    <row r="3195" spans="1:3">
      <c r="A3195" s="1">
        <v>44078</v>
      </c>
      <c r="B3195">
        <v>138.759994506835</v>
      </c>
      <c r="C3195">
        <v>50.630161285400298</v>
      </c>
    </row>
    <row r="3196" spans="1:3">
      <c r="A3196" s="1">
        <v>44082</v>
      </c>
      <c r="B3196">
        <v>135.55000305175699</v>
      </c>
      <c r="C3196">
        <v>49.410037994384702</v>
      </c>
    </row>
    <row r="3197" spans="1:3">
      <c r="A3197" s="1">
        <v>44083</v>
      </c>
      <c r="B3197">
        <v>137.11000061035099</v>
      </c>
      <c r="C3197">
        <v>49.786983489990199</v>
      </c>
    </row>
    <row r="3198" spans="1:3">
      <c r="A3198" s="1">
        <v>44084</v>
      </c>
      <c r="B3198">
        <v>134.759994506835</v>
      </c>
      <c r="C3198">
        <v>49.5985107421875</v>
      </c>
    </row>
    <row r="3199" spans="1:3">
      <c r="A3199" s="1">
        <v>44085</v>
      </c>
      <c r="B3199">
        <v>135.80999755859301</v>
      </c>
      <c r="C3199">
        <v>50.650001525878899</v>
      </c>
    </row>
    <row r="3200" spans="1:3">
      <c r="A3200" s="1">
        <v>44088</v>
      </c>
      <c r="B3200">
        <v>136.669998168945</v>
      </c>
      <c r="C3200">
        <v>50.709999084472599</v>
      </c>
    </row>
    <row r="3201" spans="1:3">
      <c r="A3201" s="1">
        <v>44089</v>
      </c>
      <c r="B3201">
        <v>135.61999511718699</v>
      </c>
      <c r="C3201">
        <v>51.049999237060497</v>
      </c>
    </row>
    <row r="3202" spans="1:3">
      <c r="A3202" s="1">
        <v>44090</v>
      </c>
      <c r="B3202">
        <v>134.97999572753901</v>
      </c>
      <c r="C3202">
        <v>50.790000915527301</v>
      </c>
    </row>
    <row r="3203" spans="1:3">
      <c r="A3203" s="1">
        <v>44091</v>
      </c>
      <c r="B3203">
        <v>133.19999694824199</v>
      </c>
      <c r="C3203">
        <v>50.549999237060497</v>
      </c>
    </row>
    <row r="3204" spans="1:3">
      <c r="A3204" s="1">
        <v>44092</v>
      </c>
      <c r="B3204">
        <v>131.47000122070301</v>
      </c>
      <c r="C3204">
        <v>50.450000762939403</v>
      </c>
    </row>
    <row r="3205" spans="1:3">
      <c r="A3205" s="1">
        <v>44095</v>
      </c>
      <c r="B3205">
        <v>131.24000549316401</v>
      </c>
      <c r="C3205">
        <v>49.090000152587798</v>
      </c>
    </row>
    <row r="3206" spans="1:3">
      <c r="A3206" s="1">
        <v>44096</v>
      </c>
      <c r="B3206">
        <v>132.14999389648401</v>
      </c>
      <c r="C3206">
        <v>49.659999847412102</v>
      </c>
    </row>
    <row r="3207" spans="1:3">
      <c r="A3207" s="1">
        <v>44097</v>
      </c>
      <c r="B3207">
        <v>131</v>
      </c>
      <c r="C3207">
        <v>48.209999084472599</v>
      </c>
    </row>
    <row r="3208" spans="1:3">
      <c r="A3208" s="1">
        <v>44098</v>
      </c>
      <c r="B3208">
        <v>131.58000183105401</v>
      </c>
      <c r="C3208">
        <v>48.700000762939403</v>
      </c>
    </row>
    <row r="3209" spans="1:3">
      <c r="A3209" s="1">
        <v>44099</v>
      </c>
      <c r="B3209">
        <v>133.55000305175699</v>
      </c>
      <c r="C3209">
        <v>48.720001220703097</v>
      </c>
    </row>
    <row r="3210" spans="1:3">
      <c r="A3210" s="1">
        <v>44102</v>
      </c>
      <c r="B3210">
        <v>137.97000122070301</v>
      </c>
      <c r="C3210">
        <v>49.279998779296797</v>
      </c>
    </row>
    <row r="3211" spans="1:3">
      <c r="A3211" s="1">
        <v>44103</v>
      </c>
      <c r="B3211">
        <v>137.16000366210901</v>
      </c>
      <c r="C3211">
        <v>48.919998168945298</v>
      </c>
    </row>
    <row r="3212" spans="1:3">
      <c r="A3212" s="1">
        <v>44104</v>
      </c>
      <c r="B3212">
        <v>138.600006103515</v>
      </c>
      <c r="C3212">
        <v>49.369998931884702</v>
      </c>
    </row>
    <row r="3213" spans="1:3">
      <c r="A3213" s="1">
        <v>44105</v>
      </c>
      <c r="B3213">
        <v>140.80000305175699</v>
      </c>
      <c r="C3213">
        <v>49.180000305175703</v>
      </c>
    </row>
    <row r="3214" spans="1:3">
      <c r="A3214" s="1">
        <v>44106</v>
      </c>
      <c r="B3214">
        <v>138.05999755859301</v>
      </c>
      <c r="C3214">
        <v>49.360000610351499</v>
      </c>
    </row>
    <row r="3215" spans="1:3">
      <c r="A3215" s="1">
        <v>44109</v>
      </c>
      <c r="B3215">
        <v>137.92999267578099</v>
      </c>
      <c r="C3215">
        <v>49.380001068115199</v>
      </c>
    </row>
    <row r="3216" spans="1:3">
      <c r="A3216" s="1">
        <v>44110</v>
      </c>
      <c r="B3216">
        <v>135.69999694824199</v>
      </c>
      <c r="C3216">
        <v>48.939998626708899</v>
      </c>
    </row>
    <row r="3217" spans="1:3">
      <c r="A3217" s="1">
        <v>44111</v>
      </c>
      <c r="B3217">
        <v>137.009994506835</v>
      </c>
      <c r="C3217">
        <v>49.560001373291001</v>
      </c>
    </row>
    <row r="3218" spans="1:3">
      <c r="A3218" s="1">
        <v>44112</v>
      </c>
      <c r="B3218">
        <v>137.850006103515</v>
      </c>
      <c r="C3218">
        <v>50.459999084472599</v>
      </c>
    </row>
    <row r="3219" spans="1:3">
      <c r="A3219" s="1">
        <v>44113</v>
      </c>
      <c r="B3219">
        <v>138.44000244140599</v>
      </c>
      <c r="C3219">
        <v>50.810001373291001</v>
      </c>
    </row>
    <row r="3220" spans="1:3">
      <c r="A3220" s="1">
        <v>44116</v>
      </c>
      <c r="B3220">
        <v>142.13000488281199</v>
      </c>
      <c r="C3220">
        <v>51.090000152587798</v>
      </c>
    </row>
    <row r="3221" spans="1:3">
      <c r="A3221" s="1">
        <v>44117</v>
      </c>
      <c r="B3221">
        <v>143.53999328613199</v>
      </c>
      <c r="C3221">
        <v>50.220001220703097</v>
      </c>
    </row>
    <row r="3222" spans="1:3">
      <c r="A3222" s="1">
        <v>44118</v>
      </c>
      <c r="B3222">
        <v>142.52000427246</v>
      </c>
      <c r="C3222">
        <v>50.119998931884702</v>
      </c>
    </row>
    <row r="3223" spans="1:3">
      <c r="A3223" s="1">
        <v>44119</v>
      </c>
      <c r="B3223">
        <v>140.88000488281199</v>
      </c>
      <c r="C3223">
        <v>49.909999847412102</v>
      </c>
    </row>
  </sheetData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get_data_pair_python_csv">
                <anchor moveWithCells="1" sizeWithCells="1">
                  <from>
                    <xdr:col>5</xdr:col>
                    <xdr:colOff>0</xdr:colOff>
                    <xdr:row>2</xdr:row>
                    <xdr:rowOff>0</xdr:rowOff>
                  </from>
                  <to>
                    <xdr:col>7</xdr:col>
                    <xdr:colOff>12700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574"/>
  <sheetViews>
    <sheetView showGridLines="0" zoomScale="104" workbookViewId="0">
      <selection activeCell="C2" sqref="C2"/>
    </sheetView>
  </sheetViews>
  <sheetFormatPr baseColWidth="10" defaultRowHeight="16"/>
  <cols>
    <col min="1" max="1" width="11.6640625" bestFit="1" customWidth="1"/>
  </cols>
  <sheetData>
    <row r="1" spans="1:8">
      <c r="A1" s="3"/>
      <c r="B1" s="3" t="s">
        <v>2</v>
      </c>
      <c r="C1" s="3" t="s">
        <v>3</v>
      </c>
      <c r="D1" s="3" t="s">
        <v>4</v>
      </c>
    </row>
    <row r="2" spans="1:8">
      <c r="A2" s="3" t="str">
        <f>+Get_Data!A1</f>
        <v>Date</v>
      </c>
      <c r="B2" s="3" t="str">
        <f>+Get_Data!B1</f>
        <v>PEP</v>
      </c>
      <c r="C2" s="3" t="str">
        <f>+Get_Data!C1</f>
        <v>KO</v>
      </c>
      <c r="D2" s="3" t="s">
        <v>1</v>
      </c>
    </row>
    <row r="3" spans="1:8">
      <c r="A3" s="2">
        <f>+Get_Data!A2</f>
        <v>39447</v>
      </c>
      <c r="B3">
        <f>+ROUND(Get_Data!B2,5)</f>
        <v>51.800109999999997</v>
      </c>
      <c r="C3">
        <f>+ROUND(Get_Data!C2,5)</f>
        <v>17.98762</v>
      </c>
      <c r="D3" s="4">
        <f>IFERROR(B3/C3,"")</f>
        <v>2.8797645269357477</v>
      </c>
      <c r="F3" t="s">
        <v>5</v>
      </c>
    </row>
    <row r="4" spans="1:8">
      <c r="A4" s="2">
        <f>+Get_Data!A3</f>
        <v>39449</v>
      </c>
      <c r="B4">
        <f>+ROUND(Get_Data!B3,5)</f>
        <v>51.383789999999998</v>
      </c>
      <c r="C4">
        <f>+ROUND(Get_Data!C3,5)</f>
        <v>17.905550000000002</v>
      </c>
      <c r="D4" s="4">
        <f t="shared" ref="D4:D67" si="0">IFERROR(B4/C4,"")</f>
        <v>2.8697130219401243</v>
      </c>
    </row>
    <row r="5" spans="1:8">
      <c r="A5" s="2">
        <f>+Get_Data!A4</f>
        <v>39450</v>
      </c>
      <c r="B5">
        <f>+ROUND(Get_Data!B4,5)</f>
        <v>51.71819</v>
      </c>
      <c r="C5">
        <f>+ROUND(Get_Data!C4,5)</f>
        <v>18.093129999999999</v>
      </c>
      <c r="D5" s="4">
        <f t="shared" si="0"/>
        <v>2.8584435086687603</v>
      </c>
      <c r="F5" t="s">
        <v>6</v>
      </c>
      <c r="G5" s="5">
        <f>+QUARTILE($D$3:$D$3574,H5)</f>
        <v>3.1800924565630448</v>
      </c>
      <c r="H5">
        <v>4</v>
      </c>
    </row>
    <row r="6" spans="1:8">
      <c r="A6" s="2">
        <f>+Get_Data!A5</f>
        <v>39451</v>
      </c>
      <c r="B6">
        <f>+ROUND(Get_Data!B5,5)</f>
        <v>51.561219999999999</v>
      </c>
      <c r="C6">
        <f>+ROUND(Get_Data!C5,5)</f>
        <v>18.128309999999999</v>
      </c>
      <c r="D6" s="4">
        <f t="shared" si="0"/>
        <v>2.8442375488945193</v>
      </c>
      <c r="F6" t="s">
        <v>7</v>
      </c>
      <c r="G6" s="5">
        <f t="shared" ref="G6:G9" si="1">+QUARTILE($D$3:$D$3574,H6)</f>
        <v>2.5862202917680794</v>
      </c>
      <c r="H6">
        <v>3</v>
      </c>
    </row>
    <row r="7" spans="1:8">
      <c r="A7" s="2">
        <f>+Get_Data!A6</f>
        <v>39454</v>
      </c>
      <c r="B7">
        <f>+ROUND(Get_Data!B6,5)</f>
        <v>52.769240000000003</v>
      </c>
      <c r="C7">
        <f>+ROUND(Get_Data!C6,5)</f>
        <v>18.556239999999999</v>
      </c>
      <c r="D7" s="4">
        <f t="shared" si="0"/>
        <v>2.8437463624096266</v>
      </c>
      <c r="F7" t="s">
        <v>8</v>
      </c>
      <c r="G7" s="5">
        <f t="shared" si="1"/>
        <v>2.4216702271500745</v>
      </c>
      <c r="H7">
        <v>2</v>
      </c>
    </row>
    <row r="8" spans="1:8">
      <c r="A8" s="2">
        <f>+Get_Data!A7</f>
        <v>39455</v>
      </c>
      <c r="B8">
        <f>+ROUND(Get_Data!B7,5)</f>
        <v>53.192349999999998</v>
      </c>
      <c r="C8">
        <f>+ROUND(Get_Data!C7,5)</f>
        <v>18.632449999999999</v>
      </c>
      <c r="D8" s="4">
        <f t="shared" si="0"/>
        <v>2.8548231714025798</v>
      </c>
      <c r="F8" t="s">
        <v>9</v>
      </c>
      <c r="G8" s="5">
        <f t="shared" si="1"/>
        <v>2.1796312673486589</v>
      </c>
      <c r="H8">
        <v>1</v>
      </c>
    </row>
    <row r="9" spans="1:8">
      <c r="A9" s="2">
        <f>+Get_Data!A8</f>
        <v>39456</v>
      </c>
      <c r="B9">
        <f>+ROUND(Get_Data!B8,5)</f>
        <v>53.738329999999998</v>
      </c>
      <c r="C9">
        <f>+ROUND(Get_Data!C8,5)</f>
        <v>19.130710000000001</v>
      </c>
      <c r="D9" s="4">
        <f t="shared" si="0"/>
        <v>2.809008656761824</v>
      </c>
      <c r="F9" t="s">
        <v>10</v>
      </c>
      <c r="G9" s="5">
        <f t="shared" si="1"/>
        <v>1.7567168823786814</v>
      </c>
      <c r="H9">
        <v>0</v>
      </c>
    </row>
    <row r="10" spans="1:8">
      <c r="A10" s="2">
        <f>+Get_Data!A9</f>
        <v>39457</v>
      </c>
      <c r="B10">
        <f>+ROUND(Get_Data!B9,5)</f>
        <v>54.304789999999997</v>
      </c>
      <c r="C10">
        <f>+ROUND(Get_Data!C9,5)</f>
        <v>19.215710000000001</v>
      </c>
      <c r="D10" s="4">
        <f t="shared" si="0"/>
        <v>2.826062112719228</v>
      </c>
    </row>
    <row r="11" spans="1:8">
      <c r="A11" s="2">
        <f>+Get_Data!A10</f>
        <v>39458</v>
      </c>
      <c r="B11">
        <f>+ROUND(Get_Data!B10,5)</f>
        <v>53.083150000000003</v>
      </c>
      <c r="C11">
        <f>+ROUND(Get_Data!C10,5)</f>
        <v>18.69107</v>
      </c>
      <c r="D11" s="4">
        <f t="shared" si="0"/>
        <v>2.8400273499590982</v>
      </c>
    </row>
    <row r="12" spans="1:8">
      <c r="A12" s="2">
        <f>+Get_Data!A11</f>
        <v>39461</v>
      </c>
      <c r="B12">
        <f>+ROUND(Get_Data!B11,5)</f>
        <v>52.496220000000001</v>
      </c>
      <c r="C12">
        <f>+ROUND(Get_Data!C11,5)</f>
        <v>18.846409999999999</v>
      </c>
      <c r="D12" s="4">
        <f t="shared" si="0"/>
        <v>2.7854758545526712</v>
      </c>
      <c r="F12" s="5"/>
    </row>
    <row r="13" spans="1:8">
      <c r="A13" s="2">
        <f>+Get_Data!A12</f>
        <v>39462</v>
      </c>
      <c r="B13">
        <f>+ROUND(Get_Data!B12,5)</f>
        <v>51.069839999999999</v>
      </c>
      <c r="C13">
        <f>+ROUND(Get_Data!C12,5)</f>
        <v>18.644159999999999</v>
      </c>
      <c r="D13" s="4">
        <f t="shared" si="0"/>
        <v>2.7391869625662943</v>
      </c>
    </row>
    <row r="14" spans="1:8">
      <c r="A14" s="2">
        <f>+Get_Data!A13</f>
        <v>39463</v>
      </c>
      <c r="B14">
        <f>+ROUND(Get_Data!B13,5)</f>
        <v>50.18947</v>
      </c>
      <c r="C14">
        <f>+ROUND(Get_Data!C13,5)</f>
        <v>18.36279</v>
      </c>
      <c r="D14" s="4">
        <f t="shared" si="0"/>
        <v>2.7332159219813548</v>
      </c>
    </row>
    <row r="15" spans="1:8">
      <c r="A15" s="2">
        <f>+Get_Data!A14</f>
        <v>39464</v>
      </c>
      <c r="B15">
        <f>+ROUND(Get_Data!B14,5)</f>
        <v>49.206699999999998</v>
      </c>
      <c r="C15">
        <f>+ROUND(Get_Data!C14,5)</f>
        <v>18.184000000000001</v>
      </c>
      <c r="D15" s="4">
        <f t="shared" si="0"/>
        <v>2.7060437747470303</v>
      </c>
    </row>
    <row r="16" spans="1:8">
      <c r="A16" s="2">
        <f>+Get_Data!A15</f>
        <v>39465</v>
      </c>
      <c r="B16">
        <f>+ROUND(Get_Data!B15,5)</f>
        <v>48.769889999999997</v>
      </c>
      <c r="C16">
        <f>+ROUND(Get_Data!C15,5)</f>
        <v>17.802969999999998</v>
      </c>
      <c r="D16" s="4">
        <f t="shared" si="0"/>
        <v>2.7394243769438469</v>
      </c>
    </row>
    <row r="17" spans="1:4">
      <c r="A17" s="2">
        <f>+Get_Data!A16</f>
        <v>39469</v>
      </c>
      <c r="B17">
        <f>+ROUND(Get_Data!B16,5)</f>
        <v>47.391300000000001</v>
      </c>
      <c r="C17">
        <f>+ROUND(Get_Data!C16,5)</f>
        <v>17.23142</v>
      </c>
      <c r="D17" s="4">
        <f t="shared" si="0"/>
        <v>2.7502840740925589</v>
      </c>
    </row>
    <row r="18" spans="1:4">
      <c r="A18" s="2">
        <f>+Get_Data!A17</f>
        <v>39470</v>
      </c>
      <c r="B18">
        <f>+ROUND(Get_Data!B17,5)</f>
        <v>48.114719999999998</v>
      </c>
      <c r="C18">
        <f>+ROUND(Get_Data!C17,5)</f>
        <v>17.254860000000001</v>
      </c>
      <c r="D18" s="4">
        <f t="shared" si="0"/>
        <v>2.7884735083333041</v>
      </c>
    </row>
    <row r="19" spans="1:4">
      <c r="A19" s="2">
        <f>+Get_Data!A18</f>
        <v>39471</v>
      </c>
      <c r="B19">
        <f>+ROUND(Get_Data!B18,5)</f>
        <v>47.589230000000001</v>
      </c>
      <c r="C19">
        <f>+ROUND(Get_Data!C18,5)</f>
        <v>17.550899999999999</v>
      </c>
      <c r="D19" s="4">
        <f t="shared" si="0"/>
        <v>2.7114979858582755</v>
      </c>
    </row>
    <row r="20" spans="1:4">
      <c r="A20" s="2">
        <f>+Get_Data!A19</f>
        <v>39472</v>
      </c>
      <c r="B20">
        <f>+ROUND(Get_Data!B19,5)</f>
        <v>47.036409999999997</v>
      </c>
      <c r="C20">
        <f>+ROUND(Get_Data!C19,5)</f>
        <v>17.120039999999999</v>
      </c>
      <c r="D20" s="4">
        <f t="shared" si="0"/>
        <v>2.7474474358704768</v>
      </c>
    </row>
    <row r="21" spans="1:4">
      <c r="A21" s="2">
        <f>+Get_Data!A20</f>
        <v>39475</v>
      </c>
      <c r="B21">
        <f>+ROUND(Get_Data!B20,5)</f>
        <v>47.957749999999997</v>
      </c>
      <c r="C21">
        <f>+ROUND(Get_Data!C20,5)</f>
        <v>17.413139999999999</v>
      </c>
      <c r="D21" s="4">
        <f t="shared" si="0"/>
        <v>2.7541126988010203</v>
      </c>
    </row>
    <row r="22" spans="1:4">
      <c r="A22" s="2">
        <f>+Get_Data!A21</f>
        <v>39476</v>
      </c>
      <c r="B22">
        <f>+ROUND(Get_Data!B21,5)</f>
        <v>46.83849</v>
      </c>
      <c r="C22">
        <f>+ROUND(Get_Data!C21,5)</f>
        <v>17.161079999999998</v>
      </c>
      <c r="D22" s="4">
        <f t="shared" si="0"/>
        <v>2.7293439573733123</v>
      </c>
    </row>
    <row r="23" spans="1:4">
      <c r="A23" s="2">
        <f>+Get_Data!A22</f>
        <v>39477</v>
      </c>
      <c r="B23">
        <f>+ROUND(Get_Data!B22,5)</f>
        <v>45.992199999999997</v>
      </c>
      <c r="C23">
        <f>+ROUND(Get_Data!C22,5)</f>
        <v>16.932449999999999</v>
      </c>
      <c r="D23" s="4">
        <f t="shared" si="0"/>
        <v>2.7162164955455355</v>
      </c>
    </row>
    <row r="24" spans="1:4">
      <c r="A24" s="2">
        <f>+Get_Data!A23</f>
        <v>39478</v>
      </c>
      <c r="B24">
        <f>+ROUND(Get_Data!B23,5)</f>
        <v>46.44267</v>
      </c>
      <c r="C24">
        <f>+ROUND(Get_Data!C23,5)</f>
        <v>17.292960000000001</v>
      </c>
      <c r="D24" s="4">
        <f t="shared" si="0"/>
        <v>2.6856402836761317</v>
      </c>
    </row>
    <row r="25" spans="1:4">
      <c r="A25" s="2">
        <f>+Get_Data!A24</f>
        <v>39479</v>
      </c>
      <c r="B25">
        <f>+ROUND(Get_Data!B24,5)</f>
        <v>46.974989999999998</v>
      </c>
      <c r="C25">
        <f>+ROUND(Get_Data!C24,5)</f>
        <v>17.36918</v>
      </c>
      <c r="D25" s="4">
        <f t="shared" si="0"/>
        <v>2.7045024578016923</v>
      </c>
    </row>
    <row r="26" spans="1:4">
      <c r="A26" s="2">
        <f>+Get_Data!A25</f>
        <v>39482</v>
      </c>
      <c r="B26">
        <f>+ROUND(Get_Data!B25,5)</f>
        <v>47.241160000000001</v>
      </c>
      <c r="C26">
        <f>+ROUND(Get_Data!C25,5)</f>
        <v>17.184519999999999</v>
      </c>
      <c r="D26" s="4">
        <f t="shared" si="0"/>
        <v>2.7490532176633389</v>
      </c>
    </row>
    <row r="27" spans="1:4">
      <c r="A27" s="2">
        <f>+Get_Data!A26</f>
        <v>39483</v>
      </c>
      <c r="B27">
        <f>+ROUND(Get_Data!B26,5)</f>
        <v>46.374380000000002</v>
      </c>
      <c r="C27">
        <f>+ROUND(Get_Data!C26,5)</f>
        <v>16.824010000000001</v>
      </c>
      <c r="D27" s="4">
        <f t="shared" si="0"/>
        <v>2.7564403492389746</v>
      </c>
    </row>
    <row r="28" spans="1:4">
      <c r="A28" s="2">
        <f>+Get_Data!A27</f>
        <v>39484</v>
      </c>
      <c r="B28">
        <f>+ROUND(Get_Data!B27,5)</f>
        <v>45.54177</v>
      </c>
      <c r="C28">
        <f>+ROUND(Get_Data!C27,5)</f>
        <v>16.914870000000001</v>
      </c>
      <c r="D28" s="4">
        <f t="shared" si="0"/>
        <v>2.6924102875162506</v>
      </c>
    </row>
    <row r="29" spans="1:4">
      <c r="A29" s="2">
        <f>+Get_Data!A28</f>
        <v>39485</v>
      </c>
      <c r="B29">
        <f>+ROUND(Get_Data!B28,5)</f>
        <v>48.0533</v>
      </c>
      <c r="C29">
        <f>+ROUND(Get_Data!C28,5)</f>
        <v>17.13176</v>
      </c>
      <c r="D29" s="4">
        <f t="shared" si="0"/>
        <v>2.8049248880441939</v>
      </c>
    </row>
    <row r="30" spans="1:4">
      <c r="A30" s="2">
        <f>+Get_Data!A29</f>
        <v>39486</v>
      </c>
      <c r="B30">
        <f>+ROUND(Get_Data!B29,5)</f>
        <v>47.643810000000002</v>
      </c>
      <c r="C30">
        <f>+ROUND(Get_Data!C29,5)</f>
        <v>17.366250000000001</v>
      </c>
      <c r="D30" s="4">
        <f t="shared" si="0"/>
        <v>2.743471388469013</v>
      </c>
    </row>
    <row r="31" spans="1:4">
      <c r="A31" s="2">
        <f>+Get_Data!A30</f>
        <v>39489</v>
      </c>
      <c r="B31">
        <f>+ROUND(Get_Data!B30,5)</f>
        <v>48.428660000000001</v>
      </c>
      <c r="C31">
        <f>+ROUND(Get_Data!C30,5)</f>
        <v>17.439520000000002</v>
      </c>
      <c r="D31" s="4">
        <f t="shared" si="0"/>
        <v>2.7769491362147578</v>
      </c>
    </row>
    <row r="32" spans="1:4">
      <c r="A32" s="2">
        <f>+Get_Data!A31</f>
        <v>39490</v>
      </c>
      <c r="B32">
        <f>+ROUND(Get_Data!B31,5)</f>
        <v>49.111139999999999</v>
      </c>
      <c r="C32">
        <f>+ROUND(Get_Data!C31,5)</f>
        <v>17.562619999999999</v>
      </c>
      <c r="D32" s="4">
        <f t="shared" si="0"/>
        <v>2.7963447367192367</v>
      </c>
    </row>
    <row r="33" spans="1:4">
      <c r="A33" s="2">
        <f>+Get_Data!A32</f>
        <v>39491</v>
      </c>
      <c r="B33">
        <f>+ROUND(Get_Data!B32,5)</f>
        <v>48.885919999999999</v>
      </c>
      <c r="C33">
        <f>+ROUND(Get_Data!C32,5)</f>
        <v>17.40728</v>
      </c>
      <c r="D33" s="4">
        <f t="shared" si="0"/>
        <v>2.8083606399161729</v>
      </c>
    </row>
    <row r="34" spans="1:4">
      <c r="A34" s="2">
        <f>+Get_Data!A33</f>
        <v>39492</v>
      </c>
      <c r="B34">
        <f>+ROUND(Get_Data!B33,5)</f>
        <v>48.844990000000003</v>
      </c>
      <c r="C34">
        <f>+ROUND(Get_Data!C33,5)</f>
        <v>17.161079999999998</v>
      </c>
      <c r="D34" s="4">
        <f t="shared" si="0"/>
        <v>2.8462655031035347</v>
      </c>
    </row>
    <row r="35" spans="1:4">
      <c r="A35" s="2">
        <f>+Get_Data!A34</f>
        <v>39493</v>
      </c>
      <c r="B35">
        <f>+ROUND(Get_Data!B34,5)</f>
        <v>48.954169999999998</v>
      </c>
      <c r="C35">
        <f>+ROUND(Get_Data!C34,5)</f>
        <v>17.222619999999999</v>
      </c>
      <c r="D35" s="4">
        <f t="shared" si="0"/>
        <v>2.8424345424795994</v>
      </c>
    </row>
    <row r="36" spans="1:4">
      <c r="A36" s="2">
        <f>+Get_Data!A35</f>
        <v>39497</v>
      </c>
      <c r="B36">
        <f>+ROUND(Get_Data!B35,5)</f>
        <v>48.551499999999997</v>
      </c>
      <c r="C36">
        <f>+ROUND(Get_Data!C35,5)</f>
        <v>17.02918</v>
      </c>
      <c r="D36" s="4">
        <f t="shared" si="0"/>
        <v>2.8510767987654129</v>
      </c>
    </row>
    <row r="37" spans="1:4">
      <c r="A37" s="2">
        <f>+Get_Data!A36</f>
        <v>39498</v>
      </c>
      <c r="B37">
        <f>+ROUND(Get_Data!B36,5)</f>
        <v>48.537849999999999</v>
      </c>
      <c r="C37">
        <f>+ROUND(Get_Data!C36,5)</f>
        <v>17.06728</v>
      </c>
      <c r="D37" s="4">
        <f t="shared" si="0"/>
        <v>2.8439124453339959</v>
      </c>
    </row>
    <row r="38" spans="1:4">
      <c r="A38" s="2">
        <f>+Get_Data!A37</f>
        <v>39499</v>
      </c>
      <c r="B38">
        <f>+ROUND(Get_Data!B37,5)</f>
        <v>48.510559999999998</v>
      </c>
      <c r="C38">
        <f>+ROUND(Get_Data!C37,5)</f>
        <v>16.996939999999999</v>
      </c>
      <c r="D38" s="4">
        <f t="shared" si="0"/>
        <v>2.8540760866367711</v>
      </c>
    </row>
    <row r="39" spans="1:4">
      <c r="A39" s="2">
        <f>+Get_Data!A38</f>
        <v>39500</v>
      </c>
      <c r="B39">
        <f>+ROUND(Get_Data!B38,5)</f>
        <v>48.715290000000003</v>
      </c>
      <c r="C39">
        <f>+ROUND(Get_Data!C38,5)</f>
        <v>17.076080000000001</v>
      </c>
      <c r="D39" s="4">
        <f t="shared" si="0"/>
        <v>2.8528380049753808</v>
      </c>
    </row>
    <row r="40" spans="1:4">
      <c r="A40" s="2">
        <f>+Get_Data!A39</f>
        <v>39503</v>
      </c>
      <c r="B40">
        <f>+ROUND(Get_Data!B39,5)</f>
        <v>48.858620000000002</v>
      </c>
      <c r="C40">
        <f>+ROUND(Get_Data!C39,5)</f>
        <v>17.225560000000002</v>
      </c>
      <c r="D40" s="4">
        <f t="shared" si="0"/>
        <v>2.8364024159446775</v>
      </c>
    </row>
    <row r="41" spans="1:4">
      <c r="A41" s="2">
        <f>+Get_Data!A40</f>
        <v>39504</v>
      </c>
      <c r="B41">
        <f>+ROUND(Get_Data!B40,5)</f>
        <v>48.681179999999998</v>
      </c>
      <c r="C41">
        <f>+ROUND(Get_Data!C40,5)</f>
        <v>17.44538</v>
      </c>
      <c r="D41" s="4">
        <f t="shared" si="0"/>
        <v>2.7904912360751095</v>
      </c>
    </row>
    <row r="42" spans="1:4">
      <c r="A42" s="2">
        <f>+Get_Data!A41</f>
        <v>39505</v>
      </c>
      <c r="B42">
        <f>+ROUND(Get_Data!B41,5)</f>
        <v>48.592460000000003</v>
      </c>
      <c r="C42">
        <f>+ROUND(Get_Data!C41,5)</f>
        <v>17.600729999999999</v>
      </c>
      <c r="D42" s="4">
        <f t="shared" si="0"/>
        <v>2.7608207159589409</v>
      </c>
    </row>
    <row r="43" spans="1:4">
      <c r="A43" s="2">
        <f>+Get_Data!A42</f>
        <v>39506</v>
      </c>
      <c r="B43">
        <f>+ROUND(Get_Data!B42,5)</f>
        <v>48.49689</v>
      </c>
      <c r="C43">
        <f>+ROUND(Get_Data!C42,5)</f>
        <v>17.427800000000001</v>
      </c>
      <c r="D43" s="4">
        <f t="shared" si="0"/>
        <v>2.7827316127107262</v>
      </c>
    </row>
    <row r="44" spans="1:4">
      <c r="A44" s="2">
        <f>+Get_Data!A43</f>
        <v>39507</v>
      </c>
      <c r="B44">
        <f>+ROUND(Get_Data!B43,5)</f>
        <v>47.473179999999999</v>
      </c>
      <c r="C44">
        <f>+ROUND(Get_Data!C43,5)</f>
        <v>17.134689999999999</v>
      </c>
      <c r="D44" s="4">
        <f t="shared" si="0"/>
        <v>2.7705887880084203</v>
      </c>
    </row>
    <row r="45" spans="1:4">
      <c r="A45" s="2">
        <f>+Get_Data!A44</f>
        <v>39510</v>
      </c>
      <c r="B45">
        <f>+ROUND(Get_Data!B44,5)</f>
        <v>47.889490000000002</v>
      </c>
      <c r="C45">
        <f>+ROUND(Get_Data!C44,5)</f>
        <v>17.298829999999999</v>
      </c>
      <c r="D45" s="4">
        <f t="shared" si="0"/>
        <v>2.7683658374583717</v>
      </c>
    </row>
    <row r="46" spans="1:4">
      <c r="A46" s="2">
        <f>+Get_Data!A45</f>
        <v>39511</v>
      </c>
      <c r="B46">
        <f>+ROUND(Get_Data!B45,5)</f>
        <v>47.800780000000003</v>
      </c>
      <c r="C46">
        <f>+ROUND(Get_Data!C45,5)</f>
        <v>17.401420000000002</v>
      </c>
      <c r="D46" s="4">
        <f t="shared" si="0"/>
        <v>2.7469470882261331</v>
      </c>
    </row>
    <row r="47" spans="1:4">
      <c r="A47" s="2">
        <f>+Get_Data!A46</f>
        <v>39512</v>
      </c>
      <c r="B47">
        <f>+ROUND(Get_Data!B46,5)</f>
        <v>48.222769999999997</v>
      </c>
      <c r="C47">
        <f>+ROUND(Get_Data!C46,5)</f>
        <v>17.492280000000001</v>
      </c>
      <c r="D47" s="4">
        <f t="shared" si="0"/>
        <v>2.7568030010953399</v>
      </c>
    </row>
    <row r="48" spans="1:4">
      <c r="A48" s="2">
        <f>+Get_Data!A47</f>
        <v>39513</v>
      </c>
      <c r="B48">
        <f>+ROUND(Get_Data!B47,5)</f>
        <v>48.112969999999997</v>
      </c>
      <c r="C48">
        <f>+ROUND(Get_Data!C47,5)</f>
        <v>17.322279999999999</v>
      </c>
      <c r="D48" s="4">
        <f t="shared" si="0"/>
        <v>2.7775194720325498</v>
      </c>
    </row>
    <row r="49" spans="1:4">
      <c r="A49" s="2">
        <f>+Get_Data!A48</f>
        <v>39514</v>
      </c>
      <c r="B49">
        <f>+ROUND(Get_Data!B48,5)</f>
        <v>47.749310000000001</v>
      </c>
      <c r="C49">
        <f>+ROUND(Get_Data!C48,5)</f>
        <v>17.248999999999999</v>
      </c>
      <c r="D49" s="4">
        <f t="shared" si="0"/>
        <v>2.7682364195025801</v>
      </c>
    </row>
    <row r="50" spans="1:4">
      <c r="A50" s="2">
        <f>+Get_Data!A49</f>
        <v>39517</v>
      </c>
      <c r="B50">
        <f>+ROUND(Get_Data!B49,5)</f>
        <v>47.35821</v>
      </c>
      <c r="C50">
        <f>+ROUND(Get_Data!C49,5)</f>
        <v>17.19331</v>
      </c>
      <c r="D50" s="4">
        <f t="shared" si="0"/>
        <v>2.7544556574621173</v>
      </c>
    </row>
    <row r="51" spans="1:4">
      <c r="A51" s="2">
        <f>+Get_Data!A50</f>
        <v>39518</v>
      </c>
      <c r="B51">
        <f>+ROUND(Get_Data!B50,5)</f>
        <v>47.996339999999996</v>
      </c>
      <c r="C51">
        <f>+ROUND(Get_Data!C50,5)</f>
        <v>17.430730000000001</v>
      </c>
      <c r="D51" s="4">
        <f t="shared" si="0"/>
        <v>2.7535473270482647</v>
      </c>
    </row>
    <row r="52" spans="1:4">
      <c r="A52" s="2">
        <f>+Get_Data!A51</f>
        <v>39519</v>
      </c>
      <c r="B52">
        <f>+ROUND(Get_Data!B51,5)</f>
        <v>47.728729999999999</v>
      </c>
      <c r="C52">
        <f>+ROUND(Get_Data!C51,5)</f>
        <v>17.573239999999998</v>
      </c>
      <c r="D52" s="4">
        <f t="shared" si="0"/>
        <v>2.7159891972112145</v>
      </c>
    </row>
    <row r="53" spans="1:4">
      <c r="A53" s="2">
        <f>+Get_Data!A52</f>
        <v>39520</v>
      </c>
      <c r="B53">
        <f>+ROUND(Get_Data!B52,5)</f>
        <v>47.509169999999997</v>
      </c>
      <c r="C53">
        <f>+ROUND(Get_Data!C52,5)</f>
        <v>17.496040000000001</v>
      </c>
      <c r="D53" s="4">
        <f t="shared" si="0"/>
        <v>2.7154241759849653</v>
      </c>
    </row>
    <row r="54" spans="1:4">
      <c r="A54" s="2">
        <f>+Get_Data!A53</f>
        <v>39521</v>
      </c>
      <c r="B54">
        <f>+ROUND(Get_Data!B53,5)</f>
        <v>46.967109999999998</v>
      </c>
      <c r="C54">
        <f>+ROUND(Get_Data!C53,5)</f>
        <v>17.080390000000001</v>
      </c>
      <c r="D54" s="4">
        <f t="shared" si="0"/>
        <v>2.7497680088101029</v>
      </c>
    </row>
    <row r="55" spans="1:4">
      <c r="A55" s="2">
        <f>+Get_Data!A54</f>
        <v>39524</v>
      </c>
      <c r="B55">
        <f>+ROUND(Get_Data!B54,5)</f>
        <v>47.447420000000001</v>
      </c>
      <c r="C55">
        <f>+ROUND(Get_Data!C54,5)</f>
        <v>17.127890000000001</v>
      </c>
      <c r="D55" s="4">
        <f t="shared" si="0"/>
        <v>2.7701847688185759</v>
      </c>
    </row>
    <row r="56" spans="1:4">
      <c r="A56" s="2">
        <f>+Get_Data!A55</f>
        <v>39525</v>
      </c>
      <c r="B56">
        <f>+ROUND(Get_Data!B55,5)</f>
        <v>48.044350000000001</v>
      </c>
      <c r="C56">
        <f>+ROUND(Get_Data!C55,5)</f>
        <v>17.638549999999999</v>
      </c>
      <c r="D56" s="4">
        <f t="shared" si="0"/>
        <v>2.7238265050131676</v>
      </c>
    </row>
    <row r="57" spans="1:4">
      <c r="A57" s="2">
        <f>+Get_Data!A56</f>
        <v>39526</v>
      </c>
      <c r="B57">
        <f>+ROUND(Get_Data!B56,5)</f>
        <v>48.154130000000002</v>
      </c>
      <c r="C57">
        <f>+ROUND(Get_Data!C56,5)</f>
        <v>17.801850000000002</v>
      </c>
      <c r="D57" s="4">
        <f t="shared" si="0"/>
        <v>2.7050070638725749</v>
      </c>
    </row>
    <row r="58" spans="1:4">
      <c r="A58" s="2">
        <f>+Get_Data!A57</f>
        <v>39527</v>
      </c>
      <c r="B58">
        <f>+ROUND(Get_Data!B57,5)</f>
        <v>48.847160000000002</v>
      </c>
      <c r="C58">
        <f>+ROUND(Get_Data!C57,5)</f>
        <v>18.122489999999999</v>
      </c>
      <c r="D58" s="4">
        <f t="shared" si="0"/>
        <v>2.6953889890406897</v>
      </c>
    </row>
    <row r="59" spans="1:4">
      <c r="A59" s="2">
        <f>+Get_Data!A58</f>
        <v>39531</v>
      </c>
      <c r="B59">
        <f>+ROUND(Get_Data!B58,5)</f>
        <v>49.025550000000003</v>
      </c>
      <c r="C59">
        <f>+ROUND(Get_Data!C58,5)</f>
        <v>18.16405</v>
      </c>
      <c r="D59" s="4">
        <f t="shared" si="0"/>
        <v>2.6990428896639242</v>
      </c>
    </row>
    <row r="60" spans="1:4">
      <c r="A60" s="2">
        <f>+Get_Data!A59</f>
        <v>39532</v>
      </c>
      <c r="B60">
        <f>+ROUND(Get_Data!B59,5)</f>
        <v>49.087319999999998</v>
      </c>
      <c r="C60">
        <f>+ROUND(Get_Data!C59,5)</f>
        <v>18.23235</v>
      </c>
      <c r="D60" s="4">
        <f t="shared" si="0"/>
        <v>2.692319969724144</v>
      </c>
    </row>
    <row r="61" spans="1:4">
      <c r="A61" s="2">
        <f>+Get_Data!A60</f>
        <v>39533</v>
      </c>
      <c r="B61">
        <f>+ROUND(Get_Data!B60,5)</f>
        <v>48.82658</v>
      </c>
      <c r="C61">
        <f>+ROUND(Get_Data!C60,5)</f>
        <v>18.155149999999999</v>
      </c>
      <c r="D61" s="4">
        <f t="shared" si="0"/>
        <v>2.6894065871116459</v>
      </c>
    </row>
    <row r="62" spans="1:4">
      <c r="A62" s="2">
        <f>+Get_Data!A61</f>
        <v>39534</v>
      </c>
      <c r="B62">
        <f>+ROUND(Get_Data!B61,5)</f>
        <v>48.847160000000002</v>
      </c>
      <c r="C62">
        <f>+ROUND(Get_Data!C61,5)</f>
        <v>18.202649999999998</v>
      </c>
      <c r="D62" s="4">
        <f t="shared" si="0"/>
        <v>2.6835191579248079</v>
      </c>
    </row>
    <row r="63" spans="1:4">
      <c r="A63" s="2">
        <f>+Get_Data!A62</f>
        <v>39535</v>
      </c>
      <c r="B63">
        <f>+ROUND(Get_Data!B62,5)</f>
        <v>49.101039999999998</v>
      </c>
      <c r="C63">
        <f>+ROUND(Get_Data!C62,5)</f>
        <v>18.0928</v>
      </c>
      <c r="D63" s="4">
        <f t="shared" si="0"/>
        <v>2.7138441811107179</v>
      </c>
    </row>
    <row r="64" spans="1:4">
      <c r="A64" s="2">
        <f>+Get_Data!A63</f>
        <v>39538</v>
      </c>
      <c r="B64">
        <f>+ROUND(Get_Data!B63,5)</f>
        <v>49.540170000000003</v>
      </c>
      <c r="C64">
        <f>+ROUND(Get_Data!C63,5)</f>
        <v>18.072019999999998</v>
      </c>
      <c r="D64" s="4">
        <f t="shared" si="0"/>
        <v>2.7412635665520515</v>
      </c>
    </row>
    <row r="65" spans="1:4">
      <c r="A65" s="2">
        <f>+Get_Data!A64</f>
        <v>39539</v>
      </c>
      <c r="B65">
        <f>+ROUND(Get_Data!B64,5)</f>
        <v>49.492139999999999</v>
      </c>
      <c r="C65">
        <f>+ROUND(Get_Data!C64,5)</f>
        <v>18.241250000000001</v>
      </c>
      <c r="D65" s="4">
        <f t="shared" si="0"/>
        <v>2.7131989309943121</v>
      </c>
    </row>
    <row r="66" spans="1:4">
      <c r="A66" s="2">
        <f>+Get_Data!A65</f>
        <v>39540</v>
      </c>
      <c r="B66">
        <f>+ROUND(Get_Data!B65,5)</f>
        <v>49.004980000000003</v>
      </c>
      <c r="C66">
        <f>+ROUND(Get_Data!C65,5)</f>
        <v>17.950289999999999</v>
      </c>
      <c r="D66" s="4">
        <f t="shared" si="0"/>
        <v>2.7300383447844023</v>
      </c>
    </row>
    <row r="67" spans="1:4">
      <c r="A67" s="2">
        <f>+Get_Data!A66</f>
        <v>39541</v>
      </c>
      <c r="B67">
        <f>+ROUND(Get_Data!B66,5)</f>
        <v>48.991259999999997</v>
      </c>
      <c r="C67">
        <f>+ROUND(Get_Data!C66,5)</f>
        <v>17.979980000000001</v>
      </c>
      <c r="D67" s="4">
        <f t="shared" si="0"/>
        <v>2.724767213311694</v>
      </c>
    </row>
    <row r="68" spans="1:4">
      <c r="A68" s="2">
        <f>+Get_Data!A67</f>
        <v>39542</v>
      </c>
      <c r="B68">
        <f>+ROUND(Get_Data!B67,5)</f>
        <v>49.08043</v>
      </c>
      <c r="C68">
        <f>+ROUND(Get_Data!C67,5)</f>
        <v>17.88795</v>
      </c>
      <c r="D68" s="4">
        <f t="shared" ref="D68:D131" si="2">IFERROR(B68/C68,"")</f>
        <v>2.7437705270866699</v>
      </c>
    </row>
    <row r="69" spans="1:4">
      <c r="A69" s="2">
        <f>+Get_Data!A68</f>
        <v>39545</v>
      </c>
      <c r="B69">
        <f>+ROUND(Get_Data!B68,5)</f>
        <v>49.30688</v>
      </c>
      <c r="C69">
        <f>+ROUND(Get_Data!C68,5)</f>
        <v>17.923580000000001</v>
      </c>
      <c r="D69" s="4">
        <f t="shared" si="2"/>
        <v>2.7509504239666405</v>
      </c>
    </row>
    <row r="70" spans="1:4">
      <c r="A70" s="2">
        <f>+Get_Data!A69</f>
        <v>39546</v>
      </c>
      <c r="B70">
        <f>+ROUND(Get_Data!B69,5)</f>
        <v>48.908909999999999</v>
      </c>
      <c r="C70">
        <f>+ROUND(Get_Data!C69,5)</f>
        <v>17.965140000000002</v>
      </c>
      <c r="D70" s="4">
        <f t="shared" si="2"/>
        <v>2.7224341140675774</v>
      </c>
    </row>
    <row r="71" spans="1:4">
      <c r="A71" s="2">
        <f>+Get_Data!A70</f>
        <v>39547</v>
      </c>
      <c r="B71">
        <f>+ROUND(Get_Data!B70,5)</f>
        <v>48.696210000000001</v>
      </c>
      <c r="C71">
        <f>+ROUND(Get_Data!C70,5)</f>
        <v>18.045300000000001</v>
      </c>
      <c r="D71" s="4">
        <f t="shared" si="2"/>
        <v>2.6985536400059846</v>
      </c>
    </row>
    <row r="72" spans="1:4">
      <c r="A72" s="2">
        <f>+Get_Data!A71</f>
        <v>39548</v>
      </c>
      <c r="B72">
        <f>+ROUND(Get_Data!B71,5)</f>
        <v>49.197110000000002</v>
      </c>
      <c r="C72">
        <f>+ROUND(Get_Data!C71,5)</f>
        <v>18.208590000000001</v>
      </c>
      <c r="D72" s="4">
        <f t="shared" si="2"/>
        <v>2.7018626922787541</v>
      </c>
    </row>
    <row r="73" spans="1:4">
      <c r="A73" s="2">
        <f>+Get_Data!A72</f>
        <v>39549</v>
      </c>
      <c r="B73">
        <f>+ROUND(Get_Data!B72,5)</f>
        <v>48.991259999999997</v>
      </c>
      <c r="C73">
        <f>+ROUND(Get_Data!C72,5)</f>
        <v>17.899819999999998</v>
      </c>
      <c r="D73" s="4">
        <f t="shared" si="2"/>
        <v>2.7369694220388809</v>
      </c>
    </row>
    <row r="74" spans="1:4">
      <c r="A74" s="2">
        <f>+Get_Data!A73</f>
        <v>39552</v>
      </c>
      <c r="B74">
        <f>+ROUND(Get_Data!B73,5)</f>
        <v>48.682479999999998</v>
      </c>
      <c r="C74">
        <f>+ROUND(Get_Data!C73,5)</f>
        <v>18.110610000000001</v>
      </c>
      <c r="D74" s="4">
        <f t="shared" si="2"/>
        <v>2.6880640685211592</v>
      </c>
    </row>
    <row r="75" spans="1:4">
      <c r="A75" s="2">
        <f>+Get_Data!A74</f>
        <v>39553</v>
      </c>
      <c r="B75">
        <f>+ROUND(Get_Data!B74,5)</f>
        <v>48.867730000000002</v>
      </c>
      <c r="C75">
        <f>+ROUND(Get_Data!C74,5)</f>
        <v>18.0928</v>
      </c>
      <c r="D75" s="4">
        <f t="shared" si="2"/>
        <v>2.7009489962858155</v>
      </c>
    </row>
    <row r="76" spans="1:4">
      <c r="A76" s="2">
        <f>+Get_Data!A75</f>
        <v>39554</v>
      </c>
      <c r="B76">
        <f>+ROUND(Get_Data!B75,5)</f>
        <v>48.792279999999998</v>
      </c>
      <c r="C76">
        <f>+ROUND(Get_Data!C75,5)</f>
        <v>18.155149999999999</v>
      </c>
      <c r="D76" s="4">
        <f t="shared" si="2"/>
        <v>2.687517316023277</v>
      </c>
    </row>
    <row r="77" spans="1:4">
      <c r="A77" s="2">
        <f>+Get_Data!A76</f>
        <v>39555</v>
      </c>
      <c r="B77">
        <f>+ROUND(Get_Data!B76,5)</f>
        <v>48.558970000000002</v>
      </c>
      <c r="C77">
        <f>+ROUND(Get_Data!C76,5)</f>
        <v>18.015609999999999</v>
      </c>
      <c r="D77" s="4">
        <f t="shared" si="2"/>
        <v>2.6953830594689832</v>
      </c>
    </row>
    <row r="78" spans="1:4">
      <c r="A78" s="2">
        <f>+Get_Data!A77</f>
        <v>39556</v>
      </c>
      <c r="B78">
        <f>+ROUND(Get_Data!B77,5)</f>
        <v>48.442329999999998</v>
      </c>
      <c r="C78">
        <f>+ROUND(Get_Data!C77,5)</f>
        <v>17.84638</v>
      </c>
      <c r="D78" s="4">
        <f t="shared" si="2"/>
        <v>2.714406507089953</v>
      </c>
    </row>
    <row r="79" spans="1:4">
      <c r="A79" s="2">
        <f>+Get_Data!A78</f>
        <v>39559</v>
      </c>
      <c r="B79">
        <f>+ROUND(Get_Data!B78,5)</f>
        <v>47.962029999999999</v>
      </c>
      <c r="C79">
        <f>+ROUND(Get_Data!C78,5)</f>
        <v>17.917629999999999</v>
      </c>
      <c r="D79" s="4">
        <f t="shared" si="2"/>
        <v>2.6768065865853909</v>
      </c>
    </row>
    <row r="80" spans="1:4">
      <c r="A80" s="2">
        <f>+Get_Data!A79</f>
        <v>39560</v>
      </c>
      <c r="B80">
        <f>+ROUND(Get_Data!B79,5)</f>
        <v>47.413110000000003</v>
      </c>
      <c r="C80">
        <f>+ROUND(Get_Data!C79,5)</f>
        <v>17.78106</v>
      </c>
      <c r="D80" s="4">
        <f t="shared" si="2"/>
        <v>2.6664951358355466</v>
      </c>
    </row>
    <row r="81" spans="1:4">
      <c r="A81" s="2">
        <f>+Get_Data!A80</f>
        <v>39561</v>
      </c>
      <c r="B81">
        <f>+ROUND(Get_Data!B80,5)</f>
        <v>47.47486</v>
      </c>
      <c r="C81">
        <f>+ROUND(Get_Data!C80,5)</f>
        <v>17.908729999999998</v>
      </c>
      <c r="D81" s="4">
        <f t="shared" si="2"/>
        <v>2.6509339299883354</v>
      </c>
    </row>
    <row r="82" spans="1:4">
      <c r="A82" s="2">
        <f>+Get_Data!A81</f>
        <v>39562</v>
      </c>
      <c r="B82">
        <f>+ROUND(Get_Data!B81,5)</f>
        <v>46.658340000000003</v>
      </c>
      <c r="C82">
        <f>+ROUND(Get_Data!C81,5)</f>
        <v>17.88795</v>
      </c>
      <c r="D82" s="4">
        <f t="shared" si="2"/>
        <v>2.6083670851047773</v>
      </c>
    </row>
    <row r="83" spans="1:4">
      <c r="A83" s="2">
        <f>+Get_Data!A82</f>
        <v>39563</v>
      </c>
      <c r="B83">
        <f>+ROUND(Get_Data!B82,5)</f>
        <v>46.39761</v>
      </c>
      <c r="C83">
        <f>+ROUND(Get_Data!C82,5)</f>
        <v>17.614809999999999</v>
      </c>
      <c r="D83" s="4">
        <f t="shared" si="2"/>
        <v>2.6340113801965508</v>
      </c>
    </row>
    <row r="84" spans="1:4">
      <c r="A84" s="2">
        <f>+Get_Data!A83</f>
        <v>39566</v>
      </c>
      <c r="B84">
        <f>+ROUND(Get_Data!B83,5)</f>
        <v>46.768120000000003</v>
      </c>
      <c r="C84">
        <f>+ROUND(Get_Data!C83,5)</f>
        <v>17.51089</v>
      </c>
      <c r="D84" s="4">
        <f t="shared" si="2"/>
        <v>2.6708019980709148</v>
      </c>
    </row>
    <row r="85" spans="1:4">
      <c r="A85" s="2">
        <f>+Get_Data!A84</f>
        <v>39567</v>
      </c>
      <c r="B85">
        <f>+ROUND(Get_Data!B84,5)</f>
        <v>46.795569999999998</v>
      </c>
      <c r="C85">
        <f>+ROUND(Get_Data!C84,5)</f>
        <v>17.433700000000002</v>
      </c>
      <c r="D85" s="4">
        <f t="shared" si="2"/>
        <v>2.6842018619111259</v>
      </c>
    </row>
    <row r="86" spans="1:4">
      <c r="A86" s="2">
        <f>+Get_Data!A85</f>
        <v>39568</v>
      </c>
      <c r="B86">
        <f>+ROUND(Get_Data!B85,5)</f>
        <v>47.021999999999998</v>
      </c>
      <c r="C86">
        <f>+ROUND(Get_Data!C85,5)</f>
        <v>17.47822</v>
      </c>
      <c r="D86" s="4">
        <f t="shared" si="2"/>
        <v>2.6903197236331846</v>
      </c>
    </row>
    <row r="87" spans="1:4">
      <c r="A87" s="2">
        <f>+Get_Data!A86</f>
        <v>39569</v>
      </c>
      <c r="B87">
        <f>+ROUND(Get_Data!B86,5)</f>
        <v>47.00141</v>
      </c>
      <c r="C87">
        <f>+ROUND(Get_Data!C86,5)</f>
        <v>17.54355</v>
      </c>
      <c r="D87" s="4">
        <f t="shared" si="2"/>
        <v>2.6791276566031392</v>
      </c>
    </row>
    <row r="88" spans="1:4">
      <c r="A88" s="2">
        <f>+Get_Data!A87</f>
        <v>39570</v>
      </c>
      <c r="B88">
        <f>+ROUND(Get_Data!B87,5)</f>
        <v>47.413110000000003</v>
      </c>
      <c r="C88">
        <f>+ROUND(Get_Data!C87,5)</f>
        <v>17.448540000000001</v>
      </c>
      <c r="D88" s="4">
        <f t="shared" si="2"/>
        <v>2.7173110185723277</v>
      </c>
    </row>
    <row r="89" spans="1:4">
      <c r="A89" s="2">
        <f>+Get_Data!A88</f>
        <v>39573</v>
      </c>
      <c r="B89">
        <f>+ROUND(Get_Data!B88,5)</f>
        <v>47.04945</v>
      </c>
      <c r="C89">
        <f>+ROUND(Get_Data!C88,5)</f>
        <v>17.332750000000001</v>
      </c>
      <c r="D89" s="4">
        <f t="shared" si="2"/>
        <v>2.7144826989369832</v>
      </c>
    </row>
    <row r="90" spans="1:4">
      <c r="A90" s="2">
        <f>+Get_Data!A89</f>
        <v>39574</v>
      </c>
      <c r="B90">
        <f>+ROUND(Get_Data!B89,5)</f>
        <v>47.04945</v>
      </c>
      <c r="C90">
        <f>+ROUND(Get_Data!C89,5)</f>
        <v>17.3001</v>
      </c>
      <c r="D90" s="4">
        <f t="shared" si="2"/>
        <v>2.7196056670192656</v>
      </c>
    </row>
    <row r="91" spans="1:4">
      <c r="A91" s="2">
        <f>+Get_Data!A90</f>
        <v>39575</v>
      </c>
      <c r="B91">
        <f>+ROUND(Get_Data!B90,5)</f>
        <v>46.665210000000002</v>
      </c>
      <c r="C91">
        <f>+ROUND(Get_Data!C90,5)</f>
        <v>16.931940000000001</v>
      </c>
      <c r="D91" s="4">
        <f t="shared" si="2"/>
        <v>2.7560462652241857</v>
      </c>
    </row>
    <row r="92" spans="1:4">
      <c r="A92" s="2">
        <f>+Get_Data!A91</f>
        <v>39576</v>
      </c>
      <c r="B92">
        <f>+ROUND(Get_Data!B91,5)</f>
        <v>46.342709999999997</v>
      </c>
      <c r="C92">
        <f>+ROUND(Get_Data!C91,5)</f>
        <v>16.712240000000001</v>
      </c>
      <c r="D92" s="4">
        <f t="shared" si="2"/>
        <v>2.7729801630421771</v>
      </c>
    </row>
    <row r="93" spans="1:4">
      <c r="A93" s="2">
        <f>+Get_Data!A92</f>
        <v>39577</v>
      </c>
      <c r="B93">
        <f>+ROUND(Get_Data!B92,5)</f>
        <v>46.322119999999998</v>
      </c>
      <c r="C93">
        <f>+ROUND(Get_Data!C92,5)</f>
        <v>16.670680000000001</v>
      </c>
      <c r="D93" s="4">
        <f t="shared" si="2"/>
        <v>2.7786580991297294</v>
      </c>
    </row>
    <row r="94" spans="1:4">
      <c r="A94" s="2">
        <f>+Get_Data!A93</f>
        <v>39580</v>
      </c>
      <c r="B94">
        <f>+ROUND(Get_Data!B93,5)</f>
        <v>46.212350000000001</v>
      </c>
      <c r="C94">
        <f>+ROUND(Get_Data!C93,5)</f>
        <v>16.744900000000001</v>
      </c>
      <c r="D94" s="4">
        <f t="shared" si="2"/>
        <v>2.759786561878542</v>
      </c>
    </row>
    <row r="95" spans="1:4">
      <c r="A95" s="2">
        <f>+Get_Data!A94</f>
        <v>39581</v>
      </c>
      <c r="B95">
        <f>+ROUND(Get_Data!B94,5)</f>
        <v>46.143729999999998</v>
      </c>
      <c r="C95">
        <f>+ROUND(Get_Data!C94,5)</f>
        <v>16.77459</v>
      </c>
      <c r="D95" s="4">
        <f t="shared" si="2"/>
        <v>2.7508111971738205</v>
      </c>
    </row>
    <row r="96" spans="1:4">
      <c r="A96" s="2">
        <f>+Get_Data!A95</f>
        <v>39582</v>
      </c>
      <c r="B96">
        <f>+ROUND(Get_Data!B95,5)</f>
        <v>46.040799999999997</v>
      </c>
      <c r="C96">
        <f>+ROUND(Get_Data!C95,5)</f>
        <v>16.786460000000002</v>
      </c>
      <c r="D96" s="4">
        <f t="shared" si="2"/>
        <v>2.7427343227815748</v>
      </c>
    </row>
    <row r="97" spans="1:4">
      <c r="A97" s="2">
        <f>+Get_Data!A96</f>
        <v>39583</v>
      </c>
      <c r="B97">
        <f>+ROUND(Get_Data!B96,5)</f>
        <v>46.70637</v>
      </c>
      <c r="C97">
        <f>+ROUND(Get_Data!C96,5)</f>
        <v>16.926010000000002</v>
      </c>
      <c r="D97" s="4">
        <f t="shared" si="2"/>
        <v>2.7594436018884543</v>
      </c>
    </row>
    <row r="98" spans="1:4">
      <c r="A98" s="2">
        <f>+Get_Data!A97</f>
        <v>39584</v>
      </c>
      <c r="B98">
        <f>+ROUND(Get_Data!B97,5)</f>
        <v>46.56915</v>
      </c>
      <c r="C98">
        <f>+ROUND(Get_Data!C97,5)</f>
        <v>16.943819999999999</v>
      </c>
      <c r="D98" s="4">
        <f t="shared" si="2"/>
        <v>2.7484445656292387</v>
      </c>
    </row>
    <row r="99" spans="1:4">
      <c r="A99" s="2">
        <f>+Get_Data!A98</f>
        <v>39587</v>
      </c>
      <c r="B99">
        <f>+ROUND(Get_Data!B98,5)</f>
        <v>46.678919999999998</v>
      </c>
      <c r="C99">
        <f>+ROUND(Get_Data!C98,5)</f>
        <v>17.07742</v>
      </c>
      <c r="D99" s="4">
        <f t="shared" si="2"/>
        <v>2.7333707316444755</v>
      </c>
    </row>
    <row r="100" spans="1:4">
      <c r="A100" s="2">
        <f>+Get_Data!A99</f>
        <v>39588</v>
      </c>
      <c r="B100">
        <f>+ROUND(Get_Data!B99,5)</f>
        <v>46.287799999999997</v>
      </c>
      <c r="C100">
        <f>+ROUND(Get_Data!C99,5)</f>
        <v>16.949760000000001</v>
      </c>
      <c r="D100" s="4">
        <f t="shared" si="2"/>
        <v>2.7308823251774652</v>
      </c>
    </row>
    <row r="101" spans="1:4">
      <c r="A101" s="2">
        <f>+Get_Data!A100</f>
        <v>39589</v>
      </c>
      <c r="B101">
        <f>+ROUND(Get_Data!B100,5)</f>
        <v>46.157449999999997</v>
      </c>
      <c r="C101">
        <f>+ROUND(Get_Data!C100,5)</f>
        <v>16.819130000000001</v>
      </c>
      <c r="D101" s="4">
        <f t="shared" si="2"/>
        <v>2.74434230545813</v>
      </c>
    </row>
    <row r="102" spans="1:4">
      <c r="A102" s="2">
        <f>+Get_Data!A101</f>
        <v>39590</v>
      </c>
      <c r="B102">
        <f>+ROUND(Get_Data!B101,5)</f>
        <v>46.919080000000001</v>
      </c>
      <c r="C102">
        <f>+ROUND(Get_Data!C101,5)</f>
        <v>17.3001</v>
      </c>
      <c r="D102" s="4">
        <f t="shared" si="2"/>
        <v>2.7120698724284829</v>
      </c>
    </row>
    <row r="103" spans="1:4">
      <c r="A103" s="2">
        <f>+Get_Data!A102</f>
        <v>39591</v>
      </c>
      <c r="B103">
        <f>+ROUND(Get_Data!B102,5)</f>
        <v>46.836730000000003</v>
      </c>
      <c r="C103">
        <f>+ROUND(Get_Data!C102,5)</f>
        <v>17.406980000000001</v>
      </c>
      <c r="D103" s="4">
        <f t="shared" si="2"/>
        <v>2.690686724520853</v>
      </c>
    </row>
    <row r="104" spans="1:4">
      <c r="A104" s="2">
        <f>+Get_Data!A103</f>
        <v>39595</v>
      </c>
      <c r="B104">
        <f>+ROUND(Get_Data!B103,5)</f>
        <v>47.351349999999996</v>
      </c>
      <c r="C104">
        <f>+ROUND(Get_Data!C103,5)</f>
        <v>17.395109999999999</v>
      </c>
      <c r="D104" s="4">
        <f t="shared" si="2"/>
        <v>2.7221069599444903</v>
      </c>
    </row>
    <row r="105" spans="1:4">
      <c r="A105" s="2">
        <f>+Get_Data!A104</f>
        <v>39596</v>
      </c>
      <c r="B105">
        <f>+ROUND(Get_Data!B104,5)</f>
        <v>46.610309999999998</v>
      </c>
      <c r="C105">
        <f>+ROUND(Get_Data!C104,5)</f>
        <v>17.05367</v>
      </c>
      <c r="D105" s="4">
        <f t="shared" si="2"/>
        <v>2.7331542125536612</v>
      </c>
    </row>
    <row r="106" spans="1:4">
      <c r="A106" s="2">
        <f>+Get_Data!A105</f>
        <v>39597</v>
      </c>
      <c r="B106">
        <f>+ROUND(Get_Data!B105,5)</f>
        <v>47.22786</v>
      </c>
      <c r="C106">
        <f>+ROUND(Get_Data!C105,5)</f>
        <v>17.181329999999999</v>
      </c>
      <c r="D106" s="4">
        <f t="shared" si="2"/>
        <v>2.748789529099319</v>
      </c>
    </row>
    <row r="107" spans="1:4">
      <c r="A107" s="2">
        <f>+Get_Data!A106</f>
        <v>39598</v>
      </c>
      <c r="B107">
        <f>+ROUND(Get_Data!B106,5)</f>
        <v>46.864190000000001</v>
      </c>
      <c r="C107">
        <f>+ROUND(Get_Data!C106,5)</f>
        <v>17.000229999999998</v>
      </c>
      <c r="D107" s="4">
        <f t="shared" si="2"/>
        <v>2.7566797625679187</v>
      </c>
    </row>
    <row r="108" spans="1:4">
      <c r="A108" s="2">
        <f>+Get_Data!A107</f>
        <v>39601</v>
      </c>
      <c r="B108">
        <f>+ROUND(Get_Data!B107,5)</f>
        <v>46.349559999999997</v>
      </c>
      <c r="C108">
        <f>+ROUND(Get_Data!C107,5)</f>
        <v>16.92304</v>
      </c>
      <c r="D108" s="4">
        <f t="shared" si="2"/>
        <v>2.7388436120224262</v>
      </c>
    </row>
    <row r="109" spans="1:4">
      <c r="A109" s="2">
        <f>+Get_Data!A108</f>
        <v>39602</v>
      </c>
      <c r="B109">
        <f>+ROUND(Get_Data!B108,5)</f>
        <v>46.006500000000003</v>
      </c>
      <c r="C109">
        <f>+ROUND(Get_Data!C108,5)</f>
        <v>16.744900000000001</v>
      </c>
      <c r="D109" s="4">
        <f t="shared" si="2"/>
        <v>2.7474932666065488</v>
      </c>
    </row>
    <row r="110" spans="1:4">
      <c r="A110" s="2">
        <f>+Get_Data!A109</f>
        <v>39603</v>
      </c>
      <c r="B110">
        <f>+ROUND(Get_Data!B109,5)</f>
        <v>46.037559999999999</v>
      </c>
      <c r="C110">
        <f>+ROUND(Get_Data!C109,5)</f>
        <v>16.833960000000001</v>
      </c>
      <c r="D110" s="4">
        <f t="shared" si="2"/>
        <v>2.7348027439770557</v>
      </c>
    </row>
    <row r="111" spans="1:4">
      <c r="A111" s="2">
        <f>+Get_Data!A110</f>
        <v>39604</v>
      </c>
      <c r="B111">
        <f>+ROUND(Get_Data!B110,5)</f>
        <v>46.465690000000002</v>
      </c>
      <c r="C111">
        <f>+ROUND(Get_Data!C110,5)</f>
        <v>16.97945</v>
      </c>
      <c r="D111" s="4">
        <f t="shared" si="2"/>
        <v>2.7365839293970065</v>
      </c>
    </row>
    <row r="112" spans="1:4">
      <c r="A112" s="2">
        <f>+Get_Data!A111</f>
        <v>39605</v>
      </c>
      <c r="B112">
        <f>+ROUND(Get_Data!B111,5)</f>
        <v>45.243459999999999</v>
      </c>
      <c r="C112">
        <f>+ROUND(Get_Data!C111,5)</f>
        <v>16.566759999999999</v>
      </c>
      <c r="D112" s="4">
        <f t="shared" si="2"/>
        <v>2.7309781755756708</v>
      </c>
    </row>
    <row r="113" spans="1:4">
      <c r="A113" s="2">
        <f>+Get_Data!A112</f>
        <v>39608</v>
      </c>
      <c r="B113">
        <f>+ROUND(Get_Data!B112,5)</f>
        <v>45.139870000000002</v>
      </c>
      <c r="C113">
        <f>+ROUND(Get_Data!C112,5)</f>
        <v>16.584569999999999</v>
      </c>
      <c r="D113" s="4">
        <f t="shared" si="2"/>
        <v>2.7217992386899392</v>
      </c>
    </row>
    <row r="114" spans="1:4">
      <c r="A114" s="2">
        <f>+Get_Data!A113</f>
        <v>39609</v>
      </c>
      <c r="B114">
        <f>+ROUND(Get_Data!B113,5)</f>
        <v>46.665950000000002</v>
      </c>
      <c r="C114">
        <f>+ROUND(Get_Data!C113,5)</f>
        <v>17.222899999999999</v>
      </c>
      <c r="D114" s="4">
        <f t="shared" si="2"/>
        <v>2.7095291733680162</v>
      </c>
    </row>
    <row r="115" spans="1:4">
      <c r="A115" s="2">
        <f>+Get_Data!A114</f>
        <v>39610</v>
      </c>
      <c r="B115">
        <f>+ROUND(Get_Data!B114,5)</f>
        <v>46.603789999999996</v>
      </c>
      <c r="C115">
        <f>+ROUND(Get_Data!C114,5)</f>
        <v>17.189810000000001</v>
      </c>
      <c r="D115" s="4">
        <f t="shared" si="2"/>
        <v>2.7111288606447652</v>
      </c>
    </row>
    <row r="116" spans="1:4">
      <c r="A116" s="2">
        <f>+Get_Data!A115</f>
        <v>39611</v>
      </c>
      <c r="B116">
        <f>+ROUND(Get_Data!B115,5)</f>
        <v>46.921430000000001</v>
      </c>
      <c r="C116">
        <f>+ROUND(Get_Data!C115,5)</f>
        <v>17.189810000000001</v>
      </c>
      <c r="D116" s="4">
        <f t="shared" si="2"/>
        <v>2.7296072498765254</v>
      </c>
    </row>
    <row r="117" spans="1:4">
      <c r="A117" s="2">
        <f>+Get_Data!A116</f>
        <v>39612</v>
      </c>
      <c r="B117">
        <f>+ROUND(Get_Data!B116,5)</f>
        <v>46.638330000000003</v>
      </c>
      <c r="C117">
        <f>+ROUND(Get_Data!C116,5)</f>
        <v>16.672370000000001</v>
      </c>
      <c r="D117" s="4">
        <f t="shared" si="2"/>
        <v>2.7973425493796023</v>
      </c>
    </row>
    <row r="118" spans="1:4">
      <c r="A118" s="2">
        <f>+Get_Data!A117</f>
        <v>39615</v>
      </c>
      <c r="B118">
        <f>+ROUND(Get_Data!B117,5)</f>
        <v>45.602519999999998</v>
      </c>
      <c r="C118">
        <f>+ROUND(Get_Data!C117,5)</f>
        <v>16.299330000000001</v>
      </c>
      <c r="D118" s="4">
        <f t="shared" si="2"/>
        <v>2.797815615733898</v>
      </c>
    </row>
    <row r="119" spans="1:4">
      <c r="A119" s="2">
        <f>+Get_Data!A118</f>
        <v>39616</v>
      </c>
      <c r="B119">
        <f>+ROUND(Get_Data!B118,5)</f>
        <v>45.485149999999997</v>
      </c>
      <c r="C119">
        <f>+ROUND(Get_Data!C118,5)</f>
        <v>16.233139999999999</v>
      </c>
      <c r="D119" s="4">
        <f t="shared" si="2"/>
        <v>2.8019933296946862</v>
      </c>
    </row>
    <row r="120" spans="1:4">
      <c r="A120" s="2">
        <f>+Get_Data!A119</f>
        <v>39617</v>
      </c>
      <c r="B120">
        <f>+ROUND(Get_Data!B119,5)</f>
        <v>44.925809999999998</v>
      </c>
      <c r="C120">
        <f>+ROUND(Get_Data!C119,5)</f>
        <v>15.992470000000001</v>
      </c>
      <c r="D120" s="4">
        <f t="shared" si="2"/>
        <v>2.8091851977837066</v>
      </c>
    </row>
    <row r="121" spans="1:4">
      <c r="A121" s="2">
        <f>+Get_Data!A120</f>
        <v>39618</v>
      </c>
      <c r="B121">
        <f>+ROUND(Get_Data!B120,5)</f>
        <v>45.498950000000001</v>
      </c>
      <c r="C121">
        <f>+ROUND(Get_Data!C120,5)</f>
        <v>16.05265</v>
      </c>
      <c r="D121" s="4">
        <f t="shared" si="2"/>
        <v>2.8343575671306609</v>
      </c>
    </row>
    <row r="122" spans="1:4">
      <c r="A122" s="2">
        <f>+Get_Data!A121</f>
        <v>39619</v>
      </c>
      <c r="B122">
        <f>+ROUND(Get_Data!B121,5)</f>
        <v>44.939630000000001</v>
      </c>
      <c r="C122">
        <f>+ROUND(Get_Data!C121,5)</f>
        <v>16.142900000000001</v>
      </c>
      <c r="D122" s="4">
        <f t="shared" si="2"/>
        <v>2.7838634941677145</v>
      </c>
    </row>
    <row r="123" spans="1:4">
      <c r="A123" s="2">
        <f>+Get_Data!A122</f>
        <v>39622</v>
      </c>
      <c r="B123">
        <f>+ROUND(Get_Data!B122,5)</f>
        <v>44.628869999999999</v>
      </c>
      <c r="C123">
        <f>+ROUND(Get_Data!C122,5)</f>
        <v>16.022559999999999</v>
      </c>
      <c r="D123" s="4">
        <f t="shared" si="2"/>
        <v>2.7853769934392507</v>
      </c>
    </row>
    <row r="124" spans="1:4">
      <c r="A124" s="2">
        <f>+Get_Data!A123</f>
        <v>39623</v>
      </c>
      <c r="B124">
        <f>+ROUND(Get_Data!B123,5)</f>
        <v>44.207659999999997</v>
      </c>
      <c r="C124">
        <f>+ROUND(Get_Data!C123,5)</f>
        <v>16.05564</v>
      </c>
      <c r="D124" s="4">
        <f t="shared" si="2"/>
        <v>2.7534037883260956</v>
      </c>
    </row>
    <row r="125" spans="1:4">
      <c r="A125" s="2">
        <f>+Get_Data!A124</f>
        <v>39624</v>
      </c>
      <c r="B125">
        <f>+ROUND(Get_Data!B124,5)</f>
        <v>45.243459999999999</v>
      </c>
      <c r="C125">
        <f>+ROUND(Get_Data!C124,5)</f>
        <v>16.275269999999999</v>
      </c>
      <c r="D125" s="4">
        <f t="shared" si="2"/>
        <v>2.7798899803198349</v>
      </c>
    </row>
    <row r="126" spans="1:4">
      <c r="A126" s="2">
        <f>+Get_Data!A125</f>
        <v>39625</v>
      </c>
      <c r="B126">
        <f>+ROUND(Get_Data!B125,5)</f>
        <v>44.725569999999998</v>
      </c>
      <c r="C126">
        <f>+ROUND(Get_Data!C125,5)</f>
        <v>16.010529999999999</v>
      </c>
      <c r="D126" s="4">
        <f t="shared" si="2"/>
        <v>2.7935096464639209</v>
      </c>
    </row>
    <row r="127" spans="1:4">
      <c r="A127" s="2">
        <f>+Get_Data!A126</f>
        <v>39626</v>
      </c>
      <c r="B127">
        <f>+ROUND(Get_Data!B126,5)</f>
        <v>44.145499999999998</v>
      </c>
      <c r="C127">
        <f>+ROUND(Get_Data!C126,5)</f>
        <v>15.59538</v>
      </c>
      <c r="D127" s="4">
        <f t="shared" si="2"/>
        <v>2.8306780597843719</v>
      </c>
    </row>
    <row r="128" spans="1:4">
      <c r="A128" s="2">
        <f>+Get_Data!A127</f>
        <v>39629</v>
      </c>
      <c r="B128">
        <f>+ROUND(Get_Data!B127,5)</f>
        <v>43.910730000000001</v>
      </c>
      <c r="C128">
        <f>+ROUND(Get_Data!C127,5)</f>
        <v>15.63749</v>
      </c>
      <c r="D128" s="4">
        <f t="shared" si="2"/>
        <v>2.8080420834801494</v>
      </c>
    </row>
    <row r="129" spans="1:4">
      <c r="A129" s="2">
        <f>+Get_Data!A128</f>
        <v>39630</v>
      </c>
      <c r="B129">
        <f>+ROUND(Get_Data!B128,5)</f>
        <v>44.47007</v>
      </c>
      <c r="C129">
        <f>+ROUND(Get_Data!C128,5)</f>
        <v>15.34267</v>
      </c>
      <c r="D129" s="4">
        <f t="shared" si="2"/>
        <v>2.8984570482191172</v>
      </c>
    </row>
    <row r="130" spans="1:4">
      <c r="A130" s="2">
        <f>+Get_Data!A129</f>
        <v>39631</v>
      </c>
      <c r="B130">
        <f>+ROUND(Get_Data!B129,5)</f>
        <v>45.409170000000003</v>
      </c>
      <c r="C130">
        <f>+ROUND(Get_Data!C129,5)</f>
        <v>15.45398</v>
      </c>
      <c r="D130" s="4">
        <f t="shared" si="2"/>
        <v>2.938347920729806</v>
      </c>
    </row>
    <row r="131" spans="1:4">
      <c r="A131" s="2">
        <f>+Get_Data!A130</f>
        <v>39632</v>
      </c>
      <c r="B131">
        <f>+ROUND(Get_Data!B130,5)</f>
        <v>46.106610000000003</v>
      </c>
      <c r="C131">
        <f>+ROUND(Get_Data!C130,5)</f>
        <v>15.487069999999999</v>
      </c>
      <c r="D131" s="4">
        <f t="shared" si="2"/>
        <v>2.9771034805163277</v>
      </c>
    </row>
    <row r="132" spans="1:4">
      <c r="A132" s="2">
        <f>+Get_Data!A131</f>
        <v>39636</v>
      </c>
      <c r="B132">
        <f>+ROUND(Get_Data!B131,5)</f>
        <v>46.003039999999999</v>
      </c>
      <c r="C132">
        <f>+ROUND(Get_Data!C131,5)</f>
        <v>15.42991</v>
      </c>
      <c r="D132" s="4">
        <f t="shared" ref="D132:D195" si="3">IFERROR(B132/C132,"")</f>
        <v>2.981419852740554</v>
      </c>
    </row>
    <row r="133" spans="1:4">
      <c r="A133" s="2">
        <f>+Get_Data!A132</f>
        <v>39637</v>
      </c>
      <c r="B133">
        <f>+ROUND(Get_Data!B132,5)</f>
        <v>45.457529999999998</v>
      </c>
      <c r="C133">
        <f>+ROUND(Get_Data!C132,5)</f>
        <v>15.484059999999999</v>
      </c>
      <c r="D133" s="4">
        <f t="shared" si="3"/>
        <v>2.9357629717270535</v>
      </c>
    </row>
    <row r="134" spans="1:4">
      <c r="A134" s="2">
        <f>+Get_Data!A133</f>
        <v>39638</v>
      </c>
      <c r="B134">
        <f>+ROUND(Get_Data!B133,5)</f>
        <v>45.126060000000003</v>
      </c>
      <c r="C134">
        <f>+ROUND(Get_Data!C133,5)</f>
        <v>15.30958</v>
      </c>
      <c r="D134" s="4">
        <f t="shared" si="3"/>
        <v>2.9475700835685892</v>
      </c>
    </row>
    <row r="135" spans="1:4">
      <c r="A135" s="2">
        <f>+Get_Data!A134</f>
        <v>39639</v>
      </c>
      <c r="B135">
        <f>+ROUND(Get_Data!B134,5)</f>
        <v>45.29177</v>
      </c>
      <c r="C135">
        <f>+ROUND(Get_Data!C134,5)</f>
        <v>15.05387</v>
      </c>
      <c r="D135" s="4">
        <f t="shared" si="3"/>
        <v>3.0086462816538204</v>
      </c>
    </row>
    <row r="136" spans="1:4">
      <c r="A136" s="2">
        <f>+Get_Data!A135</f>
        <v>39640</v>
      </c>
      <c r="B136">
        <f>+ROUND(Get_Data!B135,5)</f>
        <v>44.649590000000003</v>
      </c>
      <c r="C136">
        <f>+ROUND(Get_Data!C135,5)</f>
        <v>15.123060000000001</v>
      </c>
      <c r="D136" s="4">
        <f t="shared" si="3"/>
        <v>2.952417698534556</v>
      </c>
    </row>
    <row r="137" spans="1:4">
      <c r="A137" s="2">
        <f>+Get_Data!A136</f>
        <v>39643</v>
      </c>
      <c r="B137">
        <f>+ROUND(Get_Data!B136,5)</f>
        <v>44.822240000000001</v>
      </c>
      <c r="C137">
        <f>+ROUND(Get_Data!C136,5)</f>
        <v>15.330640000000001</v>
      </c>
      <c r="D137" s="4">
        <f t="shared" si="3"/>
        <v>2.9237031200263002</v>
      </c>
    </row>
    <row r="138" spans="1:4">
      <c r="A138" s="2">
        <f>+Get_Data!A137</f>
        <v>39644</v>
      </c>
      <c r="B138">
        <f>+ROUND(Get_Data!B137,5)</f>
        <v>45.277999999999999</v>
      </c>
      <c r="C138">
        <f>+ROUND(Get_Data!C137,5)</f>
        <v>15.58033</v>
      </c>
      <c r="D138" s="4">
        <f t="shared" si="3"/>
        <v>2.9061001917160931</v>
      </c>
    </row>
    <row r="139" spans="1:4">
      <c r="A139" s="2">
        <f>+Get_Data!A138</f>
        <v>39645</v>
      </c>
      <c r="B139">
        <f>+ROUND(Get_Data!B138,5)</f>
        <v>45.637050000000002</v>
      </c>
      <c r="C139">
        <f>+ROUND(Get_Data!C138,5)</f>
        <v>15.74579</v>
      </c>
      <c r="D139" s="4">
        <f t="shared" si="3"/>
        <v>2.8983652138127081</v>
      </c>
    </row>
    <row r="140" spans="1:4">
      <c r="A140" s="2">
        <f>+Get_Data!A139</f>
        <v>39646</v>
      </c>
      <c r="B140">
        <f>+ROUND(Get_Data!B139,5)</f>
        <v>45.250369999999997</v>
      </c>
      <c r="C140">
        <f>+ROUND(Get_Data!C139,5)</f>
        <v>15.144119999999999</v>
      </c>
      <c r="D140" s="4">
        <f t="shared" si="3"/>
        <v>2.9879827946424089</v>
      </c>
    </row>
    <row r="141" spans="1:4">
      <c r="A141" s="2">
        <f>+Get_Data!A140</f>
        <v>39647</v>
      </c>
      <c r="B141">
        <f>+ROUND(Get_Data!B140,5)</f>
        <v>45.167499999999997</v>
      </c>
      <c r="C141">
        <f>+ROUND(Get_Data!C140,5)</f>
        <v>15.05086</v>
      </c>
      <c r="D141" s="4">
        <f t="shared" si="3"/>
        <v>3.000991305480218</v>
      </c>
    </row>
    <row r="142" spans="1:4">
      <c r="A142" s="2">
        <f>+Get_Data!A141</f>
        <v>39650</v>
      </c>
      <c r="B142">
        <f>+ROUND(Get_Data!B141,5)</f>
        <v>44.50459</v>
      </c>
      <c r="C142">
        <f>+ROUND(Get_Data!C141,5)</f>
        <v>14.9215</v>
      </c>
      <c r="D142" s="4">
        <f t="shared" si="3"/>
        <v>2.9825815099018196</v>
      </c>
    </row>
    <row r="143" spans="1:4">
      <c r="A143" s="2">
        <f>+Get_Data!A142</f>
        <v>39651</v>
      </c>
      <c r="B143">
        <f>+ROUND(Get_Data!B142,5)</f>
        <v>45.706110000000002</v>
      </c>
      <c r="C143">
        <f>+ROUND(Get_Data!C142,5)</f>
        <v>15.44797</v>
      </c>
      <c r="D143" s="4">
        <f t="shared" si="3"/>
        <v>2.9587130218404103</v>
      </c>
    </row>
    <row r="144" spans="1:4">
      <c r="A144" s="2">
        <f>+Get_Data!A143</f>
        <v>39652</v>
      </c>
      <c r="B144">
        <f>+ROUND(Get_Data!B143,5)</f>
        <v>46.762619999999998</v>
      </c>
      <c r="C144">
        <f>+ROUND(Get_Data!C143,5)</f>
        <v>15.79393</v>
      </c>
      <c r="D144" s="4">
        <f t="shared" si="3"/>
        <v>2.9607969644034133</v>
      </c>
    </row>
    <row r="145" spans="1:4">
      <c r="A145" s="2">
        <f>+Get_Data!A144</f>
        <v>39653</v>
      </c>
      <c r="B145">
        <f>+ROUND(Get_Data!B144,5)</f>
        <v>46.541640000000001</v>
      </c>
      <c r="C145">
        <f>+ROUND(Get_Data!C144,5)</f>
        <v>15.60139</v>
      </c>
      <c r="D145" s="4">
        <f t="shared" si="3"/>
        <v>2.9831726532059002</v>
      </c>
    </row>
    <row r="146" spans="1:4">
      <c r="A146" s="2">
        <f>+Get_Data!A145</f>
        <v>39654</v>
      </c>
      <c r="B146">
        <f>+ROUND(Get_Data!B145,5)</f>
        <v>46.417349999999999</v>
      </c>
      <c r="C146">
        <f>+ROUND(Get_Data!C145,5)</f>
        <v>15.66156</v>
      </c>
      <c r="D146" s="4">
        <f t="shared" si="3"/>
        <v>2.9637756392083547</v>
      </c>
    </row>
    <row r="147" spans="1:4">
      <c r="A147" s="2">
        <f>+Get_Data!A146</f>
        <v>39657</v>
      </c>
      <c r="B147">
        <f>+ROUND(Get_Data!B146,5)</f>
        <v>46.065179999999998</v>
      </c>
      <c r="C147">
        <f>+ROUND(Get_Data!C146,5)</f>
        <v>15.3878</v>
      </c>
      <c r="D147" s="4">
        <f t="shared" si="3"/>
        <v>2.9936170212765956</v>
      </c>
    </row>
    <row r="148" spans="1:4">
      <c r="A148" s="2">
        <f>+Get_Data!A147</f>
        <v>39658</v>
      </c>
      <c r="B148">
        <f>+ROUND(Get_Data!B147,5)</f>
        <v>46.251640000000002</v>
      </c>
      <c r="C148">
        <f>+ROUND(Get_Data!C147,5)</f>
        <v>15.514150000000001</v>
      </c>
      <c r="D148" s="4">
        <f t="shared" si="3"/>
        <v>2.9812551767257633</v>
      </c>
    </row>
    <row r="149" spans="1:4">
      <c r="A149" s="2">
        <f>+Get_Data!A148</f>
        <v>39659</v>
      </c>
      <c r="B149">
        <f>+ROUND(Get_Data!B148,5)</f>
        <v>46.203299999999999</v>
      </c>
      <c r="C149">
        <f>+ROUND(Get_Data!C148,5)</f>
        <v>15.435930000000001</v>
      </c>
      <c r="D149" s="4">
        <f t="shared" si="3"/>
        <v>2.9932307285664028</v>
      </c>
    </row>
    <row r="150" spans="1:4">
      <c r="A150" s="2">
        <f>+Get_Data!A149</f>
        <v>39660</v>
      </c>
      <c r="B150">
        <f>+ROUND(Get_Data!B149,5)</f>
        <v>45.961599999999997</v>
      </c>
      <c r="C150">
        <f>+ROUND(Get_Data!C149,5)</f>
        <v>15.493080000000001</v>
      </c>
      <c r="D150" s="4">
        <f t="shared" si="3"/>
        <v>2.9665889545526127</v>
      </c>
    </row>
    <row r="151" spans="1:4">
      <c r="A151" s="2">
        <f>+Get_Data!A150</f>
        <v>39661</v>
      </c>
      <c r="B151">
        <f>+ROUND(Get_Data!B150,5)</f>
        <v>46.00994</v>
      </c>
      <c r="C151">
        <f>+ROUND(Get_Data!C150,5)</f>
        <v>15.986459999999999</v>
      </c>
      <c r="D151" s="4">
        <f t="shared" si="3"/>
        <v>2.8780568055717151</v>
      </c>
    </row>
    <row r="152" spans="1:4">
      <c r="A152" s="2">
        <f>+Get_Data!A151</f>
        <v>39664</v>
      </c>
      <c r="B152">
        <f>+ROUND(Get_Data!B151,5)</f>
        <v>46.728090000000002</v>
      </c>
      <c r="C152">
        <f>+ROUND(Get_Data!C151,5)</f>
        <v>16.2151</v>
      </c>
      <c r="D152" s="4">
        <f t="shared" si="3"/>
        <v>2.8817639114159026</v>
      </c>
    </row>
    <row r="153" spans="1:4">
      <c r="A153" s="2">
        <f>+Get_Data!A152</f>
        <v>39665</v>
      </c>
      <c r="B153">
        <f>+ROUND(Get_Data!B152,5)</f>
        <v>47.315060000000003</v>
      </c>
      <c r="C153">
        <f>+ROUND(Get_Data!C152,5)</f>
        <v>16.518940000000001</v>
      </c>
      <c r="D153" s="4">
        <f t="shared" si="3"/>
        <v>2.8642915344447042</v>
      </c>
    </row>
    <row r="154" spans="1:4">
      <c r="A154" s="2">
        <f>+Get_Data!A153</f>
        <v>39666</v>
      </c>
      <c r="B154">
        <f>+ROUND(Get_Data!B153,5)</f>
        <v>47.328870000000002</v>
      </c>
      <c r="C154">
        <f>+ROUND(Get_Data!C153,5)</f>
        <v>16.654319999999998</v>
      </c>
      <c r="D154" s="4">
        <f t="shared" si="3"/>
        <v>2.8418374331704932</v>
      </c>
    </row>
    <row r="155" spans="1:4">
      <c r="A155" s="2">
        <f>+Get_Data!A154</f>
        <v>39667</v>
      </c>
      <c r="B155">
        <f>+ROUND(Get_Data!B154,5)</f>
        <v>46.921430000000001</v>
      </c>
      <c r="C155">
        <f>+ROUND(Get_Data!C154,5)</f>
        <v>16.248190000000001</v>
      </c>
      <c r="D155" s="4">
        <f t="shared" si="3"/>
        <v>2.8877942712388269</v>
      </c>
    </row>
    <row r="156" spans="1:4">
      <c r="A156" s="2">
        <f>+Get_Data!A155</f>
        <v>39668</v>
      </c>
      <c r="B156">
        <f>+ROUND(Get_Data!B155,5)</f>
        <v>47.888179999999998</v>
      </c>
      <c r="C156">
        <f>+ROUND(Get_Data!C155,5)</f>
        <v>16.669360000000001</v>
      </c>
      <c r="D156" s="4">
        <f t="shared" si="3"/>
        <v>2.8728265512293212</v>
      </c>
    </row>
    <row r="157" spans="1:4">
      <c r="A157" s="2">
        <f>+Get_Data!A156</f>
        <v>39671</v>
      </c>
      <c r="B157">
        <f>+ROUND(Get_Data!B156,5)</f>
        <v>47.832949999999997</v>
      </c>
      <c r="C157">
        <f>+ROUND(Get_Data!C156,5)</f>
        <v>16.651309999999999</v>
      </c>
      <c r="D157" s="4">
        <f t="shared" si="3"/>
        <v>2.8726238356021239</v>
      </c>
    </row>
    <row r="158" spans="1:4">
      <c r="A158" s="2">
        <f>+Get_Data!A157</f>
        <v>39672</v>
      </c>
      <c r="B158">
        <f>+ROUND(Get_Data!B157,5)</f>
        <v>48.07461</v>
      </c>
      <c r="C158">
        <f>+ROUND(Get_Data!C157,5)</f>
        <v>16.482839999999999</v>
      </c>
      <c r="D158" s="4">
        <f t="shared" si="3"/>
        <v>2.9166460391534468</v>
      </c>
    </row>
    <row r="159" spans="1:4">
      <c r="A159" s="2">
        <f>+Get_Data!A158</f>
        <v>39673</v>
      </c>
      <c r="B159">
        <f>+ROUND(Get_Data!B158,5)</f>
        <v>48.157499999999999</v>
      </c>
      <c r="C159">
        <f>+ROUND(Get_Data!C158,5)</f>
        <v>16.609190000000002</v>
      </c>
      <c r="D159" s="4">
        <f t="shared" si="3"/>
        <v>2.8994490399592028</v>
      </c>
    </row>
    <row r="160" spans="1:4">
      <c r="A160" s="2">
        <f>+Get_Data!A159</f>
        <v>39674</v>
      </c>
      <c r="B160">
        <f>+ROUND(Get_Data!B159,5)</f>
        <v>48.295589999999997</v>
      </c>
      <c r="C160">
        <f>+ROUND(Get_Data!C159,5)</f>
        <v>16.552029999999998</v>
      </c>
      <c r="D160" s="4">
        <f t="shared" si="3"/>
        <v>2.9178046439016847</v>
      </c>
    </row>
    <row r="161" spans="1:4">
      <c r="A161" s="2">
        <f>+Get_Data!A160</f>
        <v>39675</v>
      </c>
      <c r="B161">
        <f>+ROUND(Get_Data!B160,5)</f>
        <v>48.475140000000003</v>
      </c>
      <c r="C161">
        <f>+ROUND(Get_Data!C160,5)</f>
        <v>16.564070000000001</v>
      </c>
      <c r="D161" s="4">
        <f t="shared" si="3"/>
        <v>2.9265234933201802</v>
      </c>
    </row>
    <row r="162" spans="1:4">
      <c r="A162" s="2">
        <f>+Get_Data!A161</f>
        <v>39678</v>
      </c>
      <c r="B162">
        <f>+ROUND(Get_Data!B161,5)</f>
        <v>48.205840000000002</v>
      </c>
      <c r="C162">
        <f>+ROUND(Get_Data!C161,5)</f>
        <v>16.344460000000002</v>
      </c>
      <c r="D162" s="4">
        <f t="shared" si="3"/>
        <v>2.9493687769433801</v>
      </c>
    </row>
    <row r="163" spans="1:4">
      <c r="A163" s="2">
        <f>+Get_Data!A162</f>
        <v>39679</v>
      </c>
      <c r="B163">
        <f>+ROUND(Get_Data!B162,5)</f>
        <v>48.40607</v>
      </c>
      <c r="C163">
        <f>+ROUND(Get_Data!C162,5)</f>
        <v>16.344460000000002</v>
      </c>
      <c r="D163" s="4">
        <f t="shared" si="3"/>
        <v>2.9616194111032113</v>
      </c>
    </row>
    <row r="164" spans="1:4">
      <c r="A164" s="2">
        <f>+Get_Data!A163</f>
        <v>39680</v>
      </c>
      <c r="B164">
        <f>+ROUND(Get_Data!B163,5)</f>
        <v>48.233460000000001</v>
      </c>
      <c r="C164">
        <f>+ROUND(Get_Data!C163,5)</f>
        <v>16.350470000000001</v>
      </c>
      <c r="D164" s="4">
        <f t="shared" si="3"/>
        <v>2.9499739151229289</v>
      </c>
    </row>
    <row r="165" spans="1:4">
      <c r="A165" s="2">
        <f>+Get_Data!A164</f>
        <v>39681</v>
      </c>
      <c r="B165">
        <f>+ROUND(Get_Data!B164,5)</f>
        <v>47.915799999999997</v>
      </c>
      <c r="C165">
        <f>+ROUND(Get_Data!C164,5)</f>
        <v>16.097770000000001</v>
      </c>
      <c r="D165" s="4">
        <f t="shared" si="3"/>
        <v>2.9765489257207673</v>
      </c>
    </row>
    <row r="166" spans="1:4">
      <c r="A166" s="2">
        <f>+Get_Data!A165</f>
        <v>39682</v>
      </c>
      <c r="B166">
        <f>+ROUND(Get_Data!B165,5)</f>
        <v>48.267980000000001</v>
      </c>
      <c r="C166">
        <f>+ROUND(Get_Data!C165,5)</f>
        <v>16.356490000000001</v>
      </c>
      <c r="D166" s="4">
        <f t="shared" si="3"/>
        <v>2.9509986555795282</v>
      </c>
    </row>
    <row r="167" spans="1:4">
      <c r="A167" s="2">
        <f>+Get_Data!A166</f>
        <v>39685</v>
      </c>
      <c r="B167">
        <f>+ROUND(Get_Data!B166,5)</f>
        <v>47.68103</v>
      </c>
      <c r="C167">
        <f>+ROUND(Get_Data!C166,5)</f>
        <v>16.115829999999999</v>
      </c>
      <c r="D167" s="4">
        <f t="shared" si="3"/>
        <v>2.9586456297938115</v>
      </c>
    </row>
    <row r="168" spans="1:4">
      <c r="A168" s="2">
        <f>+Get_Data!A167</f>
        <v>39686</v>
      </c>
      <c r="B168">
        <f>+ROUND(Get_Data!B167,5)</f>
        <v>47.439329999999998</v>
      </c>
      <c r="C168">
        <f>+ROUND(Get_Data!C167,5)</f>
        <v>16.10078</v>
      </c>
      <c r="D168" s="4">
        <f t="shared" si="3"/>
        <v>2.9463994912047737</v>
      </c>
    </row>
    <row r="169" spans="1:4">
      <c r="A169" s="2">
        <f>+Get_Data!A168</f>
        <v>39687</v>
      </c>
      <c r="B169">
        <f>+ROUND(Get_Data!B168,5)</f>
        <v>47.784610000000001</v>
      </c>
      <c r="C169">
        <f>+ROUND(Get_Data!C168,5)</f>
        <v>16.182009999999998</v>
      </c>
      <c r="D169" s="4">
        <f t="shared" si="3"/>
        <v>2.9529465128250449</v>
      </c>
    </row>
    <row r="170" spans="1:4">
      <c r="A170" s="2">
        <f>+Get_Data!A169</f>
        <v>39688</v>
      </c>
      <c r="B170">
        <f>+ROUND(Get_Data!B169,5)</f>
        <v>47.777700000000003</v>
      </c>
      <c r="C170">
        <f>+ROUND(Get_Data!C169,5)</f>
        <v>15.98044</v>
      </c>
      <c r="D170" s="4">
        <f t="shared" si="3"/>
        <v>2.9897612331074743</v>
      </c>
    </row>
    <row r="171" spans="1:4">
      <c r="A171" s="2">
        <f>+Get_Data!A170</f>
        <v>39689</v>
      </c>
      <c r="B171">
        <f>+ROUND(Get_Data!B170,5)</f>
        <v>47.287439999999997</v>
      </c>
      <c r="C171">
        <f>+ROUND(Get_Data!C170,5)</f>
        <v>15.66456</v>
      </c>
      <c r="D171" s="4">
        <f t="shared" si="3"/>
        <v>3.0187531599993869</v>
      </c>
    </row>
    <row r="172" spans="1:4">
      <c r="A172" s="2">
        <f>+Get_Data!A171</f>
        <v>39693</v>
      </c>
      <c r="B172">
        <f>+ROUND(Get_Data!B171,5)</f>
        <v>47.964149999999997</v>
      </c>
      <c r="C172">
        <f>+ROUND(Get_Data!C171,5)</f>
        <v>15.63148</v>
      </c>
      <c r="D172" s="4">
        <f t="shared" si="3"/>
        <v>3.0684330594415883</v>
      </c>
    </row>
    <row r="173" spans="1:4">
      <c r="A173" s="2">
        <f>+Get_Data!A172</f>
        <v>39694</v>
      </c>
      <c r="B173">
        <f>+ROUND(Get_Data!B172,5)</f>
        <v>48.071829999999999</v>
      </c>
      <c r="C173">
        <f>+ROUND(Get_Data!C172,5)</f>
        <v>15.541230000000001</v>
      </c>
      <c r="D173" s="4">
        <f t="shared" si="3"/>
        <v>3.0931805268952326</v>
      </c>
    </row>
    <row r="174" spans="1:4">
      <c r="A174" s="2">
        <f>+Get_Data!A173</f>
        <v>39695</v>
      </c>
      <c r="B174">
        <f>+ROUND(Get_Data!B173,5)</f>
        <v>47.516019999999997</v>
      </c>
      <c r="C174">
        <f>+ROUND(Get_Data!C173,5)</f>
        <v>15.55626</v>
      </c>
      <c r="D174" s="4">
        <f t="shared" si="3"/>
        <v>3.0544629621772841</v>
      </c>
    </row>
    <row r="175" spans="1:4">
      <c r="A175" s="2">
        <f>+Get_Data!A174</f>
        <v>39696</v>
      </c>
      <c r="B175">
        <f>+ROUND(Get_Data!B174,5)</f>
        <v>47.884239999999998</v>
      </c>
      <c r="C175">
        <f>+ROUND(Get_Data!C174,5)</f>
        <v>15.622450000000001</v>
      </c>
      <c r="D175" s="4">
        <f t="shared" si="3"/>
        <v>3.0650915829463368</v>
      </c>
    </row>
    <row r="176" spans="1:4">
      <c r="A176" s="2">
        <f>+Get_Data!A175</f>
        <v>39699</v>
      </c>
      <c r="B176">
        <f>+ROUND(Get_Data!B175,5)</f>
        <v>48.870829999999998</v>
      </c>
      <c r="C176">
        <f>+ROUND(Get_Data!C175,5)</f>
        <v>16.058669999999999</v>
      </c>
      <c r="D176" s="4">
        <f t="shared" si="3"/>
        <v>3.0432675931443889</v>
      </c>
    </row>
    <row r="177" spans="1:4">
      <c r="A177" s="2">
        <f>+Get_Data!A176</f>
        <v>39700</v>
      </c>
      <c r="B177">
        <f>+ROUND(Get_Data!B176,5)</f>
        <v>49.329369999999997</v>
      </c>
      <c r="C177">
        <f>+ROUND(Get_Data!C176,5)</f>
        <v>16.20908</v>
      </c>
      <c r="D177" s="4">
        <f t="shared" si="3"/>
        <v>3.0433170790692623</v>
      </c>
    </row>
    <row r="178" spans="1:4">
      <c r="A178" s="2">
        <f>+Get_Data!A177</f>
        <v>39701</v>
      </c>
      <c r="B178">
        <f>+ROUND(Get_Data!B177,5)</f>
        <v>49.90605</v>
      </c>
      <c r="C178">
        <f>+ROUND(Get_Data!C177,5)</f>
        <v>16.188020000000002</v>
      </c>
      <c r="D178" s="4">
        <f t="shared" si="3"/>
        <v>3.0829001940941509</v>
      </c>
    </row>
    <row r="179" spans="1:4">
      <c r="A179" s="2">
        <f>+Get_Data!A178</f>
        <v>39702</v>
      </c>
      <c r="B179">
        <f>+ROUND(Get_Data!B178,5)</f>
        <v>50.454909999999998</v>
      </c>
      <c r="C179">
        <f>+ROUND(Get_Data!C178,5)</f>
        <v>16.523679999999999</v>
      </c>
      <c r="D179" s="4">
        <f t="shared" si="3"/>
        <v>3.0534911109389675</v>
      </c>
    </row>
    <row r="180" spans="1:4">
      <c r="A180" s="2">
        <f>+Get_Data!A179</f>
        <v>39703</v>
      </c>
      <c r="B180">
        <f>+ROUND(Get_Data!B179,5)</f>
        <v>50.823140000000002</v>
      </c>
      <c r="C180">
        <f>+ROUND(Get_Data!C179,5)</f>
        <v>16.630479999999999</v>
      </c>
      <c r="D180" s="4">
        <f t="shared" si="3"/>
        <v>3.0560236385239636</v>
      </c>
    </row>
    <row r="181" spans="1:4">
      <c r="A181" s="2">
        <f>+Get_Data!A180</f>
        <v>39706</v>
      </c>
      <c r="B181">
        <f>+ROUND(Get_Data!B180,5)</f>
        <v>50.26735</v>
      </c>
      <c r="C181">
        <f>+ROUND(Get_Data!C180,5)</f>
        <v>16.706769999999999</v>
      </c>
      <c r="D181" s="4">
        <f t="shared" si="3"/>
        <v>3.0088012224984246</v>
      </c>
    </row>
    <row r="182" spans="1:4">
      <c r="A182" s="2">
        <f>+Get_Data!A181</f>
        <v>39707</v>
      </c>
      <c r="B182">
        <f>+ROUND(Get_Data!B181,5)</f>
        <v>50.705039999999997</v>
      </c>
      <c r="C182">
        <f>+ROUND(Get_Data!C181,5)</f>
        <v>16.737279999999998</v>
      </c>
      <c r="D182" s="4">
        <f t="shared" si="3"/>
        <v>3.0294671535637812</v>
      </c>
    </row>
    <row r="183" spans="1:4">
      <c r="A183" s="2">
        <f>+Get_Data!A182</f>
        <v>39708</v>
      </c>
      <c r="B183">
        <f>+ROUND(Get_Data!B182,5)</f>
        <v>49.801819999999999</v>
      </c>
      <c r="C183">
        <f>+ROUND(Get_Data!C182,5)</f>
        <v>16.069019999999998</v>
      </c>
      <c r="D183" s="4">
        <f t="shared" si="3"/>
        <v>3.0992443845362074</v>
      </c>
    </row>
    <row r="184" spans="1:4">
      <c r="A184" s="2">
        <f>+Get_Data!A183</f>
        <v>39709</v>
      </c>
      <c r="B184">
        <f>+ROUND(Get_Data!B183,5)</f>
        <v>50.878749999999997</v>
      </c>
      <c r="C184">
        <f>+ROUND(Get_Data!C183,5)</f>
        <v>16.29177</v>
      </c>
      <c r="D184" s="4">
        <f t="shared" si="3"/>
        <v>3.1229725192535862</v>
      </c>
    </row>
    <row r="185" spans="1:4">
      <c r="A185" s="2">
        <f>+Get_Data!A184</f>
        <v>39710</v>
      </c>
      <c r="B185">
        <f>+ROUND(Get_Data!B184,5)</f>
        <v>50.850940000000001</v>
      </c>
      <c r="C185">
        <f>+ROUND(Get_Data!C184,5)</f>
        <v>16.087319999999998</v>
      </c>
      <c r="D185" s="4">
        <f t="shared" si="3"/>
        <v>3.1609329583796435</v>
      </c>
    </row>
    <row r="186" spans="1:4">
      <c r="A186" s="2">
        <f>+Get_Data!A185</f>
        <v>39713</v>
      </c>
      <c r="B186">
        <f>+ROUND(Get_Data!B185,5)</f>
        <v>49.384979999999999</v>
      </c>
      <c r="C186">
        <f>+ROUND(Get_Data!C185,5)</f>
        <v>15.678430000000001</v>
      </c>
      <c r="D186" s="4">
        <f t="shared" si="3"/>
        <v>3.1498676844556499</v>
      </c>
    </row>
    <row r="187" spans="1:4">
      <c r="A187" s="2">
        <f>+Get_Data!A186</f>
        <v>39714</v>
      </c>
      <c r="B187">
        <f>+ROUND(Get_Data!B186,5)</f>
        <v>49.15569</v>
      </c>
      <c r="C187">
        <f>+ROUND(Get_Data!C186,5)</f>
        <v>15.464829999999999</v>
      </c>
      <c r="D187" s="4">
        <f t="shared" si="3"/>
        <v>3.1785470645328791</v>
      </c>
    </row>
    <row r="188" spans="1:4">
      <c r="A188" s="2">
        <f>+Get_Data!A187</f>
        <v>39715</v>
      </c>
      <c r="B188">
        <f>+ROUND(Get_Data!B187,5)</f>
        <v>48.704070000000002</v>
      </c>
      <c r="C188">
        <f>+ROUND(Get_Data!C187,5)</f>
        <v>15.315300000000001</v>
      </c>
      <c r="D188" s="4">
        <f t="shared" si="3"/>
        <v>3.1800924565630448</v>
      </c>
    </row>
    <row r="189" spans="1:4">
      <c r="A189" s="2">
        <f>+Get_Data!A188</f>
        <v>39716</v>
      </c>
      <c r="B189">
        <f>+ROUND(Get_Data!B188,5)</f>
        <v>49.537799999999997</v>
      </c>
      <c r="C189">
        <f>+ROUND(Get_Data!C188,5)</f>
        <v>15.70284</v>
      </c>
      <c r="D189" s="4">
        <f t="shared" si="3"/>
        <v>3.154703225658543</v>
      </c>
    </row>
    <row r="190" spans="1:4">
      <c r="A190" s="2">
        <f>+Get_Data!A189</f>
        <v>39717</v>
      </c>
      <c r="B190">
        <f>+ROUND(Get_Data!B189,5)</f>
        <v>49.822670000000002</v>
      </c>
      <c r="C190">
        <f>+ROUND(Get_Data!C189,5)</f>
        <v>16.014089999999999</v>
      </c>
      <c r="D190" s="4">
        <f t="shared" si="3"/>
        <v>3.1111770946710058</v>
      </c>
    </row>
    <row r="191" spans="1:4">
      <c r="A191" s="2">
        <f>+Get_Data!A190</f>
        <v>39720</v>
      </c>
      <c r="B191">
        <f>+ROUND(Get_Data!B190,5)</f>
        <v>48.398380000000003</v>
      </c>
      <c r="C191">
        <f>+ROUND(Get_Data!C190,5)</f>
        <v>15.571630000000001</v>
      </c>
      <c r="D191" s="4">
        <f t="shared" si="3"/>
        <v>3.1081126381759647</v>
      </c>
    </row>
    <row r="192" spans="1:4">
      <c r="A192" s="2">
        <f>+Get_Data!A191</f>
        <v>39721</v>
      </c>
      <c r="B192">
        <f>+ROUND(Get_Data!B191,5)</f>
        <v>49.516979999999997</v>
      </c>
      <c r="C192">
        <f>+ROUND(Get_Data!C191,5)</f>
        <v>16.136150000000001</v>
      </c>
      <c r="D192" s="4">
        <f t="shared" si="3"/>
        <v>3.0686985433328271</v>
      </c>
    </row>
    <row r="193" spans="1:4">
      <c r="A193" s="2">
        <f>+Get_Data!A192</f>
        <v>39722</v>
      </c>
      <c r="B193">
        <f>+ROUND(Get_Data!B192,5)</f>
        <v>49.774050000000003</v>
      </c>
      <c r="C193">
        <f>+ROUND(Get_Data!C192,5)</f>
        <v>16.526730000000001</v>
      </c>
      <c r="D193" s="4">
        <f t="shared" si="3"/>
        <v>3.0117300881662614</v>
      </c>
    </row>
    <row r="194" spans="1:4">
      <c r="A194" s="2">
        <f>+Get_Data!A193</f>
        <v>39723</v>
      </c>
      <c r="B194">
        <f>+ROUND(Get_Data!B193,5)</f>
        <v>49.266849999999998</v>
      </c>
      <c r="C194">
        <f>+ROUND(Get_Data!C193,5)</f>
        <v>16.35585</v>
      </c>
      <c r="D194" s="4">
        <f t="shared" si="3"/>
        <v>3.0121852425890427</v>
      </c>
    </row>
    <row r="195" spans="1:4">
      <c r="A195" s="2">
        <f>+Get_Data!A194</f>
        <v>39724</v>
      </c>
      <c r="B195">
        <f>+ROUND(Get_Data!B194,5)</f>
        <v>47.939830000000001</v>
      </c>
      <c r="C195">
        <f>+ROUND(Get_Data!C194,5)</f>
        <v>16.04156</v>
      </c>
      <c r="D195" s="4">
        <f t="shared" si="3"/>
        <v>2.9884768064951288</v>
      </c>
    </row>
    <row r="196" spans="1:4">
      <c r="A196" s="2">
        <f>+Get_Data!A195</f>
        <v>39727</v>
      </c>
      <c r="B196">
        <f>+ROUND(Get_Data!B195,5)</f>
        <v>46.300159999999998</v>
      </c>
      <c r="C196">
        <f>+ROUND(Get_Data!C195,5)</f>
        <v>15.53806</v>
      </c>
      <c r="D196" s="4">
        <f t="shared" ref="D196:D259" si="4">IFERROR(B196/C196,"")</f>
        <v>2.979790269827765</v>
      </c>
    </row>
    <row r="197" spans="1:4">
      <c r="A197" s="2">
        <f>+Get_Data!A196</f>
        <v>39728</v>
      </c>
      <c r="B197">
        <f>+ROUND(Get_Data!B196,5)</f>
        <v>45.244070000000001</v>
      </c>
      <c r="C197">
        <f>+ROUND(Get_Data!C196,5)</f>
        <v>15.04372</v>
      </c>
      <c r="D197" s="4">
        <f t="shared" si="4"/>
        <v>3.0075054574267535</v>
      </c>
    </row>
    <row r="198" spans="1:4">
      <c r="A198" s="2">
        <f>+Get_Data!A197</f>
        <v>39729</v>
      </c>
      <c r="B198">
        <f>+ROUND(Get_Data!B197,5)</f>
        <v>44.194949999999999</v>
      </c>
      <c r="C198">
        <f>+ROUND(Get_Data!C197,5)</f>
        <v>14.466989999999999</v>
      </c>
      <c r="D198" s="4">
        <f t="shared" si="4"/>
        <v>3.054882183508802</v>
      </c>
    </row>
    <row r="199" spans="1:4">
      <c r="A199" s="2">
        <f>+Get_Data!A198</f>
        <v>39730</v>
      </c>
      <c r="B199">
        <f>+ROUND(Get_Data!B198,5)</f>
        <v>41.35331</v>
      </c>
      <c r="C199">
        <f>+ROUND(Get_Data!C198,5)</f>
        <v>13.21284</v>
      </c>
      <c r="D199" s="4">
        <f t="shared" si="4"/>
        <v>3.1297820907541452</v>
      </c>
    </row>
    <row r="200" spans="1:4">
      <c r="A200" s="2">
        <f>+Get_Data!A199</f>
        <v>39731</v>
      </c>
      <c r="B200">
        <f>+ROUND(Get_Data!B199,5)</f>
        <v>40.158290000000001</v>
      </c>
      <c r="C200">
        <f>+ROUND(Get_Data!C199,5)</f>
        <v>12.66358</v>
      </c>
      <c r="D200" s="4">
        <f t="shared" si="4"/>
        <v>3.1711640784043693</v>
      </c>
    </row>
    <row r="201" spans="1:4">
      <c r="A201" s="2">
        <f>+Get_Data!A200</f>
        <v>39734</v>
      </c>
      <c r="B201">
        <f>+ROUND(Get_Data!B200,5)</f>
        <v>42.916559999999997</v>
      </c>
      <c r="C201">
        <f>+ROUND(Get_Data!C200,5)</f>
        <v>14.42122</v>
      </c>
      <c r="D201" s="4">
        <f t="shared" si="4"/>
        <v>2.9759313012352631</v>
      </c>
    </row>
    <row r="202" spans="1:4">
      <c r="A202" s="2">
        <f>+Get_Data!A201</f>
        <v>39735</v>
      </c>
      <c r="B202">
        <f>+ROUND(Get_Data!B201,5)</f>
        <v>37.796030000000002</v>
      </c>
      <c r="C202">
        <f>+ROUND(Get_Data!C201,5)</f>
        <v>13.344060000000001</v>
      </c>
      <c r="D202" s="4">
        <f t="shared" si="4"/>
        <v>2.8324235652417631</v>
      </c>
    </row>
    <row r="203" spans="1:4">
      <c r="A203" s="2">
        <f>+Get_Data!A202</f>
        <v>39736</v>
      </c>
      <c r="B203">
        <f>+ROUND(Get_Data!B202,5)</f>
        <v>35.607489999999999</v>
      </c>
      <c r="C203">
        <f>+ROUND(Get_Data!C202,5)</f>
        <v>13.49053</v>
      </c>
      <c r="D203" s="4">
        <f t="shared" si="4"/>
        <v>2.6394433724990791</v>
      </c>
    </row>
    <row r="204" spans="1:4">
      <c r="A204" s="2">
        <f>+Get_Data!A203</f>
        <v>39737</v>
      </c>
      <c r="B204">
        <f>+ROUND(Get_Data!B203,5)</f>
        <v>36.878929999999997</v>
      </c>
      <c r="C204">
        <f>+ROUND(Get_Data!C203,5)</f>
        <v>13.969609999999999</v>
      </c>
      <c r="D204" s="4">
        <f t="shared" si="4"/>
        <v>2.6399398408402237</v>
      </c>
    </row>
    <row r="205" spans="1:4">
      <c r="A205" s="2">
        <f>+Get_Data!A204</f>
        <v>39738</v>
      </c>
      <c r="B205">
        <f>+ROUND(Get_Data!B204,5)</f>
        <v>37.434750000000001</v>
      </c>
      <c r="C205">
        <f>+ROUND(Get_Data!C204,5)</f>
        <v>13.48747</v>
      </c>
      <c r="D205" s="4">
        <f t="shared" si="4"/>
        <v>2.7755205386925792</v>
      </c>
    </row>
    <row r="206" spans="1:4">
      <c r="A206" s="2">
        <f>+Get_Data!A205</f>
        <v>39741</v>
      </c>
      <c r="B206">
        <f>+ROUND(Get_Data!B205,5)</f>
        <v>39.43571</v>
      </c>
      <c r="C206">
        <f>+ROUND(Get_Data!C205,5)</f>
        <v>14.177110000000001</v>
      </c>
      <c r="D206" s="4">
        <f t="shared" si="4"/>
        <v>2.7816466120387018</v>
      </c>
    </row>
    <row r="207" spans="1:4">
      <c r="A207" s="2">
        <f>+Get_Data!A206</f>
        <v>39742</v>
      </c>
      <c r="B207">
        <f>+ROUND(Get_Data!B206,5)</f>
        <v>38.212910000000001</v>
      </c>
      <c r="C207">
        <f>+ROUND(Get_Data!C206,5)</f>
        <v>14.04589</v>
      </c>
      <c r="D207" s="4">
        <f t="shared" si="4"/>
        <v>2.7205759122419439</v>
      </c>
    </row>
    <row r="208" spans="1:4">
      <c r="A208" s="2">
        <f>+Get_Data!A207</f>
        <v>39743</v>
      </c>
      <c r="B208">
        <f>+ROUND(Get_Data!B207,5)</f>
        <v>37.268009999999997</v>
      </c>
      <c r="C208">
        <f>+ROUND(Get_Data!C207,5)</f>
        <v>13.84755</v>
      </c>
      <c r="D208" s="4">
        <f t="shared" si="4"/>
        <v>2.6913071265314077</v>
      </c>
    </row>
    <row r="209" spans="1:4">
      <c r="A209" s="2">
        <f>+Get_Data!A208</f>
        <v>39744</v>
      </c>
      <c r="B209">
        <f>+ROUND(Get_Data!B208,5)</f>
        <v>37.156840000000003</v>
      </c>
      <c r="C209">
        <f>+ROUND(Get_Data!C208,5)</f>
        <v>13.139609999999999</v>
      </c>
      <c r="D209" s="4">
        <f t="shared" si="4"/>
        <v>2.827849532824795</v>
      </c>
    </row>
    <row r="210" spans="1:4">
      <c r="A210" s="2">
        <f>+Get_Data!A209</f>
        <v>39745</v>
      </c>
      <c r="B210">
        <f>+ROUND(Get_Data!B209,5)</f>
        <v>35.96181</v>
      </c>
      <c r="C210">
        <f>+ROUND(Get_Data!C209,5)</f>
        <v>12.697139999999999</v>
      </c>
      <c r="D210" s="4">
        <f t="shared" si="4"/>
        <v>2.8322764024024307</v>
      </c>
    </row>
    <row r="211" spans="1:4">
      <c r="A211" s="2">
        <f>+Get_Data!A210</f>
        <v>39748</v>
      </c>
      <c r="B211">
        <f>+ROUND(Get_Data!B210,5)</f>
        <v>35.774230000000003</v>
      </c>
      <c r="C211">
        <f>+ROUND(Get_Data!C210,5)</f>
        <v>12.514060000000001</v>
      </c>
      <c r="D211" s="4">
        <f t="shared" si="4"/>
        <v>2.8587229084725503</v>
      </c>
    </row>
    <row r="212" spans="1:4">
      <c r="A212" s="2">
        <f>+Get_Data!A211</f>
        <v>39749</v>
      </c>
      <c r="B212">
        <f>+ROUND(Get_Data!B211,5)</f>
        <v>38.789569999999998</v>
      </c>
      <c r="C212">
        <f>+ROUND(Get_Data!C211,5)</f>
        <v>13.807880000000001</v>
      </c>
      <c r="D212" s="4">
        <f t="shared" si="4"/>
        <v>2.8092342923026559</v>
      </c>
    </row>
    <row r="213" spans="1:4">
      <c r="A213" s="2">
        <f>+Get_Data!A212</f>
        <v>39750</v>
      </c>
      <c r="B213">
        <f>+ROUND(Get_Data!B212,5)</f>
        <v>38.212910000000001</v>
      </c>
      <c r="C213">
        <f>+ROUND(Get_Data!C212,5)</f>
        <v>13.38068</v>
      </c>
      <c r="D213" s="4">
        <f t="shared" si="4"/>
        <v>2.8558272075858628</v>
      </c>
    </row>
    <row r="214" spans="1:4">
      <c r="A214" s="2">
        <f>+Get_Data!A213</f>
        <v>39751</v>
      </c>
      <c r="B214">
        <f>+ROUND(Get_Data!B213,5)</f>
        <v>39.658050000000003</v>
      </c>
      <c r="C214">
        <f>+ROUND(Get_Data!C213,5)</f>
        <v>13.627840000000001</v>
      </c>
      <c r="D214" s="4">
        <f t="shared" si="4"/>
        <v>2.9100759914997534</v>
      </c>
    </row>
    <row r="215" spans="1:4">
      <c r="A215" s="2">
        <f>+Get_Data!A214</f>
        <v>39752</v>
      </c>
      <c r="B215">
        <f>+ROUND(Get_Data!B214,5)</f>
        <v>39.609409999999997</v>
      </c>
      <c r="C215">
        <f>+ROUND(Get_Data!C214,5)</f>
        <v>13.44476</v>
      </c>
      <c r="D215" s="4">
        <f t="shared" si="4"/>
        <v>2.9460853150223576</v>
      </c>
    </row>
    <row r="216" spans="1:4">
      <c r="A216" s="2">
        <f>+Get_Data!A215</f>
        <v>39755</v>
      </c>
      <c r="B216">
        <f>+ROUND(Get_Data!B215,5)</f>
        <v>39.929009999999998</v>
      </c>
      <c r="C216">
        <f>+ROUND(Get_Data!C215,5)</f>
        <v>13.86891</v>
      </c>
      <c r="D216" s="4">
        <f t="shared" si="4"/>
        <v>2.8790301472862683</v>
      </c>
    </row>
    <row r="217" spans="1:4">
      <c r="A217" s="2">
        <f>+Get_Data!A216</f>
        <v>39756</v>
      </c>
      <c r="B217">
        <f>+ROUND(Get_Data!B216,5)</f>
        <v>40.533470000000001</v>
      </c>
      <c r="C217">
        <f>+ROUND(Get_Data!C216,5)</f>
        <v>14.04589</v>
      </c>
      <c r="D217" s="4">
        <f t="shared" si="4"/>
        <v>2.8857886541899447</v>
      </c>
    </row>
    <row r="218" spans="1:4">
      <c r="A218" s="2">
        <f>+Get_Data!A217</f>
        <v>39757</v>
      </c>
      <c r="B218">
        <f>+ROUND(Get_Data!B217,5)</f>
        <v>39.609409999999997</v>
      </c>
      <c r="C218">
        <f>+ROUND(Get_Data!C217,5)</f>
        <v>13.6492</v>
      </c>
      <c r="D218" s="4">
        <f t="shared" si="4"/>
        <v>2.9019583565337159</v>
      </c>
    </row>
    <row r="219" spans="1:4">
      <c r="A219" s="2">
        <f>+Get_Data!A218</f>
        <v>39758</v>
      </c>
      <c r="B219">
        <f>+ROUND(Get_Data!B218,5)</f>
        <v>38.108669999999996</v>
      </c>
      <c r="C219">
        <f>+ROUND(Get_Data!C218,5)</f>
        <v>13.57596</v>
      </c>
      <c r="D219" s="4">
        <f t="shared" si="4"/>
        <v>2.8070699972598621</v>
      </c>
    </row>
    <row r="220" spans="1:4">
      <c r="A220" s="2">
        <f>+Get_Data!A219</f>
        <v>39759</v>
      </c>
      <c r="B220">
        <f>+ROUND(Get_Data!B219,5)</f>
        <v>38.46302</v>
      </c>
      <c r="C220">
        <f>+ROUND(Get_Data!C219,5)</f>
        <v>14.113020000000001</v>
      </c>
      <c r="D220" s="4">
        <f t="shared" si="4"/>
        <v>2.7253571524733897</v>
      </c>
    </row>
    <row r="221" spans="1:4">
      <c r="A221" s="2">
        <f>+Get_Data!A220</f>
        <v>39762</v>
      </c>
      <c r="B221">
        <f>+ROUND(Get_Data!B220,5)</f>
        <v>37.941929999999999</v>
      </c>
      <c r="C221">
        <f>+ROUND(Get_Data!C220,5)</f>
        <v>14.00623</v>
      </c>
      <c r="D221" s="4">
        <f t="shared" si="4"/>
        <v>2.7089323822327636</v>
      </c>
    </row>
    <row r="222" spans="1:4">
      <c r="A222" s="2">
        <f>+Get_Data!A221</f>
        <v>39763</v>
      </c>
      <c r="B222">
        <f>+ROUND(Get_Data!B221,5)</f>
        <v>38.268479999999997</v>
      </c>
      <c r="C222">
        <f>+ROUND(Get_Data!C221,5)</f>
        <v>13.56071</v>
      </c>
      <c r="D222" s="4">
        <f t="shared" si="4"/>
        <v>2.8220115318445713</v>
      </c>
    </row>
    <row r="223" spans="1:4">
      <c r="A223" s="2">
        <f>+Get_Data!A222</f>
        <v>39764</v>
      </c>
      <c r="B223">
        <f>+ROUND(Get_Data!B222,5)</f>
        <v>36.89282</v>
      </c>
      <c r="C223">
        <f>+ROUND(Get_Data!C222,5)</f>
        <v>13.37457</v>
      </c>
      <c r="D223" s="4">
        <f t="shared" si="4"/>
        <v>2.7584303644902231</v>
      </c>
    </row>
    <row r="224" spans="1:4">
      <c r="A224" s="2">
        <f>+Get_Data!A223</f>
        <v>39765</v>
      </c>
      <c r="B224">
        <f>+ROUND(Get_Data!B223,5)</f>
        <v>38.622839999999997</v>
      </c>
      <c r="C224">
        <f>+ROUND(Get_Data!C223,5)</f>
        <v>14.12218</v>
      </c>
      <c r="D224" s="4">
        <f t="shared" si="4"/>
        <v>2.7349063671472815</v>
      </c>
    </row>
    <row r="225" spans="1:4">
      <c r="A225" s="2">
        <f>+Get_Data!A224</f>
        <v>39766</v>
      </c>
      <c r="B225">
        <f>+ROUND(Get_Data!B224,5)</f>
        <v>37.184629999999999</v>
      </c>
      <c r="C225">
        <f>+ROUND(Get_Data!C224,5)</f>
        <v>13.737690000000001</v>
      </c>
      <c r="D225" s="4">
        <f t="shared" si="4"/>
        <v>2.7067600156940501</v>
      </c>
    </row>
    <row r="226" spans="1:4">
      <c r="A226" s="2">
        <f>+Get_Data!A225</f>
        <v>39769</v>
      </c>
      <c r="B226">
        <f>+ROUND(Get_Data!B225,5)</f>
        <v>36.802500000000002</v>
      </c>
      <c r="C226">
        <f>+ROUND(Get_Data!C225,5)</f>
        <v>13.417289999999999</v>
      </c>
      <c r="D226" s="4">
        <f t="shared" si="4"/>
        <v>2.7429160434036981</v>
      </c>
    </row>
    <row r="227" spans="1:4">
      <c r="A227" s="2">
        <f>+Get_Data!A226</f>
        <v>39770</v>
      </c>
      <c r="B227">
        <f>+ROUND(Get_Data!B226,5)</f>
        <v>36.920610000000003</v>
      </c>
      <c r="C227">
        <f>+ROUND(Get_Data!C226,5)</f>
        <v>13.270820000000001</v>
      </c>
      <c r="D227" s="4">
        <f t="shared" si="4"/>
        <v>2.7820895769816789</v>
      </c>
    </row>
    <row r="228" spans="1:4">
      <c r="A228" s="2">
        <f>+Get_Data!A227</f>
        <v>39771</v>
      </c>
      <c r="B228">
        <f>+ROUND(Get_Data!B227,5)</f>
        <v>36.198050000000002</v>
      </c>
      <c r="C228">
        <f>+ROUND(Get_Data!C227,5)</f>
        <v>12.89855</v>
      </c>
      <c r="D228" s="4">
        <f t="shared" si="4"/>
        <v>2.8063658318183053</v>
      </c>
    </row>
    <row r="229" spans="1:4">
      <c r="A229" s="2">
        <f>+Get_Data!A228</f>
        <v>39772</v>
      </c>
      <c r="B229">
        <f>+ROUND(Get_Data!B228,5)</f>
        <v>34.940489999999997</v>
      </c>
      <c r="C229">
        <f>+ROUND(Get_Data!C228,5)</f>
        <v>12.53237</v>
      </c>
      <c r="D229" s="4">
        <f t="shared" si="4"/>
        <v>2.7880193451039186</v>
      </c>
    </row>
    <row r="230" spans="1:4">
      <c r="A230" s="2">
        <f>+Get_Data!A229</f>
        <v>39773</v>
      </c>
      <c r="B230">
        <f>+ROUND(Get_Data!B229,5)</f>
        <v>37.928040000000003</v>
      </c>
      <c r="C230">
        <f>+ROUND(Get_Data!C229,5)</f>
        <v>13.426450000000001</v>
      </c>
      <c r="D230" s="4">
        <f t="shared" si="4"/>
        <v>2.8248747807499375</v>
      </c>
    </row>
    <row r="231" spans="1:4">
      <c r="A231" s="2">
        <f>+Get_Data!A230</f>
        <v>39776</v>
      </c>
      <c r="B231">
        <f>+ROUND(Get_Data!B230,5)</f>
        <v>38.671460000000003</v>
      </c>
      <c r="C231">
        <f>+ROUND(Get_Data!C230,5)</f>
        <v>13.801780000000001</v>
      </c>
      <c r="D231" s="4">
        <f t="shared" si="4"/>
        <v>2.8019183032913149</v>
      </c>
    </row>
    <row r="232" spans="1:4">
      <c r="A232" s="2">
        <f>+Get_Data!A231</f>
        <v>39777</v>
      </c>
      <c r="B232">
        <f>+ROUND(Get_Data!B231,5)</f>
        <v>37.518129999999999</v>
      </c>
      <c r="C232">
        <f>+ROUND(Get_Data!C231,5)</f>
        <v>13.75296</v>
      </c>
      <c r="D232" s="4">
        <f t="shared" si="4"/>
        <v>2.7280040078644889</v>
      </c>
    </row>
    <row r="233" spans="1:4">
      <c r="A233" s="2">
        <f>+Get_Data!A232</f>
        <v>39778</v>
      </c>
      <c r="B233">
        <f>+ROUND(Get_Data!B232,5)</f>
        <v>38.164259999999999</v>
      </c>
      <c r="C233">
        <f>+ROUND(Get_Data!C232,5)</f>
        <v>14.08506</v>
      </c>
      <c r="D233" s="4">
        <f t="shared" si="4"/>
        <v>2.7095560828281879</v>
      </c>
    </row>
    <row r="234" spans="1:4">
      <c r="A234" s="2">
        <f>+Get_Data!A233</f>
        <v>39780</v>
      </c>
      <c r="B234">
        <f>+ROUND(Get_Data!B233,5)</f>
        <v>39.394030000000001</v>
      </c>
      <c r="C234">
        <f>+ROUND(Get_Data!C233,5)</f>
        <v>14.54753</v>
      </c>
      <c r="D234" s="4">
        <f t="shared" si="4"/>
        <v>2.7079531714318512</v>
      </c>
    </row>
    <row r="235" spans="1:4">
      <c r="A235" s="2">
        <f>+Get_Data!A234</f>
        <v>39783</v>
      </c>
      <c r="B235">
        <f>+ROUND(Get_Data!B234,5)</f>
        <v>37.268009999999997</v>
      </c>
      <c r="C235">
        <f>+ROUND(Get_Data!C234,5)</f>
        <v>13.75916</v>
      </c>
      <c r="D235" s="4">
        <f t="shared" si="4"/>
        <v>2.7085963096584385</v>
      </c>
    </row>
    <row r="236" spans="1:4">
      <c r="A236" s="2">
        <f>+Get_Data!A235</f>
        <v>39784</v>
      </c>
      <c r="B236">
        <f>+ROUND(Get_Data!B235,5)</f>
        <v>37.830770000000001</v>
      </c>
      <c r="C236">
        <f>+ROUND(Get_Data!C235,5)</f>
        <v>13.635009999999999</v>
      </c>
      <c r="D236" s="4">
        <f t="shared" si="4"/>
        <v>2.774531885198471</v>
      </c>
    </row>
    <row r="237" spans="1:4">
      <c r="A237" s="2">
        <f>+Get_Data!A236</f>
        <v>39785</v>
      </c>
      <c r="B237">
        <f>+ROUND(Get_Data!B236,5)</f>
        <v>37.869289999999999</v>
      </c>
      <c r="C237">
        <f>+ROUND(Get_Data!C236,5)</f>
        <v>14.32095</v>
      </c>
      <c r="D237" s="4">
        <f t="shared" si="4"/>
        <v>2.6443280648281013</v>
      </c>
    </row>
    <row r="238" spans="1:4">
      <c r="A238" s="2">
        <f>+Get_Data!A237</f>
        <v>39786</v>
      </c>
      <c r="B238">
        <f>+ROUND(Get_Data!B237,5)</f>
        <v>36.643859999999997</v>
      </c>
      <c r="C238">
        <f>+ROUND(Get_Data!C237,5)</f>
        <v>13.889519999999999</v>
      </c>
      <c r="D238" s="4">
        <f t="shared" si="4"/>
        <v>2.6382380384635322</v>
      </c>
    </row>
    <row r="239" spans="1:4">
      <c r="A239" s="2">
        <f>+Get_Data!A238</f>
        <v>39787</v>
      </c>
      <c r="B239">
        <f>+ROUND(Get_Data!B238,5)</f>
        <v>37.372109999999999</v>
      </c>
      <c r="C239">
        <f>+ROUND(Get_Data!C238,5)</f>
        <v>14.27129</v>
      </c>
      <c r="D239" s="4">
        <f t="shared" si="4"/>
        <v>2.6186917931034963</v>
      </c>
    </row>
    <row r="240" spans="1:4">
      <c r="A240" s="2">
        <f>+Get_Data!A239</f>
        <v>39790</v>
      </c>
      <c r="B240">
        <f>+ROUND(Get_Data!B239,5)</f>
        <v>37.533169999999998</v>
      </c>
      <c r="C240">
        <f>+ROUND(Get_Data!C239,5)</f>
        <v>14.27129</v>
      </c>
      <c r="D240" s="4">
        <f t="shared" si="4"/>
        <v>2.6299773881688338</v>
      </c>
    </row>
    <row r="241" spans="1:4">
      <c r="A241" s="2">
        <f>+Get_Data!A240</f>
        <v>39791</v>
      </c>
      <c r="B241">
        <f>+ROUND(Get_Data!B240,5)</f>
        <v>36.601840000000003</v>
      </c>
      <c r="C241">
        <f>+ROUND(Get_Data!C240,5)</f>
        <v>13.914350000000001</v>
      </c>
      <c r="D241" s="4">
        <f t="shared" si="4"/>
        <v>2.6305102286488409</v>
      </c>
    </row>
    <row r="242" spans="1:4">
      <c r="A242" s="2">
        <f>+Get_Data!A241</f>
        <v>39792</v>
      </c>
      <c r="B242">
        <f>+ROUND(Get_Data!B241,5)</f>
        <v>37.12003</v>
      </c>
      <c r="C242">
        <f>+ROUND(Get_Data!C241,5)</f>
        <v>14.063330000000001</v>
      </c>
      <c r="D242" s="4">
        <f t="shared" si="4"/>
        <v>2.6394907891658659</v>
      </c>
    </row>
    <row r="243" spans="1:4">
      <c r="A243" s="2">
        <f>+Get_Data!A242</f>
        <v>39793</v>
      </c>
      <c r="B243">
        <f>+ROUND(Get_Data!B242,5)</f>
        <v>36.909950000000002</v>
      </c>
      <c r="C243">
        <f>+ROUND(Get_Data!C242,5)</f>
        <v>13.725020000000001</v>
      </c>
      <c r="D243" s="4">
        <f t="shared" si="4"/>
        <v>2.6892456258715836</v>
      </c>
    </row>
    <row r="244" spans="1:4">
      <c r="A244" s="2">
        <f>+Get_Data!A243</f>
        <v>39794</v>
      </c>
      <c r="B244">
        <f>+ROUND(Get_Data!B243,5)</f>
        <v>36.433779999999999</v>
      </c>
      <c r="C244">
        <f>+ROUND(Get_Data!C243,5)</f>
        <v>13.83366</v>
      </c>
      <c r="D244" s="4">
        <f t="shared" si="4"/>
        <v>2.633705035399164</v>
      </c>
    </row>
    <row r="245" spans="1:4">
      <c r="A245" s="2">
        <f>+Get_Data!A244</f>
        <v>39797</v>
      </c>
      <c r="B245">
        <f>+ROUND(Get_Data!B244,5)</f>
        <v>36.706870000000002</v>
      </c>
      <c r="C245">
        <f>+ROUND(Get_Data!C244,5)</f>
        <v>13.957800000000001</v>
      </c>
      <c r="D245" s="4">
        <f t="shared" si="4"/>
        <v>2.6298463941308801</v>
      </c>
    </row>
    <row r="246" spans="1:4">
      <c r="A246" s="2">
        <f>+Get_Data!A245</f>
        <v>39798</v>
      </c>
      <c r="B246">
        <f>+ROUND(Get_Data!B245,5)</f>
        <v>37.960329999999999</v>
      </c>
      <c r="C246">
        <f>+ROUND(Get_Data!C245,5)</f>
        <v>14.42027</v>
      </c>
      <c r="D246" s="4">
        <f t="shared" si="4"/>
        <v>2.6324285190221817</v>
      </c>
    </row>
    <row r="247" spans="1:4">
      <c r="A247" s="2">
        <f>+Get_Data!A246</f>
        <v>39799</v>
      </c>
      <c r="B247">
        <f>+ROUND(Get_Data!B246,5)</f>
        <v>38.044350000000001</v>
      </c>
      <c r="C247">
        <f>+ROUND(Get_Data!C246,5)</f>
        <v>14.116099999999999</v>
      </c>
      <c r="D247" s="4">
        <f t="shared" si="4"/>
        <v>2.6951034634212001</v>
      </c>
    </row>
    <row r="248" spans="1:4">
      <c r="A248" s="2">
        <f>+Get_Data!A247</f>
        <v>39800</v>
      </c>
      <c r="B248">
        <f>+ROUND(Get_Data!B247,5)</f>
        <v>38.31044</v>
      </c>
      <c r="C248">
        <f>+ROUND(Get_Data!C247,5)</f>
        <v>14.02299</v>
      </c>
      <c r="D248" s="4">
        <f t="shared" si="4"/>
        <v>2.7319737088880474</v>
      </c>
    </row>
    <row r="249" spans="1:4">
      <c r="A249" s="2">
        <f>+Get_Data!A248</f>
        <v>39801</v>
      </c>
      <c r="B249">
        <f>+ROUND(Get_Data!B248,5)</f>
        <v>37.876300000000001</v>
      </c>
      <c r="C249">
        <f>+ROUND(Get_Data!C248,5)</f>
        <v>13.7902</v>
      </c>
      <c r="D249" s="4">
        <f t="shared" si="4"/>
        <v>2.7466099113863467</v>
      </c>
    </row>
    <row r="250" spans="1:4">
      <c r="A250" s="2">
        <f>+Get_Data!A249</f>
        <v>39804</v>
      </c>
      <c r="B250">
        <f>+ROUND(Get_Data!B249,5)</f>
        <v>37.638199999999998</v>
      </c>
      <c r="C250">
        <f>+ROUND(Get_Data!C249,5)</f>
        <v>13.86159</v>
      </c>
      <c r="D250" s="4">
        <f t="shared" si="4"/>
        <v>2.7152873515953075</v>
      </c>
    </row>
    <row r="251" spans="1:4">
      <c r="A251" s="2">
        <f>+Get_Data!A250</f>
        <v>39805</v>
      </c>
      <c r="B251">
        <f>+ROUND(Get_Data!B250,5)</f>
        <v>37.932310000000001</v>
      </c>
      <c r="C251">
        <f>+ROUND(Get_Data!C250,5)</f>
        <v>13.64742</v>
      </c>
      <c r="D251" s="4">
        <f t="shared" si="4"/>
        <v>2.7794491559576828</v>
      </c>
    </row>
    <row r="252" spans="1:4">
      <c r="A252" s="2">
        <f>+Get_Data!A251</f>
        <v>39806</v>
      </c>
      <c r="B252">
        <f>+ROUND(Get_Data!B251,5)</f>
        <v>38.191400000000002</v>
      </c>
      <c r="C252">
        <f>+ROUND(Get_Data!C251,5)</f>
        <v>13.68777</v>
      </c>
      <c r="D252" s="4">
        <f t="shared" si="4"/>
        <v>2.7901842301558251</v>
      </c>
    </row>
    <row r="253" spans="1:4">
      <c r="A253" s="2">
        <f>+Get_Data!A252</f>
        <v>39808</v>
      </c>
      <c r="B253">
        <f>+ROUND(Get_Data!B252,5)</f>
        <v>38.205399999999997</v>
      </c>
      <c r="C253">
        <f>+ROUND(Get_Data!C252,5)</f>
        <v>13.83676</v>
      </c>
      <c r="D253" s="4">
        <f t="shared" si="4"/>
        <v>2.7611521772438055</v>
      </c>
    </row>
    <row r="254" spans="1:4">
      <c r="A254" s="2">
        <f>+Get_Data!A253</f>
        <v>39811</v>
      </c>
      <c r="B254">
        <f>+ROUND(Get_Data!B253,5)</f>
        <v>37.862290000000002</v>
      </c>
      <c r="C254">
        <f>+ROUND(Get_Data!C253,5)</f>
        <v>13.783989999999999</v>
      </c>
      <c r="D254" s="4">
        <f t="shared" si="4"/>
        <v>2.7468309248628304</v>
      </c>
    </row>
    <row r="255" spans="1:4">
      <c r="A255" s="2">
        <f>+Get_Data!A254</f>
        <v>39812</v>
      </c>
      <c r="B255">
        <f>+ROUND(Get_Data!B254,5)</f>
        <v>38.429470000000002</v>
      </c>
      <c r="C255">
        <f>+ROUND(Get_Data!C254,5)</f>
        <v>13.94539</v>
      </c>
      <c r="D255" s="4">
        <f t="shared" si="4"/>
        <v>2.7557113856263613</v>
      </c>
    </row>
    <row r="256" spans="1:4">
      <c r="A256" s="2">
        <f>+Get_Data!A255</f>
        <v>39813</v>
      </c>
      <c r="B256">
        <f>+ROUND(Get_Data!B255,5)</f>
        <v>38.352449999999997</v>
      </c>
      <c r="C256">
        <f>+ROUND(Get_Data!C255,5)</f>
        <v>14.05092</v>
      </c>
      <c r="D256" s="4">
        <f t="shared" si="4"/>
        <v>2.7295330127849278</v>
      </c>
    </row>
    <row r="257" spans="1:4">
      <c r="A257" s="2">
        <f>+Get_Data!A256</f>
        <v>39815</v>
      </c>
      <c r="B257">
        <f>+ROUND(Get_Data!B256,5)</f>
        <v>39.19276</v>
      </c>
      <c r="C257">
        <f>+ROUND(Get_Data!C256,5)</f>
        <v>14.246460000000001</v>
      </c>
      <c r="D257" s="4">
        <f t="shared" si="4"/>
        <v>2.7510525421753895</v>
      </c>
    </row>
    <row r="258" spans="1:4">
      <c r="A258" s="2">
        <f>+Get_Data!A257</f>
        <v>39818</v>
      </c>
      <c r="B258">
        <f>+ROUND(Get_Data!B257,5)</f>
        <v>38.933669999999999</v>
      </c>
      <c r="C258">
        <f>+ROUND(Get_Data!C257,5)</f>
        <v>14.103680000000001</v>
      </c>
      <c r="D258" s="4">
        <f t="shared" si="4"/>
        <v>2.760532712029768</v>
      </c>
    </row>
    <row r="259" spans="1:4">
      <c r="A259" s="2">
        <f>+Get_Data!A258</f>
        <v>39819</v>
      </c>
      <c r="B259">
        <f>+ROUND(Get_Data!B258,5)</f>
        <v>39.003680000000003</v>
      </c>
      <c r="C259">
        <f>+ROUND(Get_Data!C258,5)</f>
        <v>13.87711</v>
      </c>
      <c r="D259" s="4">
        <f t="shared" si="4"/>
        <v>2.8106486148773056</v>
      </c>
    </row>
    <row r="260" spans="1:4">
      <c r="A260" s="2">
        <f>+Get_Data!A259</f>
        <v>39820</v>
      </c>
      <c r="B260">
        <f>+ROUND(Get_Data!B259,5)</f>
        <v>37.736229999999999</v>
      </c>
      <c r="C260">
        <f>+ROUND(Get_Data!C259,5)</f>
        <v>13.94539</v>
      </c>
      <c r="D260" s="4">
        <f t="shared" ref="D260:D323" si="5">IFERROR(B260/C260,"")</f>
        <v>2.706000334160608</v>
      </c>
    </row>
    <row r="261" spans="1:4">
      <c r="A261" s="2">
        <f>+Get_Data!A260</f>
        <v>39821</v>
      </c>
      <c r="B261">
        <f>+ROUND(Get_Data!B260,5)</f>
        <v>37.288080000000001</v>
      </c>
      <c r="C261">
        <f>+ROUND(Get_Data!C260,5)</f>
        <v>14.041600000000001</v>
      </c>
      <c r="D261" s="4">
        <f t="shared" si="5"/>
        <v>2.6555435278030992</v>
      </c>
    </row>
    <row r="262" spans="1:4">
      <c r="A262" s="2">
        <f>+Get_Data!A261</f>
        <v>39822</v>
      </c>
      <c r="B262">
        <f>+ROUND(Get_Data!B261,5)</f>
        <v>36.811920000000001</v>
      </c>
      <c r="C262">
        <f>+ROUND(Get_Data!C261,5)</f>
        <v>13.84296</v>
      </c>
      <c r="D262" s="4">
        <f t="shared" si="5"/>
        <v>2.6592520674768982</v>
      </c>
    </row>
    <row r="263" spans="1:4">
      <c r="A263" s="2">
        <f>+Get_Data!A262</f>
        <v>39825</v>
      </c>
      <c r="B263">
        <f>+ROUND(Get_Data!B262,5)</f>
        <v>35.985619999999997</v>
      </c>
      <c r="C263">
        <f>+ROUND(Get_Data!C262,5)</f>
        <v>13.572929999999999</v>
      </c>
      <c r="D263" s="4">
        <f t="shared" si="5"/>
        <v>2.6512786848528651</v>
      </c>
    </row>
    <row r="264" spans="1:4">
      <c r="A264" s="2">
        <f>+Get_Data!A263</f>
        <v>39826</v>
      </c>
      <c r="B264">
        <f>+ROUND(Get_Data!B263,5)</f>
        <v>36.573830000000001</v>
      </c>
      <c r="C264">
        <f>+ROUND(Get_Data!C263,5)</f>
        <v>13.662940000000001</v>
      </c>
      <c r="D264" s="4">
        <f t="shared" si="5"/>
        <v>2.6768638375049587</v>
      </c>
    </row>
    <row r="265" spans="1:4">
      <c r="A265" s="2">
        <f>+Get_Data!A264</f>
        <v>39827</v>
      </c>
      <c r="B265">
        <f>+ROUND(Get_Data!B264,5)</f>
        <v>35.782550000000001</v>
      </c>
      <c r="C265">
        <f>+ROUND(Get_Data!C264,5)</f>
        <v>13.22841</v>
      </c>
      <c r="D265" s="4">
        <f t="shared" si="5"/>
        <v>2.7049773933526402</v>
      </c>
    </row>
    <row r="266" spans="1:4">
      <c r="A266" s="2">
        <f>+Get_Data!A265</f>
        <v>39828</v>
      </c>
      <c r="B266">
        <f>+ROUND(Get_Data!B265,5)</f>
        <v>35.383420000000001</v>
      </c>
      <c r="C266">
        <f>+ROUND(Get_Data!C265,5)</f>
        <v>13.45809</v>
      </c>
      <c r="D266" s="4">
        <f t="shared" si="5"/>
        <v>2.629156143256584</v>
      </c>
    </row>
    <row r="267" spans="1:4">
      <c r="A267" s="2">
        <f>+Get_Data!A266</f>
        <v>39829</v>
      </c>
      <c r="B267">
        <f>+ROUND(Get_Data!B266,5)</f>
        <v>35.971609999999998</v>
      </c>
      <c r="C267">
        <f>+ROUND(Get_Data!C266,5)</f>
        <v>13.60708</v>
      </c>
      <c r="D267" s="4">
        <f t="shared" si="5"/>
        <v>2.6435950990219794</v>
      </c>
    </row>
    <row r="268" spans="1:4">
      <c r="A268" s="2">
        <f>+Get_Data!A267</f>
        <v>39833</v>
      </c>
      <c r="B268">
        <f>+ROUND(Get_Data!B267,5)</f>
        <v>35.313389999999998</v>
      </c>
      <c r="C268">
        <f>+ROUND(Get_Data!C267,5)</f>
        <v>13.30911</v>
      </c>
      <c r="D268" s="4">
        <f t="shared" si="5"/>
        <v>2.6533246776080444</v>
      </c>
    </row>
    <row r="269" spans="1:4">
      <c r="A269" s="2">
        <f>+Get_Data!A268</f>
        <v>39834</v>
      </c>
      <c r="B269">
        <f>+ROUND(Get_Data!B268,5)</f>
        <v>35.320399999999999</v>
      </c>
      <c r="C269">
        <f>+ROUND(Get_Data!C268,5)</f>
        <v>13.43637</v>
      </c>
      <c r="D269" s="4">
        <f t="shared" si="5"/>
        <v>2.6287159403916385</v>
      </c>
    </row>
    <row r="270" spans="1:4">
      <c r="A270" s="2">
        <f>+Get_Data!A269</f>
        <v>39835</v>
      </c>
      <c r="B270">
        <f>+ROUND(Get_Data!B269,5)</f>
        <v>35.257370000000002</v>
      </c>
      <c r="C270">
        <f>+ROUND(Get_Data!C269,5)</f>
        <v>13.383599999999999</v>
      </c>
      <c r="D270" s="4">
        <f t="shared" si="5"/>
        <v>2.6343711706865123</v>
      </c>
    </row>
    <row r="271" spans="1:4">
      <c r="A271" s="2">
        <f>+Get_Data!A270</f>
        <v>39836</v>
      </c>
      <c r="B271">
        <f>+ROUND(Get_Data!B270,5)</f>
        <v>35.446440000000003</v>
      </c>
      <c r="C271">
        <f>+ROUND(Get_Data!C270,5)</f>
        <v>13.098050000000001</v>
      </c>
      <c r="D271" s="4">
        <f t="shared" si="5"/>
        <v>2.7062379514507886</v>
      </c>
    </row>
    <row r="272" spans="1:4">
      <c r="A272" s="2">
        <f>+Get_Data!A271</f>
        <v>39839</v>
      </c>
      <c r="B272">
        <f>+ROUND(Get_Data!B271,5)</f>
        <v>36.00665</v>
      </c>
      <c r="C272">
        <f>+ROUND(Get_Data!C271,5)</f>
        <v>13.35566</v>
      </c>
      <c r="D272" s="4">
        <f t="shared" si="5"/>
        <v>2.6959843242490451</v>
      </c>
    </row>
    <row r="273" spans="1:4">
      <c r="A273" s="2">
        <f>+Get_Data!A272</f>
        <v>39840</v>
      </c>
      <c r="B273">
        <f>+ROUND(Get_Data!B272,5)</f>
        <v>36.160690000000002</v>
      </c>
      <c r="C273">
        <f>+ROUND(Get_Data!C272,5)</f>
        <v>13.448779999999999</v>
      </c>
      <c r="D273" s="4">
        <f t="shared" si="5"/>
        <v>2.6887710260707665</v>
      </c>
    </row>
    <row r="274" spans="1:4">
      <c r="A274" s="2">
        <f>+Get_Data!A273</f>
        <v>39841</v>
      </c>
      <c r="B274">
        <f>+ROUND(Get_Data!B273,5)</f>
        <v>36.440800000000003</v>
      </c>
      <c r="C274">
        <f>+ROUND(Get_Data!C273,5)</f>
        <v>13.61328</v>
      </c>
      <c r="D274" s="4">
        <f t="shared" si="5"/>
        <v>2.6768567163828263</v>
      </c>
    </row>
    <row r="275" spans="1:4">
      <c r="A275" s="2">
        <f>+Get_Data!A274</f>
        <v>39842</v>
      </c>
      <c r="B275">
        <f>+ROUND(Get_Data!B274,5)</f>
        <v>36.188690000000001</v>
      </c>
      <c r="C275">
        <f>+ROUND(Get_Data!C274,5)</f>
        <v>13.51707</v>
      </c>
      <c r="D275" s="4">
        <f t="shared" si="5"/>
        <v>2.677258459118729</v>
      </c>
    </row>
    <row r="276" spans="1:4">
      <c r="A276" s="2">
        <f>+Get_Data!A275</f>
        <v>39843</v>
      </c>
      <c r="B276">
        <f>+ROUND(Get_Data!B275,5)</f>
        <v>35.173360000000002</v>
      </c>
      <c r="C276">
        <f>+ROUND(Get_Data!C275,5)</f>
        <v>13.259449999999999</v>
      </c>
      <c r="D276" s="4">
        <f t="shared" si="5"/>
        <v>2.6527012809731931</v>
      </c>
    </row>
    <row r="277" spans="1:4">
      <c r="A277" s="2">
        <f>+Get_Data!A276</f>
        <v>39846</v>
      </c>
      <c r="B277">
        <f>+ROUND(Get_Data!B276,5)</f>
        <v>35.103319999999997</v>
      </c>
      <c r="C277">
        <f>+ROUND(Get_Data!C276,5)</f>
        <v>13.11046</v>
      </c>
      <c r="D277" s="4">
        <f t="shared" si="5"/>
        <v>2.6775048320196237</v>
      </c>
    </row>
    <row r="278" spans="1:4">
      <c r="A278" s="2">
        <f>+Get_Data!A277</f>
        <v>39847</v>
      </c>
      <c r="B278">
        <f>+ROUND(Get_Data!B277,5)</f>
        <v>36.076659999999997</v>
      </c>
      <c r="C278">
        <f>+ROUND(Get_Data!C277,5)</f>
        <v>13.44567</v>
      </c>
      <c r="D278" s="4">
        <f t="shared" si="5"/>
        <v>2.6831433465197345</v>
      </c>
    </row>
    <row r="279" spans="1:4">
      <c r="A279" s="2">
        <f>+Get_Data!A278</f>
        <v>39848</v>
      </c>
      <c r="B279">
        <f>+ROUND(Get_Data!B278,5)</f>
        <v>36.055660000000003</v>
      </c>
      <c r="C279">
        <f>+ROUND(Get_Data!C278,5)</f>
        <v>13.160130000000001</v>
      </c>
      <c r="D279" s="4">
        <f t="shared" si="5"/>
        <v>2.7397647287678772</v>
      </c>
    </row>
    <row r="280" spans="1:4">
      <c r="A280" s="2">
        <f>+Get_Data!A279</f>
        <v>39849</v>
      </c>
      <c r="B280">
        <f>+ROUND(Get_Data!B279,5)</f>
        <v>36.657859999999999</v>
      </c>
      <c r="C280">
        <f>+ROUND(Get_Data!C279,5)</f>
        <v>13.25013</v>
      </c>
      <c r="D280" s="4">
        <f t="shared" si="5"/>
        <v>2.7666037993589496</v>
      </c>
    </row>
    <row r="281" spans="1:4">
      <c r="A281" s="2">
        <f>+Get_Data!A280</f>
        <v>39850</v>
      </c>
      <c r="B281">
        <f>+ROUND(Get_Data!B280,5)</f>
        <v>37.48415</v>
      </c>
      <c r="C281">
        <f>+ROUND(Get_Data!C280,5)</f>
        <v>13.51707</v>
      </c>
      <c r="D281" s="4">
        <f t="shared" si="5"/>
        <v>2.773097276258834</v>
      </c>
    </row>
    <row r="282" spans="1:4">
      <c r="A282" s="2">
        <f>+Get_Data!A281</f>
        <v>39853</v>
      </c>
      <c r="B282">
        <f>+ROUND(Get_Data!B281,5)</f>
        <v>36.013640000000002</v>
      </c>
      <c r="C282">
        <f>+ROUND(Get_Data!C281,5)</f>
        <v>13.13219</v>
      </c>
      <c r="D282" s="4">
        <f t="shared" si="5"/>
        <v>2.7423940713620505</v>
      </c>
    </row>
    <row r="283" spans="1:4">
      <c r="A283" s="2">
        <f>+Get_Data!A282</f>
        <v>39854</v>
      </c>
      <c r="B283">
        <f>+ROUND(Get_Data!B282,5)</f>
        <v>34.683169999999997</v>
      </c>
      <c r="C283">
        <f>+ROUND(Get_Data!C282,5)</f>
        <v>12.62317</v>
      </c>
      <c r="D283" s="4">
        <f t="shared" si="5"/>
        <v>2.7475800452659671</v>
      </c>
    </row>
    <row r="284" spans="1:4">
      <c r="A284" s="2">
        <f>+Get_Data!A283</f>
        <v>39855</v>
      </c>
      <c r="B284">
        <f>+ROUND(Get_Data!B283,5)</f>
        <v>35.439430000000002</v>
      </c>
      <c r="C284">
        <f>+ROUND(Get_Data!C283,5)</f>
        <v>12.8094</v>
      </c>
      <c r="D284" s="4">
        <f t="shared" si="5"/>
        <v>2.7666736927568816</v>
      </c>
    </row>
    <row r="285" spans="1:4">
      <c r="A285" s="2">
        <f>+Get_Data!A284</f>
        <v>39856</v>
      </c>
      <c r="B285">
        <f>+ROUND(Get_Data!B284,5)</f>
        <v>36.412779999999998</v>
      </c>
      <c r="C285">
        <f>+ROUND(Get_Data!C284,5)</f>
        <v>13.77778</v>
      </c>
      <c r="D285" s="4">
        <f t="shared" si="5"/>
        <v>2.6428626382479616</v>
      </c>
    </row>
    <row r="286" spans="1:4">
      <c r="A286" s="2">
        <f>+Get_Data!A285</f>
        <v>39857</v>
      </c>
      <c r="B286">
        <f>+ROUND(Get_Data!B285,5)</f>
        <v>36.811920000000001</v>
      </c>
      <c r="C286">
        <f>+ROUND(Get_Data!C285,5)</f>
        <v>13.61018</v>
      </c>
      <c r="D286" s="4">
        <f t="shared" si="5"/>
        <v>2.704734250391986</v>
      </c>
    </row>
    <row r="287" spans="1:4">
      <c r="A287" s="2">
        <f>+Get_Data!A286</f>
        <v>39861</v>
      </c>
      <c r="B287">
        <f>+ROUND(Get_Data!B286,5)</f>
        <v>36.286729999999999</v>
      </c>
      <c r="C287">
        <f>+ROUND(Get_Data!C286,5)</f>
        <v>13.22221</v>
      </c>
      <c r="D287" s="4">
        <f t="shared" si="5"/>
        <v>2.7443770746342704</v>
      </c>
    </row>
    <row r="288" spans="1:4">
      <c r="A288" s="2">
        <f>+Get_Data!A287</f>
        <v>39862</v>
      </c>
      <c r="B288">
        <f>+ROUND(Get_Data!B287,5)</f>
        <v>36.083649999999999</v>
      </c>
      <c r="C288">
        <f>+ROUND(Get_Data!C287,5)</f>
        <v>13.24704</v>
      </c>
      <c r="D288" s="4">
        <f t="shared" si="5"/>
        <v>2.7239028492402828</v>
      </c>
    </row>
    <row r="289" spans="1:4">
      <c r="A289" s="2">
        <f>+Get_Data!A288</f>
        <v>39863</v>
      </c>
      <c r="B289">
        <f>+ROUND(Get_Data!B288,5)</f>
        <v>36.552819999999997</v>
      </c>
      <c r="C289">
        <f>+ROUND(Get_Data!C288,5)</f>
        <v>13.43947</v>
      </c>
      <c r="D289" s="4">
        <f t="shared" si="5"/>
        <v>2.719811123504126</v>
      </c>
    </row>
    <row r="290" spans="1:4">
      <c r="A290" s="2">
        <f>+Get_Data!A289</f>
        <v>39864</v>
      </c>
      <c r="B290">
        <f>+ROUND(Get_Data!B289,5)</f>
        <v>36.027650000000001</v>
      </c>
      <c r="C290">
        <f>+ROUND(Get_Data!C289,5)</f>
        <v>13.29669</v>
      </c>
      <c r="D290" s="4">
        <f t="shared" si="5"/>
        <v>2.7095201888590319</v>
      </c>
    </row>
    <row r="291" spans="1:4">
      <c r="A291" s="2">
        <f>+Get_Data!A290</f>
        <v>39867</v>
      </c>
      <c r="B291">
        <f>+ROUND(Get_Data!B290,5)</f>
        <v>35.124310000000001</v>
      </c>
      <c r="C291">
        <f>+ROUND(Get_Data!C290,5)</f>
        <v>13.06391</v>
      </c>
      <c r="D291" s="4">
        <f t="shared" si="5"/>
        <v>2.6886521722822647</v>
      </c>
    </row>
    <row r="292" spans="1:4">
      <c r="A292" s="2">
        <f>+Get_Data!A291</f>
        <v>39868</v>
      </c>
      <c r="B292">
        <f>+ROUND(Get_Data!B291,5)</f>
        <v>36.188690000000001</v>
      </c>
      <c r="C292">
        <f>+ROUND(Get_Data!C291,5)</f>
        <v>13.364979999999999</v>
      </c>
      <c r="D292" s="4">
        <f t="shared" si="5"/>
        <v>2.7077249647960566</v>
      </c>
    </row>
    <row r="293" spans="1:4">
      <c r="A293" s="2">
        <f>+Get_Data!A292</f>
        <v>39869</v>
      </c>
      <c r="B293">
        <f>+ROUND(Get_Data!B292,5)</f>
        <v>35.516460000000002</v>
      </c>
      <c r="C293">
        <f>+ROUND(Get_Data!C292,5)</f>
        <v>13.15082</v>
      </c>
      <c r="D293" s="4">
        <f t="shared" si="5"/>
        <v>2.7007030740288442</v>
      </c>
    </row>
    <row r="294" spans="1:4">
      <c r="A294" s="2">
        <f>+Get_Data!A293</f>
        <v>39870</v>
      </c>
      <c r="B294">
        <f>+ROUND(Get_Data!B293,5)</f>
        <v>34.606140000000003</v>
      </c>
      <c r="C294">
        <f>+ROUND(Get_Data!C293,5)</f>
        <v>12.74732</v>
      </c>
      <c r="D294" s="4">
        <f t="shared" si="5"/>
        <v>2.7147776944487156</v>
      </c>
    </row>
    <row r="295" spans="1:4">
      <c r="A295" s="2">
        <f>+Get_Data!A294</f>
        <v>39871</v>
      </c>
      <c r="B295">
        <f>+ROUND(Get_Data!B294,5)</f>
        <v>33.709820000000001</v>
      </c>
      <c r="C295">
        <f>+ROUND(Get_Data!C294,5)</f>
        <v>12.679029999999999</v>
      </c>
      <c r="D295" s="4">
        <f t="shared" si="5"/>
        <v>2.6587065414310089</v>
      </c>
    </row>
    <row r="296" spans="1:4">
      <c r="A296" s="2">
        <f>+Get_Data!A295</f>
        <v>39874</v>
      </c>
      <c r="B296">
        <f>+ROUND(Get_Data!B295,5)</f>
        <v>32.806510000000003</v>
      </c>
      <c r="C296">
        <f>+ROUND(Get_Data!C295,5)</f>
        <v>12.318989999999999</v>
      </c>
      <c r="D296" s="4">
        <f t="shared" si="5"/>
        <v>2.6630843924704868</v>
      </c>
    </row>
    <row r="297" spans="1:4">
      <c r="A297" s="2">
        <f>+Get_Data!A296</f>
        <v>39875</v>
      </c>
      <c r="B297">
        <f>+ROUND(Get_Data!B296,5)</f>
        <v>33.940919999999998</v>
      </c>
      <c r="C297">
        <f>+ROUND(Get_Data!C296,5)</f>
        <v>12.052070000000001</v>
      </c>
      <c r="D297" s="4">
        <f t="shared" si="5"/>
        <v>2.8161900818697534</v>
      </c>
    </row>
    <row r="298" spans="1:4">
      <c r="A298" s="2">
        <f>+Get_Data!A297</f>
        <v>39876</v>
      </c>
      <c r="B298">
        <f>+ROUND(Get_Data!B297,5)</f>
        <v>33.626550000000002</v>
      </c>
      <c r="C298">
        <f>+ROUND(Get_Data!C297,5)</f>
        <v>12.33141</v>
      </c>
      <c r="D298" s="4">
        <f t="shared" si="5"/>
        <v>2.7269022763820199</v>
      </c>
    </row>
    <row r="299" spans="1:4">
      <c r="A299" s="2">
        <f>+Get_Data!A298</f>
        <v>39877</v>
      </c>
      <c r="B299">
        <f>+ROUND(Get_Data!B298,5)</f>
        <v>32.475050000000003</v>
      </c>
      <c r="C299">
        <f>+ROUND(Get_Data!C298,5)</f>
        <v>11.74789</v>
      </c>
      <c r="D299" s="4">
        <f t="shared" si="5"/>
        <v>2.7643304457225937</v>
      </c>
    </row>
    <row r="300" spans="1:4">
      <c r="A300" s="2">
        <f>+Get_Data!A299</f>
        <v>39878</v>
      </c>
      <c r="B300">
        <f>+ROUND(Get_Data!B299,5)</f>
        <v>33.273319999999998</v>
      </c>
      <c r="C300">
        <f>+ROUND(Get_Data!C299,5)</f>
        <v>12.135870000000001</v>
      </c>
      <c r="D300" s="4">
        <f t="shared" si="5"/>
        <v>2.741733390354379</v>
      </c>
    </row>
    <row r="301" spans="1:4">
      <c r="A301" s="2">
        <f>+Get_Data!A300</f>
        <v>39881</v>
      </c>
      <c r="B301">
        <f>+ROUND(Get_Data!B300,5)</f>
        <v>32.362020000000001</v>
      </c>
      <c r="C301">
        <f>+ROUND(Get_Data!C300,5)</f>
        <v>12.027240000000001</v>
      </c>
      <c r="D301" s="4">
        <f t="shared" si="5"/>
        <v>2.6907270495974136</v>
      </c>
    </row>
    <row r="302" spans="1:4">
      <c r="A302" s="2">
        <f>+Get_Data!A301</f>
        <v>39882</v>
      </c>
      <c r="B302">
        <f>+ROUND(Get_Data!B301,5)</f>
        <v>32.920090000000002</v>
      </c>
      <c r="C302">
        <f>+ROUND(Get_Data!C301,5)</f>
        <v>12.154489999999999</v>
      </c>
      <c r="D302" s="4">
        <f t="shared" si="5"/>
        <v>2.708471519578362</v>
      </c>
    </row>
    <row r="303" spans="1:4">
      <c r="A303" s="2">
        <f>+Get_Data!A302</f>
        <v>39883</v>
      </c>
      <c r="B303">
        <f>+ROUND(Get_Data!B302,5)</f>
        <v>33.499369999999999</v>
      </c>
      <c r="C303">
        <f>+ROUND(Get_Data!C302,5)</f>
        <v>12.54443</v>
      </c>
      <c r="D303" s="4">
        <f t="shared" si="5"/>
        <v>2.6704577250620392</v>
      </c>
    </row>
    <row r="304" spans="1:4">
      <c r="A304" s="2">
        <f>+Get_Data!A303</f>
        <v>39884</v>
      </c>
      <c r="B304">
        <f>+ROUND(Get_Data!B303,5)</f>
        <v>34.113990000000001</v>
      </c>
      <c r="C304">
        <f>+ROUND(Get_Data!C303,5)</f>
        <v>12.947039999999999</v>
      </c>
      <c r="D304" s="4">
        <f t="shared" si="5"/>
        <v>2.6348872020168317</v>
      </c>
    </row>
    <row r="305" spans="1:4">
      <c r="A305" s="2">
        <f>+Get_Data!A304</f>
        <v>39885</v>
      </c>
      <c r="B305">
        <f>+ROUND(Get_Data!B304,5)</f>
        <v>34.347110000000001</v>
      </c>
      <c r="C305">
        <f>+ROUND(Get_Data!C304,5)</f>
        <v>13.06751</v>
      </c>
      <c r="D305" s="4">
        <f t="shared" si="5"/>
        <v>2.6284357157561002</v>
      </c>
    </row>
    <row r="306" spans="1:4">
      <c r="A306" s="2">
        <f>+Get_Data!A305</f>
        <v>39888</v>
      </c>
      <c r="B306">
        <f>+ROUND(Get_Data!B305,5)</f>
        <v>34.424819999999997</v>
      </c>
      <c r="C306">
        <f>+ROUND(Get_Data!C305,5)</f>
        <v>13.083360000000001</v>
      </c>
      <c r="D306" s="4">
        <f t="shared" si="5"/>
        <v>2.6311910701838057</v>
      </c>
    </row>
    <row r="307" spans="1:4">
      <c r="A307" s="2">
        <f>+Get_Data!A306</f>
        <v>39889</v>
      </c>
      <c r="B307">
        <f>+ROUND(Get_Data!B306,5)</f>
        <v>34.792180000000002</v>
      </c>
      <c r="C307">
        <f>+ROUND(Get_Data!C306,5)</f>
        <v>13.140420000000001</v>
      </c>
      <c r="D307" s="4">
        <f t="shared" si="5"/>
        <v>2.6477220667223729</v>
      </c>
    </row>
    <row r="308" spans="1:4">
      <c r="A308" s="2">
        <f>+Get_Data!A307</f>
        <v>39890</v>
      </c>
      <c r="B308">
        <f>+ROUND(Get_Data!B307,5)</f>
        <v>34.947589999999998</v>
      </c>
      <c r="C308">
        <f>+ROUND(Get_Data!C307,5)</f>
        <v>13.20383</v>
      </c>
      <c r="D308" s="4">
        <f t="shared" si="5"/>
        <v>2.6467767306910193</v>
      </c>
    </row>
    <row r="309" spans="1:4">
      <c r="A309" s="2">
        <f>+Get_Data!A308</f>
        <v>39891</v>
      </c>
      <c r="B309">
        <f>+ROUND(Get_Data!B308,5)</f>
        <v>34.608490000000003</v>
      </c>
      <c r="C309">
        <f>+ROUND(Get_Data!C308,5)</f>
        <v>13.371840000000001</v>
      </c>
      <c r="D309" s="4">
        <f t="shared" si="5"/>
        <v>2.5881621377461892</v>
      </c>
    </row>
    <row r="310" spans="1:4">
      <c r="A310" s="2">
        <f>+Get_Data!A309</f>
        <v>39892</v>
      </c>
      <c r="B310">
        <f>+ROUND(Get_Data!B309,5)</f>
        <v>35.33614</v>
      </c>
      <c r="C310">
        <f>+ROUND(Get_Data!C309,5)</f>
        <v>13.51768</v>
      </c>
      <c r="D310" s="4">
        <f t="shared" si="5"/>
        <v>2.6140683904338613</v>
      </c>
    </row>
    <row r="311" spans="1:4">
      <c r="A311" s="2">
        <f>+Get_Data!A310</f>
        <v>39895</v>
      </c>
      <c r="B311">
        <f>+ROUND(Get_Data!B310,5)</f>
        <v>36.473500000000001</v>
      </c>
      <c r="C311">
        <f>+ROUND(Get_Data!C310,5)</f>
        <v>13.9932</v>
      </c>
      <c r="D311" s="4">
        <f t="shared" si="5"/>
        <v>2.6065160220678618</v>
      </c>
    </row>
    <row r="312" spans="1:4">
      <c r="A312" s="2">
        <f>+Get_Data!A311</f>
        <v>39896</v>
      </c>
      <c r="B312">
        <f>+ROUND(Get_Data!B311,5)</f>
        <v>36.402839999999998</v>
      </c>
      <c r="C312">
        <f>+ROUND(Get_Data!C311,5)</f>
        <v>13.955159999999999</v>
      </c>
      <c r="D312" s="4">
        <f t="shared" si="5"/>
        <v>2.6085576947881641</v>
      </c>
    </row>
    <row r="313" spans="1:4">
      <c r="A313" s="2">
        <f>+Get_Data!A312</f>
        <v>39897</v>
      </c>
      <c r="B313">
        <f>+ROUND(Get_Data!B312,5)</f>
        <v>37.06691</v>
      </c>
      <c r="C313">
        <f>+ROUND(Get_Data!C312,5)</f>
        <v>14.186579999999999</v>
      </c>
      <c r="D313" s="4">
        <f t="shared" si="5"/>
        <v>2.6128150688890486</v>
      </c>
    </row>
    <row r="314" spans="1:4">
      <c r="A314" s="2">
        <f>+Get_Data!A313</f>
        <v>39898</v>
      </c>
      <c r="B314">
        <f>+ROUND(Get_Data!B313,5)</f>
        <v>37.554340000000003</v>
      </c>
      <c r="C314">
        <f>+ROUND(Get_Data!C313,5)</f>
        <v>14.21829</v>
      </c>
      <c r="D314" s="4">
        <f t="shared" si="5"/>
        <v>2.6412698010801585</v>
      </c>
    </row>
    <row r="315" spans="1:4">
      <c r="A315" s="2">
        <f>+Get_Data!A314</f>
        <v>39899</v>
      </c>
      <c r="B315">
        <f>+ROUND(Get_Data!B314,5)</f>
        <v>37.010390000000001</v>
      </c>
      <c r="C315">
        <f>+ROUND(Get_Data!C314,5)</f>
        <v>14.29754</v>
      </c>
      <c r="D315" s="4">
        <f t="shared" si="5"/>
        <v>2.5885844697759195</v>
      </c>
    </row>
    <row r="316" spans="1:4">
      <c r="A316" s="2">
        <f>+Get_Data!A315</f>
        <v>39902</v>
      </c>
      <c r="B316">
        <f>+ROUND(Get_Data!B315,5)</f>
        <v>36.58652</v>
      </c>
      <c r="C316">
        <f>+ROUND(Get_Data!C315,5)</f>
        <v>13.92346</v>
      </c>
      <c r="D316" s="4">
        <f t="shared" si="5"/>
        <v>2.6276888072361322</v>
      </c>
    </row>
    <row r="317" spans="1:4">
      <c r="A317" s="2">
        <f>+Get_Data!A316</f>
        <v>39903</v>
      </c>
      <c r="B317">
        <f>+ROUND(Get_Data!B316,5)</f>
        <v>36.367539999999998</v>
      </c>
      <c r="C317">
        <f>+ROUND(Get_Data!C316,5)</f>
        <v>13.932969999999999</v>
      </c>
      <c r="D317" s="4">
        <f t="shared" si="5"/>
        <v>2.6101785907814343</v>
      </c>
    </row>
    <row r="318" spans="1:4">
      <c r="A318" s="2">
        <f>+Get_Data!A317</f>
        <v>39904</v>
      </c>
      <c r="B318">
        <f>+ROUND(Get_Data!B317,5)</f>
        <v>36.890300000000003</v>
      </c>
      <c r="C318">
        <f>+ROUND(Get_Data!C317,5)</f>
        <v>14.22146</v>
      </c>
      <c r="D318" s="4">
        <f t="shared" si="5"/>
        <v>2.5939882403072541</v>
      </c>
    </row>
    <row r="319" spans="1:4">
      <c r="A319" s="2">
        <f>+Get_Data!A318</f>
        <v>39905</v>
      </c>
      <c r="B319">
        <f>+ROUND(Get_Data!B318,5)</f>
        <v>37.342410000000001</v>
      </c>
      <c r="C319">
        <f>+ROUND(Get_Data!C318,5)</f>
        <v>14.373620000000001</v>
      </c>
      <c r="D319" s="4">
        <f t="shared" si="5"/>
        <v>2.5979822758637003</v>
      </c>
    </row>
    <row r="320" spans="1:4">
      <c r="A320" s="2">
        <f>+Get_Data!A319</f>
        <v>39906</v>
      </c>
      <c r="B320">
        <f>+ROUND(Get_Data!B319,5)</f>
        <v>37.222320000000003</v>
      </c>
      <c r="C320">
        <f>+ROUND(Get_Data!C319,5)</f>
        <v>14.25633</v>
      </c>
      <c r="D320" s="4">
        <f t="shared" si="5"/>
        <v>2.610932827733365</v>
      </c>
    </row>
    <row r="321" spans="1:4">
      <c r="A321" s="2">
        <f>+Get_Data!A320</f>
        <v>39909</v>
      </c>
      <c r="B321">
        <f>+ROUND(Get_Data!B320,5)</f>
        <v>37.208190000000002</v>
      </c>
      <c r="C321">
        <f>+ROUND(Get_Data!C320,5)</f>
        <v>14.26267</v>
      </c>
      <c r="D321" s="4">
        <f t="shared" si="5"/>
        <v>2.6087815254787499</v>
      </c>
    </row>
    <row r="322" spans="1:4">
      <c r="A322" s="2">
        <f>+Get_Data!A321</f>
        <v>39910</v>
      </c>
      <c r="B322">
        <f>+ROUND(Get_Data!B321,5)</f>
        <v>36.911490000000001</v>
      </c>
      <c r="C322">
        <f>+ROUND(Get_Data!C321,5)</f>
        <v>14.14537</v>
      </c>
      <c r="D322" s="4">
        <f t="shared" si="5"/>
        <v>2.6094396965226077</v>
      </c>
    </row>
    <row r="323" spans="1:4">
      <c r="A323" s="2">
        <f>+Get_Data!A322</f>
        <v>39911</v>
      </c>
      <c r="B323">
        <f>+ROUND(Get_Data!B322,5)</f>
        <v>36.932679999999998</v>
      </c>
      <c r="C323">
        <f>+ROUND(Get_Data!C322,5)</f>
        <v>14.26267</v>
      </c>
      <c r="D323" s="4">
        <f t="shared" si="5"/>
        <v>2.5894646654518403</v>
      </c>
    </row>
    <row r="324" spans="1:4">
      <c r="A324" s="2">
        <f>+Get_Data!A323</f>
        <v>39912</v>
      </c>
      <c r="B324">
        <f>+ROUND(Get_Data!B323,5)</f>
        <v>36.805529999999997</v>
      </c>
      <c r="C324">
        <f>+ROUND(Get_Data!C323,5)</f>
        <v>14.26267</v>
      </c>
      <c r="D324" s="4">
        <f t="shared" ref="D324:D387" si="6">IFERROR(B324/C324,"")</f>
        <v>2.5805497848579542</v>
      </c>
    </row>
    <row r="325" spans="1:4">
      <c r="A325" s="2">
        <f>+Get_Data!A324</f>
        <v>39916</v>
      </c>
      <c r="B325">
        <f>+ROUND(Get_Data!B324,5)</f>
        <v>36.374600000000001</v>
      </c>
      <c r="C325">
        <f>+ROUND(Get_Data!C324,5)</f>
        <v>14.18024</v>
      </c>
      <c r="D325" s="4">
        <f t="shared" si="6"/>
        <v>2.5651610974144305</v>
      </c>
    </row>
    <row r="326" spans="1:4">
      <c r="A326" s="2">
        <f>+Get_Data!A325</f>
        <v>39917</v>
      </c>
      <c r="B326">
        <f>+ROUND(Get_Data!B325,5)</f>
        <v>35.717610000000001</v>
      </c>
      <c r="C326">
        <f>+ROUND(Get_Data!C325,5)</f>
        <v>14.01539</v>
      </c>
      <c r="D326" s="4">
        <f t="shared" si="6"/>
        <v>2.5484563754558383</v>
      </c>
    </row>
    <row r="327" spans="1:4">
      <c r="A327" s="2">
        <f>+Get_Data!A326</f>
        <v>39918</v>
      </c>
      <c r="B327">
        <f>+ROUND(Get_Data!B326,5)</f>
        <v>36.763150000000003</v>
      </c>
      <c r="C327">
        <f>+ROUND(Get_Data!C326,5)</f>
        <v>14.27535</v>
      </c>
      <c r="D327" s="4">
        <f t="shared" si="6"/>
        <v>2.5752888720766918</v>
      </c>
    </row>
    <row r="328" spans="1:4">
      <c r="A328" s="2">
        <f>+Get_Data!A327</f>
        <v>39919</v>
      </c>
      <c r="B328">
        <f>+ROUND(Get_Data!B327,5)</f>
        <v>36.706629999999997</v>
      </c>
      <c r="C328">
        <f>+ROUND(Get_Data!C327,5)</f>
        <v>14.29754</v>
      </c>
      <c r="D328" s="4">
        <f t="shared" si="6"/>
        <v>2.5673388568942626</v>
      </c>
    </row>
    <row r="329" spans="1:4">
      <c r="A329" s="2">
        <f>+Get_Data!A328</f>
        <v>39920</v>
      </c>
      <c r="B329">
        <f>+ROUND(Get_Data!B328,5)</f>
        <v>36.826729999999998</v>
      </c>
      <c r="C329">
        <f>+ROUND(Get_Data!C328,5)</f>
        <v>14.272169999999999</v>
      </c>
      <c r="D329" s="4">
        <f t="shared" si="6"/>
        <v>2.5803174990208215</v>
      </c>
    </row>
    <row r="330" spans="1:4">
      <c r="A330" s="2">
        <f>+Get_Data!A329</f>
        <v>39923</v>
      </c>
      <c r="B330">
        <f>+ROUND(Get_Data!B329,5)</f>
        <v>35.223100000000002</v>
      </c>
      <c r="C330">
        <f>+ROUND(Get_Data!C329,5)</f>
        <v>14.053430000000001</v>
      </c>
      <c r="D330" s="4">
        <f t="shared" si="6"/>
        <v>2.5063703309441183</v>
      </c>
    </row>
    <row r="331" spans="1:4">
      <c r="A331" s="2">
        <f>+Get_Data!A330</f>
        <v>39924</v>
      </c>
      <c r="B331">
        <f>+ROUND(Get_Data!B330,5)</f>
        <v>34.862819999999999</v>
      </c>
      <c r="C331">
        <f>+ROUND(Get_Data!C330,5)</f>
        <v>13.66033</v>
      </c>
      <c r="D331" s="4">
        <f t="shared" si="6"/>
        <v>2.5521213616362122</v>
      </c>
    </row>
    <row r="332" spans="1:4">
      <c r="A332" s="2">
        <f>+Get_Data!A331</f>
        <v>39925</v>
      </c>
      <c r="B332">
        <f>+ROUND(Get_Data!B331,5)</f>
        <v>33.895009999999999</v>
      </c>
      <c r="C332">
        <f>+ROUND(Get_Data!C331,5)</f>
        <v>13.60961</v>
      </c>
      <c r="D332" s="4">
        <f t="shared" si="6"/>
        <v>2.4905203014634512</v>
      </c>
    </row>
    <row r="333" spans="1:4">
      <c r="A333" s="2">
        <f>+Get_Data!A332</f>
        <v>39926</v>
      </c>
      <c r="B333">
        <f>+ROUND(Get_Data!B332,5)</f>
        <v>33.831409999999998</v>
      </c>
      <c r="C333">
        <f>+ROUND(Get_Data!C332,5)</f>
        <v>13.606439999999999</v>
      </c>
      <c r="D333" s="4">
        <f t="shared" si="6"/>
        <v>2.4864262804965884</v>
      </c>
    </row>
    <row r="334" spans="1:4">
      <c r="A334" s="2">
        <f>+Get_Data!A333</f>
        <v>39927</v>
      </c>
      <c r="B334">
        <f>+ROUND(Get_Data!B333,5)</f>
        <v>34.27646</v>
      </c>
      <c r="C334">
        <f>+ROUND(Get_Data!C333,5)</f>
        <v>13.56523</v>
      </c>
      <c r="D334" s="4">
        <f t="shared" si="6"/>
        <v>2.5267879718957955</v>
      </c>
    </row>
    <row r="335" spans="1:4">
      <c r="A335" s="2">
        <f>+Get_Data!A334</f>
        <v>39930</v>
      </c>
      <c r="B335">
        <f>+ROUND(Get_Data!B334,5)</f>
        <v>34.693269999999998</v>
      </c>
      <c r="C335">
        <f>+ROUND(Get_Data!C334,5)</f>
        <v>13.39087</v>
      </c>
      <c r="D335" s="4">
        <f t="shared" si="6"/>
        <v>2.5908152345590691</v>
      </c>
    </row>
    <row r="336" spans="1:4">
      <c r="A336" s="2">
        <f>+Get_Data!A335</f>
        <v>39931</v>
      </c>
      <c r="B336">
        <f>+ROUND(Get_Data!B335,5)</f>
        <v>35.350259999999999</v>
      </c>
      <c r="C336">
        <f>+ROUND(Get_Data!C335,5)</f>
        <v>13.403549999999999</v>
      </c>
      <c r="D336" s="4">
        <f t="shared" si="6"/>
        <v>2.6373803954922392</v>
      </c>
    </row>
    <row r="337" spans="1:4">
      <c r="A337" s="2">
        <f>+Get_Data!A336</f>
        <v>39932</v>
      </c>
      <c r="B337">
        <f>+ROUND(Get_Data!B336,5)</f>
        <v>35.63991</v>
      </c>
      <c r="C337">
        <f>+ROUND(Get_Data!C336,5)</f>
        <v>13.539859999999999</v>
      </c>
      <c r="D337" s="4">
        <f t="shared" si="6"/>
        <v>2.6322214557609902</v>
      </c>
    </row>
    <row r="338" spans="1:4">
      <c r="A338" s="2">
        <f>+Get_Data!A337</f>
        <v>39933</v>
      </c>
      <c r="B338">
        <f>+ROUND(Get_Data!B337,5)</f>
        <v>35.152450000000002</v>
      </c>
      <c r="C338">
        <f>+ROUND(Get_Data!C337,5)</f>
        <v>13.647650000000001</v>
      </c>
      <c r="D338" s="4">
        <f t="shared" si="6"/>
        <v>2.5757145002985862</v>
      </c>
    </row>
    <row r="339" spans="1:4">
      <c r="A339" s="2">
        <f>+Get_Data!A338</f>
        <v>39934</v>
      </c>
      <c r="B339">
        <f>+ROUND(Get_Data!B338,5)</f>
        <v>35.173639999999999</v>
      </c>
      <c r="C339">
        <f>+ROUND(Get_Data!C338,5)</f>
        <v>13.46378</v>
      </c>
      <c r="D339" s="4">
        <f t="shared" si="6"/>
        <v>2.6124639588585077</v>
      </c>
    </row>
    <row r="340" spans="1:4">
      <c r="A340" s="2">
        <f>+Get_Data!A339</f>
        <v>39937</v>
      </c>
      <c r="B340">
        <f>+ROUND(Get_Data!B339,5)</f>
        <v>34.686210000000003</v>
      </c>
      <c r="C340">
        <f>+ROUND(Get_Data!C339,5)</f>
        <v>13.685689999999999</v>
      </c>
      <c r="D340" s="4">
        <f t="shared" si="6"/>
        <v>2.5344874829109827</v>
      </c>
    </row>
    <row r="341" spans="1:4">
      <c r="A341" s="2">
        <f>+Get_Data!A340</f>
        <v>39938</v>
      </c>
      <c r="B341">
        <f>+ROUND(Get_Data!B340,5)</f>
        <v>35.131259999999997</v>
      </c>
      <c r="C341">
        <f>+ROUND(Get_Data!C340,5)</f>
        <v>13.67618</v>
      </c>
      <c r="D341" s="4">
        <f t="shared" si="6"/>
        <v>2.5687918702444685</v>
      </c>
    </row>
    <row r="342" spans="1:4">
      <c r="A342" s="2">
        <f>+Get_Data!A341</f>
        <v>39939</v>
      </c>
      <c r="B342">
        <f>+ROUND(Get_Data!B341,5)</f>
        <v>35.124200000000002</v>
      </c>
      <c r="C342">
        <f>+ROUND(Get_Data!C341,5)</f>
        <v>13.612780000000001</v>
      </c>
      <c r="D342" s="4">
        <f t="shared" si="6"/>
        <v>2.5802371007244664</v>
      </c>
    </row>
    <row r="343" spans="1:4">
      <c r="A343" s="2">
        <f>+Get_Data!A342</f>
        <v>39940</v>
      </c>
      <c r="B343">
        <f>+ROUND(Get_Data!B342,5)</f>
        <v>34.96172</v>
      </c>
      <c r="C343">
        <f>+ROUND(Get_Data!C342,5)</f>
        <v>13.5684</v>
      </c>
      <c r="D343" s="4">
        <f t="shared" si="6"/>
        <v>2.5767017481795937</v>
      </c>
    </row>
    <row r="344" spans="1:4">
      <c r="A344" s="2">
        <f>+Get_Data!A343</f>
        <v>39941</v>
      </c>
      <c r="B344">
        <f>+ROUND(Get_Data!B343,5)</f>
        <v>35.145400000000002</v>
      </c>
      <c r="C344">
        <f>+ROUND(Get_Data!C343,5)</f>
        <v>13.606439999999999</v>
      </c>
      <c r="D344" s="4">
        <f t="shared" si="6"/>
        <v>2.5829974629660666</v>
      </c>
    </row>
    <row r="345" spans="1:4">
      <c r="A345" s="2">
        <f>+Get_Data!A344</f>
        <v>39944</v>
      </c>
      <c r="B345">
        <f>+ROUND(Get_Data!B344,5)</f>
        <v>35.025300000000001</v>
      </c>
      <c r="C345">
        <f>+ROUND(Get_Data!C344,5)</f>
        <v>13.55255</v>
      </c>
      <c r="D345" s="4">
        <f t="shared" si="6"/>
        <v>2.5844066245835657</v>
      </c>
    </row>
    <row r="346" spans="1:4">
      <c r="A346" s="2">
        <f>+Get_Data!A345</f>
        <v>39945</v>
      </c>
      <c r="B346">
        <f>+ROUND(Get_Data!B345,5)</f>
        <v>34.8063</v>
      </c>
      <c r="C346">
        <f>+ROUND(Get_Data!C345,5)</f>
        <v>14.07563</v>
      </c>
      <c r="D346" s="4">
        <f t="shared" si="6"/>
        <v>2.472805835333836</v>
      </c>
    </row>
    <row r="347" spans="1:4">
      <c r="A347" s="2">
        <f>+Get_Data!A346</f>
        <v>39946</v>
      </c>
      <c r="B347">
        <f>+ROUND(Get_Data!B346,5)</f>
        <v>35.081809999999997</v>
      </c>
      <c r="C347">
        <f>+ROUND(Get_Data!C346,5)</f>
        <v>13.831519999999999</v>
      </c>
      <c r="D347" s="4">
        <f t="shared" si="6"/>
        <v>2.5363669358103809</v>
      </c>
    </row>
    <row r="348" spans="1:4">
      <c r="A348" s="2">
        <f>+Get_Data!A347</f>
        <v>39947</v>
      </c>
      <c r="B348">
        <f>+ROUND(Get_Data!B347,5)</f>
        <v>35.936599999999999</v>
      </c>
      <c r="C348">
        <f>+ROUND(Get_Data!C347,5)</f>
        <v>14.23413</v>
      </c>
      <c r="D348" s="4">
        <f t="shared" si="6"/>
        <v>2.5246783610940744</v>
      </c>
    </row>
    <row r="349" spans="1:4">
      <c r="A349" s="2">
        <f>+Get_Data!A348</f>
        <v>39948</v>
      </c>
      <c r="B349">
        <f>+ROUND(Get_Data!B348,5)</f>
        <v>35.548050000000003</v>
      </c>
      <c r="C349">
        <f>+ROUND(Get_Data!C348,5)</f>
        <v>14.253159999999999</v>
      </c>
      <c r="D349" s="4">
        <f t="shared" si="6"/>
        <v>2.4940469341535496</v>
      </c>
    </row>
    <row r="350" spans="1:4">
      <c r="A350" s="2">
        <f>+Get_Data!A349</f>
        <v>39951</v>
      </c>
      <c r="B350">
        <f>+ROUND(Get_Data!B349,5)</f>
        <v>36.148539999999997</v>
      </c>
      <c r="C350">
        <f>+ROUND(Get_Data!C349,5)</f>
        <v>14.60505</v>
      </c>
      <c r="D350" s="4">
        <f t="shared" si="6"/>
        <v>2.475071293833297</v>
      </c>
    </row>
    <row r="351" spans="1:4">
      <c r="A351" s="2">
        <f>+Get_Data!A350</f>
        <v>39952</v>
      </c>
      <c r="B351">
        <f>+ROUND(Get_Data!B350,5)</f>
        <v>36.45937</v>
      </c>
      <c r="C351">
        <f>+ROUND(Get_Data!C350,5)</f>
        <v>14.78575</v>
      </c>
      <c r="D351" s="4">
        <f t="shared" si="6"/>
        <v>2.465845154963394</v>
      </c>
    </row>
    <row r="352" spans="1:4">
      <c r="A352" s="2">
        <f>+Get_Data!A351</f>
        <v>39953</v>
      </c>
      <c r="B352">
        <f>+ROUND(Get_Data!B351,5)</f>
        <v>36.777279999999998</v>
      </c>
      <c r="C352">
        <f>+ROUND(Get_Data!C351,5)</f>
        <v>14.89987</v>
      </c>
      <c r="D352" s="4">
        <f t="shared" si="6"/>
        <v>2.4682953609662364</v>
      </c>
    </row>
    <row r="353" spans="1:4">
      <c r="A353" s="2">
        <f>+Get_Data!A352</f>
        <v>39954</v>
      </c>
      <c r="B353">
        <f>+ROUND(Get_Data!B352,5)</f>
        <v>36.374600000000001</v>
      </c>
      <c r="C353">
        <f>+ROUND(Get_Data!C352,5)</f>
        <v>14.79843</v>
      </c>
      <c r="D353" s="4">
        <f t="shared" si="6"/>
        <v>2.4580039909639062</v>
      </c>
    </row>
    <row r="354" spans="1:4">
      <c r="A354" s="2">
        <f>+Get_Data!A353</f>
        <v>39955</v>
      </c>
      <c r="B354">
        <f>+ROUND(Get_Data!B353,5)</f>
        <v>36.431100000000001</v>
      </c>
      <c r="C354">
        <f>+ROUND(Get_Data!C353,5)</f>
        <v>14.99498</v>
      </c>
      <c r="D354" s="4">
        <f t="shared" si="6"/>
        <v>2.4295530904342653</v>
      </c>
    </row>
    <row r="355" spans="1:4">
      <c r="A355" s="2">
        <f>+Get_Data!A354</f>
        <v>39959</v>
      </c>
      <c r="B355">
        <f>+ROUND(Get_Data!B354,5)</f>
        <v>36.22625</v>
      </c>
      <c r="C355">
        <f>+ROUND(Get_Data!C354,5)</f>
        <v>14.96645</v>
      </c>
      <c r="D355" s="4">
        <f t="shared" si="6"/>
        <v>2.4204971786896694</v>
      </c>
    </row>
    <row r="356" spans="1:4">
      <c r="A356" s="2">
        <f>+Get_Data!A355</f>
        <v>39960</v>
      </c>
      <c r="B356">
        <f>+ROUND(Get_Data!B355,5)</f>
        <v>35.329079999999998</v>
      </c>
      <c r="C356">
        <f>+ROUND(Get_Data!C355,5)</f>
        <v>14.78257</v>
      </c>
      <c r="D356" s="4">
        <f t="shared" si="6"/>
        <v>2.3899146088941232</v>
      </c>
    </row>
    <row r="357" spans="1:4">
      <c r="A357" s="2">
        <f>+Get_Data!A356</f>
        <v>39961</v>
      </c>
      <c r="B357">
        <f>+ROUND(Get_Data!B356,5)</f>
        <v>36.042569999999998</v>
      </c>
      <c r="C357">
        <f>+ROUND(Get_Data!C356,5)</f>
        <v>14.868180000000001</v>
      </c>
      <c r="D357" s="4">
        <f t="shared" si="6"/>
        <v>2.4241413542208932</v>
      </c>
    </row>
    <row r="358" spans="1:4">
      <c r="A358" s="2">
        <f>+Get_Data!A357</f>
        <v>39962</v>
      </c>
      <c r="B358">
        <f>+ROUND(Get_Data!B357,5)</f>
        <v>36.770209999999999</v>
      </c>
      <c r="C358">
        <f>+ROUND(Get_Data!C357,5)</f>
        <v>15.584630000000001</v>
      </c>
      <c r="D358" s="4">
        <f t="shared" si="6"/>
        <v>2.359389347068233</v>
      </c>
    </row>
    <row r="359" spans="1:4">
      <c r="A359" s="2">
        <f>+Get_Data!A358</f>
        <v>39965</v>
      </c>
      <c r="B359">
        <f>+ROUND(Get_Data!B358,5)</f>
        <v>37.533149999999999</v>
      </c>
      <c r="C359">
        <f>+ROUND(Get_Data!C358,5)</f>
        <v>15.54025</v>
      </c>
      <c r="D359" s="4">
        <f t="shared" si="6"/>
        <v>2.4152217628416528</v>
      </c>
    </row>
    <row r="360" spans="1:4">
      <c r="A360" s="2">
        <f>+Get_Data!A359</f>
        <v>39966</v>
      </c>
      <c r="B360">
        <f>+ROUND(Get_Data!B359,5)</f>
        <v>39.115580000000001</v>
      </c>
      <c r="C360">
        <f>+ROUND(Get_Data!C359,5)</f>
        <v>15.74315</v>
      </c>
      <c r="D360" s="4">
        <f t="shared" si="6"/>
        <v>2.4846094968287797</v>
      </c>
    </row>
    <row r="361" spans="1:4">
      <c r="A361" s="2">
        <f>+Get_Data!A360</f>
        <v>39967</v>
      </c>
      <c r="B361">
        <f>+ROUND(Get_Data!B360,5)</f>
        <v>38.652630000000002</v>
      </c>
      <c r="C361">
        <f>+ROUND(Get_Data!C360,5)</f>
        <v>15.56245</v>
      </c>
      <c r="D361" s="4">
        <f t="shared" si="6"/>
        <v>2.4837111123248592</v>
      </c>
    </row>
    <row r="362" spans="1:4">
      <c r="A362" s="2">
        <f>+Get_Data!A361</f>
        <v>39968</v>
      </c>
      <c r="B362">
        <f>+ROUND(Get_Data!B361,5)</f>
        <v>39.044359999999998</v>
      </c>
      <c r="C362">
        <f>+ROUND(Get_Data!C361,5)</f>
        <v>15.774850000000001</v>
      </c>
      <c r="D362" s="4">
        <f t="shared" si="6"/>
        <v>2.4751018234721722</v>
      </c>
    </row>
    <row r="363" spans="1:4">
      <c r="A363" s="2">
        <f>+Get_Data!A362</f>
        <v>39969</v>
      </c>
      <c r="B363">
        <f>+ROUND(Get_Data!B362,5)</f>
        <v>39.0871</v>
      </c>
      <c r="C363">
        <f>+ROUND(Get_Data!C362,5)</f>
        <v>15.673400000000001</v>
      </c>
      <c r="D363" s="4">
        <f t="shared" si="6"/>
        <v>2.4938494519376775</v>
      </c>
    </row>
    <row r="364" spans="1:4">
      <c r="A364" s="2">
        <f>+Get_Data!A363</f>
        <v>39972</v>
      </c>
      <c r="B364">
        <f>+ROUND(Get_Data!B363,5)</f>
        <v>38.567169999999997</v>
      </c>
      <c r="C364">
        <f>+ROUND(Get_Data!C363,5)</f>
        <v>15.65438</v>
      </c>
      <c r="D364" s="4">
        <f t="shared" si="6"/>
        <v>2.463666398797014</v>
      </c>
    </row>
    <row r="365" spans="1:4">
      <c r="A365" s="2">
        <f>+Get_Data!A364</f>
        <v>39973</v>
      </c>
      <c r="B365">
        <f>+ROUND(Get_Data!B364,5)</f>
        <v>38.089970000000001</v>
      </c>
      <c r="C365">
        <f>+ROUND(Get_Data!C364,5)</f>
        <v>15.56245</v>
      </c>
      <c r="D365" s="4">
        <f t="shared" si="6"/>
        <v>2.4475561367265439</v>
      </c>
    </row>
    <row r="366" spans="1:4">
      <c r="A366" s="2">
        <f>+Get_Data!A365</f>
        <v>39974</v>
      </c>
      <c r="B366">
        <f>+ROUND(Get_Data!B365,5)</f>
        <v>38.0045</v>
      </c>
      <c r="C366">
        <f>+ROUND(Get_Data!C365,5)</f>
        <v>15.346869999999999</v>
      </c>
      <c r="D366" s="4">
        <f t="shared" si="6"/>
        <v>2.4763681454263966</v>
      </c>
    </row>
    <row r="367" spans="1:4">
      <c r="A367" s="2">
        <f>+Get_Data!A366</f>
        <v>39975</v>
      </c>
      <c r="B367">
        <f>+ROUND(Get_Data!B366,5)</f>
        <v>37.726739999999999</v>
      </c>
      <c r="C367">
        <f>+ROUND(Get_Data!C366,5)</f>
        <v>15.666119999999999</v>
      </c>
      <c r="D367" s="4">
        <f t="shared" si="6"/>
        <v>2.408173817128938</v>
      </c>
    </row>
    <row r="368" spans="1:4">
      <c r="A368" s="2">
        <f>+Get_Data!A367</f>
        <v>39976</v>
      </c>
      <c r="B368">
        <f>+ROUND(Get_Data!B367,5)</f>
        <v>38.211060000000003</v>
      </c>
      <c r="C368">
        <f>+ROUND(Get_Data!C367,5)</f>
        <v>15.7661</v>
      </c>
      <c r="D368" s="4">
        <f t="shared" si="6"/>
        <v>2.4236215677941915</v>
      </c>
    </row>
    <row r="369" spans="1:4">
      <c r="A369" s="2">
        <f>+Get_Data!A368</f>
        <v>39979</v>
      </c>
      <c r="B369">
        <f>+ROUND(Get_Data!B368,5)</f>
        <v>37.662640000000003</v>
      </c>
      <c r="C369">
        <f>+ROUND(Get_Data!C368,5)</f>
        <v>15.514559999999999</v>
      </c>
      <c r="D369" s="4">
        <f t="shared" si="6"/>
        <v>2.4275673947569252</v>
      </c>
    </row>
    <row r="370" spans="1:4">
      <c r="A370" s="2">
        <f>+Get_Data!A369</f>
        <v>39980</v>
      </c>
      <c r="B370">
        <f>+ROUND(Get_Data!B369,5)</f>
        <v>37.278030000000001</v>
      </c>
      <c r="C370">
        <f>+ROUND(Get_Data!C369,5)</f>
        <v>15.42427</v>
      </c>
      <c r="D370" s="4">
        <f t="shared" si="6"/>
        <v>2.4168424178259329</v>
      </c>
    </row>
    <row r="371" spans="1:4">
      <c r="A371" s="2">
        <f>+Get_Data!A370</f>
        <v>39981</v>
      </c>
      <c r="B371">
        <f>+ROUND(Get_Data!B370,5)</f>
        <v>37.726739999999999</v>
      </c>
      <c r="C371">
        <f>+ROUND(Get_Data!C370,5)</f>
        <v>15.45651</v>
      </c>
      <c r="D371" s="4">
        <f t="shared" si="6"/>
        <v>2.4408317272139701</v>
      </c>
    </row>
    <row r="372" spans="1:4">
      <c r="A372" s="2">
        <f>+Get_Data!A371</f>
        <v>39982</v>
      </c>
      <c r="B372">
        <f>+ROUND(Get_Data!B371,5)</f>
        <v>38.80932</v>
      </c>
      <c r="C372">
        <f>+ROUND(Get_Data!C371,5)</f>
        <v>15.97894</v>
      </c>
      <c r="D372" s="4">
        <f t="shared" si="6"/>
        <v>2.4287793808600573</v>
      </c>
    </row>
    <row r="373" spans="1:4">
      <c r="A373" s="2">
        <f>+Get_Data!A372</f>
        <v>39983</v>
      </c>
      <c r="B373">
        <f>+ROUND(Get_Data!B372,5)</f>
        <v>38.396239999999999</v>
      </c>
      <c r="C373">
        <f>+ROUND(Get_Data!C372,5)</f>
        <v>15.7403</v>
      </c>
      <c r="D373" s="4">
        <f t="shared" si="6"/>
        <v>2.4393588432240807</v>
      </c>
    </row>
    <row r="374" spans="1:4">
      <c r="A374" s="2">
        <f>+Get_Data!A373</f>
        <v>39986</v>
      </c>
      <c r="B374">
        <f>+ROUND(Get_Data!B373,5)</f>
        <v>38.097099999999998</v>
      </c>
      <c r="C374">
        <f>+ROUND(Get_Data!C373,5)</f>
        <v>15.475860000000001</v>
      </c>
      <c r="D374" s="4">
        <f t="shared" si="6"/>
        <v>2.461711336235918</v>
      </c>
    </row>
    <row r="375" spans="1:4">
      <c r="A375" s="2">
        <f>+Get_Data!A374</f>
        <v>39987</v>
      </c>
      <c r="B375">
        <f>+ROUND(Get_Data!B374,5)</f>
        <v>37.755229999999997</v>
      </c>
      <c r="C375">
        <f>+ROUND(Get_Data!C374,5)</f>
        <v>15.41459</v>
      </c>
      <c r="D375" s="4">
        <f t="shared" si="6"/>
        <v>2.449317821622242</v>
      </c>
    </row>
    <row r="376" spans="1:4">
      <c r="A376" s="2">
        <f>+Get_Data!A375</f>
        <v>39988</v>
      </c>
      <c r="B376">
        <f>+ROUND(Get_Data!B375,5)</f>
        <v>37.783709999999999</v>
      </c>
      <c r="C376">
        <f>+ROUND(Get_Data!C375,5)</f>
        <v>15.31785</v>
      </c>
      <c r="D376" s="4">
        <f t="shared" si="6"/>
        <v>2.4666457760064238</v>
      </c>
    </row>
    <row r="377" spans="1:4">
      <c r="A377" s="2">
        <f>+Get_Data!A376</f>
        <v>39989</v>
      </c>
      <c r="B377">
        <f>+ROUND(Get_Data!B376,5)</f>
        <v>38.453229999999998</v>
      </c>
      <c r="C377">
        <f>+ROUND(Get_Data!C376,5)</f>
        <v>15.430709999999999</v>
      </c>
      <c r="D377" s="4">
        <f t="shared" si="6"/>
        <v>2.491993563484765</v>
      </c>
    </row>
    <row r="378" spans="1:4">
      <c r="A378" s="2">
        <f>+Get_Data!A377</f>
        <v>39990</v>
      </c>
      <c r="B378">
        <f>+ROUND(Get_Data!B377,5)</f>
        <v>38.958889999999997</v>
      </c>
      <c r="C378">
        <f>+ROUND(Get_Data!C377,5)</f>
        <v>15.52101</v>
      </c>
      <c r="D378" s="4">
        <f t="shared" si="6"/>
        <v>2.5100744088174674</v>
      </c>
    </row>
    <row r="379" spans="1:4">
      <c r="A379" s="2">
        <f>+Get_Data!A378</f>
        <v>39993</v>
      </c>
      <c r="B379">
        <f>+ROUND(Get_Data!B378,5)</f>
        <v>39.058599999999998</v>
      </c>
      <c r="C379">
        <f>+ROUND(Get_Data!C378,5)</f>
        <v>15.572609999999999</v>
      </c>
      <c r="D379" s="4">
        <f t="shared" si="6"/>
        <v>2.5081601606923951</v>
      </c>
    </row>
    <row r="380" spans="1:4">
      <c r="A380" s="2">
        <f>+Get_Data!A379</f>
        <v>39994</v>
      </c>
      <c r="B380">
        <f>+ROUND(Get_Data!B379,5)</f>
        <v>39.144069999999999</v>
      </c>
      <c r="C380">
        <f>+ROUND(Get_Data!C379,5)</f>
        <v>15.475860000000001</v>
      </c>
      <c r="D380" s="4">
        <f t="shared" si="6"/>
        <v>2.5293631500931126</v>
      </c>
    </row>
    <row r="381" spans="1:4">
      <c r="A381" s="2">
        <f>+Get_Data!A380</f>
        <v>39995</v>
      </c>
      <c r="B381">
        <f>+ROUND(Get_Data!B380,5)</f>
        <v>40.25515</v>
      </c>
      <c r="C381">
        <f>+ROUND(Get_Data!C380,5)</f>
        <v>15.85962</v>
      </c>
      <c r="D381" s="4">
        <f t="shared" si="6"/>
        <v>2.5382165524772979</v>
      </c>
    </row>
    <row r="382" spans="1:4">
      <c r="A382" s="2">
        <f>+Get_Data!A381</f>
        <v>39996</v>
      </c>
      <c r="B382">
        <f>+ROUND(Get_Data!B381,5)</f>
        <v>40.134059999999998</v>
      </c>
      <c r="C382">
        <f>+ROUND(Get_Data!C381,5)</f>
        <v>15.762869999999999</v>
      </c>
      <c r="D382" s="4">
        <f t="shared" si="6"/>
        <v>2.5461137470524084</v>
      </c>
    </row>
    <row r="383" spans="1:4">
      <c r="A383" s="2">
        <f>+Get_Data!A382</f>
        <v>40000</v>
      </c>
      <c r="B383">
        <f>+ROUND(Get_Data!B382,5)</f>
        <v>40.689610000000002</v>
      </c>
      <c r="C383">
        <f>+ROUND(Get_Data!C382,5)</f>
        <v>15.80157</v>
      </c>
      <c r="D383" s="4">
        <f t="shared" si="6"/>
        <v>2.5750358983316217</v>
      </c>
    </row>
    <row r="384" spans="1:4">
      <c r="A384" s="2">
        <f>+Get_Data!A383</f>
        <v>40001</v>
      </c>
      <c r="B384">
        <f>+ROUND(Get_Data!B383,5)</f>
        <v>39.884790000000002</v>
      </c>
      <c r="C384">
        <f>+ROUND(Get_Data!C383,5)</f>
        <v>15.68548</v>
      </c>
      <c r="D384" s="4">
        <f t="shared" si="6"/>
        <v>2.5427841545174266</v>
      </c>
    </row>
    <row r="385" spans="1:4">
      <c r="A385" s="2">
        <f>+Get_Data!A384</f>
        <v>40002</v>
      </c>
      <c r="B385">
        <f>+ROUND(Get_Data!B384,5)</f>
        <v>39.065719999999999</v>
      </c>
      <c r="C385">
        <f>+ROUND(Get_Data!C384,5)</f>
        <v>15.643549999999999</v>
      </c>
      <c r="D385" s="4">
        <f t="shared" si="6"/>
        <v>2.4972413550632688</v>
      </c>
    </row>
    <row r="386" spans="1:4">
      <c r="A386" s="2">
        <f>+Get_Data!A385</f>
        <v>40003</v>
      </c>
      <c r="B386">
        <f>+ROUND(Get_Data!B385,5)</f>
        <v>38.944650000000003</v>
      </c>
      <c r="C386">
        <f>+ROUND(Get_Data!C385,5)</f>
        <v>15.70805</v>
      </c>
      <c r="D386" s="4">
        <f t="shared" si="6"/>
        <v>2.4792797323665257</v>
      </c>
    </row>
    <row r="387" spans="1:4">
      <c r="A387" s="2">
        <f>+Get_Data!A386</f>
        <v>40004</v>
      </c>
      <c r="B387">
        <f>+ROUND(Get_Data!B386,5)</f>
        <v>38.966009999999997</v>
      </c>
      <c r="C387">
        <f>+ROUND(Get_Data!C386,5)</f>
        <v>15.57906</v>
      </c>
      <c r="D387" s="4">
        <f t="shared" si="6"/>
        <v>2.5011785049932409</v>
      </c>
    </row>
    <row r="388" spans="1:4">
      <c r="A388" s="2">
        <f>+Get_Data!A387</f>
        <v>40007</v>
      </c>
      <c r="B388">
        <f>+ROUND(Get_Data!B387,5)</f>
        <v>39.649749999999997</v>
      </c>
      <c r="C388">
        <f>+ROUND(Get_Data!C387,5)</f>
        <v>15.817690000000001</v>
      </c>
      <c r="D388" s="4">
        <f t="shared" ref="D388:D451" si="7">IFERROR(B388/C388,"")</f>
        <v>2.5066713281142818</v>
      </c>
    </row>
    <row r="389" spans="1:4">
      <c r="A389" s="2">
        <f>+Get_Data!A388</f>
        <v>40008</v>
      </c>
      <c r="B389">
        <f>+ROUND(Get_Data!B388,5)</f>
        <v>39.948889999999999</v>
      </c>
      <c r="C389">
        <f>+ROUND(Get_Data!C388,5)</f>
        <v>15.89509</v>
      </c>
      <c r="D389" s="4">
        <f t="shared" si="7"/>
        <v>2.5132849200602196</v>
      </c>
    </row>
    <row r="390" spans="1:4">
      <c r="A390" s="2">
        <f>+Get_Data!A389</f>
        <v>40009</v>
      </c>
      <c r="B390">
        <f>+ROUND(Get_Data!B389,5)</f>
        <v>40.796439999999997</v>
      </c>
      <c r="C390">
        <f>+ROUND(Get_Data!C389,5)</f>
        <v>16.294969999999999</v>
      </c>
      <c r="D390" s="4">
        <f t="shared" si="7"/>
        <v>2.5036216697545317</v>
      </c>
    </row>
    <row r="391" spans="1:4">
      <c r="A391" s="2">
        <f>+Get_Data!A390</f>
        <v>40010</v>
      </c>
      <c r="B391">
        <f>+ROUND(Get_Data!B390,5)</f>
        <v>40.782200000000003</v>
      </c>
      <c r="C391">
        <f>+ROUND(Get_Data!C390,5)</f>
        <v>16.378810000000001</v>
      </c>
      <c r="D391" s="4">
        <f t="shared" si="7"/>
        <v>2.4899366925924409</v>
      </c>
    </row>
    <row r="392" spans="1:4">
      <c r="A392" s="2">
        <f>+Get_Data!A391</f>
        <v>40011</v>
      </c>
      <c r="B392">
        <f>+ROUND(Get_Data!B391,5)</f>
        <v>40.354860000000002</v>
      </c>
      <c r="C392">
        <f>+ROUND(Get_Data!C391,5)</f>
        <v>16.227250000000002</v>
      </c>
      <c r="D392" s="4">
        <f t="shared" si="7"/>
        <v>2.4868576006408971</v>
      </c>
    </row>
    <row r="393" spans="1:4">
      <c r="A393" s="2">
        <f>+Get_Data!A392</f>
        <v>40014</v>
      </c>
      <c r="B393">
        <f>+ROUND(Get_Data!B392,5)</f>
        <v>39.941760000000002</v>
      </c>
      <c r="C393">
        <f>+ROUND(Get_Data!C392,5)</f>
        <v>16.456199999999999</v>
      </c>
      <c r="D393" s="4">
        <f t="shared" si="7"/>
        <v>2.4271557224632665</v>
      </c>
    </row>
    <row r="394" spans="1:4">
      <c r="A394" s="2">
        <f>+Get_Data!A393</f>
        <v>40015</v>
      </c>
      <c r="B394">
        <f>+ROUND(Get_Data!B393,5)</f>
        <v>40.169690000000003</v>
      </c>
      <c r="C394">
        <f>+ROUND(Get_Data!C393,5)</f>
        <v>16.236920000000001</v>
      </c>
      <c r="D394" s="4">
        <f t="shared" si="7"/>
        <v>2.4739722804571311</v>
      </c>
    </row>
    <row r="395" spans="1:4">
      <c r="A395" s="2">
        <f>+Get_Data!A394</f>
        <v>40016</v>
      </c>
      <c r="B395">
        <f>+ROUND(Get_Data!B394,5)</f>
        <v>39.806449999999998</v>
      </c>
      <c r="C395">
        <f>+ROUND(Get_Data!C394,5)</f>
        <v>15.843489999999999</v>
      </c>
      <c r="D395" s="4">
        <f t="shared" si="7"/>
        <v>2.512479889216328</v>
      </c>
    </row>
    <row r="396" spans="1:4">
      <c r="A396" s="2">
        <f>+Get_Data!A395</f>
        <v>40017</v>
      </c>
      <c r="B396">
        <f>+ROUND(Get_Data!B395,5)</f>
        <v>40.240900000000003</v>
      </c>
      <c r="C396">
        <f>+ROUND(Get_Data!C395,5)</f>
        <v>15.85962</v>
      </c>
      <c r="D396" s="4">
        <f t="shared" si="7"/>
        <v>2.5373180441902141</v>
      </c>
    </row>
    <row r="397" spans="1:4">
      <c r="A397" s="2">
        <f>+Get_Data!A396</f>
        <v>40018</v>
      </c>
      <c r="B397">
        <f>+ROUND(Get_Data!B396,5)</f>
        <v>40.176819999999999</v>
      </c>
      <c r="C397">
        <f>+ROUND(Get_Data!C396,5)</f>
        <v>15.91766</v>
      </c>
      <c r="D397" s="4">
        <f t="shared" si="7"/>
        <v>2.5240405939063906</v>
      </c>
    </row>
    <row r="398" spans="1:4">
      <c r="A398" s="2">
        <f>+Get_Data!A397</f>
        <v>40021</v>
      </c>
      <c r="B398">
        <f>+ROUND(Get_Data!B397,5)</f>
        <v>40.126959999999997</v>
      </c>
      <c r="C398">
        <f>+ROUND(Get_Data!C397,5)</f>
        <v>15.96926</v>
      </c>
      <c r="D398" s="4">
        <f t="shared" si="7"/>
        <v>2.5127626452321521</v>
      </c>
    </row>
    <row r="399" spans="1:4">
      <c r="A399" s="2">
        <f>+Get_Data!A398</f>
        <v>40022</v>
      </c>
      <c r="B399">
        <f>+ROUND(Get_Data!B398,5)</f>
        <v>39.863410000000002</v>
      </c>
      <c r="C399">
        <f>+ROUND(Get_Data!C398,5)</f>
        <v>15.927339999999999</v>
      </c>
      <c r="D399" s="4">
        <f t="shared" si="7"/>
        <v>2.5028290976396566</v>
      </c>
    </row>
    <row r="400" spans="1:4">
      <c r="A400" s="2">
        <f>+Get_Data!A399</f>
        <v>40023</v>
      </c>
      <c r="B400">
        <f>+ROUND(Get_Data!B399,5)</f>
        <v>40.11983</v>
      </c>
      <c r="C400">
        <f>+ROUND(Get_Data!C399,5)</f>
        <v>15.891859999999999</v>
      </c>
      <c r="D400" s="4">
        <f t="shared" si="7"/>
        <v>2.524552192128549</v>
      </c>
    </row>
    <row r="401" spans="1:4">
      <c r="A401" s="2">
        <f>+Get_Data!A400</f>
        <v>40024</v>
      </c>
      <c r="B401">
        <f>+ROUND(Get_Data!B400,5)</f>
        <v>40.312130000000003</v>
      </c>
      <c r="C401">
        <f>+ROUND(Get_Data!C400,5)</f>
        <v>16.01763</v>
      </c>
      <c r="D401" s="4">
        <f t="shared" si="7"/>
        <v>2.5167349976244928</v>
      </c>
    </row>
    <row r="402" spans="1:4">
      <c r="A402" s="2">
        <f>+Get_Data!A401</f>
        <v>40025</v>
      </c>
      <c r="B402">
        <f>+ROUND(Get_Data!B401,5)</f>
        <v>40.418970000000002</v>
      </c>
      <c r="C402">
        <f>+ROUND(Get_Data!C401,5)</f>
        <v>16.07246</v>
      </c>
      <c r="D402" s="4">
        <f t="shared" si="7"/>
        <v>2.5147967392670445</v>
      </c>
    </row>
    <row r="403" spans="1:4">
      <c r="A403" s="2">
        <f>+Get_Data!A402</f>
        <v>40028</v>
      </c>
      <c r="B403">
        <f>+ROUND(Get_Data!B402,5)</f>
        <v>40.027230000000003</v>
      </c>
      <c r="C403">
        <f>+ROUND(Get_Data!C402,5)</f>
        <v>15.99506</v>
      </c>
      <c r="D403" s="4">
        <f t="shared" si="7"/>
        <v>2.5024745140061997</v>
      </c>
    </row>
    <row r="404" spans="1:4">
      <c r="A404" s="2">
        <f>+Get_Data!A403</f>
        <v>40029</v>
      </c>
      <c r="B404">
        <f>+ROUND(Get_Data!B403,5)</f>
        <v>42.064210000000003</v>
      </c>
      <c r="C404">
        <f>+ROUND(Get_Data!C403,5)</f>
        <v>15.962809999999999</v>
      </c>
      <c r="D404" s="4">
        <f t="shared" si="7"/>
        <v>2.6351381742938744</v>
      </c>
    </row>
    <row r="405" spans="1:4">
      <c r="A405" s="2">
        <f>+Get_Data!A404</f>
        <v>40030</v>
      </c>
      <c r="B405">
        <f>+ROUND(Get_Data!B404,5)</f>
        <v>41.587020000000003</v>
      </c>
      <c r="C405">
        <f>+ROUND(Get_Data!C404,5)</f>
        <v>15.856389999999999</v>
      </c>
      <c r="D405" s="4">
        <f t="shared" si="7"/>
        <v>2.6227293854401919</v>
      </c>
    </row>
    <row r="406" spans="1:4">
      <c r="A406" s="2">
        <f>+Get_Data!A405</f>
        <v>40031</v>
      </c>
      <c r="B406">
        <f>+ROUND(Get_Data!B405,5)</f>
        <v>41.188180000000003</v>
      </c>
      <c r="C406">
        <f>+ROUND(Get_Data!C405,5)</f>
        <v>15.927339999999999</v>
      </c>
      <c r="D406" s="4">
        <f t="shared" si="7"/>
        <v>2.586004944956283</v>
      </c>
    </row>
    <row r="407" spans="1:4">
      <c r="A407" s="2">
        <f>+Get_Data!A406</f>
        <v>40032</v>
      </c>
      <c r="B407">
        <f>+ROUND(Get_Data!B406,5)</f>
        <v>41.124070000000003</v>
      </c>
      <c r="C407">
        <f>+ROUND(Get_Data!C406,5)</f>
        <v>15.911210000000001</v>
      </c>
      <c r="D407" s="4">
        <f t="shared" si="7"/>
        <v>2.5845972745001795</v>
      </c>
    </row>
    <row r="408" spans="1:4">
      <c r="A408" s="2">
        <f>+Get_Data!A407</f>
        <v>40035</v>
      </c>
      <c r="B408">
        <f>+ROUND(Get_Data!B407,5)</f>
        <v>40.889029999999998</v>
      </c>
      <c r="C408">
        <f>+ROUND(Get_Data!C407,5)</f>
        <v>15.94346</v>
      </c>
      <c r="D408" s="4">
        <f t="shared" si="7"/>
        <v>2.5646271261068803</v>
      </c>
    </row>
    <row r="409" spans="1:4">
      <c r="A409" s="2">
        <f>+Get_Data!A408</f>
        <v>40036</v>
      </c>
      <c r="B409">
        <f>+ROUND(Get_Data!B408,5)</f>
        <v>40.532919999999997</v>
      </c>
      <c r="C409">
        <f>+ROUND(Get_Data!C408,5)</f>
        <v>15.81447</v>
      </c>
      <c r="D409" s="4">
        <f t="shared" si="7"/>
        <v>2.5630274046490333</v>
      </c>
    </row>
    <row r="410" spans="1:4">
      <c r="A410" s="2">
        <f>+Get_Data!A409</f>
        <v>40037</v>
      </c>
      <c r="B410">
        <f>+ROUND(Get_Data!B409,5)</f>
        <v>40.369109999999999</v>
      </c>
      <c r="C410">
        <f>+ROUND(Get_Data!C409,5)</f>
        <v>15.62743</v>
      </c>
      <c r="D410" s="4">
        <f t="shared" si="7"/>
        <v>2.5832212974238247</v>
      </c>
    </row>
    <row r="411" spans="1:4">
      <c r="A411" s="2">
        <f>+Get_Data!A410</f>
        <v>40038</v>
      </c>
      <c r="B411">
        <f>+ROUND(Get_Data!B410,5)</f>
        <v>40.23377</v>
      </c>
      <c r="C411">
        <f>+ROUND(Get_Data!C410,5)</f>
        <v>15.51778</v>
      </c>
      <c r="D411" s="4">
        <f t="shared" si="7"/>
        <v>2.5927529582195392</v>
      </c>
    </row>
    <row r="412" spans="1:4">
      <c r="A412" s="2">
        <f>+Get_Data!A411</f>
        <v>40039</v>
      </c>
      <c r="B412">
        <f>+ROUND(Get_Data!B411,5)</f>
        <v>40.283630000000002</v>
      </c>
      <c r="C412">
        <f>+ROUND(Get_Data!C411,5)</f>
        <v>15.630660000000001</v>
      </c>
      <c r="D412" s="4">
        <f t="shared" si="7"/>
        <v>2.577218748280623</v>
      </c>
    </row>
    <row r="413" spans="1:4">
      <c r="A413" s="2">
        <f>+Get_Data!A412</f>
        <v>40042</v>
      </c>
      <c r="B413">
        <f>+ROUND(Get_Data!B412,5)</f>
        <v>40.012999999999998</v>
      </c>
      <c r="C413">
        <f>+ROUND(Get_Data!C412,5)</f>
        <v>15.704829999999999</v>
      </c>
      <c r="D413" s="4">
        <f t="shared" si="7"/>
        <v>2.5478149078977612</v>
      </c>
    </row>
    <row r="414" spans="1:4">
      <c r="A414" s="2">
        <f>+Get_Data!A413</f>
        <v>40043</v>
      </c>
      <c r="B414">
        <f>+ROUND(Get_Data!B413,5)</f>
        <v>40.055729999999997</v>
      </c>
      <c r="C414">
        <f>+ROUND(Get_Data!C413,5)</f>
        <v>15.675800000000001</v>
      </c>
      <c r="D414" s="4">
        <f t="shared" si="7"/>
        <v>2.5552590617384756</v>
      </c>
    </row>
    <row r="415" spans="1:4">
      <c r="A415" s="2">
        <f>+Get_Data!A414</f>
        <v>40044</v>
      </c>
      <c r="B415">
        <f>+ROUND(Get_Data!B414,5)</f>
        <v>40.205300000000001</v>
      </c>
      <c r="C415">
        <f>+ROUND(Get_Data!C414,5)</f>
        <v>15.91766</v>
      </c>
      <c r="D415" s="4">
        <f t="shared" si="7"/>
        <v>2.5258298016165694</v>
      </c>
    </row>
    <row r="416" spans="1:4">
      <c r="A416" s="2">
        <f>+Get_Data!A415</f>
        <v>40045</v>
      </c>
      <c r="B416">
        <f>+ROUND(Get_Data!B415,5)</f>
        <v>40.483060000000002</v>
      </c>
      <c r="C416">
        <f>+ROUND(Get_Data!C415,5)</f>
        <v>15.93702</v>
      </c>
      <c r="D416" s="4">
        <f t="shared" si="7"/>
        <v>2.5401900731755371</v>
      </c>
    </row>
    <row r="417" spans="1:4">
      <c r="A417" s="2">
        <f>+Get_Data!A416</f>
        <v>40046</v>
      </c>
      <c r="B417">
        <f>+ROUND(Get_Data!B416,5)</f>
        <v>40.946019999999997</v>
      </c>
      <c r="C417">
        <f>+ROUND(Get_Data!C416,5)</f>
        <v>16.095030000000001</v>
      </c>
      <c r="D417" s="4">
        <f t="shared" si="7"/>
        <v>2.5440163826970186</v>
      </c>
    </row>
    <row r="418" spans="1:4">
      <c r="A418" s="2">
        <f>+Get_Data!A417</f>
        <v>40049</v>
      </c>
      <c r="B418">
        <f>+ROUND(Get_Data!B417,5)</f>
        <v>40.917520000000003</v>
      </c>
      <c r="C418">
        <f>+ROUND(Get_Data!C417,5)</f>
        <v>15.820919999999999</v>
      </c>
      <c r="D418" s="4">
        <f t="shared" si="7"/>
        <v>2.5862920740386781</v>
      </c>
    </row>
    <row r="419" spans="1:4">
      <c r="A419" s="2">
        <f>+Get_Data!A418</f>
        <v>40050</v>
      </c>
      <c r="B419">
        <f>+ROUND(Get_Data!B418,5)</f>
        <v>40.803559999999997</v>
      </c>
      <c r="C419">
        <f>+ROUND(Get_Data!C418,5)</f>
        <v>15.71772</v>
      </c>
      <c r="D419" s="4">
        <f t="shared" si="7"/>
        <v>2.5960228328281709</v>
      </c>
    </row>
    <row r="420" spans="1:4">
      <c r="A420" s="2">
        <f>+Get_Data!A419</f>
        <v>40051</v>
      </c>
      <c r="B420">
        <f>+ROUND(Get_Data!B419,5)</f>
        <v>41.223770000000002</v>
      </c>
      <c r="C420">
        <f>+ROUND(Get_Data!C419,5)</f>
        <v>15.85962</v>
      </c>
      <c r="D420" s="4">
        <f t="shared" si="7"/>
        <v>2.5992911557780074</v>
      </c>
    </row>
    <row r="421" spans="1:4">
      <c r="A421" s="2">
        <f>+Get_Data!A420</f>
        <v>40052</v>
      </c>
      <c r="B421">
        <f>+ROUND(Get_Data!B420,5)</f>
        <v>41.138309999999997</v>
      </c>
      <c r="C421">
        <f>+ROUND(Get_Data!C420,5)</f>
        <v>15.94346</v>
      </c>
      <c r="D421" s="4">
        <f t="shared" si="7"/>
        <v>2.5802623771753432</v>
      </c>
    </row>
    <row r="422" spans="1:4">
      <c r="A422" s="2">
        <f>+Get_Data!A421</f>
        <v>40053</v>
      </c>
      <c r="B422">
        <f>+ROUND(Get_Data!B421,5)</f>
        <v>40.426079999999999</v>
      </c>
      <c r="C422">
        <f>+ROUND(Get_Data!C421,5)</f>
        <v>15.820919999999999</v>
      </c>
      <c r="D422" s="4">
        <f t="shared" si="7"/>
        <v>2.5552294051167697</v>
      </c>
    </row>
    <row r="423" spans="1:4">
      <c r="A423" s="2">
        <f>+Get_Data!A422</f>
        <v>40056</v>
      </c>
      <c r="B423">
        <f>+ROUND(Get_Data!B422,5)</f>
        <v>40.361980000000003</v>
      </c>
      <c r="C423">
        <f>+ROUND(Get_Data!C422,5)</f>
        <v>15.727399999999999</v>
      </c>
      <c r="D423" s="4">
        <f t="shared" si="7"/>
        <v>2.5663479023869176</v>
      </c>
    </row>
    <row r="424" spans="1:4">
      <c r="A424" s="2">
        <f>+Get_Data!A423</f>
        <v>40057</v>
      </c>
      <c r="B424">
        <f>+ROUND(Get_Data!B423,5)</f>
        <v>40.062849999999997</v>
      </c>
      <c r="C424">
        <f>+ROUND(Get_Data!C423,5)</f>
        <v>15.65</v>
      </c>
      <c r="D424" s="4">
        <f t="shared" si="7"/>
        <v>2.5599265175718848</v>
      </c>
    </row>
    <row r="425" spans="1:4">
      <c r="A425" s="2">
        <f>+Get_Data!A424</f>
        <v>40058</v>
      </c>
      <c r="B425">
        <f>+ROUND(Get_Data!B424,5)</f>
        <v>40.457740000000001</v>
      </c>
      <c r="C425">
        <f>+ROUND(Get_Data!C424,5)</f>
        <v>16.059560000000001</v>
      </c>
      <c r="D425" s="4">
        <f t="shared" si="7"/>
        <v>2.5192309129266306</v>
      </c>
    </row>
    <row r="426" spans="1:4">
      <c r="A426" s="2">
        <f>+Get_Data!A425</f>
        <v>40059</v>
      </c>
      <c r="B426">
        <f>+ROUND(Get_Data!B425,5)</f>
        <v>40.665939999999999</v>
      </c>
      <c r="C426">
        <f>+ROUND(Get_Data!C425,5)</f>
        <v>15.98861</v>
      </c>
      <c r="D426" s="4">
        <f t="shared" si="7"/>
        <v>2.5434318555521713</v>
      </c>
    </row>
    <row r="427" spans="1:4">
      <c r="A427" s="2">
        <f>+Get_Data!A426</f>
        <v>40060</v>
      </c>
      <c r="B427">
        <f>+ROUND(Get_Data!B426,5)</f>
        <v>41.312130000000003</v>
      </c>
      <c r="C427">
        <f>+ROUND(Get_Data!C426,5)</f>
        <v>16.10793</v>
      </c>
      <c r="D427" s="4">
        <f t="shared" si="7"/>
        <v>2.5647075695014818</v>
      </c>
    </row>
    <row r="428" spans="1:4">
      <c r="A428" s="2">
        <f>+Get_Data!A427</f>
        <v>40064</v>
      </c>
      <c r="B428">
        <f>+ROUND(Get_Data!B427,5)</f>
        <v>41.843409999999999</v>
      </c>
      <c r="C428">
        <f>+ROUND(Get_Data!C427,5)</f>
        <v>16.256260000000001</v>
      </c>
      <c r="D428" s="4">
        <f t="shared" si="7"/>
        <v>2.5739874977393322</v>
      </c>
    </row>
    <row r="429" spans="1:4">
      <c r="A429" s="2">
        <f>+Get_Data!A428</f>
        <v>40065</v>
      </c>
      <c r="B429">
        <f>+ROUND(Get_Data!B428,5)</f>
        <v>41.671109999999999</v>
      </c>
      <c r="C429">
        <f>+ROUND(Get_Data!C428,5)</f>
        <v>16.327210000000001</v>
      </c>
      <c r="D429" s="4">
        <f t="shared" si="7"/>
        <v>2.5522492820267515</v>
      </c>
    </row>
    <row r="430" spans="1:4">
      <c r="A430" s="2">
        <f>+Get_Data!A429</f>
        <v>40066</v>
      </c>
      <c r="B430">
        <f>+ROUND(Get_Data!B429,5)</f>
        <v>41.541870000000003</v>
      </c>
      <c r="C430">
        <f>+ROUND(Get_Data!C429,5)</f>
        <v>16.31109</v>
      </c>
      <c r="D430" s="4">
        <f t="shared" si="7"/>
        <v>2.5468481873375723</v>
      </c>
    </row>
    <row r="431" spans="1:4">
      <c r="A431" s="2">
        <f>+Get_Data!A430</f>
        <v>40067</v>
      </c>
      <c r="B431">
        <f>+ROUND(Get_Data!B430,5)</f>
        <v>42.223950000000002</v>
      </c>
      <c r="C431">
        <f>+ROUND(Get_Data!C430,5)</f>
        <v>16.884730000000001</v>
      </c>
      <c r="D431" s="4">
        <f t="shared" si="7"/>
        <v>2.5007181044648035</v>
      </c>
    </row>
    <row r="432" spans="1:4">
      <c r="A432" s="2">
        <f>+Get_Data!A431</f>
        <v>40070</v>
      </c>
      <c r="B432">
        <f>+ROUND(Get_Data!B431,5)</f>
        <v>42.144970000000001</v>
      </c>
      <c r="C432">
        <f>+ROUND(Get_Data!C431,5)</f>
        <v>17.097799999999999</v>
      </c>
      <c r="D432" s="4">
        <f t="shared" si="7"/>
        <v>2.4649352548281067</v>
      </c>
    </row>
    <row r="433" spans="1:4">
      <c r="A433" s="2">
        <f>+Get_Data!A432</f>
        <v>40071</v>
      </c>
      <c r="B433">
        <f>+ROUND(Get_Data!B432,5)</f>
        <v>41.8506</v>
      </c>
      <c r="C433">
        <f>+ROUND(Get_Data!C432,5)</f>
        <v>17.19286</v>
      </c>
      <c r="D433" s="4">
        <f t="shared" si="7"/>
        <v>2.4341848883780828</v>
      </c>
    </row>
    <row r="434" spans="1:4">
      <c r="A434" s="2">
        <f>+Get_Data!A433</f>
        <v>40072</v>
      </c>
      <c r="B434">
        <f>+ROUND(Get_Data!B433,5)</f>
        <v>41.886490000000002</v>
      </c>
      <c r="C434">
        <f>+ROUND(Get_Data!C433,5)</f>
        <v>17.264970000000002</v>
      </c>
      <c r="D434" s="4">
        <f t="shared" si="7"/>
        <v>2.4260968886711067</v>
      </c>
    </row>
    <row r="435" spans="1:4">
      <c r="A435" s="2">
        <f>+Get_Data!A434</f>
        <v>40073</v>
      </c>
      <c r="B435">
        <f>+ROUND(Get_Data!B434,5)</f>
        <v>42.216769999999997</v>
      </c>
      <c r="C435">
        <f>+ROUND(Get_Data!C434,5)</f>
        <v>17.510819999999999</v>
      </c>
      <c r="D435" s="4">
        <f t="shared" si="7"/>
        <v>2.4108962344424762</v>
      </c>
    </row>
    <row r="436" spans="1:4">
      <c r="A436" s="2">
        <f>+Get_Data!A435</f>
        <v>40074</v>
      </c>
      <c r="B436">
        <f>+ROUND(Get_Data!B435,5)</f>
        <v>42.977820000000001</v>
      </c>
      <c r="C436">
        <f>+ROUND(Get_Data!C435,5)</f>
        <v>17.62227</v>
      </c>
      <c r="D436" s="4">
        <f t="shared" si="7"/>
        <v>2.4388356324128502</v>
      </c>
    </row>
    <row r="437" spans="1:4">
      <c r="A437" s="2">
        <f>+Get_Data!A436</f>
        <v>40077</v>
      </c>
      <c r="B437">
        <f>+ROUND(Get_Data!B436,5)</f>
        <v>42.37473</v>
      </c>
      <c r="C437">
        <f>+ROUND(Get_Data!C436,5)</f>
        <v>17.373139999999999</v>
      </c>
      <c r="D437" s="4">
        <f t="shared" si="7"/>
        <v>2.4390944872371949</v>
      </c>
    </row>
    <row r="438" spans="1:4">
      <c r="A438" s="2">
        <f>+Get_Data!A437</f>
        <v>40078</v>
      </c>
      <c r="B438">
        <f>+ROUND(Get_Data!B437,5)</f>
        <v>42.058810000000001</v>
      </c>
      <c r="C438">
        <f>+ROUND(Get_Data!C437,5)</f>
        <v>17.323979999999999</v>
      </c>
      <c r="D438" s="4">
        <f t="shared" si="7"/>
        <v>2.4277798750633517</v>
      </c>
    </row>
    <row r="439" spans="1:4">
      <c r="A439" s="2">
        <f>+Get_Data!A438</f>
        <v>40079</v>
      </c>
      <c r="B439">
        <f>+ROUND(Get_Data!B438,5)</f>
        <v>41.979840000000003</v>
      </c>
      <c r="C439">
        <f>+ROUND(Get_Data!C438,5)</f>
        <v>17.235469999999999</v>
      </c>
      <c r="D439" s="4">
        <f t="shared" si="7"/>
        <v>2.4356655200003252</v>
      </c>
    </row>
    <row r="440" spans="1:4">
      <c r="A440" s="2">
        <f>+Get_Data!A439</f>
        <v>40080</v>
      </c>
      <c r="B440">
        <f>+ROUND(Get_Data!B439,5)</f>
        <v>42.030099999999997</v>
      </c>
      <c r="C440">
        <f>+ROUND(Get_Data!C439,5)</f>
        <v>17.1568</v>
      </c>
      <c r="D440" s="4">
        <f t="shared" si="7"/>
        <v>2.4497633591345704</v>
      </c>
    </row>
    <row r="441" spans="1:4">
      <c r="A441" s="2">
        <f>+Get_Data!A440</f>
        <v>40081</v>
      </c>
      <c r="B441">
        <f>+ROUND(Get_Data!B440,5)</f>
        <v>42.130600000000001</v>
      </c>
      <c r="C441">
        <f>+ROUND(Get_Data!C440,5)</f>
        <v>17.363309999999998</v>
      </c>
      <c r="D441" s="4">
        <f t="shared" si="7"/>
        <v>2.426415239951369</v>
      </c>
    </row>
    <row r="442" spans="1:4">
      <c r="A442" s="2">
        <f>+Get_Data!A441</f>
        <v>40084</v>
      </c>
      <c r="B442">
        <f>+ROUND(Get_Data!B441,5)</f>
        <v>42.381889999999999</v>
      </c>
      <c r="C442">
        <f>+ROUND(Get_Data!C441,5)</f>
        <v>17.415759999999999</v>
      </c>
      <c r="D442" s="4">
        <f t="shared" si="7"/>
        <v>2.4335366357827626</v>
      </c>
    </row>
    <row r="443" spans="1:4">
      <c r="A443" s="2">
        <f>+Get_Data!A442</f>
        <v>40085</v>
      </c>
      <c r="B443">
        <f>+ROUND(Get_Data!B442,5)</f>
        <v>42.008560000000003</v>
      </c>
      <c r="C443">
        <f>+ROUND(Get_Data!C442,5)</f>
        <v>17.474769999999999</v>
      </c>
      <c r="D443" s="4">
        <f t="shared" si="7"/>
        <v>2.4039549590638392</v>
      </c>
    </row>
    <row r="444" spans="1:4">
      <c r="A444" s="2">
        <f>+Get_Data!A443</f>
        <v>40086</v>
      </c>
      <c r="B444">
        <f>+ROUND(Get_Data!B443,5)</f>
        <v>42.116250000000001</v>
      </c>
      <c r="C444">
        <f>+ROUND(Get_Data!C443,5)</f>
        <v>17.602599999999999</v>
      </c>
      <c r="D444" s="4">
        <f t="shared" si="7"/>
        <v>2.3926152954677153</v>
      </c>
    </row>
    <row r="445" spans="1:4">
      <c r="A445" s="2">
        <f>+Get_Data!A444</f>
        <v>40087</v>
      </c>
      <c r="B445">
        <f>+ROUND(Get_Data!B444,5)</f>
        <v>41.972650000000002</v>
      </c>
      <c r="C445">
        <f>+ROUND(Get_Data!C444,5)</f>
        <v>17.412479999999999</v>
      </c>
      <c r="D445" s="4">
        <f t="shared" si="7"/>
        <v>2.4104923595030692</v>
      </c>
    </row>
    <row r="446" spans="1:4">
      <c r="A446" s="2">
        <f>+Get_Data!A445</f>
        <v>40088</v>
      </c>
      <c r="B446">
        <f>+ROUND(Get_Data!B445,5)</f>
        <v>43.724510000000002</v>
      </c>
      <c r="C446">
        <f>+ROUND(Get_Data!C445,5)</f>
        <v>17.65832</v>
      </c>
      <c r="D446" s="4">
        <f t="shared" si="7"/>
        <v>2.4761421245056154</v>
      </c>
    </row>
    <row r="447" spans="1:4">
      <c r="A447" s="2">
        <f>+Get_Data!A446</f>
        <v>40091</v>
      </c>
      <c r="B447">
        <f>+ROUND(Get_Data!B446,5)</f>
        <v>43.688609999999997</v>
      </c>
      <c r="C447">
        <f>+ROUND(Get_Data!C446,5)</f>
        <v>17.635380000000001</v>
      </c>
      <c r="D447" s="4">
        <f t="shared" si="7"/>
        <v>2.4773273952701893</v>
      </c>
    </row>
    <row r="448" spans="1:4">
      <c r="A448" s="2">
        <f>+Get_Data!A447</f>
        <v>40092</v>
      </c>
      <c r="B448">
        <f>+ROUND(Get_Data!B447,5)</f>
        <v>43.702979999999997</v>
      </c>
      <c r="C448">
        <f>+ROUND(Get_Data!C447,5)</f>
        <v>17.80583</v>
      </c>
      <c r="D448" s="4">
        <f t="shared" si="7"/>
        <v>2.4544197041081488</v>
      </c>
    </row>
    <row r="449" spans="1:4">
      <c r="A449" s="2">
        <f>+Get_Data!A448</f>
        <v>40093</v>
      </c>
      <c r="B449">
        <f>+ROUND(Get_Data!B448,5)</f>
        <v>43.918370000000003</v>
      </c>
      <c r="C449">
        <f>+ROUND(Get_Data!C448,5)</f>
        <v>17.966460000000001</v>
      </c>
      <c r="D449" s="4">
        <f t="shared" si="7"/>
        <v>2.44446429624979</v>
      </c>
    </row>
    <row r="450" spans="1:4">
      <c r="A450" s="2">
        <f>+Get_Data!A449</f>
        <v>40094</v>
      </c>
      <c r="B450">
        <f>+ROUND(Get_Data!B449,5)</f>
        <v>43.358350000000002</v>
      </c>
      <c r="C450">
        <f>+ROUND(Get_Data!C449,5)</f>
        <v>17.89434</v>
      </c>
      <c r="D450" s="4">
        <f t="shared" si="7"/>
        <v>2.4230203516866227</v>
      </c>
    </row>
    <row r="451" spans="1:4">
      <c r="A451" s="2">
        <f>+Get_Data!A450</f>
        <v>40095</v>
      </c>
      <c r="B451">
        <f>+ROUND(Get_Data!B450,5)</f>
        <v>43.501939999999998</v>
      </c>
      <c r="C451">
        <f>+ROUND(Get_Data!C450,5)</f>
        <v>17.914010000000001</v>
      </c>
      <c r="D451" s="4">
        <f t="shared" si="7"/>
        <v>2.428375333049384</v>
      </c>
    </row>
    <row r="452" spans="1:4">
      <c r="A452" s="2">
        <f>+Get_Data!A451</f>
        <v>40098</v>
      </c>
      <c r="B452">
        <f>+ROUND(Get_Data!B451,5)</f>
        <v>43.738869999999999</v>
      </c>
      <c r="C452">
        <f>+ROUND(Get_Data!C451,5)</f>
        <v>17.959900000000001</v>
      </c>
      <c r="D452" s="4">
        <f t="shared" ref="D452:D515" si="8">IFERROR(B452/C452,"")</f>
        <v>2.4353626690571772</v>
      </c>
    </row>
    <row r="453" spans="1:4">
      <c r="A453" s="2">
        <f>+Get_Data!A452</f>
        <v>40099</v>
      </c>
      <c r="B453">
        <f>+ROUND(Get_Data!B452,5)</f>
        <v>43.50911</v>
      </c>
      <c r="C453">
        <f>+ROUND(Get_Data!C452,5)</f>
        <v>17.963180000000001</v>
      </c>
      <c r="D453" s="4">
        <f t="shared" si="8"/>
        <v>2.4221273738836886</v>
      </c>
    </row>
    <row r="454" spans="1:4">
      <c r="A454" s="2">
        <f>+Get_Data!A453</f>
        <v>40100</v>
      </c>
      <c r="B454">
        <f>+ROUND(Get_Data!B453,5)</f>
        <v>44.241439999999997</v>
      </c>
      <c r="C454">
        <f>+ROUND(Get_Data!C453,5)</f>
        <v>17.976289999999999</v>
      </c>
      <c r="D454" s="4">
        <f t="shared" si="8"/>
        <v>2.4610995928525852</v>
      </c>
    </row>
    <row r="455" spans="1:4">
      <c r="A455" s="2">
        <f>+Get_Data!A454</f>
        <v>40101</v>
      </c>
      <c r="B455">
        <f>+ROUND(Get_Data!B454,5)</f>
        <v>45.002510000000001</v>
      </c>
      <c r="C455">
        <f>+ROUND(Get_Data!C454,5)</f>
        <v>18.002510000000001</v>
      </c>
      <c r="D455" s="4">
        <f t="shared" si="8"/>
        <v>2.4997908624963965</v>
      </c>
    </row>
    <row r="456" spans="1:4">
      <c r="A456" s="2">
        <f>+Get_Data!A455</f>
        <v>40102</v>
      </c>
      <c r="B456">
        <f>+ROUND(Get_Data!B455,5)</f>
        <v>44.722479999999997</v>
      </c>
      <c r="C456">
        <f>+ROUND(Get_Data!C455,5)</f>
        <v>18.03201</v>
      </c>
      <c r="D456" s="4">
        <f t="shared" si="8"/>
        <v>2.480171650304098</v>
      </c>
    </row>
    <row r="457" spans="1:4">
      <c r="A457" s="2">
        <f>+Get_Data!A456</f>
        <v>40105</v>
      </c>
      <c r="B457">
        <f>+ROUND(Get_Data!B456,5)</f>
        <v>44.550170000000001</v>
      </c>
      <c r="C457">
        <f>+ROUND(Get_Data!C456,5)</f>
        <v>17.959900000000001</v>
      </c>
      <c r="D457" s="4">
        <f t="shared" si="8"/>
        <v>2.4805355263670732</v>
      </c>
    </row>
    <row r="458" spans="1:4">
      <c r="A458" s="2">
        <f>+Get_Data!A457</f>
        <v>40106</v>
      </c>
      <c r="B458">
        <f>+ROUND(Get_Data!B457,5)</f>
        <v>44.212739999999997</v>
      </c>
      <c r="C458">
        <f>+ROUND(Get_Data!C457,5)</f>
        <v>17.723890000000001</v>
      </c>
      <c r="D458" s="4">
        <f t="shared" si="8"/>
        <v>2.494528007113562</v>
      </c>
    </row>
    <row r="459" spans="1:4">
      <c r="A459" s="2">
        <f>+Get_Data!A458</f>
        <v>40107</v>
      </c>
      <c r="B459">
        <f>+ROUND(Get_Data!B458,5)</f>
        <v>44.399389999999997</v>
      </c>
      <c r="C459">
        <f>+ROUND(Get_Data!C458,5)</f>
        <v>17.723890000000001</v>
      </c>
      <c r="D459" s="4">
        <f t="shared" si="8"/>
        <v>2.5050589910002823</v>
      </c>
    </row>
    <row r="460" spans="1:4">
      <c r="A460" s="2">
        <f>+Get_Data!A459</f>
        <v>40108</v>
      </c>
      <c r="B460">
        <f>+ROUND(Get_Data!B459,5)</f>
        <v>44.155279999999998</v>
      </c>
      <c r="C460">
        <f>+ROUND(Get_Data!C459,5)</f>
        <v>17.750109999999999</v>
      </c>
      <c r="D460" s="4">
        <f t="shared" si="8"/>
        <v>2.4876059923008929</v>
      </c>
    </row>
    <row r="461" spans="1:4">
      <c r="A461" s="2">
        <f>+Get_Data!A460</f>
        <v>40109</v>
      </c>
      <c r="B461">
        <f>+ROUND(Get_Data!B460,5)</f>
        <v>43.817839999999997</v>
      </c>
      <c r="C461">
        <f>+ROUND(Get_Data!C460,5)</f>
        <v>17.451809999999998</v>
      </c>
      <c r="D461" s="4">
        <f t="shared" si="8"/>
        <v>2.5107905712931782</v>
      </c>
    </row>
    <row r="462" spans="1:4">
      <c r="A462" s="2">
        <f>+Get_Data!A461</f>
        <v>40112</v>
      </c>
      <c r="B462">
        <f>+ROUND(Get_Data!B461,5)</f>
        <v>43.415759999999999</v>
      </c>
      <c r="C462">
        <f>+ROUND(Get_Data!C461,5)</f>
        <v>17.448540000000001</v>
      </c>
      <c r="D462" s="4">
        <f t="shared" si="8"/>
        <v>2.4882173522827697</v>
      </c>
    </row>
    <row r="463" spans="1:4">
      <c r="A463" s="2">
        <f>+Get_Data!A462</f>
        <v>40113</v>
      </c>
      <c r="B463">
        <f>+ROUND(Get_Data!B462,5)</f>
        <v>43.796289999999999</v>
      </c>
      <c r="C463">
        <f>+ROUND(Get_Data!C462,5)</f>
        <v>17.52393</v>
      </c>
      <c r="D463" s="4">
        <f t="shared" si="8"/>
        <v>2.4992276275926688</v>
      </c>
    </row>
    <row r="464" spans="1:4">
      <c r="A464" s="2">
        <f>+Get_Data!A463</f>
        <v>40114</v>
      </c>
      <c r="B464">
        <f>+ROUND(Get_Data!B463,5)</f>
        <v>43.789119999999997</v>
      </c>
      <c r="C464">
        <f>+ROUND(Get_Data!C463,5)</f>
        <v>17.540320000000001</v>
      </c>
      <c r="D464" s="4">
        <f t="shared" si="8"/>
        <v>2.4964835305171169</v>
      </c>
    </row>
    <row r="465" spans="1:4">
      <c r="A465" s="2">
        <f>+Get_Data!A464</f>
        <v>40115</v>
      </c>
      <c r="B465">
        <f>+ROUND(Get_Data!B464,5)</f>
        <v>44.076320000000003</v>
      </c>
      <c r="C465">
        <f>+ROUND(Get_Data!C464,5)</f>
        <v>17.730440000000002</v>
      </c>
      <c r="D465" s="4">
        <f t="shared" si="8"/>
        <v>2.4859123631449642</v>
      </c>
    </row>
    <row r="466" spans="1:4">
      <c r="A466" s="2">
        <f>+Get_Data!A465</f>
        <v>40116</v>
      </c>
      <c r="B466">
        <f>+ROUND(Get_Data!B465,5)</f>
        <v>43.473210000000002</v>
      </c>
      <c r="C466">
        <f>+ROUND(Get_Data!C465,5)</f>
        <v>17.474769999999999</v>
      </c>
      <c r="D466" s="4">
        <f t="shared" si="8"/>
        <v>2.4877700822385647</v>
      </c>
    </row>
    <row r="467" spans="1:4">
      <c r="A467" s="2">
        <f>+Get_Data!A466</f>
        <v>40119</v>
      </c>
      <c r="B467">
        <f>+ROUND(Get_Data!B466,5)</f>
        <v>43.50911</v>
      </c>
      <c r="C467">
        <f>+ROUND(Get_Data!C466,5)</f>
        <v>17.609159999999999</v>
      </c>
      <c r="D467" s="4">
        <f t="shared" si="8"/>
        <v>2.4708225718887218</v>
      </c>
    </row>
    <row r="468" spans="1:4">
      <c r="A468" s="2">
        <f>+Get_Data!A467</f>
        <v>40120</v>
      </c>
      <c r="B468">
        <f>+ROUND(Get_Data!B467,5)</f>
        <v>43.121400000000001</v>
      </c>
      <c r="C468">
        <f>+ROUND(Get_Data!C467,5)</f>
        <v>17.412479999999999</v>
      </c>
      <c r="D468" s="4">
        <f t="shared" si="8"/>
        <v>2.4764651560260229</v>
      </c>
    </row>
    <row r="469" spans="1:4">
      <c r="A469" s="2">
        <f>+Get_Data!A468</f>
        <v>40121</v>
      </c>
      <c r="B469">
        <f>+ROUND(Get_Data!B468,5)</f>
        <v>43.351170000000003</v>
      </c>
      <c r="C469">
        <f>+ROUND(Get_Data!C468,5)</f>
        <v>17.533760000000001</v>
      </c>
      <c r="D469" s="4">
        <f t="shared" si="8"/>
        <v>2.4724400242731734</v>
      </c>
    </row>
    <row r="470" spans="1:4">
      <c r="A470" s="2">
        <f>+Get_Data!A469</f>
        <v>40122</v>
      </c>
      <c r="B470">
        <f>+ROUND(Get_Data!B469,5)</f>
        <v>43.96143</v>
      </c>
      <c r="C470">
        <f>+ROUND(Get_Data!C469,5)</f>
        <v>17.832059999999998</v>
      </c>
      <c r="D470" s="4">
        <f t="shared" si="8"/>
        <v>2.4653029431260327</v>
      </c>
    </row>
    <row r="471" spans="1:4">
      <c r="A471" s="2">
        <f>+Get_Data!A470</f>
        <v>40123</v>
      </c>
      <c r="B471">
        <f>+ROUND(Get_Data!B470,5)</f>
        <v>44.341970000000003</v>
      </c>
      <c r="C471">
        <f>+ROUND(Get_Data!C470,5)</f>
        <v>17.861560000000001</v>
      </c>
      <c r="D471" s="4">
        <f t="shared" si="8"/>
        <v>2.4825362398357145</v>
      </c>
    </row>
    <row r="472" spans="1:4">
      <c r="A472" s="2">
        <f>+Get_Data!A471</f>
        <v>40126</v>
      </c>
      <c r="B472">
        <f>+ROUND(Get_Data!B471,5)</f>
        <v>44.715290000000003</v>
      </c>
      <c r="C472">
        <f>+ROUND(Get_Data!C471,5)</f>
        <v>18.18608</v>
      </c>
      <c r="D472" s="4">
        <f t="shared" si="8"/>
        <v>2.4587646155741094</v>
      </c>
    </row>
    <row r="473" spans="1:4">
      <c r="A473" s="2">
        <f>+Get_Data!A472</f>
        <v>40127</v>
      </c>
      <c r="B473">
        <f>+ROUND(Get_Data!B472,5)</f>
        <v>44.571719999999999</v>
      </c>
      <c r="C473">
        <f>+ROUND(Get_Data!C472,5)</f>
        <v>18.294250000000002</v>
      </c>
      <c r="D473" s="4">
        <f t="shared" si="8"/>
        <v>2.4363786435628678</v>
      </c>
    </row>
    <row r="474" spans="1:4">
      <c r="A474" s="2">
        <f>+Get_Data!A473</f>
        <v>40128</v>
      </c>
      <c r="B474">
        <f>+ROUND(Get_Data!B473,5)</f>
        <v>44.945050000000002</v>
      </c>
      <c r="C474">
        <f>+ROUND(Get_Data!C473,5)</f>
        <v>18.399139999999999</v>
      </c>
      <c r="D474" s="4">
        <f t="shared" si="8"/>
        <v>2.4427799342795371</v>
      </c>
    </row>
    <row r="475" spans="1:4">
      <c r="A475" s="2">
        <f>+Get_Data!A474</f>
        <v>40129</v>
      </c>
      <c r="B475">
        <f>+ROUND(Get_Data!B474,5)</f>
        <v>43.990160000000003</v>
      </c>
      <c r="C475">
        <f>+ROUND(Get_Data!C474,5)</f>
        <v>18.336860000000001</v>
      </c>
      <c r="D475" s="4">
        <f t="shared" si="8"/>
        <v>2.3990017920189173</v>
      </c>
    </row>
    <row r="476" spans="1:4">
      <c r="A476" s="2">
        <f>+Get_Data!A475</f>
        <v>40130</v>
      </c>
      <c r="B476">
        <f>+ROUND(Get_Data!B475,5)</f>
        <v>44.47119</v>
      </c>
      <c r="C476">
        <f>+ROUND(Get_Data!C475,5)</f>
        <v>18.50731</v>
      </c>
      <c r="D476" s="4">
        <f t="shared" si="8"/>
        <v>2.402898638429896</v>
      </c>
    </row>
    <row r="477" spans="1:4">
      <c r="A477" s="2">
        <f>+Get_Data!A476</f>
        <v>40133</v>
      </c>
      <c r="B477">
        <f>+ROUND(Get_Data!B476,5)</f>
        <v>44.822989999999997</v>
      </c>
      <c r="C477">
        <f>+ROUND(Get_Data!C476,5)</f>
        <v>18.5991</v>
      </c>
      <c r="D477" s="4">
        <f t="shared" si="8"/>
        <v>2.4099547827583052</v>
      </c>
    </row>
    <row r="478" spans="1:4">
      <c r="A478" s="2">
        <f>+Get_Data!A477</f>
        <v>40134</v>
      </c>
      <c r="B478">
        <f>+ROUND(Get_Data!B477,5)</f>
        <v>44.945050000000002</v>
      </c>
      <c r="C478">
        <f>+ROUND(Get_Data!C477,5)</f>
        <v>18.64171</v>
      </c>
      <c r="D478" s="4">
        <f t="shared" si="8"/>
        <v>2.4109939485165257</v>
      </c>
    </row>
    <row r="479" spans="1:4">
      <c r="A479" s="2">
        <f>+Get_Data!A478</f>
        <v>40135</v>
      </c>
      <c r="B479">
        <f>+ROUND(Get_Data!B478,5)</f>
        <v>44.729660000000003</v>
      </c>
      <c r="C479">
        <f>+ROUND(Get_Data!C478,5)</f>
        <v>18.546659999999999</v>
      </c>
      <c r="D479" s="4">
        <f t="shared" si="8"/>
        <v>2.4117366684890973</v>
      </c>
    </row>
    <row r="480" spans="1:4">
      <c r="A480" s="2">
        <f>+Get_Data!A479</f>
        <v>40136</v>
      </c>
      <c r="B480">
        <f>+ROUND(Get_Data!B479,5)</f>
        <v>44.42812</v>
      </c>
      <c r="C480">
        <f>+ROUND(Get_Data!C479,5)</f>
        <v>18.64499</v>
      </c>
      <c r="D480" s="4">
        <f t="shared" si="8"/>
        <v>2.3828449358245836</v>
      </c>
    </row>
    <row r="481" spans="1:4">
      <c r="A481" s="2">
        <f>+Get_Data!A480</f>
        <v>40137</v>
      </c>
      <c r="B481">
        <f>+ROUND(Get_Data!B480,5)</f>
        <v>44.571719999999999</v>
      </c>
      <c r="C481">
        <f>+ROUND(Get_Data!C480,5)</f>
        <v>18.841660000000001</v>
      </c>
      <c r="D481" s="4">
        <f t="shared" si="8"/>
        <v>2.365594114319014</v>
      </c>
    </row>
    <row r="482" spans="1:4">
      <c r="A482" s="2">
        <f>+Get_Data!A481</f>
        <v>40140</v>
      </c>
      <c r="B482">
        <f>+ROUND(Get_Data!B481,5)</f>
        <v>44.86609</v>
      </c>
      <c r="C482">
        <f>+ROUND(Get_Data!C481,5)</f>
        <v>19.090779999999999</v>
      </c>
      <c r="D482" s="4">
        <f t="shared" si="8"/>
        <v>2.3501444152622368</v>
      </c>
    </row>
    <row r="483" spans="1:4">
      <c r="A483" s="2">
        <f>+Get_Data!A482</f>
        <v>40141</v>
      </c>
      <c r="B483">
        <f>+ROUND(Get_Data!B482,5)</f>
        <v>44.873260000000002</v>
      </c>
      <c r="C483">
        <f>+ROUND(Get_Data!C482,5)</f>
        <v>19.074400000000001</v>
      </c>
      <c r="D483" s="4">
        <f t="shared" si="8"/>
        <v>2.3525384808958605</v>
      </c>
    </row>
    <row r="484" spans="1:4">
      <c r="A484" s="2">
        <f>+Get_Data!A483</f>
        <v>40142</v>
      </c>
      <c r="B484">
        <f>+ROUND(Get_Data!B483,5)</f>
        <v>45.368659999999998</v>
      </c>
      <c r="C484">
        <f>+ROUND(Get_Data!C483,5)</f>
        <v>19.048179999999999</v>
      </c>
      <c r="D484" s="4">
        <f t="shared" si="8"/>
        <v>2.3817845064462855</v>
      </c>
    </row>
    <row r="485" spans="1:4">
      <c r="A485" s="2">
        <f>+Get_Data!A484</f>
        <v>40144</v>
      </c>
      <c r="B485">
        <f>+ROUND(Get_Data!B484,5)</f>
        <v>44.729660000000003</v>
      </c>
      <c r="C485">
        <f>+ROUND(Get_Data!C484,5)</f>
        <v>19.011600000000001</v>
      </c>
      <c r="D485" s="4">
        <f t="shared" si="8"/>
        <v>2.3527562119968861</v>
      </c>
    </row>
    <row r="486" spans="1:4">
      <c r="A486" s="2">
        <f>+Get_Data!A485</f>
        <v>40147</v>
      </c>
      <c r="B486">
        <f>+ROUND(Get_Data!B485,5)</f>
        <v>44.672220000000003</v>
      </c>
      <c r="C486">
        <f>+ROUND(Get_Data!C485,5)</f>
        <v>19.018260000000001</v>
      </c>
      <c r="D486" s="4">
        <f t="shared" si="8"/>
        <v>2.3489120455814572</v>
      </c>
    </row>
    <row r="487" spans="1:4">
      <c r="A487" s="2">
        <f>+Get_Data!A486</f>
        <v>40148</v>
      </c>
      <c r="B487">
        <f>+ROUND(Get_Data!B486,5)</f>
        <v>45.85689</v>
      </c>
      <c r="C487">
        <f>+ROUND(Get_Data!C486,5)</f>
        <v>19.310839999999999</v>
      </c>
      <c r="D487" s="4">
        <f t="shared" si="8"/>
        <v>2.3746709102245167</v>
      </c>
    </row>
    <row r="488" spans="1:4">
      <c r="A488" s="2">
        <f>+Get_Data!A487</f>
        <v>40149</v>
      </c>
      <c r="B488">
        <f>+ROUND(Get_Data!B487,5)</f>
        <v>46.023200000000003</v>
      </c>
      <c r="C488">
        <f>+ROUND(Get_Data!C487,5)</f>
        <v>19.270949999999999</v>
      </c>
      <c r="D488" s="4">
        <f t="shared" si="8"/>
        <v>2.3882164605273744</v>
      </c>
    </row>
    <row r="489" spans="1:4">
      <c r="A489" s="2">
        <f>+Get_Data!A488</f>
        <v>40150</v>
      </c>
      <c r="B489">
        <f>+ROUND(Get_Data!B488,5)</f>
        <v>45.379649999999998</v>
      </c>
      <c r="C489">
        <f>+ROUND(Get_Data!C488,5)</f>
        <v>19.041530000000002</v>
      </c>
      <c r="D489" s="4">
        <f t="shared" si="8"/>
        <v>2.3831934723732808</v>
      </c>
    </row>
    <row r="490" spans="1:4">
      <c r="A490" s="2">
        <f>+Get_Data!A489</f>
        <v>40151</v>
      </c>
      <c r="B490">
        <f>+ROUND(Get_Data!B489,5)</f>
        <v>46.167810000000003</v>
      </c>
      <c r="C490">
        <f>+ROUND(Get_Data!C489,5)</f>
        <v>19.11467</v>
      </c>
      <c r="D490" s="4">
        <f t="shared" si="8"/>
        <v>2.4153077191497423</v>
      </c>
    </row>
    <row r="491" spans="1:4">
      <c r="A491" s="2">
        <f>+Get_Data!A490</f>
        <v>40154</v>
      </c>
      <c r="B491">
        <f>+ROUND(Get_Data!B490,5)</f>
        <v>46.44258</v>
      </c>
      <c r="C491">
        <f>+ROUND(Get_Data!C490,5)</f>
        <v>19.241019999999999</v>
      </c>
      <c r="D491" s="4">
        <f t="shared" si="8"/>
        <v>2.413727546668524</v>
      </c>
    </row>
    <row r="492" spans="1:4">
      <c r="A492" s="2">
        <f>+Get_Data!A491</f>
        <v>40155</v>
      </c>
      <c r="B492">
        <f>+ROUND(Get_Data!B491,5)</f>
        <v>45.900260000000003</v>
      </c>
      <c r="C492">
        <f>+ROUND(Get_Data!C491,5)</f>
        <v>19.177849999999999</v>
      </c>
      <c r="D492" s="4">
        <f t="shared" si="8"/>
        <v>2.3933996772318067</v>
      </c>
    </row>
    <row r="493" spans="1:4">
      <c r="A493" s="2">
        <f>+Get_Data!A492</f>
        <v>40156</v>
      </c>
      <c r="B493">
        <f>+ROUND(Get_Data!B492,5)</f>
        <v>44.685510000000001</v>
      </c>
      <c r="C493">
        <f>+ROUND(Get_Data!C492,5)</f>
        <v>19.227730000000001</v>
      </c>
      <c r="D493" s="4">
        <f t="shared" si="8"/>
        <v>2.3240138071420806</v>
      </c>
    </row>
    <row r="494" spans="1:4">
      <c r="A494" s="2">
        <f>+Get_Data!A493</f>
        <v>40157</v>
      </c>
      <c r="B494">
        <f>+ROUND(Get_Data!B493,5)</f>
        <v>44.71443</v>
      </c>
      <c r="C494">
        <f>+ROUND(Get_Data!C493,5)</f>
        <v>19.47709</v>
      </c>
      <c r="D494" s="4">
        <f t="shared" si="8"/>
        <v>2.2957448982368516</v>
      </c>
    </row>
    <row r="495" spans="1:4">
      <c r="A495" s="2">
        <f>+Get_Data!A494</f>
        <v>40158</v>
      </c>
      <c r="B495">
        <f>+ROUND(Get_Data!B494,5)</f>
        <v>44.302300000000002</v>
      </c>
      <c r="C495">
        <f>+ROUND(Get_Data!C494,5)</f>
        <v>19.653300000000002</v>
      </c>
      <c r="D495" s="4">
        <f t="shared" si="8"/>
        <v>2.2541914080586976</v>
      </c>
    </row>
    <row r="496" spans="1:4">
      <c r="A496" s="2">
        <f>+Get_Data!A495</f>
        <v>40161</v>
      </c>
      <c r="B496">
        <f>+ROUND(Get_Data!B495,5)</f>
        <v>44.092599999999997</v>
      </c>
      <c r="C496">
        <f>+ROUND(Get_Data!C495,5)</f>
        <v>19.630019999999998</v>
      </c>
      <c r="D496" s="4">
        <f t="shared" si="8"/>
        <v>2.2461821230951369</v>
      </c>
    </row>
    <row r="497" spans="1:4">
      <c r="A497" s="2">
        <f>+Get_Data!A496</f>
        <v>40162</v>
      </c>
      <c r="B497">
        <f>+ROUND(Get_Data!B496,5)</f>
        <v>44.099829999999997</v>
      </c>
      <c r="C497">
        <f>+ROUND(Get_Data!C496,5)</f>
        <v>19.636669999999999</v>
      </c>
      <c r="D497" s="4">
        <f t="shared" si="8"/>
        <v>2.2457896374487119</v>
      </c>
    </row>
    <row r="498" spans="1:4">
      <c r="A498" s="2">
        <f>+Get_Data!A497</f>
        <v>40163</v>
      </c>
      <c r="B498">
        <f>+ROUND(Get_Data!B497,5)</f>
        <v>43.875680000000003</v>
      </c>
      <c r="C498">
        <f>+ROUND(Get_Data!C497,5)</f>
        <v>19.42388</v>
      </c>
      <c r="D498" s="4">
        <f t="shared" si="8"/>
        <v>2.258852505266713</v>
      </c>
    </row>
    <row r="499" spans="1:4">
      <c r="A499" s="2">
        <f>+Get_Data!A498</f>
        <v>40164</v>
      </c>
      <c r="B499">
        <f>+ROUND(Get_Data!B498,5)</f>
        <v>43.412909999999997</v>
      </c>
      <c r="C499">
        <f>+ROUND(Get_Data!C498,5)</f>
        <v>18.9451</v>
      </c>
      <c r="D499" s="4">
        <f t="shared" si="8"/>
        <v>2.2915112614871389</v>
      </c>
    </row>
    <row r="500" spans="1:4">
      <c r="A500" s="2">
        <f>+Get_Data!A499</f>
        <v>40165</v>
      </c>
      <c r="B500">
        <f>+ROUND(Get_Data!B499,5)</f>
        <v>43.008009999999999</v>
      </c>
      <c r="C500">
        <f>+ROUND(Get_Data!C499,5)</f>
        <v>18.925160000000002</v>
      </c>
      <c r="D500" s="4">
        <f t="shared" si="8"/>
        <v>2.2725308531077144</v>
      </c>
    </row>
    <row r="501" spans="1:4">
      <c r="A501" s="2">
        <f>+Get_Data!A500</f>
        <v>40168</v>
      </c>
      <c r="B501">
        <f>+ROUND(Get_Data!B500,5)</f>
        <v>43.731079999999999</v>
      </c>
      <c r="C501">
        <f>+ROUND(Get_Data!C500,5)</f>
        <v>19.011600000000001</v>
      </c>
      <c r="D501" s="4">
        <f t="shared" si="8"/>
        <v>2.3002314376485931</v>
      </c>
    </row>
    <row r="502" spans="1:4">
      <c r="A502" s="2">
        <f>+Get_Data!A501</f>
        <v>40169</v>
      </c>
      <c r="B502">
        <f>+ROUND(Get_Data!B501,5)</f>
        <v>43.83952</v>
      </c>
      <c r="C502">
        <f>+ROUND(Get_Data!C501,5)</f>
        <v>19.041530000000002</v>
      </c>
      <c r="D502" s="4">
        <f t="shared" si="8"/>
        <v>2.3023107912021774</v>
      </c>
    </row>
    <row r="503" spans="1:4">
      <c r="A503" s="2">
        <f>+Get_Data!A502</f>
        <v>40170</v>
      </c>
      <c r="B503">
        <f>+ROUND(Get_Data!B502,5)</f>
        <v>43.875680000000003</v>
      </c>
      <c r="C503">
        <f>+ROUND(Get_Data!C502,5)</f>
        <v>19.048179999999999</v>
      </c>
      <c r="D503" s="4">
        <f t="shared" si="8"/>
        <v>2.3034053647120096</v>
      </c>
    </row>
    <row r="504" spans="1:4">
      <c r="A504" s="2">
        <f>+Get_Data!A503</f>
        <v>40171</v>
      </c>
      <c r="B504">
        <f>+ROUND(Get_Data!B503,5)</f>
        <v>44.078139999999998</v>
      </c>
      <c r="C504">
        <f>+ROUND(Get_Data!C503,5)</f>
        <v>19.098050000000001</v>
      </c>
      <c r="D504" s="4">
        <f t="shared" si="8"/>
        <v>2.3079916535981422</v>
      </c>
    </row>
    <row r="505" spans="1:4">
      <c r="A505" s="2">
        <f>+Get_Data!A504</f>
        <v>40175</v>
      </c>
      <c r="B505">
        <f>+ROUND(Get_Data!B504,5)</f>
        <v>44.222760000000001</v>
      </c>
      <c r="C505">
        <f>+ROUND(Get_Data!C504,5)</f>
        <v>19.098050000000001</v>
      </c>
      <c r="D505" s="4">
        <f t="shared" si="8"/>
        <v>2.3155641544555596</v>
      </c>
    </row>
    <row r="506" spans="1:4">
      <c r="A506" s="2">
        <f>+Get_Data!A505</f>
        <v>40176</v>
      </c>
      <c r="B506">
        <f>+ROUND(Get_Data!B505,5)</f>
        <v>44.179360000000003</v>
      </c>
      <c r="C506">
        <f>+ROUND(Get_Data!C505,5)</f>
        <v>19.197800000000001</v>
      </c>
      <c r="D506" s="4">
        <f t="shared" si="8"/>
        <v>2.301272020752378</v>
      </c>
    </row>
    <row r="507" spans="1:4">
      <c r="A507" s="2">
        <f>+Get_Data!A506</f>
        <v>40177</v>
      </c>
      <c r="B507">
        <f>+ROUND(Get_Data!B506,5)</f>
        <v>44.331220000000002</v>
      </c>
      <c r="C507">
        <f>+ROUND(Get_Data!C506,5)</f>
        <v>19.177849999999999</v>
      </c>
      <c r="D507" s="4">
        <f t="shared" si="8"/>
        <v>2.3115844581118323</v>
      </c>
    </row>
    <row r="508" spans="1:4">
      <c r="A508" s="2">
        <f>+Get_Data!A507</f>
        <v>40178</v>
      </c>
      <c r="B508">
        <f>+ROUND(Get_Data!B507,5)</f>
        <v>43.962449999999997</v>
      </c>
      <c r="C508">
        <f>+ROUND(Get_Data!C507,5)</f>
        <v>18.95176</v>
      </c>
      <c r="D508" s="4">
        <f t="shared" si="8"/>
        <v>2.31970276111559</v>
      </c>
    </row>
    <row r="509" spans="1:4">
      <c r="A509" s="2">
        <f>+Get_Data!A508</f>
        <v>40182</v>
      </c>
      <c r="B509">
        <f>+ROUND(Get_Data!B508,5)</f>
        <v>44.2806</v>
      </c>
      <c r="C509">
        <f>+ROUND(Get_Data!C508,5)</f>
        <v>18.965060000000001</v>
      </c>
      <c r="D509" s="4">
        <f t="shared" si="8"/>
        <v>2.3348515638758851</v>
      </c>
    </row>
    <row r="510" spans="1:4">
      <c r="A510" s="2">
        <f>+Get_Data!A509</f>
        <v>40183</v>
      </c>
      <c r="B510">
        <f>+ROUND(Get_Data!B509,5)</f>
        <v>44.815660000000001</v>
      </c>
      <c r="C510">
        <f>+ROUND(Get_Data!C509,5)</f>
        <v>18.73564</v>
      </c>
      <c r="D510" s="4">
        <f t="shared" si="8"/>
        <v>2.3920004867728033</v>
      </c>
    </row>
    <row r="511" spans="1:4">
      <c r="A511" s="2">
        <f>+Get_Data!A510</f>
        <v>40184</v>
      </c>
      <c r="B511">
        <f>+ROUND(Get_Data!B510,5)</f>
        <v>44.367370000000001</v>
      </c>
      <c r="C511">
        <f>+ROUND(Get_Data!C510,5)</f>
        <v>18.72899</v>
      </c>
      <c r="D511" s="4">
        <f t="shared" si="8"/>
        <v>2.3689141806365428</v>
      </c>
    </row>
    <row r="512" spans="1:4">
      <c r="A512" s="2">
        <f>+Get_Data!A511</f>
        <v>40185</v>
      </c>
      <c r="B512">
        <f>+ROUND(Get_Data!B511,5)</f>
        <v>44.085369999999998</v>
      </c>
      <c r="C512">
        <f>+ROUND(Get_Data!C511,5)</f>
        <v>18.68244</v>
      </c>
      <c r="D512" s="4">
        <f t="shared" si="8"/>
        <v>2.3597222846694543</v>
      </c>
    </row>
    <row r="513" spans="1:4">
      <c r="A513" s="2">
        <f>+Get_Data!A512</f>
        <v>40186</v>
      </c>
      <c r="B513">
        <f>+ROUND(Get_Data!B512,5)</f>
        <v>43.940759999999997</v>
      </c>
      <c r="C513">
        <f>+ROUND(Get_Data!C512,5)</f>
        <v>18.336659999999998</v>
      </c>
      <c r="D513" s="4">
        <f t="shared" si="8"/>
        <v>2.3963339015938563</v>
      </c>
    </row>
    <row r="514" spans="1:4">
      <c r="A514" s="2">
        <f>+Get_Data!A513</f>
        <v>40189</v>
      </c>
      <c r="B514">
        <f>+ROUND(Get_Data!B513,5)</f>
        <v>43.890149999999998</v>
      </c>
      <c r="C514">
        <f>+ROUND(Get_Data!C513,5)</f>
        <v>18.709040000000002</v>
      </c>
      <c r="D514" s="4">
        <f t="shared" si="8"/>
        <v>2.3459327683301758</v>
      </c>
    </row>
    <row r="515" spans="1:4">
      <c r="A515" s="2">
        <f>+Get_Data!A514</f>
        <v>40190</v>
      </c>
      <c r="B515">
        <f>+ROUND(Get_Data!B514,5)</f>
        <v>44.504750000000001</v>
      </c>
      <c r="C515">
        <f>+ROUND(Get_Data!C514,5)</f>
        <v>18.911860000000001</v>
      </c>
      <c r="D515" s="4">
        <f t="shared" si="8"/>
        <v>2.3532719679608456</v>
      </c>
    </row>
    <row r="516" spans="1:4">
      <c r="A516" s="2">
        <f>+Get_Data!A515</f>
        <v>40191</v>
      </c>
      <c r="B516">
        <f>+ROUND(Get_Data!B515,5)</f>
        <v>44.866289999999999</v>
      </c>
      <c r="C516">
        <f>+ROUND(Get_Data!C515,5)</f>
        <v>18.961729999999999</v>
      </c>
      <c r="D516" s="4">
        <f t="shared" ref="D516:D579" si="9">IFERROR(B516/C516,"")</f>
        <v>2.3661496076571074</v>
      </c>
    </row>
    <row r="517" spans="1:4">
      <c r="A517" s="2">
        <f>+Get_Data!A516</f>
        <v>40192</v>
      </c>
      <c r="B517">
        <f>+ROUND(Get_Data!B516,5)</f>
        <v>45.408580000000001</v>
      </c>
      <c r="C517">
        <f>+ROUND(Get_Data!C516,5)</f>
        <v>18.994990000000001</v>
      </c>
      <c r="D517" s="4">
        <f t="shared" si="9"/>
        <v>2.3905556149279361</v>
      </c>
    </row>
    <row r="518" spans="1:4">
      <c r="A518" s="2">
        <f>+Get_Data!A517</f>
        <v>40193</v>
      </c>
      <c r="B518">
        <f>+ROUND(Get_Data!B517,5)</f>
        <v>45.039810000000003</v>
      </c>
      <c r="C518">
        <f>+ROUND(Get_Data!C517,5)</f>
        <v>18.715689999999999</v>
      </c>
      <c r="D518" s="4">
        <f t="shared" si="9"/>
        <v>2.4065268232162431</v>
      </c>
    </row>
    <row r="519" spans="1:4">
      <c r="A519" s="2">
        <f>+Get_Data!A518</f>
        <v>40197</v>
      </c>
      <c r="B519">
        <f>+ROUND(Get_Data!B518,5)</f>
        <v>45.068739999999998</v>
      </c>
      <c r="C519">
        <f>+ROUND(Get_Data!C518,5)</f>
        <v>18.75891</v>
      </c>
      <c r="D519" s="4">
        <f t="shared" si="9"/>
        <v>2.4025244537129287</v>
      </c>
    </row>
    <row r="520" spans="1:4">
      <c r="A520" s="2">
        <f>+Get_Data!A519</f>
        <v>40198</v>
      </c>
      <c r="B520">
        <f>+ROUND(Get_Data!B519,5)</f>
        <v>44.793970000000002</v>
      </c>
      <c r="C520">
        <f>+ROUND(Get_Data!C519,5)</f>
        <v>18.453029999999998</v>
      </c>
      <c r="D520" s="4">
        <f t="shared" si="9"/>
        <v>2.4274587967396144</v>
      </c>
    </row>
    <row r="521" spans="1:4">
      <c r="A521" s="2">
        <f>+Get_Data!A520</f>
        <v>40199</v>
      </c>
      <c r="B521">
        <f>+ROUND(Get_Data!B520,5)</f>
        <v>44.063670000000002</v>
      </c>
      <c r="C521">
        <f>+ROUND(Get_Data!C520,5)</f>
        <v>18.07732</v>
      </c>
      <c r="D521" s="4">
        <f t="shared" si="9"/>
        <v>2.4375112018816951</v>
      </c>
    </row>
    <row r="522" spans="1:4">
      <c r="A522" s="2">
        <f>+Get_Data!A521</f>
        <v>40200</v>
      </c>
      <c r="B522">
        <f>+ROUND(Get_Data!B521,5)</f>
        <v>43.665990000000001</v>
      </c>
      <c r="C522">
        <f>+ROUND(Get_Data!C521,5)</f>
        <v>18.034089999999999</v>
      </c>
      <c r="D522" s="4">
        <f t="shared" si="9"/>
        <v>2.4213026551381303</v>
      </c>
    </row>
    <row r="523" spans="1:4">
      <c r="A523" s="2">
        <f>+Get_Data!A522</f>
        <v>40203</v>
      </c>
      <c r="B523">
        <f>+ROUND(Get_Data!B522,5)</f>
        <v>43.5503</v>
      </c>
      <c r="C523">
        <f>+ROUND(Get_Data!C522,5)</f>
        <v>18.07067</v>
      </c>
      <c r="D523" s="4">
        <f t="shared" si="9"/>
        <v>2.4099991865271182</v>
      </c>
    </row>
    <row r="524" spans="1:4">
      <c r="A524" s="2">
        <f>+Get_Data!A523</f>
        <v>40204</v>
      </c>
      <c r="B524">
        <f>+ROUND(Get_Data!B523,5)</f>
        <v>43.564770000000003</v>
      </c>
      <c r="C524">
        <f>+ROUND(Get_Data!C523,5)</f>
        <v>18.00084</v>
      </c>
      <c r="D524" s="4">
        <f t="shared" si="9"/>
        <v>2.4201520595705537</v>
      </c>
    </row>
    <row r="525" spans="1:4">
      <c r="A525" s="2">
        <f>+Get_Data!A524</f>
        <v>40205</v>
      </c>
      <c r="B525">
        <f>+ROUND(Get_Data!B524,5)</f>
        <v>43.593690000000002</v>
      </c>
      <c r="C525">
        <f>+ROUND(Get_Data!C524,5)</f>
        <v>18.123860000000001</v>
      </c>
      <c r="D525" s="4">
        <f t="shared" si="9"/>
        <v>2.4053203898065867</v>
      </c>
    </row>
    <row r="526" spans="1:4">
      <c r="A526" s="2">
        <f>+Get_Data!A525</f>
        <v>40206</v>
      </c>
      <c r="B526">
        <f>+ROUND(Get_Data!B525,5)</f>
        <v>43.195990000000002</v>
      </c>
      <c r="C526">
        <f>+ROUND(Get_Data!C525,5)</f>
        <v>18.014140000000001</v>
      </c>
      <c r="D526" s="4">
        <f t="shared" si="9"/>
        <v>2.3978935436273949</v>
      </c>
    </row>
    <row r="527" spans="1:4">
      <c r="A527" s="2">
        <f>+Get_Data!A526</f>
        <v>40207</v>
      </c>
      <c r="B527">
        <f>+ROUND(Get_Data!B526,5)</f>
        <v>43.109229999999997</v>
      </c>
      <c r="C527">
        <f>+ROUND(Get_Data!C526,5)</f>
        <v>18.037420000000001</v>
      </c>
      <c r="D527" s="4">
        <f t="shared" si="9"/>
        <v>2.389988701266589</v>
      </c>
    </row>
    <row r="528" spans="1:4">
      <c r="A528" s="2">
        <f>+Get_Data!A527</f>
        <v>40210</v>
      </c>
      <c r="B528">
        <f>+ROUND(Get_Data!B527,5)</f>
        <v>43.890149999999998</v>
      </c>
      <c r="C528">
        <f>+ROUND(Get_Data!C527,5)</f>
        <v>18.080639999999999</v>
      </c>
      <c r="D528" s="4">
        <f t="shared" si="9"/>
        <v>2.4274666162259741</v>
      </c>
    </row>
    <row r="529" spans="1:4">
      <c r="A529" s="2">
        <f>+Get_Data!A528</f>
        <v>40211</v>
      </c>
      <c r="B529">
        <f>+ROUND(Get_Data!B528,5)</f>
        <v>44.215530000000001</v>
      </c>
      <c r="C529">
        <f>+ROUND(Get_Data!C528,5)</f>
        <v>18.3034</v>
      </c>
      <c r="D529" s="4">
        <f t="shared" si="9"/>
        <v>2.4157003616814361</v>
      </c>
    </row>
    <row r="530" spans="1:4">
      <c r="A530" s="2">
        <f>+Get_Data!A529</f>
        <v>40212</v>
      </c>
      <c r="B530">
        <f>+ROUND(Get_Data!B529,5)</f>
        <v>44.316749999999999</v>
      </c>
      <c r="C530">
        <f>+ROUND(Get_Data!C529,5)</f>
        <v>18.243559999999999</v>
      </c>
      <c r="D530" s="4">
        <f t="shared" si="9"/>
        <v>2.4291722668163453</v>
      </c>
    </row>
    <row r="531" spans="1:4">
      <c r="A531" s="2">
        <f>+Get_Data!A530</f>
        <v>40213</v>
      </c>
      <c r="B531">
        <f>+ROUND(Get_Data!B530,5)</f>
        <v>43.123690000000003</v>
      </c>
      <c r="C531">
        <f>+ROUND(Get_Data!C530,5)</f>
        <v>17.764779999999998</v>
      </c>
      <c r="D531" s="4">
        <f t="shared" si="9"/>
        <v>2.4274823555371925</v>
      </c>
    </row>
    <row r="532" spans="1:4">
      <c r="A532" s="2">
        <f>+Get_Data!A531</f>
        <v>40214</v>
      </c>
      <c r="B532">
        <f>+ROUND(Get_Data!B531,5)</f>
        <v>43.029690000000002</v>
      </c>
      <c r="C532">
        <f>+ROUND(Get_Data!C531,5)</f>
        <v>17.65174</v>
      </c>
      <c r="D532" s="4">
        <f t="shared" si="9"/>
        <v>2.4377024587944307</v>
      </c>
    </row>
    <row r="533" spans="1:4">
      <c r="A533" s="2">
        <f>+Get_Data!A532</f>
        <v>40217</v>
      </c>
      <c r="B533">
        <f>+ROUND(Get_Data!B532,5)</f>
        <v>42.631999999999998</v>
      </c>
      <c r="C533">
        <f>+ROUND(Get_Data!C532,5)</f>
        <v>17.50544</v>
      </c>
      <c r="D533" s="4">
        <f t="shared" si="9"/>
        <v>2.4353572375215933</v>
      </c>
    </row>
    <row r="534" spans="1:4">
      <c r="A534" s="2">
        <f>+Get_Data!A533</f>
        <v>40218</v>
      </c>
      <c r="B534">
        <f>+ROUND(Get_Data!B533,5)</f>
        <v>43.42015</v>
      </c>
      <c r="C534">
        <f>+ROUND(Get_Data!C533,5)</f>
        <v>17.957619999999999</v>
      </c>
      <c r="D534" s="4">
        <f t="shared" si="9"/>
        <v>2.4179234219233954</v>
      </c>
    </row>
    <row r="535" spans="1:4">
      <c r="A535" s="2">
        <f>+Get_Data!A534</f>
        <v>40219</v>
      </c>
      <c r="B535">
        <f>+ROUND(Get_Data!B534,5)</f>
        <v>43.658769999999997</v>
      </c>
      <c r="C535">
        <f>+ROUND(Get_Data!C534,5)</f>
        <v>17.88447</v>
      </c>
      <c r="D535" s="4">
        <f t="shared" si="9"/>
        <v>2.4411553711124792</v>
      </c>
    </row>
    <row r="536" spans="1:4">
      <c r="A536" s="2">
        <f>+Get_Data!A535</f>
        <v>40220</v>
      </c>
      <c r="B536">
        <f>+ROUND(Get_Data!B535,5)</f>
        <v>44.244450000000001</v>
      </c>
      <c r="C536">
        <f>+ROUND(Get_Data!C535,5)</f>
        <v>18.027439999999999</v>
      </c>
      <c r="D536" s="4">
        <f t="shared" si="9"/>
        <v>2.454283581029808</v>
      </c>
    </row>
    <row r="537" spans="1:4">
      <c r="A537" s="2">
        <f>+Get_Data!A536</f>
        <v>40221</v>
      </c>
      <c r="B537">
        <f>+ROUND(Get_Data!B536,5)</f>
        <v>44.049219999999998</v>
      </c>
      <c r="C537">
        <f>+ROUND(Get_Data!C536,5)</f>
        <v>17.947649999999999</v>
      </c>
      <c r="D537" s="4">
        <f t="shared" si="9"/>
        <v>2.4543168604246239</v>
      </c>
    </row>
    <row r="538" spans="1:4">
      <c r="A538" s="2">
        <f>+Get_Data!A537</f>
        <v>40225</v>
      </c>
      <c r="B538">
        <f>+ROUND(Get_Data!B537,5)</f>
        <v>44.331220000000002</v>
      </c>
      <c r="C538">
        <f>+ROUND(Get_Data!C537,5)</f>
        <v>18.226939999999999</v>
      </c>
      <c r="D538" s="4">
        <f t="shared" si="9"/>
        <v>2.4321811560250928</v>
      </c>
    </row>
    <row r="539" spans="1:4">
      <c r="A539" s="2">
        <f>+Get_Data!A538</f>
        <v>40226</v>
      </c>
      <c r="B539">
        <f>+ROUND(Get_Data!B538,5)</f>
        <v>44.909660000000002</v>
      </c>
      <c r="C539">
        <f>+ROUND(Get_Data!C538,5)</f>
        <v>18.396509999999999</v>
      </c>
      <c r="D539" s="4">
        <f t="shared" si="9"/>
        <v>2.4412054242897159</v>
      </c>
    </row>
    <row r="540" spans="1:4">
      <c r="A540" s="2">
        <f>+Get_Data!A539</f>
        <v>40227</v>
      </c>
      <c r="B540">
        <f>+ROUND(Get_Data!B539,5)</f>
        <v>45.213340000000002</v>
      </c>
      <c r="C540">
        <f>+ROUND(Get_Data!C539,5)</f>
        <v>18.58934</v>
      </c>
      <c r="D540" s="4">
        <f t="shared" si="9"/>
        <v>2.4322186801683117</v>
      </c>
    </row>
    <row r="541" spans="1:4">
      <c r="A541" s="2">
        <f>+Get_Data!A540</f>
        <v>40228</v>
      </c>
      <c r="B541">
        <f>+ROUND(Get_Data!B540,5)</f>
        <v>45.307360000000003</v>
      </c>
      <c r="C541">
        <f>+ROUND(Get_Data!C540,5)</f>
        <v>18.52617</v>
      </c>
      <c r="D541" s="4">
        <f t="shared" si="9"/>
        <v>2.4455869723747541</v>
      </c>
    </row>
    <row r="542" spans="1:4">
      <c r="A542" s="2">
        <f>+Get_Data!A541</f>
        <v>40231</v>
      </c>
      <c r="B542">
        <f>+ROUND(Get_Data!B541,5)</f>
        <v>45.126579999999997</v>
      </c>
      <c r="C542">
        <f>+ROUND(Get_Data!C541,5)</f>
        <v>18.413129999999999</v>
      </c>
      <c r="D542" s="4">
        <f t="shared" si="9"/>
        <v>2.4507826751888464</v>
      </c>
    </row>
    <row r="543" spans="1:4">
      <c r="A543" s="2">
        <f>+Get_Data!A542</f>
        <v>40232</v>
      </c>
      <c r="B543">
        <f>+ROUND(Get_Data!B542,5)</f>
        <v>44.671059999999997</v>
      </c>
      <c r="C543">
        <f>+ROUND(Get_Data!C542,5)</f>
        <v>18.230260000000001</v>
      </c>
      <c r="D543" s="4">
        <f t="shared" si="9"/>
        <v>2.4503797532234866</v>
      </c>
    </row>
    <row r="544" spans="1:4">
      <c r="A544" s="2">
        <f>+Get_Data!A543</f>
        <v>40233</v>
      </c>
      <c r="B544">
        <f>+ROUND(Get_Data!B543,5)</f>
        <v>44.887970000000003</v>
      </c>
      <c r="C544">
        <f>+ROUND(Get_Data!C543,5)</f>
        <v>18.339980000000001</v>
      </c>
      <c r="D544" s="4">
        <f t="shared" si="9"/>
        <v>2.4475473800952892</v>
      </c>
    </row>
    <row r="545" spans="1:4">
      <c r="A545" s="2">
        <f>+Get_Data!A544</f>
        <v>40234</v>
      </c>
      <c r="B545">
        <f>+ROUND(Get_Data!B544,5)</f>
        <v>45.047040000000003</v>
      </c>
      <c r="C545">
        <f>+ROUND(Get_Data!C544,5)</f>
        <v>17.661709999999999</v>
      </c>
      <c r="D545" s="4">
        <f t="shared" si="9"/>
        <v>2.5505480499906299</v>
      </c>
    </row>
    <row r="546" spans="1:4">
      <c r="A546" s="2">
        <f>+Get_Data!A545</f>
        <v>40235</v>
      </c>
      <c r="B546">
        <f>+ROUND(Get_Data!B545,5)</f>
        <v>45.169969999999999</v>
      </c>
      <c r="C546">
        <f>+ROUND(Get_Data!C545,5)</f>
        <v>17.52871</v>
      </c>
      <c r="D546" s="4">
        <f t="shared" si="9"/>
        <v>2.5769135321424108</v>
      </c>
    </row>
    <row r="547" spans="1:4">
      <c r="A547" s="2">
        <f>+Get_Data!A546</f>
        <v>40238</v>
      </c>
      <c r="B547">
        <f>+ROUND(Get_Data!B546,5)</f>
        <v>45.86412</v>
      </c>
      <c r="C547">
        <f>+ROUND(Get_Data!C546,5)</f>
        <v>17.711580000000001</v>
      </c>
      <c r="D547" s="4">
        <f t="shared" si="9"/>
        <v>2.5894990734875147</v>
      </c>
    </row>
    <row r="548" spans="1:4">
      <c r="A548" s="2">
        <f>+Get_Data!A547</f>
        <v>40239</v>
      </c>
      <c r="B548">
        <f>+ROUND(Get_Data!B547,5)</f>
        <v>46.131659999999997</v>
      </c>
      <c r="C548">
        <f>+ROUND(Get_Data!C547,5)</f>
        <v>17.72156</v>
      </c>
      <c r="D548" s="4">
        <f t="shared" si="9"/>
        <v>2.6031376470243024</v>
      </c>
    </row>
    <row r="549" spans="1:4">
      <c r="A549" s="2">
        <f>+Get_Data!A548</f>
        <v>40240</v>
      </c>
      <c r="B549">
        <f>+ROUND(Get_Data!B548,5)</f>
        <v>46.590429999999998</v>
      </c>
      <c r="C549">
        <f>+ROUND(Get_Data!C548,5)</f>
        <v>17.93102</v>
      </c>
      <c r="D549" s="4">
        <f t="shared" si="9"/>
        <v>2.5983145409463599</v>
      </c>
    </row>
    <row r="550" spans="1:4">
      <c r="A550" s="2">
        <f>+Get_Data!A549</f>
        <v>40241</v>
      </c>
      <c r="B550">
        <f>+ROUND(Get_Data!B549,5)</f>
        <v>46.685090000000002</v>
      </c>
      <c r="C550">
        <f>+ROUND(Get_Data!C549,5)</f>
        <v>18.11056</v>
      </c>
      <c r="D550" s="4">
        <f t="shared" si="9"/>
        <v>2.5777827963353981</v>
      </c>
    </row>
    <row r="551" spans="1:4">
      <c r="A551" s="2">
        <f>+Get_Data!A550</f>
        <v>40242</v>
      </c>
      <c r="B551">
        <f>+ROUND(Get_Data!B550,5)</f>
        <v>46.874429999999997</v>
      </c>
      <c r="C551">
        <f>+ROUND(Get_Data!C550,5)</f>
        <v>18.18704</v>
      </c>
      <c r="D551" s="4">
        <f t="shared" si="9"/>
        <v>2.5773534340937281</v>
      </c>
    </row>
    <row r="552" spans="1:4">
      <c r="A552" s="2">
        <f>+Get_Data!A551</f>
        <v>40245</v>
      </c>
      <c r="B552">
        <f>+ROUND(Get_Data!B551,5)</f>
        <v>46.714210000000001</v>
      </c>
      <c r="C552">
        <f>+ROUND(Get_Data!C551,5)</f>
        <v>18.107240000000001</v>
      </c>
      <c r="D552" s="4">
        <f t="shared" si="9"/>
        <v>2.5798636346566344</v>
      </c>
    </row>
    <row r="553" spans="1:4">
      <c r="A553" s="2">
        <f>+Get_Data!A552</f>
        <v>40246</v>
      </c>
      <c r="B553">
        <f>+ROUND(Get_Data!B552,5)</f>
        <v>46.867130000000003</v>
      </c>
      <c r="C553">
        <f>+ROUND(Get_Data!C552,5)</f>
        <v>18.014140000000001</v>
      </c>
      <c r="D553" s="4">
        <f t="shared" si="9"/>
        <v>2.601685675808004</v>
      </c>
    </row>
    <row r="554" spans="1:4">
      <c r="A554" s="2">
        <f>+Get_Data!A553</f>
        <v>40247</v>
      </c>
      <c r="B554">
        <f>+ROUND(Get_Data!B553,5)</f>
        <v>46.918109999999999</v>
      </c>
      <c r="C554">
        <f>+ROUND(Get_Data!C553,5)</f>
        <v>18.020790000000002</v>
      </c>
      <c r="D554" s="4">
        <f t="shared" si="9"/>
        <v>2.60355456114854</v>
      </c>
    </row>
    <row r="555" spans="1:4">
      <c r="A555" s="2">
        <f>+Get_Data!A554</f>
        <v>40248</v>
      </c>
      <c r="B555">
        <f>+ROUND(Get_Data!B554,5)</f>
        <v>47.311329999999998</v>
      </c>
      <c r="C555">
        <f>+ROUND(Get_Data!C554,5)</f>
        <v>18.11543</v>
      </c>
      <c r="D555" s="4">
        <f t="shared" si="9"/>
        <v>2.6116592319365313</v>
      </c>
    </row>
    <row r="556" spans="1:4">
      <c r="A556" s="2">
        <f>+Get_Data!A555</f>
        <v>40249</v>
      </c>
      <c r="B556">
        <f>+ROUND(Get_Data!B555,5)</f>
        <v>47.405999999999999</v>
      </c>
      <c r="C556">
        <f>+ROUND(Get_Data!C555,5)</f>
        <v>18.030940000000001</v>
      </c>
      <c r="D556" s="4">
        <f t="shared" si="9"/>
        <v>2.6291474543201852</v>
      </c>
    </row>
    <row r="557" spans="1:4">
      <c r="A557" s="2">
        <f>+Get_Data!A556</f>
        <v>40252</v>
      </c>
      <c r="B557">
        <f>+ROUND(Get_Data!B556,5)</f>
        <v>48.170630000000003</v>
      </c>
      <c r="C557">
        <f>+ROUND(Get_Data!C556,5)</f>
        <v>18.13232</v>
      </c>
      <c r="D557" s="4">
        <f t="shared" si="9"/>
        <v>2.6566170241866458</v>
      </c>
    </row>
    <row r="558" spans="1:4">
      <c r="A558" s="2">
        <f>+Get_Data!A557</f>
        <v>40253</v>
      </c>
      <c r="B558">
        <f>+ROUND(Get_Data!B557,5)</f>
        <v>48.112349999999999</v>
      </c>
      <c r="C558">
        <f>+ROUND(Get_Data!C557,5)</f>
        <v>18.149229999999999</v>
      </c>
      <c r="D558" s="4">
        <f t="shared" si="9"/>
        <v>2.6509306455425383</v>
      </c>
    </row>
    <row r="559" spans="1:4">
      <c r="A559" s="2">
        <f>+Get_Data!A558</f>
        <v>40254</v>
      </c>
      <c r="B559">
        <f>+ROUND(Get_Data!B558,5)</f>
        <v>48.476460000000003</v>
      </c>
      <c r="C559">
        <f>+ROUND(Get_Data!C558,5)</f>
        <v>18.196539999999999</v>
      </c>
      <c r="D559" s="4">
        <f t="shared" si="9"/>
        <v>2.6640482201561397</v>
      </c>
    </row>
    <row r="560" spans="1:4">
      <c r="A560" s="2">
        <f>+Get_Data!A559</f>
        <v>40255</v>
      </c>
      <c r="B560">
        <f>+ROUND(Get_Data!B559,5)</f>
        <v>48.440040000000003</v>
      </c>
      <c r="C560">
        <f>+ROUND(Get_Data!C559,5)</f>
        <v>18.233720000000002</v>
      </c>
      <c r="D560" s="4">
        <f t="shared" si="9"/>
        <v>2.6566186164973464</v>
      </c>
    </row>
    <row r="561" spans="1:4">
      <c r="A561" s="2">
        <f>+Get_Data!A560</f>
        <v>40256</v>
      </c>
      <c r="B561">
        <f>+ROUND(Get_Data!B560,5)</f>
        <v>48.469180000000001</v>
      </c>
      <c r="C561">
        <f>+ROUND(Get_Data!C560,5)</f>
        <v>18.504100000000001</v>
      </c>
      <c r="D561" s="4">
        <f t="shared" si="9"/>
        <v>2.6193751655038611</v>
      </c>
    </row>
    <row r="562" spans="1:4">
      <c r="A562" s="2">
        <f>+Get_Data!A561</f>
        <v>40259</v>
      </c>
      <c r="B562">
        <f>+ROUND(Get_Data!B561,5)</f>
        <v>48.287120000000002</v>
      </c>
      <c r="C562">
        <f>+ROUND(Get_Data!C561,5)</f>
        <v>18.433119999999999</v>
      </c>
      <c r="D562" s="4">
        <f t="shared" si="9"/>
        <v>2.6195847474545819</v>
      </c>
    </row>
    <row r="563" spans="1:4">
      <c r="A563" s="2">
        <f>+Get_Data!A562</f>
        <v>40260</v>
      </c>
      <c r="B563">
        <f>+ROUND(Get_Data!B562,5)</f>
        <v>48.687640000000002</v>
      </c>
      <c r="C563">
        <f>+ROUND(Get_Data!C562,5)</f>
        <v>18.689979999999998</v>
      </c>
      <c r="D563" s="4">
        <f t="shared" si="9"/>
        <v>2.6050129534649051</v>
      </c>
    </row>
    <row r="564" spans="1:4">
      <c r="A564" s="2">
        <f>+Get_Data!A563</f>
        <v>40261</v>
      </c>
      <c r="B564">
        <f>+ROUND(Get_Data!B563,5)</f>
        <v>48.250720000000001</v>
      </c>
      <c r="C564">
        <f>+ROUND(Get_Data!C563,5)</f>
        <v>18.460159999999998</v>
      </c>
      <c r="D564" s="4">
        <f t="shared" si="9"/>
        <v>2.6137758285952022</v>
      </c>
    </row>
    <row r="565" spans="1:4">
      <c r="A565" s="2">
        <f>+Get_Data!A564</f>
        <v>40262</v>
      </c>
      <c r="B565">
        <f>+ROUND(Get_Data!B564,5)</f>
        <v>48.461910000000003</v>
      </c>
      <c r="C565">
        <f>+ROUND(Get_Data!C564,5)</f>
        <v>18.521000000000001</v>
      </c>
      <c r="D565" s="4">
        <f t="shared" si="9"/>
        <v>2.6165925166027755</v>
      </c>
    </row>
    <row r="566" spans="1:4">
      <c r="A566" s="2">
        <f>+Get_Data!A565</f>
        <v>40263</v>
      </c>
      <c r="B566">
        <f>+ROUND(Get_Data!B565,5)</f>
        <v>48.491019999999999</v>
      </c>
      <c r="C566">
        <f>+ROUND(Get_Data!C565,5)</f>
        <v>18.470300000000002</v>
      </c>
      <c r="D566" s="4">
        <f t="shared" si="9"/>
        <v>2.6253509688526981</v>
      </c>
    </row>
    <row r="567" spans="1:4">
      <c r="A567" s="2">
        <f>+Get_Data!A566</f>
        <v>40266</v>
      </c>
      <c r="B567">
        <f>+ROUND(Get_Data!B566,5)</f>
        <v>48.461910000000003</v>
      </c>
      <c r="C567">
        <f>+ROUND(Get_Data!C566,5)</f>
        <v>18.510860000000001</v>
      </c>
      <c r="D567" s="4">
        <f t="shared" si="9"/>
        <v>2.6180258507708447</v>
      </c>
    </row>
    <row r="568" spans="1:4">
      <c r="A568" s="2">
        <f>+Get_Data!A567</f>
        <v>40267</v>
      </c>
      <c r="B568">
        <f>+ROUND(Get_Data!B567,5)</f>
        <v>48.622100000000003</v>
      </c>
      <c r="C568">
        <f>+ROUND(Get_Data!C567,5)</f>
        <v>18.544650000000001</v>
      </c>
      <c r="D568" s="4">
        <f t="shared" si="9"/>
        <v>2.621893645876304</v>
      </c>
    </row>
    <row r="569" spans="1:4">
      <c r="A569" s="2">
        <f>+Get_Data!A568</f>
        <v>40268</v>
      </c>
      <c r="B569">
        <f>+ROUND(Get_Data!B568,5)</f>
        <v>48.177909999999997</v>
      </c>
      <c r="C569">
        <f>+ROUND(Get_Data!C568,5)</f>
        <v>18.58859</v>
      </c>
      <c r="D569" s="4">
        <f t="shared" si="9"/>
        <v>2.5918001311557251</v>
      </c>
    </row>
    <row r="570" spans="1:4">
      <c r="A570" s="2">
        <f>+Get_Data!A569</f>
        <v>40269</v>
      </c>
      <c r="B570">
        <f>+ROUND(Get_Data!B569,5)</f>
        <v>48.556579999999997</v>
      </c>
      <c r="C570">
        <f>+ROUND(Get_Data!C569,5)</f>
        <v>18.689979999999998</v>
      </c>
      <c r="D570" s="4">
        <f t="shared" si="9"/>
        <v>2.5980006399150777</v>
      </c>
    </row>
    <row r="571" spans="1:4">
      <c r="A571" s="2">
        <f>+Get_Data!A570</f>
        <v>40273</v>
      </c>
      <c r="B571">
        <f>+ROUND(Get_Data!B570,5)</f>
        <v>48.04683</v>
      </c>
      <c r="C571">
        <f>+ROUND(Get_Data!C570,5)</f>
        <v>18.54128</v>
      </c>
      <c r="D571" s="4">
        <f t="shared" si="9"/>
        <v>2.5913437475729832</v>
      </c>
    </row>
    <row r="572" spans="1:4">
      <c r="A572" s="2">
        <f>+Get_Data!A571</f>
        <v>40274</v>
      </c>
      <c r="B572">
        <f>+ROUND(Get_Data!B571,5)</f>
        <v>48.345390000000002</v>
      </c>
      <c r="C572">
        <f>+ROUND(Get_Data!C571,5)</f>
        <v>18.34863</v>
      </c>
      <c r="D572" s="4">
        <f t="shared" si="9"/>
        <v>2.6348228723343379</v>
      </c>
    </row>
    <row r="573" spans="1:4">
      <c r="A573" s="2">
        <f>+Get_Data!A572</f>
        <v>40275</v>
      </c>
      <c r="B573">
        <f>+ROUND(Get_Data!B572,5)</f>
        <v>48.054099999999998</v>
      </c>
      <c r="C573">
        <f>+ROUND(Get_Data!C572,5)</f>
        <v>18.189779999999999</v>
      </c>
      <c r="D573" s="4">
        <f t="shared" si="9"/>
        <v>2.6418186476142096</v>
      </c>
    </row>
    <row r="574" spans="1:4">
      <c r="A574" s="2">
        <f>+Get_Data!A573</f>
        <v>40276</v>
      </c>
      <c r="B574">
        <f>+ROUND(Get_Data!B573,5)</f>
        <v>48.039540000000002</v>
      </c>
      <c r="C574">
        <f>+ROUND(Get_Data!C573,5)</f>
        <v>18.169499999999999</v>
      </c>
      <c r="D574" s="4">
        <f t="shared" si="9"/>
        <v>2.6439659869561631</v>
      </c>
    </row>
    <row r="575" spans="1:4">
      <c r="A575" s="2">
        <f>+Get_Data!A574</f>
        <v>40277</v>
      </c>
      <c r="B575">
        <f>+ROUND(Get_Data!B574,5)</f>
        <v>48.323540000000001</v>
      </c>
      <c r="C575">
        <f>+ROUND(Get_Data!C574,5)</f>
        <v>18.450030000000002</v>
      </c>
      <c r="D575" s="4">
        <f t="shared" si="9"/>
        <v>2.6191578008274239</v>
      </c>
    </row>
    <row r="576" spans="1:4">
      <c r="A576" s="2">
        <f>+Get_Data!A575</f>
        <v>40280</v>
      </c>
      <c r="B576">
        <f>+ROUND(Get_Data!B575,5)</f>
        <v>48.294409999999999</v>
      </c>
      <c r="C576">
        <f>+ROUND(Get_Data!C575,5)</f>
        <v>18.507470000000001</v>
      </c>
      <c r="D576" s="4">
        <f t="shared" si="9"/>
        <v>2.609454993037946</v>
      </c>
    </row>
    <row r="577" spans="1:4">
      <c r="A577" s="2">
        <f>+Get_Data!A576</f>
        <v>40281</v>
      </c>
      <c r="B577">
        <f>+ROUND(Get_Data!B576,5)</f>
        <v>48.345390000000002</v>
      </c>
      <c r="C577">
        <f>+ROUND(Get_Data!C576,5)</f>
        <v>18.59535</v>
      </c>
      <c r="D577" s="4">
        <f t="shared" si="9"/>
        <v>2.5998644822495947</v>
      </c>
    </row>
    <row r="578" spans="1:4">
      <c r="A578" s="2">
        <f>+Get_Data!A577</f>
        <v>40282</v>
      </c>
      <c r="B578">
        <f>+ROUND(Get_Data!B577,5)</f>
        <v>48.272570000000002</v>
      </c>
      <c r="C578">
        <f>+ROUND(Get_Data!C577,5)</f>
        <v>18.57169</v>
      </c>
      <c r="D578" s="4">
        <f t="shared" si="9"/>
        <v>2.5992556412475118</v>
      </c>
    </row>
    <row r="579" spans="1:4">
      <c r="A579" s="2">
        <f>+Get_Data!A578</f>
        <v>40283</v>
      </c>
      <c r="B579">
        <f>+ROUND(Get_Data!B578,5)</f>
        <v>48.258000000000003</v>
      </c>
      <c r="C579">
        <f>+ROUND(Get_Data!C578,5)</f>
        <v>18.33849</v>
      </c>
      <c r="D579" s="4">
        <f t="shared" si="9"/>
        <v>2.6315143722302108</v>
      </c>
    </row>
    <row r="580" spans="1:4">
      <c r="A580" s="2">
        <f>+Get_Data!A579</f>
        <v>40284</v>
      </c>
      <c r="B580">
        <f>+ROUND(Get_Data!B579,5)</f>
        <v>48.163339999999998</v>
      </c>
      <c r="C580">
        <f>+ROUND(Get_Data!C579,5)</f>
        <v>18.57845</v>
      </c>
      <c r="D580" s="4">
        <f t="shared" ref="D580:D643" si="10">IFERROR(B580/C580,"")</f>
        <v>2.592430477246487</v>
      </c>
    </row>
    <row r="581" spans="1:4">
      <c r="A581" s="2">
        <f>+Get_Data!A580</f>
        <v>40287</v>
      </c>
      <c r="B581">
        <f>+ROUND(Get_Data!B580,5)</f>
        <v>48.148769999999999</v>
      </c>
      <c r="C581">
        <f>+ROUND(Get_Data!C580,5)</f>
        <v>18.696750000000002</v>
      </c>
      <c r="D581" s="4">
        <f t="shared" si="10"/>
        <v>2.5752481046171125</v>
      </c>
    </row>
    <row r="582" spans="1:4">
      <c r="A582" s="2">
        <f>+Get_Data!A581</f>
        <v>40288</v>
      </c>
      <c r="B582">
        <f>+ROUND(Get_Data!B581,5)</f>
        <v>47.988570000000003</v>
      </c>
      <c r="C582">
        <f>+ROUND(Get_Data!C581,5)</f>
        <v>18.409459999999999</v>
      </c>
      <c r="D582" s="4">
        <f t="shared" si="10"/>
        <v>2.606734255105799</v>
      </c>
    </row>
    <row r="583" spans="1:4">
      <c r="A583" s="2">
        <f>+Get_Data!A582</f>
        <v>40289</v>
      </c>
      <c r="B583">
        <f>+ROUND(Get_Data!B582,5)</f>
        <v>48.04683</v>
      </c>
      <c r="C583">
        <f>+ROUND(Get_Data!C582,5)</f>
        <v>18.314830000000001</v>
      </c>
      <c r="D583" s="4">
        <f t="shared" si="10"/>
        <v>2.6233838916331735</v>
      </c>
    </row>
    <row r="584" spans="1:4">
      <c r="A584" s="2">
        <f>+Get_Data!A583</f>
        <v>40290</v>
      </c>
      <c r="B584">
        <f>+ROUND(Get_Data!B583,5)</f>
        <v>47.15842</v>
      </c>
      <c r="C584">
        <f>+ROUND(Get_Data!C583,5)</f>
        <v>18.35539</v>
      </c>
      <c r="D584" s="4">
        <f t="shared" si="10"/>
        <v>2.5691864896360141</v>
      </c>
    </row>
    <row r="585" spans="1:4">
      <c r="A585" s="2">
        <f>+Get_Data!A584</f>
        <v>40291</v>
      </c>
      <c r="B585">
        <f>+ROUND(Get_Data!B584,5)</f>
        <v>47.122</v>
      </c>
      <c r="C585">
        <f>+ROUND(Get_Data!C584,5)</f>
        <v>18.210059999999999</v>
      </c>
      <c r="D585" s="4">
        <f t="shared" si="10"/>
        <v>2.5876905402837775</v>
      </c>
    </row>
    <row r="586" spans="1:4">
      <c r="A586" s="2">
        <f>+Get_Data!A585</f>
        <v>40294</v>
      </c>
      <c r="B586">
        <f>+ROUND(Get_Data!B585,5)</f>
        <v>47.347769999999997</v>
      </c>
      <c r="C586">
        <f>+ROUND(Get_Data!C585,5)</f>
        <v>18.159369999999999</v>
      </c>
      <c r="D586" s="4">
        <f t="shared" si="10"/>
        <v>2.6073465103690272</v>
      </c>
    </row>
    <row r="587" spans="1:4">
      <c r="A587" s="2">
        <f>+Get_Data!A586</f>
        <v>40295</v>
      </c>
      <c r="B587">
        <f>+ROUND(Get_Data!B586,5)</f>
        <v>46.772480000000002</v>
      </c>
      <c r="C587">
        <f>+ROUND(Get_Data!C586,5)</f>
        <v>17.86871</v>
      </c>
      <c r="D587" s="4">
        <f t="shared" si="10"/>
        <v>2.6175633271791865</v>
      </c>
    </row>
    <row r="588" spans="1:4">
      <c r="A588" s="2">
        <f>+Get_Data!A587</f>
        <v>40296</v>
      </c>
      <c r="B588">
        <f>+ROUND(Get_Data!B587,5)</f>
        <v>47.151130000000002</v>
      </c>
      <c r="C588">
        <f>+ROUND(Get_Data!C587,5)</f>
        <v>18.034310000000001</v>
      </c>
      <c r="D588" s="4">
        <f t="shared" si="10"/>
        <v>2.6145236496433739</v>
      </c>
    </row>
    <row r="589" spans="1:4">
      <c r="A589" s="2">
        <f>+Get_Data!A588</f>
        <v>40297</v>
      </c>
      <c r="B589">
        <f>+ROUND(Get_Data!B588,5)</f>
        <v>47.478830000000002</v>
      </c>
      <c r="C589">
        <f>+ROUND(Get_Data!C588,5)</f>
        <v>18.162739999999999</v>
      </c>
      <c r="D589" s="4">
        <f t="shared" si="10"/>
        <v>2.61407860267779</v>
      </c>
    </row>
    <row r="590" spans="1:4">
      <c r="A590" s="2">
        <f>+Get_Data!A589</f>
        <v>40298</v>
      </c>
      <c r="B590">
        <f>+ROUND(Get_Data!B589,5)</f>
        <v>47.493400000000001</v>
      </c>
      <c r="C590">
        <f>+ROUND(Get_Data!C589,5)</f>
        <v>18.064730000000001</v>
      </c>
      <c r="D590" s="4">
        <f t="shared" si="10"/>
        <v>2.629067802286555</v>
      </c>
    </row>
    <row r="591" spans="1:4">
      <c r="A591" s="2">
        <f>+Get_Data!A590</f>
        <v>40301</v>
      </c>
      <c r="B591">
        <f>+ROUND(Get_Data!B590,5)</f>
        <v>47.835650000000001</v>
      </c>
      <c r="C591">
        <f>+ROUND(Get_Data!C590,5)</f>
        <v>18.169499999999999</v>
      </c>
      <c r="D591" s="4">
        <f t="shared" si="10"/>
        <v>2.632744434354275</v>
      </c>
    </row>
    <row r="592" spans="1:4">
      <c r="A592" s="2">
        <f>+Get_Data!A591</f>
        <v>40302</v>
      </c>
      <c r="B592">
        <f>+ROUND(Get_Data!B591,5)</f>
        <v>47.646320000000003</v>
      </c>
      <c r="C592">
        <f>+ROUND(Get_Data!C591,5)</f>
        <v>17.973469999999999</v>
      </c>
      <c r="D592" s="4">
        <f t="shared" si="10"/>
        <v>2.6509249466018527</v>
      </c>
    </row>
    <row r="593" spans="1:4">
      <c r="A593" s="2">
        <f>+Get_Data!A592</f>
        <v>40303</v>
      </c>
      <c r="B593">
        <f>+ROUND(Get_Data!B592,5)</f>
        <v>47.478830000000002</v>
      </c>
      <c r="C593">
        <f>+ROUND(Get_Data!C592,5)</f>
        <v>18.1357</v>
      </c>
      <c r="D593" s="4">
        <f t="shared" si="10"/>
        <v>2.617976146495586</v>
      </c>
    </row>
    <row r="594" spans="1:4">
      <c r="A594" s="2">
        <f>+Get_Data!A593</f>
        <v>40304</v>
      </c>
      <c r="B594">
        <f>+ROUND(Get_Data!B593,5)</f>
        <v>47.114719999999998</v>
      </c>
      <c r="C594">
        <f>+ROUND(Get_Data!C593,5)</f>
        <v>17.67606</v>
      </c>
      <c r="D594" s="4">
        <f t="shared" si="10"/>
        <v>2.6654537266789093</v>
      </c>
    </row>
    <row r="595" spans="1:4">
      <c r="A595" s="2">
        <f>+Get_Data!A594</f>
        <v>40305</v>
      </c>
      <c r="B595">
        <f>+ROUND(Get_Data!B594,5)</f>
        <v>47.020060000000001</v>
      </c>
      <c r="C595">
        <f>+ROUND(Get_Data!C594,5)</f>
        <v>17.801110000000001</v>
      </c>
      <c r="D595" s="4">
        <f t="shared" si="10"/>
        <v>2.6414116872487163</v>
      </c>
    </row>
    <row r="596" spans="1:4">
      <c r="A596" s="2">
        <f>+Get_Data!A595</f>
        <v>40308</v>
      </c>
      <c r="B596">
        <f>+ROUND(Get_Data!B595,5)</f>
        <v>48.359949999999998</v>
      </c>
      <c r="C596">
        <f>+ROUND(Get_Data!C595,5)</f>
        <v>18.264130000000002</v>
      </c>
      <c r="D596" s="4">
        <f t="shared" si="10"/>
        <v>2.6478102159807224</v>
      </c>
    </row>
    <row r="597" spans="1:4">
      <c r="A597" s="2">
        <f>+Get_Data!A596</f>
        <v>40309</v>
      </c>
      <c r="B597">
        <f>+ROUND(Get_Data!B596,5)</f>
        <v>48.461910000000003</v>
      </c>
      <c r="C597">
        <f>+ROUND(Get_Data!C596,5)</f>
        <v>18.11881</v>
      </c>
      <c r="D597" s="4">
        <f t="shared" si="10"/>
        <v>2.6746739990098689</v>
      </c>
    </row>
    <row r="598" spans="1:4">
      <c r="A598" s="2">
        <f>+Get_Data!A597</f>
        <v>40310</v>
      </c>
      <c r="B598">
        <f>+ROUND(Get_Data!B597,5)</f>
        <v>48.74588</v>
      </c>
      <c r="C598">
        <f>+ROUND(Get_Data!C597,5)</f>
        <v>18.257380000000001</v>
      </c>
      <c r="D598" s="4">
        <f t="shared" si="10"/>
        <v>2.669927448516709</v>
      </c>
    </row>
    <row r="599" spans="1:4">
      <c r="A599" s="2">
        <f>+Get_Data!A598</f>
        <v>40311</v>
      </c>
      <c r="B599">
        <f>+ROUND(Get_Data!B598,5)</f>
        <v>48.41093</v>
      </c>
      <c r="C599">
        <f>+ROUND(Get_Data!C598,5)</f>
        <v>18.078250000000001</v>
      </c>
      <c r="D599" s="4">
        <f t="shared" si="10"/>
        <v>2.6778548808651279</v>
      </c>
    </row>
    <row r="600" spans="1:4">
      <c r="A600" s="2">
        <f>+Get_Data!A599</f>
        <v>40312</v>
      </c>
      <c r="B600">
        <f>+ROUND(Get_Data!B599,5)</f>
        <v>48.112349999999999</v>
      </c>
      <c r="C600">
        <f>+ROUND(Get_Data!C599,5)</f>
        <v>18.027550000000002</v>
      </c>
      <c r="D600" s="4">
        <f t="shared" si="10"/>
        <v>2.6688235506211324</v>
      </c>
    </row>
    <row r="601" spans="1:4">
      <c r="A601" s="2">
        <f>+Get_Data!A600</f>
        <v>40315</v>
      </c>
      <c r="B601">
        <f>+ROUND(Get_Data!B600,5)</f>
        <v>48.60754</v>
      </c>
      <c r="C601">
        <f>+ROUND(Get_Data!C600,5)</f>
        <v>18.051210000000001</v>
      </c>
      <c r="D601" s="4">
        <f t="shared" si="10"/>
        <v>2.6927579924005092</v>
      </c>
    </row>
    <row r="602" spans="1:4">
      <c r="A602" s="2">
        <f>+Get_Data!A601</f>
        <v>40316</v>
      </c>
      <c r="B602">
        <f>+ROUND(Get_Data!B601,5)</f>
        <v>48.447330000000001</v>
      </c>
      <c r="C602">
        <f>+ROUND(Get_Data!C601,5)</f>
        <v>17.946439999999999</v>
      </c>
      <c r="D602" s="4">
        <f t="shared" si="10"/>
        <v>2.6995509973008578</v>
      </c>
    </row>
    <row r="603" spans="1:4">
      <c r="A603" s="2">
        <f>+Get_Data!A602</f>
        <v>40317</v>
      </c>
      <c r="B603">
        <f>+ROUND(Get_Data!B602,5)</f>
        <v>48.090490000000003</v>
      </c>
      <c r="C603">
        <f>+ROUND(Get_Data!C602,5)</f>
        <v>17.953199999999999</v>
      </c>
      <c r="D603" s="4">
        <f t="shared" si="10"/>
        <v>2.6786584007307894</v>
      </c>
    </row>
    <row r="604" spans="1:4">
      <c r="A604" s="2">
        <f>+Get_Data!A603</f>
        <v>40318</v>
      </c>
      <c r="B604">
        <f>+ROUND(Get_Data!B603,5)</f>
        <v>46.503019999999999</v>
      </c>
      <c r="C604">
        <f>+ROUND(Get_Data!C603,5)</f>
        <v>17.4192</v>
      </c>
      <c r="D604" s="4">
        <f t="shared" si="10"/>
        <v>2.6696415449618809</v>
      </c>
    </row>
    <row r="605" spans="1:4">
      <c r="A605" s="2">
        <f>+Get_Data!A604</f>
        <v>40319</v>
      </c>
      <c r="B605">
        <f>+ROUND(Get_Data!B604,5)</f>
        <v>46.299140000000001</v>
      </c>
      <c r="C605">
        <f>+ROUND(Get_Data!C604,5)</f>
        <v>17.4361</v>
      </c>
      <c r="D605" s="4">
        <f t="shared" si="10"/>
        <v>2.6553610038942197</v>
      </c>
    </row>
    <row r="606" spans="1:4">
      <c r="A606" s="2">
        <f>+Get_Data!A605</f>
        <v>40322</v>
      </c>
      <c r="B606">
        <f>+ROUND(Get_Data!B605,5)</f>
        <v>46.109819999999999</v>
      </c>
      <c r="C606">
        <f>+ROUND(Get_Data!C605,5)</f>
        <v>17.392160000000001</v>
      </c>
      <c r="D606" s="4">
        <f t="shared" si="10"/>
        <v>2.6511842117367825</v>
      </c>
    </row>
    <row r="607" spans="1:4">
      <c r="A607" s="2">
        <f>+Get_Data!A606</f>
        <v>40323</v>
      </c>
      <c r="B607">
        <f>+ROUND(Get_Data!B606,5)</f>
        <v>45.796669999999999</v>
      </c>
      <c r="C607">
        <f>+ROUND(Get_Data!C606,5)</f>
        <v>17.108260000000001</v>
      </c>
      <c r="D607" s="4">
        <f t="shared" si="10"/>
        <v>2.6768747961510986</v>
      </c>
    </row>
    <row r="608" spans="1:4">
      <c r="A608" s="2">
        <f>+Get_Data!A607</f>
        <v>40324</v>
      </c>
      <c r="B608">
        <f>+ROUND(Get_Data!B607,5)</f>
        <v>44.587850000000003</v>
      </c>
      <c r="C608">
        <f>+ROUND(Get_Data!C607,5)</f>
        <v>16.92576</v>
      </c>
      <c r="D608" s="4">
        <f t="shared" si="10"/>
        <v>2.6343189316166602</v>
      </c>
    </row>
    <row r="609" spans="1:4">
      <c r="A609" s="2">
        <f>+Get_Data!A608</f>
        <v>40325</v>
      </c>
      <c r="B609">
        <f>+ROUND(Get_Data!B608,5)</f>
        <v>45.803959999999996</v>
      </c>
      <c r="C609">
        <f>+ROUND(Get_Data!C608,5)</f>
        <v>17.314430000000002</v>
      </c>
      <c r="D609" s="4">
        <f t="shared" si="10"/>
        <v>2.6454211891468558</v>
      </c>
    </row>
    <row r="610" spans="1:4">
      <c r="A610" s="2">
        <f>+Get_Data!A609</f>
        <v>40326</v>
      </c>
      <c r="B610">
        <f>+ROUND(Get_Data!B609,5)</f>
        <v>45.796669999999999</v>
      </c>
      <c r="C610">
        <f>+ROUND(Get_Data!C609,5)</f>
        <v>17.371880000000001</v>
      </c>
      <c r="D610" s="4">
        <f t="shared" si="10"/>
        <v>2.6362529559264742</v>
      </c>
    </row>
    <row r="611" spans="1:4">
      <c r="A611" s="2">
        <f>+Get_Data!A610</f>
        <v>40330</v>
      </c>
      <c r="B611">
        <f>+ROUND(Get_Data!B610,5)</f>
        <v>45.701999999999998</v>
      </c>
      <c r="C611">
        <f>+ROUND(Get_Data!C610,5)</f>
        <v>17.334700000000002</v>
      </c>
      <c r="D611" s="4">
        <f t="shared" si="10"/>
        <v>2.6364459725290885</v>
      </c>
    </row>
    <row r="612" spans="1:4">
      <c r="A612" s="2">
        <f>+Get_Data!A611</f>
        <v>40331</v>
      </c>
      <c r="B612">
        <f>+ROUND(Get_Data!B611,5)</f>
        <v>46.567920000000001</v>
      </c>
      <c r="C612">
        <f>+ROUND(Get_Data!C611,5)</f>
        <v>17.713229999999999</v>
      </c>
      <c r="D612" s="4">
        <f t="shared" si="10"/>
        <v>2.6289908729237976</v>
      </c>
    </row>
    <row r="613" spans="1:4">
      <c r="A613" s="2">
        <f>+Get_Data!A612</f>
        <v>40332</v>
      </c>
      <c r="B613">
        <f>+ROUND(Get_Data!B612,5)</f>
        <v>46.501869999999997</v>
      </c>
      <c r="C613">
        <f>+ROUND(Get_Data!C612,5)</f>
        <v>17.828150000000001</v>
      </c>
      <c r="D613" s="4">
        <f t="shared" si="10"/>
        <v>2.6083396202073685</v>
      </c>
    </row>
    <row r="614" spans="1:4">
      <c r="A614" s="2">
        <f>+Get_Data!A613</f>
        <v>40333</v>
      </c>
      <c r="B614">
        <f>+ROUND(Get_Data!B613,5)</f>
        <v>45.085599999999999</v>
      </c>
      <c r="C614">
        <f>+ROUND(Get_Data!C613,5)</f>
        <v>17.327950000000001</v>
      </c>
      <c r="D614" s="4">
        <f t="shared" si="10"/>
        <v>2.6019003979120434</v>
      </c>
    </row>
    <row r="615" spans="1:4">
      <c r="A615" s="2">
        <f>+Get_Data!A614</f>
        <v>40336</v>
      </c>
      <c r="B615">
        <f>+ROUND(Get_Data!B614,5)</f>
        <v>45.298400000000001</v>
      </c>
      <c r="C615">
        <f>+ROUND(Get_Data!C614,5)</f>
        <v>17.1691</v>
      </c>
      <c r="D615" s="4">
        <f t="shared" si="10"/>
        <v>2.6383677653458832</v>
      </c>
    </row>
    <row r="616" spans="1:4">
      <c r="A616" s="2">
        <f>+Get_Data!A615</f>
        <v>40337</v>
      </c>
      <c r="B616">
        <f>+ROUND(Get_Data!B615,5)</f>
        <v>45.973529999999997</v>
      </c>
      <c r="C616">
        <f>+ROUND(Get_Data!C615,5)</f>
        <v>17.42596</v>
      </c>
      <c r="D616" s="4">
        <f t="shared" si="10"/>
        <v>2.6382207924269307</v>
      </c>
    </row>
    <row r="617" spans="1:4">
      <c r="A617" s="2">
        <f>+Get_Data!A616</f>
        <v>40338</v>
      </c>
      <c r="B617">
        <f>+ROUND(Get_Data!B616,5)</f>
        <v>45.856119999999997</v>
      </c>
      <c r="C617">
        <f>+ROUND(Get_Data!C616,5)</f>
        <v>17.354980000000001</v>
      </c>
      <c r="D617" s="4">
        <f t="shared" si="10"/>
        <v>2.6422456263274285</v>
      </c>
    </row>
    <row r="618" spans="1:4">
      <c r="A618" s="2">
        <f>+Get_Data!A617</f>
        <v>40339</v>
      </c>
      <c r="B618">
        <f>+ROUND(Get_Data!B617,5)</f>
        <v>46.846739999999997</v>
      </c>
      <c r="C618">
        <f>+ROUND(Get_Data!C617,5)</f>
        <v>17.726759999999999</v>
      </c>
      <c r="D618" s="4">
        <f t="shared" si="10"/>
        <v>2.6427130507774685</v>
      </c>
    </row>
    <row r="619" spans="1:4">
      <c r="A619" s="2">
        <f>+Get_Data!A618</f>
        <v>40340</v>
      </c>
      <c r="B619">
        <f>+ROUND(Get_Data!B618,5)</f>
        <v>46.641289999999998</v>
      </c>
      <c r="C619">
        <f>+ROUND(Get_Data!C618,5)</f>
        <v>17.754259999999999</v>
      </c>
      <c r="D619" s="4">
        <f t="shared" si="10"/>
        <v>2.627047818382743</v>
      </c>
    </row>
    <row r="620" spans="1:4">
      <c r="A620" s="2">
        <f>+Get_Data!A619</f>
        <v>40343</v>
      </c>
      <c r="B620">
        <f>+ROUND(Get_Data!B619,5)</f>
        <v>46.854109999999999</v>
      </c>
      <c r="C620">
        <f>+ROUND(Get_Data!C619,5)</f>
        <v>17.706130000000002</v>
      </c>
      <c r="D620" s="4">
        <f t="shared" si="10"/>
        <v>2.6462084035303026</v>
      </c>
    </row>
    <row r="621" spans="1:4">
      <c r="A621" s="2">
        <f>+Get_Data!A620</f>
        <v>40344</v>
      </c>
      <c r="B621">
        <f>+ROUND(Get_Data!B620,5)</f>
        <v>47.140279999999997</v>
      </c>
      <c r="C621">
        <f>+ROUND(Get_Data!C620,5)</f>
        <v>17.936430000000001</v>
      </c>
      <c r="D621" s="4">
        <f t="shared" si="10"/>
        <v>2.6281863224733124</v>
      </c>
    </row>
    <row r="622" spans="1:4">
      <c r="A622" s="2">
        <f>+Get_Data!A621</f>
        <v>40345</v>
      </c>
      <c r="B622">
        <f>+ROUND(Get_Data!B621,5)</f>
        <v>46.898130000000002</v>
      </c>
      <c r="C622">
        <f>+ROUND(Get_Data!C621,5)</f>
        <v>18.012060000000002</v>
      </c>
      <c r="D622" s="4">
        <f t="shared" si="10"/>
        <v>2.603707182854154</v>
      </c>
    </row>
    <row r="623" spans="1:4">
      <c r="A623" s="2">
        <f>+Get_Data!A622</f>
        <v>40346</v>
      </c>
      <c r="B623">
        <f>+ROUND(Get_Data!B622,5)</f>
        <v>47.323729999999998</v>
      </c>
      <c r="C623">
        <f>+ROUND(Get_Data!C622,5)</f>
        <v>17.99831</v>
      </c>
      <c r="D623" s="4">
        <f t="shared" si="10"/>
        <v>2.6293429772017483</v>
      </c>
    </row>
    <row r="624" spans="1:4">
      <c r="A624" s="2">
        <f>+Get_Data!A623</f>
        <v>40347</v>
      </c>
      <c r="B624">
        <f>+ROUND(Get_Data!B623,5)</f>
        <v>47.022880000000001</v>
      </c>
      <c r="C624">
        <f>+ROUND(Get_Data!C623,5)</f>
        <v>17.981120000000001</v>
      </c>
      <c r="D624" s="4">
        <f t="shared" si="10"/>
        <v>2.6151251979854426</v>
      </c>
    </row>
    <row r="625" spans="1:4">
      <c r="A625" s="2">
        <f>+Get_Data!A624</f>
        <v>40350</v>
      </c>
      <c r="B625">
        <f>+ROUND(Get_Data!B624,5)</f>
        <v>46.978850000000001</v>
      </c>
      <c r="C625">
        <f>+ROUND(Get_Data!C624,5)</f>
        <v>18.039560000000002</v>
      </c>
      <c r="D625" s="4">
        <f t="shared" si="10"/>
        <v>2.6042126304632705</v>
      </c>
    </row>
    <row r="626" spans="1:4">
      <c r="A626" s="2">
        <f>+Get_Data!A625</f>
        <v>40351</v>
      </c>
      <c r="B626">
        <f>+ROUND(Get_Data!B625,5)</f>
        <v>46.450490000000002</v>
      </c>
      <c r="C626">
        <f>+ROUND(Get_Data!C625,5)</f>
        <v>18.032679999999999</v>
      </c>
      <c r="D626" s="4">
        <f t="shared" si="10"/>
        <v>2.5759060771887485</v>
      </c>
    </row>
    <row r="627" spans="1:4">
      <c r="A627" s="2">
        <f>+Get_Data!A626</f>
        <v>40352</v>
      </c>
      <c r="B627">
        <f>+ROUND(Get_Data!B626,5)</f>
        <v>46.032229999999998</v>
      </c>
      <c r="C627">
        <f>+ROUND(Get_Data!C626,5)</f>
        <v>17.957070000000002</v>
      </c>
      <c r="D627" s="4">
        <f t="shared" si="10"/>
        <v>2.5634599631231594</v>
      </c>
    </row>
    <row r="628" spans="1:4">
      <c r="A628" s="2">
        <f>+Get_Data!A627</f>
        <v>40353</v>
      </c>
      <c r="B628">
        <f>+ROUND(Get_Data!B627,5)</f>
        <v>45.79007</v>
      </c>
      <c r="C628">
        <f>+ROUND(Get_Data!C627,5)</f>
        <v>17.805820000000001</v>
      </c>
      <c r="D628" s="4">
        <f t="shared" si="10"/>
        <v>2.5716350047344068</v>
      </c>
    </row>
    <row r="629" spans="1:4">
      <c r="A629" s="2">
        <f>+Get_Data!A628</f>
        <v>40354</v>
      </c>
      <c r="B629">
        <f>+ROUND(Get_Data!B628,5)</f>
        <v>44.59395</v>
      </c>
      <c r="C629">
        <f>+ROUND(Get_Data!C628,5)</f>
        <v>17.276450000000001</v>
      </c>
      <c r="D629" s="4">
        <f t="shared" si="10"/>
        <v>2.5811986837573691</v>
      </c>
    </row>
    <row r="630" spans="1:4">
      <c r="A630" s="2">
        <f>+Get_Data!A629</f>
        <v>40357</v>
      </c>
      <c r="B630">
        <f>+ROUND(Get_Data!B629,5)</f>
        <v>45.467179999999999</v>
      </c>
      <c r="C630">
        <f>+ROUND(Get_Data!C629,5)</f>
        <v>17.558330000000002</v>
      </c>
      <c r="D630" s="4">
        <f t="shared" si="10"/>
        <v>2.5894934199323054</v>
      </c>
    </row>
    <row r="631" spans="1:4">
      <c r="A631" s="2">
        <f>+Get_Data!A630</f>
        <v>40358</v>
      </c>
      <c r="B631">
        <f>+ROUND(Get_Data!B630,5)</f>
        <v>44.9315</v>
      </c>
      <c r="C631">
        <f>+ROUND(Get_Data!C630,5)</f>
        <v>17.300519999999999</v>
      </c>
      <c r="D631" s="4">
        <f t="shared" si="10"/>
        <v>2.5971184681154096</v>
      </c>
    </row>
    <row r="632" spans="1:4">
      <c r="A632" s="2">
        <f>+Get_Data!A631</f>
        <v>40359</v>
      </c>
      <c r="B632">
        <f>+ROUND(Get_Data!B631,5)</f>
        <v>44.726030000000002</v>
      </c>
      <c r="C632">
        <f>+ROUND(Get_Data!C631,5)</f>
        <v>17.22833</v>
      </c>
      <c r="D632" s="4">
        <f t="shared" si="10"/>
        <v>2.5960746050255596</v>
      </c>
    </row>
    <row r="633" spans="1:4">
      <c r="A633" s="2">
        <f>+Get_Data!A632</f>
        <v>40360</v>
      </c>
      <c r="B633">
        <f>+ROUND(Get_Data!B632,5)</f>
        <v>45.144309999999997</v>
      </c>
      <c r="C633">
        <f>+ROUND(Get_Data!C632,5)</f>
        <v>17.197399999999998</v>
      </c>
      <c r="D633" s="4">
        <f t="shared" si="10"/>
        <v>2.6250659983485876</v>
      </c>
    </row>
    <row r="634" spans="1:4">
      <c r="A634" s="2">
        <f>+Get_Data!A633</f>
        <v>40361</v>
      </c>
      <c r="B634">
        <f>+ROUND(Get_Data!B633,5)</f>
        <v>45.151649999999997</v>
      </c>
      <c r="C634">
        <f>+ROUND(Get_Data!C633,5)</f>
        <v>17.204270000000001</v>
      </c>
      <c r="D634" s="4">
        <f t="shared" si="10"/>
        <v>2.6244443966526911</v>
      </c>
    </row>
    <row r="635" spans="1:4">
      <c r="A635" s="2">
        <f>+Get_Data!A634</f>
        <v>40365</v>
      </c>
      <c r="B635">
        <f>+ROUND(Get_Data!B634,5)</f>
        <v>45.232349999999997</v>
      </c>
      <c r="C635">
        <f>+ROUND(Get_Data!C634,5)</f>
        <v>17.334890000000001</v>
      </c>
      <c r="D635" s="4">
        <f t="shared" si="10"/>
        <v>2.6093243164508104</v>
      </c>
    </row>
    <row r="636" spans="1:4">
      <c r="A636" s="2">
        <f>+Get_Data!A635</f>
        <v>40366</v>
      </c>
      <c r="B636">
        <f>+ROUND(Get_Data!B635,5)</f>
        <v>46.179000000000002</v>
      </c>
      <c r="C636">
        <f>+ROUND(Get_Data!C635,5)</f>
        <v>17.69238</v>
      </c>
      <c r="D636" s="4">
        <f t="shared" si="10"/>
        <v>2.6101067239116502</v>
      </c>
    </row>
    <row r="637" spans="1:4">
      <c r="A637" s="2">
        <f>+Get_Data!A636</f>
        <v>40367</v>
      </c>
      <c r="B637">
        <f>+ROUND(Get_Data!B636,5)</f>
        <v>46.964170000000003</v>
      </c>
      <c r="C637">
        <f>+ROUND(Get_Data!C636,5)</f>
        <v>18.018940000000001</v>
      </c>
      <c r="D637" s="4">
        <f t="shared" si="10"/>
        <v>2.6063780666343304</v>
      </c>
    </row>
    <row r="638" spans="1:4">
      <c r="A638" s="2">
        <f>+Get_Data!A637</f>
        <v>40368</v>
      </c>
      <c r="B638">
        <f>+ROUND(Get_Data!B637,5)</f>
        <v>46.597279999999998</v>
      </c>
      <c r="C638">
        <f>+ROUND(Get_Data!C637,5)</f>
        <v>18.012060000000002</v>
      </c>
      <c r="D638" s="4">
        <f t="shared" si="10"/>
        <v>2.5870044847729794</v>
      </c>
    </row>
    <row r="639" spans="1:4">
      <c r="A639" s="2">
        <f>+Get_Data!A638</f>
        <v>40371</v>
      </c>
      <c r="B639">
        <f>+ROUND(Get_Data!B638,5)</f>
        <v>46.773380000000003</v>
      </c>
      <c r="C639">
        <f>+ROUND(Get_Data!C638,5)</f>
        <v>18.029250000000001</v>
      </c>
      <c r="D639" s="4">
        <f t="shared" si="10"/>
        <v>2.5943053648931595</v>
      </c>
    </row>
    <row r="640" spans="1:4">
      <c r="A640" s="2">
        <f>+Get_Data!A639</f>
        <v>40372</v>
      </c>
      <c r="B640">
        <f>+ROUND(Get_Data!B639,5)</f>
        <v>46.545909999999999</v>
      </c>
      <c r="C640">
        <f>+ROUND(Get_Data!C639,5)</f>
        <v>18.122060000000001</v>
      </c>
      <c r="D640" s="4">
        <f t="shared" si="10"/>
        <v>2.5684668299299305</v>
      </c>
    </row>
    <row r="641" spans="1:4">
      <c r="A641" s="2">
        <f>+Get_Data!A640</f>
        <v>40373</v>
      </c>
      <c r="B641">
        <f>+ROUND(Get_Data!B640,5)</f>
        <v>46.641289999999998</v>
      </c>
      <c r="C641">
        <f>+ROUND(Get_Data!C640,5)</f>
        <v>18.15643</v>
      </c>
      <c r="D641" s="4">
        <f t="shared" si="10"/>
        <v>2.5688579748331581</v>
      </c>
    </row>
    <row r="642" spans="1:4">
      <c r="A642" s="2">
        <f>+Get_Data!A641</f>
        <v>40374</v>
      </c>
      <c r="B642">
        <f>+ROUND(Get_Data!B641,5)</f>
        <v>46.347760000000001</v>
      </c>
      <c r="C642">
        <f>+ROUND(Get_Data!C641,5)</f>
        <v>18.16675</v>
      </c>
      <c r="D642" s="4">
        <f t="shared" si="10"/>
        <v>2.5512411410956832</v>
      </c>
    </row>
    <row r="643" spans="1:4">
      <c r="A643" s="2">
        <f>+Get_Data!A642</f>
        <v>40375</v>
      </c>
      <c r="B643">
        <f>+ROUND(Get_Data!B642,5)</f>
        <v>45.82676</v>
      </c>
      <c r="C643">
        <f>+ROUND(Get_Data!C642,5)</f>
        <v>18.001750000000001</v>
      </c>
      <c r="D643" s="4">
        <f t="shared" si="10"/>
        <v>2.5456836140930741</v>
      </c>
    </row>
    <row r="644" spans="1:4">
      <c r="A644" s="2">
        <f>+Get_Data!A643</f>
        <v>40378</v>
      </c>
      <c r="B644">
        <f>+ROUND(Get_Data!B643,5)</f>
        <v>45.533230000000003</v>
      </c>
      <c r="C644">
        <f>+ROUND(Get_Data!C643,5)</f>
        <v>17.967369999999999</v>
      </c>
      <c r="D644" s="4">
        <f t="shared" ref="D644:D707" si="11">IFERROR(B644/C644,"")</f>
        <v>2.5342178627144656</v>
      </c>
    </row>
    <row r="645" spans="1:4">
      <c r="A645" s="2">
        <f>+Get_Data!A644</f>
        <v>40379</v>
      </c>
      <c r="B645">
        <f>+ROUND(Get_Data!B644,5)</f>
        <v>47.499870000000001</v>
      </c>
      <c r="C645">
        <f>+ROUND(Get_Data!C644,5)</f>
        <v>18.300809999999998</v>
      </c>
      <c r="D645" s="4">
        <f t="shared" si="11"/>
        <v>2.595506428403989</v>
      </c>
    </row>
    <row r="646" spans="1:4">
      <c r="A646" s="2">
        <f>+Get_Data!A645</f>
        <v>40380</v>
      </c>
      <c r="B646">
        <f>+ROUND(Get_Data!B645,5)</f>
        <v>46.927489999999999</v>
      </c>
      <c r="C646">
        <f>+ROUND(Get_Data!C645,5)</f>
        <v>18.58954</v>
      </c>
      <c r="D646" s="4">
        <f t="shared" si="11"/>
        <v>2.5244029707028792</v>
      </c>
    </row>
    <row r="647" spans="1:4">
      <c r="A647" s="2">
        <f>+Get_Data!A646</f>
        <v>40381</v>
      </c>
      <c r="B647">
        <f>+ROUND(Get_Data!B646,5)</f>
        <v>47.118270000000003</v>
      </c>
      <c r="C647">
        <f>+ROUND(Get_Data!C646,5)</f>
        <v>18.651420000000002</v>
      </c>
      <c r="D647" s="4">
        <f t="shared" si="11"/>
        <v>2.5262564458899108</v>
      </c>
    </row>
    <row r="648" spans="1:4">
      <c r="A648" s="2">
        <f>+Get_Data!A647</f>
        <v>40382</v>
      </c>
      <c r="B648">
        <f>+ROUND(Get_Data!B647,5)</f>
        <v>47.294400000000003</v>
      </c>
      <c r="C648">
        <f>+ROUND(Get_Data!C647,5)</f>
        <v>18.819849999999999</v>
      </c>
      <c r="D648" s="4">
        <f t="shared" si="11"/>
        <v>2.5130062141834291</v>
      </c>
    </row>
    <row r="649" spans="1:4">
      <c r="A649" s="2">
        <f>+Get_Data!A648</f>
        <v>40385</v>
      </c>
      <c r="B649">
        <f>+ROUND(Get_Data!B648,5)</f>
        <v>47.683320000000002</v>
      </c>
      <c r="C649">
        <f>+ROUND(Get_Data!C648,5)</f>
        <v>18.885159999999999</v>
      </c>
      <c r="D649" s="4">
        <f t="shared" si="11"/>
        <v>2.5249095056647657</v>
      </c>
    </row>
    <row r="650" spans="1:4">
      <c r="A650" s="2">
        <f>+Get_Data!A649</f>
        <v>40386</v>
      </c>
      <c r="B650">
        <f>+ROUND(Get_Data!B649,5)</f>
        <v>48.204329999999999</v>
      </c>
      <c r="C650">
        <f>+ROUND(Get_Data!C649,5)</f>
        <v>18.922969999999999</v>
      </c>
      <c r="D650" s="4">
        <f t="shared" si="11"/>
        <v>2.5473976865153833</v>
      </c>
    </row>
    <row r="651" spans="1:4">
      <c r="A651" s="2">
        <f>+Get_Data!A650</f>
        <v>40387</v>
      </c>
      <c r="B651">
        <f>+ROUND(Get_Data!B650,5)</f>
        <v>47.844749999999998</v>
      </c>
      <c r="C651">
        <f>+ROUND(Get_Data!C650,5)</f>
        <v>18.864540000000002</v>
      </c>
      <c r="D651" s="4">
        <f t="shared" si="11"/>
        <v>2.5362266983451489</v>
      </c>
    </row>
    <row r="652" spans="1:4">
      <c r="A652" s="2">
        <f>+Get_Data!A651</f>
        <v>40388</v>
      </c>
      <c r="B652">
        <f>+ROUND(Get_Data!B651,5)</f>
        <v>47.617260000000002</v>
      </c>
      <c r="C652">
        <f>+ROUND(Get_Data!C651,5)</f>
        <v>18.902349999999998</v>
      </c>
      <c r="D652" s="4">
        <f t="shared" si="11"/>
        <v>2.5191185223001376</v>
      </c>
    </row>
    <row r="653" spans="1:4">
      <c r="A653" s="2">
        <f>+Get_Data!A652</f>
        <v>40389</v>
      </c>
      <c r="B653">
        <f>+ROUND(Get_Data!B652,5)</f>
        <v>47.63194</v>
      </c>
      <c r="C653">
        <f>+ROUND(Get_Data!C652,5)</f>
        <v>18.9436</v>
      </c>
      <c r="D653" s="4">
        <f t="shared" si="11"/>
        <v>2.5144080322641948</v>
      </c>
    </row>
    <row r="654" spans="1:4">
      <c r="A654" s="2">
        <f>+Get_Data!A653</f>
        <v>40392</v>
      </c>
      <c r="B654">
        <f>+ROUND(Get_Data!B653,5)</f>
        <v>47.89611</v>
      </c>
      <c r="C654">
        <f>+ROUND(Get_Data!C653,5)</f>
        <v>19.390470000000001</v>
      </c>
      <c r="D654" s="4">
        <f t="shared" si="11"/>
        <v>2.4700850469328488</v>
      </c>
    </row>
    <row r="655" spans="1:4">
      <c r="A655" s="2">
        <f>+Get_Data!A654</f>
        <v>40393</v>
      </c>
      <c r="B655">
        <f>+ROUND(Get_Data!B654,5)</f>
        <v>48.263019999999997</v>
      </c>
      <c r="C655">
        <f>+ROUND(Get_Data!C654,5)</f>
        <v>19.38016</v>
      </c>
      <c r="D655" s="4">
        <f t="shared" si="11"/>
        <v>2.4903313491735877</v>
      </c>
    </row>
    <row r="656" spans="1:4">
      <c r="A656" s="2">
        <f>+Get_Data!A655</f>
        <v>40394</v>
      </c>
      <c r="B656">
        <f>+ROUND(Get_Data!B655,5)</f>
        <v>48.556550000000001</v>
      </c>
      <c r="C656">
        <f>+ROUND(Get_Data!C655,5)</f>
        <v>19.438590000000001</v>
      </c>
      <c r="D656" s="4">
        <f t="shared" si="11"/>
        <v>2.4979460958845263</v>
      </c>
    </row>
    <row r="657" spans="1:4">
      <c r="A657" s="2">
        <f>+Get_Data!A656</f>
        <v>40395</v>
      </c>
      <c r="B657">
        <f>+ROUND(Get_Data!B656,5)</f>
        <v>48.123609999999999</v>
      </c>
      <c r="C657">
        <f>+ROUND(Get_Data!C656,5)</f>
        <v>19.376719999999999</v>
      </c>
      <c r="D657" s="4">
        <f t="shared" si="11"/>
        <v>2.4835787481059746</v>
      </c>
    </row>
    <row r="658" spans="1:4">
      <c r="A658" s="2">
        <f>+Get_Data!A657</f>
        <v>40396</v>
      </c>
      <c r="B658">
        <f>+ROUND(Get_Data!B657,5)</f>
        <v>48.358429999999998</v>
      </c>
      <c r="C658">
        <f>+ROUND(Get_Data!C657,5)</f>
        <v>19.507339999999999</v>
      </c>
      <c r="D658" s="4">
        <f t="shared" si="11"/>
        <v>2.4789863712838347</v>
      </c>
    </row>
    <row r="659" spans="1:4">
      <c r="A659" s="2">
        <f>+Get_Data!A658</f>
        <v>40399</v>
      </c>
      <c r="B659">
        <f>+ROUND(Get_Data!B658,5)</f>
        <v>48.740009999999998</v>
      </c>
      <c r="C659">
        <f>+ROUND(Get_Data!C658,5)</f>
        <v>19.63109</v>
      </c>
      <c r="D659" s="4">
        <f t="shared" si="11"/>
        <v>2.4827969307868285</v>
      </c>
    </row>
    <row r="660" spans="1:4">
      <c r="A660" s="2">
        <f>+Get_Data!A659</f>
        <v>40400</v>
      </c>
      <c r="B660">
        <f>+ROUND(Get_Data!B659,5)</f>
        <v>48.820720000000001</v>
      </c>
      <c r="C660">
        <f>+ROUND(Get_Data!C659,5)</f>
        <v>19.586400000000001</v>
      </c>
      <c r="D660" s="4">
        <f t="shared" si="11"/>
        <v>2.4925826083404812</v>
      </c>
    </row>
    <row r="661" spans="1:4">
      <c r="A661" s="2">
        <f>+Get_Data!A660</f>
        <v>40401</v>
      </c>
      <c r="B661">
        <f>+ROUND(Get_Data!B660,5)</f>
        <v>48.028210000000001</v>
      </c>
      <c r="C661">
        <f>+ROUND(Get_Data!C660,5)</f>
        <v>19.263280000000002</v>
      </c>
      <c r="D661" s="4">
        <f t="shared" si="11"/>
        <v>2.4932519280205656</v>
      </c>
    </row>
    <row r="662" spans="1:4">
      <c r="A662" s="2">
        <f>+Get_Data!A661</f>
        <v>40402</v>
      </c>
      <c r="B662">
        <f>+ROUND(Get_Data!B661,5)</f>
        <v>47.830060000000003</v>
      </c>
      <c r="C662">
        <f>+ROUND(Get_Data!C661,5)</f>
        <v>19.142969999999998</v>
      </c>
      <c r="D662" s="4">
        <f t="shared" si="11"/>
        <v>2.498570493502315</v>
      </c>
    </row>
    <row r="663" spans="1:4">
      <c r="A663" s="2">
        <f>+Get_Data!A662</f>
        <v>40403</v>
      </c>
      <c r="B663">
        <f>+ROUND(Get_Data!B662,5)</f>
        <v>48.108919999999998</v>
      </c>
      <c r="C663">
        <f>+ROUND(Get_Data!C662,5)</f>
        <v>19.15672</v>
      </c>
      <c r="D663" s="4">
        <f t="shared" si="11"/>
        <v>2.5113338817918724</v>
      </c>
    </row>
    <row r="664" spans="1:4">
      <c r="A664" s="2">
        <f>+Get_Data!A663</f>
        <v>40406</v>
      </c>
      <c r="B664">
        <f>+ROUND(Get_Data!B663,5)</f>
        <v>48.013530000000003</v>
      </c>
      <c r="C664">
        <f>+ROUND(Get_Data!C663,5)</f>
        <v>19.208279999999998</v>
      </c>
      <c r="D664" s="4">
        <f t="shared" si="11"/>
        <v>2.4996267234755014</v>
      </c>
    </row>
    <row r="665" spans="1:4">
      <c r="A665" s="2">
        <f>+Get_Data!A664</f>
        <v>40407</v>
      </c>
      <c r="B665">
        <f>+ROUND(Get_Data!B664,5)</f>
        <v>48.101590000000002</v>
      </c>
      <c r="C665">
        <f>+ROUND(Get_Data!C664,5)</f>
        <v>19.290780000000002</v>
      </c>
      <c r="D665" s="4">
        <f t="shared" si="11"/>
        <v>2.4935015587757468</v>
      </c>
    </row>
    <row r="666" spans="1:4">
      <c r="A666" s="2">
        <f>+Get_Data!A665</f>
        <v>40408</v>
      </c>
      <c r="B666">
        <f>+ROUND(Get_Data!B665,5)</f>
        <v>48.07958</v>
      </c>
      <c r="C666">
        <f>+ROUND(Get_Data!C665,5)</f>
        <v>19.19454</v>
      </c>
      <c r="D666" s="4">
        <f t="shared" si="11"/>
        <v>2.5048571104074386</v>
      </c>
    </row>
    <row r="667" spans="1:4">
      <c r="A667" s="2">
        <f>+Get_Data!A666</f>
        <v>40409</v>
      </c>
      <c r="B667">
        <f>+ROUND(Get_Data!B666,5)</f>
        <v>47.448500000000003</v>
      </c>
      <c r="C667">
        <f>+ROUND(Get_Data!C666,5)</f>
        <v>19.002040000000001</v>
      </c>
      <c r="D667" s="4">
        <f t="shared" si="11"/>
        <v>2.4970213724421169</v>
      </c>
    </row>
    <row r="668" spans="1:4">
      <c r="A668" s="2">
        <f>+Get_Data!A667</f>
        <v>40410</v>
      </c>
      <c r="B668">
        <f>+ROUND(Get_Data!B667,5)</f>
        <v>47.55124</v>
      </c>
      <c r="C668">
        <f>+ROUND(Get_Data!C667,5)</f>
        <v>19.00891</v>
      </c>
      <c r="D668" s="4">
        <f t="shared" si="11"/>
        <v>2.5015237591213806</v>
      </c>
    </row>
    <row r="669" spans="1:4">
      <c r="A669" s="2">
        <f>+Get_Data!A668</f>
        <v>40413</v>
      </c>
      <c r="B669">
        <f>+ROUND(Get_Data!B668,5)</f>
        <v>47.565899999999999</v>
      </c>
      <c r="C669">
        <f>+ROUND(Get_Data!C668,5)</f>
        <v>19.11204</v>
      </c>
      <c r="D669" s="4">
        <f t="shared" si="11"/>
        <v>2.4887924052063517</v>
      </c>
    </row>
    <row r="670" spans="1:4">
      <c r="A670" s="2">
        <f>+Get_Data!A669</f>
        <v>40414</v>
      </c>
      <c r="B670">
        <f>+ROUND(Get_Data!B669,5)</f>
        <v>47.536549999999998</v>
      </c>
      <c r="C670">
        <f>+ROUND(Get_Data!C669,5)</f>
        <v>19.132670000000001</v>
      </c>
      <c r="D670" s="4">
        <f t="shared" si="11"/>
        <v>2.4845748136564314</v>
      </c>
    </row>
    <row r="671" spans="1:4">
      <c r="A671" s="2">
        <f>+Get_Data!A670</f>
        <v>40415</v>
      </c>
      <c r="B671">
        <f>+ROUND(Get_Data!B670,5)</f>
        <v>47.382449999999999</v>
      </c>
      <c r="C671">
        <f>+ROUND(Get_Data!C670,5)</f>
        <v>19.039850000000001</v>
      </c>
      <c r="D671" s="4">
        <f t="shared" si="11"/>
        <v>2.488593660139129</v>
      </c>
    </row>
    <row r="672" spans="1:4">
      <c r="A672" s="2">
        <f>+Get_Data!A671</f>
        <v>40416</v>
      </c>
      <c r="B672">
        <f>+ROUND(Get_Data!B671,5)</f>
        <v>47.059570000000001</v>
      </c>
      <c r="C672">
        <f>+ROUND(Get_Data!C671,5)</f>
        <v>18.960789999999999</v>
      </c>
      <c r="D672" s="4">
        <f t="shared" si="11"/>
        <v>2.4819414169979206</v>
      </c>
    </row>
    <row r="673" spans="1:4">
      <c r="A673" s="2">
        <f>+Get_Data!A672</f>
        <v>40417</v>
      </c>
      <c r="B673">
        <f>+ROUND(Get_Data!B672,5)</f>
        <v>47.052230000000002</v>
      </c>
      <c r="C673">
        <f>+ROUND(Get_Data!C672,5)</f>
        <v>19.30453</v>
      </c>
      <c r="D673" s="4">
        <f t="shared" si="11"/>
        <v>2.4373672915113707</v>
      </c>
    </row>
    <row r="674" spans="1:4">
      <c r="A674" s="2">
        <f>+Get_Data!A673</f>
        <v>40420</v>
      </c>
      <c r="B674">
        <f>+ROUND(Get_Data!B673,5)</f>
        <v>46.670639999999999</v>
      </c>
      <c r="C674">
        <f>+ROUND(Get_Data!C673,5)</f>
        <v>19.094840000000001</v>
      </c>
      <c r="D674" s="4">
        <f t="shared" si="11"/>
        <v>2.4441493094469497</v>
      </c>
    </row>
    <row r="675" spans="1:4">
      <c r="A675" s="2">
        <f>+Get_Data!A674</f>
        <v>40421</v>
      </c>
      <c r="B675">
        <f>+ROUND(Get_Data!B674,5)</f>
        <v>47.096260000000001</v>
      </c>
      <c r="C675">
        <f>+ROUND(Get_Data!C674,5)</f>
        <v>19.208279999999998</v>
      </c>
      <c r="D675" s="4">
        <f t="shared" si="11"/>
        <v>2.4518728381718717</v>
      </c>
    </row>
    <row r="676" spans="1:4">
      <c r="A676" s="2">
        <f>+Get_Data!A675</f>
        <v>40422</v>
      </c>
      <c r="B676">
        <f>+ROUND(Get_Data!B675,5)</f>
        <v>47.97607</v>
      </c>
      <c r="C676">
        <f>+ROUND(Get_Data!C675,5)</f>
        <v>19.699839999999998</v>
      </c>
      <c r="D676" s="4">
        <f t="shared" si="11"/>
        <v>2.4353532820571133</v>
      </c>
    </row>
    <row r="677" spans="1:4">
      <c r="A677" s="2">
        <f>+Get_Data!A676</f>
        <v>40423</v>
      </c>
      <c r="B677">
        <f>+ROUND(Get_Data!B676,5)</f>
        <v>48.035220000000002</v>
      </c>
      <c r="C677">
        <f>+ROUND(Get_Data!C676,5)</f>
        <v>19.7239</v>
      </c>
      <c r="D677" s="4">
        <f t="shared" si="11"/>
        <v>2.4353814407901075</v>
      </c>
    </row>
    <row r="678" spans="1:4">
      <c r="A678" s="2">
        <f>+Get_Data!A677</f>
        <v>40424</v>
      </c>
      <c r="B678">
        <f>+ROUND(Get_Data!B677,5)</f>
        <v>48.478830000000002</v>
      </c>
      <c r="C678">
        <f>+ROUND(Get_Data!C677,5)</f>
        <v>19.78576</v>
      </c>
      <c r="D678" s="4">
        <f t="shared" si="11"/>
        <v>2.450187912923234</v>
      </c>
    </row>
    <row r="679" spans="1:4">
      <c r="A679" s="2">
        <f>+Get_Data!A678</f>
        <v>40428</v>
      </c>
      <c r="B679">
        <f>+ROUND(Get_Data!B678,5)</f>
        <v>48.412300000000002</v>
      </c>
      <c r="C679">
        <f>+ROUND(Get_Data!C678,5)</f>
        <v>19.809830000000002</v>
      </c>
      <c r="D679" s="4">
        <f t="shared" si="11"/>
        <v>2.443852370262642</v>
      </c>
    </row>
    <row r="680" spans="1:4">
      <c r="A680" s="2">
        <f>+Get_Data!A679</f>
        <v>40429</v>
      </c>
      <c r="B680">
        <f>+ROUND(Get_Data!B679,5)</f>
        <v>48.375329999999998</v>
      </c>
      <c r="C680">
        <f>+ROUND(Get_Data!C679,5)</f>
        <v>19.878579999999999</v>
      </c>
      <c r="D680" s="4">
        <f t="shared" si="11"/>
        <v>2.4335405245243877</v>
      </c>
    </row>
    <row r="681" spans="1:4">
      <c r="A681" s="2">
        <f>+Get_Data!A680</f>
        <v>40430</v>
      </c>
      <c r="B681">
        <f>+ROUND(Get_Data!B680,5)</f>
        <v>49.231859999999998</v>
      </c>
      <c r="C681">
        <f>+ROUND(Get_Data!C680,5)</f>
        <v>20.0367</v>
      </c>
      <c r="D681" s="4">
        <f t="shared" si="11"/>
        <v>2.457084250400515</v>
      </c>
    </row>
    <row r="682" spans="1:4">
      <c r="A682" s="2">
        <f>+Get_Data!A681</f>
        <v>40431</v>
      </c>
      <c r="B682">
        <f>+ROUND(Get_Data!B681,5)</f>
        <v>49.46275</v>
      </c>
      <c r="C682">
        <f>+ROUND(Get_Data!C681,5)</f>
        <v>20.115760000000002</v>
      </c>
      <c r="D682" s="4">
        <f t="shared" si="11"/>
        <v>2.458905355800626</v>
      </c>
    </row>
    <row r="683" spans="1:4">
      <c r="A683" s="2">
        <f>+Get_Data!A682</f>
        <v>40434</v>
      </c>
      <c r="B683">
        <f>+ROUND(Get_Data!B682,5)</f>
        <v>49.34357</v>
      </c>
      <c r="C683">
        <f>+ROUND(Get_Data!C682,5)</f>
        <v>20.25187</v>
      </c>
      <c r="D683" s="4">
        <f t="shared" si="11"/>
        <v>2.4364945064332328</v>
      </c>
    </row>
    <row r="684" spans="1:4">
      <c r="A684" s="2">
        <f>+Get_Data!A683</f>
        <v>40435</v>
      </c>
      <c r="B684">
        <f>+ROUND(Get_Data!B683,5)</f>
        <v>49.142490000000002</v>
      </c>
      <c r="C684">
        <f>+ROUND(Get_Data!C683,5)</f>
        <v>20.098310000000001</v>
      </c>
      <c r="D684" s="4">
        <f t="shared" si="11"/>
        <v>2.4451055835042848</v>
      </c>
    </row>
    <row r="685" spans="1:4">
      <c r="A685" s="2">
        <f>+Get_Data!A684</f>
        <v>40436</v>
      </c>
      <c r="B685">
        <f>+ROUND(Get_Data!B684,5)</f>
        <v>49.529780000000002</v>
      </c>
      <c r="C685">
        <f>+ROUND(Get_Data!C684,5)</f>
        <v>20.038979999999999</v>
      </c>
      <c r="D685" s="4">
        <f t="shared" si="11"/>
        <v>2.4716717118336367</v>
      </c>
    </row>
    <row r="686" spans="1:4">
      <c r="A686" s="2">
        <f>+Get_Data!A685</f>
        <v>40437</v>
      </c>
      <c r="B686">
        <f>+ROUND(Get_Data!B685,5)</f>
        <v>49.611710000000002</v>
      </c>
      <c r="C686">
        <f>+ROUND(Get_Data!C685,5)</f>
        <v>20.07039</v>
      </c>
      <c r="D686" s="4">
        <f t="shared" si="11"/>
        <v>2.4718856982848867</v>
      </c>
    </row>
    <row r="687" spans="1:4">
      <c r="A687" s="2">
        <f>+Get_Data!A686</f>
        <v>40438</v>
      </c>
      <c r="B687">
        <f>+ROUND(Get_Data!B686,5)</f>
        <v>49.246749999999999</v>
      </c>
      <c r="C687">
        <f>+ROUND(Get_Data!C686,5)</f>
        <v>20.08784</v>
      </c>
      <c r="D687" s="4">
        <f t="shared" si="11"/>
        <v>2.4515702036655012</v>
      </c>
    </row>
    <row r="688" spans="1:4">
      <c r="A688" s="2">
        <f>+Get_Data!A687</f>
        <v>40441</v>
      </c>
      <c r="B688">
        <f>+ROUND(Get_Data!B687,5)</f>
        <v>49.820250000000001</v>
      </c>
      <c r="C688">
        <f>+ROUND(Get_Data!C687,5)</f>
        <v>20.230920000000001</v>
      </c>
      <c r="D688" s="4">
        <f t="shared" si="11"/>
        <v>2.4625795564413284</v>
      </c>
    </row>
    <row r="689" spans="1:4">
      <c r="A689" s="2">
        <f>+Get_Data!A688</f>
        <v>40442</v>
      </c>
      <c r="B689">
        <f>+ROUND(Get_Data!B688,5)</f>
        <v>49.499989999999997</v>
      </c>
      <c r="C689">
        <f>+ROUND(Get_Data!C688,5)</f>
        <v>20.279789999999998</v>
      </c>
      <c r="D689" s="4">
        <f t="shared" si="11"/>
        <v>2.4408531843771559</v>
      </c>
    </row>
    <row r="690" spans="1:4">
      <c r="A690" s="2">
        <f>+Get_Data!A689</f>
        <v>40443</v>
      </c>
      <c r="B690">
        <f>+ROUND(Get_Data!B689,5)</f>
        <v>49.648949999999999</v>
      </c>
      <c r="C690">
        <f>+ROUND(Get_Data!C689,5)</f>
        <v>20.321670000000001</v>
      </c>
      <c r="D690" s="4">
        <f t="shared" si="11"/>
        <v>2.4431530479532437</v>
      </c>
    </row>
    <row r="691" spans="1:4">
      <c r="A691" s="2">
        <f>+Get_Data!A690</f>
        <v>40444</v>
      </c>
      <c r="B691">
        <f>+ROUND(Get_Data!B690,5)</f>
        <v>49.000970000000002</v>
      </c>
      <c r="C691">
        <f>+ROUND(Get_Data!C690,5)</f>
        <v>20.19603</v>
      </c>
      <c r="D691" s="4">
        <f t="shared" si="11"/>
        <v>2.4262674396898798</v>
      </c>
    </row>
    <row r="692" spans="1:4">
      <c r="A692" s="2">
        <f>+Get_Data!A691</f>
        <v>40445</v>
      </c>
      <c r="B692">
        <f>+ROUND(Get_Data!B691,5)</f>
        <v>49.254199999999997</v>
      </c>
      <c r="C692">
        <f>+ROUND(Get_Data!C691,5)</f>
        <v>20.45777</v>
      </c>
      <c r="D692" s="4">
        <f t="shared" si="11"/>
        <v>2.4076035657845405</v>
      </c>
    </row>
    <row r="693" spans="1:4">
      <c r="A693" s="2">
        <f>+Get_Data!A692</f>
        <v>40448</v>
      </c>
      <c r="B693">
        <f>+ROUND(Get_Data!B692,5)</f>
        <v>49.432949999999998</v>
      </c>
      <c r="C693">
        <f>+ROUND(Get_Data!C692,5)</f>
        <v>20.450790000000001</v>
      </c>
      <c r="D693" s="4">
        <f t="shared" si="11"/>
        <v>2.4171657916393445</v>
      </c>
    </row>
    <row r="694" spans="1:4">
      <c r="A694" s="2">
        <f>+Get_Data!A693</f>
        <v>40449</v>
      </c>
      <c r="B694">
        <f>+ROUND(Get_Data!B693,5)</f>
        <v>49.738320000000002</v>
      </c>
      <c r="C694">
        <f>+ROUND(Get_Data!C693,5)</f>
        <v>20.62529</v>
      </c>
      <c r="D694" s="4">
        <f t="shared" si="11"/>
        <v>2.4115210016440982</v>
      </c>
    </row>
    <row r="695" spans="1:4">
      <c r="A695" s="2">
        <f>+Get_Data!A694</f>
        <v>40450</v>
      </c>
      <c r="B695">
        <f>+ROUND(Get_Data!B694,5)</f>
        <v>49.715980000000002</v>
      </c>
      <c r="C695">
        <f>+ROUND(Get_Data!C694,5)</f>
        <v>20.506630000000001</v>
      </c>
      <c r="D695" s="4">
        <f t="shared" si="11"/>
        <v>2.4243856742916803</v>
      </c>
    </row>
    <row r="696" spans="1:4">
      <c r="A696" s="2">
        <f>+Get_Data!A695</f>
        <v>40451</v>
      </c>
      <c r="B696">
        <f>+ROUND(Get_Data!B695,5)</f>
        <v>49.48509</v>
      </c>
      <c r="C696">
        <f>+ROUND(Get_Data!C695,5)</f>
        <v>20.42287</v>
      </c>
      <c r="D696" s="4">
        <f t="shared" si="11"/>
        <v>2.4230233067144824</v>
      </c>
    </row>
    <row r="697" spans="1:4">
      <c r="A697" s="2">
        <f>+Get_Data!A696</f>
        <v>40452</v>
      </c>
      <c r="B697">
        <f>+ROUND(Get_Data!B696,5)</f>
        <v>49.902180000000001</v>
      </c>
      <c r="C697">
        <f>+ROUND(Get_Data!C696,5)</f>
        <v>20.632269999999998</v>
      </c>
      <c r="D697" s="4">
        <f t="shared" si="11"/>
        <v>2.4186470999070875</v>
      </c>
    </row>
    <row r="698" spans="1:4">
      <c r="A698" s="2">
        <f>+Get_Data!A697</f>
        <v>40455</v>
      </c>
      <c r="B698">
        <f>+ROUND(Get_Data!B697,5)</f>
        <v>49.805370000000003</v>
      </c>
      <c r="C698">
        <f>+ROUND(Get_Data!C697,5)</f>
        <v>20.54851</v>
      </c>
      <c r="D698" s="4">
        <f t="shared" si="11"/>
        <v>2.4237947179625192</v>
      </c>
    </row>
    <row r="699" spans="1:4">
      <c r="A699" s="2">
        <f>+Get_Data!A698</f>
        <v>40456</v>
      </c>
      <c r="B699">
        <f>+ROUND(Get_Data!B698,5)</f>
        <v>50.468229999999998</v>
      </c>
      <c r="C699">
        <f>+ROUND(Get_Data!C698,5)</f>
        <v>20.820720000000001</v>
      </c>
      <c r="D699" s="4">
        <f t="shared" si="11"/>
        <v>2.4239425918027808</v>
      </c>
    </row>
    <row r="700" spans="1:4">
      <c r="A700" s="2">
        <f>+Get_Data!A699</f>
        <v>40457</v>
      </c>
      <c r="B700">
        <f>+ROUND(Get_Data!B699,5)</f>
        <v>50.728909999999999</v>
      </c>
      <c r="C700">
        <f>+ROUND(Get_Data!C699,5)</f>
        <v>20.869579999999999</v>
      </c>
      <c r="D700" s="4">
        <f t="shared" si="11"/>
        <v>2.4307585490460277</v>
      </c>
    </row>
    <row r="701" spans="1:4">
      <c r="A701" s="2">
        <f>+Get_Data!A700</f>
        <v>40458</v>
      </c>
      <c r="B701">
        <f>+ROUND(Get_Data!B700,5)</f>
        <v>49.231859999999998</v>
      </c>
      <c r="C701">
        <f>+ROUND(Get_Data!C700,5)</f>
        <v>20.743939999999998</v>
      </c>
      <c r="D701" s="4">
        <f t="shared" si="11"/>
        <v>2.373312880773855</v>
      </c>
    </row>
    <row r="702" spans="1:4">
      <c r="A702" s="2">
        <f>+Get_Data!A701</f>
        <v>40459</v>
      </c>
      <c r="B702">
        <f>+ROUND(Get_Data!B701,5)</f>
        <v>48.971159999999998</v>
      </c>
      <c r="C702">
        <f>+ROUND(Get_Data!C701,5)</f>
        <v>20.733470000000001</v>
      </c>
      <c r="D702" s="4">
        <f t="shared" si="11"/>
        <v>2.3619374856210755</v>
      </c>
    </row>
    <row r="703" spans="1:4">
      <c r="A703" s="2">
        <f>+Get_Data!A702</f>
        <v>40462</v>
      </c>
      <c r="B703">
        <f>+ROUND(Get_Data!B702,5)</f>
        <v>48.799860000000002</v>
      </c>
      <c r="C703">
        <f>+ROUND(Get_Data!C702,5)</f>
        <v>20.785820000000001</v>
      </c>
      <c r="D703" s="4">
        <f t="shared" si="11"/>
        <v>2.3477476471940966</v>
      </c>
    </row>
    <row r="704" spans="1:4">
      <c r="A704" s="2">
        <f>+Get_Data!A703</f>
        <v>40463</v>
      </c>
      <c r="B704">
        <f>+ROUND(Get_Data!B703,5)</f>
        <v>49.216949999999997</v>
      </c>
      <c r="C704">
        <f>+ROUND(Get_Data!C703,5)</f>
        <v>20.799779999999998</v>
      </c>
      <c r="D704" s="4">
        <f t="shared" si="11"/>
        <v>2.3662245466057814</v>
      </c>
    </row>
    <row r="705" spans="1:4">
      <c r="A705" s="2">
        <f>+Get_Data!A704</f>
        <v>40464</v>
      </c>
      <c r="B705">
        <f>+ROUND(Get_Data!B704,5)</f>
        <v>49.455300000000001</v>
      </c>
      <c r="C705">
        <f>+ROUND(Get_Data!C704,5)</f>
        <v>20.91844</v>
      </c>
      <c r="D705" s="4">
        <f t="shared" si="11"/>
        <v>2.3641963741082033</v>
      </c>
    </row>
    <row r="706" spans="1:4">
      <c r="A706" s="2">
        <f>+Get_Data!A705</f>
        <v>40465</v>
      </c>
      <c r="B706">
        <f>+ROUND(Get_Data!B705,5)</f>
        <v>49.634050000000002</v>
      </c>
      <c r="C706">
        <f>+ROUND(Get_Data!C705,5)</f>
        <v>20.907959999999999</v>
      </c>
      <c r="D706" s="4">
        <f t="shared" si="11"/>
        <v>2.373930789995772</v>
      </c>
    </row>
    <row r="707" spans="1:4">
      <c r="A707" s="2">
        <f>+Get_Data!A706</f>
        <v>40466</v>
      </c>
      <c r="B707">
        <f>+ROUND(Get_Data!B706,5)</f>
        <v>49.66386</v>
      </c>
      <c r="C707">
        <f>+ROUND(Get_Data!C706,5)</f>
        <v>20.91844</v>
      </c>
      <c r="D707" s="4">
        <f t="shared" si="11"/>
        <v>2.3741665248460211</v>
      </c>
    </row>
    <row r="708" spans="1:4">
      <c r="A708" s="2">
        <f>+Get_Data!A707</f>
        <v>40469</v>
      </c>
      <c r="B708">
        <f>+ROUND(Get_Data!B707,5)</f>
        <v>49.529780000000002</v>
      </c>
      <c r="C708">
        <f>+ROUND(Get_Data!C707,5)</f>
        <v>20.93937</v>
      </c>
      <c r="D708" s="4">
        <f t="shared" ref="D708:D771" si="12">IFERROR(B708/C708,"")</f>
        <v>2.3653901717195884</v>
      </c>
    </row>
    <row r="709" spans="1:4">
      <c r="A709" s="2">
        <f>+Get_Data!A708</f>
        <v>40470</v>
      </c>
      <c r="B709">
        <f>+ROUND(Get_Data!B708,5)</f>
        <v>48.717930000000003</v>
      </c>
      <c r="C709">
        <f>+ROUND(Get_Data!C708,5)</f>
        <v>21.058029999999999</v>
      </c>
      <c r="D709" s="4">
        <f t="shared" si="12"/>
        <v>2.3135084335999143</v>
      </c>
    </row>
    <row r="710" spans="1:4">
      <c r="A710" s="2">
        <f>+Get_Data!A709</f>
        <v>40471</v>
      </c>
      <c r="B710">
        <f>+ROUND(Get_Data!B709,5)</f>
        <v>48.390219999999999</v>
      </c>
      <c r="C710">
        <f>+ROUND(Get_Data!C709,5)</f>
        <v>21.340720000000001</v>
      </c>
      <c r="D710" s="4">
        <f t="shared" si="12"/>
        <v>2.2675064383957055</v>
      </c>
    </row>
    <row r="711" spans="1:4">
      <c r="A711" s="2">
        <f>+Get_Data!A710</f>
        <v>40472</v>
      </c>
      <c r="B711">
        <f>+ROUND(Get_Data!B710,5)</f>
        <v>48.546619999999997</v>
      </c>
      <c r="C711">
        <f>+ROUND(Get_Data!C710,5)</f>
        <v>21.452390000000001</v>
      </c>
      <c r="D711" s="4">
        <f t="shared" si="12"/>
        <v>2.2629935405798607</v>
      </c>
    </row>
    <row r="712" spans="1:4">
      <c r="A712" s="2">
        <f>+Get_Data!A711</f>
        <v>40473</v>
      </c>
      <c r="B712">
        <f>+ROUND(Get_Data!B711,5)</f>
        <v>48.420009999999998</v>
      </c>
      <c r="C712">
        <f>+ROUND(Get_Data!C711,5)</f>
        <v>21.501249999999999</v>
      </c>
      <c r="D712" s="4">
        <f t="shared" si="12"/>
        <v>2.2519625603162607</v>
      </c>
    </row>
    <row r="713" spans="1:4">
      <c r="A713" s="2">
        <f>+Get_Data!A712</f>
        <v>40476</v>
      </c>
      <c r="B713">
        <f>+ROUND(Get_Data!B712,5)</f>
        <v>48.449809999999999</v>
      </c>
      <c r="C713">
        <f>+ROUND(Get_Data!C712,5)</f>
        <v>21.29185</v>
      </c>
      <c r="D713" s="4">
        <f t="shared" si="12"/>
        <v>2.2755096433611923</v>
      </c>
    </row>
    <row r="714" spans="1:4">
      <c r="A714" s="2">
        <f>+Get_Data!A713</f>
        <v>40477</v>
      </c>
      <c r="B714">
        <f>+ROUND(Get_Data!B713,5)</f>
        <v>48.256169999999997</v>
      </c>
      <c r="C714">
        <f>+ROUND(Get_Data!C713,5)</f>
        <v>21.372119999999999</v>
      </c>
      <c r="D714" s="4">
        <f t="shared" si="12"/>
        <v>2.257902819186866</v>
      </c>
    </row>
    <row r="715" spans="1:4">
      <c r="A715" s="2">
        <f>+Get_Data!A714</f>
        <v>40478</v>
      </c>
      <c r="B715">
        <f>+ROUND(Get_Data!B714,5)</f>
        <v>47.868839999999999</v>
      </c>
      <c r="C715">
        <f>+ROUND(Get_Data!C714,5)</f>
        <v>21.354669999999999</v>
      </c>
      <c r="D715" s="4">
        <f t="shared" si="12"/>
        <v>2.2416099148336173</v>
      </c>
    </row>
    <row r="716" spans="1:4">
      <c r="A716" s="2">
        <f>+Get_Data!A715</f>
        <v>40479</v>
      </c>
      <c r="B716">
        <f>+ROUND(Get_Data!B715,5)</f>
        <v>48.420009999999998</v>
      </c>
      <c r="C716">
        <f>+ROUND(Get_Data!C715,5)</f>
        <v>21.361650000000001</v>
      </c>
      <c r="D716" s="4">
        <f t="shared" si="12"/>
        <v>2.266679306139741</v>
      </c>
    </row>
    <row r="717" spans="1:4">
      <c r="A717" s="2">
        <f>+Get_Data!A716</f>
        <v>40480</v>
      </c>
      <c r="B717">
        <f>+ROUND(Get_Data!B716,5)</f>
        <v>48.636000000000003</v>
      </c>
      <c r="C717">
        <f>+ROUND(Get_Data!C716,5)</f>
        <v>21.400040000000001</v>
      </c>
      <c r="D717" s="4">
        <f t="shared" si="12"/>
        <v>2.2727060323251731</v>
      </c>
    </row>
    <row r="718" spans="1:4">
      <c r="A718" s="2">
        <f>+Get_Data!A717</f>
        <v>40483</v>
      </c>
      <c r="B718">
        <f>+ROUND(Get_Data!B717,5)</f>
        <v>48.822209999999998</v>
      </c>
      <c r="C718">
        <f>+ROUND(Get_Data!C717,5)</f>
        <v>21.536149999999999</v>
      </c>
      <c r="D718" s="4">
        <f t="shared" si="12"/>
        <v>2.2669887607580743</v>
      </c>
    </row>
    <row r="719" spans="1:4">
      <c r="A719" s="2">
        <f>+Get_Data!A718</f>
        <v>40484</v>
      </c>
      <c r="B719">
        <f>+ROUND(Get_Data!B718,5)</f>
        <v>49.008420000000001</v>
      </c>
      <c r="C719">
        <f>+ROUND(Get_Data!C718,5)</f>
        <v>21.58849</v>
      </c>
      <c r="D719" s="4">
        <f t="shared" si="12"/>
        <v>2.2701180119591506</v>
      </c>
    </row>
    <row r="720" spans="1:4">
      <c r="A720" s="2">
        <f>+Get_Data!A719</f>
        <v>40485</v>
      </c>
      <c r="B720">
        <f>+ROUND(Get_Data!B719,5)</f>
        <v>48.561520000000002</v>
      </c>
      <c r="C720">
        <f>+ROUND(Get_Data!C719,5)</f>
        <v>21.619900000000001</v>
      </c>
      <c r="D720" s="4">
        <f t="shared" si="12"/>
        <v>2.2461491496260391</v>
      </c>
    </row>
    <row r="721" spans="1:4">
      <c r="A721" s="2">
        <f>+Get_Data!A720</f>
        <v>40486</v>
      </c>
      <c r="B721">
        <f>+ROUND(Get_Data!B720,5)</f>
        <v>48.673250000000003</v>
      </c>
      <c r="C721">
        <f>+ROUND(Get_Data!C720,5)</f>
        <v>21.7944</v>
      </c>
      <c r="D721" s="4">
        <f t="shared" si="12"/>
        <v>2.2332915794883093</v>
      </c>
    </row>
    <row r="722" spans="1:4">
      <c r="A722" s="2">
        <f>+Get_Data!A721</f>
        <v>40487</v>
      </c>
      <c r="B722">
        <f>+ROUND(Get_Data!B721,5)</f>
        <v>48.472160000000002</v>
      </c>
      <c r="C722">
        <f>+ROUND(Get_Data!C721,5)</f>
        <v>21.839770000000001</v>
      </c>
      <c r="D722" s="4">
        <f t="shared" si="12"/>
        <v>2.2194446186933288</v>
      </c>
    </row>
    <row r="723" spans="1:4">
      <c r="A723" s="2">
        <f>+Get_Data!A722</f>
        <v>40490</v>
      </c>
      <c r="B723">
        <f>+ROUND(Get_Data!B722,5)</f>
        <v>48.494500000000002</v>
      </c>
      <c r="C723">
        <f>+ROUND(Get_Data!C722,5)</f>
        <v>21.797889999999999</v>
      </c>
      <c r="D723" s="4">
        <f t="shared" si="12"/>
        <v>2.2247336783514369</v>
      </c>
    </row>
    <row r="724" spans="1:4">
      <c r="A724" s="2">
        <f>+Get_Data!A723</f>
        <v>40491</v>
      </c>
      <c r="B724">
        <f>+ROUND(Get_Data!B723,5)</f>
        <v>48.636000000000003</v>
      </c>
      <c r="C724">
        <f>+ROUND(Get_Data!C723,5)</f>
        <v>21.860700000000001</v>
      </c>
      <c r="D724" s="4">
        <f t="shared" si="12"/>
        <v>2.2248143929517354</v>
      </c>
    </row>
    <row r="725" spans="1:4">
      <c r="A725" s="2">
        <f>+Get_Data!A724</f>
        <v>40492</v>
      </c>
      <c r="B725">
        <f>+ROUND(Get_Data!B724,5)</f>
        <v>48.598770000000002</v>
      </c>
      <c r="C725">
        <f>+ROUND(Get_Data!C724,5)</f>
        <v>21.8293</v>
      </c>
      <c r="D725" s="4">
        <f t="shared" si="12"/>
        <v>2.2263091349699717</v>
      </c>
    </row>
    <row r="726" spans="1:4">
      <c r="A726" s="2">
        <f>+Get_Data!A725</f>
        <v>40493</v>
      </c>
      <c r="B726">
        <f>+ROUND(Get_Data!B725,5)</f>
        <v>48.338070000000002</v>
      </c>
      <c r="C726">
        <f>+ROUND(Get_Data!C725,5)</f>
        <v>21.916550000000001</v>
      </c>
      <c r="D726" s="4">
        <f t="shared" si="12"/>
        <v>2.205551056165318</v>
      </c>
    </row>
    <row r="727" spans="1:4">
      <c r="A727" s="2">
        <f>+Get_Data!A726</f>
        <v>40494</v>
      </c>
      <c r="B727">
        <f>+ROUND(Get_Data!B726,5)</f>
        <v>48.14443</v>
      </c>
      <c r="C727">
        <f>+ROUND(Get_Data!C726,5)</f>
        <v>21.95843</v>
      </c>
      <c r="D727" s="4">
        <f t="shared" si="12"/>
        <v>2.1925260594678218</v>
      </c>
    </row>
    <row r="728" spans="1:4">
      <c r="A728" s="2">
        <f>+Get_Data!A727</f>
        <v>40497</v>
      </c>
      <c r="B728">
        <f>+ROUND(Get_Data!B727,5)</f>
        <v>47.980580000000003</v>
      </c>
      <c r="C728">
        <f>+ROUND(Get_Data!C727,5)</f>
        <v>21.972390000000001</v>
      </c>
      <c r="D728" s="4">
        <f t="shared" si="12"/>
        <v>2.1836759678851503</v>
      </c>
    </row>
    <row r="729" spans="1:4">
      <c r="A729" s="2">
        <f>+Get_Data!A728</f>
        <v>40498</v>
      </c>
      <c r="B729">
        <f>+ROUND(Get_Data!B728,5)</f>
        <v>47.69755</v>
      </c>
      <c r="C729">
        <f>+ROUND(Get_Data!C728,5)</f>
        <v>21.66527</v>
      </c>
      <c r="D729" s="4">
        <f t="shared" si="12"/>
        <v>2.2015673010306358</v>
      </c>
    </row>
    <row r="730" spans="1:4">
      <c r="A730" s="2">
        <f>+Get_Data!A729</f>
        <v>40499</v>
      </c>
      <c r="B730">
        <f>+ROUND(Get_Data!B729,5)</f>
        <v>47.623069999999998</v>
      </c>
      <c r="C730">
        <f>+ROUND(Get_Data!C729,5)</f>
        <v>21.818829999999998</v>
      </c>
      <c r="D730" s="4">
        <f t="shared" si="12"/>
        <v>2.1826591984996448</v>
      </c>
    </row>
    <row r="731" spans="1:4">
      <c r="A731" s="2">
        <f>+Get_Data!A730</f>
        <v>40500</v>
      </c>
      <c r="B731">
        <f>+ROUND(Get_Data!B730,5)</f>
        <v>48.241259999999997</v>
      </c>
      <c r="C731">
        <f>+ROUND(Get_Data!C730,5)</f>
        <v>22.279499999999999</v>
      </c>
      <c r="D731" s="4">
        <f t="shared" si="12"/>
        <v>2.1652757018784086</v>
      </c>
    </row>
    <row r="732" spans="1:4">
      <c r="A732" s="2">
        <f>+Get_Data!A731</f>
        <v>40501</v>
      </c>
      <c r="B732">
        <f>+ROUND(Get_Data!B731,5)</f>
        <v>48.196579999999997</v>
      </c>
      <c r="C732">
        <f>+ROUND(Get_Data!C731,5)</f>
        <v>22.447009999999999</v>
      </c>
      <c r="D732" s="4">
        <f t="shared" si="12"/>
        <v>2.1471269447467614</v>
      </c>
    </row>
    <row r="733" spans="1:4">
      <c r="A733" s="2">
        <f>+Get_Data!A732</f>
        <v>40504</v>
      </c>
      <c r="B733">
        <f>+ROUND(Get_Data!B732,5)</f>
        <v>48.189129999999999</v>
      </c>
      <c r="C733">
        <f>+ROUND(Get_Data!C732,5)</f>
        <v>22.429559999999999</v>
      </c>
      <c r="D733" s="4">
        <f t="shared" si="12"/>
        <v>2.1484652396212858</v>
      </c>
    </row>
    <row r="734" spans="1:4">
      <c r="A734" s="2">
        <f>+Get_Data!A733</f>
        <v>40505</v>
      </c>
      <c r="B734">
        <f>+ROUND(Get_Data!B733,5)</f>
        <v>47.585830000000001</v>
      </c>
      <c r="C734">
        <f>+ROUND(Get_Data!C733,5)</f>
        <v>22.20271</v>
      </c>
      <c r="D734" s="4">
        <f t="shared" si="12"/>
        <v>2.1432442255922814</v>
      </c>
    </row>
    <row r="735" spans="1:4">
      <c r="A735" s="2">
        <f>+Get_Data!A734</f>
        <v>40506</v>
      </c>
      <c r="B735">
        <f>+ROUND(Get_Data!B734,5)</f>
        <v>47.913550000000001</v>
      </c>
      <c r="C735">
        <f>+ROUND(Get_Data!C734,5)</f>
        <v>22.548220000000001</v>
      </c>
      <c r="D735" s="4">
        <f t="shared" si="12"/>
        <v>2.1249371347272645</v>
      </c>
    </row>
    <row r="736" spans="1:4">
      <c r="A736" s="2">
        <f>+Get_Data!A735</f>
        <v>40508</v>
      </c>
      <c r="B736">
        <f>+ROUND(Get_Data!B735,5)</f>
        <v>47.59328</v>
      </c>
      <c r="C736">
        <f>+ROUND(Get_Data!C735,5)</f>
        <v>22.373719999999999</v>
      </c>
      <c r="D736" s="4">
        <f t="shared" si="12"/>
        <v>2.1271956563325189</v>
      </c>
    </row>
    <row r="737" spans="1:4">
      <c r="A737" s="2">
        <f>+Get_Data!A736</f>
        <v>40511</v>
      </c>
      <c r="B737">
        <f>+ROUND(Get_Data!B736,5)</f>
        <v>47.67521</v>
      </c>
      <c r="C737">
        <f>+ROUND(Get_Data!C736,5)</f>
        <v>22.430330000000001</v>
      </c>
      <c r="D737" s="4">
        <f t="shared" si="12"/>
        <v>2.1254796518820722</v>
      </c>
    </row>
    <row r="738" spans="1:4">
      <c r="A738" s="2">
        <f>+Get_Data!A737</f>
        <v>40512</v>
      </c>
      <c r="B738">
        <f>+ROUND(Get_Data!B737,5)</f>
        <v>48.136980000000001</v>
      </c>
      <c r="C738">
        <f>+ROUND(Get_Data!C737,5)</f>
        <v>22.35249</v>
      </c>
      <c r="D738" s="4">
        <f t="shared" si="12"/>
        <v>2.1535399411877605</v>
      </c>
    </row>
    <row r="739" spans="1:4">
      <c r="A739" s="2">
        <f>+Get_Data!A738</f>
        <v>40513</v>
      </c>
      <c r="B739">
        <f>+ROUND(Get_Data!B738,5)</f>
        <v>49.247549999999997</v>
      </c>
      <c r="C739">
        <f>+ROUND(Get_Data!C738,5)</f>
        <v>22.893879999999999</v>
      </c>
      <c r="D739" s="4">
        <f t="shared" si="12"/>
        <v>2.1511229201865301</v>
      </c>
    </row>
    <row r="740" spans="1:4">
      <c r="A740" s="2">
        <f>+Get_Data!A739</f>
        <v>40514</v>
      </c>
      <c r="B740">
        <f>+ROUND(Get_Data!B739,5)</f>
        <v>48.924889999999998</v>
      </c>
      <c r="C740">
        <f>+ROUND(Get_Data!C739,5)</f>
        <v>22.964649999999999</v>
      </c>
      <c r="D740" s="4">
        <f t="shared" si="12"/>
        <v>2.1304435295116626</v>
      </c>
    </row>
    <row r="741" spans="1:4">
      <c r="A741" s="2">
        <f>+Get_Data!A740</f>
        <v>40515</v>
      </c>
      <c r="B741">
        <f>+ROUND(Get_Data!B740,5)</f>
        <v>48.902369999999998</v>
      </c>
      <c r="C741">
        <f>+ROUND(Get_Data!C740,5)</f>
        <v>22.82311</v>
      </c>
      <c r="D741" s="4">
        <f t="shared" si="12"/>
        <v>2.1426689877058824</v>
      </c>
    </row>
    <row r="742" spans="1:4">
      <c r="A742" s="2">
        <f>+Get_Data!A741</f>
        <v>40518</v>
      </c>
      <c r="B742">
        <f>+ROUND(Get_Data!B741,5)</f>
        <v>48.572220000000002</v>
      </c>
      <c r="C742">
        <f>+ROUND(Get_Data!C741,5)</f>
        <v>22.64265</v>
      </c>
      <c r="D742" s="4">
        <f t="shared" si="12"/>
        <v>2.1451649873137644</v>
      </c>
    </row>
    <row r="743" spans="1:4">
      <c r="A743" s="2">
        <f>+Get_Data!A742</f>
        <v>40519</v>
      </c>
      <c r="B743">
        <f>+ROUND(Get_Data!B742,5)</f>
        <v>48.534689999999998</v>
      </c>
      <c r="C743">
        <f>+ROUND(Get_Data!C742,5)</f>
        <v>22.695720000000001</v>
      </c>
      <c r="D743" s="4">
        <f t="shared" si="12"/>
        <v>2.1384952757612448</v>
      </c>
    </row>
    <row r="744" spans="1:4">
      <c r="A744" s="2">
        <f>+Get_Data!A743</f>
        <v>40520</v>
      </c>
      <c r="B744">
        <f>+ROUND(Get_Data!B743,5)</f>
        <v>48.497169999999997</v>
      </c>
      <c r="C744">
        <f>+ROUND(Get_Data!C743,5)</f>
        <v>22.784179999999999</v>
      </c>
      <c r="D744" s="4">
        <f t="shared" si="12"/>
        <v>2.1285457716713965</v>
      </c>
    </row>
    <row r="745" spans="1:4">
      <c r="A745" s="2">
        <f>+Get_Data!A744</f>
        <v>40521</v>
      </c>
      <c r="B745">
        <f>+ROUND(Get_Data!B744,5)</f>
        <v>48.564700000000002</v>
      </c>
      <c r="C745">
        <f>+ROUND(Get_Data!C744,5)</f>
        <v>22.939869999999999</v>
      </c>
      <c r="D745" s="4">
        <f t="shared" si="12"/>
        <v>2.1170433834193481</v>
      </c>
    </row>
    <row r="746" spans="1:4">
      <c r="A746" s="2">
        <f>+Get_Data!A745</f>
        <v>40522</v>
      </c>
      <c r="B746">
        <f>+ROUND(Get_Data!B745,5)</f>
        <v>48.699759999999998</v>
      </c>
      <c r="C746">
        <f>+ROUND(Get_Data!C745,5)</f>
        <v>22.876180000000002</v>
      </c>
      <c r="D746" s="4">
        <f t="shared" si="12"/>
        <v>2.1288414411846732</v>
      </c>
    </row>
    <row r="747" spans="1:4">
      <c r="A747" s="2">
        <f>+Get_Data!A746</f>
        <v>40525</v>
      </c>
      <c r="B747">
        <f>+ROUND(Get_Data!B746,5)</f>
        <v>49.172510000000003</v>
      </c>
      <c r="C747">
        <f>+ROUND(Get_Data!C746,5)</f>
        <v>22.946950000000001</v>
      </c>
      <c r="D747" s="4">
        <f t="shared" si="12"/>
        <v>2.1428778116481713</v>
      </c>
    </row>
    <row r="748" spans="1:4">
      <c r="A748" s="2">
        <f>+Get_Data!A747</f>
        <v>40526</v>
      </c>
      <c r="B748">
        <f>+ROUND(Get_Data!B747,5)</f>
        <v>49.217529999999996</v>
      </c>
      <c r="C748">
        <f>+ROUND(Get_Data!C747,5)</f>
        <v>22.610800000000001</v>
      </c>
      <c r="D748" s="4">
        <f t="shared" si="12"/>
        <v>2.1767266085233601</v>
      </c>
    </row>
    <row r="749" spans="1:4">
      <c r="A749" s="2">
        <f>+Get_Data!A748</f>
        <v>40527</v>
      </c>
      <c r="B749">
        <f>+ROUND(Get_Data!B748,5)</f>
        <v>48.954900000000002</v>
      </c>
      <c r="C749">
        <f>+ROUND(Get_Data!C748,5)</f>
        <v>22.90803</v>
      </c>
      <c r="D749" s="4">
        <f t="shared" si="12"/>
        <v>2.1370192024368748</v>
      </c>
    </row>
    <row r="750" spans="1:4">
      <c r="A750" s="2">
        <f>+Get_Data!A749</f>
        <v>40528</v>
      </c>
      <c r="B750">
        <f>+ROUND(Get_Data!B749,5)</f>
        <v>49.337589999999999</v>
      </c>
      <c r="C750">
        <f>+ROUND(Get_Data!C749,5)</f>
        <v>23.120329999999999</v>
      </c>
      <c r="D750" s="4">
        <f t="shared" si="12"/>
        <v>2.1339483476230661</v>
      </c>
    </row>
    <row r="751" spans="1:4">
      <c r="A751" s="2">
        <f>+Get_Data!A750</f>
        <v>40529</v>
      </c>
      <c r="B751">
        <f>+ROUND(Get_Data!B750,5)</f>
        <v>49.502690000000001</v>
      </c>
      <c r="C751">
        <f>+ROUND(Get_Data!C750,5)</f>
        <v>23.247720000000001</v>
      </c>
      <c r="D751" s="4">
        <f t="shared" si="12"/>
        <v>2.129356771330694</v>
      </c>
    </row>
    <row r="752" spans="1:4">
      <c r="A752" s="2">
        <f>+Get_Data!A751</f>
        <v>40532</v>
      </c>
      <c r="B752">
        <f>+ROUND(Get_Data!B751,5)</f>
        <v>49.757800000000003</v>
      </c>
      <c r="C752">
        <f>+ROUND(Get_Data!C751,5)</f>
        <v>23.109719999999999</v>
      </c>
      <c r="D752" s="4">
        <f t="shared" si="12"/>
        <v>2.1531113315089931</v>
      </c>
    </row>
    <row r="753" spans="1:4">
      <c r="A753" s="2">
        <f>+Get_Data!A752</f>
        <v>40533</v>
      </c>
      <c r="B753">
        <f>+ROUND(Get_Data!B752,5)</f>
        <v>49.07497</v>
      </c>
      <c r="C753">
        <f>+ROUND(Get_Data!C752,5)</f>
        <v>23.17342</v>
      </c>
      <c r="D753" s="4">
        <f t="shared" si="12"/>
        <v>2.1177266885940877</v>
      </c>
    </row>
    <row r="754" spans="1:4">
      <c r="A754" s="2">
        <f>+Get_Data!A753</f>
        <v>40534</v>
      </c>
      <c r="B754">
        <f>+ROUND(Get_Data!B753,5)</f>
        <v>49.285060000000001</v>
      </c>
      <c r="C754">
        <f>+ROUND(Get_Data!C753,5)</f>
        <v>23.2088</v>
      </c>
      <c r="D754" s="4">
        <f t="shared" si="12"/>
        <v>2.1235505497914584</v>
      </c>
    </row>
    <row r="755" spans="1:4">
      <c r="A755" s="2">
        <f>+Get_Data!A754</f>
        <v>40535</v>
      </c>
      <c r="B755">
        <f>+ROUND(Get_Data!B754,5)</f>
        <v>49.292580000000001</v>
      </c>
      <c r="C755">
        <f>+ROUND(Get_Data!C754,5)</f>
        <v>23.205259999999999</v>
      </c>
      <c r="D755" s="4">
        <f t="shared" si="12"/>
        <v>2.1241985653252757</v>
      </c>
    </row>
    <row r="756" spans="1:4">
      <c r="A756" s="2">
        <f>+Get_Data!A755</f>
        <v>40539</v>
      </c>
      <c r="B756">
        <f>+ROUND(Get_Data!B755,5)</f>
        <v>49.089970000000001</v>
      </c>
      <c r="C756">
        <f>+ROUND(Get_Data!C755,5)</f>
        <v>23.024799999999999</v>
      </c>
      <c r="D756" s="4">
        <f t="shared" si="12"/>
        <v>2.132047618220354</v>
      </c>
    </row>
    <row r="757" spans="1:4">
      <c r="A757" s="2">
        <f>+Get_Data!A756</f>
        <v>40540</v>
      </c>
      <c r="B757">
        <f>+ROUND(Get_Data!B756,5)</f>
        <v>48.984929999999999</v>
      </c>
      <c r="C757">
        <f>+ROUND(Get_Data!C756,5)</f>
        <v>23.12743</v>
      </c>
      <c r="D757" s="4">
        <f t="shared" si="12"/>
        <v>2.1180446768188248</v>
      </c>
    </row>
    <row r="758" spans="1:4">
      <c r="A758" s="2">
        <f>+Get_Data!A757</f>
        <v>40541</v>
      </c>
      <c r="B758">
        <f>+ROUND(Get_Data!B757,5)</f>
        <v>49.022440000000003</v>
      </c>
      <c r="C758">
        <f>+ROUND(Get_Data!C757,5)</f>
        <v>23.15926</v>
      </c>
      <c r="D758" s="4">
        <f t="shared" si="12"/>
        <v>2.116753298680528</v>
      </c>
    </row>
    <row r="759" spans="1:4">
      <c r="A759" s="2">
        <f>+Get_Data!A758</f>
        <v>40542</v>
      </c>
      <c r="B759">
        <f>+ROUND(Get_Data!B758,5)</f>
        <v>48.86486</v>
      </c>
      <c r="C759">
        <f>+ROUND(Get_Data!C758,5)</f>
        <v>23.176960000000001</v>
      </c>
      <c r="D759" s="4">
        <f t="shared" si="12"/>
        <v>2.1083377630198266</v>
      </c>
    </row>
    <row r="760" spans="1:4">
      <c r="A760" s="2">
        <f>+Get_Data!A759</f>
        <v>40543</v>
      </c>
      <c r="B760">
        <f>+ROUND(Get_Data!B759,5)</f>
        <v>49.022440000000003</v>
      </c>
      <c r="C760">
        <f>+ROUND(Get_Data!C759,5)</f>
        <v>23.272500000000001</v>
      </c>
      <c r="D760" s="4">
        <f t="shared" si="12"/>
        <v>2.1064535395853476</v>
      </c>
    </row>
    <row r="761" spans="1:4">
      <c r="A761" s="2">
        <f>+Get_Data!A760</f>
        <v>40546</v>
      </c>
      <c r="B761">
        <f>+ROUND(Get_Data!B760,5)</f>
        <v>49.337589999999999</v>
      </c>
      <c r="C761">
        <f>+ROUND(Get_Data!C760,5)</f>
        <v>23.07788</v>
      </c>
      <c r="D761" s="4">
        <f t="shared" si="12"/>
        <v>2.1378735828420981</v>
      </c>
    </row>
    <row r="762" spans="1:4">
      <c r="A762" s="2">
        <f>+Get_Data!A761</f>
        <v>40547</v>
      </c>
      <c r="B762">
        <f>+ROUND(Get_Data!B761,5)</f>
        <v>49.082470000000001</v>
      </c>
      <c r="C762">
        <f>+ROUND(Get_Data!C761,5)</f>
        <v>22.600180000000002</v>
      </c>
      <c r="D762" s="4">
        <f t="shared" si="12"/>
        <v>2.1717734106542514</v>
      </c>
    </row>
    <row r="763" spans="1:4">
      <c r="A763" s="2">
        <f>+Get_Data!A762</f>
        <v>40548</v>
      </c>
      <c r="B763">
        <f>+ROUND(Get_Data!B762,5)</f>
        <v>49.967930000000003</v>
      </c>
      <c r="C763">
        <f>+ROUND(Get_Data!C762,5)</f>
        <v>22.465720000000001</v>
      </c>
      <c r="D763" s="4">
        <f t="shared" si="12"/>
        <v>2.2241855591541246</v>
      </c>
    </row>
    <row r="764" spans="1:4">
      <c r="A764" s="2">
        <f>+Get_Data!A763</f>
        <v>40549</v>
      </c>
      <c r="B764">
        <f>+ROUND(Get_Data!B763,5)</f>
        <v>50.15551</v>
      </c>
      <c r="C764">
        <f>+ROUND(Get_Data!C763,5)</f>
        <v>22.302949999999999</v>
      </c>
      <c r="D764" s="4">
        <f t="shared" si="12"/>
        <v>2.248828518200507</v>
      </c>
    </row>
    <row r="765" spans="1:4">
      <c r="A765" s="2">
        <f>+Get_Data!A764</f>
        <v>40550</v>
      </c>
      <c r="B765">
        <f>+ROUND(Get_Data!B764,5)</f>
        <v>49.817839999999997</v>
      </c>
      <c r="C765">
        <f>+ROUND(Get_Data!C764,5)</f>
        <v>22.264030000000002</v>
      </c>
      <c r="D765" s="4">
        <f t="shared" si="12"/>
        <v>2.2375931042133876</v>
      </c>
    </row>
    <row r="766" spans="1:4">
      <c r="A766" s="2">
        <f>+Get_Data!A765</f>
        <v>40553</v>
      </c>
      <c r="B766">
        <f>+ROUND(Get_Data!B765,5)</f>
        <v>49.562710000000003</v>
      </c>
      <c r="C766">
        <f>+ROUND(Get_Data!C765,5)</f>
        <v>22.313569999999999</v>
      </c>
      <c r="D766" s="4">
        <f t="shared" si="12"/>
        <v>2.2211914095324059</v>
      </c>
    </row>
    <row r="767" spans="1:4">
      <c r="A767" s="2">
        <f>+Get_Data!A766</f>
        <v>40554</v>
      </c>
      <c r="B767">
        <f>+ROUND(Get_Data!B766,5)</f>
        <v>49.77281</v>
      </c>
      <c r="C767">
        <f>+ROUND(Get_Data!C766,5)</f>
        <v>22.182639999999999</v>
      </c>
      <c r="D767" s="4">
        <f t="shared" si="12"/>
        <v>2.2437730585719282</v>
      </c>
    </row>
    <row r="768" spans="1:4">
      <c r="A768" s="2">
        <f>+Get_Data!A767</f>
        <v>40555</v>
      </c>
      <c r="B768">
        <f>+ROUND(Get_Data!B767,5)</f>
        <v>50.072969999999998</v>
      </c>
      <c r="C768">
        <f>+ROUND(Get_Data!C767,5)</f>
        <v>22.30649</v>
      </c>
      <c r="D768" s="4">
        <f t="shared" si="12"/>
        <v>2.2447713647463137</v>
      </c>
    </row>
    <row r="769" spans="1:4">
      <c r="A769" s="2">
        <f>+Get_Data!A768</f>
        <v>40556</v>
      </c>
      <c r="B769">
        <f>+ROUND(Get_Data!B768,5)</f>
        <v>50.20805</v>
      </c>
      <c r="C769">
        <f>+ROUND(Get_Data!C768,5)</f>
        <v>22.433879999999998</v>
      </c>
      <c r="D769" s="4">
        <f t="shared" si="12"/>
        <v>2.238045759360396</v>
      </c>
    </row>
    <row r="770" spans="1:4">
      <c r="A770" s="2">
        <f>+Get_Data!A769</f>
        <v>40557</v>
      </c>
      <c r="B770">
        <f>+ROUND(Get_Data!B769,5)</f>
        <v>50.110500000000002</v>
      </c>
      <c r="C770">
        <f>+ROUND(Get_Data!C769,5)</f>
        <v>22.338339999999999</v>
      </c>
      <c r="D770" s="4">
        <f t="shared" si="12"/>
        <v>2.2432508413785448</v>
      </c>
    </row>
    <row r="771" spans="1:4">
      <c r="A771" s="2">
        <f>+Get_Data!A770</f>
        <v>40561</v>
      </c>
      <c r="B771">
        <f>+ROUND(Get_Data!B770,5)</f>
        <v>49.952919999999999</v>
      </c>
      <c r="C771">
        <f>+ROUND(Get_Data!C770,5)</f>
        <v>22.46218</v>
      </c>
      <c r="D771" s="4">
        <f t="shared" si="12"/>
        <v>2.2238678525414719</v>
      </c>
    </row>
    <row r="772" spans="1:4">
      <c r="A772" s="2">
        <f>+Get_Data!A771</f>
        <v>40562</v>
      </c>
      <c r="B772">
        <f>+ROUND(Get_Data!B771,5)</f>
        <v>49.450159999999997</v>
      </c>
      <c r="C772">
        <f>+ROUND(Get_Data!C771,5)</f>
        <v>22.440950000000001</v>
      </c>
      <c r="D772" s="4">
        <f t="shared" ref="D772:D835" si="13">IFERROR(B772/C772,"")</f>
        <v>2.2035680307651857</v>
      </c>
    </row>
    <row r="773" spans="1:4">
      <c r="A773" s="2">
        <f>+Get_Data!A772</f>
        <v>40563</v>
      </c>
      <c r="B773">
        <f>+ROUND(Get_Data!B772,5)</f>
        <v>49.450159999999997</v>
      </c>
      <c r="C773">
        <f>+ROUND(Get_Data!C772,5)</f>
        <v>22.267569999999999</v>
      </c>
      <c r="D773" s="4">
        <f t="shared" si="13"/>
        <v>2.2207254765562654</v>
      </c>
    </row>
    <row r="774" spans="1:4">
      <c r="A774" s="2">
        <f>+Get_Data!A773</f>
        <v>40564</v>
      </c>
      <c r="B774">
        <f>+ROUND(Get_Data!B773,5)</f>
        <v>49.427639999999997</v>
      </c>
      <c r="C774">
        <f>+ROUND(Get_Data!C773,5)</f>
        <v>22.21096</v>
      </c>
      <c r="D774" s="4">
        <f t="shared" si="13"/>
        <v>2.2253716183361725</v>
      </c>
    </row>
    <row r="775" spans="1:4">
      <c r="A775" s="2">
        <f>+Get_Data!A774</f>
        <v>40567</v>
      </c>
      <c r="B775">
        <f>+ROUND(Get_Data!B774,5)</f>
        <v>49.660269999999997</v>
      </c>
      <c r="C775">
        <f>+ROUND(Get_Data!C774,5)</f>
        <v>22.380800000000001</v>
      </c>
      <c r="D775" s="4">
        <f t="shared" si="13"/>
        <v>2.2188782349156417</v>
      </c>
    </row>
    <row r="776" spans="1:4">
      <c r="A776" s="2">
        <f>+Get_Data!A775</f>
        <v>40568</v>
      </c>
      <c r="B776">
        <f>+ROUND(Get_Data!B775,5)</f>
        <v>49.352600000000002</v>
      </c>
      <c r="C776">
        <f>+ROUND(Get_Data!C775,5)</f>
        <v>22.278179999999999</v>
      </c>
      <c r="D776" s="4">
        <f t="shared" si="13"/>
        <v>2.2152886815709363</v>
      </c>
    </row>
    <row r="777" spans="1:4">
      <c r="A777" s="2">
        <f>+Get_Data!A776</f>
        <v>40569</v>
      </c>
      <c r="B777">
        <f>+ROUND(Get_Data!B776,5)</f>
        <v>49.420140000000004</v>
      </c>
      <c r="C777">
        <f>+ROUND(Get_Data!C776,5)</f>
        <v>22.278179999999999</v>
      </c>
      <c r="D777" s="4">
        <f t="shared" si="13"/>
        <v>2.2183203475328779</v>
      </c>
    </row>
    <row r="778" spans="1:4">
      <c r="A778" s="2">
        <f>+Get_Data!A777</f>
        <v>40570</v>
      </c>
      <c r="B778">
        <f>+ROUND(Get_Data!B777,5)</f>
        <v>49.19502</v>
      </c>
      <c r="C778">
        <f>+ROUND(Get_Data!C777,5)</f>
        <v>22.18618</v>
      </c>
      <c r="D778" s="4">
        <f t="shared" si="13"/>
        <v>2.2173722560621072</v>
      </c>
    </row>
    <row r="779" spans="1:4">
      <c r="A779" s="2">
        <f>+Get_Data!A778</f>
        <v>40571</v>
      </c>
      <c r="B779">
        <f>+ROUND(Get_Data!B778,5)</f>
        <v>48.324579999999997</v>
      </c>
      <c r="C779">
        <f>+ROUND(Get_Data!C778,5)</f>
        <v>22.012799999999999</v>
      </c>
      <c r="D779" s="4">
        <f t="shared" si="13"/>
        <v>2.1952945558947521</v>
      </c>
    </row>
    <row r="780" spans="1:4">
      <c r="A780" s="2">
        <f>+Get_Data!A779</f>
        <v>40574</v>
      </c>
      <c r="B780">
        <f>+ROUND(Get_Data!B779,5)</f>
        <v>48.25705</v>
      </c>
      <c r="C780">
        <f>+ROUND(Get_Data!C779,5)</f>
        <v>22.239260000000002</v>
      </c>
      <c r="D780" s="4">
        <f t="shared" si="13"/>
        <v>2.1699035849214408</v>
      </c>
    </row>
    <row r="781" spans="1:4">
      <c r="A781" s="2">
        <f>+Get_Data!A780</f>
        <v>40575</v>
      </c>
      <c r="B781">
        <f>+ROUND(Get_Data!B780,5)</f>
        <v>48.812339999999999</v>
      </c>
      <c r="C781">
        <f>+ROUND(Get_Data!C780,5)</f>
        <v>22.310030000000001</v>
      </c>
      <c r="D781" s="4">
        <f t="shared" si="13"/>
        <v>2.1879101014207509</v>
      </c>
    </row>
    <row r="782" spans="1:4">
      <c r="A782" s="2">
        <f>+Get_Data!A781</f>
        <v>40576</v>
      </c>
      <c r="B782">
        <f>+ROUND(Get_Data!B781,5)</f>
        <v>48.512180000000001</v>
      </c>
      <c r="C782">
        <f>+ROUND(Get_Data!C781,5)</f>
        <v>22.242809999999999</v>
      </c>
      <c r="D782" s="4">
        <f t="shared" si="13"/>
        <v>2.1810274870845907</v>
      </c>
    </row>
    <row r="783" spans="1:4">
      <c r="A783" s="2">
        <f>+Get_Data!A782</f>
        <v>40577</v>
      </c>
      <c r="B783">
        <f>+ROUND(Get_Data!B782,5)</f>
        <v>48.159500000000001</v>
      </c>
      <c r="C783">
        <f>+ROUND(Get_Data!C782,5)</f>
        <v>22.140180000000001</v>
      </c>
      <c r="D783" s="4">
        <f t="shared" si="13"/>
        <v>2.1752081509725758</v>
      </c>
    </row>
    <row r="784" spans="1:4">
      <c r="A784" s="2">
        <f>+Get_Data!A783</f>
        <v>40578</v>
      </c>
      <c r="B784">
        <f>+ROUND(Get_Data!B783,5)</f>
        <v>47.904350000000001</v>
      </c>
      <c r="C784">
        <f>+ROUND(Get_Data!C783,5)</f>
        <v>22.136649999999999</v>
      </c>
      <c r="D784" s="4">
        <f t="shared" si="13"/>
        <v>2.164028884225933</v>
      </c>
    </row>
    <row r="785" spans="1:4">
      <c r="A785" s="2">
        <f>+Get_Data!A784</f>
        <v>40581</v>
      </c>
      <c r="B785">
        <f>+ROUND(Get_Data!B784,5)</f>
        <v>47.784320000000001</v>
      </c>
      <c r="C785">
        <f>+ROUND(Get_Data!C784,5)</f>
        <v>22.122489999999999</v>
      </c>
      <c r="D785" s="4">
        <f t="shared" si="13"/>
        <v>2.1599883195788538</v>
      </c>
    </row>
    <row r="786" spans="1:4">
      <c r="A786" s="2">
        <f>+Get_Data!A785</f>
        <v>40582</v>
      </c>
      <c r="B786">
        <f>+ROUND(Get_Data!B785,5)</f>
        <v>48.151989999999998</v>
      </c>
      <c r="C786">
        <f>+ROUND(Get_Data!C785,5)</f>
        <v>22.24634</v>
      </c>
      <c r="D786" s="4">
        <f t="shared" si="13"/>
        <v>2.1644904285379076</v>
      </c>
    </row>
    <row r="787" spans="1:4">
      <c r="A787" s="2">
        <f>+Get_Data!A786</f>
        <v>40583</v>
      </c>
      <c r="B787">
        <f>+ROUND(Get_Data!B786,5)</f>
        <v>48.339599999999997</v>
      </c>
      <c r="C787">
        <f>+ROUND(Get_Data!C786,5)</f>
        <v>22.345410000000001</v>
      </c>
      <c r="D787" s="4">
        <f t="shared" si="13"/>
        <v>2.1632899105453869</v>
      </c>
    </row>
    <row r="788" spans="1:4">
      <c r="A788" s="2">
        <f>+Get_Data!A787</f>
        <v>40584</v>
      </c>
      <c r="B788">
        <f>+ROUND(Get_Data!B787,5)</f>
        <v>47.54419</v>
      </c>
      <c r="C788">
        <f>+ROUND(Get_Data!C787,5)</f>
        <v>22.483409999999999</v>
      </c>
      <c r="D788" s="4">
        <f t="shared" si="13"/>
        <v>2.1146343014693945</v>
      </c>
    </row>
    <row r="789" spans="1:4">
      <c r="A789" s="2">
        <f>+Get_Data!A788</f>
        <v>40585</v>
      </c>
      <c r="B789">
        <f>+ROUND(Get_Data!B788,5)</f>
        <v>47.926879999999997</v>
      </c>
      <c r="C789">
        <f>+ROUND(Get_Data!C788,5)</f>
        <v>22.494029999999999</v>
      </c>
      <c r="D789" s="4">
        <f t="shared" si="13"/>
        <v>2.1306488877270993</v>
      </c>
    </row>
    <row r="790" spans="1:4">
      <c r="A790" s="2">
        <f>+Get_Data!A789</f>
        <v>40588</v>
      </c>
      <c r="B790">
        <f>+ROUND(Get_Data!B789,5)</f>
        <v>47.529179999999997</v>
      </c>
      <c r="C790">
        <f>+ROUND(Get_Data!C789,5)</f>
        <v>22.34188</v>
      </c>
      <c r="D790" s="4">
        <f t="shared" si="13"/>
        <v>2.1273581274270561</v>
      </c>
    </row>
    <row r="791" spans="1:4">
      <c r="A791" s="2">
        <f>+Get_Data!A790</f>
        <v>40589</v>
      </c>
      <c r="B791">
        <f>+ROUND(Get_Data!B790,5)</f>
        <v>48.287059999999997</v>
      </c>
      <c r="C791">
        <f>+ROUND(Get_Data!C790,5)</f>
        <v>22.359570000000001</v>
      </c>
      <c r="D791" s="4">
        <f t="shared" si="13"/>
        <v>2.1595701527354949</v>
      </c>
    </row>
    <row r="792" spans="1:4">
      <c r="A792" s="2">
        <f>+Get_Data!A791</f>
        <v>40590</v>
      </c>
      <c r="B792">
        <f>+ROUND(Get_Data!B791,5)</f>
        <v>47.994410000000002</v>
      </c>
      <c r="C792">
        <f>+ROUND(Get_Data!C791,5)</f>
        <v>22.433879999999998</v>
      </c>
      <c r="D792" s="4">
        <f t="shared" si="13"/>
        <v>2.1393717894541653</v>
      </c>
    </row>
    <row r="793" spans="1:4">
      <c r="A793" s="2">
        <f>+Get_Data!A792</f>
        <v>40591</v>
      </c>
      <c r="B793">
        <f>+ROUND(Get_Data!B792,5)</f>
        <v>48.549709999999997</v>
      </c>
      <c r="C793">
        <f>+ROUND(Get_Data!C792,5)</f>
        <v>22.840800000000002</v>
      </c>
      <c r="D793" s="4">
        <f t="shared" si="13"/>
        <v>2.1255695947602535</v>
      </c>
    </row>
    <row r="794" spans="1:4">
      <c r="A794" s="2">
        <f>+Get_Data!A793</f>
        <v>40592</v>
      </c>
      <c r="B794">
        <f>+ROUND(Get_Data!B793,5)</f>
        <v>47.581710000000001</v>
      </c>
      <c r="C794">
        <f>+ROUND(Get_Data!C793,5)</f>
        <v>22.840800000000002</v>
      </c>
      <c r="D794" s="4">
        <f t="shared" si="13"/>
        <v>2.0831892928443838</v>
      </c>
    </row>
    <row r="795" spans="1:4">
      <c r="A795" s="2">
        <f>+Get_Data!A794</f>
        <v>40596</v>
      </c>
      <c r="B795">
        <f>+ROUND(Get_Data!B794,5)</f>
        <v>47.386600000000001</v>
      </c>
      <c r="C795">
        <f>+ROUND(Get_Data!C794,5)</f>
        <v>22.561260000000001</v>
      </c>
      <c r="D795" s="4">
        <f t="shared" si="13"/>
        <v>2.1003525512316243</v>
      </c>
    </row>
    <row r="796" spans="1:4">
      <c r="A796" s="2">
        <f>+Get_Data!A795</f>
        <v>40597</v>
      </c>
      <c r="B796">
        <f>+ROUND(Get_Data!B795,5)</f>
        <v>47.221519999999998</v>
      </c>
      <c r="C796">
        <f>+ROUND(Get_Data!C795,5)</f>
        <v>22.614339999999999</v>
      </c>
      <c r="D796" s="4">
        <f t="shared" si="13"/>
        <v>2.0881228459464216</v>
      </c>
    </row>
    <row r="797" spans="1:4">
      <c r="A797" s="2">
        <f>+Get_Data!A796</f>
        <v>40598</v>
      </c>
      <c r="B797">
        <f>+ROUND(Get_Data!B796,5)</f>
        <v>47.296570000000003</v>
      </c>
      <c r="C797">
        <f>+ROUND(Get_Data!C796,5)</f>
        <v>22.603729999999999</v>
      </c>
      <c r="D797" s="4">
        <f t="shared" si="13"/>
        <v>2.0924232416508253</v>
      </c>
    </row>
    <row r="798" spans="1:4">
      <c r="A798" s="2">
        <f>+Get_Data!A797</f>
        <v>40599</v>
      </c>
      <c r="B798">
        <f>+ROUND(Get_Data!B797,5)</f>
        <v>47.724269999999997</v>
      </c>
      <c r="C798">
        <f>+ROUND(Get_Data!C797,5)</f>
        <v>22.755880000000001</v>
      </c>
      <c r="D798" s="4">
        <f t="shared" si="13"/>
        <v>2.0972280570999668</v>
      </c>
    </row>
    <row r="799" spans="1:4">
      <c r="A799" s="2">
        <f>+Get_Data!A798</f>
        <v>40602</v>
      </c>
      <c r="B799">
        <f>+ROUND(Get_Data!B798,5)</f>
        <v>47.589199999999998</v>
      </c>
      <c r="C799">
        <f>+ROUND(Get_Data!C798,5)</f>
        <v>22.61788</v>
      </c>
      <c r="D799" s="4">
        <f t="shared" si="13"/>
        <v>2.1040521923363285</v>
      </c>
    </row>
    <row r="800" spans="1:4">
      <c r="A800" s="2">
        <f>+Get_Data!A799</f>
        <v>40603</v>
      </c>
      <c r="B800">
        <f>+ROUND(Get_Data!B799,5)</f>
        <v>47.431609999999999</v>
      </c>
      <c r="C800">
        <f>+ROUND(Get_Data!C799,5)</f>
        <v>22.96819</v>
      </c>
      <c r="D800" s="4">
        <f t="shared" si="13"/>
        <v>2.0651000361804739</v>
      </c>
    </row>
    <row r="801" spans="1:4">
      <c r="A801" s="2">
        <f>+Get_Data!A800</f>
        <v>40604</v>
      </c>
      <c r="B801">
        <f>+ROUND(Get_Data!B800,5)</f>
        <v>47.590420000000002</v>
      </c>
      <c r="C801">
        <f>+ROUND(Get_Data!C800,5)</f>
        <v>22.79834</v>
      </c>
      <c r="D801" s="4">
        <f t="shared" si="13"/>
        <v>2.0874511038961612</v>
      </c>
    </row>
    <row r="802" spans="1:4">
      <c r="A802" s="2">
        <f>+Get_Data!A801</f>
        <v>40605</v>
      </c>
      <c r="B802">
        <f>+ROUND(Get_Data!B801,5)</f>
        <v>48.202869999999997</v>
      </c>
      <c r="C802">
        <f>+ROUND(Get_Data!C801,5)</f>
        <v>23.201720000000002</v>
      </c>
      <c r="D802" s="4">
        <f t="shared" si="13"/>
        <v>2.077555888097951</v>
      </c>
    </row>
    <row r="803" spans="1:4">
      <c r="A803" s="2">
        <f>+Get_Data!A802</f>
        <v>40606</v>
      </c>
      <c r="B803">
        <f>+ROUND(Get_Data!B802,5)</f>
        <v>47.93824</v>
      </c>
      <c r="C803">
        <f>+ROUND(Get_Data!C802,5)</f>
        <v>23.07433</v>
      </c>
      <c r="D803" s="4">
        <f t="shared" si="13"/>
        <v>2.0775571815086287</v>
      </c>
    </row>
    <row r="804" spans="1:4">
      <c r="A804" s="2">
        <f>+Get_Data!A803</f>
        <v>40609</v>
      </c>
      <c r="B804">
        <f>+ROUND(Get_Data!B803,5)</f>
        <v>47.991169999999997</v>
      </c>
      <c r="C804">
        <f>+ROUND(Get_Data!C803,5)</f>
        <v>23.07788</v>
      </c>
      <c r="D804" s="4">
        <f t="shared" si="13"/>
        <v>2.0795311354422501</v>
      </c>
    </row>
    <row r="805" spans="1:4">
      <c r="A805" s="2">
        <f>+Get_Data!A804</f>
        <v>40610</v>
      </c>
      <c r="B805">
        <f>+ROUND(Get_Data!B804,5)</f>
        <v>48.23312</v>
      </c>
      <c r="C805">
        <f>+ROUND(Get_Data!C804,5)</f>
        <v>23.226489999999998</v>
      </c>
      <c r="D805" s="4">
        <f t="shared" si="13"/>
        <v>2.0766426610305735</v>
      </c>
    </row>
    <row r="806" spans="1:4">
      <c r="A806" s="2">
        <f>+Get_Data!A805</f>
        <v>40611</v>
      </c>
      <c r="B806">
        <f>+ROUND(Get_Data!B805,5)</f>
        <v>48.883389999999999</v>
      </c>
      <c r="C806">
        <f>+ROUND(Get_Data!C805,5)</f>
        <v>23.21942</v>
      </c>
      <c r="D806" s="4">
        <f t="shared" si="13"/>
        <v>2.1052804075209459</v>
      </c>
    </row>
    <row r="807" spans="1:4">
      <c r="A807" s="2">
        <f>+Get_Data!A806</f>
        <v>40612</v>
      </c>
      <c r="B807">
        <f>+ROUND(Get_Data!B806,5)</f>
        <v>48.717030000000001</v>
      </c>
      <c r="C807">
        <f>+ROUND(Get_Data!C806,5)</f>
        <v>23.102650000000001</v>
      </c>
      <c r="D807" s="4">
        <f t="shared" si="13"/>
        <v>2.1087204281759884</v>
      </c>
    </row>
    <row r="808" spans="1:4">
      <c r="A808" s="2">
        <f>+Get_Data!A807</f>
        <v>40613</v>
      </c>
      <c r="B808">
        <f>+ROUND(Get_Data!B807,5)</f>
        <v>48.883389999999999</v>
      </c>
      <c r="C808">
        <f>+ROUND(Get_Data!C807,5)</f>
        <v>23.267800000000001</v>
      </c>
      <c r="D808" s="4">
        <f t="shared" si="13"/>
        <v>2.1009029646120387</v>
      </c>
    </row>
    <row r="809" spans="1:4">
      <c r="A809" s="2">
        <f>+Get_Data!A808</f>
        <v>40616</v>
      </c>
      <c r="B809">
        <f>+ROUND(Get_Data!B808,5)</f>
        <v>48.497779999999999</v>
      </c>
      <c r="C809">
        <f>+ROUND(Get_Data!C808,5)</f>
        <v>22.955459999999999</v>
      </c>
      <c r="D809" s="4">
        <f t="shared" si="13"/>
        <v>2.112690401325001</v>
      </c>
    </row>
    <row r="810" spans="1:4">
      <c r="A810" s="2">
        <f>+Get_Data!A809</f>
        <v>40617</v>
      </c>
      <c r="B810">
        <f>+ROUND(Get_Data!B809,5)</f>
        <v>47.643329999999999</v>
      </c>
      <c r="C810">
        <f>+ROUND(Get_Data!C809,5)</f>
        <v>22.62875</v>
      </c>
      <c r="D810" s="4">
        <f t="shared" si="13"/>
        <v>2.1054335745456552</v>
      </c>
    </row>
    <row r="811" spans="1:4">
      <c r="A811" s="2">
        <f>+Get_Data!A810</f>
        <v>40618</v>
      </c>
      <c r="B811">
        <f>+ROUND(Get_Data!B810,5)</f>
        <v>47.114060000000002</v>
      </c>
      <c r="C811">
        <f>+ROUND(Get_Data!C810,5)</f>
        <v>22.115349999999999</v>
      </c>
      <c r="D811" s="4">
        <f t="shared" si="13"/>
        <v>2.1303782214615641</v>
      </c>
    </row>
    <row r="812" spans="1:4">
      <c r="A812" s="2">
        <f>+Get_Data!A811</f>
        <v>40619</v>
      </c>
      <c r="B812">
        <f>+ROUND(Get_Data!B811,5)</f>
        <v>47.696269999999998</v>
      </c>
      <c r="C812">
        <f>+ROUND(Get_Data!C811,5)</f>
        <v>22.359490000000001</v>
      </c>
      <c r="D812" s="4">
        <f t="shared" si="13"/>
        <v>2.1331555415619943</v>
      </c>
    </row>
    <row r="813" spans="1:4">
      <c r="A813" s="2">
        <f>+Get_Data!A812</f>
        <v>40620</v>
      </c>
      <c r="B813">
        <f>+ROUND(Get_Data!B812,5)</f>
        <v>47.817259999999997</v>
      </c>
      <c r="C813">
        <f>+ROUND(Get_Data!C812,5)</f>
        <v>22.510269999999998</v>
      </c>
      <c r="D813" s="4">
        <f t="shared" si="13"/>
        <v>2.1242419571155744</v>
      </c>
    </row>
    <row r="814" spans="1:4">
      <c r="A814" s="2">
        <f>+Get_Data!A813</f>
        <v>40623</v>
      </c>
      <c r="B814">
        <f>+ROUND(Get_Data!B813,5)</f>
        <v>48.46752</v>
      </c>
      <c r="C814">
        <f>+ROUND(Get_Data!C813,5)</f>
        <v>22.822620000000001</v>
      </c>
      <c r="D814" s="4">
        <f t="shared" si="13"/>
        <v>2.1236615252762392</v>
      </c>
    </row>
    <row r="815" spans="1:4">
      <c r="A815" s="2">
        <f>+Get_Data!A814</f>
        <v>40624</v>
      </c>
      <c r="B815">
        <f>+ROUND(Get_Data!B814,5)</f>
        <v>48.346530000000001</v>
      </c>
      <c r="C815">
        <f>+ROUND(Get_Data!C814,5)</f>
        <v>22.801069999999999</v>
      </c>
      <c r="D815" s="4">
        <f t="shared" si="13"/>
        <v>2.1203623338729281</v>
      </c>
    </row>
    <row r="816" spans="1:4">
      <c r="A816" s="2">
        <f>+Get_Data!A815</f>
        <v>40625</v>
      </c>
      <c r="B816">
        <f>+ROUND(Get_Data!B815,5)</f>
        <v>48.543129999999998</v>
      </c>
      <c r="C816">
        <f>+ROUND(Get_Data!C815,5)</f>
        <v>23.073930000000001</v>
      </c>
      <c r="D816" s="4">
        <f t="shared" si="13"/>
        <v>2.1038084972954323</v>
      </c>
    </row>
    <row r="817" spans="1:4">
      <c r="A817" s="2">
        <f>+Get_Data!A816</f>
        <v>40626</v>
      </c>
      <c r="B817">
        <f>+ROUND(Get_Data!B816,5)</f>
        <v>48.543129999999998</v>
      </c>
      <c r="C817">
        <f>+ROUND(Get_Data!C816,5)</f>
        <v>23.224710000000002</v>
      </c>
      <c r="D817" s="4">
        <f t="shared" si="13"/>
        <v>2.0901501030583374</v>
      </c>
    </row>
    <row r="818" spans="1:4">
      <c r="A818" s="2">
        <f>+Get_Data!A817</f>
        <v>40627</v>
      </c>
      <c r="B818">
        <f>+ROUND(Get_Data!B817,5)</f>
        <v>48.37679</v>
      </c>
      <c r="C818">
        <f>+ROUND(Get_Data!C817,5)</f>
        <v>23.414999999999999</v>
      </c>
      <c r="D818" s="4">
        <f t="shared" si="13"/>
        <v>2.0660597907324365</v>
      </c>
    </row>
    <row r="819" spans="1:4">
      <c r="A819" s="2">
        <f>+Get_Data!A818</f>
        <v>40630</v>
      </c>
      <c r="B819">
        <f>+ROUND(Get_Data!B818,5)</f>
        <v>48.648989999999998</v>
      </c>
      <c r="C819">
        <f>+ROUND(Get_Data!C818,5)</f>
        <v>23.346769999999999</v>
      </c>
      <c r="D819" s="4">
        <f t="shared" si="13"/>
        <v>2.0837567680668458</v>
      </c>
    </row>
    <row r="820" spans="1:4">
      <c r="A820" s="2">
        <f>+Get_Data!A819</f>
        <v>40631</v>
      </c>
      <c r="B820">
        <f>+ROUND(Get_Data!B819,5)</f>
        <v>48.512900000000002</v>
      </c>
      <c r="C820">
        <f>+ROUND(Get_Data!C819,5)</f>
        <v>23.5945</v>
      </c>
      <c r="D820" s="4">
        <f t="shared" si="13"/>
        <v>2.0561105342346733</v>
      </c>
    </row>
    <row r="821" spans="1:4">
      <c r="A821" s="2">
        <f>+Get_Data!A820</f>
        <v>40632</v>
      </c>
      <c r="B821">
        <f>+ROUND(Get_Data!B820,5)</f>
        <v>49.185839999999999</v>
      </c>
      <c r="C821">
        <f>+ROUND(Get_Data!C820,5)</f>
        <v>23.709379999999999</v>
      </c>
      <c r="D821" s="4">
        <f t="shared" si="13"/>
        <v>2.0745308396929825</v>
      </c>
    </row>
    <row r="822" spans="1:4">
      <c r="A822" s="2">
        <f>+Get_Data!A821</f>
        <v>40633</v>
      </c>
      <c r="B822">
        <f>+ROUND(Get_Data!B821,5)</f>
        <v>48.701920000000001</v>
      </c>
      <c r="C822">
        <f>+ROUND(Get_Data!C821,5)</f>
        <v>23.81709</v>
      </c>
      <c r="D822" s="4">
        <f t="shared" si="13"/>
        <v>2.0448308336576804</v>
      </c>
    </row>
    <row r="823" spans="1:4">
      <c r="A823" s="2">
        <f>+Get_Data!A822</f>
        <v>40634</v>
      </c>
      <c r="B823">
        <f>+ROUND(Get_Data!B822,5)</f>
        <v>49.31438</v>
      </c>
      <c r="C823">
        <f>+ROUND(Get_Data!C822,5)</f>
        <v>24.133030000000002</v>
      </c>
      <c r="D823" s="4">
        <f t="shared" si="13"/>
        <v>2.0434392200233455</v>
      </c>
    </row>
    <row r="824" spans="1:4">
      <c r="A824" s="2">
        <f>+Get_Data!A823</f>
        <v>40637</v>
      </c>
      <c r="B824">
        <f>+ROUND(Get_Data!B823,5)</f>
        <v>49.216079999999998</v>
      </c>
      <c r="C824">
        <f>+ROUND(Get_Data!C823,5)</f>
        <v>24.290990000000001</v>
      </c>
      <c r="D824" s="4">
        <f t="shared" si="13"/>
        <v>2.0261043292183643</v>
      </c>
    </row>
    <row r="825" spans="1:4">
      <c r="A825" s="2">
        <f>+Get_Data!A824</f>
        <v>40638</v>
      </c>
      <c r="B825">
        <f>+ROUND(Get_Data!B824,5)</f>
        <v>49.586579999999998</v>
      </c>
      <c r="C825">
        <f>+ROUND(Get_Data!C824,5)</f>
        <v>24.22278</v>
      </c>
      <c r="D825" s="4">
        <f t="shared" si="13"/>
        <v>2.0471052455581069</v>
      </c>
    </row>
    <row r="826" spans="1:4">
      <c r="A826" s="2">
        <f>+Get_Data!A825</f>
        <v>40639</v>
      </c>
      <c r="B826">
        <f>+ROUND(Get_Data!B825,5)</f>
        <v>49.715110000000003</v>
      </c>
      <c r="C826">
        <f>+ROUND(Get_Data!C825,5)</f>
        <v>24.28021</v>
      </c>
      <c r="D826" s="4">
        <f t="shared" si="13"/>
        <v>2.0475568374408626</v>
      </c>
    </row>
    <row r="827" spans="1:4">
      <c r="A827" s="2">
        <f>+Get_Data!A826</f>
        <v>40640</v>
      </c>
      <c r="B827">
        <f>+ROUND(Get_Data!B826,5)</f>
        <v>49.843649999999997</v>
      </c>
      <c r="C827">
        <f>+ROUND(Get_Data!C826,5)</f>
        <v>24.212009999999999</v>
      </c>
      <c r="D827" s="4">
        <f t="shared" si="13"/>
        <v>2.0586332981028836</v>
      </c>
    </row>
    <row r="828" spans="1:4">
      <c r="A828" s="2">
        <f>+Get_Data!A827</f>
        <v>40641</v>
      </c>
      <c r="B828">
        <f>+ROUND(Get_Data!B827,5)</f>
        <v>49.700009999999999</v>
      </c>
      <c r="C828">
        <f>+ROUND(Get_Data!C827,5)</f>
        <v>24.150970000000001</v>
      </c>
      <c r="D828" s="4">
        <f t="shared" si="13"/>
        <v>2.0578887721693992</v>
      </c>
    </row>
    <row r="829" spans="1:4">
      <c r="A829" s="2">
        <f>+Get_Data!A828</f>
        <v>40644</v>
      </c>
      <c r="B829">
        <f>+ROUND(Get_Data!B828,5)</f>
        <v>49.934379999999997</v>
      </c>
      <c r="C829">
        <f>+ROUND(Get_Data!C828,5)</f>
        <v>24.197649999999999</v>
      </c>
      <c r="D829" s="4">
        <f t="shared" si="13"/>
        <v>2.0636045235797691</v>
      </c>
    </row>
    <row r="830" spans="1:4">
      <c r="A830" s="2">
        <f>+Get_Data!A829</f>
        <v>40645</v>
      </c>
      <c r="B830">
        <f>+ROUND(Get_Data!B829,5)</f>
        <v>50.335129999999999</v>
      </c>
      <c r="C830">
        <f>+ROUND(Get_Data!C829,5)</f>
        <v>24.018139999999999</v>
      </c>
      <c r="D830" s="4">
        <f t="shared" si="13"/>
        <v>2.0957130735352529</v>
      </c>
    </row>
    <row r="831" spans="1:4">
      <c r="A831" s="2">
        <f>+Get_Data!A830</f>
        <v>40646</v>
      </c>
      <c r="B831">
        <f>+ROUND(Get_Data!B830,5)</f>
        <v>50.244410000000002</v>
      </c>
      <c r="C831">
        <f>+ROUND(Get_Data!C830,5)</f>
        <v>24.15456</v>
      </c>
      <c r="D831" s="4">
        <f t="shared" si="13"/>
        <v>2.080121103427262</v>
      </c>
    </row>
    <row r="832" spans="1:4">
      <c r="A832" s="2">
        <f>+Get_Data!A831</f>
        <v>40647</v>
      </c>
      <c r="B832">
        <f>+ROUND(Get_Data!B831,5)</f>
        <v>50.433439999999997</v>
      </c>
      <c r="C832">
        <f>+ROUND(Get_Data!C831,5)</f>
        <v>24.524349999999998</v>
      </c>
      <c r="D832" s="4">
        <f t="shared" si="13"/>
        <v>2.0564638818154202</v>
      </c>
    </row>
    <row r="833" spans="1:4">
      <c r="A833" s="2">
        <f>+Get_Data!A832</f>
        <v>40648</v>
      </c>
      <c r="B833">
        <f>+ROUND(Get_Data!B832,5)</f>
        <v>50.743450000000003</v>
      </c>
      <c r="C833">
        <f>+ROUND(Get_Data!C832,5)</f>
        <v>24.416650000000001</v>
      </c>
      <c r="D833" s="4">
        <f t="shared" si="13"/>
        <v>2.078231452717715</v>
      </c>
    </row>
    <row r="834" spans="1:4">
      <c r="A834" s="2">
        <f>+Get_Data!A833</f>
        <v>40651</v>
      </c>
      <c r="B834">
        <f>+ROUND(Get_Data!B833,5)</f>
        <v>50.773690000000002</v>
      </c>
      <c r="C834">
        <f>+ROUND(Get_Data!C833,5)</f>
        <v>24.165330000000001</v>
      </c>
      <c r="D834" s="4">
        <f t="shared" si="13"/>
        <v>2.1010964882333494</v>
      </c>
    </row>
    <row r="835" spans="1:4">
      <c r="A835" s="2">
        <f>+Get_Data!A834</f>
        <v>40652</v>
      </c>
      <c r="B835">
        <f>+ROUND(Get_Data!B834,5)</f>
        <v>50.51661</v>
      </c>
      <c r="C835">
        <f>+ROUND(Get_Data!C834,5)</f>
        <v>24.086349999999999</v>
      </c>
      <c r="D835" s="4">
        <f t="shared" si="13"/>
        <v>2.0973127933456088</v>
      </c>
    </row>
    <row r="836" spans="1:4">
      <c r="A836" s="2">
        <f>+Get_Data!A835</f>
        <v>40653</v>
      </c>
      <c r="B836">
        <f>+ROUND(Get_Data!B835,5)</f>
        <v>50.909799999999997</v>
      </c>
      <c r="C836">
        <f>+ROUND(Get_Data!C835,5)</f>
        <v>24.359210000000001</v>
      </c>
      <c r="D836" s="4">
        <f t="shared" ref="D836:D899" si="14">IFERROR(B836/C836,"")</f>
        <v>2.0899610455347277</v>
      </c>
    </row>
    <row r="837" spans="1:4">
      <c r="A837" s="2">
        <f>+Get_Data!A836</f>
        <v>40654</v>
      </c>
      <c r="B837">
        <f>+ROUND(Get_Data!B836,5)</f>
        <v>50.970289999999999</v>
      </c>
      <c r="C837">
        <f>+ROUND(Get_Data!C836,5)</f>
        <v>24.369969999999999</v>
      </c>
      <c r="D837" s="4">
        <f t="shared" si="14"/>
        <v>2.0915204245224759</v>
      </c>
    </row>
    <row r="838" spans="1:4">
      <c r="A838" s="2">
        <f>+Get_Data!A837</f>
        <v>40658</v>
      </c>
      <c r="B838">
        <f>+ROUND(Get_Data!B837,5)</f>
        <v>50.682969999999997</v>
      </c>
      <c r="C838">
        <f>+ROUND(Get_Data!C837,5)</f>
        <v>24.319710000000001</v>
      </c>
      <c r="D838" s="4">
        <f t="shared" si="14"/>
        <v>2.0840285513272976</v>
      </c>
    </row>
    <row r="839" spans="1:4">
      <c r="A839" s="2">
        <f>+Get_Data!A838</f>
        <v>40659</v>
      </c>
      <c r="B839">
        <f>+ROUND(Get_Data!B838,5)</f>
        <v>51.197130000000001</v>
      </c>
      <c r="C839">
        <f>+ROUND(Get_Data!C838,5)</f>
        <v>24.02891</v>
      </c>
      <c r="D839" s="4">
        <f t="shared" si="14"/>
        <v>2.1306472078841696</v>
      </c>
    </row>
    <row r="840" spans="1:4">
      <c r="A840" s="2">
        <f>+Get_Data!A839</f>
        <v>40660</v>
      </c>
      <c r="B840">
        <f>+ROUND(Get_Data!B839,5)</f>
        <v>51.363480000000003</v>
      </c>
      <c r="C840">
        <f>+ROUND(Get_Data!C839,5)</f>
        <v>24.054040000000001</v>
      </c>
      <c r="D840" s="4">
        <f t="shared" si="14"/>
        <v>2.1353369330058487</v>
      </c>
    </row>
    <row r="841" spans="1:4">
      <c r="A841" s="2">
        <f>+Get_Data!A840</f>
        <v>40661</v>
      </c>
      <c r="B841">
        <f>+ROUND(Get_Data!B840,5)</f>
        <v>52.716940000000001</v>
      </c>
      <c r="C841">
        <f>+ROUND(Get_Data!C840,5)</f>
        <v>24.201229999999999</v>
      </c>
      <c r="D841" s="4">
        <f t="shared" si="14"/>
        <v>2.1782752364239339</v>
      </c>
    </row>
    <row r="842" spans="1:4">
      <c r="A842" s="2">
        <f>+Get_Data!A841</f>
        <v>40662</v>
      </c>
      <c r="B842">
        <f>+ROUND(Get_Data!B841,5)</f>
        <v>52.08934</v>
      </c>
      <c r="C842">
        <f>+ROUND(Get_Data!C841,5)</f>
        <v>24.219180000000001</v>
      </c>
      <c r="D842" s="4">
        <f t="shared" si="14"/>
        <v>2.150747465438549</v>
      </c>
    </row>
    <row r="843" spans="1:4">
      <c r="A843" s="2">
        <f>+Get_Data!A842</f>
        <v>40665</v>
      </c>
      <c r="B843">
        <f>+ROUND(Get_Data!B842,5)</f>
        <v>52.406910000000003</v>
      </c>
      <c r="C843">
        <f>+ROUND(Get_Data!C842,5)</f>
        <v>24.312529999999999</v>
      </c>
      <c r="D843" s="4">
        <f t="shared" si="14"/>
        <v>2.1555514790110286</v>
      </c>
    </row>
    <row r="844" spans="1:4">
      <c r="A844" s="2">
        <f>+Get_Data!A843</f>
        <v>40666</v>
      </c>
      <c r="B844">
        <f>+ROUND(Get_Data!B843,5)</f>
        <v>52.618630000000003</v>
      </c>
      <c r="C844">
        <f>+ROUND(Get_Data!C843,5)</f>
        <v>24.369969999999999</v>
      </c>
      <c r="D844" s="4">
        <f t="shared" si="14"/>
        <v>2.1591585873925987</v>
      </c>
    </row>
    <row r="845" spans="1:4">
      <c r="A845" s="2">
        <f>+Get_Data!A844</f>
        <v>40667</v>
      </c>
      <c r="B845">
        <f>+ROUND(Get_Data!B844,5)</f>
        <v>52.800109999999997</v>
      </c>
      <c r="C845">
        <f>+ROUND(Get_Data!C844,5)</f>
        <v>24.219180000000001</v>
      </c>
      <c r="D845" s="4">
        <f t="shared" si="14"/>
        <v>2.1800948669608133</v>
      </c>
    </row>
    <row r="846" spans="1:4">
      <c r="A846" s="2">
        <f>+Get_Data!A845</f>
        <v>40668</v>
      </c>
      <c r="B846">
        <f>+ROUND(Get_Data!B845,5)</f>
        <v>52.043979999999998</v>
      </c>
      <c r="C846">
        <f>+ROUND(Get_Data!C845,5)</f>
        <v>23.94633</v>
      </c>
      <c r="D846" s="4">
        <f t="shared" si="14"/>
        <v>2.1733593414940828</v>
      </c>
    </row>
    <row r="847" spans="1:4">
      <c r="A847" s="2">
        <f>+Get_Data!A846</f>
        <v>40669</v>
      </c>
      <c r="B847">
        <f>+ROUND(Get_Data!B846,5)</f>
        <v>52.376669999999997</v>
      </c>
      <c r="C847">
        <f>+ROUND(Get_Data!C846,5)</f>
        <v>24.018139999999999</v>
      </c>
      <c r="D847" s="4">
        <f t="shared" si="14"/>
        <v>2.1807129944283781</v>
      </c>
    </row>
    <row r="848" spans="1:4">
      <c r="A848" s="2">
        <f>+Get_Data!A847</f>
        <v>40672</v>
      </c>
      <c r="B848">
        <f>+ROUND(Get_Data!B847,5)</f>
        <v>52.792540000000002</v>
      </c>
      <c r="C848">
        <f>+ROUND(Get_Data!C847,5)</f>
        <v>24.036090000000002</v>
      </c>
      <c r="D848" s="4">
        <f t="shared" si="14"/>
        <v>2.1963863506918138</v>
      </c>
    </row>
    <row r="849" spans="1:4">
      <c r="A849" s="2">
        <f>+Get_Data!A848</f>
        <v>40673</v>
      </c>
      <c r="B849">
        <f>+ROUND(Get_Data!B848,5)</f>
        <v>52.951329999999999</v>
      </c>
      <c r="C849">
        <f>+ROUND(Get_Data!C848,5)</f>
        <v>24.176100000000002</v>
      </c>
      <c r="D849" s="4">
        <f t="shared" si="14"/>
        <v>2.1902345705055817</v>
      </c>
    </row>
    <row r="850" spans="1:4">
      <c r="A850" s="2">
        <f>+Get_Data!A849</f>
        <v>40674</v>
      </c>
      <c r="B850">
        <f>+ROUND(Get_Data!B849,5)</f>
        <v>53.079859999999996</v>
      </c>
      <c r="C850">
        <f>+ROUND(Get_Data!C849,5)</f>
        <v>24.16892</v>
      </c>
      <c r="D850" s="4">
        <f t="shared" si="14"/>
        <v>2.196203222982243</v>
      </c>
    </row>
    <row r="851" spans="1:4">
      <c r="A851" s="2">
        <f>+Get_Data!A850</f>
        <v>40675</v>
      </c>
      <c r="B851">
        <f>+ROUND(Get_Data!B850,5)</f>
        <v>53.654530000000001</v>
      </c>
      <c r="C851">
        <f>+ROUND(Get_Data!C850,5)</f>
        <v>24.524349999999998</v>
      </c>
      <c r="D851" s="4">
        <f t="shared" si="14"/>
        <v>2.1878064046549657</v>
      </c>
    </row>
    <row r="852" spans="1:4">
      <c r="A852" s="2">
        <f>+Get_Data!A851</f>
        <v>40676</v>
      </c>
      <c r="B852">
        <f>+ROUND(Get_Data!B851,5)</f>
        <v>53.352069999999998</v>
      </c>
      <c r="C852">
        <f>+ROUND(Get_Data!C851,5)</f>
        <v>24.477689999999999</v>
      </c>
      <c r="D852" s="4">
        <f t="shared" si="14"/>
        <v>2.1796202991377047</v>
      </c>
    </row>
    <row r="853" spans="1:4">
      <c r="A853" s="2">
        <f>+Get_Data!A852</f>
        <v>40679</v>
      </c>
      <c r="B853">
        <f>+ROUND(Get_Data!B852,5)</f>
        <v>53.47307</v>
      </c>
      <c r="C853">
        <f>+ROUND(Get_Data!C852,5)</f>
        <v>24.352029999999999</v>
      </c>
      <c r="D853" s="4">
        <f t="shared" si="14"/>
        <v>2.1958362403462872</v>
      </c>
    </row>
    <row r="854" spans="1:4">
      <c r="A854" s="2">
        <f>+Get_Data!A853</f>
        <v>40680</v>
      </c>
      <c r="B854">
        <f>+ROUND(Get_Data!B853,5)</f>
        <v>53.767940000000003</v>
      </c>
      <c r="C854">
        <f>+ROUND(Get_Data!C853,5)</f>
        <v>24.409469999999999</v>
      </c>
      <c r="D854" s="4">
        <f t="shared" si="14"/>
        <v>2.2027491789047451</v>
      </c>
    </row>
    <row r="855" spans="1:4">
      <c r="A855" s="2">
        <f>+Get_Data!A854</f>
        <v>40681</v>
      </c>
      <c r="B855">
        <f>+ROUND(Get_Data!B854,5)</f>
        <v>53.888919999999999</v>
      </c>
      <c r="C855">
        <f>+ROUND(Get_Data!C854,5)</f>
        <v>24.520759999999999</v>
      </c>
      <c r="D855" s="4">
        <f t="shared" si="14"/>
        <v>2.1976855529763353</v>
      </c>
    </row>
    <row r="856" spans="1:4">
      <c r="A856" s="2">
        <f>+Get_Data!A855</f>
        <v>40682</v>
      </c>
      <c r="B856">
        <f>+ROUND(Get_Data!B855,5)</f>
        <v>54.274549999999998</v>
      </c>
      <c r="C856">
        <f>+ROUND(Get_Data!C855,5)</f>
        <v>24.578199999999999</v>
      </c>
      <c r="D856" s="4">
        <f t="shared" si="14"/>
        <v>2.208239415416914</v>
      </c>
    </row>
    <row r="857" spans="1:4">
      <c r="A857" s="2">
        <f>+Get_Data!A856</f>
        <v>40683</v>
      </c>
      <c r="B857">
        <f>+ROUND(Get_Data!B856,5)</f>
        <v>53.911610000000003</v>
      </c>
      <c r="C857">
        <f>+ROUND(Get_Data!C856,5)</f>
        <v>24.520759999999999</v>
      </c>
      <c r="D857" s="4">
        <f t="shared" si="14"/>
        <v>2.1986108913426827</v>
      </c>
    </row>
    <row r="858" spans="1:4">
      <c r="A858" s="2">
        <f>+Get_Data!A857</f>
        <v>40686</v>
      </c>
      <c r="B858">
        <f>+ROUND(Get_Data!B857,5)</f>
        <v>53.715020000000003</v>
      </c>
      <c r="C858">
        <f>+ROUND(Get_Data!C857,5)</f>
        <v>24.229959999999998</v>
      </c>
      <c r="D858" s="4">
        <f t="shared" si="14"/>
        <v>2.2168843861071172</v>
      </c>
    </row>
    <row r="859" spans="1:4">
      <c r="A859" s="2">
        <f>+Get_Data!A858</f>
        <v>40687</v>
      </c>
      <c r="B859">
        <f>+ROUND(Get_Data!B858,5)</f>
        <v>53.669670000000004</v>
      </c>
      <c r="C859">
        <f>+ROUND(Get_Data!C858,5)</f>
        <v>24.22278</v>
      </c>
      <c r="D859" s="4">
        <f t="shared" si="14"/>
        <v>2.2156692997253002</v>
      </c>
    </row>
    <row r="860" spans="1:4">
      <c r="A860" s="2">
        <f>+Get_Data!A859</f>
        <v>40688</v>
      </c>
      <c r="B860">
        <f>+ROUND(Get_Data!B859,5)</f>
        <v>53.268909999999998</v>
      </c>
      <c r="C860">
        <f>+ROUND(Get_Data!C859,5)</f>
        <v>24.021730000000002</v>
      </c>
      <c r="D860" s="4">
        <f t="shared" si="14"/>
        <v>2.217530127930003</v>
      </c>
    </row>
    <row r="861" spans="1:4">
      <c r="A861" s="2">
        <f>+Get_Data!A860</f>
        <v>40689</v>
      </c>
      <c r="B861">
        <f>+ROUND(Get_Data!B860,5)</f>
        <v>53.246209999999998</v>
      </c>
      <c r="C861">
        <f>+ROUND(Get_Data!C860,5)</f>
        <v>23.94633</v>
      </c>
      <c r="D861" s="4">
        <f t="shared" si="14"/>
        <v>2.2235645295124553</v>
      </c>
    </row>
    <row r="862" spans="1:4">
      <c r="A862" s="2">
        <f>+Get_Data!A861</f>
        <v>40690</v>
      </c>
      <c r="B862">
        <f>+ROUND(Get_Data!B861,5)</f>
        <v>53.231099999999998</v>
      </c>
      <c r="C862">
        <f>+ROUND(Get_Data!C861,5)</f>
        <v>23.878129999999999</v>
      </c>
      <c r="D862" s="4">
        <f t="shared" si="14"/>
        <v>2.2292826113267665</v>
      </c>
    </row>
    <row r="863" spans="1:4">
      <c r="A863" s="2">
        <f>+Get_Data!A862</f>
        <v>40694</v>
      </c>
      <c r="B863">
        <f>+ROUND(Get_Data!B862,5)</f>
        <v>53.775509999999997</v>
      </c>
      <c r="C863">
        <f>+ROUND(Get_Data!C862,5)</f>
        <v>23.98582</v>
      </c>
      <c r="D863" s="4">
        <f t="shared" si="14"/>
        <v>2.2419708811289336</v>
      </c>
    </row>
    <row r="864" spans="1:4">
      <c r="A864" s="2">
        <f>+Get_Data!A863</f>
        <v>40695</v>
      </c>
      <c r="B864">
        <f>+ROUND(Get_Data!B863,5)</f>
        <v>53.535580000000003</v>
      </c>
      <c r="C864">
        <f>+ROUND(Get_Data!C863,5)</f>
        <v>23.967880000000001</v>
      </c>
      <c r="D864" s="4">
        <f t="shared" si="14"/>
        <v>2.2336385195520005</v>
      </c>
    </row>
    <row r="865" spans="1:4">
      <c r="A865" s="2">
        <f>+Get_Data!A864</f>
        <v>40696</v>
      </c>
      <c r="B865">
        <f>+ROUND(Get_Data!B864,5)</f>
        <v>52.941510000000001</v>
      </c>
      <c r="C865">
        <f>+ROUND(Get_Data!C864,5)</f>
        <v>23.709379999999999</v>
      </c>
      <c r="D865" s="4">
        <f t="shared" si="14"/>
        <v>2.2329352349154639</v>
      </c>
    </row>
    <row r="866" spans="1:4">
      <c r="A866" s="2">
        <f>+Get_Data!A865</f>
        <v>40697</v>
      </c>
      <c r="B866">
        <f>+ROUND(Get_Data!B865,5)</f>
        <v>52.53022</v>
      </c>
      <c r="C866">
        <f>+ROUND(Get_Data!C865,5)</f>
        <v>23.526289999999999</v>
      </c>
      <c r="D866" s="4">
        <f t="shared" si="14"/>
        <v>2.2328305907986343</v>
      </c>
    </row>
    <row r="867" spans="1:4">
      <c r="A867" s="2">
        <f>+Get_Data!A866</f>
        <v>40700</v>
      </c>
      <c r="B867">
        <f>+ROUND(Get_Data!B866,5)</f>
        <v>52.469290000000001</v>
      </c>
      <c r="C867">
        <f>+ROUND(Get_Data!C866,5)</f>
        <v>23.486799999999999</v>
      </c>
      <c r="D867" s="4">
        <f t="shared" si="14"/>
        <v>2.2339905819439005</v>
      </c>
    </row>
    <row r="868" spans="1:4">
      <c r="A868" s="2">
        <f>+Get_Data!A867</f>
        <v>40701</v>
      </c>
      <c r="B868">
        <f>+ROUND(Get_Data!B867,5)</f>
        <v>52.499769999999998</v>
      </c>
      <c r="C868">
        <f>+ROUND(Get_Data!C867,5)</f>
        <v>23.407810000000001</v>
      </c>
      <c r="D868" s="4">
        <f t="shared" si="14"/>
        <v>2.242831345606445</v>
      </c>
    </row>
    <row r="869" spans="1:4">
      <c r="A869" s="2">
        <f>+Get_Data!A868</f>
        <v>40702</v>
      </c>
      <c r="B869">
        <f>+ROUND(Get_Data!B868,5)</f>
        <v>52.431220000000003</v>
      </c>
      <c r="C869">
        <f>+ROUND(Get_Data!C868,5)</f>
        <v>23.479610000000001</v>
      </c>
      <c r="D869" s="4">
        <f t="shared" si="14"/>
        <v>2.2330532747349721</v>
      </c>
    </row>
    <row r="870" spans="1:4">
      <c r="A870" s="2">
        <f>+Get_Data!A869</f>
        <v>40703</v>
      </c>
      <c r="B870">
        <f>+ROUND(Get_Data!B869,5)</f>
        <v>52.941510000000001</v>
      </c>
      <c r="C870">
        <f>+ROUND(Get_Data!C869,5)</f>
        <v>23.655539999999998</v>
      </c>
      <c r="D870" s="4">
        <f t="shared" si="14"/>
        <v>2.2380173946568123</v>
      </c>
    </row>
    <row r="871" spans="1:4">
      <c r="A871" s="2">
        <f>+Get_Data!A870</f>
        <v>40704</v>
      </c>
      <c r="B871">
        <f>+ROUND(Get_Data!B870,5)</f>
        <v>52.316969999999998</v>
      </c>
      <c r="C871">
        <f>+ROUND(Get_Data!C870,5)</f>
        <v>23.476019999999998</v>
      </c>
      <c r="D871" s="4">
        <f t="shared" si="14"/>
        <v>2.2285280895143216</v>
      </c>
    </row>
    <row r="872" spans="1:4">
      <c r="A872" s="2">
        <f>+Get_Data!A871</f>
        <v>40707</v>
      </c>
      <c r="B872">
        <f>+ROUND(Get_Data!B871,5)</f>
        <v>52.598770000000002</v>
      </c>
      <c r="C872">
        <f>+ROUND(Get_Data!C871,5)</f>
        <v>23.72007</v>
      </c>
      <c r="D872" s="4">
        <f t="shared" si="14"/>
        <v>2.2174795436944326</v>
      </c>
    </row>
    <row r="873" spans="1:4">
      <c r="A873" s="2">
        <f>+Get_Data!A872</f>
        <v>40708</v>
      </c>
      <c r="B873">
        <f>+ROUND(Get_Data!B872,5)</f>
        <v>52.987209999999997</v>
      </c>
      <c r="C873">
        <f>+ROUND(Get_Data!C872,5)</f>
        <v>23.89856</v>
      </c>
      <c r="D873" s="4">
        <f t="shared" si="14"/>
        <v>2.2171716622256739</v>
      </c>
    </row>
    <row r="874" spans="1:4">
      <c r="A874" s="2">
        <f>+Get_Data!A873</f>
        <v>40709</v>
      </c>
      <c r="B874">
        <f>+ROUND(Get_Data!B873,5)</f>
        <v>52.157029999999999</v>
      </c>
      <c r="C874">
        <f>+ROUND(Get_Data!C873,5)</f>
        <v>23.665430000000001</v>
      </c>
      <c r="D874" s="4">
        <f t="shared" si="14"/>
        <v>2.2039333322910251</v>
      </c>
    </row>
    <row r="875" spans="1:4">
      <c r="A875" s="2">
        <f>+Get_Data!A874</f>
        <v>40710</v>
      </c>
      <c r="B875">
        <f>+ROUND(Get_Data!B874,5)</f>
        <v>52.469290000000001</v>
      </c>
      <c r="C875">
        <f>+ROUND(Get_Data!C874,5)</f>
        <v>23.854839999999999</v>
      </c>
      <c r="D875" s="4">
        <f t="shared" si="14"/>
        <v>2.19952387020831</v>
      </c>
    </row>
    <row r="876" spans="1:4">
      <c r="A876" s="2">
        <f>+Get_Data!A875</f>
        <v>40711</v>
      </c>
      <c r="B876">
        <f>+ROUND(Get_Data!B875,5)</f>
        <v>52.33981</v>
      </c>
      <c r="C876">
        <f>+ROUND(Get_Data!C875,5)</f>
        <v>23.902200000000001</v>
      </c>
      <c r="D876" s="4">
        <f t="shared" si="14"/>
        <v>2.1897486423843828</v>
      </c>
    </row>
    <row r="877" spans="1:4">
      <c r="A877" s="2">
        <f>+Get_Data!A876</f>
        <v>40714</v>
      </c>
      <c r="B877">
        <f>+ROUND(Get_Data!B876,5)</f>
        <v>52.537840000000003</v>
      </c>
      <c r="C877">
        <f>+ROUND(Get_Data!C876,5)</f>
        <v>23.97869</v>
      </c>
      <c r="D877" s="4">
        <f t="shared" si="14"/>
        <v>2.1910221117166953</v>
      </c>
    </row>
    <row r="878" spans="1:4">
      <c r="A878" s="2">
        <f>+Get_Data!A877</f>
        <v>40715</v>
      </c>
      <c r="B878">
        <f>+ROUND(Get_Data!B877,5)</f>
        <v>52.499769999999998</v>
      </c>
      <c r="C878">
        <f>+ROUND(Get_Data!C877,5)</f>
        <v>24.13532</v>
      </c>
      <c r="D878" s="4">
        <f t="shared" si="14"/>
        <v>2.1752257687074379</v>
      </c>
    </row>
    <row r="879" spans="1:4">
      <c r="A879" s="2">
        <f>+Get_Data!A878</f>
        <v>40716</v>
      </c>
      <c r="B879">
        <f>+ROUND(Get_Data!B878,5)</f>
        <v>52.38552</v>
      </c>
      <c r="C879">
        <f>+ROUND(Get_Data!C878,5)</f>
        <v>24.186309999999999</v>
      </c>
      <c r="D879" s="4">
        <f t="shared" si="14"/>
        <v>2.1659161732401513</v>
      </c>
    </row>
    <row r="880" spans="1:4">
      <c r="A880" s="2">
        <f>+Get_Data!A879</f>
        <v>40717</v>
      </c>
      <c r="B880">
        <f>+ROUND(Get_Data!B879,5)</f>
        <v>51.776209999999999</v>
      </c>
      <c r="C880">
        <f>+ROUND(Get_Data!C879,5)</f>
        <v>23.669080000000001</v>
      </c>
      <c r="D880" s="4">
        <f t="shared" si="14"/>
        <v>2.1875041192982572</v>
      </c>
    </row>
    <row r="881" spans="1:4">
      <c r="A881" s="2">
        <f>+Get_Data!A880</f>
        <v>40718</v>
      </c>
      <c r="B881">
        <f>+ROUND(Get_Data!B880,5)</f>
        <v>52.134160000000001</v>
      </c>
      <c r="C881">
        <f>+ROUND(Get_Data!C880,5)</f>
        <v>23.650860000000002</v>
      </c>
      <c r="D881" s="4">
        <f t="shared" si="14"/>
        <v>2.2043240710908609</v>
      </c>
    </row>
    <row r="882" spans="1:4">
      <c r="A882" s="2">
        <f>+Get_Data!A881</f>
        <v>40721</v>
      </c>
      <c r="B882">
        <f>+ROUND(Get_Data!B881,5)</f>
        <v>52.591160000000002</v>
      </c>
      <c r="C882">
        <f>+ROUND(Get_Data!C881,5)</f>
        <v>23.752849999999999</v>
      </c>
      <c r="D882" s="4">
        <f t="shared" si="14"/>
        <v>2.214098939706183</v>
      </c>
    </row>
    <row r="883" spans="1:4">
      <c r="A883" s="2">
        <f>+Get_Data!A882</f>
        <v>40722</v>
      </c>
      <c r="B883">
        <f>+ROUND(Get_Data!B882,5)</f>
        <v>53.025280000000002</v>
      </c>
      <c r="C883">
        <f>+ROUND(Get_Data!C882,5)</f>
        <v>24.051539999999999</v>
      </c>
      <c r="D883" s="4">
        <f t="shared" si="14"/>
        <v>2.2046521761184525</v>
      </c>
    </row>
    <row r="884" spans="1:4">
      <c r="A884" s="2">
        <f>+Get_Data!A883</f>
        <v>40723</v>
      </c>
      <c r="B884">
        <f>+ROUND(Get_Data!B883,5)</f>
        <v>53.284260000000003</v>
      </c>
      <c r="C884">
        <f>+ROUND(Get_Data!C883,5)</f>
        <v>24.299240000000001</v>
      </c>
      <c r="D884" s="4">
        <f t="shared" si="14"/>
        <v>2.1928364837748013</v>
      </c>
    </row>
    <row r="885" spans="1:4">
      <c r="A885" s="2">
        <f>+Get_Data!A884</f>
        <v>40724</v>
      </c>
      <c r="B885">
        <f>+ROUND(Get_Data!B884,5)</f>
        <v>53.642229999999998</v>
      </c>
      <c r="C885">
        <f>+ROUND(Get_Data!C884,5)</f>
        <v>24.5105</v>
      </c>
      <c r="D885" s="4">
        <f t="shared" si="14"/>
        <v>2.1885408294404436</v>
      </c>
    </row>
    <row r="886" spans="1:4">
      <c r="A886" s="2">
        <f>+Get_Data!A885</f>
        <v>40725</v>
      </c>
      <c r="B886">
        <f>+ROUND(Get_Data!B885,5)</f>
        <v>53.459409999999998</v>
      </c>
      <c r="C886">
        <f>+ROUND(Get_Data!C885,5)</f>
        <v>24.8019</v>
      </c>
      <c r="D886" s="4">
        <f t="shared" si="14"/>
        <v>2.1554562352077866</v>
      </c>
    </row>
    <row r="887" spans="1:4">
      <c r="A887" s="2">
        <f>+Get_Data!A886</f>
        <v>40729</v>
      </c>
      <c r="B887">
        <f>+ROUND(Get_Data!B886,5)</f>
        <v>53.13955</v>
      </c>
      <c r="C887">
        <f>+ROUND(Get_Data!C886,5)</f>
        <v>24.87839</v>
      </c>
      <c r="D887" s="4">
        <f t="shared" si="14"/>
        <v>2.1359722232829377</v>
      </c>
    </row>
    <row r="888" spans="1:4">
      <c r="A888" s="2">
        <f>+Get_Data!A887</f>
        <v>40730</v>
      </c>
      <c r="B888">
        <f>+ROUND(Get_Data!B887,5)</f>
        <v>53.444180000000003</v>
      </c>
      <c r="C888">
        <f>+ROUND(Get_Data!C887,5)</f>
        <v>24.96217</v>
      </c>
      <c r="D888" s="4">
        <f t="shared" si="14"/>
        <v>2.1410069717496518</v>
      </c>
    </row>
    <row r="889" spans="1:4">
      <c r="A889" s="2">
        <f>+Get_Data!A888</f>
        <v>40731</v>
      </c>
      <c r="B889">
        <f>+ROUND(Get_Data!B888,5)</f>
        <v>53.710760000000001</v>
      </c>
      <c r="C889">
        <f>+ROUND(Get_Data!C888,5)</f>
        <v>25.042310000000001</v>
      </c>
      <c r="D889" s="4">
        <f t="shared" si="14"/>
        <v>2.144800539566837</v>
      </c>
    </row>
    <row r="890" spans="1:4">
      <c r="A890" s="2">
        <f>+Get_Data!A889</f>
        <v>40732</v>
      </c>
      <c r="B890">
        <f>+ROUND(Get_Data!B889,5)</f>
        <v>53.261400000000002</v>
      </c>
      <c r="C890">
        <f>+ROUND(Get_Data!C889,5)</f>
        <v>25.0168</v>
      </c>
      <c r="D890" s="4">
        <f t="shared" si="14"/>
        <v>2.129025295001759</v>
      </c>
    </row>
    <row r="891" spans="1:4">
      <c r="A891" s="2">
        <f>+Get_Data!A890</f>
        <v>40735</v>
      </c>
      <c r="B891">
        <f>+ROUND(Get_Data!B890,5)</f>
        <v>52.781579999999998</v>
      </c>
      <c r="C891">
        <f>+ROUND(Get_Data!C890,5)</f>
        <v>24.805540000000001</v>
      </c>
      <c r="D891" s="4">
        <f t="shared" si="14"/>
        <v>2.1278141898946767</v>
      </c>
    </row>
    <row r="892" spans="1:4">
      <c r="A892" s="2">
        <f>+Get_Data!A891</f>
        <v>40736</v>
      </c>
      <c r="B892">
        <f>+ROUND(Get_Data!B891,5)</f>
        <v>52.560690000000001</v>
      </c>
      <c r="C892">
        <f>+ROUND(Get_Data!C891,5)</f>
        <v>24.714490000000001</v>
      </c>
      <c r="D892" s="4">
        <f t="shared" si="14"/>
        <v>2.1267155421778883</v>
      </c>
    </row>
    <row r="893" spans="1:4">
      <c r="A893" s="2">
        <f>+Get_Data!A892</f>
        <v>40737</v>
      </c>
      <c r="B893">
        <f>+ROUND(Get_Data!B892,5)</f>
        <v>52.469290000000001</v>
      </c>
      <c r="C893">
        <f>+ROUND(Get_Data!C892,5)</f>
        <v>24.790970000000002</v>
      </c>
      <c r="D893" s="4">
        <f t="shared" si="14"/>
        <v>2.1164678106584778</v>
      </c>
    </row>
    <row r="894" spans="1:4">
      <c r="A894" s="2">
        <f>+Get_Data!A893</f>
        <v>40738</v>
      </c>
      <c r="B894">
        <f>+ROUND(Get_Data!B893,5)</f>
        <v>52.248420000000003</v>
      </c>
      <c r="C894">
        <f>+ROUND(Get_Data!C893,5)</f>
        <v>24.648910000000001</v>
      </c>
      <c r="D894" s="4">
        <f t="shared" si="14"/>
        <v>2.1197050904076491</v>
      </c>
    </row>
    <row r="895" spans="1:4">
      <c r="A895" s="2">
        <f>+Get_Data!A894</f>
        <v>40739</v>
      </c>
      <c r="B895">
        <f>+ROUND(Get_Data!B894,5)</f>
        <v>52.195099999999996</v>
      </c>
      <c r="C895">
        <f>+ROUND(Get_Data!C894,5)</f>
        <v>24.597919999999998</v>
      </c>
      <c r="D895" s="4">
        <f t="shared" si="14"/>
        <v>2.1219314478622584</v>
      </c>
    </row>
    <row r="896" spans="1:4">
      <c r="A896" s="2">
        <f>+Get_Data!A895</f>
        <v>40742</v>
      </c>
      <c r="B896">
        <f>+ROUND(Get_Data!B895,5)</f>
        <v>51.791440000000001</v>
      </c>
      <c r="C896">
        <f>+ROUND(Get_Data!C895,5)</f>
        <v>24.44858</v>
      </c>
      <c r="D896" s="4">
        <f t="shared" si="14"/>
        <v>2.1183823354976035</v>
      </c>
    </row>
    <row r="897" spans="1:4">
      <c r="A897" s="2">
        <f>+Get_Data!A896</f>
        <v>40743</v>
      </c>
      <c r="B897">
        <f>+ROUND(Get_Data!B896,5)</f>
        <v>52.202710000000003</v>
      </c>
      <c r="C897">
        <f>+ROUND(Get_Data!C896,5)</f>
        <v>25.249929999999999</v>
      </c>
      <c r="D897" s="4">
        <f t="shared" si="14"/>
        <v>2.0674397909221929</v>
      </c>
    </row>
    <row r="898" spans="1:4">
      <c r="A898" s="2">
        <f>+Get_Data!A897</f>
        <v>40744</v>
      </c>
      <c r="B898">
        <f>+ROUND(Get_Data!B897,5)</f>
        <v>52.164630000000002</v>
      </c>
      <c r="C898">
        <f>+ROUND(Get_Data!C897,5)</f>
        <v>25.086020000000001</v>
      </c>
      <c r="D898" s="4">
        <f t="shared" si="14"/>
        <v>2.0794302962367088</v>
      </c>
    </row>
    <row r="899" spans="1:4">
      <c r="A899" s="2">
        <f>+Get_Data!A898</f>
        <v>40745</v>
      </c>
      <c r="B899">
        <f>+ROUND(Get_Data!B898,5)</f>
        <v>50.397640000000003</v>
      </c>
      <c r="C899">
        <f>+ROUND(Get_Data!C898,5)</f>
        <v>25.257210000000001</v>
      </c>
      <c r="D899" s="4">
        <f t="shared" si="14"/>
        <v>1.9953763697573881</v>
      </c>
    </row>
    <row r="900" spans="1:4">
      <c r="A900" s="2">
        <f>+Get_Data!A899</f>
        <v>40746</v>
      </c>
      <c r="B900">
        <f>+ROUND(Get_Data!B899,5)</f>
        <v>50.085369999999998</v>
      </c>
      <c r="C900">
        <f>+ROUND(Get_Data!C899,5)</f>
        <v>25.399270000000001</v>
      </c>
      <c r="D900" s="4">
        <f t="shared" ref="D900:D963" si="15">IFERROR(B900/C900,"")</f>
        <v>1.9719216339682202</v>
      </c>
    </row>
    <row r="901" spans="1:4">
      <c r="A901" s="2">
        <f>+Get_Data!A900</f>
        <v>40749</v>
      </c>
      <c r="B901">
        <f>+ROUND(Get_Data!B900,5)</f>
        <v>49.026699999999998</v>
      </c>
      <c r="C901">
        <f>+ROUND(Get_Data!C900,5)</f>
        <v>25.228069999999999</v>
      </c>
      <c r="D901" s="4">
        <f t="shared" si="15"/>
        <v>1.9433393041956837</v>
      </c>
    </row>
    <row r="902" spans="1:4">
      <c r="A902" s="2">
        <f>+Get_Data!A901</f>
        <v>40750</v>
      </c>
      <c r="B902">
        <f>+ROUND(Get_Data!B901,5)</f>
        <v>48.798189999999998</v>
      </c>
      <c r="C902">
        <f>+ROUND(Get_Data!C901,5)</f>
        <v>25.202580000000001</v>
      </c>
      <c r="D902" s="4">
        <f t="shared" si="15"/>
        <v>1.9362378772332038</v>
      </c>
    </row>
    <row r="903" spans="1:4">
      <c r="A903" s="2">
        <f>+Get_Data!A902</f>
        <v>40751</v>
      </c>
      <c r="B903">
        <f>+ROUND(Get_Data!B902,5)</f>
        <v>48.638249999999999</v>
      </c>
      <c r="C903">
        <f>+ROUND(Get_Data!C902,5)</f>
        <v>25.02045</v>
      </c>
      <c r="D903" s="4">
        <f t="shared" si="15"/>
        <v>1.9439398571968129</v>
      </c>
    </row>
    <row r="904" spans="1:4">
      <c r="A904" s="2">
        <f>+Get_Data!A903</f>
        <v>40752</v>
      </c>
      <c r="B904">
        <f>+ROUND(Get_Data!B903,5)</f>
        <v>48.661110000000001</v>
      </c>
      <c r="C904">
        <f>+ROUND(Get_Data!C903,5)</f>
        <v>25.064160000000001</v>
      </c>
      <c r="D904" s="4">
        <f t="shared" si="15"/>
        <v>1.941461832353448</v>
      </c>
    </row>
    <row r="905" spans="1:4">
      <c r="A905" s="2">
        <f>+Get_Data!A904</f>
        <v>40753</v>
      </c>
      <c r="B905">
        <f>+ROUND(Get_Data!B904,5)</f>
        <v>48.77534</v>
      </c>
      <c r="C905">
        <f>+ROUND(Get_Data!C904,5)</f>
        <v>24.772760000000002</v>
      </c>
      <c r="D905" s="4">
        <f t="shared" si="15"/>
        <v>1.9689102062103696</v>
      </c>
    </row>
    <row r="906" spans="1:4">
      <c r="A906" s="2">
        <f>+Get_Data!A905</f>
        <v>40756</v>
      </c>
      <c r="B906">
        <f>+ROUND(Get_Data!B905,5)</f>
        <v>48.638249999999999</v>
      </c>
      <c r="C906">
        <f>+ROUND(Get_Data!C905,5)</f>
        <v>24.670780000000001</v>
      </c>
      <c r="D906" s="4">
        <f t="shared" si="15"/>
        <v>1.9714921863029866</v>
      </c>
    </row>
    <row r="907" spans="1:4">
      <c r="A907" s="2">
        <f>+Get_Data!A906</f>
        <v>40757</v>
      </c>
      <c r="B907">
        <f>+ROUND(Get_Data!B906,5)</f>
        <v>48.120339999999999</v>
      </c>
      <c r="C907">
        <f>+ROUND(Get_Data!C906,5)</f>
        <v>24.43036</v>
      </c>
      <c r="D907" s="4">
        <f t="shared" si="15"/>
        <v>1.9696942656596137</v>
      </c>
    </row>
    <row r="908" spans="1:4">
      <c r="A908" s="2">
        <f>+Get_Data!A907</f>
        <v>40758</v>
      </c>
      <c r="B908">
        <f>+ROUND(Get_Data!B907,5)</f>
        <v>49.110469999999999</v>
      </c>
      <c r="C908">
        <f>+ROUND(Get_Data!C907,5)</f>
        <v>24.914819999999999</v>
      </c>
      <c r="D908" s="4">
        <f t="shared" si="15"/>
        <v>1.9711348506631796</v>
      </c>
    </row>
    <row r="909" spans="1:4">
      <c r="A909" s="2">
        <f>+Get_Data!A908</f>
        <v>40759</v>
      </c>
      <c r="B909">
        <f>+ROUND(Get_Data!B908,5)</f>
        <v>48.249809999999997</v>
      </c>
      <c r="C909">
        <f>+ROUND(Get_Data!C908,5)</f>
        <v>23.97505</v>
      </c>
      <c r="D909" s="4">
        <f t="shared" si="15"/>
        <v>2.012500912406856</v>
      </c>
    </row>
    <row r="910" spans="1:4">
      <c r="A910" s="2">
        <f>+Get_Data!A909</f>
        <v>40760</v>
      </c>
      <c r="B910">
        <f>+ROUND(Get_Data!B909,5)</f>
        <v>49.25517</v>
      </c>
      <c r="C910">
        <f>+ROUND(Get_Data!C909,5)</f>
        <v>24.321090000000002</v>
      </c>
      <c r="D910" s="4">
        <f t="shared" si="15"/>
        <v>2.0252040512986875</v>
      </c>
    </row>
    <row r="911" spans="1:4">
      <c r="A911" s="2">
        <f>+Get_Data!A910</f>
        <v>40763</v>
      </c>
      <c r="B911">
        <f>+ROUND(Get_Data!B910,5)</f>
        <v>47.960389999999997</v>
      </c>
      <c r="C911">
        <f>+ROUND(Get_Data!C910,5)</f>
        <v>23.72007</v>
      </c>
      <c r="D911" s="4">
        <f t="shared" si="15"/>
        <v>2.0219329032334219</v>
      </c>
    </row>
    <row r="912" spans="1:4">
      <c r="A912" s="2">
        <f>+Get_Data!A911</f>
        <v>40764</v>
      </c>
      <c r="B912">
        <f>+ROUND(Get_Data!B911,5)</f>
        <v>48.051789999999997</v>
      </c>
      <c r="C912">
        <f>+ROUND(Get_Data!C911,5)</f>
        <v>24.288309999999999</v>
      </c>
      <c r="D912" s="4">
        <f t="shared" si="15"/>
        <v>1.9783916624911324</v>
      </c>
    </row>
    <row r="913" spans="1:4">
      <c r="A913" s="2">
        <f>+Get_Data!A912</f>
        <v>40765</v>
      </c>
      <c r="B913">
        <f>+ROUND(Get_Data!B912,5)</f>
        <v>45.942050000000002</v>
      </c>
      <c r="C913">
        <f>+ROUND(Get_Data!C912,5)</f>
        <v>23.297540000000001</v>
      </c>
      <c r="D913" s="4">
        <f t="shared" si="15"/>
        <v>1.971970001983042</v>
      </c>
    </row>
    <row r="914" spans="1:4">
      <c r="A914" s="2">
        <f>+Get_Data!A913</f>
        <v>40766</v>
      </c>
      <c r="B914">
        <f>+ROUND(Get_Data!B913,5)</f>
        <v>47.884230000000002</v>
      </c>
      <c r="C914">
        <f>+ROUND(Get_Data!C913,5)</f>
        <v>24.21181</v>
      </c>
      <c r="D914" s="4">
        <f t="shared" si="15"/>
        <v>1.9777220290428514</v>
      </c>
    </row>
    <row r="915" spans="1:4">
      <c r="A915" s="2">
        <f>+Get_Data!A914</f>
        <v>40767</v>
      </c>
      <c r="B915">
        <f>+ROUND(Get_Data!B914,5)</f>
        <v>48.120339999999999</v>
      </c>
      <c r="C915">
        <f>+ROUND(Get_Data!C914,5)</f>
        <v>24.455860000000001</v>
      </c>
      <c r="D915" s="4">
        <f t="shared" si="15"/>
        <v>1.9676404755342889</v>
      </c>
    </row>
    <row r="916" spans="1:4">
      <c r="A916" s="2">
        <f>+Get_Data!A915</f>
        <v>40770</v>
      </c>
      <c r="B916">
        <f>+ROUND(Get_Data!B915,5)</f>
        <v>48.417389999999997</v>
      </c>
      <c r="C916">
        <f>+ROUND(Get_Data!C915,5)</f>
        <v>24.84196</v>
      </c>
      <c r="D916" s="4">
        <f t="shared" si="15"/>
        <v>1.9490165027236175</v>
      </c>
    </row>
    <row r="917" spans="1:4">
      <c r="A917" s="2">
        <f>+Get_Data!A916</f>
        <v>40771</v>
      </c>
      <c r="B917">
        <f>+ROUND(Get_Data!B916,5)</f>
        <v>48.562089999999998</v>
      </c>
      <c r="C917">
        <f>+ROUND(Get_Data!C916,5)</f>
        <v>24.831040000000002</v>
      </c>
      <c r="D917" s="4">
        <f t="shared" si="15"/>
        <v>1.9557010097039831</v>
      </c>
    </row>
    <row r="918" spans="1:4">
      <c r="A918" s="2">
        <f>+Get_Data!A917</f>
        <v>40772</v>
      </c>
      <c r="B918">
        <f>+ROUND(Get_Data!B917,5)</f>
        <v>49.217100000000002</v>
      </c>
      <c r="C918">
        <f>+ROUND(Get_Data!C917,5)</f>
        <v>25.23536</v>
      </c>
      <c r="D918" s="4">
        <f t="shared" si="15"/>
        <v>1.9503228802759303</v>
      </c>
    </row>
    <row r="919" spans="1:4">
      <c r="A919" s="2">
        <f>+Get_Data!A918</f>
        <v>40773</v>
      </c>
      <c r="B919">
        <f>+ROUND(Get_Data!B918,5)</f>
        <v>48.051789999999997</v>
      </c>
      <c r="C919">
        <f>+ROUND(Get_Data!C918,5)</f>
        <v>24.681699999999999</v>
      </c>
      <c r="D919" s="4">
        <f t="shared" si="15"/>
        <v>1.9468590089013318</v>
      </c>
    </row>
    <row r="920" spans="1:4">
      <c r="A920" s="2">
        <f>+Get_Data!A919</f>
        <v>40774</v>
      </c>
      <c r="B920">
        <f>+ROUND(Get_Data!B919,5)</f>
        <v>47.274920000000002</v>
      </c>
      <c r="C920">
        <f>+ROUND(Get_Data!C919,5)</f>
        <v>24.441289999999999</v>
      </c>
      <c r="D920" s="4">
        <f t="shared" si="15"/>
        <v>1.9342236027640114</v>
      </c>
    </row>
    <row r="921" spans="1:4">
      <c r="A921" s="2">
        <f>+Get_Data!A920</f>
        <v>40777</v>
      </c>
      <c r="B921">
        <f>+ROUND(Get_Data!B920,5)</f>
        <v>47.160670000000003</v>
      </c>
      <c r="C921">
        <f>+ROUND(Get_Data!C920,5)</f>
        <v>24.503209999999999</v>
      </c>
      <c r="D921" s="4">
        <f t="shared" si="15"/>
        <v>1.9246731346627648</v>
      </c>
    </row>
    <row r="922" spans="1:4">
      <c r="A922" s="2">
        <f>+Get_Data!A921</f>
        <v>40778</v>
      </c>
      <c r="B922">
        <f>+ROUND(Get_Data!B921,5)</f>
        <v>48.34883</v>
      </c>
      <c r="C922">
        <f>+ROUND(Get_Data!C921,5)</f>
        <v>25.15522</v>
      </c>
      <c r="D922" s="4">
        <f t="shared" si="15"/>
        <v>1.9220197636911942</v>
      </c>
    </row>
    <row r="923" spans="1:4">
      <c r="A923" s="2">
        <f>+Get_Data!A922</f>
        <v>40779</v>
      </c>
      <c r="B923">
        <f>+ROUND(Get_Data!B922,5)</f>
        <v>48.516390000000001</v>
      </c>
      <c r="C923">
        <f>+ROUND(Get_Data!C922,5)</f>
        <v>25.381060000000002</v>
      </c>
      <c r="D923" s="4">
        <f t="shared" si="15"/>
        <v>1.9115194558462096</v>
      </c>
    </row>
    <row r="924" spans="1:4">
      <c r="A924" s="2">
        <f>+Get_Data!A923</f>
        <v>40780</v>
      </c>
      <c r="B924">
        <f>+ROUND(Get_Data!B923,5)</f>
        <v>47.998469999999998</v>
      </c>
      <c r="C924">
        <f>+ROUND(Get_Data!C923,5)</f>
        <v>24.758189999999999</v>
      </c>
      <c r="D924" s="4">
        <f t="shared" si="15"/>
        <v>1.938690590871142</v>
      </c>
    </row>
    <row r="925" spans="1:4">
      <c r="A925" s="2">
        <f>+Get_Data!A924</f>
        <v>40781</v>
      </c>
      <c r="B925">
        <f>+ROUND(Get_Data!B924,5)</f>
        <v>48.105110000000003</v>
      </c>
      <c r="C925">
        <f>+ROUND(Get_Data!C924,5)</f>
        <v>24.951239999999999</v>
      </c>
      <c r="D925" s="4">
        <f t="shared" si="15"/>
        <v>1.9279647023554745</v>
      </c>
    </row>
    <row r="926" spans="1:4">
      <c r="A926" s="2">
        <f>+Get_Data!A925</f>
        <v>40784</v>
      </c>
      <c r="B926">
        <f>+ROUND(Get_Data!B925,5)</f>
        <v>48.866750000000003</v>
      </c>
      <c r="C926">
        <f>+ROUND(Get_Data!C925,5)</f>
        <v>25.399270000000001</v>
      </c>
      <c r="D926" s="4">
        <f t="shared" si="15"/>
        <v>1.9239430897029719</v>
      </c>
    </row>
    <row r="927" spans="1:4">
      <c r="A927" s="2">
        <f>+Get_Data!A926</f>
        <v>40785</v>
      </c>
      <c r="B927">
        <f>+ROUND(Get_Data!B926,5)</f>
        <v>49.140929999999997</v>
      </c>
      <c r="C927">
        <f>+ROUND(Get_Data!C926,5)</f>
        <v>25.446619999999999</v>
      </c>
      <c r="D927" s="4">
        <f t="shared" si="15"/>
        <v>1.9311378092650417</v>
      </c>
    </row>
    <row r="928" spans="1:4">
      <c r="A928" s="2">
        <f>+Get_Data!A927</f>
        <v>40786</v>
      </c>
      <c r="B928">
        <f>+ROUND(Get_Data!B927,5)</f>
        <v>49.467219999999998</v>
      </c>
      <c r="C928">
        <f>+ROUND(Get_Data!C927,5)</f>
        <v>25.661539999999999</v>
      </c>
      <c r="D928" s="4">
        <f t="shared" si="15"/>
        <v>1.9276793208825347</v>
      </c>
    </row>
    <row r="929" spans="1:4">
      <c r="A929" s="2">
        <f>+Get_Data!A928</f>
        <v>40787</v>
      </c>
      <c r="B929">
        <f>+ROUND(Get_Data!B928,5)</f>
        <v>49.25226</v>
      </c>
      <c r="C929">
        <f>+ROUND(Get_Data!C928,5)</f>
        <v>25.661539999999999</v>
      </c>
      <c r="D929" s="4">
        <f t="shared" si="15"/>
        <v>1.9193025827756247</v>
      </c>
    </row>
    <row r="930" spans="1:4">
      <c r="A930" s="2">
        <f>+Get_Data!A929</f>
        <v>40788</v>
      </c>
      <c r="B930">
        <f>+ROUND(Get_Data!B929,5)</f>
        <v>48.599649999999997</v>
      </c>
      <c r="C930">
        <f>+ROUND(Get_Data!C929,5)</f>
        <v>25.402920000000002</v>
      </c>
      <c r="D930" s="4">
        <f t="shared" si="15"/>
        <v>1.9131521100723852</v>
      </c>
    </row>
    <row r="931" spans="1:4">
      <c r="A931" s="2">
        <f>+Get_Data!A930</f>
        <v>40792</v>
      </c>
      <c r="B931">
        <f>+ROUND(Get_Data!B930,5)</f>
        <v>47.94706</v>
      </c>
      <c r="C931">
        <f>+ROUND(Get_Data!C930,5)</f>
        <v>25.29</v>
      </c>
      <c r="D931" s="4">
        <f t="shared" si="15"/>
        <v>1.8958900751285093</v>
      </c>
    </row>
    <row r="932" spans="1:4">
      <c r="A932" s="2">
        <f>+Get_Data!A931</f>
        <v>40793</v>
      </c>
      <c r="B932">
        <f>+ROUND(Get_Data!B931,5)</f>
        <v>47.309800000000003</v>
      </c>
      <c r="C932">
        <f>+ROUND(Get_Data!C931,5)</f>
        <v>25.78903</v>
      </c>
      <c r="D932" s="4">
        <f t="shared" si="15"/>
        <v>1.8344931934237154</v>
      </c>
    </row>
    <row r="933" spans="1:4">
      <c r="A933" s="2">
        <f>+Get_Data!A932</f>
        <v>40794</v>
      </c>
      <c r="B933">
        <f>+ROUND(Get_Data!B932,5)</f>
        <v>47.094839999999998</v>
      </c>
      <c r="C933">
        <f>+ROUND(Get_Data!C932,5)</f>
        <v>25.9238</v>
      </c>
      <c r="D933" s="4">
        <f t="shared" si="15"/>
        <v>1.816664223609193</v>
      </c>
    </row>
    <row r="934" spans="1:4">
      <c r="A934" s="2">
        <f>+Get_Data!A933</f>
        <v>40795</v>
      </c>
      <c r="B934">
        <f>+ROUND(Get_Data!B933,5)</f>
        <v>46.058349999999997</v>
      </c>
      <c r="C934">
        <f>+ROUND(Get_Data!C933,5)</f>
        <v>25.268139999999999</v>
      </c>
      <c r="D934" s="4">
        <f t="shared" si="15"/>
        <v>1.8227835527268725</v>
      </c>
    </row>
    <row r="935" spans="1:4">
      <c r="A935" s="2">
        <f>+Get_Data!A934</f>
        <v>40798</v>
      </c>
      <c r="B935">
        <f>+ROUND(Get_Data!B934,5)</f>
        <v>46.17351</v>
      </c>
      <c r="C935">
        <f>+ROUND(Get_Data!C934,5)</f>
        <v>25.27178</v>
      </c>
      <c r="D935" s="4">
        <f t="shared" si="15"/>
        <v>1.8270778710482602</v>
      </c>
    </row>
    <row r="936" spans="1:4">
      <c r="A936" s="2">
        <f>+Get_Data!A935</f>
        <v>40799</v>
      </c>
      <c r="B936">
        <f>+ROUND(Get_Data!B935,5)</f>
        <v>46.480620000000002</v>
      </c>
      <c r="C936">
        <f>+ROUND(Get_Data!C935,5)</f>
        <v>25.51549</v>
      </c>
      <c r="D936" s="4">
        <f t="shared" si="15"/>
        <v>1.8216628408860658</v>
      </c>
    </row>
    <row r="937" spans="1:4">
      <c r="A937" s="2">
        <f>+Get_Data!A936</f>
        <v>40800</v>
      </c>
      <c r="B937">
        <f>+ROUND(Get_Data!B936,5)</f>
        <v>47.279110000000003</v>
      </c>
      <c r="C937">
        <f>+ROUND(Get_Data!C936,5)</f>
        <v>25.762889999999999</v>
      </c>
      <c r="D937" s="4">
        <f t="shared" si="15"/>
        <v>1.8351632910748756</v>
      </c>
    </row>
    <row r="938" spans="1:4">
      <c r="A938" s="2">
        <f>+Get_Data!A937</f>
        <v>40801</v>
      </c>
      <c r="B938">
        <f>+ROUND(Get_Data!B937,5)</f>
        <v>48.538240000000002</v>
      </c>
      <c r="C938">
        <f>+ROUND(Get_Data!C937,5)</f>
        <v>26.224450000000001</v>
      </c>
      <c r="D938" s="4">
        <f t="shared" si="15"/>
        <v>1.8508773301251313</v>
      </c>
    </row>
    <row r="939" spans="1:4">
      <c r="A939" s="2">
        <f>+Get_Data!A938</f>
        <v>40802</v>
      </c>
      <c r="B939">
        <f>+ROUND(Get_Data!B938,5)</f>
        <v>47.639949999999999</v>
      </c>
      <c r="C939">
        <f>+ROUND(Get_Data!C938,5)</f>
        <v>26.302009999999999</v>
      </c>
      <c r="D939" s="4">
        <f t="shared" si="15"/>
        <v>1.8112665153727796</v>
      </c>
    </row>
    <row r="940" spans="1:4">
      <c r="A940" s="2">
        <f>+Get_Data!A939</f>
        <v>40805</v>
      </c>
      <c r="B940">
        <f>+ROUND(Get_Data!B939,5)</f>
        <v>46.49597</v>
      </c>
      <c r="C940">
        <f>+ROUND(Get_Data!C939,5)</f>
        <v>26.028749999999999</v>
      </c>
      <c r="D940" s="4">
        <f t="shared" si="15"/>
        <v>1.7863312683090813</v>
      </c>
    </row>
    <row r="941" spans="1:4">
      <c r="A941" s="2">
        <f>+Get_Data!A940</f>
        <v>40806</v>
      </c>
      <c r="B941">
        <f>+ROUND(Get_Data!B940,5)</f>
        <v>46.365459999999999</v>
      </c>
      <c r="C941">
        <f>+ROUND(Get_Data!C940,5)</f>
        <v>26.08784</v>
      </c>
      <c r="D941" s="4">
        <f t="shared" si="15"/>
        <v>1.7772824427012739</v>
      </c>
    </row>
    <row r="942" spans="1:4">
      <c r="A942" s="2">
        <f>+Get_Data!A941</f>
        <v>40807</v>
      </c>
      <c r="B942">
        <f>+ROUND(Get_Data!B941,5)</f>
        <v>46.672550000000001</v>
      </c>
      <c r="C942">
        <f>+ROUND(Get_Data!C941,5)</f>
        <v>25.581959999999999</v>
      </c>
      <c r="D942" s="4">
        <f t="shared" si="15"/>
        <v>1.8244321388978797</v>
      </c>
    </row>
    <row r="943" spans="1:4">
      <c r="A943" s="2">
        <f>+Get_Data!A942</f>
        <v>40808</v>
      </c>
      <c r="B943">
        <f>+ROUND(Get_Data!B942,5)</f>
        <v>46.772370000000002</v>
      </c>
      <c r="C943">
        <f>+ROUND(Get_Data!C942,5)</f>
        <v>25.042840000000002</v>
      </c>
      <c r="D943" s="4">
        <f t="shared" si="15"/>
        <v>1.867694319014936</v>
      </c>
    </row>
    <row r="944" spans="1:4">
      <c r="A944" s="2">
        <f>+Get_Data!A943</f>
        <v>40809</v>
      </c>
      <c r="B944">
        <f>+ROUND(Get_Data!B943,5)</f>
        <v>46.327069999999999</v>
      </c>
      <c r="C944">
        <f>+ROUND(Get_Data!C943,5)</f>
        <v>24.895140000000001</v>
      </c>
      <c r="D944" s="4">
        <f t="shared" si="15"/>
        <v>1.8608881090847449</v>
      </c>
    </row>
    <row r="945" spans="1:4">
      <c r="A945" s="2">
        <f>+Get_Data!A944</f>
        <v>40812</v>
      </c>
      <c r="B945">
        <f>+ROUND(Get_Data!B944,5)</f>
        <v>47.517110000000002</v>
      </c>
      <c r="C945">
        <f>+ROUND(Get_Data!C944,5)</f>
        <v>25.389949999999999</v>
      </c>
      <c r="D945" s="4">
        <f t="shared" si="15"/>
        <v>1.8714928544561924</v>
      </c>
    </row>
    <row r="946" spans="1:4">
      <c r="A946" s="2">
        <f>+Get_Data!A945</f>
        <v>40813</v>
      </c>
      <c r="B946">
        <f>+ROUND(Get_Data!B945,5)</f>
        <v>47.931690000000003</v>
      </c>
      <c r="C946">
        <f>+ROUND(Get_Data!C945,5)</f>
        <v>25.689039999999999</v>
      </c>
      <c r="D946" s="4">
        <f t="shared" si="15"/>
        <v>1.8658420088878371</v>
      </c>
    </row>
    <row r="947" spans="1:4">
      <c r="A947" s="2">
        <f>+Get_Data!A946</f>
        <v>40814</v>
      </c>
      <c r="B947">
        <f>+ROUND(Get_Data!B946,5)</f>
        <v>47.578530000000001</v>
      </c>
      <c r="C947">
        <f>+ROUND(Get_Data!C946,5)</f>
        <v>25.131460000000001</v>
      </c>
      <c r="D947" s="4">
        <f t="shared" si="15"/>
        <v>1.8931860703675791</v>
      </c>
    </row>
    <row r="948" spans="1:4">
      <c r="A948" s="2">
        <f>+Get_Data!A947</f>
        <v>40815</v>
      </c>
      <c r="B948">
        <f>+ROUND(Get_Data!B947,5)</f>
        <v>48.046860000000002</v>
      </c>
      <c r="C948">
        <f>+ROUND(Get_Data!C947,5)</f>
        <v>25.497029999999999</v>
      </c>
      <c r="D948" s="4">
        <f t="shared" si="15"/>
        <v>1.8844100665842258</v>
      </c>
    </row>
    <row r="949" spans="1:4">
      <c r="A949" s="2">
        <f>+Get_Data!A948</f>
        <v>40816</v>
      </c>
      <c r="B949">
        <f>+ROUND(Get_Data!B948,5)</f>
        <v>47.52478</v>
      </c>
      <c r="C949">
        <f>+ROUND(Get_Data!C948,5)</f>
        <v>24.946840000000002</v>
      </c>
      <c r="D949" s="4">
        <f t="shared" si="15"/>
        <v>1.9050420814820632</v>
      </c>
    </row>
    <row r="950" spans="1:4">
      <c r="A950" s="2">
        <f>+Get_Data!A949</f>
        <v>40819</v>
      </c>
      <c r="B950">
        <f>+ROUND(Get_Data!B949,5)</f>
        <v>46.288679999999999</v>
      </c>
      <c r="C950">
        <f>+ROUND(Get_Data!C949,5)</f>
        <v>24.156639999999999</v>
      </c>
      <c r="D950" s="4">
        <f t="shared" si="15"/>
        <v>1.9161886752462263</v>
      </c>
    </row>
    <row r="951" spans="1:4">
      <c r="A951" s="2">
        <f>+Get_Data!A950</f>
        <v>40820</v>
      </c>
      <c r="B951">
        <f>+ROUND(Get_Data!B950,5)</f>
        <v>46.411520000000003</v>
      </c>
      <c r="C951">
        <f>+ROUND(Get_Data!C950,5)</f>
        <v>24.086480000000002</v>
      </c>
      <c r="D951" s="4">
        <f t="shared" si="15"/>
        <v>1.9268701777926871</v>
      </c>
    </row>
    <row r="952" spans="1:4">
      <c r="A952" s="2">
        <f>+Get_Data!A951</f>
        <v>40821</v>
      </c>
      <c r="B952">
        <f>+ROUND(Get_Data!B951,5)</f>
        <v>46.288679999999999</v>
      </c>
      <c r="C952">
        <f>+ROUND(Get_Data!C951,5)</f>
        <v>24.19725</v>
      </c>
      <c r="D952" s="4">
        <f t="shared" si="15"/>
        <v>1.9129727551684592</v>
      </c>
    </row>
    <row r="953" spans="1:4">
      <c r="A953" s="2">
        <f>+Get_Data!A952</f>
        <v>40822</v>
      </c>
      <c r="B953">
        <f>+ROUND(Get_Data!B952,5)</f>
        <v>46.50365</v>
      </c>
      <c r="C953">
        <f>+ROUND(Get_Data!C952,5)</f>
        <v>24.14555</v>
      </c>
      <c r="D953" s="4">
        <f t="shared" si="15"/>
        <v>1.9259718664515821</v>
      </c>
    </row>
    <row r="954" spans="1:4">
      <c r="A954" s="2">
        <f>+Get_Data!A953</f>
        <v>40823</v>
      </c>
      <c r="B954">
        <f>+ROUND(Get_Data!B953,5)</f>
        <v>46.849150000000002</v>
      </c>
      <c r="C954">
        <f>+ROUND(Get_Data!C953,5)</f>
        <v>24.333880000000001</v>
      </c>
      <c r="D954" s="4">
        <f t="shared" si="15"/>
        <v>1.9252642817339447</v>
      </c>
    </row>
    <row r="955" spans="1:4">
      <c r="A955" s="2">
        <f>+Get_Data!A954</f>
        <v>40826</v>
      </c>
      <c r="B955">
        <f>+ROUND(Get_Data!B954,5)</f>
        <v>47.501739999999998</v>
      </c>
      <c r="C955">
        <f>+ROUND(Get_Data!C954,5)</f>
        <v>24.703130000000002</v>
      </c>
      <c r="D955" s="4">
        <f t="shared" si="15"/>
        <v>1.9229036968189859</v>
      </c>
    </row>
    <row r="956" spans="1:4">
      <c r="A956" s="2">
        <f>+Get_Data!A955</f>
        <v>40827</v>
      </c>
      <c r="B956">
        <f>+ROUND(Get_Data!B955,5)</f>
        <v>46.795409999999997</v>
      </c>
      <c r="C956">
        <f>+ROUND(Get_Data!C955,5)</f>
        <v>24.66621</v>
      </c>
      <c r="D956" s="4">
        <f t="shared" si="15"/>
        <v>1.8971463390606014</v>
      </c>
    </row>
    <row r="957" spans="1:4">
      <c r="A957" s="2">
        <f>+Get_Data!A956</f>
        <v>40828</v>
      </c>
      <c r="B957">
        <f>+ROUND(Get_Data!B956,5)</f>
        <v>48.13899</v>
      </c>
      <c r="C957">
        <f>+ROUND(Get_Data!C956,5)</f>
        <v>24.917300000000001</v>
      </c>
      <c r="D957" s="4">
        <f t="shared" si="15"/>
        <v>1.9319504922282911</v>
      </c>
    </row>
    <row r="958" spans="1:4">
      <c r="A958" s="2">
        <f>+Get_Data!A957</f>
        <v>40829</v>
      </c>
      <c r="B958">
        <f>+ROUND(Get_Data!B957,5)</f>
        <v>47.877960000000002</v>
      </c>
      <c r="C958">
        <f>+ROUND(Get_Data!C957,5)</f>
        <v>24.88776</v>
      </c>
      <c r="D958" s="4">
        <f t="shared" si="15"/>
        <v>1.9237552917578762</v>
      </c>
    </row>
    <row r="959" spans="1:4">
      <c r="A959" s="2">
        <f>+Get_Data!A958</f>
        <v>40830</v>
      </c>
      <c r="B959">
        <f>+ROUND(Get_Data!B958,5)</f>
        <v>47.785829999999997</v>
      </c>
      <c r="C959">
        <f>+ROUND(Get_Data!C958,5)</f>
        <v>25.053930000000001</v>
      </c>
      <c r="D959" s="4">
        <f t="shared" si="15"/>
        <v>1.9073187320312619</v>
      </c>
    </row>
    <row r="960" spans="1:4">
      <c r="A960" s="2">
        <f>+Get_Data!A959</f>
        <v>40833</v>
      </c>
      <c r="B960">
        <f>+ROUND(Get_Data!B959,5)</f>
        <v>47.517110000000002</v>
      </c>
      <c r="C960">
        <f>+ROUND(Get_Data!C959,5)</f>
        <v>24.74006</v>
      </c>
      <c r="D960" s="4">
        <f t="shared" si="15"/>
        <v>1.9206545982507723</v>
      </c>
    </row>
    <row r="961" spans="1:4">
      <c r="A961" s="2">
        <f>+Get_Data!A960</f>
        <v>40834</v>
      </c>
      <c r="B961">
        <f>+ROUND(Get_Data!B960,5)</f>
        <v>47.916350000000001</v>
      </c>
      <c r="C961">
        <f>+ROUND(Get_Data!C960,5)</f>
        <v>24.64405</v>
      </c>
      <c r="D961" s="4">
        <f t="shared" si="15"/>
        <v>1.9443374769974904</v>
      </c>
    </row>
    <row r="962" spans="1:4">
      <c r="A962" s="2">
        <f>+Get_Data!A961</f>
        <v>40835</v>
      </c>
      <c r="B962">
        <f>+ROUND(Get_Data!B961,5)</f>
        <v>47.686010000000003</v>
      </c>
      <c r="C962">
        <f>+ROUND(Get_Data!C961,5)</f>
        <v>24.75113</v>
      </c>
      <c r="D962" s="4">
        <f t="shared" si="15"/>
        <v>1.9266195119172338</v>
      </c>
    </row>
    <row r="963" spans="1:4">
      <c r="A963" s="2">
        <f>+Get_Data!A962</f>
        <v>40836</v>
      </c>
      <c r="B963">
        <f>+ROUND(Get_Data!B962,5)</f>
        <v>47.6937</v>
      </c>
      <c r="C963">
        <f>+ROUND(Get_Data!C962,5)</f>
        <v>24.784369999999999</v>
      </c>
      <c r="D963" s="4">
        <f t="shared" si="15"/>
        <v>1.9243458679805054</v>
      </c>
    </row>
    <row r="964" spans="1:4">
      <c r="A964" s="2">
        <f>+Get_Data!A963</f>
        <v>40837</v>
      </c>
      <c r="B964">
        <f>+ROUND(Get_Data!B963,5)</f>
        <v>47.816540000000003</v>
      </c>
      <c r="C964">
        <f>+ROUND(Get_Data!C963,5)</f>
        <v>25.179469999999998</v>
      </c>
      <c r="D964" s="4">
        <f t="shared" ref="D964:D1027" si="16">IFERROR(B964/C964,"")</f>
        <v>1.899028851679563</v>
      </c>
    </row>
    <row r="965" spans="1:4">
      <c r="A965" s="2">
        <f>+Get_Data!A964</f>
        <v>40840</v>
      </c>
      <c r="B965">
        <f>+ROUND(Get_Data!B964,5)</f>
        <v>47.678330000000003</v>
      </c>
      <c r="C965">
        <f>+ROUND(Get_Data!C964,5)</f>
        <v>25.061309999999999</v>
      </c>
      <c r="D965" s="4">
        <f t="shared" si="16"/>
        <v>1.9024675884859972</v>
      </c>
    </row>
    <row r="966" spans="1:4">
      <c r="A966" s="2">
        <f>+Get_Data!A965</f>
        <v>40841</v>
      </c>
      <c r="B966">
        <f>+ROUND(Get_Data!B965,5)</f>
        <v>47.463369999999998</v>
      </c>
      <c r="C966">
        <f>+ROUND(Get_Data!C965,5)</f>
        <v>24.721589999999999</v>
      </c>
      <c r="D966" s="4">
        <f t="shared" si="16"/>
        <v>1.9199157497555781</v>
      </c>
    </row>
    <row r="967" spans="1:4">
      <c r="A967" s="2">
        <f>+Get_Data!A966</f>
        <v>40842</v>
      </c>
      <c r="B967">
        <f>+ROUND(Get_Data!B966,5)</f>
        <v>47.60924</v>
      </c>
      <c r="C967">
        <f>+ROUND(Get_Data!C966,5)</f>
        <v>24.913609999999998</v>
      </c>
      <c r="D967" s="4">
        <f t="shared" si="16"/>
        <v>1.9109731588477143</v>
      </c>
    </row>
    <row r="968" spans="1:4">
      <c r="A968" s="2">
        <f>+Get_Data!A967</f>
        <v>40843</v>
      </c>
      <c r="B968">
        <f>+ROUND(Get_Data!B967,5)</f>
        <v>48.277189999999997</v>
      </c>
      <c r="C968">
        <f>+ROUND(Get_Data!C967,5)</f>
        <v>25.319780000000002</v>
      </c>
      <c r="D968" s="4">
        <f t="shared" si="16"/>
        <v>1.9066986364020537</v>
      </c>
    </row>
    <row r="969" spans="1:4">
      <c r="A969" s="2">
        <f>+Get_Data!A968</f>
        <v>40844</v>
      </c>
      <c r="B969">
        <f>+ROUND(Get_Data!B968,5)</f>
        <v>48.522880000000001</v>
      </c>
      <c r="C969">
        <f>+ROUND(Get_Data!C968,5)</f>
        <v>25.45271</v>
      </c>
      <c r="D969" s="4">
        <f t="shared" si="16"/>
        <v>1.9063934645858929</v>
      </c>
    </row>
    <row r="970" spans="1:4">
      <c r="A970" s="2">
        <f>+Get_Data!A969</f>
        <v>40847</v>
      </c>
      <c r="B970">
        <f>+ROUND(Get_Data!B969,5)</f>
        <v>48.330939999999998</v>
      </c>
      <c r="C970">
        <f>+ROUND(Get_Data!C969,5)</f>
        <v>25.22747</v>
      </c>
      <c r="D970" s="4">
        <f t="shared" si="16"/>
        <v>1.9158060637868164</v>
      </c>
    </row>
    <row r="971" spans="1:4">
      <c r="A971" s="2">
        <f>+Get_Data!A970</f>
        <v>40848</v>
      </c>
      <c r="B971">
        <f>+ROUND(Get_Data!B970,5)</f>
        <v>47.77814</v>
      </c>
      <c r="C971">
        <f>+ROUND(Get_Data!C970,5)</f>
        <v>24.754819999999999</v>
      </c>
      <c r="D971" s="4">
        <f t="shared" si="16"/>
        <v>1.9300540258422401</v>
      </c>
    </row>
    <row r="972" spans="1:4">
      <c r="A972" s="2">
        <f>+Get_Data!A971</f>
        <v>40849</v>
      </c>
      <c r="B972">
        <f>+ROUND(Get_Data!B971,5)</f>
        <v>47.916350000000001</v>
      </c>
      <c r="C972">
        <f>+ROUND(Get_Data!C971,5)</f>
        <v>25.02439</v>
      </c>
      <c r="D972" s="4">
        <f t="shared" si="16"/>
        <v>1.9147859348419682</v>
      </c>
    </row>
    <row r="973" spans="1:4">
      <c r="A973" s="2">
        <f>+Get_Data!A972</f>
        <v>40850</v>
      </c>
      <c r="B973">
        <f>+ROUND(Get_Data!B972,5)</f>
        <v>48.215769999999999</v>
      </c>
      <c r="C973">
        <f>+ROUND(Get_Data!C972,5)</f>
        <v>25.349329999999998</v>
      </c>
      <c r="D973" s="4">
        <f t="shared" si="16"/>
        <v>1.9020530325653577</v>
      </c>
    </row>
    <row r="974" spans="1:4">
      <c r="A974" s="2">
        <f>+Get_Data!A973</f>
        <v>40851</v>
      </c>
      <c r="B974">
        <f>+ROUND(Get_Data!B973,5)</f>
        <v>47.593890000000002</v>
      </c>
      <c r="C974">
        <f>+ROUND(Get_Data!C973,5)</f>
        <v>25.028079999999999</v>
      </c>
      <c r="D974" s="4">
        <f t="shared" si="16"/>
        <v>1.9016197007521154</v>
      </c>
    </row>
    <row r="975" spans="1:4">
      <c r="A975" s="2">
        <f>+Get_Data!A974</f>
        <v>40854</v>
      </c>
      <c r="B975">
        <f>+ROUND(Get_Data!B974,5)</f>
        <v>47.98545</v>
      </c>
      <c r="C975">
        <f>+ROUND(Get_Data!C974,5)</f>
        <v>25.18685</v>
      </c>
      <c r="D975" s="4">
        <f t="shared" si="16"/>
        <v>1.9051786944377722</v>
      </c>
    </row>
    <row r="976" spans="1:4">
      <c r="A976" s="2">
        <f>+Get_Data!A975</f>
        <v>40855</v>
      </c>
      <c r="B976">
        <f>+ROUND(Get_Data!B975,5)</f>
        <v>48.876049999999999</v>
      </c>
      <c r="C976">
        <f>+ROUND(Get_Data!C975,5)</f>
        <v>25.349329999999998</v>
      </c>
      <c r="D976" s="4">
        <f t="shared" si="16"/>
        <v>1.9281002693167828</v>
      </c>
    </row>
    <row r="977" spans="1:4">
      <c r="A977" s="2">
        <f>+Get_Data!A976</f>
        <v>40856</v>
      </c>
      <c r="B977">
        <f>+ROUND(Get_Data!B976,5)</f>
        <v>47.816540000000003</v>
      </c>
      <c r="C977">
        <f>+ROUND(Get_Data!C976,5)</f>
        <v>24.75113</v>
      </c>
      <c r="D977" s="4">
        <f t="shared" si="16"/>
        <v>1.9318932105322062</v>
      </c>
    </row>
    <row r="978" spans="1:4">
      <c r="A978" s="2">
        <f>+Get_Data!A977</f>
        <v>40857</v>
      </c>
      <c r="B978">
        <f>+ROUND(Get_Data!B977,5)</f>
        <v>48.338610000000003</v>
      </c>
      <c r="C978">
        <f>+ROUND(Get_Data!C977,5)</f>
        <v>24.884060000000002</v>
      </c>
      <c r="D978" s="4">
        <f t="shared" si="16"/>
        <v>1.9425531846491289</v>
      </c>
    </row>
    <row r="979" spans="1:4">
      <c r="A979" s="2">
        <f>+Get_Data!A978</f>
        <v>40858</v>
      </c>
      <c r="B979">
        <f>+ROUND(Get_Data!B978,5)</f>
        <v>48.584310000000002</v>
      </c>
      <c r="C979">
        <f>+ROUND(Get_Data!C978,5)</f>
        <v>25.15362</v>
      </c>
      <c r="D979" s="4">
        <f t="shared" si="16"/>
        <v>1.9315036960882768</v>
      </c>
    </row>
    <row r="980" spans="1:4">
      <c r="A980" s="2">
        <f>+Get_Data!A979</f>
        <v>40861</v>
      </c>
      <c r="B980">
        <f>+ROUND(Get_Data!B979,5)</f>
        <v>48.215769999999999</v>
      </c>
      <c r="C980">
        <f>+ROUND(Get_Data!C979,5)</f>
        <v>25.031770000000002</v>
      </c>
      <c r="D980" s="4">
        <f t="shared" si="16"/>
        <v>1.9261830066351679</v>
      </c>
    </row>
    <row r="981" spans="1:4">
      <c r="A981" s="2">
        <f>+Get_Data!A980</f>
        <v>40862</v>
      </c>
      <c r="B981">
        <f>+ROUND(Get_Data!B980,5)</f>
        <v>49.520980000000002</v>
      </c>
      <c r="C981">
        <f>+ROUND(Get_Data!C980,5)</f>
        <v>25.109310000000001</v>
      </c>
      <c r="D981" s="4">
        <f t="shared" si="16"/>
        <v>1.9722158832719816</v>
      </c>
    </row>
    <row r="982" spans="1:4">
      <c r="A982" s="2">
        <f>+Get_Data!A981</f>
        <v>40863</v>
      </c>
      <c r="B982">
        <f>+ROUND(Get_Data!B981,5)</f>
        <v>49.973970000000001</v>
      </c>
      <c r="C982">
        <f>+ROUND(Get_Data!C981,5)</f>
        <v>24.743749999999999</v>
      </c>
      <c r="D982" s="4">
        <f t="shared" si="16"/>
        <v>2.0196603182621877</v>
      </c>
    </row>
    <row r="983" spans="1:4">
      <c r="A983" s="2">
        <f>+Get_Data!A982</f>
        <v>40864</v>
      </c>
      <c r="B983">
        <f>+ROUND(Get_Data!B982,5)</f>
        <v>49.206200000000003</v>
      </c>
      <c r="C983">
        <f>+ROUND(Get_Data!C982,5)</f>
        <v>24.599740000000001</v>
      </c>
      <c r="D983" s="4">
        <f t="shared" si="16"/>
        <v>2.0002731736189081</v>
      </c>
    </row>
    <row r="984" spans="1:4">
      <c r="A984" s="2">
        <f>+Get_Data!A983</f>
        <v>40865</v>
      </c>
      <c r="B984">
        <f>+ROUND(Get_Data!B983,5)</f>
        <v>49.05265</v>
      </c>
      <c r="C984">
        <f>+ROUND(Get_Data!C983,5)</f>
        <v>24.884060000000002</v>
      </c>
      <c r="D984" s="4">
        <f t="shared" si="16"/>
        <v>1.9712478590712286</v>
      </c>
    </row>
    <row r="985" spans="1:4">
      <c r="A985" s="2">
        <f>+Get_Data!A984</f>
        <v>40868</v>
      </c>
      <c r="B985">
        <f>+ROUND(Get_Data!B984,5)</f>
        <v>48.484490000000001</v>
      </c>
      <c r="C985">
        <f>+ROUND(Get_Data!C984,5)</f>
        <v>24.352329999999998</v>
      </c>
      <c r="D985" s="4">
        <f t="shared" si="16"/>
        <v>1.990958975999422</v>
      </c>
    </row>
    <row r="986" spans="1:4">
      <c r="A986" s="2">
        <f>+Get_Data!A985</f>
        <v>40869</v>
      </c>
      <c r="B986">
        <f>+ROUND(Get_Data!B985,5)</f>
        <v>48.50752</v>
      </c>
      <c r="C986">
        <f>+ROUND(Get_Data!C985,5)</f>
        <v>24.359729999999999</v>
      </c>
      <c r="D986" s="4">
        <f t="shared" si="16"/>
        <v>1.9912995751594949</v>
      </c>
    </row>
    <row r="987" spans="1:4">
      <c r="A987" s="2">
        <f>+Get_Data!A986</f>
        <v>40870</v>
      </c>
      <c r="B987">
        <f>+ROUND(Get_Data!B986,5)</f>
        <v>47.908670000000001</v>
      </c>
      <c r="C987">
        <f>+ROUND(Get_Data!C986,5)</f>
        <v>23.95355</v>
      </c>
      <c r="D987" s="4">
        <f t="shared" si="16"/>
        <v>2.0000655435206891</v>
      </c>
    </row>
    <row r="988" spans="1:4">
      <c r="A988" s="2">
        <f>+Get_Data!A987</f>
        <v>40872</v>
      </c>
      <c r="B988">
        <f>+ROUND(Get_Data!B987,5)</f>
        <v>47.97777</v>
      </c>
      <c r="C988">
        <f>+ROUND(Get_Data!C987,5)</f>
        <v>23.905539999999998</v>
      </c>
      <c r="D988" s="4">
        <f t="shared" si="16"/>
        <v>2.0069728606841761</v>
      </c>
    </row>
    <row r="989" spans="1:4">
      <c r="A989" s="2">
        <f>+Get_Data!A988</f>
        <v>40875</v>
      </c>
      <c r="B989">
        <f>+ROUND(Get_Data!B988,5)</f>
        <v>48.361649999999997</v>
      </c>
      <c r="C989">
        <f>+ROUND(Get_Data!C988,5)</f>
        <v>24.064319999999999</v>
      </c>
      <c r="D989" s="4">
        <f t="shared" si="16"/>
        <v>2.0096828000957436</v>
      </c>
    </row>
    <row r="990" spans="1:4">
      <c r="A990" s="2">
        <f>+Get_Data!A989</f>
        <v>40876</v>
      </c>
      <c r="B990">
        <f>+ROUND(Get_Data!B989,5)</f>
        <v>48.876049999999999</v>
      </c>
      <c r="C990">
        <f>+ROUND(Get_Data!C989,5)</f>
        <v>24.798649999999999</v>
      </c>
      <c r="D990" s="4">
        <f t="shared" si="16"/>
        <v>1.970915755494755</v>
      </c>
    </row>
    <row r="991" spans="1:4">
      <c r="A991" s="2">
        <f>+Get_Data!A990</f>
        <v>40877</v>
      </c>
      <c r="B991">
        <f>+ROUND(Get_Data!B990,5)</f>
        <v>49.537849999999999</v>
      </c>
      <c r="C991">
        <f>+ROUND(Get_Data!C990,5)</f>
        <v>25.188300000000002</v>
      </c>
      <c r="D991" s="4">
        <f t="shared" si="16"/>
        <v>1.9667008095028244</v>
      </c>
    </row>
    <row r="992" spans="1:4">
      <c r="A992" s="2">
        <f>+Get_Data!A991</f>
        <v>40878</v>
      </c>
      <c r="B992">
        <f>+ROUND(Get_Data!B991,5)</f>
        <v>49.607509999999998</v>
      </c>
      <c r="C992">
        <f>+ROUND(Get_Data!C991,5)</f>
        <v>25.038430000000002</v>
      </c>
      <c r="D992" s="4">
        <f t="shared" si="16"/>
        <v>1.9812548150982308</v>
      </c>
    </row>
    <row r="993" spans="1:4">
      <c r="A993" s="2">
        <f>+Get_Data!A992</f>
        <v>40879</v>
      </c>
      <c r="B993">
        <f>+ROUND(Get_Data!B992,5)</f>
        <v>49.754579999999997</v>
      </c>
      <c r="C993">
        <f>+ROUND(Get_Data!C992,5)</f>
        <v>24.86984</v>
      </c>
      <c r="D993" s="4">
        <f t="shared" si="16"/>
        <v>2.0005991192544865</v>
      </c>
    </row>
    <row r="994" spans="1:4">
      <c r="A994" s="2">
        <f>+Get_Data!A993</f>
        <v>40882</v>
      </c>
      <c r="B994">
        <f>+ROUND(Get_Data!B993,5)</f>
        <v>49.847459999999998</v>
      </c>
      <c r="C994">
        <f>+ROUND(Get_Data!C993,5)</f>
        <v>24.843610000000002</v>
      </c>
      <c r="D994" s="4">
        <f t="shared" si="16"/>
        <v>2.0064499482965639</v>
      </c>
    </row>
    <row r="995" spans="1:4">
      <c r="A995" s="2">
        <f>+Get_Data!A994</f>
        <v>40883</v>
      </c>
      <c r="B995">
        <f>+ROUND(Get_Data!B994,5)</f>
        <v>50.040970000000002</v>
      </c>
      <c r="C995">
        <f>+ROUND(Get_Data!C994,5)</f>
        <v>24.982230000000001</v>
      </c>
      <c r="D995" s="4">
        <f t="shared" si="16"/>
        <v>2.0030625768796462</v>
      </c>
    </row>
    <row r="996" spans="1:4">
      <c r="A996" s="2">
        <f>+Get_Data!A995</f>
        <v>40884</v>
      </c>
      <c r="B996">
        <f>+ROUND(Get_Data!B995,5)</f>
        <v>50.242220000000003</v>
      </c>
      <c r="C996">
        <f>+ROUND(Get_Data!C995,5)</f>
        <v>25.0197</v>
      </c>
      <c r="D996" s="4">
        <f t="shared" si="16"/>
        <v>2.0081064121472281</v>
      </c>
    </row>
    <row r="997" spans="1:4">
      <c r="A997" s="2">
        <f>+Get_Data!A996</f>
        <v>40885</v>
      </c>
      <c r="B997">
        <f>+ROUND(Get_Data!B996,5)</f>
        <v>49.793289999999999</v>
      </c>
      <c r="C997">
        <f>+ROUND(Get_Data!C996,5)</f>
        <v>25.000969999999999</v>
      </c>
      <c r="D997" s="4">
        <f t="shared" si="16"/>
        <v>1.9916543238122362</v>
      </c>
    </row>
    <row r="998" spans="1:4">
      <c r="A998" s="2">
        <f>+Get_Data!A997</f>
        <v>40886</v>
      </c>
      <c r="B998">
        <f>+ROUND(Get_Data!B997,5)</f>
        <v>50.458939999999998</v>
      </c>
      <c r="C998">
        <f>+ROUND(Get_Data!C997,5)</f>
        <v>25.31568</v>
      </c>
      <c r="D998" s="4">
        <f t="shared" si="16"/>
        <v>1.9931892013171282</v>
      </c>
    </row>
    <row r="999" spans="1:4">
      <c r="A999" s="2">
        <f>+Get_Data!A998</f>
        <v>40889</v>
      </c>
      <c r="B999">
        <f>+ROUND(Get_Data!B998,5)</f>
        <v>50.04871</v>
      </c>
      <c r="C999">
        <f>+ROUND(Get_Data!C998,5)</f>
        <v>25.06091</v>
      </c>
      <c r="D999" s="4">
        <f t="shared" si="16"/>
        <v>1.9970827076909816</v>
      </c>
    </row>
    <row r="1000" spans="1:4">
      <c r="A1000" s="2">
        <f>+Get_Data!A999</f>
        <v>40890</v>
      </c>
      <c r="B1000">
        <f>+ROUND(Get_Data!B999,5)</f>
        <v>49.754579999999997</v>
      </c>
      <c r="C1000">
        <f>+ROUND(Get_Data!C999,5)</f>
        <v>24.907299999999999</v>
      </c>
      <c r="D1000" s="4">
        <f t="shared" si="16"/>
        <v>1.9975902647015131</v>
      </c>
    </row>
    <row r="1001" spans="1:4">
      <c r="A1001" s="2">
        <f>+Get_Data!A1000</f>
        <v>40891</v>
      </c>
      <c r="B1001">
        <f>+ROUND(Get_Data!B1000,5)</f>
        <v>49.522379999999998</v>
      </c>
      <c r="C1001">
        <f>+ROUND(Get_Data!C1000,5)</f>
        <v>24.82488</v>
      </c>
      <c r="D1001" s="4">
        <f t="shared" si="16"/>
        <v>1.9948688573721201</v>
      </c>
    </row>
    <row r="1002" spans="1:4">
      <c r="A1002" s="2">
        <f>+Get_Data!A1001</f>
        <v>40892</v>
      </c>
      <c r="B1002">
        <f>+ROUND(Get_Data!B1001,5)</f>
        <v>50.195770000000003</v>
      </c>
      <c r="C1002">
        <f>+ROUND(Get_Data!C1001,5)</f>
        <v>25.06091</v>
      </c>
      <c r="D1002" s="4">
        <f t="shared" si="16"/>
        <v>2.0029508106449447</v>
      </c>
    </row>
    <row r="1003" spans="1:4">
      <c r="A1003" s="2">
        <f>+Get_Data!A1002</f>
        <v>40893</v>
      </c>
      <c r="B1003">
        <f>+ROUND(Get_Data!B1002,5)</f>
        <v>50.087409999999998</v>
      </c>
      <c r="C1003">
        <f>+ROUND(Get_Data!C1002,5)</f>
        <v>25.266970000000001</v>
      </c>
      <c r="D1003" s="4">
        <f t="shared" si="16"/>
        <v>1.9823275208701319</v>
      </c>
    </row>
    <row r="1004" spans="1:4">
      <c r="A1004" s="2">
        <f>+Get_Data!A1003</f>
        <v>40896</v>
      </c>
      <c r="B1004">
        <f>+ROUND(Get_Data!B1003,5)</f>
        <v>49.824240000000003</v>
      </c>
      <c r="C1004">
        <f>+ROUND(Get_Data!C1003,5)</f>
        <v>25.240739999999999</v>
      </c>
      <c r="D1004" s="4">
        <f t="shared" si="16"/>
        <v>1.9739611437699531</v>
      </c>
    </row>
    <row r="1005" spans="1:4">
      <c r="A1005" s="2">
        <f>+Get_Data!A1004</f>
        <v>40897</v>
      </c>
      <c r="B1005">
        <f>+ROUND(Get_Data!B1004,5)</f>
        <v>50.722110000000001</v>
      </c>
      <c r="C1005">
        <f>+ROUND(Get_Data!C1004,5)</f>
        <v>25.626650000000001</v>
      </c>
      <c r="D1005" s="4">
        <f t="shared" si="16"/>
        <v>1.9792719688293241</v>
      </c>
    </row>
    <row r="1006" spans="1:4">
      <c r="A1006" s="2">
        <f>+Get_Data!A1005</f>
        <v>40898</v>
      </c>
      <c r="B1006">
        <f>+ROUND(Get_Data!B1005,5)</f>
        <v>51.116860000000003</v>
      </c>
      <c r="C1006">
        <f>+ROUND(Get_Data!C1005,5)</f>
        <v>26.064990000000002</v>
      </c>
      <c r="D1006" s="4">
        <f t="shared" si="16"/>
        <v>1.9611310036949947</v>
      </c>
    </row>
    <row r="1007" spans="1:4">
      <c r="A1007" s="2">
        <f>+Get_Data!A1006</f>
        <v>40899</v>
      </c>
      <c r="B1007">
        <f>+ROUND(Get_Data!B1006,5)</f>
        <v>51.116860000000003</v>
      </c>
      <c r="C1007">
        <f>+ROUND(Get_Data!C1006,5)</f>
        <v>25.922630000000002</v>
      </c>
      <c r="D1007" s="4">
        <f t="shared" si="16"/>
        <v>1.9719009992427465</v>
      </c>
    </row>
    <row r="1008" spans="1:4">
      <c r="A1008" s="2">
        <f>+Get_Data!A1007</f>
        <v>40900</v>
      </c>
      <c r="B1008">
        <f>+ROUND(Get_Data!B1007,5)</f>
        <v>51.527090000000001</v>
      </c>
      <c r="C1008">
        <f>+ROUND(Get_Data!C1007,5)</f>
        <v>26.203620000000001</v>
      </c>
      <c r="D1008" s="4">
        <f t="shared" si="16"/>
        <v>1.9664111294546325</v>
      </c>
    </row>
    <row r="1009" spans="1:4">
      <c r="A1009" s="2">
        <f>+Get_Data!A1008</f>
        <v>40904</v>
      </c>
      <c r="B1009">
        <f>+ROUND(Get_Data!B1008,5)</f>
        <v>51.380040000000001</v>
      </c>
      <c r="C1009">
        <f>+ROUND(Get_Data!C1008,5)</f>
        <v>26.181139999999999</v>
      </c>
      <c r="D1009" s="4">
        <f t="shared" si="16"/>
        <v>1.9624829170922276</v>
      </c>
    </row>
    <row r="1010" spans="1:4">
      <c r="A1010" s="2">
        <f>+Get_Data!A1009</f>
        <v>40905</v>
      </c>
      <c r="B1010">
        <f>+ROUND(Get_Data!B1009,5)</f>
        <v>51.016240000000003</v>
      </c>
      <c r="C1010">
        <f>+ROUND(Get_Data!C1009,5)</f>
        <v>26.04252</v>
      </c>
      <c r="D1010" s="4">
        <f t="shared" si="16"/>
        <v>1.9589594248175677</v>
      </c>
    </row>
    <row r="1011" spans="1:4">
      <c r="A1011" s="2">
        <f>+Get_Data!A1010</f>
        <v>40906</v>
      </c>
      <c r="B1011">
        <f>+ROUND(Get_Data!B1010,5)</f>
        <v>51.503889999999998</v>
      </c>
      <c r="C1011">
        <f>+ROUND(Get_Data!C1010,5)</f>
        <v>26.286049999999999</v>
      </c>
      <c r="D1011" s="4">
        <f t="shared" si="16"/>
        <v>1.9593620951036765</v>
      </c>
    </row>
    <row r="1012" spans="1:4">
      <c r="A1012" s="2">
        <f>+Get_Data!A1011</f>
        <v>40907</v>
      </c>
      <c r="B1012">
        <f>+ROUND(Get_Data!B1011,5)</f>
        <v>51.356819999999999</v>
      </c>
      <c r="C1012">
        <f>+ROUND(Get_Data!C1011,5)</f>
        <v>26.214860000000002</v>
      </c>
      <c r="D1012" s="4">
        <f t="shared" si="16"/>
        <v>1.959072831211</v>
      </c>
    </row>
    <row r="1013" spans="1:4">
      <c r="A1013" s="2">
        <f>+Get_Data!A1012</f>
        <v>40911</v>
      </c>
      <c r="B1013">
        <f>+ROUND(Get_Data!B1012,5)</f>
        <v>51.395519999999998</v>
      </c>
      <c r="C1013">
        <f>+ROUND(Get_Data!C1012,5)</f>
        <v>26.278559999999999</v>
      </c>
      <c r="D1013" s="4">
        <f t="shared" si="16"/>
        <v>1.9557966646574241</v>
      </c>
    </row>
    <row r="1014" spans="1:4">
      <c r="A1014" s="2">
        <f>+Get_Data!A1013</f>
        <v>40912</v>
      </c>
      <c r="B1014">
        <f>+ROUND(Get_Data!B1013,5)</f>
        <v>51.658679999999997</v>
      </c>
      <c r="C1014">
        <f>+ROUND(Get_Data!C1013,5)</f>
        <v>26.113700000000001</v>
      </c>
      <c r="D1014" s="4">
        <f t="shared" si="16"/>
        <v>1.9782213933682318</v>
      </c>
    </row>
    <row r="1015" spans="1:4">
      <c r="A1015" s="2">
        <f>+Get_Data!A1014</f>
        <v>40913</v>
      </c>
      <c r="B1015">
        <f>+ROUND(Get_Data!B1014,5)</f>
        <v>51.256210000000003</v>
      </c>
      <c r="C1015">
        <f>+ROUND(Get_Data!C1014,5)</f>
        <v>25.99006</v>
      </c>
      <c r="D1015" s="4">
        <f t="shared" si="16"/>
        <v>1.9721466591458428</v>
      </c>
    </row>
    <row r="1016" spans="1:4">
      <c r="A1016" s="2">
        <f>+Get_Data!A1015</f>
        <v>40914</v>
      </c>
      <c r="B1016">
        <f>+ROUND(Get_Data!B1015,5)</f>
        <v>50.61374</v>
      </c>
      <c r="C1016">
        <f>+ROUND(Get_Data!C1015,5)</f>
        <v>25.825209999999998</v>
      </c>
      <c r="D1016" s="4">
        <f t="shared" si="16"/>
        <v>1.9598578288424373</v>
      </c>
    </row>
    <row r="1017" spans="1:4">
      <c r="A1017" s="2">
        <f>+Get_Data!A1016</f>
        <v>40917</v>
      </c>
      <c r="B1017">
        <f>+ROUND(Get_Data!B1016,5)</f>
        <v>50.876919999999998</v>
      </c>
      <c r="C1017">
        <f>+ROUND(Get_Data!C1016,5)</f>
        <v>25.825209999999998</v>
      </c>
      <c r="D1017" s="4">
        <f t="shared" si="16"/>
        <v>1.9700486462646383</v>
      </c>
    </row>
    <row r="1018" spans="1:4">
      <c r="A1018" s="2">
        <f>+Get_Data!A1017</f>
        <v>40918</v>
      </c>
      <c r="B1018">
        <f>+ROUND(Get_Data!B1017,5)</f>
        <v>50.822740000000003</v>
      </c>
      <c r="C1018">
        <f>+ROUND(Get_Data!C1017,5)</f>
        <v>25.978819999999999</v>
      </c>
      <c r="D1018" s="4">
        <f t="shared" si="16"/>
        <v>1.9563144130487837</v>
      </c>
    </row>
    <row r="1019" spans="1:4">
      <c r="A1019" s="2">
        <f>+Get_Data!A1018</f>
        <v>40919</v>
      </c>
      <c r="B1019">
        <f>+ROUND(Get_Data!B1018,5)</f>
        <v>50.31962</v>
      </c>
      <c r="C1019">
        <f>+ROUND(Get_Data!C1018,5)</f>
        <v>25.49926</v>
      </c>
      <c r="D1019" s="4">
        <f t="shared" si="16"/>
        <v>1.9733756979614312</v>
      </c>
    </row>
    <row r="1020" spans="1:4">
      <c r="A1020" s="2">
        <f>+Get_Data!A1019</f>
        <v>40920</v>
      </c>
      <c r="B1020">
        <f>+ROUND(Get_Data!B1019,5)</f>
        <v>50.017760000000003</v>
      </c>
      <c r="C1020">
        <f>+ROUND(Get_Data!C1019,5)</f>
        <v>25.31568</v>
      </c>
      <c r="D1020" s="4">
        <f t="shared" si="16"/>
        <v>1.9757620573494372</v>
      </c>
    </row>
    <row r="1021" spans="1:4">
      <c r="A1021" s="2">
        <f>+Get_Data!A1020</f>
        <v>40921</v>
      </c>
      <c r="B1021">
        <f>+ROUND(Get_Data!B1020,5)</f>
        <v>49.847459999999998</v>
      </c>
      <c r="C1021">
        <f>+ROUND(Get_Data!C1020,5)</f>
        <v>25.098379999999999</v>
      </c>
      <c r="D1021" s="4">
        <f t="shared" si="16"/>
        <v>1.9860827670949281</v>
      </c>
    </row>
    <row r="1022" spans="1:4">
      <c r="A1022" s="2">
        <f>+Get_Data!A1021</f>
        <v>40925</v>
      </c>
      <c r="B1022">
        <f>+ROUND(Get_Data!B1021,5)</f>
        <v>50.040970000000002</v>
      </c>
      <c r="C1022">
        <f>+ROUND(Get_Data!C1021,5)</f>
        <v>25.233260000000001</v>
      </c>
      <c r="D1022" s="4">
        <f t="shared" si="16"/>
        <v>1.9831353538940271</v>
      </c>
    </row>
    <row r="1023" spans="1:4">
      <c r="A1023" s="2">
        <f>+Get_Data!A1022</f>
        <v>40926</v>
      </c>
      <c r="B1023">
        <f>+ROUND(Get_Data!B1022,5)</f>
        <v>50.195770000000003</v>
      </c>
      <c r="C1023">
        <f>+ROUND(Get_Data!C1022,5)</f>
        <v>25.323170000000001</v>
      </c>
      <c r="D1023" s="4">
        <f t="shared" si="16"/>
        <v>1.9822072039164134</v>
      </c>
    </row>
    <row r="1024" spans="1:4">
      <c r="A1024" s="2">
        <f>+Get_Data!A1023</f>
        <v>40927</v>
      </c>
      <c r="B1024">
        <f>+ROUND(Get_Data!B1023,5)</f>
        <v>51.016240000000003</v>
      </c>
      <c r="C1024">
        <f>+ROUND(Get_Data!C1023,5)</f>
        <v>25.270720000000001</v>
      </c>
      <c r="D1024" s="4">
        <f t="shared" si="16"/>
        <v>2.0187885426295731</v>
      </c>
    </row>
    <row r="1025" spans="1:4">
      <c r="A1025" s="2">
        <f>+Get_Data!A1024</f>
        <v>40928</v>
      </c>
      <c r="B1025">
        <f>+ROUND(Get_Data!B1024,5)</f>
        <v>51.302639999999997</v>
      </c>
      <c r="C1025">
        <f>+ROUND(Get_Data!C1024,5)</f>
        <v>25.5105</v>
      </c>
      <c r="D1025" s="4">
        <f t="shared" si="16"/>
        <v>2.0110401599341445</v>
      </c>
    </row>
    <row r="1026" spans="1:4">
      <c r="A1026" s="2">
        <f>+Get_Data!A1025</f>
        <v>40931</v>
      </c>
      <c r="B1026">
        <f>+ROUND(Get_Data!B1025,5)</f>
        <v>51.163310000000003</v>
      </c>
      <c r="C1026">
        <f>+ROUND(Get_Data!C1025,5)</f>
        <v>25.675350000000002</v>
      </c>
      <c r="D1026" s="4">
        <f t="shared" si="16"/>
        <v>1.9927015600566302</v>
      </c>
    </row>
    <row r="1027" spans="1:4">
      <c r="A1027" s="2">
        <f>+Get_Data!A1026</f>
        <v>40932</v>
      </c>
      <c r="B1027">
        <f>+ROUND(Get_Data!B1026,5)</f>
        <v>51.240699999999997</v>
      </c>
      <c r="C1027">
        <f>+ROUND(Get_Data!C1026,5)</f>
        <v>25.439319999999999</v>
      </c>
      <c r="D1027" s="4">
        <f t="shared" si="16"/>
        <v>2.0142322986620713</v>
      </c>
    </row>
    <row r="1028" spans="1:4">
      <c r="A1028" s="2">
        <f>+Get_Data!A1027</f>
        <v>40933</v>
      </c>
      <c r="B1028">
        <f>+ROUND(Get_Data!B1027,5)</f>
        <v>51.62773</v>
      </c>
      <c r="C1028">
        <f>+ROUND(Get_Data!C1027,5)</f>
        <v>25.637879999999999</v>
      </c>
      <c r="D1028" s="4">
        <f t="shared" ref="D1028:D1091" si="17">IFERROR(B1028/C1028,"")</f>
        <v>2.0137285142141237</v>
      </c>
    </row>
    <row r="1029" spans="1:4">
      <c r="A1029" s="2">
        <f>+Get_Data!A1028</f>
        <v>40934</v>
      </c>
      <c r="B1029">
        <f>+ROUND(Get_Data!B1028,5)</f>
        <v>51.488410000000002</v>
      </c>
      <c r="C1029">
        <f>+ROUND(Get_Data!C1028,5)</f>
        <v>25.480530000000002</v>
      </c>
      <c r="D1029" s="4">
        <f t="shared" si="17"/>
        <v>2.02069619430993</v>
      </c>
    </row>
    <row r="1030" spans="1:4">
      <c r="A1030" s="2">
        <f>+Get_Data!A1029</f>
        <v>40935</v>
      </c>
      <c r="B1030">
        <f>+ROUND(Get_Data!B1029,5)</f>
        <v>50.938850000000002</v>
      </c>
      <c r="C1030">
        <f>+ROUND(Get_Data!C1029,5)</f>
        <v>25.266970000000001</v>
      </c>
      <c r="D1030" s="4">
        <f t="shared" si="17"/>
        <v>2.0160252693536265</v>
      </c>
    </row>
    <row r="1031" spans="1:4">
      <c r="A1031" s="2">
        <f>+Get_Data!A1030</f>
        <v>40938</v>
      </c>
      <c r="B1031">
        <f>+ROUND(Get_Data!B1030,5)</f>
        <v>50.62923</v>
      </c>
      <c r="C1031">
        <f>+ROUND(Get_Data!C1030,5)</f>
        <v>25.274470000000001</v>
      </c>
      <c r="D1031" s="4">
        <f t="shared" si="17"/>
        <v>2.0031767233892541</v>
      </c>
    </row>
    <row r="1032" spans="1:4">
      <c r="A1032" s="2">
        <f>+Get_Data!A1031</f>
        <v>40939</v>
      </c>
      <c r="B1032">
        <f>+ROUND(Get_Data!B1031,5)</f>
        <v>50.830480000000001</v>
      </c>
      <c r="C1032">
        <f>+ROUND(Get_Data!C1031,5)</f>
        <v>25.300699999999999</v>
      </c>
      <c r="D1032" s="4">
        <f t="shared" si="17"/>
        <v>2.0090542949404564</v>
      </c>
    </row>
    <row r="1033" spans="1:4">
      <c r="A1033" s="2">
        <f>+Get_Data!A1032</f>
        <v>40940</v>
      </c>
      <c r="B1033">
        <f>+ROUND(Get_Data!B1032,5)</f>
        <v>51.380040000000001</v>
      </c>
      <c r="C1033">
        <f>+ROUND(Get_Data!C1032,5)</f>
        <v>25.420590000000001</v>
      </c>
      <c r="D1033" s="4">
        <f t="shared" si="17"/>
        <v>2.0211977770775578</v>
      </c>
    </row>
    <row r="1034" spans="1:4">
      <c r="A1034" s="2">
        <f>+Get_Data!A1033</f>
        <v>40941</v>
      </c>
      <c r="B1034">
        <f>+ROUND(Get_Data!B1033,5)</f>
        <v>51.395519999999998</v>
      </c>
      <c r="C1034">
        <f>+ROUND(Get_Data!C1033,5)</f>
        <v>25.41309</v>
      </c>
      <c r="D1034" s="4">
        <f t="shared" si="17"/>
        <v>2.0224034149330126</v>
      </c>
    </row>
    <row r="1035" spans="1:4">
      <c r="A1035" s="2">
        <f>+Get_Data!A1034</f>
        <v>40942</v>
      </c>
      <c r="B1035">
        <f>+ROUND(Get_Data!B1034,5)</f>
        <v>51.596780000000003</v>
      </c>
      <c r="C1035">
        <f>+ROUND(Get_Data!C1034,5)</f>
        <v>25.50676</v>
      </c>
      <c r="D1035" s="4">
        <f t="shared" si="17"/>
        <v>2.0228668792116289</v>
      </c>
    </row>
    <row r="1036" spans="1:4">
      <c r="A1036" s="2">
        <f>+Get_Data!A1035</f>
        <v>40945</v>
      </c>
      <c r="B1036">
        <f>+ROUND(Get_Data!B1035,5)</f>
        <v>51.488410000000002</v>
      </c>
      <c r="C1036">
        <f>+ROUND(Get_Data!C1035,5)</f>
        <v>25.488029999999998</v>
      </c>
      <c r="D1036" s="4">
        <f t="shared" si="17"/>
        <v>2.0201015927868888</v>
      </c>
    </row>
    <row r="1037" spans="1:4">
      <c r="A1037" s="2">
        <f>+Get_Data!A1036</f>
        <v>40946</v>
      </c>
      <c r="B1037">
        <f>+ROUND(Get_Data!B1036,5)</f>
        <v>51.67418</v>
      </c>
      <c r="C1037">
        <f>+ROUND(Get_Data!C1036,5)</f>
        <v>25.682849999999998</v>
      </c>
      <c r="D1037" s="4">
        <f t="shared" si="17"/>
        <v>2.012011128048484</v>
      </c>
    </row>
    <row r="1038" spans="1:4">
      <c r="A1038" s="2">
        <f>+Get_Data!A1037</f>
        <v>40947</v>
      </c>
      <c r="B1038">
        <f>+ROUND(Get_Data!B1037,5)</f>
        <v>51.658679999999997</v>
      </c>
      <c r="C1038">
        <f>+ROUND(Get_Data!C1037,5)</f>
        <v>25.60042</v>
      </c>
      <c r="D1038" s="4">
        <f t="shared" si="17"/>
        <v>2.0178840815892864</v>
      </c>
    </row>
    <row r="1039" spans="1:4">
      <c r="A1039" s="2">
        <f>+Get_Data!A1038</f>
        <v>40948</v>
      </c>
      <c r="B1039">
        <f>+ROUND(Get_Data!B1038,5)</f>
        <v>49.746839999999999</v>
      </c>
      <c r="C1039">
        <f>+ROUND(Get_Data!C1038,5)</f>
        <v>25.465540000000001</v>
      </c>
      <c r="D1039" s="4">
        <f t="shared" si="17"/>
        <v>1.9534963719599112</v>
      </c>
    </row>
    <row r="1040" spans="1:4">
      <c r="A1040" s="2">
        <f>+Get_Data!A1039</f>
        <v>40949</v>
      </c>
      <c r="B1040">
        <f>+ROUND(Get_Data!B1039,5)</f>
        <v>49.49915</v>
      </c>
      <c r="C1040">
        <f>+ROUND(Get_Data!C1039,5)</f>
        <v>25.45431</v>
      </c>
      <c r="D1040" s="4">
        <f t="shared" si="17"/>
        <v>1.944627452089646</v>
      </c>
    </row>
    <row r="1041" spans="1:4">
      <c r="A1041" s="2">
        <f>+Get_Data!A1040</f>
        <v>40952</v>
      </c>
      <c r="B1041">
        <f>+ROUND(Get_Data!B1040,5)</f>
        <v>49.297899999999998</v>
      </c>
      <c r="C1041">
        <f>+ROUND(Get_Data!C1040,5)</f>
        <v>25.641629999999999</v>
      </c>
      <c r="D1041" s="4">
        <f t="shared" si="17"/>
        <v>1.9225727849594585</v>
      </c>
    </row>
    <row r="1042" spans="1:4">
      <c r="A1042" s="2">
        <f>+Get_Data!A1041</f>
        <v>40953</v>
      </c>
      <c r="B1042">
        <f>+ROUND(Get_Data!B1041,5)</f>
        <v>49.166319999999999</v>
      </c>
      <c r="C1042">
        <f>+ROUND(Get_Data!C1041,5)</f>
        <v>25.813980000000001</v>
      </c>
      <c r="D1042" s="4">
        <f t="shared" si="17"/>
        <v>1.9046392691092191</v>
      </c>
    </row>
    <row r="1043" spans="1:4">
      <c r="A1043" s="2">
        <f>+Get_Data!A1042</f>
        <v>40954</v>
      </c>
      <c r="B1043">
        <f>+ROUND(Get_Data!B1042,5)</f>
        <v>48.818010000000001</v>
      </c>
      <c r="C1043">
        <f>+ROUND(Get_Data!C1042,5)</f>
        <v>25.626650000000001</v>
      </c>
      <c r="D1043" s="4">
        <f t="shared" si="17"/>
        <v>1.9049704116612978</v>
      </c>
    </row>
    <row r="1044" spans="1:4">
      <c r="A1044" s="2">
        <f>+Get_Data!A1043</f>
        <v>40955</v>
      </c>
      <c r="B1044">
        <f>+ROUND(Get_Data!B1043,5)</f>
        <v>48.554839999999999</v>
      </c>
      <c r="C1044">
        <f>+ROUND(Get_Data!C1043,5)</f>
        <v>25.79899</v>
      </c>
      <c r="D1044" s="4">
        <f t="shared" si="17"/>
        <v>1.8820442195605331</v>
      </c>
    </row>
    <row r="1045" spans="1:4">
      <c r="A1045" s="2">
        <f>+Get_Data!A1044</f>
        <v>40956</v>
      </c>
      <c r="B1045">
        <f>+ROUND(Get_Data!B1044,5)</f>
        <v>48.51614</v>
      </c>
      <c r="C1045">
        <f>+ROUND(Get_Data!C1044,5)</f>
        <v>25.870170000000002</v>
      </c>
      <c r="D1045" s="4">
        <f t="shared" si="17"/>
        <v>1.8753699724431652</v>
      </c>
    </row>
    <row r="1046" spans="1:4">
      <c r="A1046" s="2">
        <f>+Get_Data!A1045</f>
        <v>40960</v>
      </c>
      <c r="B1046">
        <f>+ROUND(Get_Data!B1045,5)</f>
        <v>48.87218</v>
      </c>
      <c r="C1046">
        <f>+ROUND(Get_Data!C1045,5)</f>
        <v>25.783999999999999</v>
      </c>
      <c r="D1046" s="4">
        <f t="shared" si="17"/>
        <v>1.8954460130313373</v>
      </c>
    </row>
    <row r="1047" spans="1:4">
      <c r="A1047" s="2">
        <f>+Get_Data!A1046</f>
        <v>40961</v>
      </c>
      <c r="B1047">
        <f>+ROUND(Get_Data!B1046,5)</f>
        <v>48.84122</v>
      </c>
      <c r="C1047">
        <f>+ROUND(Get_Data!C1046,5)</f>
        <v>25.94511</v>
      </c>
      <c r="D1047" s="4">
        <f t="shared" si="17"/>
        <v>1.8824826720719241</v>
      </c>
    </row>
    <row r="1048" spans="1:4">
      <c r="A1048" s="2">
        <f>+Get_Data!A1047</f>
        <v>40962</v>
      </c>
      <c r="B1048">
        <f>+ROUND(Get_Data!B1047,5)</f>
        <v>48.864440000000002</v>
      </c>
      <c r="C1048">
        <f>+ROUND(Get_Data!C1047,5)</f>
        <v>25.918890000000001</v>
      </c>
      <c r="D1048" s="4">
        <f t="shared" si="17"/>
        <v>1.8852828959882155</v>
      </c>
    </row>
    <row r="1049" spans="1:4">
      <c r="A1049" s="2">
        <f>+Get_Data!A1048</f>
        <v>40963</v>
      </c>
      <c r="B1049">
        <f>+ROUND(Get_Data!B1048,5)</f>
        <v>49.003779999999999</v>
      </c>
      <c r="C1049">
        <f>+ROUND(Get_Data!C1048,5)</f>
        <v>25.85144</v>
      </c>
      <c r="D1049" s="4">
        <f t="shared" si="17"/>
        <v>1.8955918896587578</v>
      </c>
    </row>
    <row r="1050" spans="1:4">
      <c r="A1050" s="2">
        <f>+Get_Data!A1049</f>
        <v>40966</v>
      </c>
      <c r="B1050">
        <f>+ROUND(Get_Data!B1049,5)</f>
        <v>49.011510000000001</v>
      </c>
      <c r="C1050">
        <f>+ROUND(Get_Data!C1049,5)</f>
        <v>25.787749999999999</v>
      </c>
      <c r="D1050" s="4">
        <f t="shared" si="17"/>
        <v>1.9005733342381559</v>
      </c>
    </row>
    <row r="1051" spans="1:4">
      <c r="A1051" s="2">
        <f>+Get_Data!A1050</f>
        <v>40967</v>
      </c>
      <c r="B1051">
        <f>+ROUND(Get_Data!B1050,5)</f>
        <v>49.011510000000001</v>
      </c>
      <c r="C1051">
        <f>+ROUND(Get_Data!C1050,5)</f>
        <v>25.795249999999999</v>
      </c>
      <c r="D1051" s="4">
        <f t="shared" si="17"/>
        <v>1.900020740252566</v>
      </c>
    </row>
    <row r="1052" spans="1:4">
      <c r="A1052" s="2">
        <f>+Get_Data!A1051</f>
        <v>40968</v>
      </c>
      <c r="B1052">
        <f>+ROUND(Get_Data!B1051,5)</f>
        <v>49.116840000000003</v>
      </c>
      <c r="C1052">
        <f>+ROUND(Get_Data!C1051,5)</f>
        <v>26.173649999999999</v>
      </c>
      <c r="D1052" s="4">
        <f t="shared" si="17"/>
        <v>1.8765758692425401</v>
      </c>
    </row>
    <row r="1053" spans="1:4">
      <c r="A1053" s="2">
        <f>+Get_Data!A1052</f>
        <v>40969</v>
      </c>
      <c r="B1053">
        <f>+ROUND(Get_Data!B1052,5)</f>
        <v>48.812519999999999</v>
      </c>
      <c r="C1053">
        <f>+ROUND(Get_Data!C1052,5)</f>
        <v>26.076239999999999</v>
      </c>
      <c r="D1053" s="4">
        <f t="shared" si="17"/>
        <v>1.8719155829214642</v>
      </c>
    </row>
    <row r="1054" spans="1:4">
      <c r="A1054" s="2">
        <f>+Get_Data!A1053</f>
        <v>40970</v>
      </c>
      <c r="B1054">
        <f>+ROUND(Get_Data!B1053,5)</f>
        <v>48.789119999999997</v>
      </c>
      <c r="C1054">
        <f>+ROUND(Get_Data!C1053,5)</f>
        <v>25.918890000000001</v>
      </c>
      <c r="D1054" s="4">
        <f t="shared" si="17"/>
        <v>1.8823769073444114</v>
      </c>
    </row>
    <row r="1055" spans="1:4">
      <c r="A1055" s="2">
        <f>+Get_Data!A1054</f>
        <v>40973</v>
      </c>
      <c r="B1055">
        <f>+ROUND(Get_Data!B1054,5)</f>
        <v>48.9998</v>
      </c>
      <c r="C1055">
        <f>+ROUND(Get_Data!C1054,5)</f>
        <v>25.937609999999999</v>
      </c>
      <c r="D1055" s="4">
        <f t="shared" si="17"/>
        <v>1.8891409038843594</v>
      </c>
    </row>
    <row r="1056" spans="1:4">
      <c r="A1056" s="2">
        <f>+Get_Data!A1055</f>
        <v>40974</v>
      </c>
      <c r="B1056">
        <f>+ROUND(Get_Data!B1055,5)</f>
        <v>48.60181</v>
      </c>
      <c r="C1056">
        <f>+ROUND(Get_Data!C1055,5)</f>
        <v>25.76153</v>
      </c>
      <c r="D1056" s="4">
        <f t="shared" si="17"/>
        <v>1.8866041729664349</v>
      </c>
    </row>
    <row r="1057" spans="1:4">
      <c r="A1057" s="2">
        <f>+Get_Data!A1056</f>
        <v>40975</v>
      </c>
      <c r="B1057">
        <f>+ROUND(Get_Data!B1056,5)</f>
        <v>48.867139999999999</v>
      </c>
      <c r="C1057">
        <f>+ROUND(Get_Data!C1056,5)</f>
        <v>25.772760000000002</v>
      </c>
      <c r="D1057" s="4">
        <f t="shared" si="17"/>
        <v>1.896077098455889</v>
      </c>
    </row>
    <row r="1058" spans="1:4">
      <c r="A1058" s="2">
        <f>+Get_Data!A1057</f>
        <v>40976</v>
      </c>
      <c r="B1058">
        <f>+ROUND(Get_Data!B1057,5)</f>
        <v>49.124659999999999</v>
      </c>
      <c r="C1058">
        <f>+ROUND(Get_Data!C1057,5)</f>
        <v>25.9526</v>
      </c>
      <c r="D1058" s="4">
        <f t="shared" si="17"/>
        <v>1.8928608308994088</v>
      </c>
    </row>
    <row r="1059" spans="1:4">
      <c r="A1059" s="2">
        <f>+Get_Data!A1058</f>
        <v>40977</v>
      </c>
      <c r="B1059">
        <f>+ROUND(Get_Data!B1058,5)</f>
        <v>49.280720000000002</v>
      </c>
      <c r="C1059">
        <f>+ROUND(Get_Data!C1058,5)</f>
        <v>26.04252</v>
      </c>
      <c r="D1059" s="4">
        <f t="shared" si="17"/>
        <v>1.8923176405355551</v>
      </c>
    </row>
    <row r="1060" spans="1:4">
      <c r="A1060" s="2">
        <f>+Get_Data!A1059</f>
        <v>40980</v>
      </c>
      <c r="B1060">
        <f>+ROUND(Get_Data!B1059,5)</f>
        <v>49.897239999999996</v>
      </c>
      <c r="C1060">
        <f>+ROUND(Get_Data!C1059,5)</f>
        <v>26.282299999999999</v>
      </c>
      <c r="D1060" s="4">
        <f t="shared" si="17"/>
        <v>1.8985111653089721</v>
      </c>
    </row>
    <row r="1061" spans="1:4">
      <c r="A1061" s="2">
        <f>+Get_Data!A1060</f>
        <v>40981</v>
      </c>
      <c r="B1061">
        <f>+ROUND(Get_Data!B1060,5)</f>
        <v>50.209380000000003</v>
      </c>
      <c r="C1061">
        <f>+ROUND(Get_Data!C1060,5)</f>
        <v>26.708110000000001</v>
      </c>
      <c r="D1061" s="4">
        <f t="shared" si="17"/>
        <v>1.8799301036276996</v>
      </c>
    </row>
    <row r="1062" spans="1:4">
      <c r="A1062" s="2">
        <f>+Get_Data!A1061</f>
        <v>40982</v>
      </c>
      <c r="B1062">
        <f>+ROUND(Get_Data!B1061,5)</f>
        <v>49.990879999999997</v>
      </c>
      <c r="C1062">
        <f>+ROUND(Get_Data!C1061,5)</f>
        <v>26.6967</v>
      </c>
      <c r="D1062" s="4">
        <f t="shared" si="17"/>
        <v>1.8725490416418509</v>
      </c>
    </row>
    <row r="1063" spans="1:4">
      <c r="A1063" s="2">
        <f>+Get_Data!A1062</f>
        <v>40983</v>
      </c>
      <c r="B1063">
        <f>+ROUND(Get_Data!B1062,5)</f>
        <v>50.076709999999999</v>
      </c>
      <c r="C1063">
        <f>+ROUND(Get_Data!C1062,5)</f>
        <v>26.738520000000001</v>
      </c>
      <c r="D1063" s="4">
        <f t="shared" si="17"/>
        <v>1.8728302838002999</v>
      </c>
    </row>
    <row r="1064" spans="1:4">
      <c r="A1064" s="2">
        <f>+Get_Data!A1063</f>
        <v>40984</v>
      </c>
      <c r="B1064">
        <f>+ROUND(Get_Data!B1063,5)</f>
        <v>50.310839999999999</v>
      </c>
      <c r="C1064">
        <f>+ROUND(Get_Data!C1063,5)</f>
        <v>26.6739</v>
      </c>
      <c r="D1064" s="4">
        <f t="shared" si="17"/>
        <v>1.8861448832004319</v>
      </c>
    </row>
    <row r="1065" spans="1:4">
      <c r="A1065" s="2">
        <f>+Get_Data!A1064</f>
        <v>40987</v>
      </c>
      <c r="B1065">
        <f>+ROUND(Get_Data!B1064,5)</f>
        <v>50.513730000000002</v>
      </c>
      <c r="C1065">
        <f>+ROUND(Get_Data!C1064,5)</f>
        <v>26.765129999999999</v>
      </c>
      <c r="D1065" s="4">
        <f t="shared" si="17"/>
        <v>1.8872962694371371</v>
      </c>
    </row>
    <row r="1066" spans="1:4">
      <c r="A1066" s="2">
        <f>+Get_Data!A1065</f>
        <v>40988</v>
      </c>
      <c r="B1066">
        <f>+ROUND(Get_Data!B1065,5)</f>
        <v>50.94294</v>
      </c>
      <c r="C1066">
        <f>+ROUND(Get_Data!C1065,5)</f>
        <v>26.83737</v>
      </c>
      <c r="D1066" s="4">
        <f t="shared" si="17"/>
        <v>1.8982091017115315</v>
      </c>
    </row>
    <row r="1067" spans="1:4">
      <c r="A1067" s="2">
        <f>+Get_Data!A1066</f>
        <v>40989</v>
      </c>
      <c r="B1067">
        <f>+ROUND(Get_Data!B1066,5)</f>
        <v>51.005380000000002</v>
      </c>
      <c r="C1067">
        <f>+ROUND(Get_Data!C1066,5)</f>
        <v>27.038869999999999</v>
      </c>
      <c r="D1067" s="4">
        <f t="shared" si="17"/>
        <v>1.8863724704471749</v>
      </c>
    </row>
    <row r="1068" spans="1:4">
      <c r="A1068" s="2">
        <f>+Get_Data!A1067</f>
        <v>40990</v>
      </c>
      <c r="B1068">
        <f>+ROUND(Get_Data!B1067,5)</f>
        <v>51.028790000000001</v>
      </c>
      <c r="C1068">
        <f>+ROUND(Get_Data!C1067,5)</f>
        <v>27.152930000000001</v>
      </c>
      <c r="D1068" s="4">
        <f t="shared" si="17"/>
        <v>1.8793106305654674</v>
      </c>
    </row>
    <row r="1069" spans="1:4">
      <c r="A1069" s="2">
        <f>+Get_Data!A1068</f>
        <v>40991</v>
      </c>
      <c r="B1069">
        <f>+ROUND(Get_Data!B1068,5)</f>
        <v>50.958550000000002</v>
      </c>
      <c r="C1069">
        <f>+ROUND(Get_Data!C1068,5)</f>
        <v>27.179539999999999</v>
      </c>
      <c r="D1069" s="4">
        <f t="shared" si="17"/>
        <v>1.8748864035226498</v>
      </c>
    </row>
    <row r="1070" spans="1:4">
      <c r="A1070" s="2">
        <f>+Get_Data!A1069</f>
        <v>40994</v>
      </c>
      <c r="B1070">
        <f>+ROUND(Get_Data!B1069,5)</f>
        <v>51.33314</v>
      </c>
      <c r="C1070">
        <f>+ROUND(Get_Data!C1069,5)</f>
        <v>27.335419999999999</v>
      </c>
      <c r="D1070" s="4">
        <f t="shared" si="17"/>
        <v>1.8778983458092102</v>
      </c>
    </row>
    <row r="1071" spans="1:4">
      <c r="A1071" s="2">
        <f>+Get_Data!A1070</f>
        <v>40995</v>
      </c>
      <c r="B1071">
        <f>+ROUND(Get_Data!B1070,5)</f>
        <v>51.512619999999998</v>
      </c>
      <c r="C1071">
        <f>+ROUND(Get_Data!C1070,5)</f>
        <v>27.324020000000001</v>
      </c>
      <c r="D1071" s="4">
        <f t="shared" si="17"/>
        <v>1.8852504133725563</v>
      </c>
    </row>
    <row r="1072" spans="1:4">
      <c r="A1072" s="2">
        <f>+Get_Data!A1071</f>
        <v>40996</v>
      </c>
      <c r="B1072">
        <f>+ROUND(Get_Data!B1071,5)</f>
        <v>51.450180000000003</v>
      </c>
      <c r="C1072">
        <f>+ROUND(Get_Data!C1071,5)</f>
        <v>27.624359999999999</v>
      </c>
      <c r="D1072" s="4">
        <f t="shared" si="17"/>
        <v>1.8624931039126338</v>
      </c>
    </row>
    <row r="1073" spans="1:4">
      <c r="A1073" s="2">
        <f>+Get_Data!A1072</f>
        <v>40997</v>
      </c>
      <c r="B1073">
        <f>+ROUND(Get_Data!B1072,5)</f>
        <v>51.520409999999998</v>
      </c>
      <c r="C1073">
        <f>+ROUND(Get_Data!C1072,5)</f>
        <v>28.06157</v>
      </c>
      <c r="D1073" s="4">
        <f t="shared" si="17"/>
        <v>1.8359774595648068</v>
      </c>
    </row>
    <row r="1074" spans="1:4">
      <c r="A1074" s="2">
        <f>+Get_Data!A1073</f>
        <v>40998</v>
      </c>
      <c r="B1074">
        <f>+ROUND(Get_Data!B1073,5)</f>
        <v>51.777940000000001</v>
      </c>
      <c r="C1074">
        <f>+ROUND(Get_Data!C1073,5)</f>
        <v>28.137609999999999</v>
      </c>
      <c r="D1074" s="4">
        <f t="shared" si="17"/>
        <v>1.8401683725092501</v>
      </c>
    </row>
    <row r="1075" spans="1:4">
      <c r="A1075" s="2">
        <f>+Get_Data!A1074</f>
        <v>41001</v>
      </c>
      <c r="B1075">
        <f>+ROUND(Get_Data!B1074,5)</f>
        <v>52.08229</v>
      </c>
      <c r="C1075">
        <f>+ROUND(Get_Data!C1074,5)</f>
        <v>28.18703</v>
      </c>
      <c r="D1075" s="4">
        <f t="shared" si="17"/>
        <v>1.8477395454576093</v>
      </c>
    </row>
    <row r="1076" spans="1:4">
      <c r="A1076" s="2">
        <f>+Get_Data!A1075</f>
        <v>41002</v>
      </c>
      <c r="B1076">
        <f>+ROUND(Get_Data!B1075,5)</f>
        <v>51.941809999999997</v>
      </c>
      <c r="C1076">
        <f>+ROUND(Get_Data!C1075,5)</f>
        <v>28.042560000000002</v>
      </c>
      <c r="D1076" s="4">
        <f t="shared" si="17"/>
        <v>1.8522492240366071</v>
      </c>
    </row>
    <row r="1077" spans="1:4">
      <c r="A1077" s="2">
        <f>+Get_Data!A1076</f>
        <v>41003</v>
      </c>
      <c r="B1077">
        <f>+ROUND(Get_Data!B1076,5)</f>
        <v>51.770150000000001</v>
      </c>
      <c r="C1077">
        <f>+ROUND(Get_Data!C1076,5)</f>
        <v>27.9285</v>
      </c>
      <c r="D1077" s="4">
        <f t="shared" si="17"/>
        <v>1.8536674006838894</v>
      </c>
    </row>
    <row r="1078" spans="1:4">
      <c r="A1078" s="2">
        <f>+Get_Data!A1077</f>
        <v>41004</v>
      </c>
      <c r="B1078">
        <f>+ROUND(Get_Data!B1077,5)</f>
        <v>51.621879999999997</v>
      </c>
      <c r="C1078">
        <f>+ROUND(Get_Data!C1077,5)</f>
        <v>27.932310000000001</v>
      </c>
      <c r="D1078" s="4">
        <f t="shared" si="17"/>
        <v>1.8481063685746004</v>
      </c>
    </row>
    <row r="1079" spans="1:4">
      <c r="A1079" s="2">
        <f>+Get_Data!A1078</f>
        <v>41008</v>
      </c>
      <c r="B1079">
        <f>+ROUND(Get_Data!B1078,5)</f>
        <v>50.99756</v>
      </c>
      <c r="C1079">
        <f>+ROUND(Get_Data!C1078,5)</f>
        <v>27.7042</v>
      </c>
      <c r="D1079" s="4">
        <f t="shared" si="17"/>
        <v>1.8407880393586531</v>
      </c>
    </row>
    <row r="1080" spans="1:4">
      <c r="A1080" s="2">
        <f>+Get_Data!A1079</f>
        <v>41009</v>
      </c>
      <c r="B1080">
        <f>+ROUND(Get_Data!B1079,5)</f>
        <v>50.607370000000003</v>
      </c>
      <c r="C1080">
        <f>+ROUND(Get_Data!C1079,5)</f>
        <v>27.381039999999999</v>
      </c>
      <c r="D1080" s="4">
        <f t="shared" si="17"/>
        <v>1.848263250774989</v>
      </c>
    </row>
    <row r="1081" spans="1:4">
      <c r="A1081" s="2">
        <f>+Get_Data!A1080</f>
        <v>41010</v>
      </c>
      <c r="B1081">
        <f>+ROUND(Get_Data!B1080,5)</f>
        <v>50.84149</v>
      </c>
      <c r="C1081">
        <f>+ROUND(Get_Data!C1080,5)</f>
        <v>27.419049999999999</v>
      </c>
      <c r="D1081" s="4">
        <f t="shared" si="17"/>
        <v>1.8542396618409465</v>
      </c>
    </row>
    <row r="1082" spans="1:4">
      <c r="A1082" s="2">
        <f>+Get_Data!A1081</f>
        <v>41011</v>
      </c>
      <c r="B1082">
        <f>+ROUND(Get_Data!B1081,5)</f>
        <v>51.020980000000002</v>
      </c>
      <c r="C1082">
        <f>+ROUND(Get_Data!C1081,5)</f>
        <v>27.457080000000001</v>
      </c>
      <c r="D1082" s="4">
        <f t="shared" si="17"/>
        <v>1.8582085203524918</v>
      </c>
    </row>
    <row r="1083" spans="1:4">
      <c r="A1083" s="2">
        <f>+Get_Data!A1082</f>
        <v>41012</v>
      </c>
      <c r="B1083">
        <f>+ROUND(Get_Data!B1082,5)</f>
        <v>50.771250000000002</v>
      </c>
      <c r="C1083">
        <f>+ROUND(Get_Data!C1082,5)</f>
        <v>27.350629999999999</v>
      </c>
      <c r="D1083" s="4">
        <f t="shared" si="17"/>
        <v>1.8563100740275453</v>
      </c>
    </row>
    <row r="1084" spans="1:4">
      <c r="A1084" s="2">
        <f>+Get_Data!A1083</f>
        <v>41015</v>
      </c>
      <c r="B1084">
        <f>+ROUND(Get_Data!B1083,5)</f>
        <v>51.497010000000003</v>
      </c>
      <c r="C1084">
        <f>+ROUND(Get_Data!C1083,5)</f>
        <v>27.54072</v>
      </c>
      <c r="D1084" s="4">
        <f t="shared" si="17"/>
        <v>1.8698498078481609</v>
      </c>
    </row>
    <row r="1085" spans="1:4">
      <c r="A1085" s="2">
        <f>+Get_Data!A1084</f>
        <v>41016</v>
      </c>
      <c r="B1085">
        <f>+ROUND(Get_Data!B1084,5)</f>
        <v>51.816960000000002</v>
      </c>
      <c r="C1085">
        <f>+ROUND(Get_Data!C1084,5)</f>
        <v>28.114799999999999</v>
      </c>
      <c r="D1085" s="4">
        <f t="shared" si="17"/>
        <v>1.8430492125144053</v>
      </c>
    </row>
    <row r="1086" spans="1:4">
      <c r="A1086" s="2">
        <f>+Get_Data!A1085</f>
        <v>41017</v>
      </c>
      <c r="B1086">
        <f>+ROUND(Get_Data!B1085,5)</f>
        <v>51.668680000000002</v>
      </c>
      <c r="C1086">
        <f>+ROUND(Get_Data!C1085,5)</f>
        <v>28.198440000000002</v>
      </c>
      <c r="D1086" s="4">
        <f t="shared" si="17"/>
        <v>1.832324057642905</v>
      </c>
    </row>
    <row r="1087" spans="1:4">
      <c r="A1087" s="2">
        <f>+Get_Data!A1086</f>
        <v>41018</v>
      </c>
      <c r="B1087">
        <f>+ROUND(Get_Data!B1086,5)</f>
        <v>51.621879999999997</v>
      </c>
      <c r="C1087">
        <f>+ROUND(Get_Data!C1086,5)</f>
        <v>28.065380000000001</v>
      </c>
      <c r="D1087" s="4">
        <f t="shared" si="17"/>
        <v>1.8393437038800113</v>
      </c>
    </row>
    <row r="1088" spans="1:4">
      <c r="A1088" s="2">
        <f>+Get_Data!A1087</f>
        <v>41019</v>
      </c>
      <c r="B1088">
        <f>+ROUND(Get_Data!B1087,5)</f>
        <v>51.99644</v>
      </c>
      <c r="C1088">
        <f>+ROUND(Get_Data!C1087,5)</f>
        <v>28.183229999999998</v>
      </c>
      <c r="D1088" s="4">
        <f t="shared" si="17"/>
        <v>1.8449425420720054</v>
      </c>
    </row>
    <row r="1089" spans="1:4">
      <c r="A1089" s="2">
        <f>+Get_Data!A1088</f>
        <v>41022</v>
      </c>
      <c r="B1089">
        <f>+ROUND(Get_Data!B1088,5)</f>
        <v>51.64528</v>
      </c>
      <c r="C1089">
        <f>+ROUND(Get_Data!C1088,5)</f>
        <v>28.01595</v>
      </c>
      <c r="D1089" s="4">
        <f t="shared" si="17"/>
        <v>1.8434241922904631</v>
      </c>
    </row>
    <row r="1090" spans="1:4">
      <c r="A1090" s="2">
        <f>+Get_Data!A1089</f>
        <v>41023</v>
      </c>
      <c r="B1090">
        <f>+ROUND(Get_Data!B1089,5)</f>
        <v>51.902810000000002</v>
      </c>
      <c r="C1090">
        <f>+ROUND(Get_Data!C1089,5)</f>
        <v>28.17943</v>
      </c>
      <c r="D1090" s="4">
        <f t="shared" si="17"/>
        <v>1.8418686964214679</v>
      </c>
    </row>
    <row r="1091" spans="1:4">
      <c r="A1091" s="2">
        <f>+Get_Data!A1090</f>
        <v>41024</v>
      </c>
      <c r="B1091">
        <f>+ROUND(Get_Data!B1090,5)</f>
        <v>52.027670000000001</v>
      </c>
      <c r="C1091">
        <f>+ROUND(Get_Data!C1090,5)</f>
        <v>28.487380000000002</v>
      </c>
      <c r="D1091" s="4">
        <f t="shared" si="17"/>
        <v>1.8263409973117921</v>
      </c>
    </row>
    <row r="1092" spans="1:4">
      <c r="A1092" s="2">
        <f>+Get_Data!A1091</f>
        <v>41025</v>
      </c>
      <c r="B1092">
        <f>+ROUND(Get_Data!B1091,5)</f>
        <v>51.79354</v>
      </c>
      <c r="C1092">
        <f>+ROUND(Get_Data!C1091,5)</f>
        <v>28.783930000000002</v>
      </c>
      <c r="D1092" s="4">
        <f t="shared" ref="D1092:D1155" si="18">IFERROR(B1092/C1092,"")</f>
        <v>1.7993908406531005</v>
      </c>
    </row>
    <row r="1093" spans="1:4">
      <c r="A1093" s="2">
        <f>+Get_Data!A1092</f>
        <v>41026</v>
      </c>
      <c r="B1093">
        <f>+ROUND(Get_Data!B1092,5)</f>
        <v>51.582859999999997</v>
      </c>
      <c r="C1093">
        <f>+ROUND(Get_Data!C1092,5)</f>
        <v>29.133700000000001</v>
      </c>
      <c r="D1093" s="4">
        <f t="shared" si="18"/>
        <v>1.7705564346444151</v>
      </c>
    </row>
    <row r="1094" spans="1:4">
      <c r="A1094" s="2">
        <f>+Get_Data!A1093</f>
        <v>41029</v>
      </c>
      <c r="B1094">
        <f>+ROUND(Get_Data!B1093,5)</f>
        <v>51.504800000000003</v>
      </c>
      <c r="C1094">
        <f>+ROUND(Get_Data!C1093,5)</f>
        <v>29.015840000000001</v>
      </c>
      <c r="D1094" s="4">
        <f t="shared" si="18"/>
        <v>1.7750580372651628</v>
      </c>
    </row>
    <row r="1095" spans="1:4">
      <c r="A1095" s="2">
        <f>+Get_Data!A1094</f>
        <v>41030</v>
      </c>
      <c r="B1095">
        <f>+ROUND(Get_Data!B1094,5)</f>
        <v>51.887180000000001</v>
      </c>
      <c r="C1095">
        <f>+ROUND(Get_Data!C1094,5)</f>
        <v>29.24776</v>
      </c>
      <c r="D1095" s="4">
        <f t="shared" si="18"/>
        <v>1.7740565431335598</v>
      </c>
    </row>
    <row r="1096" spans="1:4">
      <c r="A1096" s="2">
        <f>+Get_Data!A1095</f>
        <v>41031</v>
      </c>
      <c r="B1096">
        <f>+ROUND(Get_Data!B1095,5)</f>
        <v>52.152540000000002</v>
      </c>
      <c r="C1096">
        <f>+ROUND(Get_Data!C1095,5)</f>
        <v>29.335190000000001</v>
      </c>
      <c r="D1096" s="4">
        <f t="shared" si="18"/>
        <v>1.7778149723932246</v>
      </c>
    </row>
    <row r="1097" spans="1:4">
      <c r="A1097" s="2">
        <f>+Get_Data!A1096</f>
        <v>41032</v>
      </c>
      <c r="B1097">
        <f>+ROUND(Get_Data!B1096,5)</f>
        <v>52.214950000000002</v>
      </c>
      <c r="C1097">
        <f>+ROUND(Get_Data!C1096,5)</f>
        <v>29.441649999999999</v>
      </c>
      <c r="D1097" s="4">
        <f t="shared" si="18"/>
        <v>1.7735062403092219</v>
      </c>
    </row>
    <row r="1098" spans="1:4">
      <c r="A1098" s="2">
        <f>+Get_Data!A1097</f>
        <v>41033</v>
      </c>
      <c r="B1098">
        <f>+ROUND(Get_Data!B1097,5)</f>
        <v>51.426780000000001</v>
      </c>
      <c r="C1098">
        <f>+ROUND(Get_Data!C1097,5)</f>
        <v>29.274370000000001</v>
      </c>
      <c r="D1098" s="4">
        <f t="shared" si="18"/>
        <v>1.7567168823786814</v>
      </c>
    </row>
    <row r="1099" spans="1:4">
      <c r="A1099" s="2">
        <f>+Get_Data!A1098</f>
        <v>41036</v>
      </c>
      <c r="B1099">
        <f>+ROUND(Get_Data!B1098,5)</f>
        <v>51.988660000000003</v>
      </c>
      <c r="C1099">
        <f>+ROUND(Get_Data!C1098,5)</f>
        <v>29.38081</v>
      </c>
      <c r="D1099" s="4">
        <f t="shared" si="18"/>
        <v>1.7694767434934573</v>
      </c>
    </row>
    <row r="1100" spans="1:4">
      <c r="A1100" s="2">
        <f>+Get_Data!A1099</f>
        <v>41037</v>
      </c>
      <c r="B1100">
        <f>+ROUND(Get_Data!B1099,5)</f>
        <v>51.910600000000002</v>
      </c>
      <c r="C1100">
        <f>+ROUND(Get_Data!C1099,5)</f>
        <v>29.3276</v>
      </c>
      <c r="D1100" s="4">
        <f t="shared" si="18"/>
        <v>1.7700255049850653</v>
      </c>
    </row>
    <row r="1101" spans="1:4">
      <c r="A1101" s="2">
        <f>+Get_Data!A1100</f>
        <v>41038</v>
      </c>
      <c r="B1101">
        <f>+ROUND(Get_Data!B1100,5)</f>
        <v>51.457999999999998</v>
      </c>
      <c r="C1101">
        <f>+ROUND(Get_Data!C1100,5)</f>
        <v>29.190719999999999</v>
      </c>
      <c r="D1101" s="4">
        <f t="shared" si="18"/>
        <v>1.7628205128205128</v>
      </c>
    </row>
    <row r="1102" spans="1:4">
      <c r="A1102" s="2">
        <f>+Get_Data!A1101</f>
        <v>41039</v>
      </c>
      <c r="B1102">
        <f>+ROUND(Get_Data!B1101,5)</f>
        <v>52.121299999999998</v>
      </c>
      <c r="C1102">
        <f>+ROUND(Get_Data!C1101,5)</f>
        <v>29.430240000000001</v>
      </c>
      <c r="D1102" s="4">
        <f t="shared" si="18"/>
        <v>1.7710117212771623</v>
      </c>
    </row>
    <row r="1103" spans="1:4">
      <c r="A1103" s="2">
        <f>+Get_Data!A1102</f>
        <v>41040</v>
      </c>
      <c r="B1103">
        <f>+ROUND(Get_Data!B1102,5)</f>
        <v>52.12912</v>
      </c>
      <c r="C1103">
        <f>+ROUND(Get_Data!C1102,5)</f>
        <v>29.453060000000001</v>
      </c>
      <c r="D1103" s="4">
        <f t="shared" si="18"/>
        <v>1.7699050624960531</v>
      </c>
    </row>
    <row r="1104" spans="1:4">
      <c r="A1104" s="2">
        <f>+Get_Data!A1103</f>
        <v>41043</v>
      </c>
      <c r="B1104">
        <f>+ROUND(Get_Data!B1103,5)</f>
        <v>52.402230000000003</v>
      </c>
      <c r="C1104">
        <f>+ROUND(Get_Data!C1103,5)</f>
        <v>29.22495</v>
      </c>
      <c r="D1104" s="4">
        <f t="shared" si="18"/>
        <v>1.7930648298799485</v>
      </c>
    </row>
    <row r="1105" spans="1:4">
      <c r="A1105" s="2">
        <f>+Get_Data!A1104</f>
        <v>41044</v>
      </c>
      <c r="B1105">
        <f>+ROUND(Get_Data!B1104,5)</f>
        <v>52.948509999999999</v>
      </c>
      <c r="C1105">
        <f>+ROUND(Get_Data!C1104,5)</f>
        <v>29.110890000000001</v>
      </c>
      <c r="D1105" s="4">
        <f t="shared" si="18"/>
        <v>1.8188557615380361</v>
      </c>
    </row>
    <row r="1106" spans="1:4">
      <c r="A1106" s="2">
        <f>+Get_Data!A1105</f>
        <v>41045</v>
      </c>
      <c r="B1106">
        <f>+ROUND(Get_Data!B1105,5)</f>
        <v>53.650840000000002</v>
      </c>
      <c r="C1106">
        <f>+ROUND(Get_Data!C1105,5)</f>
        <v>29.019639999999999</v>
      </c>
      <c r="D1106" s="4">
        <f t="shared" si="18"/>
        <v>1.8487768973012761</v>
      </c>
    </row>
    <row r="1107" spans="1:4">
      <c r="A1107" s="2">
        <f>+Get_Data!A1106</f>
        <v>41046</v>
      </c>
      <c r="B1107">
        <f>+ROUND(Get_Data!B1106,5)</f>
        <v>53.666449999999998</v>
      </c>
      <c r="C1107">
        <f>+ROUND(Get_Data!C1106,5)</f>
        <v>28.559609999999999</v>
      </c>
      <c r="D1107" s="4">
        <f t="shared" si="18"/>
        <v>1.8791030409728984</v>
      </c>
    </row>
    <row r="1108" spans="1:4">
      <c r="A1108" s="2">
        <f>+Get_Data!A1107</f>
        <v>41047</v>
      </c>
      <c r="B1108">
        <f>+ROUND(Get_Data!B1107,5)</f>
        <v>53.159210000000002</v>
      </c>
      <c r="C1108">
        <f>+ROUND(Get_Data!C1107,5)</f>
        <v>28.152809999999999</v>
      </c>
      <c r="D1108" s="4">
        <f t="shared" si="18"/>
        <v>1.8882381545572184</v>
      </c>
    </row>
    <row r="1109" spans="1:4">
      <c r="A1109" s="2">
        <f>+Get_Data!A1108</f>
        <v>41050</v>
      </c>
      <c r="B1109">
        <f>+ROUND(Get_Data!B1108,5)</f>
        <v>53.049970000000002</v>
      </c>
      <c r="C1109">
        <f>+ROUND(Get_Data!C1108,5)</f>
        <v>28.3277</v>
      </c>
      <c r="D1109" s="4">
        <f t="shared" si="18"/>
        <v>1.8727242239927704</v>
      </c>
    </row>
    <row r="1110" spans="1:4">
      <c r="A1110" s="2">
        <f>+Get_Data!A1109</f>
        <v>41051</v>
      </c>
      <c r="B1110">
        <f>+ROUND(Get_Data!B1109,5)</f>
        <v>53.127980000000001</v>
      </c>
      <c r="C1110">
        <f>+ROUND(Get_Data!C1109,5)</f>
        <v>28.206050000000001</v>
      </c>
      <c r="D1110" s="4">
        <f t="shared" si="18"/>
        <v>1.8835668234297251</v>
      </c>
    </row>
    <row r="1111" spans="1:4">
      <c r="A1111" s="2">
        <f>+Get_Data!A1110</f>
        <v>41052</v>
      </c>
      <c r="B1111">
        <f>+ROUND(Get_Data!B1110,5)</f>
        <v>53.065559999999998</v>
      </c>
      <c r="C1111">
        <f>+ROUND(Get_Data!C1110,5)</f>
        <v>28.342919999999999</v>
      </c>
      <c r="D1111" s="4">
        <f t="shared" si="18"/>
        <v>1.8722686300494091</v>
      </c>
    </row>
    <row r="1112" spans="1:4">
      <c r="A1112" s="2">
        <f>+Get_Data!A1111</f>
        <v>41053</v>
      </c>
      <c r="B1112">
        <f>+ROUND(Get_Data!B1111,5)</f>
        <v>53.697659999999999</v>
      </c>
      <c r="C1112">
        <f>+ROUND(Get_Data!C1111,5)</f>
        <v>28.726900000000001</v>
      </c>
      <c r="D1112" s="4">
        <f t="shared" si="18"/>
        <v>1.8692465946551837</v>
      </c>
    </row>
    <row r="1113" spans="1:4">
      <c r="A1113" s="2">
        <f>+Get_Data!A1112</f>
        <v>41054</v>
      </c>
      <c r="B1113">
        <f>+ROUND(Get_Data!B1112,5)</f>
        <v>53.565010000000001</v>
      </c>
      <c r="C1113">
        <f>+ROUND(Get_Data!C1112,5)</f>
        <v>28.60144</v>
      </c>
      <c r="D1113" s="4">
        <f t="shared" si="18"/>
        <v>1.8728081523168065</v>
      </c>
    </row>
    <row r="1114" spans="1:4">
      <c r="A1114" s="2">
        <f>+Get_Data!A1113</f>
        <v>41058</v>
      </c>
      <c r="B1114">
        <f>+ROUND(Get_Data!B1113,5)</f>
        <v>54.103450000000002</v>
      </c>
      <c r="C1114">
        <f>+ROUND(Get_Data!C1113,5)</f>
        <v>28.688880000000001</v>
      </c>
      <c r="D1114" s="4">
        <f t="shared" si="18"/>
        <v>1.8858683224998676</v>
      </c>
    </row>
    <row r="1115" spans="1:4">
      <c r="A1115" s="2">
        <f>+Get_Data!A1114</f>
        <v>41059</v>
      </c>
      <c r="B1115">
        <f>+ROUND(Get_Data!B1114,5)</f>
        <v>53.653590000000001</v>
      </c>
      <c r="C1115">
        <f>+ROUND(Get_Data!C1114,5)</f>
        <v>28.536809999999999</v>
      </c>
      <c r="D1115" s="4">
        <f t="shared" si="18"/>
        <v>1.8801537382769835</v>
      </c>
    </row>
    <row r="1116" spans="1:4">
      <c r="A1116" s="2">
        <f>+Get_Data!A1115</f>
        <v>41060</v>
      </c>
      <c r="B1116">
        <f>+ROUND(Get_Data!B1115,5)</f>
        <v>53.3626</v>
      </c>
      <c r="C1116">
        <f>+ROUND(Get_Data!C1115,5)</f>
        <v>28.411339999999999</v>
      </c>
      <c r="D1116" s="4">
        <f t="shared" si="18"/>
        <v>1.8782148254886959</v>
      </c>
    </row>
    <row r="1117" spans="1:4">
      <c r="A1117" s="2">
        <f>+Get_Data!A1116</f>
        <v>41061</v>
      </c>
      <c r="B1117">
        <f>+ROUND(Get_Data!B1116,5)</f>
        <v>53.095190000000002</v>
      </c>
      <c r="C1117">
        <f>+ROUND(Get_Data!C1116,5)</f>
        <v>27.787839999999999</v>
      </c>
      <c r="D1117" s="4">
        <f t="shared" si="18"/>
        <v>1.9107346954639153</v>
      </c>
    </row>
    <row r="1118" spans="1:4">
      <c r="A1118" s="2">
        <f>+Get_Data!A1117</f>
        <v>41064</v>
      </c>
      <c r="B1118">
        <f>+ROUND(Get_Data!B1117,5)</f>
        <v>53.071599999999997</v>
      </c>
      <c r="C1118">
        <f>+ROUND(Get_Data!C1117,5)</f>
        <v>27.996939999999999</v>
      </c>
      <c r="D1118" s="4">
        <f t="shared" si="18"/>
        <v>1.8956214500584707</v>
      </c>
    </row>
    <row r="1119" spans="1:4">
      <c r="A1119" s="2">
        <f>+Get_Data!A1118</f>
        <v>41065</v>
      </c>
      <c r="B1119">
        <f>+ROUND(Get_Data!B1118,5)</f>
        <v>52.694090000000003</v>
      </c>
      <c r="C1119">
        <f>+ROUND(Get_Data!C1118,5)</f>
        <v>27.84487</v>
      </c>
      <c r="D1119" s="4">
        <f t="shared" si="18"/>
        <v>1.8924164487031185</v>
      </c>
    </row>
    <row r="1120" spans="1:4">
      <c r="A1120" s="2">
        <f>+Get_Data!A1119</f>
        <v>41066</v>
      </c>
      <c r="B1120">
        <f>+ROUND(Get_Data!B1119,5)</f>
        <v>53.079470000000001</v>
      </c>
      <c r="C1120">
        <f>+ROUND(Get_Data!C1119,5)</f>
        <v>28.36572</v>
      </c>
      <c r="D1120" s="4">
        <f t="shared" si="18"/>
        <v>1.8712541053073921</v>
      </c>
    </row>
    <row r="1121" spans="1:4">
      <c r="A1121" s="2">
        <f>+Get_Data!A1120</f>
        <v>41067</v>
      </c>
      <c r="B1121">
        <f>+ROUND(Get_Data!B1120,5)</f>
        <v>53.22889</v>
      </c>
      <c r="C1121">
        <f>+ROUND(Get_Data!C1120,5)</f>
        <v>28.240259999999999</v>
      </c>
      <c r="D1121" s="4">
        <f t="shared" si="18"/>
        <v>1.8848583547035331</v>
      </c>
    </row>
    <row r="1122" spans="1:4">
      <c r="A1122" s="2">
        <f>+Get_Data!A1121</f>
        <v>41068</v>
      </c>
      <c r="B1122">
        <f>+ROUND(Get_Data!B1121,5)</f>
        <v>53.724379999999996</v>
      </c>
      <c r="C1122">
        <f>+ROUND(Get_Data!C1121,5)</f>
        <v>28.605239999999998</v>
      </c>
      <c r="D1122" s="4">
        <f t="shared" si="18"/>
        <v>1.8781307201058268</v>
      </c>
    </row>
    <row r="1123" spans="1:4">
      <c r="A1123" s="2">
        <f>+Get_Data!A1122</f>
        <v>41071</v>
      </c>
      <c r="B1123">
        <f>+ROUND(Get_Data!B1122,5)</f>
        <v>53.5199</v>
      </c>
      <c r="C1123">
        <f>+ROUND(Get_Data!C1122,5)</f>
        <v>28.384740000000001</v>
      </c>
      <c r="D1123" s="4">
        <f t="shared" si="18"/>
        <v>1.8855166543713275</v>
      </c>
    </row>
    <row r="1124" spans="1:4">
      <c r="A1124" s="2">
        <f>+Get_Data!A1123</f>
        <v>41072</v>
      </c>
      <c r="B1124">
        <f>+ROUND(Get_Data!B1123,5)</f>
        <v>53.795169999999999</v>
      </c>
      <c r="C1124">
        <f>+ROUND(Get_Data!C1123,5)</f>
        <v>28.590029999999999</v>
      </c>
      <c r="D1124" s="4">
        <f t="shared" si="18"/>
        <v>1.8816059304589747</v>
      </c>
    </row>
    <row r="1125" spans="1:4">
      <c r="A1125" s="2">
        <f>+Get_Data!A1124</f>
        <v>41073</v>
      </c>
      <c r="B1125">
        <f>+ROUND(Get_Data!B1124,5)</f>
        <v>53.913139999999999</v>
      </c>
      <c r="C1125">
        <f>+ROUND(Get_Data!C1124,5)</f>
        <v>28.7866</v>
      </c>
      <c r="D1125" s="4">
        <f t="shared" si="18"/>
        <v>1.8728554257883876</v>
      </c>
    </row>
    <row r="1126" spans="1:4">
      <c r="A1126" s="2">
        <f>+Get_Data!A1125</f>
        <v>41074</v>
      </c>
      <c r="B1126">
        <f>+ROUND(Get_Data!B1125,5)</f>
        <v>54.479390000000002</v>
      </c>
      <c r="C1126">
        <f>+ROUND(Get_Data!C1125,5)</f>
        <v>29.191279999999999</v>
      </c>
      <c r="D1126" s="4">
        <f t="shared" si="18"/>
        <v>1.8662898646445105</v>
      </c>
    </row>
    <row r="1127" spans="1:4">
      <c r="A1127" s="2">
        <f>+Get_Data!A1126</f>
        <v>41075</v>
      </c>
      <c r="B1127">
        <f>+ROUND(Get_Data!B1126,5)</f>
        <v>54.644550000000002</v>
      </c>
      <c r="C1127">
        <f>+ROUND(Get_Data!C1126,5)</f>
        <v>29.326160000000002</v>
      </c>
      <c r="D1127" s="4">
        <f t="shared" si="18"/>
        <v>1.86333805721581</v>
      </c>
    </row>
    <row r="1128" spans="1:4">
      <c r="A1128" s="2">
        <f>+Get_Data!A1127</f>
        <v>41078</v>
      </c>
      <c r="B1128">
        <f>+ROUND(Get_Data!B1127,5)</f>
        <v>54.738939999999999</v>
      </c>
      <c r="C1128">
        <f>+ROUND(Get_Data!C1127,5)</f>
        <v>29.28378</v>
      </c>
      <c r="D1128" s="4">
        <f t="shared" si="18"/>
        <v>1.8692579987966034</v>
      </c>
    </row>
    <row r="1129" spans="1:4">
      <c r="A1129" s="2">
        <f>+Get_Data!A1128</f>
        <v>41079</v>
      </c>
      <c r="B1129">
        <f>+ROUND(Get_Data!B1128,5)</f>
        <v>54.510840000000002</v>
      </c>
      <c r="C1129">
        <f>+ROUND(Get_Data!C1128,5)</f>
        <v>29.191279999999999</v>
      </c>
      <c r="D1129" s="4">
        <f t="shared" si="18"/>
        <v>1.8673672411761322</v>
      </c>
    </row>
    <row r="1130" spans="1:4">
      <c r="A1130" s="2">
        <f>+Get_Data!A1129</f>
        <v>41080</v>
      </c>
      <c r="B1130">
        <f>+ROUND(Get_Data!B1129,5)</f>
        <v>54.196269999999998</v>
      </c>
      <c r="C1130">
        <f>+ROUND(Get_Data!C1129,5)</f>
        <v>29.1219</v>
      </c>
      <c r="D1130" s="4">
        <f t="shared" si="18"/>
        <v>1.8610142195392469</v>
      </c>
    </row>
    <row r="1131" spans="1:4">
      <c r="A1131" s="2">
        <f>+Get_Data!A1130</f>
        <v>41081</v>
      </c>
      <c r="B1131">
        <f>+ROUND(Get_Data!B1130,5)</f>
        <v>53.873809999999999</v>
      </c>
      <c r="C1131">
        <f>+ROUND(Get_Data!C1130,5)</f>
        <v>28.778880000000001</v>
      </c>
      <c r="D1131" s="4">
        <f t="shared" si="18"/>
        <v>1.871991196321747</v>
      </c>
    </row>
    <row r="1132" spans="1:4">
      <c r="A1132" s="2">
        <f>+Get_Data!A1131</f>
        <v>41082</v>
      </c>
      <c r="B1132">
        <f>+ROUND(Get_Data!B1131,5)</f>
        <v>54.031109999999998</v>
      </c>
      <c r="C1132">
        <f>+ROUND(Get_Data!C1131,5)</f>
        <v>28.882950000000001</v>
      </c>
      <c r="D1132" s="4">
        <f t="shared" si="18"/>
        <v>1.8706922249977926</v>
      </c>
    </row>
    <row r="1133" spans="1:4">
      <c r="A1133" s="2">
        <f>+Get_Data!A1132</f>
        <v>41085</v>
      </c>
      <c r="B1133">
        <f>+ROUND(Get_Data!B1132,5)</f>
        <v>53.960320000000003</v>
      </c>
      <c r="C1133">
        <f>+ROUND(Get_Data!C1132,5)</f>
        <v>28.817430000000002</v>
      </c>
      <c r="D1133" s="4">
        <f t="shared" si="18"/>
        <v>1.8724889762896968</v>
      </c>
    </row>
    <row r="1134" spans="1:4">
      <c r="A1134" s="2">
        <f>+Get_Data!A1133</f>
        <v>41086</v>
      </c>
      <c r="B1134">
        <f>+ROUND(Get_Data!B1133,5)</f>
        <v>54.219850000000001</v>
      </c>
      <c r="C1134">
        <f>+ROUND(Get_Data!C1133,5)</f>
        <v>28.936900000000001</v>
      </c>
      <c r="D1134" s="4">
        <f t="shared" si="18"/>
        <v>1.8737269714447642</v>
      </c>
    </row>
    <row r="1135" spans="1:4">
      <c r="A1135" s="2">
        <f>+Get_Data!A1134</f>
        <v>41087</v>
      </c>
      <c r="B1135">
        <f>+ROUND(Get_Data!B1134,5)</f>
        <v>54.856920000000002</v>
      </c>
      <c r="C1135">
        <f>+ROUND(Get_Data!C1134,5)</f>
        <v>29.422519999999999</v>
      </c>
      <c r="D1135" s="4">
        <f t="shared" si="18"/>
        <v>1.8644534866490023</v>
      </c>
    </row>
    <row r="1136" spans="1:4">
      <c r="A1136" s="2">
        <f>+Get_Data!A1135</f>
        <v>41088</v>
      </c>
      <c r="B1136">
        <f>+ROUND(Get_Data!B1135,5)</f>
        <v>54.738939999999999</v>
      </c>
      <c r="C1136">
        <f>+ROUND(Get_Data!C1135,5)</f>
        <v>29.51117</v>
      </c>
      <c r="D1136" s="4">
        <f t="shared" si="18"/>
        <v>1.8548549583090064</v>
      </c>
    </row>
    <row r="1137" spans="1:4">
      <c r="A1137" s="2">
        <f>+Get_Data!A1136</f>
        <v>41089</v>
      </c>
      <c r="B1137">
        <f>+ROUND(Get_Data!B1136,5)</f>
        <v>55.572609999999997</v>
      </c>
      <c r="C1137">
        <f>+ROUND(Get_Data!C1136,5)</f>
        <v>30.135539999999999</v>
      </c>
      <c r="D1137" s="4">
        <f t="shared" si="18"/>
        <v>1.8440887404041872</v>
      </c>
    </row>
    <row r="1138" spans="1:4">
      <c r="A1138" s="2">
        <f>+Get_Data!A1137</f>
        <v>41092</v>
      </c>
      <c r="B1138">
        <f>+ROUND(Get_Data!B1137,5)</f>
        <v>55.651249999999997</v>
      </c>
      <c r="C1138">
        <f>+ROUND(Get_Data!C1137,5)</f>
        <v>30.416889999999999</v>
      </c>
      <c r="D1138" s="4">
        <f t="shared" si="18"/>
        <v>1.829616703088317</v>
      </c>
    </row>
    <row r="1139" spans="1:4">
      <c r="A1139" s="2">
        <f>+Get_Data!A1138</f>
        <v>41093</v>
      </c>
      <c r="B1139">
        <f>+ROUND(Get_Data!B1138,5)</f>
        <v>55.651249999999997</v>
      </c>
      <c r="C1139">
        <f>+ROUND(Get_Data!C1138,5)</f>
        <v>30.509399999999999</v>
      </c>
      <c r="D1139" s="4">
        <f t="shared" si="18"/>
        <v>1.8240689754632997</v>
      </c>
    </row>
    <row r="1140" spans="1:4">
      <c r="A1140" s="2">
        <f>+Get_Data!A1139</f>
        <v>41095</v>
      </c>
      <c r="B1140">
        <f>+ROUND(Get_Data!B1139,5)</f>
        <v>55.187240000000003</v>
      </c>
      <c r="C1140">
        <f>+ROUND(Get_Data!C1139,5)</f>
        <v>30.235749999999999</v>
      </c>
      <c r="D1140" s="4">
        <f t="shared" si="18"/>
        <v>1.8252313899936334</v>
      </c>
    </row>
    <row r="1141" spans="1:4">
      <c r="A1141" s="2">
        <f>+Get_Data!A1140</f>
        <v>41096</v>
      </c>
      <c r="B1141">
        <f>+ROUND(Get_Data!B1140,5)</f>
        <v>55.226559999999999</v>
      </c>
      <c r="C1141">
        <f>+ROUND(Get_Data!C1140,5)</f>
        <v>30.12013</v>
      </c>
      <c r="D1141" s="4">
        <f t="shared" si="18"/>
        <v>1.8335432151189255</v>
      </c>
    </row>
    <row r="1142" spans="1:4">
      <c r="A1142" s="2">
        <f>+Get_Data!A1141</f>
        <v>41099</v>
      </c>
      <c r="B1142">
        <f>+ROUND(Get_Data!B1141,5)</f>
        <v>55.045670000000001</v>
      </c>
      <c r="C1142">
        <f>+ROUND(Get_Data!C1141,5)</f>
        <v>30.054600000000001</v>
      </c>
      <c r="D1142" s="4">
        <f t="shared" si="18"/>
        <v>1.8315222960877868</v>
      </c>
    </row>
    <row r="1143" spans="1:4">
      <c r="A1143" s="2">
        <f>+Get_Data!A1142</f>
        <v>41100</v>
      </c>
      <c r="B1143">
        <f>+ROUND(Get_Data!B1142,5)</f>
        <v>54.951270000000001</v>
      </c>
      <c r="C1143">
        <f>+ROUND(Get_Data!C1142,5)</f>
        <v>30.054600000000001</v>
      </c>
      <c r="D1143" s="4">
        <f t="shared" si="18"/>
        <v>1.8283813459503704</v>
      </c>
    </row>
    <row r="1144" spans="1:4">
      <c r="A1144" s="2">
        <f>+Get_Data!A1143</f>
        <v>41101</v>
      </c>
      <c r="B1144">
        <f>+ROUND(Get_Data!B1143,5)</f>
        <v>55.155760000000001</v>
      </c>
      <c r="C1144">
        <f>+ROUND(Get_Data!C1143,5)</f>
        <v>29.854189999999999</v>
      </c>
      <c r="D1144" s="4">
        <f t="shared" si="18"/>
        <v>1.8475048226061401</v>
      </c>
    </row>
    <row r="1145" spans="1:4">
      <c r="A1145" s="2">
        <f>+Get_Data!A1144</f>
        <v>41102</v>
      </c>
      <c r="B1145">
        <f>+ROUND(Get_Data!B1144,5)</f>
        <v>54.935549999999999</v>
      </c>
      <c r="C1145">
        <f>+ROUND(Get_Data!C1144,5)</f>
        <v>29.538150000000002</v>
      </c>
      <c r="D1145" s="4">
        <f t="shared" si="18"/>
        <v>1.8598168808811655</v>
      </c>
    </row>
    <row r="1146" spans="1:4">
      <c r="A1146" s="2">
        <f>+Get_Data!A1145</f>
        <v>41103</v>
      </c>
      <c r="B1146">
        <f>+ROUND(Get_Data!B1145,5)</f>
        <v>55.375979999999998</v>
      </c>
      <c r="C1146">
        <f>+ROUND(Get_Data!C1145,5)</f>
        <v>29.78481</v>
      </c>
      <c r="D1146" s="4">
        <f t="shared" si="18"/>
        <v>1.8592020563501999</v>
      </c>
    </row>
    <row r="1147" spans="1:4">
      <c r="A1147" s="2">
        <f>+Get_Data!A1146</f>
        <v>41106</v>
      </c>
      <c r="B1147">
        <f>+ROUND(Get_Data!B1146,5)</f>
        <v>55.328800000000001</v>
      </c>
      <c r="C1147">
        <f>+ROUND(Get_Data!C1146,5)</f>
        <v>29.476479999999999</v>
      </c>
      <c r="D1147" s="4">
        <f t="shared" si="18"/>
        <v>1.8770490913433355</v>
      </c>
    </row>
    <row r="1148" spans="1:4">
      <c r="A1148" s="2">
        <f>+Get_Data!A1147</f>
        <v>41107</v>
      </c>
      <c r="B1148">
        <f>+ROUND(Get_Data!B1147,5)</f>
        <v>55.313079999999999</v>
      </c>
      <c r="C1148">
        <f>+ROUND(Get_Data!C1147,5)</f>
        <v>29.94285</v>
      </c>
      <c r="D1148" s="4">
        <f t="shared" si="18"/>
        <v>1.8472884177691835</v>
      </c>
    </row>
    <row r="1149" spans="1:4">
      <c r="A1149" s="2">
        <f>+Get_Data!A1148</f>
        <v>41108</v>
      </c>
      <c r="B1149">
        <f>+ROUND(Get_Data!B1148,5)</f>
        <v>55.352379999999997</v>
      </c>
      <c r="C1149">
        <f>+ROUND(Get_Data!C1148,5)</f>
        <v>29.84647</v>
      </c>
      <c r="D1149" s="4">
        <f t="shared" si="18"/>
        <v>1.8545704064835806</v>
      </c>
    </row>
    <row r="1150" spans="1:4">
      <c r="A1150" s="2">
        <f>+Get_Data!A1149</f>
        <v>41109</v>
      </c>
      <c r="B1150">
        <f>+ROUND(Get_Data!B1149,5)</f>
        <v>55.383839999999999</v>
      </c>
      <c r="C1150">
        <f>+ROUND(Get_Data!C1149,5)</f>
        <v>29.88889</v>
      </c>
      <c r="D1150" s="4">
        <f t="shared" si="18"/>
        <v>1.8529908604836112</v>
      </c>
    </row>
    <row r="1151" spans="1:4">
      <c r="A1151" s="2">
        <f>+Get_Data!A1150</f>
        <v>41110</v>
      </c>
      <c r="B1151">
        <f>+ROUND(Get_Data!B1150,5)</f>
        <v>55.022069999999999</v>
      </c>
      <c r="C1151">
        <f>+ROUND(Get_Data!C1150,5)</f>
        <v>29.688459999999999</v>
      </c>
      <c r="D1151" s="4">
        <f t="shared" si="18"/>
        <v>1.8533150591172463</v>
      </c>
    </row>
    <row r="1152" spans="1:4">
      <c r="A1152" s="2">
        <f>+Get_Data!A1151</f>
        <v>41113</v>
      </c>
      <c r="B1152">
        <f>+ROUND(Get_Data!B1151,5)</f>
        <v>54.534460000000003</v>
      </c>
      <c r="C1152">
        <f>+ROUND(Get_Data!C1151,5)</f>
        <v>29.63064</v>
      </c>
      <c r="D1152" s="4">
        <f t="shared" si="18"/>
        <v>1.8404752647934706</v>
      </c>
    </row>
    <row r="1153" spans="1:4">
      <c r="A1153" s="2">
        <f>+Get_Data!A1152</f>
        <v>41114</v>
      </c>
      <c r="B1153">
        <f>+ROUND(Get_Data!B1152,5)</f>
        <v>54.101889999999997</v>
      </c>
      <c r="C1153">
        <f>+ROUND(Get_Data!C1152,5)</f>
        <v>29.545850000000002</v>
      </c>
      <c r="D1153" s="4">
        <f t="shared" si="18"/>
        <v>1.8311163835191742</v>
      </c>
    </row>
    <row r="1154" spans="1:4">
      <c r="A1154" s="2">
        <f>+Get_Data!A1153</f>
        <v>41115</v>
      </c>
      <c r="B1154">
        <f>+ROUND(Get_Data!B1153,5)</f>
        <v>55.289479999999998</v>
      </c>
      <c r="C1154">
        <f>+ROUND(Get_Data!C1153,5)</f>
        <v>29.684609999999999</v>
      </c>
      <c r="D1154" s="4">
        <f t="shared" si="18"/>
        <v>1.8625637998949625</v>
      </c>
    </row>
    <row r="1155" spans="1:4">
      <c r="A1155" s="2">
        <f>+Get_Data!A1154</f>
        <v>41116</v>
      </c>
      <c r="B1155">
        <f>+ROUND(Get_Data!B1154,5)</f>
        <v>56.013030000000001</v>
      </c>
      <c r="C1155">
        <f>+ROUND(Get_Data!C1154,5)</f>
        <v>30.38992</v>
      </c>
      <c r="D1155" s="4">
        <f t="shared" si="18"/>
        <v>1.8431450296677319</v>
      </c>
    </row>
    <row r="1156" spans="1:4">
      <c r="A1156" s="2">
        <f>+Get_Data!A1155</f>
        <v>41117</v>
      </c>
      <c r="B1156">
        <f>+ROUND(Get_Data!B1155,5)</f>
        <v>56.830970000000001</v>
      </c>
      <c r="C1156">
        <f>+ROUND(Get_Data!C1155,5)</f>
        <v>30.837009999999999</v>
      </c>
      <c r="D1156" s="4">
        <f t="shared" ref="D1156:D1219" si="19">IFERROR(B1156/C1156,"")</f>
        <v>1.8429468356367884</v>
      </c>
    </row>
    <row r="1157" spans="1:4">
      <c r="A1157" s="2">
        <f>+Get_Data!A1156</f>
        <v>41120</v>
      </c>
      <c r="B1157">
        <f>+ROUND(Get_Data!B1156,5)</f>
        <v>57.216349999999998</v>
      </c>
      <c r="C1157">
        <f>+ROUND(Get_Data!C1156,5)</f>
        <v>31.264800000000001</v>
      </c>
      <c r="D1157" s="4">
        <f t="shared" si="19"/>
        <v>1.8300564852485861</v>
      </c>
    </row>
    <row r="1158" spans="1:4">
      <c r="A1158" s="2">
        <f>+Get_Data!A1157</f>
        <v>41121</v>
      </c>
      <c r="B1158">
        <f>+ROUND(Get_Data!B1157,5)</f>
        <v>57.200629999999997</v>
      </c>
      <c r="C1158">
        <f>+ROUND(Get_Data!C1157,5)</f>
        <v>31.141480000000001</v>
      </c>
      <c r="D1158" s="4">
        <f t="shared" si="19"/>
        <v>1.8367987006397897</v>
      </c>
    </row>
    <row r="1159" spans="1:4">
      <c r="A1159" s="2">
        <f>+Get_Data!A1158</f>
        <v>41122</v>
      </c>
      <c r="B1159">
        <f>+ROUND(Get_Data!B1158,5)</f>
        <v>56.941079999999999</v>
      </c>
      <c r="C1159">
        <f>+ROUND(Get_Data!C1158,5)</f>
        <v>31.22242</v>
      </c>
      <c r="D1159" s="4">
        <f t="shared" si="19"/>
        <v>1.8237241059469445</v>
      </c>
    </row>
    <row r="1160" spans="1:4">
      <c r="A1160" s="2">
        <f>+Get_Data!A1159</f>
        <v>41123</v>
      </c>
      <c r="B1160">
        <f>+ROUND(Get_Data!B1159,5)</f>
        <v>56.469180000000001</v>
      </c>
      <c r="C1160">
        <f>+ROUND(Get_Data!C1159,5)</f>
        <v>30.736789999999999</v>
      </c>
      <c r="D1160" s="4">
        <f t="shared" si="19"/>
        <v>1.8371853404340532</v>
      </c>
    </row>
    <row r="1161" spans="1:4">
      <c r="A1161" s="2">
        <f>+Get_Data!A1160</f>
        <v>41124</v>
      </c>
      <c r="B1161">
        <f>+ROUND(Get_Data!B1160,5)</f>
        <v>57.310740000000003</v>
      </c>
      <c r="C1161">
        <f>+ROUND(Get_Data!C1160,5)</f>
        <v>31.15305</v>
      </c>
      <c r="D1161" s="4">
        <f t="shared" si="19"/>
        <v>1.8396510133036734</v>
      </c>
    </row>
    <row r="1162" spans="1:4">
      <c r="A1162" s="2">
        <f>+Get_Data!A1161</f>
        <v>41127</v>
      </c>
      <c r="B1162">
        <f>+ROUND(Get_Data!B1161,5)</f>
        <v>57.003999999999998</v>
      </c>
      <c r="C1162">
        <f>+ROUND(Get_Data!C1161,5)</f>
        <v>31.079809999999998</v>
      </c>
      <c r="D1162" s="4">
        <f t="shared" si="19"/>
        <v>1.8341167465309474</v>
      </c>
    </row>
    <row r="1163" spans="1:4">
      <c r="A1163" s="2">
        <f>+Get_Data!A1162</f>
        <v>41128</v>
      </c>
      <c r="B1163">
        <f>+ROUND(Get_Data!B1162,5)</f>
        <v>56.854550000000003</v>
      </c>
      <c r="C1163">
        <f>+ROUND(Get_Data!C1162,5)</f>
        <v>30.744499999999999</v>
      </c>
      <c r="D1163" s="4">
        <f t="shared" si="19"/>
        <v>1.8492592170957409</v>
      </c>
    </row>
    <row r="1164" spans="1:4">
      <c r="A1164" s="2">
        <f>+Get_Data!A1163</f>
        <v>41129</v>
      </c>
      <c r="B1164">
        <f>+ROUND(Get_Data!B1163,5)</f>
        <v>57.07479</v>
      </c>
      <c r="C1164">
        <f>+ROUND(Get_Data!C1163,5)</f>
        <v>30.66356</v>
      </c>
      <c r="D1164" s="4">
        <f t="shared" si="19"/>
        <v>1.8613230166360331</v>
      </c>
    </row>
    <row r="1165" spans="1:4">
      <c r="A1165" s="2">
        <f>+Get_Data!A1164</f>
        <v>41130</v>
      </c>
      <c r="B1165">
        <f>+ROUND(Get_Data!B1164,5)</f>
        <v>56.736600000000003</v>
      </c>
      <c r="C1165">
        <f>+ROUND(Get_Data!C1164,5)</f>
        <v>30.540230000000001</v>
      </c>
      <c r="D1165" s="4">
        <f t="shared" si="19"/>
        <v>1.8577659696734439</v>
      </c>
    </row>
    <row r="1166" spans="1:4">
      <c r="A1166" s="2">
        <f>+Get_Data!A1165</f>
        <v>41131</v>
      </c>
      <c r="B1166">
        <f>+ROUND(Get_Data!B1165,5)</f>
        <v>56.728729999999999</v>
      </c>
      <c r="C1166">
        <f>+ROUND(Get_Data!C1165,5)</f>
        <v>30.366790000000002</v>
      </c>
      <c r="D1166" s="4">
        <f t="shared" si="19"/>
        <v>1.8681174401377292</v>
      </c>
    </row>
    <row r="1167" spans="1:4">
      <c r="A1167" s="2">
        <f>+Get_Data!A1166</f>
        <v>41134</v>
      </c>
      <c r="B1167">
        <f>+ROUND(Get_Data!B1166,5)</f>
        <v>56.618630000000003</v>
      </c>
      <c r="C1167">
        <f>+ROUND(Get_Data!C1166,5)</f>
        <v>30.293559999999999</v>
      </c>
      <c r="D1167" s="4">
        <f t="shared" si="19"/>
        <v>1.868998889532957</v>
      </c>
    </row>
    <row r="1168" spans="1:4">
      <c r="A1168" s="2">
        <f>+Get_Data!A1167</f>
        <v>41135</v>
      </c>
      <c r="B1168">
        <f>+ROUND(Get_Data!B1167,5)</f>
        <v>56.815240000000003</v>
      </c>
      <c r="C1168">
        <f>+ROUND(Get_Data!C1167,5)</f>
        <v>30.355239999999998</v>
      </c>
      <c r="D1168" s="4">
        <f t="shared" si="19"/>
        <v>1.8716781682503583</v>
      </c>
    </row>
    <row r="1169" spans="1:4">
      <c r="A1169" s="2">
        <f>+Get_Data!A1168</f>
        <v>41136</v>
      </c>
      <c r="B1169">
        <f>+ROUND(Get_Data!B1168,5)</f>
        <v>57.114100000000001</v>
      </c>
      <c r="C1169">
        <f>+ROUND(Get_Data!C1168,5)</f>
        <v>30.332100000000001</v>
      </c>
      <c r="D1169" s="4">
        <f t="shared" si="19"/>
        <v>1.8829589774529294</v>
      </c>
    </row>
    <row r="1170" spans="1:4">
      <c r="A1170" s="2">
        <f>+Get_Data!A1169</f>
        <v>41137</v>
      </c>
      <c r="B1170">
        <f>+ROUND(Get_Data!B1169,5)</f>
        <v>57.869120000000002</v>
      </c>
      <c r="C1170">
        <f>+ROUND(Get_Data!C1169,5)</f>
        <v>30.486270000000001</v>
      </c>
      <c r="D1170" s="4">
        <f t="shared" si="19"/>
        <v>1.8982026991166843</v>
      </c>
    </row>
    <row r="1171" spans="1:4">
      <c r="A1171" s="2">
        <f>+Get_Data!A1170</f>
        <v>41138</v>
      </c>
      <c r="B1171">
        <f>+ROUND(Get_Data!B1170,5)</f>
        <v>57.71969</v>
      </c>
      <c r="C1171">
        <f>+ROUND(Get_Data!C1170,5)</f>
        <v>30.470849999999999</v>
      </c>
      <c r="D1171" s="4">
        <f t="shared" si="19"/>
        <v>1.8942592674638221</v>
      </c>
    </row>
    <row r="1172" spans="1:4">
      <c r="A1172" s="2">
        <f>+Get_Data!A1171</f>
        <v>41141</v>
      </c>
      <c r="B1172">
        <f>+ROUND(Get_Data!B1171,5)</f>
        <v>57.672519999999999</v>
      </c>
      <c r="C1172">
        <f>+ROUND(Get_Data!C1171,5)</f>
        <v>30.424610000000001</v>
      </c>
      <c r="D1172" s="4">
        <f t="shared" si="19"/>
        <v>1.8955878152587657</v>
      </c>
    </row>
    <row r="1173" spans="1:4">
      <c r="A1173" s="2">
        <f>+Get_Data!A1172</f>
        <v>41142</v>
      </c>
      <c r="B1173">
        <f>+ROUND(Get_Data!B1172,5)</f>
        <v>57.420850000000002</v>
      </c>
      <c r="C1173">
        <f>+ROUND(Get_Data!C1172,5)</f>
        <v>30.262730000000001</v>
      </c>
      <c r="D1173" s="4">
        <f t="shared" si="19"/>
        <v>1.8974114364434405</v>
      </c>
    </row>
    <row r="1174" spans="1:4">
      <c r="A1174" s="2">
        <f>+Get_Data!A1173</f>
        <v>41143</v>
      </c>
      <c r="B1174">
        <f>+ROUND(Get_Data!B1173,5)</f>
        <v>57.326459999999997</v>
      </c>
      <c r="C1174">
        <f>+ROUND(Get_Data!C1173,5)</f>
        <v>29.88503</v>
      </c>
      <c r="D1174" s="4">
        <f t="shared" si="19"/>
        <v>1.9182333094529267</v>
      </c>
    </row>
    <row r="1175" spans="1:4">
      <c r="A1175" s="2">
        <f>+Get_Data!A1174</f>
        <v>41144</v>
      </c>
      <c r="B1175">
        <f>+ROUND(Get_Data!B1174,5)</f>
        <v>57.145560000000003</v>
      </c>
      <c r="C1175">
        <f>+ROUND(Get_Data!C1174,5)</f>
        <v>29.376290000000001</v>
      </c>
      <c r="D1175" s="4">
        <f t="shared" si="19"/>
        <v>1.9452953385196021</v>
      </c>
    </row>
    <row r="1176" spans="1:4">
      <c r="A1176" s="2">
        <f>+Get_Data!A1175</f>
        <v>41145</v>
      </c>
      <c r="B1176">
        <f>+ROUND(Get_Data!B1175,5)</f>
        <v>57.460160000000002</v>
      </c>
      <c r="C1176">
        <f>+ROUND(Get_Data!C1175,5)</f>
        <v>29.653780000000001</v>
      </c>
      <c r="D1176" s="4">
        <f t="shared" si="19"/>
        <v>1.9377010283343303</v>
      </c>
    </row>
    <row r="1177" spans="1:4">
      <c r="A1177" s="2">
        <f>+Get_Data!A1176</f>
        <v>41148</v>
      </c>
      <c r="B1177">
        <f>+ROUND(Get_Data!B1176,5)</f>
        <v>57.546660000000003</v>
      </c>
      <c r="C1177">
        <f>+ROUND(Get_Data!C1176,5)</f>
        <v>29.422519999999999</v>
      </c>
      <c r="D1177" s="4">
        <f t="shared" si="19"/>
        <v>1.9558712170133628</v>
      </c>
    </row>
    <row r="1178" spans="1:4">
      <c r="A1178" s="2">
        <f>+Get_Data!A1177</f>
        <v>41149</v>
      </c>
      <c r="B1178">
        <f>+ROUND(Get_Data!B1177,5)</f>
        <v>57.507330000000003</v>
      </c>
      <c r="C1178">
        <f>+ROUND(Get_Data!C1177,5)</f>
        <v>29.29149</v>
      </c>
      <c r="D1178" s="4">
        <f t="shared" si="19"/>
        <v>1.9632777301530242</v>
      </c>
    </row>
    <row r="1179" spans="1:4">
      <c r="A1179" s="2">
        <f>+Get_Data!A1178</f>
        <v>41150</v>
      </c>
      <c r="B1179">
        <f>+ROUND(Get_Data!B1178,5)</f>
        <v>57.23995</v>
      </c>
      <c r="C1179">
        <f>+ROUND(Get_Data!C1178,5)</f>
        <v>28.875229999999998</v>
      </c>
      <c r="D1179" s="4">
        <f t="shared" si="19"/>
        <v>1.982320140826584</v>
      </c>
    </row>
    <row r="1180" spans="1:4">
      <c r="A1180" s="2">
        <f>+Get_Data!A1179</f>
        <v>41151</v>
      </c>
      <c r="B1180">
        <f>+ROUND(Get_Data!B1179,5)</f>
        <v>56.768030000000003</v>
      </c>
      <c r="C1180">
        <f>+ROUND(Get_Data!C1179,5)</f>
        <v>28.62857</v>
      </c>
      <c r="D1180" s="4">
        <f t="shared" si="19"/>
        <v>1.9829153185087485</v>
      </c>
    </row>
    <row r="1181" spans="1:4">
      <c r="A1181" s="2">
        <f>+Get_Data!A1180</f>
        <v>41152</v>
      </c>
      <c r="B1181">
        <f>+ROUND(Get_Data!B1180,5)</f>
        <v>56.964680000000001</v>
      </c>
      <c r="C1181">
        <f>+ROUND(Get_Data!C1180,5)</f>
        <v>28.828980000000001</v>
      </c>
      <c r="D1181" s="4">
        <f t="shared" si="19"/>
        <v>1.9759519761018252</v>
      </c>
    </row>
    <row r="1182" spans="1:4">
      <c r="A1182" s="2">
        <f>+Get_Data!A1181</f>
        <v>41156</v>
      </c>
      <c r="B1182">
        <f>+ROUND(Get_Data!B1181,5)</f>
        <v>57.003999999999998</v>
      </c>
      <c r="C1182">
        <f>+ROUND(Get_Data!C1181,5)</f>
        <v>28.73649</v>
      </c>
      <c r="D1182" s="4">
        <f t="shared" si="19"/>
        <v>1.9836799831851419</v>
      </c>
    </row>
    <row r="1183" spans="1:4">
      <c r="A1183" s="2">
        <f>+Get_Data!A1182</f>
        <v>41157</v>
      </c>
      <c r="B1183">
        <f>+ROUND(Get_Data!B1182,5)</f>
        <v>56.685479999999998</v>
      </c>
      <c r="C1183">
        <f>+ROUND(Get_Data!C1182,5)</f>
        <v>28.913779999999999</v>
      </c>
      <c r="D1183" s="4">
        <f t="shared" si="19"/>
        <v>1.9605004949197233</v>
      </c>
    </row>
    <row r="1184" spans="1:4">
      <c r="A1184" s="2">
        <f>+Get_Data!A1183</f>
        <v>41158</v>
      </c>
      <c r="B1184">
        <f>+ROUND(Get_Data!B1183,5)</f>
        <v>57.168819999999997</v>
      </c>
      <c r="C1184">
        <f>+ROUND(Get_Data!C1183,5)</f>
        <v>29.407109999999999</v>
      </c>
      <c r="D1184" s="4">
        <f t="shared" si="19"/>
        <v>1.9440475449644661</v>
      </c>
    </row>
    <row r="1185" spans="1:4">
      <c r="A1185" s="2">
        <f>+Get_Data!A1184</f>
        <v>41159</v>
      </c>
      <c r="B1185">
        <f>+ROUND(Get_Data!B1184,5)</f>
        <v>57.129179999999998</v>
      </c>
      <c r="C1185">
        <f>+ROUND(Get_Data!C1184,5)</f>
        <v>29.214400000000001</v>
      </c>
      <c r="D1185" s="4">
        <f t="shared" si="19"/>
        <v>1.9555144038556327</v>
      </c>
    </row>
    <row r="1186" spans="1:4">
      <c r="A1186" s="2">
        <f>+Get_Data!A1185</f>
        <v>41162</v>
      </c>
      <c r="B1186">
        <f>+ROUND(Get_Data!B1185,5)</f>
        <v>56.923160000000003</v>
      </c>
      <c r="C1186">
        <f>+ROUND(Get_Data!C1185,5)</f>
        <v>29.029409999999999</v>
      </c>
      <c r="D1186" s="4">
        <f t="shared" si="19"/>
        <v>1.9608789844505969</v>
      </c>
    </row>
    <row r="1187" spans="1:4">
      <c r="A1187" s="2">
        <f>+Get_Data!A1186</f>
        <v>41163</v>
      </c>
      <c r="B1187">
        <f>+ROUND(Get_Data!B1186,5)</f>
        <v>56.717170000000003</v>
      </c>
      <c r="C1187">
        <f>+ROUND(Get_Data!C1186,5)</f>
        <v>29.114190000000001</v>
      </c>
      <c r="D1187" s="4">
        <f t="shared" si="19"/>
        <v>1.9480936958919346</v>
      </c>
    </row>
    <row r="1188" spans="1:4">
      <c r="A1188" s="2">
        <f>+Get_Data!A1187</f>
        <v>41164</v>
      </c>
      <c r="B1188">
        <f>+ROUND(Get_Data!B1187,5)</f>
        <v>55.512770000000003</v>
      </c>
      <c r="C1188">
        <f>+ROUND(Get_Data!C1187,5)</f>
        <v>29.141369999999998</v>
      </c>
      <c r="D1188" s="4">
        <f t="shared" si="19"/>
        <v>1.9049471593133749</v>
      </c>
    </row>
    <row r="1189" spans="1:4">
      <c r="A1189" s="2">
        <f>+Get_Data!A1188</f>
        <v>41165</v>
      </c>
      <c r="B1189">
        <f>+ROUND(Get_Data!B1188,5)</f>
        <v>56.162509999999997</v>
      </c>
      <c r="C1189">
        <f>+ROUND(Get_Data!C1188,5)</f>
        <v>29.76221</v>
      </c>
      <c r="D1189" s="4">
        <f t="shared" si="19"/>
        <v>1.8870409825076833</v>
      </c>
    </row>
    <row r="1190" spans="1:4">
      <c r="A1190" s="2">
        <f>+Get_Data!A1189</f>
        <v>41166</v>
      </c>
      <c r="B1190">
        <f>+ROUND(Get_Data!B1189,5)</f>
        <v>55.829729999999998</v>
      </c>
      <c r="C1190">
        <f>+ROUND(Get_Data!C1189,5)</f>
        <v>29.58372</v>
      </c>
      <c r="D1190" s="4">
        <f t="shared" si="19"/>
        <v>1.8871774746380778</v>
      </c>
    </row>
    <row r="1191" spans="1:4">
      <c r="A1191" s="2">
        <f>+Get_Data!A1190</f>
        <v>41169</v>
      </c>
      <c r="B1191">
        <f>+ROUND(Get_Data!B1190,5)</f>
        <v>55.774259999999998</v>
      </c>
      <c r="C1191">
        <f>+ROUND(Get_Data!C1190,5)</f>
        <v>29.76221</v>
      </c>
      <c r="D1191" s="4">
        <f t="shared" si="19"/>
        <v>1.8739959162978823</v>
      </c>
    </row>
    <row r="1192" spans="1:4">
      <c r="A1192" s="2">
        <f>+Get_Data!A1191</f>
        <v>41170</v>
      </c>
      <c r="B1192">
        <f>+ROUND(Get_Data!B1191,5)</f>
        <v>56.043660000000003</v>
      </c>
      <c r="C1192">
        <f>+ROUND(Get_Data!C1191,5)</f>
        <v>29.97175</v>
      </c>
      <c r="D1192" s="4">
        <f t="shared" si="19"/>
        <v>1.8698828063092747</v>
      </c>
    </row>
    <row r="1193" spans="1:4">
      <c r="A1193" s="2">
        <f>+Get_Data!A1192</f>
        <v>41171</v>
      </c>
      <c r="B1193">
        <f>+ROUND(Get_Data!B1192,5)</f>
        <v>56.138730000000002</v>
      </c>
      <c r="C1193">
        <f>+ROUND(Get_Data!C1192,5)</f>
        <v>29.89414</v>
      </c>
      <c r="D1193" s="4">
        <f t="shared" si="19"/>
        <v>1.8779175450439451</v>
      </c>
    </row>
    <row r="1194" spans="1:4">
      <c r="A1194" s="2">
        <f>+Get_Data!A1193</f>
        <v>41172</v>
      </c>
      <c r="B1194">
        <f>+ROUND(Get_Data!B1193,5)</f>
        <v>56.447760000000002</v>
      </c>
      <c r="C1194">
        <f>+ROUND(Get_Data!C1193,5)</f>
        <v>29.987279999999998</v>
      </c>
      <c r="D1194" s="4">
        <f t="shared" si="19"/>
        <v>1.8823901334165689</v>
      </c>
    </row>
    <row r="1195" spans="1:4">
      <c r="A1195" s="2">
        <f>+Get_Data!A1194</f>
        <v>41173</v>
      </c>
      <c r="B1195">
        <f>+ROUND(Get_Data!B1194,5)</f>
        <v>55.901029999999999</v>
      </c>
      <c r="C1195">
        <f>+ROUND(Get_Data!C1194,5)</f>
        <v>29.513870000000001</v>
      </c>
      <c r="D1195" s="4">
        <f t="shared" si="19"/>
        <v>1.894059640433464</v>
      </c>
    </row>
    <row r="1196" spans="1:4">
      <c r="A1196" s="2">
        <f>+Get_Data!A1195</f>
        <v>41176</v>
      </c>
      <c r="B1196">
        <f>+ROUND(Get_Data!B1195,5)</f>
        <v>56.019880000000001</v>
      </c>
      <c r="C1196">
        <f>+ROUND(Get_Data!C1195,5)</f>
        <v>29.58372</v>
      </c>
      <c r="D1196" s="4">
        <f t="shared" si="19"/>
        <v>1.8936049962614574</v>
      </c>
    </row>
    <row r="1197" spans="1:4">
      <c r="A1197" s="2">
        <f>+Get_Data!A1196</f>
        <v>41177</v>
      </c>
      <c r="B1197">
        <f>+ROUND(Get_Data!B1196,5)</f>
        <v>55.742570000000001</v>
      </c>
      <c r="C1197">
        <f>+ROUND(Get_Data!C1196,5)</f>
        <v>29.242249999999999</v>
      </c>
      <c r="D1197" s="4">
        <f t="shared" si="19"/>
        <v>1.906233959425147</v>
      </c>
    </row>
    <row r="1198" spans="1:4">
      <c r="A1198" s="2">
        <f>+Get_Data!A1197</f>
        <v>41178</v>
      </c>
      <c r="B1198">
        <f>+ROUND(Get_Data!B1197,5)</f>
        <v>55.798020000000001</v>
      </c>
      <c r="C1198">
        <f>+ROUND(Get_Data!C1197,5)</f>
        <v>29.30433</v>
      </c>
      <c r="D1198" s="4">
        <f t="shared" si="19"/>
        <v>1.9040878941780959</v>
      </c>
    </row>
    <row r="1199" spans="1:4">
      <c r="A1199" s="2">
        <f>+Get_Data!A1198</f>
        <v>41179</v>
      </c>
      <c r="B1199">
        <f>+ROUND(Get_Data!B1198,5)</f>
        <v>55.972340000000003</v>
      </c>
      <c r="C1199">
        <f>+ROUND(Get_Data!C1198,5)</f>
        <v>29.731159999999999</v>
      </c>
      <c r="D1199" s="4">
        <f t="shared" si="19"/>
        <v>1.8826154109022319</v>
      </c>
    </row>
    <row r="1200" spans="1:4">
      <c r="A1200" s="2">
        <f>+Get_Data!A1199</f>
        <v>41180</v>
      </c>
      <c r="B1200">
        <f>+ROUND(Get_Data!B1199,5)</f>
        <v>56.07535</v>
      </c>
      <c r="C1200">
        <f>+ROUND(Get_Data!C1199,5)</f>
        <v>29.436260000000001</v>
      </c>
      <c r="D1200" s="4">
        <f t="shared" si="19"/>
        <v>1.9049753603209103</v>
      </c>
    </row>
    <row r="1201" spans="1:4">
      <c r="A1201" s="2">
        <f>+Get_Data!A1200</f>
        <v>41183</v>
      </c>
      <c r="B1201">
        <f>+ROUND(Get_Data!B1200,5)</f>
        <v>55.980269999999997</v>
      </c>
      <c r="C1201">
        <f>+ROUND(Get_Data!C1200,5)</f>
        <v>29.785489999999999</v>
      </c>
      <c r="D1201" s="4">
        <f t="shared" si="19"/>
        <v>1.879447677375796</v>
      </c>
    </row>
    <row r="1202" spans="1:4">
      <c r="A1202" s="2">
        <f>+Get_Data!A1201</f>
        <v>41184</v>
      </c>
      <c r="B1202">
        <f>+ROUND(Get_Data!B1201,5)</f>
        <v>55.956499999999998</v>
      </c>
      <c r="C1202">
        <f>+ROUND(Get_Data!C1201,5)</f>
        <v>29.754449999999999</v>
      </c>
      <c r="D1202" s="4">
        <f t="shared" si="19"/>
        <v>1.8806094550563026</v>
      </c>
    </row>
    <row r="1203" spans="1:4">
      <c r="A1203" s="2">
        <f>+Get_Data!A1202</f>
        <v>41185</v>
      </c>
      <c r="B1203">
        <f>+ROUND(Get_Data!B1202,5)</f>
        <v>56.019880000000001</v>
      </c>
      <c r="C1203">
        <f>+ROUND(Get_Data!C1202,5)</f>
        <v>29.676850000000002</v>
      </c>
      <c r="D1203" s="4">
        <f t="shared" si="19"/>
        <v>1.8876626057010766</v>
      </c>
    </row>
    <row r="1204" spans="1:4">
      <c r="A1204" s="2">
        <f>+Get_Data!A1203</f>
        <v>41186</v>
      </c>
      <c r="B1204">
        <f>+ROUND(Get_Data!B1203,5)</f>
        <v>56.154589999999999</v>
      </c>
      <c r="C1204">
        <f>+ROUND(Get_Data!C1203,5)</f>
        <v>29.746690000000001</v>
      </c>
      <c r="D1204" s="4">
        <f t="shared" si="19"/>
        <v>1.8877592767464211</v>
      </c>
    </row>
    <row r="1205" spans="1:4">
      <c r="A1205" s="2">
        <f>+Get_Data!A1204</f>
        <v>41187</v>
      </c>
      <c r="B1205">
        <f>+ROUND(Get_Data!B1204,5)</f>
        <v>56.336840000000002</v>
      </c>
      <c r="C1205">
        <f>+ROUND(Get_Data!C1204,5)</f>
        <v>29.940709999999999</v>
      </c>
      <c r="D1205" s="4">
        <f t="shared" si="19"/>
        <v>1.8816133618741842</v>
      </c>
    </row>
    <row r="1206" spans="1:4">
      <c r="A1206" s="2">
        <f>+Get_Data!A1205</f>
        <v>41190</v>
      </c>
      <c r="B1206">
        <f>+ROUND(Get_Data!B1205,5)</f>
        <v>56.408149999999999</v>
      </c>
      <c r="C1206">
        <f>+ROUND(Get_Data!C1205,5)</f>
        <v>29.940709999999999</v>
      </c>
      <c r="D1206" s="4">
        <f t="shared" si="19"/>
        <v>1.8839950689212113</v>
      </c>
    </row>
    <row r="1207" spans="1:4">
      <c r="A1207" s="2">
        <f>+Get_Data!A1206</f>
        <v>41191</v>
      </c>
      <c r="B1207">
        <f>+ROUND(Get_Data!B1206,5)</f>
        <v>56.344740000000002</v>
      </c>
      <c r="C1207">
        <f>+ROUND(Get_Data!C1206,5)</f>
        <v>29.925190000000001</v>
      </c>
      <c r="D1207" s="4">
        <f t="shared" si="19"/>
        <v>1.8828532082837235</v>
      </c>
    </row>
    <row r="1208" spans="1:4">
      <c r="A1208" s="2">
        <f>+Get_Data!A1207</f>
        <v>41192</v>
      </c>
      <c r="B1208">
        <f>+ROUND(Get_Data!B1207,5)</f>
        <v>55.695010000000003</v>
      </c>
      <c r="C1208">
        <f>+ROUND(Get_Data!C1207,5)</f>
        <v>29.560449999999999</v>
      </c>
      <c r="D1208" s="4">
        <f t="shared" si="19"/>
        <v>1.8841056208548923</v>
      </c>
    </row>
    <row r="1209" spans="1:4">
      <c r="A1209" s="2">
        <f>+Get_Data!A1208</f>
        <v>41193</v>
      </c>
      <c r="B1209">
        <f>+ROUND(Get_Data!B1208,5)</f>
        <v>55.322620000000001</v>
      </c>
      <c r="C1209">
        <f>+ROUND(Get_Data!C1208,5)</f>
        <v>29.575959999999998</v>
      </c>
      <c r="D1209" s="4">
        <f t="shared" si="19"/>
        <v>1.8705266033630017</v>
      </c>
    </row>
    <row r="1210" spans="1:4">
      <c r="A1210" s="2">
        <f>+Get_Data!A1209</f>
        <v>41194</v>
      </c>
      <c r="B1210">
        <f>+ROUND(Get_Data!B1209,5)</f>
        <v>55.504840000000002</v>
      </c>
      <c r="C1210">
        <f>+ROUND(Get_Data!C1209,5)</f>
        <v>29.669080000000001</v>
      </c>
      <c r="D1210" s="4">
        <f t="shared" si="19"/>
        <v>1.8707974766996482</v>
      </c>
    </row>
    <row r="1211" spans="1:4">
      <c r="A1211" s="2">
        <f>+Get_Data!A1210</f>
        <v>41197</v>
      </c>
      <c r="B1211">
        <f>+ROUND(Get_Data!B1210,5)</f>
        <v>55.73462</v>
      </c>
      <c r="C1211">
        <f>+ROUND(Get_Data!C1210,5)</f>
        <v>29.591480000000001</v>
      </c>
      <c r="D1211" s="4">
        <f t="shared" si="19"/>
        <v>1.8834684848476655</v>
      </c>
    </row>
    <row r="1212" spans="1:4">
      <c r="A1212" s="2">
        <f>+Get_Data!A1211</f>
        <v>41198</v>
      </c>
      <c r="B1212">
        <f>+ROUND(Get_Data!B1211,5)</f>
        <v>55.702950000000001</v>
      </c>
      <c r="C1212">
        <f>+ROUND(Get_Data!C1211,5)</f>
        <v>29.412980000000001</v>
      </c>
      <c r="D1212" s="4">
        <f t="shared" si="19"/>
        <v>1.8938220472730067</v>
      </c>
    </row>
    <row r="1213" spans="1:4">
      <c r="A1213" s="2">
        <f>+Get_Data!A1212</f>
        <v>41199</v>
      </c>
      <c r="B1213">
        <f>+ROUND(Get_Data!B1212,5)</f>
        <v>55.54448</v>
      </c>
      <c r="C1213">
        <f>+ROUND(Get_Data!C1212,5)</f>
        <v>29.288820000000001</v>
      </c>
      <c r="D1213" s="4">
        <f t="shared" si="19"/>
        <v>1.8964396653740232</v>
      </c>
    </row>
    <row r="1214" spans="1:4">
      <c r="A1214" s="2">
        <f>+Get_Data!A1213</f>
        <v>41200</v>
      </c>
      <c r="B1214">
        <f>+ROUND(Get_Data!B1213,5)</f>
        <v>56.067430000000002</v>
      </c>
      <c r="C1214">
        <f>+ROUND(Get_Data!C1213,5)</f>
        <v>29.366409999999998</v>
      </c>
      <c r="D1214" s="4">
        <f t="shared" si="19"/>
        <v>1.9092367776653669</v>
      </c>
    </row>
    <row r="1215" spans="1:4">
      <c r="A1215" s="2">
        <f>+Get_Data!A1214</f>
        <v>41201</v>
      </c>
      <c r="B1215">
        <f>+ROUND(Get_Data!B1214,5)</f>
        <v>55.370139999999999</v>
      </c>
      <c r="C1215">
        <f>+ROUND(Get_Data!C1214,5)</f>
        <v>29.02495</v>
      </c>
      <c r="D1215" s="4">
        <f t="shared" si="19"/>
        <v>1.9076739150282773</v>
      </c>
    </row>
    <row r="1216" spans="1:4">
      <c r="A1216" s="2">
        <f>+Get_Data!A1215</f>
        <v>41204</v>
      </c>
      <c r="B1216">
        <f>+ROUND(Get_Data!B1215,5)</f>
        <v>55.14828</v>
      </c>
      <c r="C1216">
        <f>+ROUND(Get_Data!C1215,5)</f>
        <v>28.89301</v>
      </c>
      <c r="D1216" s="4">
        <f t="shared" si="19"/>
        <v>1.9087066387337284</v>
      </c>
    </row>
    <row r="1217" spans="1:4">
      <c r="A1217" s="2">
        <f>+Get_Data!A1216</f>
        <v>41205</v>
      </c>
      <c r="B1217">
        <f>+ROUND(Get_Data!B1216,5)</f>
        <v>54.292540000000002</v>
      </c>
      <c r="C1217">
        <f>+ROUND(Get_Data!C1216,5)</f>
        <v>28.411850000000001</v>
      </c>
      <c r="D1217" s="4">
        <f t="shared" si="19"/>
        <v>1.9109118202440178</v>
      </c>
    </row>
    <row r="1218" spans="1:4">
      <c r="A1218" s="2">
        <f>+Get_Data!A1217</f>
        <v>41206</v>
      </c>
      <c r="B1218">
        <f>+ROUND(Get_Data!B1217,5)</f>
        <v>54.19746</v>
      </c>
      <c r="C1218">
        <f>+ROUND(Get_Data!C1217,5)</f>
        <v>28.621400000000001</v>
      </c>
      <c r="D1218" s="4">
        <f t="shared" si="19"/>
        <v>1.8935991950079309</v>
      </c>
    </row>
    <row r="1219" spans="1:4">
      <c r="A1219" s="2">
        <f>+Get_Data!A1218</f>
        <v>41207</v>
      </c>
      <c r="B1219">
        <f>+ROUND(Get_Data!B1218,5)</f>
        <v>54.585720000000002</v>
      </c>
      <c r="C1219">
        <f>+ROUND(Get_Data!C1218,5)</f>
        <v>28.784369999999999</v>
      </c>
      <c r="D1219" s="4">
        <f t="shared" si="19"/>
        <v>1.896366673997034</v>
      </c>
    </row>
    <row r="1220" spans="1:4">
      <c r="A1220" s="2">
        <f>+Get_Data!A1219</f>
        <v>41208</v>
      </c>
      <c r="B1220">
        <f>+ROUND(Get_Data!B1219,5)</f>
        <v>54.657029999999999</v>
      </c>
      <c r="C1220">
        <f>+ROUND(Get_Data!C1219,5)</f>
        <v>28.745570000000001</v>
      </c>
      <c r="D1220" s="4">
        <f t="shared" ref="D1220:D1283" si="20">IFERROR(B1220/C1220,"")</f>
        <v>1.9014070689848905</v>
      </c>
    </row>
    <row r="1221" spans="1:4">
      <c r="A1221" s="2">
        <f>+Get_Data!A1220</f>
        <v>41213</v>
      </c>
      <c r="B1221">
        <f>+ROUND(Get_Data!B1220,5)</f>
        <v>54.863059999999997</v>
      </c>
      <c r="C1221">
        <f>+ROUND(Get_Data!C1220,5)</f>
        <v>28.854220000000002</v>
      </c>
      <c r="D1221" s="4">
        <f t="shared" si="20"/>
        <v>1.9013877346190606</v>
      </c>
    </row>
    <row r="1222" spans="1:4">
      <c r="A1222" s="2">
        <f>+Get_Data!A1221</f>
        <v>41214</v>
      </c>
      <c r="B1222">
        <f>+ROUND(Get_Data!B1221,5)</f>
        <v>55.021509999999999</v>
      </c>
      <c r="C1222">
        <f>+ROUND(Get_Data!C1221,5)</f>
        <v>28.97062</v>
      </c>
      <c r="D1222" s="4">
        <f t="shared" si="20"/>
        <v>1.8992175521269479</v>
      </c>
    </row>
    <row r="1223" spans="1:4">
      <c r="A1223" s="2">
        <f>+Get_Data!A1222</f>
        <v>41215</v>
      </c>
      <c r="B1223">
        <f>+ROUND(Get_Data!B1222,5)</f>
        <v>54.712499999999999</v>
      </c>
      <c r="C1223">
        <f>+ROUND(Get_Data!C1222,5)</f>
        <v>28.776610000000002</v>
      </c>
      <c r="D1223" s="4">
        <f t="shared" si="20"/>
        <v>1.9012837161847762</v>
      </c>
    </row>
    <row r="1224" spans="1:4">
      <c r="A1224" s="2">
        <f>+Get_Data!A1223</f>
        <v>41218</v>
      </c>
      <c r="B1224">
        <f>+ROUND(Get_Data!B1223,5)</f>
        <v>54.672870000000003</v>
      </c>
      <c r="C1224">
        <f>+ROUND(Get_Data!C1223,5)</f>
        <v>28.536020000000001</v>
      </c>
      <c r="D1224" s="4">
        <f t="shared" si="20"/>
        <v>1.9159248556736364</v>
      </c>
    </row>
    <row r="1225" spans="1:4">
      <c r="A1225" s="2">
        <f>+Get_Data!A1224</f>
        <v>41219</v>
      </c>
      <c r="B1225">
        <f>+ROUND(Get_Data!B1224,5)</f>
        <v>54.950200000000002</v>
      </c>
      <c r="C1225">
        <f>+ROUND(Get_Data!C1224,5)</f>
        <v>29.040459999999999</v>
      </c>
      <c r="D1225" s="4">
        <f t="shared" si="20"/>
        <v>1.8921945451277289</v>
      </c>
    </row>
    <row r="1226" spans="1:4">
      <c r="A1226" s="2">
        <f>+Get_Data!A1225</f>
        <v>41220</v>
      </c>
      <c r="B1226">
        <f>+ROUND(Get_Data!B1225,5)</f>
        <v>54.664940000000001</v>
      </c>
      <c r="C1226">
        <f>+ROUND(Get_Data!C1225,5)</f>
        <v>28.497219999999999</v>
      </c>
      <c r="D1226" s="4">
        <f t="shared" si="20"/>
        <v>1.9182551841898965</v>
      </c>
    </row>
    <row r="1227" spans="1:4">
      <c r="A1227" s="2">
        <f>+Get_Data!A1226</f>
        <v>41221</v>
      </c>
      <c r="B1227">
        <f>+ROUND(Get_Data!B1226,5)</f>
        <v>54.506480000000003</v>
      </c>
      <c r="C1227">
        <f>+ROUND(Get_Data!C1226,5)</f>
        <v>28.217839999999999</v>
      </c>
      <c r="D1227" s="4">
        <f t="shared" si="20"/>
        <v>1.9316319037885255</v>
      </c>
    </row>
    <row r="1228" spans="1:4">
      <c r="A1228" s="2">
        <f>+Get_Data!A1227</f>
        <v>41222</v>
      </c>
      <c r="B1228">
        <f>+ROUND(Get_Data!B1227,5)</f>
        <v>54.554020000000001</v>
      </c>
      <c r="C1228">
        <f>+ROUND(Get_Data!C1227,5)</f>
        <v>28.163509999999999</v>
      </c>
      <c r="D1228" s="4">
        <f t="shared" si="20"/>
        <v>1.9370461991420815</v>
      </c>
    </row>
    <row r="1229" spans="1:4">
      <c r="A1229" s="2">
        <f>+Get_Data!A1228</f>
        <v>41225</v>
      </c>
      <c r="B1229">
        <f>+ROUND(Get_Data!B1228,5)</f>
        <v>54.363849999999999</v>
      </c>
      <c r="C1229">
        <f>+ROUND(Get_Data!C1228,5)</f>
        <v>28.00055</v>
      </c>
      <c r="D1229" s="4">
        <f t="shared" si="20"/>
        <v>1.9415279342727196</v>
      </c>
    </row>
    <row r="1230" spans="1:4">
      <c r="A1230" s="2">
        <f>+Get_Data!A1229</f>
        <v>41226</v>
      </c>
      <c r="B1230">
        <f>+ROUND(Get_Data!B1229,5)</f>
        <v>54.340069999999997</v>
      </c>
      <c r="C1230">
        <f>+ROUND(Get_Data!C1229,5)</f>
        <v>28.062629999999999</v>
      </c>
      <c r="D1230" s="4">
        <f t="shared" si="20"/>
        <v>1.9363855062764965</v>
      </c>
    </row>
    <row r="1231" spans="1:4">
      <c r="A1231" s="2">
        <f>+Get_Data!A1230</f>
        <v>41227</v>
      </c>
      <c r="B1231">
        <f>+ROUND(Get_Data!B1230,5)</f>
        <v>54.015219999999999</v>
      </c>
      <c r="C1231">
        <f>+ROUND(Get_Data!C1230,5)</f>
        <v>27.946210000000001</v>
      </c>
      <c r="D1231" s="4">
        <f t="shared" si="20"/>
        <v>1.9328281008408652</v>
      </c>
    </row>
    <row r="1232" spans="1:4">
      <c r="A1232" s="2">
        <f>+Get_Data!A1231</f>
        <v>41228</v>
      </c>
      <c r="B1232">
        <f>+ROUND(Get_Data!B1231,5)</f>
        <v>54.03107</v>
      </c>
      <c r="C1232">
        <f>+ROUND(Get_Data!C1231,5)</f>
        <v>28.27216</v>
      </c>
      <c r="D1232" s="4">
        <f t="shared" si="20"/>
        <v>1.9111051295691592</v>
      </c>
    </row>
    <row r="1233" spans="1:4">
      <c r="A1233" s="2">
        <f>+Get_Data!A1232</f>
        <v>41229</v>
      </c>
      <c r="B1233">
        <f>+ROUND(Get_Data!B1232,5)</f>
        <v>54.126150000000003</v>
      </c>
      <c r="C1233">
        <f>+ROUND(Get_Data!C1232,5)</f>
        <v>28.373049999999999</v>
      </c>
      <c r="D1233" s="4">
        <f t="shared" si="20"/>
        <v>1.9076606145620583</v>
      </c>
    </row>
    <row r="1234" spans="1:4">
      <c r="A1234" s="2">
        <f>+Get_Data!A1233</f>
        <v>41232</v>
      </c>
      <c r="B1234">
        <f>+ROUND(Get_Data!B1233,5)</f>
        <v>54.498550000000002</v>
      </c>
      <c r="C1234">
        <f>+ROUND(Get_Data!C1233,5)</f>
        <v>28.900770000000001</v>
      </c>
      <c r="D1234" s="4">
        <f t="shared" si="20"/>
        <v>1.8857127336053676</v>
      </c>
    </row>
    <row r="1235" spans="1:4">
      <c r="A1235" s="2">
        <f>+Get_Data!A1234</f>
        <v>41233</v>
      </c>
      <c r="B1235">
        <f>+ROUND(Get_Data!B1234,5)</f>
        <v>54.601559999999999</v>
      </c>
      <c r="C1235">
        <f>+ROUND(Get_Data!C1234,5)</f>
        <v>28.908539999999999</v>
      </c>
      <c r="D1235" s="4">
        <f t="shared" si="20"/>
        <v>1.8887692010734545</v>
      </c>
    </row>
    <row r="1236" spans="1:4">
      <c r="A1236" s="2">
        <f>+Get_Data!A1235</f>
        <v>41234</v>
      </c>
      <c r="B1236">
        <f>+ROUND(Get_Data!B1235,5)</f>
        <v>54.918489999999998</v>
      </c>
      <c r="C1236">
        <f>+ROUND(Get_Data!C1235,5)</f>
        <v>29.017189999999999</v>
      </c>
      <c r="D1236" s="4">
        <f t="shared" si="20"/>
        <v>1.8926191681551521</v>
      </c>
    </row>
    <row r="1237" spans="1:4">
      <c r="A1237" s="2">
        <f>+Get_Data!A1236</f>
        <v>41236</v>
      </c>
      <c r="B1237">
        <f>+ROUND(Get_Data!B1236,5)</f>
        <v>55.615780000000001</v>
      </c>
      <c r="C1237">
        <f>+ROUND(Get_Data!C1236,5)</f>
        <v>29.436260000000001</v>
      </c>
      <c r="D1237" s="4">
        <f t="shared" si="20"/>
        <v>1.8893629829332939</v>
      </c>
    </row>
    <row r="1238" spans="1:4">
      <c r="A1238" s="2">
        <f>+Get_Data!A1237</f>
        <v>41239</v>
      </c>
      <c r="B1238">
        <f>+ROUND(Get_Data!B1237,5)</f>
        <v>55.465240000000001</v>
      </c>
      <c r="C1238">
        <f>+ROUND(Get_Data!C1237,5)</f>
        <v>28.9939</v>
      </c>
      <c r="D1238" s="4">
        <f t="shared" si="20"/>
        <v>1.9129968717557833</v>
      </c>
    </row>
    <row r="1239" spans="1:4">
      <c r="A1239" s="2">
        <f>+Get_Data!A1238</f>
        <v>41240</v>
      </c>
      <c r="B1239">
        <f>+ROUND(Get_Data!B1238,5)</f>
        <v>55.552379999999999</v>
      </c>
      <c r="C1239">
        <f>+ROUND(Get_Data!C1238,5)</f>
        <v>29.040459999999999</v>
      </c>
      <c r="D1239" s="4">
        <f t="shared" si="20"/>
        <v>1.9129304425618603</v>
      </c>
    </row>
    <row r="1240" spans="1:4">
      <c r="A1240" s="2">
        <f>+Get_Data!A1239</f>
        <v>41241</v>
      </c>
      <c r="B1240">
        <f>+ROUND(Get_Data!B1239,5)</f>
        <v>55.742570000000001</v>
      </c>
      <c r="C1240">
        <f>+ROUND(Get_Data!C1239,5)</f>
        <v>29.349119999999999</v>
      </c>
      <c r="D1240" s="4">
        <f t="shared" si="20"/>
        <v>1.8992927215534914</v>
      </c>
    </row>
    <row r="1241" spans="1:4">
      <c r="A1241" s="2">
        <f>+Get_Data!A1240</f>
        <v>41242</v>
      </c>
      <c r="B1241">
        <f>+ROUND(Get_Data!B1240,5)</f>
        <v>55.710880000000003</v>
      </c>
      <c r="C1241">
        <f>+ROUND(Get_Data!C1240,5)</f>
        <v>29.66948</v>
      </c>
      <c r="D1241" s="4">
        <f t="shared" si="20"/>
        <v>1.8777167648371325</v>
      </c>
    </row>
    <row r="1242" spans="1:4">
      <c r="A1242" s="2">
        <f>+Get_Data!A1241</f>
        <v>41243</v>
      </c>
      <c r="B1242">
        <f>+ROUND(Get_Data!B1241,5)</f>
        <v>55.631610000000002</v>
      </c>
      <c r="C1242">
        <f>+ROUND(Get_Data!C1241,5)</f>
        <v>29.630420000000001</v>
      </c>
      <c r="D1242" s="4">
        <f t="shared" si="20"/>
        <v>1.8775167547405673</v>
      </c>
    </row>
    <row r="1243" spans="1:4">
      <c r="A1243" s="2">
        <f>+Get_Data!A1242</f>
        <v>41246</v>
      </c>
      <c r="B1243">
        <f>+ROUND(Get_Data!B1242,5)</f>
        <v>55.362209999999997</v>
      </c>
      <c r="C1243">
        <f>+ROUND(Get_Data!C1242,5)</f>
        <v>29.208459999999999</v>
      </c>
      <c r="D1243" s="4">
        <f t="shared" si="20"/>
        <v>1.8954169442688864</v>
      </c>
    </row>
    <row r="1244" spans="1:4">
      <c r="A1244" s="2">
        <f>+Get_Data!A1243</f>
        <v>41247</v>
      </c>
      <c r="B1244">
        <f>+ROUND(Get_Data!B1243,5)</f>
        <v>55.354289999999999</v>
      </c>
      <c r="C1244">
        <f>+ROUND(Get_Data!C1243,5)</f>
        <v>29.028749999999999</v>
      </c>
      <c r="D1244" s="4">
        <f t="shared" si="20"/>
        <v>1.9068781811135513</v>
      </c>
    </row>
    <row r="1245" spans="1:4">
      <c r="A1245" s="2">
        <f>+Get_Data!A1244</f>
        <v>41248</v>
      </c>
      <c r="B1245">
        <f>+ROUND(Get_Data!B1244,5)</f>
        <v>55.663319999999999</v>
      </c>
      <c r="C1245">
        <f>+ROUND(Get_Data!C1244,5)</f>
        <v>29.153770000000002</v>
      </c>
      <c r="D1245" s="4">
        <f t="shared" si="20"/>
        <v>1.9093009240314374</v>
      </c>
    </row>
    <row r="1246" spans="1:4">
      <c r="A1246" s="2">
        <f>+Get_Data!A1245</f>
        <v>41249</v>
      </c>
      <c r="B1246">
        <f>+ROUND(Get_Data!B1245,5)</f>
        <v>55.910850000000003</v>
      </c>
      <c r="C1246">
        <f>+ROUND(Get_Data!C1245,5)</f>
        <v>29.208459999999999</v>
      </c>
      <c r="D1246" s="4">
        <f t="shared" si="20"/>
        <v>1.9142005432672591</v>
      </c>
    </row>
    <row r="1247" spans="1:4">
      <c r="A1247" s="2">
        <f>+Get_Data!A1246</f>
        <v>41250</v>
      </c>
      <c r="B1247">
        <f>+ROUND(Get_Data!B1246,5)</f>
        <v>56.102499999999999</v>
      </c>
      <c r="C1247">
        <f>+ROUND(Get_Data!C1246,5)</f>
        <v>29.46632</v>
      </c>
      <c r="D1247" s="4">
        <f t="shared" si="20"/>
        <v>1.9039533949268181</v>
      </c>
    </row>
    <row r="1248" spans="1:4">
      <c r="A1248" s="2">
        <f>+Get_Data!A1247</f>
        <v>41253</v>
      </c>
      <c r="B1248">
        <f>+ROUND(Get_Data!B1247,5)</f>
        <v>56.062550000000002</v>
      </c>
      <c r="C1248">
        <f>+ROUND(Get_Data!C1247,5)</f>
        <v>29.411629999999999</v>
      </c>
      <c r="D1248" s="4">
        <f t="shared" si="20"/>
        <v>1.90613543010027</v>
      </c>
    </row>
    <row r="1249" spans="1:4">
      <c r="A1249" s="2">
        <f>+Get_Data!A1248</f>
        <v>41254</v>
      </c>
      <c r="B1249">
        <f>+ROUND(Get_Data!B1248,5)</f>
        <v>56.230260000000001</v>
      </c>
      <c r="C1249">
        <f>+ROUND(Get_Data!C1248,5)</f>
        <v>29.58353</v>
      </c>
      <c r="D1249" s="4">
        <f t="shared" si="20"/>
        <v>1.900728547269376</v>
      </c>
    </row>
    <row r="1250" spans="1:4">
      <c r="A1250" s="2">
        <f>+Get_Data!A1249</f>
        <v>41255</v>
      </c>
      <c r="B1250">
        <f>+ROUND(Get_Data!B1249,5)</f>
        <v>56.086509999999997</v>
      </c>
      <c r="C1250">
        <f>+ROUND(Get_Data!C1249,5)</f>
        <v>29.411629999999999</v>
      </c>
      <c r="D1250" s="4">
        <f t="shared" si="20"/>
        <v>1.9069500738313381</v>
      </c>
    </row>
    <row r="1251" spans="1:4">
      <c r="A1251" s="2">
        <f>+Get_Data!A1250</f>
        <v>41256</v>
      </c>
      <c r="B1251">
        <f>+ROUND(Get_Data!B1250,5)</f>
        <v>56.062550000000002</v>
      </c>
      <c r="C1251">
        <f>+ROUND(Get_Data!C1250,5)</f>
        <v>29.380369999999999</v>
      </c>
      <c r="D1251" s="4">
        <f t="shared" si="20"/>
        <v>1.908163511895868</v>
      </c>
    </row>
    <row r="1252" spans="1:4">
      <c r="A1252" s="2">
        <f>+Get_Data!A1251</f>
        <v>41257</v>
      </c>
      <c r="B1252">
        <f>+ROUND(Get_Data!B1251,5)</f>
        <v>56.022649999999999</v>
      </c>
      <c r="C1252">
        <f>+ROUND(Get_Data!C1251,5)</f>
        <v>29.427250000000001</v>
      </c>
      <c r="D1252" s="4">
        <f t="shared" si="20"/>
        <v>1.9037677662710581</v>
      </c>
    </row>
    <row r="1253" spans="1:4">
      <c r="A1253" s="2">
        <f>+Get_Data!A1252</f>
        <v>41260</v>
      </c>
      <c r="B1253">
        <f>+ROUND(Get_Data!B1252,5)</f>
        <v>56.190330000000003</v>
      </c>
      <c r="C1253">
        <f>+ROUND(Get_Data!C1252,5)</f>
        <v>29.302230000000002</v>
      </c>
      <c r="D1253" s="4">
        <f t="shared" si="20"/>
        <v>1.9176127550701771</v>
      </c>
    </row>
    <row r="1254" spans="1:4">
      <c r="A1254" s="2">
        <f>+Get_Data!A1253</f>
        <v>41261</v>
      </c>
      <c r="B1254">
        <f>+ROUND(Get_Data!B1253,5)</f>
        <v>56.318100000000001</v>
      </c>
      <c r="C1254">
        <f>+ROUND(Get_Data!C1253,5)</f>
        <v>29.130320000000001</v>
      </c>
      <c r="D1254" s="4">
        <f t="shared" si="20"/>
        <v>1.9333155282880516</v>
      </c>
    </row>
    <row r="1255" spans="1:4">
      <c r="A1255" s="2">
        <f>+Get_Data!A1254</f>
        <v>41262</v>
      </c>
      <c r="B1255">
        <f>+ROUND(Get_Data!B1254,5)</f>
        <v>55.799059999999997</v>
      </c>
      <c r="C1255">
        <f>+ROUND(Get_Data!C1254,5)</f>
        <v>28.739629999999998</v>
      </c>
      <c r="D1255" s="4">
        <f t="shared" si="20"/>
        <v>1.9415371735822626</v>
      </c>
    </row>
    <row r="1256" spans="1:4">
      <c r="A1256" s="2">
        <f>+Get_Data!A1255</f>
        <v>41263</v>
      </c>
      <c r="B1256">
        <f>+ROUND(Get_Data!B1255,5)</f>
        <v>55.98272</v>
      </c>
      <c r="C1256">
        <f>+ROUND(Get_Data!C1255,5)</f>
        <v>28.950610000000001</v>
      </c>
      <c r="D1256" s="4">
        <f t="shared" si="20"/>
        <v>1.9337319662694499</v>
      </c>
    </row>
    <row r="1257" spans="1:4">
      <c r="A1257" s="2">
        <f>+Get_Data!A1256</f>
        <v>41264</v>
      </c>
      <c r="B1257">
        <f>+ROUND(Get_Data!B1256,5)</f>
        <v>55.599449999999997</v>
      </c>
      <c r="C1257">
        <f>+ROUND(Get_Data!C1256,5)</f>
        <v>28.825579999999999</v>
      </c>
      <c r="D1257" s="4">
        <f t="shared" si="20"/>
        <v>1.9288232882044352</v>
      </c>
    </row>
    <row r="1258" spans="1:4">
      <c r="A1258" s="2">
        <f>+Get_Data!A1257</f>
        <v>41267</v>
      </c>
      <c r="B1258">
        <f>+ROUND(Get_Data!B1257,5)</f>
        <v>55.43974</v>
      </c>
      <c r="C1258">
        <f>+ROUND(Get_Data!C1257,5)</f>
        <v>28.700559999999999</v>
      </c>
      <c r="D1258" s="4">
        <f t="shared" si="20"/>
        <v>1.9316605669018305</v>
      </c>
    </row>
    <row r="1259" spans="1:4">
      <c r="A1259" s="2">
        <f>+Get_Data!A1258</f>
        <v>41269</v>
      </c>
      <c r="B1259">
        <f>+ROUND(Get_Data!B1258,5)</f>
        <v>54.968640000000001</v>
      </c>
      <c r="C1259">
        <f>+ROUND(Get_Data!C1258,5)</f>
        <v>28.45833</v>
      </c>
      <c r="D1259" s="4">
        <f t="shared" si="20"/>
        <v>1.9315483375166427</v>
      </c>
    </row>
    <row r="1260" spans="1:4">
      <c r="A1260" s="2">
        <f>+Get_Data!A1259</f>
        <v>41270</v>
      </c>
      <c r="B1260">
        <f>+ROUND(Get_Data!B1259,5)</f>
        <v>54.83287</v>
      </c>
      <c r="C1260">
        <f>+ROUND(Get_Data!C1259,5)</f>
        <v>28.45833</v>
      </c>
      <c r="D1260" s="4">
        <f t="shared" si="20"/>
        <v>1.9267775024043927</v>
      </c>
    </row>
    <row r="1261" spans="1:4">
      <c r="A1261" s="2">
        <f>+Get_Data!A1260</f>
        <v>41271</v>
      </c>
      <c r="B1261">
        <f>+ROUND(Get_Data!B1260,5)</f>
        <v>54.313859999999998</v>
      </c>
      <c r="C1261">
        <f>+ROUND(Get_Data!C1260,5)</f>
        <v>28.10671</v>
      </c>
      <c r="D1261" s="4">
        <f t="shared" si="20"/>
        <v>1.9324161383527279</v>
      </c>
    </row>
    <row r="1262" spans="1:4">
      <c r="A1262" s="2">
        <f>+Get_Data!A1261</f>
        <v>41274</v>
      </c>
      <c r="B1262">
        <f>+ROUND(Get_Data!B1261,5)</f>
        <v>54.641240000000003</v>
      </c>
      <c r="C1262">
        <f>+ROUND(Get_Data!C1261,5)</f>
        <v>28.325500000000002</v>
      </c>
      <c r="D1262" s="4">
        <f t="shared" si="20"/>
        <v>1.9290476778874159</v>
      </c>
    </row>
    <row r="1263" spans="1:4">
      <c r="A1263" s="2">
        <f>+Get_Data!A1262</f>
        <v>41276</v>
      </c>
      <c r="B1263">
        <f>+ROUND(Get_Data!B1262,5)</f>
        <v>55.359879999999997</v>
      </c>
      <c r="C1263">
        <f>+ROUND(Get_Data!C1262,5)</f>
        <v>29.380369999999999</v>
      </c>
      <c r="D1263" s="4">
        <f t="shared" si="20"/>
        <v>1.8842472031495858</v>
      </c>
    </row>
    <row r="1264" spans="1:4">
      <c r="A1264" s="2">
        <f>+Get_Data!A1263</f>
        <v>41277</v>
      </c>
      <c r="B1264">
        <f>+ROUND(Get_Data!B1263,5)</f>
        <v>55.383850000000002</v>
      </c>
      <c r="C1264">
        <f>+ROUND(Get_Data!C1263,5)</f>
        <v>29.380369999999999</v>
      </c>
      <c r="D1264" s="4">
        <f t="shared" si="20"/>
        <v>1.8850630540051063</v>
      </c>
    </row>
    <row r="1265" spans="1:4">
      <c r="A1265" s="2">
        <f>+Get_Data!A1264</f>
        <v>41278</v>
      </c>
      <c r="B1265">
        <f>+ROUND(Get_Data!B1264,5)</f>
        <v>55.463700000000003</v>
      </c>
      <c r="C1265">
        <f>+ROUND(Get_Data!C1264,5)</f>
        <v>29.427250000000001</v>
      </c>
      <c r="D1265" s="4">
        <f t="shared" si="20"/>
        <v>1.8847734667697458</v>
      </c>
    </row>
    <row r="1266" spans="1:4">
      <c r="A1266" s="2">
        <f>+Get_Data!A1265</f>
        <v>41281</v>
      </c>
      <c r="B1266">
        <f>+ROUND(Get_Data!B1265,5)</f>
        <v>55.455719999999999</v>
      </c>
      <c r="C1266">
        <f>+ROUND(Get_Data!C1265,5)</f>
        <v>29.145969999999998</v>
      </c>
      <c r="D1266" s="4">
        <f t="shared" si="20"/>
        <v>1.9026891196278595</v>
      </c>
    </row>
    <row r="1267" spans="1:4">
      <c r="A1267" s="2">
        <f>+Get_Data!A1266</f>
        <v>41282</v>
      </c>
      <c r="B1267">
        <f>+ROUND(Get_Data!B1266,5)</f>
        <v>55.623399999999997</v>
      </c>
      <c r="C1267">
        <f>+ROUND(Get_Data!C1266,5)</f>
        <v>28.942799999999998</v>
      </c>
      <c r="D1267" s="4">
        <f t="shared" si="20"/>
        <v>1.9218389374904985</v>
      </c>
    </row>
    <row r="1268" spans="1:4">
      <c r="A1268" s="2">
        <f>+Get_Data!A1267</f>
        <v>41283</v>
      </c>
      <c r="B1268">
        <f>+ROUND(Get_Data!B1267,5)</f>
        <v>55.902880000000003</v>
      </c>
      <c r="C1268">
        <f>+ROUND(Get_Data!C1267,5)</f>
        <v>28.934979999999999</v>
      </c>
      <c r="D1268" s="4">
        <f t="shared" si="20"/>
        <v>1.9320172331206036</v>
      </c>
    </row>
    <row r="1269" spans="1:4">
      <c r="A1269" s="2">
        <f>+Get_Data!A1268</f>
        <v>41284</v>
      </c>
      <c r="B1269">
        <f>+ROUND(Get_Data!B1268,5)</f>
        <v>56.541670000000003</v>
      </c>
      <c r="C1269">
        <f>+ROUND(Get_Data!C1268,5)</f>
        <v>28.880279999999999</v>
      </c>
      <c r="D1269" s="4">
        <f t="shared" si="20"/>
        <v>1.9577950767790342</v>
      </c>
    </row>
    <row r="1270" spans="1:4">
      <c r="A1270" s="2">
        <f>+Get_Data!A1269</f>
        <v>41285</v>
      </c>
      <c r="B1270">
        <f>+ROUND(Get_Data!B1269,5)</f>
        <v>56.597569999999997</v>
      </c>
      <c r="C1270">
        <f>+ROUND(Get_Data!C1269,5)</f>
        <v>28.84121</v>
      </c>
      <c r="D1270" s="4">
        <f t="shared" si="20"/>
        <v>1.9623854200291873</v>
      </c>
    </row>
    <row r="1271" spans="1:4">
      <c r="A1271" s="2">
        <f>+Get_Data!A1270</f>
        <v>41288</v>
      </c>
      <c r="B1271">
        <f>+ROUND(Get_Data!B1270,5)</f>
        <v>56.924950000000003</v>
      </c>
      <c r="C1271">
        <f>+ROUND(Get_Data!C1270,5)</f>
        <v>28.903729999999999</v>
      </c>
      <c r="D1271" s="4">
        <f t="shared" si="20"/>
        <v>1.9694672625297844</v>
      </c>
    </row>
    <row r="1272" spans="1:4">
      <c r="A1272" s="2">
        <f>+Get_Data!A1271</f>
        <v>41289</v>
      </c>
      <c r="B1272">
        <f>+ROUND(Get_Data!B1271,5)</f>
        <v>57.17248</v>
      </c>
      <c r="C1272">
        <f>+ROUND(Get_Data!C1271,5)</f>
        <v>29.161580000000001</v>
      </c>
      <c r="D1272" s="4">
        <f t="shared" si="20"/>
        <v>1.9605412326766931</v>
      </c>
    </row>
    <row r="1273" spans="1:4">
      <c r="A1273" s="2">
        <f>+Get_Data!A1272</f>
        <v>41290</v>
      </c>
      <c r="B1273">
        <f>+ROUND(Get_Data!B1272,5)</f>
        <v>57.076680000000003</v>
      </c>
      <c r="C1273">
        <f>+ROUND(Get_Data!C1272,5)</f>
        <v>29.161580000000001</v>
      </c>
      <c r="D1273" s="4">
        <f t="shared" si="20"/>
        <v>1.9572560883189458</v>
      </c>
    </row>
    <row r="1274" spans="1:4">
      <c r="A1274" s="2">
        <f>+Get_Data!A1273</f>
        <v>41291</v>
      </c>
      <c r="B1274">
        <f>+ROUND(Get_Data!B1273,5)</f>
        <v>57.835230000000003</v>
      </c>
      <c r="C1274">
        <f>+ROUND(Get_Data!C1273,5)</f>
        <v>29.31005</v>
      </c>
      <c r="D1274" s="4">
        <f t="shared" si="20"/>
        <v>1.9732218129958838</v>
      </c>
    </row>
    <row r="1275" spans="1:4">
      <c r="A1275" s="2">
        <f>+Get_Data!A1274</f>
        <v>41292</v>
      </c>
      <c r="B1275">
        <f>+ROUND(Get_Data!B1274,5)</f>
        <v>57.875160000000001</v>
      </c>
      <c r="C1275">
        <f>+ROUND(Get_Data!C1274,5)</f>
        <v>29.45852</v>
      </c>
      <c r="D1275" s="4">
        <f t="shared" si="20"/>
        <v>1.9646323033200581</v>
      </c>
    </row>
    <row r="1276" spans="1:4">
      <c r="A1276" s="2">
        <f>+Get_Data!A1275</f>
        <v>41296</v>
      </c>
      <c r="B1276">
        <f>+ROUND(Get_Data!B1275,5)</f>
        <v>57.651580000000003</v>
      </c>
      <c r="C1276">
        <f>+ROUND(Get_Data!C1275,5)</f>
        <v>29.013120000000001</v>
      </c>
      <c r="D1276" s="4">
        <f t="shared" si="20"/>
        <v>1.9870865318862638</v>
      </c>
    </row>
    <row r="1277" spans="1:4">
      <c r="A1277" s="2">
        <f>+Get_Data!A1276</f>
        <v>41297</v>
      </c>
      <c r="B1277">
        <f>+ROUND(Get_Data!B1276,5)</f>
        <v>57.340159999999997</v>
      </c>
      <c r="C1277">
        <f>+ROUND(Get_Data!C1276,5)</f>
        <v>29.013120000000001</v>
      </c>
      <c r="D1277" s="4">
        <f t="shared" si="20"/>
        <v>1.9763527672997594</v>
      </c>
    </row>
    <row r="1278" spans="1:4">
      <c r="A1278" s="2">
        <f>+Get_Data!A1277</f>
        <v>41298</v>
      </c>
      <c r="B1278">
        <f>+ROUND(Get_Data!B1277,5)</f>
        <v>57.675550000000001</v>
      </c>
      <c r="C1278">
        <f>+ROUND(Get_Data!C1277,5)</f>
        <v>28.997489999999999</v>
      </c>
      <c r="D1278" s="4">
        <f t="shared" si="20"/>
        <v>1.9889842189789531</v>
      </c>
    </row>
    <row r="1279" spans="1:4">
      <c r="A1279" s="2">
        <f>+Get_Data!A1278</f>
        <v>41299</v>
      </c>
      <c r="B1279">
        <f>+ROUND(Get_Data!B1278,5)</f>
        <v>57.883150000000001</v>
      </c>
      <c r="C1279">
        <f>+ROUND(Get_Data!C1278,5)</f>
        <v>28.950610000000001</v>
      </c>
      <c r="D1279" s="4">
        <f t="shared" si="20"/>
        <v>1.9993758335316596</v>
      </c>
    </row>
    <row r="1280" spans="1:4">
      <c r="A1280" s="2">
        <f>+Get_Data!A1279</f>
        <v>41302</v>
      </c>
      <c r="B1280">
        <f>+ROUND(Get_Data!B1279,5)</f>
        <v>57.978969999999997</v>
      </c>
      <c r="C1280">
        <f>+ROUND(Get_Data!C1279,5)</f>
        <v>28.919350000000001</v>
      </c>
      <c r="D1280" s="4">
        <f t="shared" si="20"/>
        <v>2.0048503856414475</v>
      </c>
    </row>
    <row r="1281" spans="1:4">
      <c r="A1281" s="2">
        <f>+Get_Data!A1280</f>
        <v>41303</v>
      </c>
      <c r="B1281">
        <f>+ROUND(Get_Data!B1280,5)</f>
        <v>58.242469999999997</v>
      </c>
      <c r="C1281">
        <f>+ROUND(Get_Data!C1280,5)</f>
        <v>29.239730000000002</v>
      </c>
      <c r="D1281" s="4">
        <f t="shared" si="20"/>
        <v>1.9918949319983459</v>
      </c>
    </row>
    <row r="1282" spans="1:4">
      <c r="A1282" s="2">
        <f>+Get_Data!A1281</f>
        <v>41304</v>
      </c>
      <c r="B1282">
        <f>+ROUND(Get_Data!B1281,5)</f>
        <v>58.458069999999999</v>
      </c>
      <c r="C1282">
        <f>+ROUND(Get_Data!C1281,5)</f>
        <v>29.302230000000002</v>
      </c>
      <c r="D1282" s="4">
        <f t="shared" si="20"/>
        <v>1.9950041344976133</v>
      </c>
    </row>
    <row r="1283" spans="1:4">
      <c r="A1283" s="2">
        <f>+Get_Data!A1282</f>
        <v>41305</v>
      </c>
      <c r="B1283">
        <f>+ROUND(Get_Data!B1282,5)</f>
        <v>58.170589999999997</v>
      </c>
      <c r="C1283">
        <f>+ROUND(Get_Data!C1282,5)</f>
        <v>29.099080000000001</v>
      </c>
      <c r="D1283" s="4">
        <f t="shared" si="20"/>
        <v>1.9990525473657585</v>
      </c>
    </row>
    <row r="1284" spans="1:4">
      <c r="A1284" s="2">
        <f>+Get_Data!A1283</f>
        <v>41306</v>
      </c>
      <c r="B1284">
        <f>+ROUND(Get_Data!B1283,5)</f>
        <v>58.026870000000002</v>
      </c>
      <c r="C1284">
        <f>+ROUND(Get_Data!C1283,5)</f>
        <v>29.333490000000001</v>
      </c>
      <c r="D1284" s="4">
        <f t="shared" ref="D1284:D1347" si="21">IFERROR(B1284/C1284,"")</f>
        <v>1.9781781847301498</v>
      </c>
    </row>
    <row r="1285" spans="1:4">
      <c r="A1285" s="2">
        <f>+Get_Data!A1284</f>
        <v>41309</v>
      </c>
      <c r="B1285">
        <f>+ROUND(Get_Data!B1284,5)</f>
        <v>57.851199999999999</v>
      </c>
      <c r="C1285">
        <f>+ROUND(Get_Data!C1284,5)</f>
        <v>29.185030000000001</v>
      </c>
      <c r="D1285" s="4">
        <f t="shared" si="21"/>
        <v>1.982221707498673</v>
      </c>
    </row>
    <row r="1286" spans="1:4">
      <c r="A1286" s="2">
        <f>+Get_Data!A1285</f>
        <v>41310</v>
      </c>
      <c r="B1286">
        <f>+ROUND(Get_Data!B1285,5)</f>
        <v>58.410159999999998</v>
      </c>
      <c r="C1286">
        <f>+ROUND(Get_Data!C1285,5)</f>
        <v>29.802330000000001</v>
      </c>
      <c r="D1286" s="4">
        <f t="shared" si="21"/>
        <v>1.9599192412136901</v>
      </c>
    </row>
    <row r="1287" spans="1:4">
      <c r="A1287" s="2">
        <f>+Get_Data!A1286</f>
        <v>41311</v>
      </c>
      <c r="B1287">
        <f>+ROUND(Get_Data!B1286,5)</f>
        <v>58.106740000000002</v>
      </c>
      <c r="C1287">
        <f>+ROUND(Get_Data!C1286,5)</f>
        <v>29.93516</v>
      </c>
      <c r="D1287" s="4">
        <f t="shared" si="21"/>
        <v>1.9410866686531825</v>
      </c>
    </row>
    <row r="1288" spans="1:4">
      <c r="A1288" s="2">
        <f>+Get_Data!A1287</f>
        <v>41312</v>
      </c>
      <c r="B1288">
        <f>+ROUND(Get_Data!B1287,5)</f>
        <v>58.138660000000002</v>
      </c>
      <c r="C1288">
        <f>+ROUND(Get_Data!C1287,5)</f>
        <v>30.40401</v>
      </c>
      <c r="D1288" s="4">
        <f t="shared" si="21"/>
        <v>1.9122036862900651</v>
      </c>
    </row>
    <row r="1289" spans="1:4">
      <c r="A1289" s="2">
        <f>+Get_Data!A1288</f>
        <v>41313</v>
      </c>
      <c r="B1289">
        <f>+ROUND(Get_Data!B1288,5)</f>
        <v>57.970979999999997</v>
      </c>
      <c r="C1289">
        <f>+ROUND(Get_Data!C1288,5)</f>
        <v>30.294609999999999</v>
      </c>
      <c r="D1289" s="4">
        <f t="shared" si="21"/>
        <v>1.9135740648253929</v>
      </c>
    </row>
    <row r="1290" spans="1:4">
      <c r="A1290" s="2">
        <f>+Get_Data!A1289</f>
        <v>41316</v>
      </c>
      <c r="B1290">
        <f>+ROUND(Get_Data!B1289,5)</f>
        <v>57.779339999999998</v>
      </c>
      <c r="C1290">
        <f>+ROUND(Get_Data!C1289,5)</f>
        <v>30.169589999999999</v>
      </c>
      <c r="D1290" s="4">
        <f t="shared" si="21"/>
        <v>1.9151516477353521</v>
      </c>
    </row>
    <row r="1291" spans="1:4">
      <c r="A1291" s="2">
        <f>+Get_Data!A1290</f>
        <v>41317</v>
      </c>
      <c r="B1291">
        <f>+ROUND(Get_Data!B1290,5)</f>
        <v>57.627630000000003</v>
      </c>
      <c r="C1291">
        <f>+ROUND(Get_Data!C1290,5)</f>
        <v>29.349119999999999</v>
      </c>
      <c r="D1291" s="4">
        <f t="shared" si="21"/>
        <v>1.963521563849274</v>
      </c>
    </row>
    <row r="1292" spans="1:4">
      <c r="A1292" s="2">
        <f>+Get_Data!A1291</f>
        <v>41318</v>
      </c>
      <c r="B1292">
        <f>+ROUND(Get_Data!B1291,5)</f>
        <v>57.092640000000003</v>
      </c>
      <c r="C1292">
        <f>+ROUND(Get_Data!C1291,5)</f>
        <v>29.07563</v>
      </c>
      <c r="D1292" s="4">
        <f t="shared" si="21"/>
        <v>1.9635908147132153</v>
      </c>
    </row>
    <row r="1293" spans="1:4">
      <c r="A1293" s="2">
        <f>+Get_Data!A1292</f>
        <v>41319</v>
      </c>
      <c r="B1293">
        <f>+ROUND(Get_Data!B1292,5)</f>
        <v>57.715470000000003</v>
      </c>
      <c r="C1293">
        <f>+ROUND(Get_Data!C1292,5)</f>
        <v>28.786519999999999</v>
      </c>
      <c r="D1293" s="4">
        <f t="shared" si="21"/>
        <v>2.004947801957305</v>
      </c>
    </row>
    <row r="1294" spans="1:4">
      <c r="A1294" s="2">
        <f>+Get_Data!A1293</f>
        <v>41320</v>
      </c>
      <c r="B1294">
        <f>+ROUND(Get_Data!B1293,5)</f>
        <v>58.833370000000002</v>
      </c>
      <c r="C1294">
        <f>+ROUND(Get_Data!C1293,5)</f>
        <v>29.239730000000002</v>
      </c>
      <c r="D1294" s="4">
        <f t="shared" si="21"/>
        <v>2.0121037369360115</v>
      </c>
    </row>
    <row r="1295" spans="1:4">
      <c r="A1295" s="2">
        <f>+Get_Data!A1294</f>
        <v>41324</v>
      </c>
      <c r="B1295">
        <f>+ROUND(Get_Data!B1294,5)</f>
        <v>60.286619999999999</v>
      </c>
      <c r="C1295">
        <f>+ROUND(Get_Data!C1294,5)</f>
        <v>29.43507</v>
      </c>
      <c r="D1295" s="4">
        <f t="shared" si="21"/>
        <v>2.0481221889399279</v>
      </c>
    </row>
    <row r="1296" spans="1:4">
      <c r="A1296" s="2">
        <f>+Get_Data!A1295</f>
        <v>41325</v>
      </c>
      <c r="B1296">
        <f>+ROUND(Get_Data!B1295,5)</f>
        <v>60.222740000000002</v>
      </c>
      <c r="C1296">
        <f>+ROUND(Get_Data!C1295,5)</f>
        <v>29.481960000000001</v>
      </c>
      <c r="D1296" s="4">
        <f t="shared" si="21"/>
        <v>2.04269797530422</v>
      </c>
    </row>
    <row r="1297" spans="1:4">
      <c r="A1297" s="2">
        <f>+Get_Data!A1296</f>
        <v>41326</v>
      </c>
      <c r="B1297">
        <f>+ROUND(Get_Data!B1296,5)</f>
        <v>60.174819999999997</v>
      </c>
      <c r="C1297">
        <f>+ROUND(Get_Data!C1296,5)</f>
        <v>29.46632</v>
      </c>
      <c r="D1297" s="4">
        <f t="shared" si="21"/>
        <v>2.0421559258163215</v>
      </c>
    </row>
    <row r="1298" spans="1:4">
      <c r="A1298" s="2">
        <f>+Get_Data!A1297</f>
        <v>41327</v>
      </c>
      <c r="B1298">
        <f>+ROUND(Get_Data!B1297,5)</f>
        <v>60.34252</v>
      </c>
      <c r="C1298">
        <f>+ROUND(Get_Data!C1297,5)</f>
        <v>30.099260000000001</v>
      </c>
      <c r="D1298" s="4">
        <f t="shared" si="21"/>
        <v>2.0047841707736338</v>
      </c>
    </row>
    <row r="1299" spans="1:4">
      <c r="A1299" s="2">
        <f>+Get_Data!A1298</f>
        <v>41330</v>
      </c>
      <c r="B1299">
        <f>+ROUND(Get_Data!B1298,5)</f>
        <v>60.039099999999998</v>
      </c>
      <c r="C1299">
        <f>+ROUND(Get_Data!C1298,5)</f>
        <v>29.474139999999998</v>
      </c>
      <c r="D1299" s="4">
        <f t="shared" si="21"/>
        <v>2.0370093919619028</v>
      </c>
    </row>
    <row r="1300" spans="1:4">
      <c r="A1300" s="2">
        <f>+Get_Data!A1299</f>
        <v>41331</v>
      </c>
      <c r="B1300">
        <f>+ROUND(Get_Data!B1299,5)</f>
        <v>60.382460000000002</v>
      </c>
      <c r="C1300">
        <f>+ROUND(Get_Data!C1299,5)</f>
        <v>29.778890000000001</v>
      </c>
      <c r="D1300" s="4">
        <f t="shared" si="21"/>
        <v>2.0276934432411684</v>
      </c>
    </row>
    <row r="1301" spans="1:4">
      <c r="A1301" s="2">
        <f>+Get_Data!A1300</f>
        <v>41332</v>
      </c>
      <c r="B1301">
        <f>+ROUND(Get_Data!B1300,5)</f>
        <v>60.701720000000002</v>
      </c>
      <c r="C1301">
        <f>+ROUND(Get_Data!C1300,5)</f>
        <v>30.044560000000001</v>
      </c>
      <c r="D1301" s="4">
        <f t="shared" si="21"/>
        <v>2.0203897144774294</v>
      </c>
    </row>
    <row r="1302" spans="1:4">
      <c r="A1302" s="2">
        <f>+Get_Data!A1301</f>
        <v>41333</v>
      </c>
      <c r="B1302">
        <f>+ROUND(Get_Data!B1301,5)</f>
        <v>60.934939999999997</v>
      </c>
      <c r="C1302">
        <f>+ROUND(Get_Data!C1301,5)</f>
        <v>30.25553</v>
      </c>
      <c r="D1302" s="4">
        <f t="shared" si="21"/>
        <v>2.0140100008163797</v>
      </c>
    </row>
    <row r="1303" spans="1:4">
      <c r="A1303" s="2">
        <f>+Get_Data!A1302</f>
        <v>41334</v>
      </c>
      <c r="B1303">
        <f>+ROUND(Get_Data!B1302,5)</f>
        <v>61.063600000000001</v>
      </c>
      <c r="C1303">
        <f>+ROUND(Get_Data!C1302,5)</f>
        <v>30.239909999999998</v>
      </c>
      <c r="D1303" s="4">
        <f t="shared" si="21"/>
        <v>2.0193049516351076</v>
      </c>
    </row>
    <row r="1304" spans="1:4">
      <c r="A1304" s="2">
        <f>+Get_Data!A1303</f>
        <v>41337</v>
      </c>
      <c r="B1304">
        <f>+ROUND(Get_Data!B1303,5)</f>
        <v>61.602429999999998</v>
      </c>
      <c r="C1304">
        <f>+ROUND(Get_Data!C1303,5)</f>
        <v>30.333680000000001</v>
      </c>
      <c r="D1304" s="4">
        <f t="shared" si="21"/>
        <v>2.0308261312178408</v>
      </c>
    </row>
    <row r="1305" spans="1:4">
      <c r="A1305" s="2">
        <f>+Get_Data!A1304</f>
        <v>41338</v>
      </c>
      <c r="B1305">
        <f>+ROUND(Get_Data!B1304,5)</f>
        <v>61.843690000000002</v>
      </c>
      <c r="C1305">
        <f>+ROUND(Get_Data!C1304,5)</f>
        <v>30.22428</v>
      </c>
      <c r="D1305" s="4">
        <f t="shared" si="21"/>
        <v>2.0461592468042249</v>
      </c>
    </row>
    <row r="1306" spans="1:4">
      <c r="A1306" s="2">
        <f>+Get_Data!A1305</f>
        <v>41339</v>
      </c>
      <c r="B1306">
        <f>+ROUND(Get_Data!B1305,5)</f>
        <v>61.763280000000002</v>
      </c>
      <c r="C1306">
        <f>+ROUND(Get_Data!C1305,5)</f>
        <v>30.48996</v>
      </c>
      <c r="D1306" s="4">
        <f t="shared" si="21"/>
        <v>2.0256923918562046</v>
      </c>
    </row>
    <row r="1307" spans="1:4">
      <c r="A1307" s="2">
        <f>+Get_Data!A1306</f>
        <v>41340</v>
      </c>
      <c r="B1307">
        <f>+ROUND(Get_Data!B1306,5)</f>
        <v>62.03669</v>
      </c>
      <c r="C1307">
        <f>+ROUND(Get_Data!C1306,5)</f>
        <v>30.568100000000001</v>
      </c>
      <c r="D1307" s="4">
        <f t="shared" si="21"/>
        <v>2.0294584877699302</v>
      </c>
    </row>
    <row r="1308" spans="1:4">
      <c r="A1308" s="2">
        <f>+Get_Data!A1307</f>
        <v>41341</v>
      </c>
      <c r="B1308">
        <f>+ROUND(Get_Data!B1307,5)</f>
        <v>62.08493</v>
      </c>
      <c r="C1308">
        <f>+ROUND(Get_Data!C1307,5)</f>
        <v>30.646229999999999</v>
      </c>
      <c r="D1308" s="4">
        <f t="shared" si="21"/>
        <v>2.025858645582181</v>
      </c>
    </row>
    <row r="1309" spans="1:4">
      <c r="A1309" s="2">
        <f>+Get_Data!A1308</f>
        <v>41344</v>
      </c>
      <c r="B1309">
        <f>+ROUND(Get_Data!B1308,5)</f>
        <v>61.803469999999997</v>
      </c>
      <c r="C1309">
        <f>+ROUND(Get_Data!C1308,5)</f>
        <v>30.716560000000001</v>
      </c>
      <c r="D1309" s="4">
        <f t="shared" si="21"/>
        <v>2.0120570141969023</v>
      </c>
    </row>
    <row r="1310" spans="1:4">
      <c r="A1310" s="2">
        <f>+Get_Data!A1309</f>
        <v>41345</v>
      </c>
      <c r="B1310">
        <f>+ROUND(Get_Data!B1309,5)</f>
        <v>61.835639999999998</v>
      </c>
      <c r="C1310">
        <f>+ROUND(Get_Data!C1309,5)</f>
        <v>30.443069999999999</v>
      </c>
      <c r="D1310" s="4">
        <f t="shared" si="21"/>
        <v>2.0311893642789638</v>
      </c>
    </row>
    <row r="1311" spans="1:4">
      <c r="A1311" s="2">
        <f>+Get_Data!A1310</f>
        <v>41346</v>
      </c>
      <c r="B1311">
        <f>+ROUND(Get_Data!B1310,5)</f>
        <v>61.883920000000003</v>
      </c>
      <c r="C1311">
        <f>+ROUND(Get_Data!C1310,5)</f>
        <v>30.372240000000001</v>
      </c>
      <c r="D1311" s="4">
        <f t="shared" si="21"/>
        <v>2.0375158368299475</v>
      </c>
    </row>
    <row r="1312" spans="1:4">
      <c r="A1312" s="2">
        <f>+Get_Data!A1311</f>
        <v>41347</v>
      </c>
      <c r="B1312">
        <f>+ROUND(Get_Data!B1311,5)</f>
        <v>62.076909999999998</v>
      </c>
      <c r="C1312">
        <f>+ROUND(Get_Data!C1311,5)</f>
        <v>30.71067</v>
      </c>
      <c r="D1312" s="4">
        <f t="shared" si="21"/>
        <v>2.0213466524826713</v>
      </c>
    </row>
    <row r="1313" spans="1:4">
      <c r="A1313" s="2">
        <f>+Get_Data!A1312</f>
        <v>41348</v>
      </c>
      <c r="B1313">
        <f>+ROUND(Get_Data!B1312,5)</f>
        <v>61.95628</v>
      </c>
      <c r="C1313">
        <f>+ROUND(Get_Data!C1312,5)</f>
        <v>30.561140000000002</v>
      </c>
      <c r="D1313" s="4">
        <f t="shared" si="21"/>
        <v>2.0272895579157058</v>
      </c>
    </row>
    <row r="1314" spans="1:4">
      <c r="A1314" s="2">
        <f>+Get_Data!A1313</f>
        <v>41351</v>
      </c>
      <c r="B1314">
        <f>+ROUND(Get_Data!B1313,5)</f>
        <v>61.666759999999996</v>
      </c>
      <c r="C1314">
        <f>+ROUND(Get_Data!C1313,5)</f>
        <v>30.506029999999999</v>
      </c>
      <c r="D1314" s="4">
        <f t="shared" si="21"/>
        <v>2.0214613307598528</v>
      </c>
    </row>
    <row r="1315" spans="1:4">
      <c r="A1315" s="2">
        <f>+Get_Data!A1314</f>
        <v>41352</v>
      </c>
      <c r="B1315">
        <f>+ROUND(Get_Data!B1314,5)</f>
        <v>61.658729999999998</v>
      </c>
      <c r="C1315">
        <f>+ROUND(Get_Data!C1314,5)</f>
        <v>30.954650000000001</v>
      </c>
      <c r="D1315" s="4">
        <f t="shared" si="21"/>
        <v>1.9919052549455412</v>
      </c>
    </row>
    <row r="1316" spans="1:4">
      <c r="A1316" s="2">
        <f>+Get_Data!A1315</f>
        <v>41353</v>
      </c>
      <c r="B1316">
        <f>+ROUND(Get_Data!B1315,5)</f>
        <v>61.37726</v>
      </c>
      <c r="C1316">
        <f>+ROUND(Get_Data!C1315,5)</f>
        <v>31.379660000000001</v>
      </c>
      <c r="D1316" s="4">
        <f t="shared" si="21"/>
        <v>1.9559568204371875</v>
      </c>
    </row>
    <row r="1317" spans="1:4">
      <c r="A1317" s="2">
        <f>+Get_Data!A1316</f>
        <v>41354</v>
      </c>
      <c r="B1317">
        <f>+ROUND(Get_Data!B1316,5)</f>
        <v>61.240549999999999</v>
      </c>
      <c r="C1317">
        <f>+ROUND(Get_Data!C1316,5)</f>
        <v>31.53707</v>
      </c>
      <c r="D1317" s="4">
        <f t="shared" si="21"/>
        <v>1.9418592152029341</v>
      </c>
    </row>
    <row r="1318" spans="1:4">
      <c r="A1318" s="2">
        <f>+Get_Data!A1317</f>
        <v>41355</v>
      </c>
      <c r="B1318">
        <f>+ROUND(Get_Data!B1317,5)</f>
        <v>63.243029999999997</v>
      </c>
      <c r="C1318">
        <f>+ROUND(Get_Data!C1317,5)</f>
        <v>31.513459999999998</v>
      </c>
      <c r="D1318" s="4">
        <f t="shared" si="21"/>
        <v>2.0068577046125688</v>
      </c>
    </row>
    <row r="1319" spans="1:4">
      <c r="A1319" s="2">
        <f>+Get_Data!A1318</f>
        <v>41358</v>
      </c>
      <c r="B1319">
        <f>+ROUND(Get_Data!B1318,5)</f>
        <v>62.591610000000003</v>
      </c>
      <c r="C1319">
        <f>+ROUND(Get_Data!C1318,5)</f>
        <v>31.576429999999998</v>
      </c>
      <c r="D1319" s="4">
        <f t="shared" si="21"/>
        <v>1.9822256664227085</v>
      </c>
    </row>
    <row r="1320" spans="1:4">
      <c r="A1320" s="2">
        <f>+Get_Data!A1319</f>
        <v>41359</v>
      </c>
      <c r="B1320">
        <f>+ROUND(Get_Data!B1319,5)</f>
        <v>63.46819</v>
      </c>
      <c r="C1320">
        <f>+ROUND(Get_Data!C1319,5)</f>
        <v>32.025039999999997</v>
      </c>
      <c r="D1320" s="4">
        <f t="shared" si="21"/>
        <v>1.981830155403397</v>
      </c>
    </row>
    <row r="1321" spans="1:4">
      <c r="A1321" s="2">
        <f>+Get_Data!A1320</f>
        <v>41360</v>
      </c>
      <c r="B1321">
        <f>+ROUND(Get_Data!B1320,5)</f>
        <v>62.961530000000003</v>
      </c>
      <c r="C1321">
        <f>+ROUND(Get_Data!C1320,5)</f>
        <v>31.65513</v>
      </c>
      <c r="D1321" s="4">
        <f t="shared" si="21"/>
        <v>1.9889834601848106</v>
      </c>
    </row>
    <row r="1322" spans="1:4">
      <c r="A1322" s="2">
        <f>+Get_Data!A1321</f>
        <v>41361</v>
      </c>
      <c r="B1322">
        <f>+ROUND(Get_Data!B1321,5)</f>
        <v>63.621000000000002</v>
      </c>
      <c r="C1322">
        <f>+ROUND(Get_Data!C1321,5)</f>
        <v>31.82827</v>
      </c>
      <c r="D1322" s="4">
        <f t="shared" si="21"/>
        <v>1.9988833826029502</v>
      </c>
    </row>
    <row r="1323" spans="1:4">
      <c r="A1323" s="2">
        <f>+Get_Data!A1322</f>
        <v>41365</v>
      </c>
      <c r="B1323">
        <f>+ROUND(Get_Data!B1322,5)</f>
        <v>63.612960000000001</v>
      </c>
      <c r="C1323">
        <f>+ROUND(Get_Data!C1322,5)</f>
        <v>31.83615</v>
      </c>
      <c r="D1323" s="4">
        <f t="shared" si="21"/>
        <v>1.9981360811530289</v>
      </c>
    </row>
    <row r="1324" spans="1:4">
      <c r="A1324" s="2">
        <f>+Get_Data!A1323</f>
        <v>41366</v>
      </c>
      <c r="B1324">
        <f>+ROUND(Get_Data!B1323,5)</f>
        <v>64.12764</v>
      </c>
      <c r="C1324">
        <f>+ROUND(Get_Data!C1323,5)</f>
        <v>32.048659999999998</v>
      </c>
      <c r="D1324" s="4">
        <f t="shared" si="21"/>
        <v>2.0009460613953909</v>
      </c>
    </row>
    <row r="1325" spans="1:4">
      <c r="A1325" s="2">
        <f>+Get_Data!A1324</f>
        <v>41367</v>
      </c>
      <c r="B1325">
        <f>+ROUND(Get_Data!B1324,5)</f>
        <v>63.500369999999997</v>
      </c>
      <c r="C1325">
        <f>+ROUND(Get_Data!C1324,5)</f>
        <v>31.615780000000001</v>
      </c>
      <c r="D1325" s="4">
        <f t="shared" si="21"/>
        <v>2.0085023997510101</v>
      </c>
    </row>
    <row r="1326" spans="1:4">
      <c r="A1326" s="2">
        <f>+Get_Data!A1325</f>
        <v>41368</v>
      </c>
      <c r="B1326">
        <f>+ROUND(Get_Data!B1325,5)</f>
        <v>63.958759999999998</v>
      </c>
      <c r="C1326">
        <f>+ROUND(Get_Data!C1325,5)</f>
        <v>31.906980000000001</v>
      </c>
      <c r="D1326" s="4">
        <f t="shared" si="21"/>
        <v>2.004538191956744</v>
      </c>
    </row>
    <row r="1327" spans="1:4">
      <c r="A1327" s="2">
        <f>+Get_Data!A1326</f>
        <v>41369</v>
      </c>
      <c r="B1327">
        <f>+ROUND(Get_Data!B1326,5)</f>
        <v>63.202800000000003</v>
      </c>
      <c r="C1327">
        <f>+ROUND(Get_Data!C1326,5)</f>
        <v>31.54494</v>
      </c>
      <c r="D1327" s="4">
        <f t="shared" si="21"/>
        <v>2.0035796549303946</v>
      </c>
    </row>
    <row r="1328" spans="1:4">
      <c r="A1328" s="2">
        <f>+Get_Data!A1327</f>
        <v>41372</v>
      </c>
      <c r="B1328">
        <f>+ROUND(Get_Data!B1327,5)</f>
        <v>63.934629999999999</v>
      </c>
      <c r="C1328">
        <f>+ROUND(Get_Data!C1327,5)</f>
        <v>32.158839999999998</v>
      </c>
      <c r="D1328" s="4">
        <f t="shared" si="21"/>
        <v>1.9880888116611173</v>
      </c>
    </row>
    <row r="1329" spans="1:4">
      <c r="A1329" s="2">
        <f>+Get_Data!A1328</f>
        <v>41373</v>
      </c>
      <c r="B1329">
        <f>+ROUND(Get_Data!B1328,5)</f>
        <v>63.701439999999998</v>
      </c>
      <c r="C1329">
        <f>+ROUND(Get_Data!C1328,5)</f>
        <v>32.040779999999998</v>
      </c>
      <c r="D1329" s="4">
        <f t="shared" si="21"/>
        <v>1.9881363687151188</v>
      </c>
    </row>
    <row r="1330" spans="1:4">
      <c r="A1330" s="2">
        <f>+Get_Data!A1329</f>
        <v>41374</v>
      </c>
      <c r="B1330">
        <f>+ROUND(Get_Data!B1329,5)</f>
        <v>64.384990000000002</v>
      </c>
      <c r="C1330">
        <f>+ROUND(Get_Data!C1329,5)</f>
        <v>32.324120000000001</v>
      </c>
      <c r="D1330" s="4">
        <f t="shared" si="21"/>
        <v>1.9918559267816107</v>
      </c>
    </row>
    <row r="1331" spans="1:4">
      <c r="A1331" s="2">
        <f>+Get_Data!A1330</f>
        <v>41375</v>
      </c>
      <c r="B1331">
        <f>+ROUND(Get_Data!B1330,5)</f>
        <v>64.304569999999998</v>
      </c>
      <c r="C1331">
        <f>+ROUND(Get_Data!C1330,5)</f>
        <v>32.410690000000002</v>
      </c>
      <c r="D1331" s="4">
        <f t="shared" si="21"/>
        <v>1.9840543351591711</v>
      </c>
    </row>
    <row r="1332" spans="1:4">
      <c r="A1332" s="2">
        <f>+Get_Data!A1331</f>
        <v>41376</v>
      </c>
      <c r="B1332">
        <f>+ROUND(Get_Data!B1331,5)</f>
        <v>64.328699999999998</v>
      </c>
      <c r="C1332">
        <f>+ROUND(Get_Data!C1331,5)</f>
        <v>32.331989999999998</v>
      </c>
      <c r="D1332" s="4">
        <f t="shared" si="21"/>
        <v>1.9896300846313513</v>
      </c>
    </row>
    <row r="1333" spans="1:4">
      <c r="A1333" s="2">
        <f>+Get_Data!A1332</f>
        <v>41379</v>
      </c>
      <c r="B1333">
        <f>+ROUND(Get_Data!B1332,5)</f>
        <v>63.46819</v>
      </c>
      <c r="C1333">
        <f>+ROUND(Get_Data!C1332,5)</f>
        <v>31.552810000000001</v>
      </c>
      <c r="D1333" s="4">
        <f t="shared" si="21"/>
        <v>2.0114908941549103</v>
      </c>
    </row>
    <row r="1334" spans="1:4">
      <c r="A1334" s="2">
        <f>+Get_Data!A1333</f>
        <v>41380</v>
      </c>
      <c r="B1334">
        <f>+ROUND(Get_Data!B1333,5)</f>
        <v>64.336749999999995</v>
      </c>
      <c r="C1334">
        <f>+ROUND(Get_Data!C1333,5)</f>
        <v>33.347279999999998</v>
      </c>
      <c r="D1334" s="4">
        <f t="shared" si="21"/>
        <v>1.929295282853654</v>
      </c>
    </row>
    <row r="1335" spans="1:4">
      <c r="A1335" s="2">
        <f>+Get_Data!A1334</f>
        <v>41381</v>
      </c>
      <c r="B1335">
        <f>+ROUND(Get_Data!B1334,5)</f>
        <v>63.411909999999999</v>
      </c>
      <c r="C1335">
        <f>+ROUND(Get_Data!C1334,5)</f>
        <v>33.488959999999999</v>
      </c>
      <c r="D1335" s="4">
        <f t="shared" si="21"/>
        <v>1.893516848537548</v>
      </c>
    </row>
    <row r="1336" spans="1:4">
      <c r="A1336" s="2">
        <f>+Get_Data!A1335</f>
        <v>41382</v>
      </c>
      <c r="B1336">
        <f>+ROUND(Get_Data!B1335,5)</f>
        <v>65.341999999999999</v>
      </c>
      <c r="C1336">
        <f>+ROUND(Get_Data!C1335,5)</f>
        <v>33.134770000000003</v>
      </c>
      <c r="D1336" s="4">
        <f t="shared" si="21"/>
        <v>1.9720070487889305</v>
      </c>
    </row>
    <row r="1337" spans="1:4">
      <c r="A1337" s="2">
        <f>+Get_Data!A1336</f>
        <v>41383</v>
      </c>
      <c r="B1337">
        <f>+ROUND(Get_Data!B1336,5)</f>
        <v>66.564409999999995</v>
      </c>
      <c r="C1337">
        <f>+ROUND(Get_Data!C1336,5)</f>
        <v>33.575530000000001</v>
      </c>
      <c r="D1337" s="4">
        <f t="shared" si="21"/>
        <v>1.9825274537736259</v>
      </c>
    </row>
    <row r="1338" spans="1:4">
      <c r="A1338" s="2">
        <f>+Get_Data!A1337</f>
        <v>41386</v>
      </c>
      <c r="B1338">
        <f>+ROUND(Get_Data!B1337,5)</f>
        <v>67.054969999999997</v>
      </c>
      <c r="C1338">
        <f>+ROUND(Get_Data!C1337,5)</f>
        <v>33.622750000000003</v>
      </c>
      <c r="D1338" s="4">
        <f t="shared" si="21"/>
        <v>1.9943333011130853</v>
      </c>
    </row>
    <row r="1339" spans="1:4">
      <c r="A1339" s="2">
        <f>+Get_Data!A1338</f>
        <v>41387</v>
      </c>
      <c r="B1339">
        <f>+ROUND(Get_Data!B1338,5)</f>
        <v>67.634</v>
      </c>
      <c r="C1339">
        <f>+ROUND(Get_Data!C1338,5)</f>
        <v>33.606999999999999</v>
      </c>
      <c r="D1339" s="4">
        <f t="shared" si="21"/>
        <v>2.0124973963757551</v>
      </c>
    </row>
    <row r="1340" spans="1:4">
      <c r="A1340" s="2">
        <f>+Get_Data!A1339</f>
        <v>41388</v>
      </c>
      <c r="B1340">
        <f>+ROUND(Get_Data!B1339,5)</f>
        <v>66.21857</v>
      </c>
      <c r="C1340">
        <f>+ROUND(Get_Data!C1339,5)</f>
        <v>33.174129999999998</v>
      </c>
      <c r="D1340" s="4">
        <f t="shared" si="21"/>
        <v>1.9960906284505426</v>
      </c>
    </row>
    <row r="1341" spans="1:4">
      <c r="A1341" s="2">
        <f>+Get_Data!A1340</f>
        <v>41389</v>
      </c>
      <c r="B1341">
        <f>+ROUND(Get_Data!B1340,5)</f>
        <v>66.604619999999997</v>
      </c>
      <c r="C1341">
        <f>+ROUND(Get_Data!C1340,5)</f>
        <v>33.331539999999997</v>
      </c>
      <c r="D1341" s="4">
        <f t="shared" si="21"/>
        <v>1.9982461056404837</v>
      </c>
    </row>
    <row r="1342" spans="1:4">
      <c r="A1342" s="2">
        <f>+Get_Data!A1341</f>
        <v>41390</v>
      </c>
      <c r="B1342">
        <f>+ROUND(Get_Data!B1341,5)</f>
        <v>66.355310000000003</v>
      </c>
      <c r="C1342">
        <f>+ROUND(Get_Data!C1341,5)</f>
        <v>33.134770000000003</v>
      </c>
      <c r="D1342" s="4">
        <f t="shared" si="21"/>
        <v>2.0025885195521198</v>
      </c>
    </row>
    <row r="1343" spans="1:4">
      <c r="A1343" s="2">
        <f>+Get_Data!A1342</f>
        <v>41393</v>
      </c>
      <c r="B1343">
        <f>+ROUND(Get_Data!B1342,5)</f>
        <v>66.4679</v>
      </c>
      <c r="C1343">
        <f>+ROUND(Get_Data!C1342,5)</f>
        <v>33.244959999999999</v>
      </c>
      <c r="D1343" s="4">
        <f t="shared" si="21"/>
        <v>1.9993376439616712</v>
      </c>
    </row>
    <row r="1344" spans="1:4">
      <c r="A1344" s="2">
        <f>+Get_Data!A1343</f>
        <v>41394</v>
      </c>
      <c r="B1344">
        <f>+ROUND(Get_Data!B1343,5)</f>
        <v>66.323139999999995</v>
      </c>
      <c r="C1344">
        <f>+ROUND(Get_Data!C1343,5)</f>
        <v>33.315800000000003</v>
      </c>
      <c r="D1344" s="4">
        <f t="shared" si="21"/>
        <v>1.9907413299395478</v>
      </c>
    </row>
    <row r="1345" spans="1:4">
      <c r="A1345" s="2">
        <f>+Get_Data!A1344</f>
        <v>41395</v>
      </c>
      <c r="B1345">
        <f>+ROUND(Get_Data!B1344,5)</f>
        <v>66.114050000000006</v>
      </c>
      <c r="C1345">
        <f>+ROUND(Get_Data!C1344,5)</f>
        <v>33.221359999999997</v>
      </c>
      <c r="D1345" s="4">
        <f t="shared" si="21"/>
        <v>1.9901066663134805</v>
      </c>
    </row>
    <row r="1346" spans="1:4">
      <c r="A1346" s="2">
        <f>+Get_Data!A1345</f>
        <v>41396</v>
      </c>
      <c r="B1346">
        <f>+ROUND(Get_Data!B1345,5)</f>
        <v>66.395529999999994</v>
      </c>
      <c r="C1346">
        <f>+ROUND(Get_Data!C1345,5)</f>
        <v>33.024590000000003</v>
      </c>
      <c r="D1346" s="4">
        <f t="shared" si="21"/>
        <v>2.0104876396648677</v>
      </c>
    </row>
    <row r="1347" spans="1:4">
      <c r="A1347" s="2">
        <f>+Get_Data!A1346</f>
        <v>41397</v>
      </c>
      <c r="B1347">
        <f>+ROUND(Get_Data!B1346,5)</f>
        <v>66.612669999999994</v>
      </c>
      <c r="C1347">
        <f>+ROUND(Get_Data!C1346,5)</f>
        <v>33.244959999999999</v>
      </c>
      <c r="D1347" s="4">
        <f t="shared" si="21"/>
        <v>2.0036922889965876</v>
      </c>
    </row>
    <row r="1348" spans="1:4">
      <c r="A1348" s="2">
        <f>+Get_Data!A1347</f>
        <v>41400</v>
      </c>
      <c r="B1348">
        <f>+ROUND(Get_Data!B1347,5)</f>
        <v>66.347269999999995</v>
      </c>
      <c r="C1348">
        <f>+ROUND(Get_Data!C1347,5)</f>
        <v>33.119039999999998</v>
      </c>
      <c r="D1348" s="4">
        <f t="shared" ref="D1348:D1411" si="22">IFERROR(B1348/C1348,"")</f>
        <v>2.0032968950790844</v>
      </c>
    </row>
    <row r="1349" spans="1:4">
      <c r="A1349" s="2">
        <f>+Get_Data!A1348</f>
        <v>41401</v>
      </c>
      <c r="B1349">
        <f>+ROUND(Get_Data!B1348,5)</f>
        <v>67.022800000000004</v>
      </c>
      <c r="C1349">
        <f>+ROUND(Get_Data!C1348,5)</f>
        <v>33.606999999999999</v>
      </c>
      <c r="D1349" s="4">
        <f t="shared" si="22"/>
        <v>1.994310709078466</v>
      </c>
    </row>
    <row r="1350" spans="1:4">
      <c r="A1350" s="2">
        <f>+Get_Data!A1349</f>
        <v>41402</v>
      </c>
      <c r="B1350">
        <f>+ROUND(Get_Data!B1349,5)</f>
        <v>66.950419999999994</v>
      </c>
      <c r="C1350">
        <f>+ROUND(Get_Data!C1349,5)</f>
        <v>33.418120000000002</v>
      </c>
      <c r="D1350" s="4">
        <f t="shared" si="22"/>
        <v>2.0034167092583304</v>
      </c>
    </row>
    <row r="1351" spans="1:4">
      <c r="A1351" s="2">
        <f>+Get_Data!A1350</f>
        <v>41403</v>
      </c>
      <c r="B1351">
        <f>+ROUND(Get_Data!B1350,5)</f>
        <v>66.628709999999998</v>
      </c>
      <c r="C1351">
        <f>+ROUND(Get_Data!C1350,5)</f>
        <v>33.15052</v>
      </c>
      <c r="D1351" s="4">
        <f t="shared" si="22"/>
        <v>2.0098843095070604</v>
      </c>
    </row>
    <row r="1352" spans="1:4">
      <c r="A1352" s="2">
        <f>+Get_Data!A1351</f>
        <v>41404</v>
      </c>
      <c r="B1352">
        <f>+ROUND(Get_Data!B1351,5)</f>
        <v>66.749359999999996</v>
      </c>
      <c r="C1352">
        <f>+ROUND(Get_Data!C1351,5)</f>
        <v>33.174129999999998</v>
      </c>
      <c r="D1352" s="4">
        <f t="shared" si="22"/>
        <v>2.0120907466149074</v>
      </c>
    </row>
    <row r="1353" spans="1:4">
      <c r="A1353" s="2">
        <f>+Get_Data!A1352</f>
        <v>41407</v>
      </c>
      <c r="B1353">
        <f>+ROUND(Get_Data!B1352,5)</f>
        <v>66.773510000000002</v>
      </c>
      <c r="C1353">
        <f>+ROUND(Get_Data!C1352,5)</f>
        <v>33.205599999999997</v>
      </c>
      <c r="D1353" s="4">
        <f t="shared" si="22"/>
        <v>2.0109111113788036</v>
      </c>
    </row>
    <row r="1354" spans="1:4">
      <c r="A1354" s="2">
        <f>+Get_Data!A1353</f>
        <v>41408</v>
      </c>
      <c r="B1354">
        <f>+ROUND(Get_Data!B1353,5)</f>
        <v>67.151470000000003</v>
      </c>
      <c r="C1354">
        <f>+ROUND(Get_Data!C1353,5)</f>
        <v>33.465339999999998</v>
      </c>
      <c r="D1354" s="4">
        <f t="shared" si="22"/>
        <v>2.0065975722942007</v>
      </c>
    </row>
    <row r="1355" spans="1:4">
      <c r="A1355" s="2">
        <f>+Get_Data!A1354</f>
        <v>41409</v>
      </c>
      <c r="B1355">
        <f>+ROUND(Get_Data!B1354,5)</f>
        <v>67.754639999999995</v>
      </c>
      <c r="C1355">
        <f>+ROUND(Get_Data!C1354,5)</f>
        <v>33.780160000000002</v>
      </c>
      <c r="D1355" s="4">
        <f t="shared" si="22"/>
        <v>2.0057524890349834</v>
      </c>
    </row>
    <row r="1356" spans="1:4">
      <c r="A1356" s="2">
        <f>+Get_Data!A1355</f>
        <v>41410</v>
      </c>
      <c r="B1356">
        <f>+ROUND(Get_Data!B1355,5)</f>
        <v>67.344480000000004</v>
      </c>
      <c r="C1356">
        <f>+ROUND(Get_Data!C1355,5)</f>
        <v>33.91395</v>
      </c>
      <c r="D1356" s="4">
        <f t="shared" si="22"/>
        <v>1.9857456887210132</v>
      </c>
    </row>
    <row r="1357" spans="1:4">
      <c r="A1357" s="2">
        <f>+Get_Data!A1356</f>
        <v>41411</v>
      </c>
      <c r="B1357">
        <f>+ROUND(Get_Data!B1356,5)</f>
        <v>67.39273</v>
      </c>
      <c r="C1357">
        <f>+ROUND(Get_Data!C1356,5)</f>
        <v>33.819510000000001</v>
      </c>
      <c r="D1357" s="4">
        <f t="shared" si="22"/>
        <v>1.9927175171964349</v>
      </c>
    </row>
    <row r="1358" spans="1:4">
      <c r="A1358" s="2">
        <f>+Get_Data!A1357</f>
        <v>41414</v>
      </c>
      <c r="B1358">
        <f>+ROUND(Get_Data!B1357,5)</f>
        <v>66.419629999999998</v>
      </c>
      <c r="C1358">
        <f>+ROUND(Get_Data!C1357,5)</f>
        <v>33.355159999999998</v>
      </c>
      <c r="D1358" s="4">
        <f t="shared" si="22"/>
        <v>1.991285006577693</v>
      </c>
    </row>
    <row r="1359" spans="1:4">
      <c r="A1359" s="2">
        <f>+Get_Data!A1358</f>
        <v>41415</v>
      </c>
      <c r="B1359">
        <f>+ROUND(Get_Data!B1358,5)</f>
        <v>66.451830000000001</v>
      </c>
      <c r="C1359">
        <f>+ROUND(Get_Data!C1358,5)</f>
        <v>33.323659999999997</v>
      </c>
      <c r="D1359" s="4">
        <f t="shared" si="22"/>
        <v>1.994133597570015</v>
      </c>
    </row>
    <row r="1360" spans="1:4">
      <c r="A1360" s="2">
        <f>+Get_Data!A1359</f>
        <v>41416</v>
      </c>
      <c r="B1360">
        <f>+ROUND(Get_Data!B1359,5)</f>
        <v>66.725229999999996</v>
      </c>
      <c r="C1360">
        <f>+ROUND(Get_Data!C1359,5)</f>
        <v>33.252830000000003</v>
      </c>
      <c r="D1360" s="4">
        <f t="shared" si="22"/>
        <v>2.0066030470188547</v>
      </c>
    </row>
    <row r="1361" spans="1:4">
      <c r="A1361" s="2">
        <f>+Get_Data!A1360</f>
        <v>41417</v>
      </c>
      <c r="B1361">
        <f>+ROUND(Get_Data!B1360,5)</f>
        <v>66.041659999999993</v>
      </c>
      <c r="C1361">
        <f>+ROUND(Get_Data!C1360,5)</f>
        <v>33.000979999999998</v>
      </c>
      <c r="D1361" s="4">
        <f t="shared" si="22"/>
        <v>2.0012029945777368</v>
      </c>
    </row>
    <row r="1362" spans="1:4">
      <c r="A1362" s="2">
        <f>+Get_Data!A1361</f>
        <v>41418</v>
      </c>
      <c r="B1362">
        <f>+ROUND(Get_Data!B1361,5)</f>
        <v>66.411580000000001</v>
      </c>
      <c r="C1362">
        <f>+ROUND(Get_Data!C1361,5)</f>
        <v>33.244959999999999</v>
      </c>
      <c r="D1362" s="4">
        <f t="shared" si="22"/>
        <v>1.9976435525866176</v>
      </c>
    </row>
    <row r="1363" spans="1:4">
      <c r="A1363" s="2">
        <f>+Get_Data!A1362</f>
        <v>41422</v>
      </c>
      <c r="B1363">
        <f>+ROUND(Get_Data!B1362,5)</f>
        <v>66.290959999999998</v>
      </c>
      <c r="C1363">
        <f>+ROUND(Get_Data!C1362,5)</f>
        <v>33.488959999999999</v>
      </c>
      <c r="D1363" s="4">
        <f t="shared" si="22"/>
        <v>1.9794869712287273</v>
      </c>
    </row>
    <row r="1364" spans="1:4">
      <c r="A1364" s="2">
        <f>+Get_Data!A1363</f>
        <v>41423</v>
      </c>
      <c r="B1364">
        <f>+ROUND(Get_Data!B1363,5)</f>
        <v>65.237459999999999</v>
      </c>
      <c r="C1364">
        <f>+ROUND(Get_Data!C1363,5)</f>
        <v>32.583840000000002</v>
      </c>
      <c r="D1364" s="4">
        <f t="shared" si="22"/>
        <v>2.0021415523768837</v>
      </c>
    </row>
    <row r="1365" spans="1:4">
      <c r="A1365" s="2">
        <f>+Get_Data!A1364</f>
        <v>41424</v>
      </c>
      <c r="B1365">
        <f>+ROUND(Get_Data!B1364,5)</f>
        <v>65.317859999999996</v>
      </c>
      <c r="C1365">
        <f>+ROUND(Get_Data!C1364,5)</f>
        <v>32.088009999999997</v>
      </c>
      <c r="D1365" s="4">
        <f t="shared" si="22"/>
        <v>2.0355846311441566</v>
      </c>
    </row>
    <row r="1366" spans="1:4">
      <c r="A1366" s="2">
        <f>+Get_Data!A1365</f>
        <v>41425</v>
      </c>
      <c r="B1366">
        <f>+ROUND(Get_Data!B1365,5)</f>
        <v>64.955960000000005</v>
      </c>
      <c r="C1366">
        <f>+ROUND(Get_Data!C1365,5)</f>
        <v>31.47411</v>
      </c>
      <c r="D1366" s="4">
        <f t="shared" si="22"/>
        <v>2.063790207252882</v>
      </c>
    </row>
    <row r="1367" spans="1:4">
      <c r="A1367" s="2">
        <f>+Get_Data!A1366</f>
        <v>41428</v>
      </c>
      <c r="B1367">
        <f>+ROUND(Get_Data!B1366,5)</f>
        <v>65.462620000000001</v>
      </c>
      <c r="C1367">
        <f>+ROUND(Get_Data!C1366,5)</f>
        <v>32.119480000000003</v>
      </c>
      <c r="D1367" s="4">
        <f t="shared" si="22"/>
        <v>2.0380971298414545</v>
      </c>
    </row>
    <row r="1368" spans="1:4">
      <c r="A1368" s="2">
        <f>+Get_Data!A1367</f>
        <v>41429</v>
      </c>
      <c r="B1368">
        <f>+ROUND(Get_Data!B1367,5)</f>
        <v>65.647589999999994</v>
      </c>
      <c r="C1368">
        <f>+ROUND(Get_Data!C1367,5)</f>
        <v>32.599580000000003</v>
      </c>
      <c r="D1368" s="4">
        <f t="shared" si="22"/>
        <v>2.0137556986930503</v>
      </c>
    </row>
    <row r="1369" spans="1:4">
      <c r="A1369" s="2">
        <f>+Get_Data!A1368</f>
        <v>41430</v>
      </c>
      <c r="B1369">
        <f>+ROUND(Get_Data!B1368,5)</f>
        <v>65.759379999999993</v>
      </c>
      <c r="C1369">
        <f>+ROUND(Get_Data!C1368,5)</f>
        <v>31.993559999999999</v>
      </c>
      <c r="D1369" s="4">
        <f t="shared" si="22"/>
        <v>2.0553942730974608</v>
      </c>
    </row>
    <row r="1370" spans="1:4">
      <c r="A1370" s="2">
        <f>+Get_Data!A1369</f>
        <v>41431</v>
      </c>
      <c r="B1370">
        <f>+ROUND(Get_Data!B1369,5)</f>
        <v>66.131889999999999</v>
      </c>
      <c r="C1370">
        <f>+ROUND(Get_Data!C1369,5)</f>
        <v>32.103740000000002</v>
      </c>
      <c r="D1370" s="4">
        <f t="shared" si="22"/>
        <v>2.0599434832203349</v>
      </c>
    </row>
    <row r="1371" spans="1:4">
      <c r="A1371" s="2">
        <f>+Get_Data!A1370</f>
        <v>41432</v>
      </c>
      <c r="B1371">
        <f>+ROUND(Get_Data!B1370,5)</f>
        <v>66.820269999999994</v>
      </c>
      <c r="C1371">
        <f>+ROUND(Get_Data!C1370,5)</f>
        <v>32.591709999999999</v>
      </c>
      <c r="D1371" s="4">
        <f t="shared" si="22"/>
        <v>2.0502228941040528</v>
      </c>
    </row>
    <row r="1372" spans="1:4">
      <c r="A1372" s="2">
        <f>+Get_Data!A1371</f>
        <v>41435</v>
      </c>
      <c r="B1372">
        <f>+ROUND(Get_Data!B1371,5)</f>
        <v>67.095579999999998</v>
      </c>
      <c r="C1372">
        <f>+ROUND(Get_Data!C1371,5)</f>
        <v>32.410690000000002</v>
      </c>
      <c r="D1372" s="4">
        <f t="shared" si="22"/>
        <v>2.0701682068478022</v>
      </c>
    </row>
    <row r="1373" spans="1:4">
      <c r="A1373" s="2">
        <f>+Get_Data!A1372</f>
        <v>41436</v>
      </c>
      <c r="B1373">
        <f>+ROUND(Get_Data!B1372,5)</f>
        <v>66.836460000000002</v>
      </c>
      <c r="C1373">
        <f>+ROUND(Get_Data!C1372,5)</f>
        <v>32.103740000000002</v>
      </c>
      <c r="D1373" s="4">
        <f t="shared" si="22"/>
        <v>2.0818901473784672</v>
      </c>
    </row>
    <row r="1374" spans="1:4">
      <c r="A1374" s="2">
        <f>+Get_Data!A1373</f>
        <v>41437</v>
      </c>
      <c r="B1374">
        <f>+ROUND(Get_Data!B1373,5)</f>
        <v>66.496309999999994</v>
      </c>
      <c r="C1374">
        <f>+ROUND(Get_Data!C1373,5)</f>
        <v>32.008650000000003</v>
      </c>
      <c r="D1374" s="4">
        <f t="shared" si="22"/>
        <v>2.077448127303088</v>
      </c>
    </row>
    <row r="1375" spans="1:4">
      <c r="A1375" s="2">
        <f>+Get_Data!A1374</f>
        <v>41438</v>
      </c>
      <c r="B1375">
        <f>+ROUND(Get_Data!B1374,5)</f>
        <v>66.391050000000007</v>
      </c>
      <c r="C1375">
        <f>+ROUND(Get_Data!C1374,5)</f>
        <v>32.02449</v>
      </c>
      <c r="D1375" s="4">
        <f t="shared" si="22"/>
        <v>2.0731337173519395</v>
      </c>
    </row>
    <row r="1376" spans="1:4">
      <c r="A1376" s="2">
        <f>+Get_Data!A1375</f>
        <v>41439</v>
      </c>
      <c r="B1376">
        <f>+ROUND(Get_Data!B1375,5)</f>
        <v>66.512510000000006</v>
      </c>
      <c r="C1376">
        <f>+ROUND(Get_Data!C1375,5)</f>
        <v>31.96902</v>
      </c>
      <c r="D1376" s="4">
        <f t="shared" si="22"/>
        <v>2.0805301507521969</v>
      </c>
    </row>
    <row r="1377" spans="1:4">
      <c r="A1377" s="2">
        <f>+Get_Data!A1376</f>
        <v>41442</v>
      </c>
      <c r="B1377">
        <f>+ROUND(Get_Data!B1376,5)</f>
        <v>66.852670000000003</v>
      </c>
      <c r="C1377">
        <f>+ROUND(Get_Data!C1376,5)</f>
        <v>32.23847</v>
      </c>
      <c r="D1377" s="4">
        <f t="shared" si="22"/>
        <v>2.073692392970262</v>
      </c>
    </row>
    <row r="1378" spans="1:4">
      <c r="A1378" s="2">
        <f>+Get_Data!A1377</f>
        <v>41443</v>
      </c>
      <c r="B1378">
        <f>+ROUND(Get_Data!B1377,5)</f>
        <v>66.868840000000006</v>
      </c>
      <c r="C1378">
        <f>+ROUND(Get_Data!C1377,5)</f>
        <v>32.436590000000002</v>
      </c>
      <c r="D1378" s="4">
        <f t="shared" si="22"/>
        <v>2.0615249630124497</v>
      </c>
    </row>
    <row r="1379" spans="1:4">
      <c r="A1379" s="2">
        <f>+Get_Data!A1378</f>
        <v>41444</v>
      </c>
      <c r="B1379">
        <f>+ROUND(Get_Data!B1378,5)</f>
        <v>65.508300000000006</v>
      </c>
      <c r="C1379">
        <f>+ROUND(Get_Data!C1378,5)</f>
        <v>32.02449</v>
      </c>
      <c r="D1379" s="4">
        <f t="shared" si="22"/>
        <v>2.0455688755699155</v>
      </c>
    </row>
    <row r="1380" spans="1:4">
      <c r="A1380" s="2">
        <f>+Get_Data!A1379</f>
        <v>41445</v>
      </c>
      <c r="B1380">
        <f>+ROUND(Get_Data!B1379,5)</f>
        <v>63.904809999999998</v>
      </c>
      <c r="C1380">
        <f>+ROUND(Get_Data!C1379,5)</f>
        <v>31.010110000000001</v>
      </c>
      <c r="D1380" s="4">
        <f t="shared" si="22"/>
        <v>2.0607734058344196</v>
      </c>
    </row>
    <row r="1381" spans="1:4">
      <c r="A1381" s="2">
        <f>+Get_Data!A1380</f>
        <v>41446</v>
      </c>
      <c r="B1381">
        <f>+ROUND(Get_Data!B1380,5)</f>
        <v>64.89282</v>
      </c>
      <c r="C1381">
        <f>+ROUND(Get_Data!C1380,5)</f>
        <v>31.50938</v>
      </c>
      <c r="D1381" s="4">
        <f t="shared" si="22"/>
        <v>2.0594762575461658</v>
      </c>
    </row>
    <row r="1382" spans="1:4">
      <c r="A1382" s="2">
        <f>+Get_Data!A1381</f>
        <v>41449</v>
      </c>
      <c r="B1382">
        <f>+ROUND(Get_Data!B1381,5)</f>
        <v>64.89282</v>
      </c>
      <c r="C1382">
        <f>+ROUND(Get_Data!C1381,5)</f>
        <v>31.327100000000002</v>
      </c>
      <c r="D1382" s="4">
        <f t="shared" si="22"/>
        <v>2.071459535035161</v>
      </c>
    </row>
    <row r="1383" spans="1:4">
      <c r="A1383" s="2">
        <f>+Get_Data!A1382</f>
        <v>41450</v>
      </c>
      <c r="B1383">
        <f>+ROUND(Get_Data!B1382,5)</f>
        <v>64.819959999999995</v>
      </c>
      <c r="C1383">
        <f>+ROUND(Get_Data!C1382,5)</f>
        <v>31.477679999999999</v>
      </c>
      <c r="D1383" s="4">
        <f t="shared" si="22"/>
        <v>2.0592356234639908</v>
      </c>
    </row>
    <row r="1384" spans="1:4">
      <c r="A1384" s="2">
        <f>+Get_Data!A1383</f>
        <v>41451</v>
      </c>
      <c r="B1384">
        <f>+ROUND(Get_Data!B1383,5)</f>
        <v>65.840350000000001</v>
      </c>
      <c r="C1384">
        <f>+ROUND(Get_Data!C1383,5)</f>
        <v>31.961099999999998</v>
      </c>
      <c r="D1384" s="4">
        <f t="shared" si="22"/>
        <v>2.0600151434087062</v>
      </c>
    </row>
    <row r="1385" spans="1:4">
      <c r="A1385" s="2">
        <f>+Get_Data!A1384</f>
        <v>41452</v>
      </c>
      <c r="B1385">
        <f>+ROUND(Get_Data!B1384,5)</f>
        <v>66.196680000000001</v>
      </c>
      <c r="C1385">
        <f>+ROUND(Get_Data!C1384,5)</f>
        <v>31.905619999999999</v>
      </c>
      <c r="D1385" s="4">
        <f t="shared" si="22"/>
        <v>2.0747655115305705</v>
      </c>
    </row>
    <row r="1386" spans="1:4">
      <c r="A1386" s="2">
        <f>+Get_Data!A1385</f>
        <v>41453</v>
      </c>
      <c r="B1386">
        <f>+ROUND(Get_Data!B1385,5)</f>
        <v>66.237179999999995</v>
      </c>
      <c r="C1386">
        <f>+ROUND(Get_Data!C1385,5)</f>
        <v>31.786750000000001</v>
      </c>
      <c r="D1386" s="4">
        <f t="shared" si="22"/>
        <v>2.0837984380284236</v>
      </c>
    </row>
    <row r="1387" spans="1:4">
      <c r="A1387" s="2">
        <f>+Get_Data!A1386</f>
        <v>41456</v>
      </c>
      <c r="B1387">
        <f>+ROUND(Get_Data!B1386,5)</f>
        <v>66.439629999999994</v>
      </c>
      <c r="C1387">
        <f>+ROUND(Get_Data!C1386,5)</f>
        <v>32.064120000000003</v>
      </c>
      <c r="D1387" s="4">
        <f t="shared" si="22"/>
        <v>2.0720864941872721</v>
      </c>
    </row>
    <row r="1388" spans="1:4">
      <c r="A1388" s="2">
        <f>+Get_Data!A1387</f>
        <v>41457</v>
      </c>
      <c r="B1388">
        <f>+ROUND(Get_Data!B1387,5)</f>
        <v>66.148089999999996</v>
      </c>
      <c r="C1388">
        <f>+ROUND(Get_Data!C1387,5)</f>
        <v>31.992799999999999</v>
      </c>
      <c r="D1388" s="4">
        <f t="shared" si="22"/>
        <v>2.0675930209297091</v>
      </c>
    </row>
    <row r="1389" spans="1:4">
      <c r="A1389" s="2">
        <f>+Get_Data!A1388</f>
        <v>41458</v>
      </c>
      <c r="B1389">
        <f>+ROUND(Get_Data!B1388,5)</f>
        <v>65.378739999999993</v>
      </c>
      <c r="C1389">
        <f>+ROUND(Get_Data!C1388,5)</f>
        <v>32.087890000000002</v>
      </c>
      <c r="D1389" s="4">
        <f t="shared" si="22"/>
        <v>2.0374895326554658</v>
      </c>
    </row>
    <row r="1390" spans="1:4">
      <c r="A1390" s="2">
        <f>+Get_Data!A1389</f>
        <v>41460</v>
      </c>
      <c r="B1390">
        <f>+ROUND(Get_Data!B1389,5)</f>
        <v>65.435429999999997</v>
      </c>
      <c r="C1390">
        <f>+ROUND(Get_Data!C1389,5)</f>
        <v>32.111669999999997</v>
      </c>
      <c r="D1390" s="4">
        <f t="shared" si="22"/>
        <v>2.0377460904400175</v>
      </c>
    </row>
    <row r="1391" spans="1:4">
      <c r="A1391" s="2">
        <f>+Get_Data!A1390</f>
        <v>41463</v>
      </c>
      <c r="B1391">
        <f>+ROUND(Get_Data!B1390,5)</f>
        <v>66.229069999999993</v>
      </c>
      <c r="C1391">
        <f>+ROUND(Get_Data!C1390,5)</f>
        <v>32.127510000000001</v>
      </c>
      <c r="D1391" s="4">
        <f t="shared" si="22"/>
        <v>2.0614442264588817</v>
      </c>
    </row>
    <row r="1392" spans="1:4">
      <c r="A1392" s="2">
        <f>+Get_Data!A1391</f>
        <v>41464</v>
      </c>
      <c r="B1392">
        <f>+ROUND(Get_Data!B1391,5)</f>
        <v>67.030820000000006</v>
      </c>
      <c r="C1392">
        <f>+ROUND(Get_Data!C1391,5)</f>
        <v>32.357349999999997</v>
      </c>
      <c r="D1392" s="4">
        <f t="shared" si="22"/>
        <v>2.0715794093150399</v>
      </c>
    </row>
    <row r="1393" spans="1:4">
      <c r="A1393" s="2">
        <f>+Get_Data!A1392</f>
        <v>41465</v>
      </c>
      <c r="B1393">
        <f>+ROUND(Get_Data!B1392,5)</f>
        <v>67.20899</v>
      </c>
      <c r="C1393">
        <f>+ROUND(Get_Data!C1392,5)</f>
        <v>32.23847</v>
      </c>
      <c r="D1393" s="4">
        <f t="shared" si="22"/>
        <v>2.084745026671551</v>
      </c>
    </row>
    <row r="1394" spans="1:4">
      <c r="A1394" s="2">
        <f>+Get_Data!A1393</f>
        <v>41466</v>
      </c>
      <c r="B1394">
        <f>+ROUND(Get_Data!B1393,5)</f>
        <v>68.472350000000006</v>
      </c>
      <c r="C1394">
        <f>+ROUND(Get_Data!C1393,5)</f>
        <v>32.515839999999997</v>
      </c>
      <c r="D1394" s="4">
        <f t="shared" si="22"/>
        <v>2.1058151965319061</v>
      </c>
    </row>
    <row r="1395" spans="1:4">
      <c r="A1395" s="2">
        <f>+Get_Data!A1394</f>
        <v>41467</v>
      </c>
      <c r="B1395">
        <f>+ROUND(Get_Data!B1394,5)</f>
        <v>68.286079999999998</v>
      </c>
      <c r="C1395">
        <f>+ROUND(Get_Data!C1394,5)</f>
        <v>32.515839999999997</v>
      </c>
      <c r="D1395" s="4">
        <f t="shared" si="22"/>
        <v>2.1000866039444159</v>
      </c>
    </row>
    <row r="1396" spans="1:4">
      <c r="A1396" s="2">
        <f>+Get_Data!A1395</f>
        <v>41470</v>
      </c>
      <c r="B1396">
        <f>+ROUND(Get_Data!B1395,5)</f>
        <v>68.610020000000006</v>
      </c>
      <c r="C1396">
        <f>+ROUND(Get_Data!C1395,5)</f>
        <v>32.499980000000001</v>
      </c>
      <c r="D1396" s="4">
        <f t="shared" si="22"/>
        <v>2.1110788375869771</v>
      </c>
    </row>
    <row r="1397" spans="1:4">
      <c r="A1397" s="2">
        <f>+Get_Data!A1396</f>
        <v>41471</v>
      </c>
      <c r="B1397">
        <f>+ROUND(Get_Data!B1396,5)</f>
        <v>68.043130000000005</v>
      </c>
      <c r="C1397">
        <f>+ROUND(Get_Data!C1396,5)</f>
        <v>31.88185</v>
      </c>
      <c r="D1397" s="4">
        <f t="shared" si="22"/>
        <v>2.1342277816375148</v>
      </c>
    </row>
    <row r="1398" spans="1:4">
      <c r="A1398" s="2">
        <f>+Get_Data!A1397</f>
        <v>41472</v>
      </c>
      <c r="B1398">
        <f>+ROUND(Get_Data!B1397,5)</f>
        <v>69.031139999999994</v>
      </c>
      <c r="C1398">
        <f>+ROUND(Get_Data!C1397,5)</f>
        <v>32.365270000000002</v>
      </c>
      <c r="D1398" s="4">
        <f t="shared" si="22"/>
        <v>2.1328770005626398</v>
      </c>
    </row>
    <row r="1399" spans="1:4">
      <c r="A1399" s="2">
        <f>+Get_Data!A1398</f>
        <v>41473</v>
      </c>
      <c r="B1399">
        <f>+ROUND(Get_Data!B1398,5)</f>
        <v>70.294499999999999</v>
      </c>
      <c r="C1399">
        <f>+ROUND(Get_Data!C1398,5)</f>
        <v>32.34149</v>
      </c>
      <c r="D1399" s="4">
        <f t="shared" si="22"/>
        <v>2.1735083943256788</v>
      </c>
    </row>
    <row r="1400" spans="1:4">
      <c r="A1400" s="2">
        <f>+Get_Data!A1399</f>
        <v>41474</v>
      </c>
      <c r="B1400">
        <f>+ROUND(Get_Data!B1399,5)</f>
        <v>69.978660000000005</v>
      </c>
      <c r="C1400">
        <f>+ROUND(Get_Data!C1399,5)</f>
        <v>32.563389999999998</v>
      </c>
      <c r="D1400" s="4">
        <f t="shared" si="22"/>
        <v>2.1489980005153031</v>
      </c>
    </row>
    <row r="1401" spans="1:4">
      <c r="A1401" s="2">
        <f>+Get_Data!A1400</f>
        <v>41477</v>
      </c>
      <c r="B1401">
        <f>+ROUND(Get_Data!B1400,5)</f>
        <v>69.970569999999995</v>
      </c>
      <c r="C1401">
        <f>+ROUND(Get_Data!C1400,5)</f>
        <v>32.365270000000002</v>
      </c>
      <c r="D1401" s="4">
        <f t="shared" si="22"/>
        <v>2.1619028668693323</v>
      </c>
    </row>
    <row r="1402" spans="1:4">
      <c r="A1402" s="2">
        <f>+Get_Data!A1401</f>
        <v>41478</v>
      </c>
      <c r="B1402">
        <f>+ROUND(Get_Data!B1401,5)</f>
        <v>69.808580000000006</v>
      </c>
      <c r="C1402">
        <f>+ROUND(Get_Data!C1401,5)</f>
        <v>32.460369999999998</v>
      </c>
      <c r="D1402" s="4">
        <f t="shared" si="22"/>
        <v>2.1505786902613866</v>
      </c>
    </row>
    <row r="1403" spans="1:4">
      <c r="A1403" s="2">
        <f>+Get_Data!A1402</f>
        <v>41479</v>
      </c>
      <c r="B1403">
        <f>+ROUND(Get_Data!B1402,5)</f>
        <v>69.355059999999995</v>
      </c>
      <c r="C1403">
        <f>+ROUND(Get_Data!C1402,5)</f>
        <v>32.381120000000003</v>
      </c>
      <c r="D1403" s="4">
        <f t="shared" si="22"/>
        <v>2.141836354023579</v>
      </c>
    </row>
    <row r="1404" spans="1:4">
      <c r="A1404" s="2">
        <f>+Get_Data!A1403</f>
        <v>41480</v>
      </c>
      <c r="B1404">
        <f>+ROUND(Get_Data!B1403,5)</f>
        <v>69.282179999999997</v>
      </c>
      <c r="C1404">
        <f>+ROUND(Get_Data!C1403,5)</f>
        <v>32.365270000000002</v>
      </c>
      <c r="D1404" s="4">
        <f t="shared" si="22"/>
        <v>2.1406334629681751</v>
      </c>
    </row>
    <row r="1405" spans="1:4">
      <c r="A1405" s="2">
        <f>+Get_Data!A1404</f>
        <v>41481</v>
      </c>
      <c r="B1405">
        <f>+ROUND(Get_Data!B1404,5)</f>
        <v>69.087829999999997</v>
      </c>
      <c r="C1405">
        <f>+ROUND(Get_Data!C1404,5)</f>
        <v>32.206760000000003</v>
      </c>
      <c r="D1405" s="4">
        <f t="shared" si="22"/>
        <v>2.1451344376149599</v>
      </c>
    </row>
    <row r="1406" spans="1:4">
      <c r="A1406" s="2">
        <f>+Get_Data!A1405</f>
        <v>41484</v>
      </c>
      <c r="B1406">
        <f>+ROUND(Get_Data!B1405,5)</f>
        <v>69.039249999999996</v>
      </c>
      <c r="C1406">
        <f>+ROUND(Get_Data!C1405,5)</f>
        <v>31.921469999999999</v>
      </c>
      <c r="D1406" s="4">
        <f t="shared" si="22"/>
        <v>2.1627841700272574</v>
      </c>
    </row>
    <row r="1407" spans="1:4">
      <c r="A1407" s="2">
        <f>+Get_Data!A1406</f>
        <v>41485</v>
      </c>
      <c r="B1407">
        <f>+ROUND(Get_Data!B1406,5)</f>
        <v>68.92586</v>
      </c>
      <c r="C1407">
        <f>+ROUND(Get_Data!C1406,5)</f>
        <v>31.95316</v>
      </c>
      <c r="D1407" s="4">
        <f t="shared" si="22"/>
        <v>2.1570905663164455</v>
      </c>
    </row>
    <row r="1408" spans="1:4">
      <c r="A1408" s="2">
        <f>+Get_Data!A1407</f>
        <v>41486</v>
      </c>
      <c r="B1408">
        <f>+ROUND(Get_Data!B1407,5)</f>
        <v>67.654399999999995</v>
      </c>
      <c r="C1408">
        <f>+ROUND(Get_Data!C1407,5)</f>
        <v>31.762979999999999</v>
      </c>
      <c r="D1408" s="4">
        <f t="shared" si="22"/>
        <v>2.1299764694622483</v>
      </c>
    </row>
    <row r="1409" spans="1:4">
      <c r="A1409" s="2">
        <f>+Get_Data!A1408</f>
        <v>41487</v>
      </c>
      <c r="B1409">
        <f>+ROUND(Get_Data!B1408,5)</f>
        <v>68.188900000000004</v>
      </c>
      <c r="C1409">
        <f>+ROUND(Get_Data!C1408,5)</f>
        <v>32.151290000000003</v>
      </c>
      <c r="D1409" s="4">
        <f t="shared" si="22"/>
        <v>2.1208760208377329</v>
      </c>
    </row>
    <row r="1410" spans="1:4">
      <c r="A1410" s="2">
        <f>+Get_Data!A1409</f>
        <v>41488</v>
      </c>
      <c r="B1410">
        <f>+ROUND(Get_Data!B1409,5)</f>
        <v>68.261799999999994</v>
      </c>
      <c r="C1410">
        <f>+ROUND(Get_Data!C1409,5)</f>
        <v>31.873930000000001</v>
      </c>
      <c r="D1410" s="4">
        <f t="shared" si="22"/>
        <v>2.1416185578621771</v>
      </c>
    </row>
    <row r="1411" spans="1:4">
      <c r="A1411" s="2">
        <f>+Get_Data!A1410</f>
        <v>41491</v>
      </c>
      <c r="B1411">
        <f>+ROUND(Get_Data!B1410,5)</f>
        <v>68.415660000000003</v>
      </c>
      <c r="C1411">
        <f>+ROUND(Get_Data!C1410,5)</f>
        <v>31.929400000000001</v>
      </c>
      <c r="D1411" s="4">
        <f t="shared" si="22"/>
        <v>2.1427167438160439</v>
      </c>
    </row>
    <row r="1412" spans="1:4">
      <c r="A1412" s="2">
        <f>+Get_Data!A1411</f>
        <v>41492</v>
      </c>
      <c r="B1412">
        <f>+ROUND(Get_Data!B1411,5)</f>
        <v>68.877260000000007</v>
      </c>
      <c r="C1412">
        <f>+ROUND(Get_Data!C1411,5)</f>
        <v>31.992799999999999</v>
      </c>
      <c r="D1412" s="4">
        <f t="shared" ref="D1412:D1475" si="23">IFERROR(B1412/C1412,"")</f>
        <v>2.152898777224876</v>
      </c>
    </row>
    <row r="1413" spans="1:4">
      <c r="A1413" s="2">
        <f>+Get_Data!A1412</f>
        <v>41493</v>
      </c>
      <c r="B1413">
        <f>+ROUND(Get_Data!B1412,5)</f>
        <v>68.642399999999995</v>
      </c>
      <c r="C1413">
        <f>+ROUND(Get_Data!C1412,5)</f>
        <v>31.818449999999999</v>
      </c>
      <c r="D1413" s="4">
        <f t="shared" si="23"/>
        <v>2.1573143883501551</v>
      </c>
    </row>
    <row r="1414" spans="1:4">
      <c r="A1414" s="2">
        <f>+Get_Data!A1413</f>
        <v>41494</v>
      </c>
      <c r="B1414">
        <f>+ROUND(Get_Data!B1413,5)</f>
        <v>68.577619999999996</v>
      </c>
      <c r="C1414">
        <f>+ROUND(Get_Data!C1413,5)</f>
        <v>31.858070000000001</v>
      </c>
      <c r="D1414" s="4">
        <f t="shared" si="23"/>
        <v>2.1525980701279139</v>
      </c>
    </row>
    <row r="1415" spans="1:4">
      <c r="A1415" s="2">
        <f>+Get_Data!A1414</f>
        <v>41495</v>
      </c>
      <c r="B1415">
        <f>+ROUND(Get_Data!B1414,5)</f>
        <v>68.302260000000004</v>
      </c>
      <c r="C1415">
        <f>+ROUND(Get_Data!C1414,5)</f>
        <v>31.826360000000001</v>
      </c>
      <c r="D1415" s="4">
        <f t="shared" si="23"/>
        <v>2.1460908504774032</v>
      </c>
    </row>
    <row r="1416" spans="1:4">
      <c r="A1416" s="2">
        <f>+Get_Data!A1415</f>
        <v>41498</v>
      </c>
      <c r="B1416">
        <f>+ROUND(Get_Data!B1415,5)</f>
        <v>67.873050000000006</v>
      </c>
      <c r="C1416">
        <f>+ROUND(Get_Data!C1415,5)</f>
        <v>31.56485</v>
      </c>
      <c r="D1416" s="4">
        <f t="shared" si="23"/>
        <v>2.1502731677799831</v>
      </c>
    </row>
    <row r="1417" spans="1:4">
      <c r="A1417" s="2">
        <f>+Get_Data!A1416</f>
        <v>41499</v>
      </c>
      <c r="B1417">
        <f>+ROUND(Get_Data!B1416,5)</f>
        <v>67.532929999999993</v>
      </c>
      <c r="C1417">
        <f>+ROUND(Get_Data!C1416,5)</f>
        <v>31.42221</v>
      </c>
      <c r="D1417" s="4">
        <f t="shared" si="23"/>
        <v>2.149210065109997</v>
      </c>
    </row>
    <row r="1418" spans="1:4">
      <c r="A1418" s="2">
        <f>+Get_Data!A1417</f>
        <v>41500</v>
      </c>
      <c r="B1418">
        <f>+ROUND(Get_Data!B1417,5)</f>
        <v>67.014619999999994</v>
      </c>
      <c r="C1418">
        <f>+ROUND(Get_Data!C1417,5)</f>
        <v>31.327100000000002</v>
      </c>
      <c r="D1418" s="4">
        <f t="shared" si="23"/>
        <v>2.1391900303571028</v>
      </c>
    </row>
    <row r="1419" spans="1:4">
      <c r="A1419" s="2">
        <f>+Get_Data!A1418</f>
        <v>41501</v>
      </c>
      <c r="B1419">
        <f>+ROUND(Get_Data!B1418,5)</f>
        <v>65.524510000000006</v>
      </c>
      <c r="C1419">
        <f>+ROUND(Get_Data!C1418,5)</f>
        <v>30.97841</v>
      </c>
      <c r="D1419" s="4">
        <f t="shared" si="23"/>
        <v>2.1151669824242112</v>
      </c>
    </row>
    <row r="1420" spans="1:4">
      <c r="A1420" s="2">
        <f>+Get_Data!A1419</f>
        <v>41502</v>
      </c>
      <c r="B1420">
        <f>+ROUND(Get_Data!B1419,5)</f>
        <v>64.933329999999998</v>
      </c>
      <c r="C1420">
        <f>+ROUND(Get_Data!C1419,5)</f>
        <v>30.946709999999999</v>
      </c>
      <c r="D1420" s="4">
        <f t="shared" si="23"/>
        <v>2.0982304742571989</v>
      </c>
    </row>
    <row r="1421" spans="1:4">
      <c r="A1421" s="2">
        <f>+Get_Data!A1420</f>
        <v>41505</v>
      </c>
      <c r="B1421">
        <f>+ROUND(Get_Data!B1420,5)</f>
        <v>65.500219999999999</v>
      </c>
      <c r="C1421">
        <f>+ROUND(Get_Data!C1420,5)</f>
        <v>30.73274</v>
      </c>
      <c r="D1421" s="4">
        <f t="shared" si="23"/>
        <v>2.1312847471458776</v>
      </c>
    </row>
    <row r="1422" spans="1:4">
      <c r="A1422" s="2">
        <f>+Get_Data!A1421</f>
        <v>41506</v>
      </c>
      <c r="B1422">
        <f>+ROUND(Get_Data!B1421,5)</f>
        <v>65.022400000000005</v>
      </c>
      <c r="C1422">
        <f>+ROUND(Get_Data!C1421,5)</f>
        <v>30.629709999999999</v>
      </c>
      <c r="D1422" s="4">
        <f t="shared" si="23"/>
        <v>2.1228539218947882</v>
      </c>
    </row>
    <row r="1423" spans="1:4">
      <c r="A1423" s="2">
        <f>+Get_Data!A1422</f>
        <v>41507</v>
      </c>
      <c r="B1423">
        <f>+ROUND(Get_Data!B1422,5)</f>
        <v>64.042479999999998</v>
      </c>
      <c r="C1423">
        <f>+ROUND(Get_Data!C1422,5)</f>
        <v>30.336490000000001</v>
      </c>
      <c r="D1423" s="4">
        <f t="shared" si="23"/>
        <v>2.1110708588897396</v>
      </c>
    </row>
    <row r="1424" spans="1:4">
      <c r="A1424" s="2">
        <f>+Get_Data!A1423</f>
        <v>41508</v>
      </c>
      <c r="B1424">
        <f>+ROUND(Get_Data!B1423,5)</f>
        <v>64.180160000000001</v>
      </c>
      <c r="C1424">
        <f>+ROUND(Get_Data!C1423,5)</f>
        <v>30.36027</v>
      </c>
      <c r="D1424" s="4">
        <f t="shared" si="23"/>
        <v>2.1139522145224663</v>
      </c>
    </row>
    <row r="1425" spans="1:4">
      <c r="A1425" s="2">
        <f>+Get_Data!A1424</f>
        <v>41509</v>
      </c>
      <c r="B1425">
        <f>+ROUND(Get_Data!B1424,5)</f>
        <v>64.666070000000005</v>
      </c>
      <c r="C1425">
        <f>+ROUND(Get_Data!C1424,5)</f>
        <v>30.526700000000002</v>
      </c>
      <c r="D1425" s="4">
        <f t="shared" si="23"/>
        <v>2.1183445966973173</v>
      </c>
    </row>
    <row r="1426" spans="1:4">
      <c r="A1426" s="2">
        <f>+Get_Data!A1425</f>
        <v>41512</v>
      </c>
      <c r="B1426">
        <f>+ROUND(Get_Data!B1425,5)</f>
        <v>64.536500000000004</v>
      </c>
      <c r="C1426">
        <f>+ROUND(Get_Data!C1425,5)</f>
        <v>30.209689999999998</v>
      </c>
      <c r="D1426" s="4">
        <f t="shared" si="23"/>
        <v>2.1362847483704734</v>
      </c>
    </row>
    <row r="1427" spans="1:4">
      <c r="A1427" s="2">
        <f>+Get_Data!A1426</f>
        <v>41513</v>
      </c>
      <c r="B1427">
        <f>+ROUND(Get_Data!B1426,5)</f>
        <v>64.026290000000003</v>
      </c>
      <c r="C1427">
        <f>+ROUND(Get_Data!C1426,5)</f>
        <v>30.233470000000001</v>
      </c>
      <c r="D1427" s="4">
        <f t="shared" si="23"/>
        <v>2.1177287952722597</v>
      </c>
    </row>
    <row r="1428" spans="1:4">
      <c r="A1428" s="2">
        <f>+Get_Data!A1427</f>
        <v>41514</v>
      </c>
      <c r="B1428">
        <f>+ROUND(Get_Data!B1427,5)</f>
        <v>64.277320000000003</v>
      </c>
      <c r="C1428">
        <f>+ROUND(Get_Data!C1427,5)</f>
        <v>30.391960000000001</v>
      </c>
      <c r="D1428" s="4">
        <f t="shared" si="23"/>
        <v>2.1149448735784069</v>
      </c>
    </row>
    <row r="1429" spans="1:4">
      <c r="A1429" s="2">
        <f>+Get_Data!A1428</f>
        <v>41515</v>
      </c>
      <c r="B1429">
        <f>+ROUND(Get_Data!B1428,5)</f>
        <v>64.244960000000006</v>
      </c>
      <c r="C1429">
        <f>+ROUND(Get_Data!C1428,5)</f>
        <v>30.193840000000002</v>
      </c>
      <c r="D1429" s="4">
        <f t="shared" si="23"/>
        <v>2.1277505610415899</v>
      </c>
    </row>
    <row r="1430" spans="1:4">
      <c r="A1430" s="2">
        <f>+Get_Data!A1429</f>
        <v>41516</v>
      </c>
      <c r="B1430">
        <f>+ROUND(Get_Data!B1429,5)</f>
        <v>64.568899999999999</v>
      </c>
      <c r="C1430">
        <f>+ROUND(Get_Data!C1429,5)</f>
        <v>30.257239999999999</v>
      </c>
      <c r="D1430" s="4">
        <f t="shared" si="23"/>
        <v>2.1339983422149542</v>
      </c>
    </row>
    <row r="1431" spans="1:4">
      <c r="A1431" s="2">
        <f>+Get_Data!A1430</f>
        <v>41520</v>
      </c>
      <c r="B1431">
        <f>+ROUND(Get_Data!B1430,5)</f>
        <v>64.949510000000004</v>
      </c>
      <c r="C1431">
        <f>+ROUND(Get_Data!C1430,5)</f>
        <v>30.035350000000001</v>
      </c>
      <c r="D1431" s="4">
        <f t="shared" si="23"/>
        <v>2.1624355967218629</v>
      </c>
    </row>
    <row r="1432" spans="1:4">
      <c r="A1432" s="2">
        <f>+Get_Data!A1431</f>
        <v>41521</v>
      </c>
      <c r="B1432">
        <f>+ROUND(Get_Data!B1431,5)</f>
        <v>64.866339999999994</v>
      </c>
      <c r="C1432">
        <f>+ROUND(Get_Data!C1431,5)</f>
        <v>30.542539999999999</v>
      </c>
      <c r="D1432" s="4">
        <f t="shared" si="23"/>
        <v>2.1238030628755826</v>
      </c>
    </row>
    <row r="1433" spans="1:4">
      <c r="A1433" s="2">
        <f>+Get_Data!A1432</f>
        <v>41522</v>
      </c>
      <c r="B1433">
        <f>+ROUND(Get_Data!B1432,5)</f>
        <v>64.491150000000005</v>
      </c>
      <c r="C1433">
        <f>+ROUND(Get_Data!C1432,5)</f>
        <v>30.304790000000001</v>
      </c>
      <c r="D1433" s="4">
        <f t="shared" si="23"/>
        <v>2.1280843721405098</v>
      </c>
    </row>
    <row r="1434" spans="1:4">
      <c r="A1434" s="2">
        <f>+Get_Data!A1433</f>
        <v>41523</v>
      </c>
      <c r="B1434">
        <f>+ROUND(Get_Data!B1433,5)</f>
        <v>64.646109999999993</v>
      </c>
      <c r="C1434">
        <f>+ROUND(Get_Data!C1433,5)</f>
        <v>30.391960000000001</v>
      </c>
      <c r="D1434" s="4">
        <f t="shared" si="23"/>
        <v>2.1270793328235489</v>
      </c>
    </row>
    <row r="1435" spans="1:4">
      <c r="A1435" s="2">
        <f>+Get_Data!A1434</f>
        <v>41526</v>
      </c>
      <c r="B1435">
        <f>+ROUND(Get_Data!B1434,5)</f>
        <v>64.744</v>
      </c>
      <c r="C1435">
        <f>+ROUND(Get_Data!C1434,5)</f>
        <v>30.526700000000002</v>
      </c>
      <c r="D1435" s="4">
        <f t="shared" si="23"/>
        <v>2.1208974438769994</v>
      </c>
    </row>
    <row r="1436" spans="1:4">
      <c r="A1436" s="2">
        <f>+Get_Data!A1435</f>
        <v>41527</v>
      </c>
      <c r="B1436">
        <f>+ROUND(Get_Data!B1435,5)</f>
        <v>64.784769999999995</v>
      </c>
      <c r="C1436">
        <f>+ROUND(Get_Data!C1435,5)</f>
        <v>30.613859999999999</v>
      </c>
      <c r="D1436" s="4">
        <f t="shared" si="23"/>
        <v>2.1161908364381361</v>
      </c>
    </row>
    <row r="1437" spans="1:4">
      <c r="A1437" s="2">
        <f>+Get_Data!A1436</f>
        <v>41528</v>
      </c>
      <c r="B1437">
        <f>+ROUND(Get_Data!B1436,5)</f>
        <v>65.127319999999997</v>
      </c>
      <c r="C1437">
        <f>+ROUND(Get_Data!C1436,5)</f>
        <v>30.73274</v>
      </c>
      <c r="D1437" s="4">
        <f t="shared" si="23"/>
        <v>2.1191511072556497</v>
      </c>
    </row>
    <row r="1438" spans="1:4">
      <c r="A1438" s="2">
        <f>+Get_Data!A1437</f>
        <v>41529</v>
      </c>
      <c r="B1438">
        <f>+ROUND(Get_Data!B1437,5)</f>
        <v>65.143640000000005</v>
      </c>
      <c r="C1438">
        <f>+ROUND(Get_Data!C1437,5)</f>
        <v>30.684830000000002</v>
      </c>
      <c r="D1438" s="4">
        <f t="shared" si="23"/>
        <v>2.1229917193610004</v>
      </c>
    </row>
    <row r="1439" spans="1:4">
      <c r="A1439" s="2">
        <f>+Get_Data!A1438</f>
        <v>41530</v>
      </c>
      <c r="B1439">
        <f>+ROUND(Get_Data!B1438,5)</f>
        <v>65.510670000000005</v>
      </c>
      <c r="C1439">
        <f>+ROUND(Get_Data!C1438,5)</f>
        <v>30.884409999999999</v>
      </c>
      <c r="D1439" s="4">
        <f t="shared" si="23"/>
        <v>2.1211565964834689</v>
      </c>
    </row>
    <row r="1440" spans="1:4">
      <c r="A1440" s="2">
        <f>+Get_Data!A1439</f>
        <v>41533</v>
      </c>
      <c r="B1440">
        <f>+ROUND(Get_Data!B1439,5)</f>
        <v>66.081599999999995</v>
      </c>
      <c r="C1440">
        <f>+ROUND(Get_Data!C1439,5)</f>
        <v>31.020099999999999</v>
      </c>
      <c r="D1440" s="4">
        <f t="shared" si="23"/>
        <v>2.1302832679456221</v>
      </c>
    </row>
    <row r="1441" spans="1:4">
      <c r="A1441" s="2">
        <f>+Get_Data!A1440</f>
        <v>41534</v>
      </c>
      <c r="B1441">
        <f>+ROUND(Get_Data!B1440,5)</f>
        <v>66.603610000000003</v>
      </c>
      <c r="C1441">
        <f>+ROUND(Get_Data!C1440,5)</f>
        <v>30.96424</v>
      </c>
      <c r="D1441" s="4">
        <f t="shared" si="23"/>
        <v>2.150984813449321</v>
      </c>
    </row>
    <row r="1442" spans="1:4">
      <c r="A1442" s="2">
        <f>+Get_Data!A1441</f>
        <v>41535</v>
      </c>
      <c r="B1442">
        <f>+ROUND(Get_Data!B1441,5)</f>
        <v>67.598659999999995</v>
      </c>
      <c r="C1442">
        <f>+ROUND(Get_Data!C1441,5)</f>
        <v>31.60284</v>
      </c>
      <c r="D1442" s="4">
        <f t="shared" si="23"/>
        <v>2.1390058614985232</v>
      </c>
    </row>
    <row r="1443" spans="1:4">
      <c r="A1443" s="2">
        <f>+Get_Data!A1442</f>
        <v>41536</v>
      </c>
      <c r="B1443">
        <f>+ROUND(Get_Data!B1442,5)</f>
        <v>66.734089999999995</v>
      </c>
      <c r="C1443">
        <f>+ROUND(Get_Data!C1442,5)</f>
        <v>31.37932</v>
      </c>
      <c r="D1443" s="4">
        <f t="shared" si="23"/>
        <v>2.1266901258535875</v>
      </c>
    </row>
    <row r="1444" spans="1:4">
      <c r="A1444" s="2">
        <f>+Get_Data!A1443</f>
        <v>41537</v>
      </c>
      <c r="B1444">
        <f>+ROUND(Get_Data!B1443,5)</f>
        <v>66.668850000000006</v>
      </c>
      <c r="C1444">
        <f>+ROUND(Get_Data!C1443,5)</f>
        <v>31.451170000000001</v>
      </c>
      <c r="D1444" s="4">
        <f t="shared" si="23"/>
        <v>2.1197573889937957</v>
      </c>
    </row>
    <row r="1445" spans="1:4">
      <c r="A1445" s="2">
        <f>+Get_Data!A1444</f>
        <v>41540</v>
      </c>
      <c r="B1445">
        <f>+ROUND(Get_Data!B1444,5)</f>
        <v>66.081599999999995</v>
      </c>
      <c r="C1445">
        <f>+ROUND(Get_Data!C1444,5)</f>
        <v>30.836500000000001</v>
      </c>
      <c r="D1445" s="4">
        <f t="shared" si="23"/>
        <v>2.1429669385306371</v>
      </c>
    </row>
    <row r="1446" spans="1:4">
      <c r="A1446" s="2">
        <f>+Get_Data!A1445</f>
        <v>41541</v>
      </c>
      <c r="B1446">
        <f>+ROUND(Get_Data!B1445,5)</f>
        <v>65.690100000000001</v>
      </c>
      <c r="C1446">
        <f>+ROUND(Get_Data!C1445,5)</f>
        <v>30.756679999999999</v>
      </c>
      <c r="D1446" s="4">
        <f t="shared" si="23"/>
        <v>2.1357994425926337</v>
      </c>
    </row>
    <row r="1447" spans="1:4">
      <c r="A1447" s="2">
        <f>+Get_Data!A1446</f>
        <v>41542</v>
      </c>
      <c r="B1447">
        <f>+ROUND(Get_Data!B1446,5)</f>
        <v>65.420940000000002</v>
      </c>
      <c r="C1447">
        <f>+ROUND(Get_Data!C1446,5)</f>
        <v>30.59703</v>
      </c>
      <c r="D1447" s="4">
        <f t="shared" si="23"/>
        <v>2.1381467416935567</v>
      </c>
    </row>
    <row r="1448" spans="1:4">
      <c r="A1448" s="2">
        <f>+Get_Data!A1447</f>
        <v>41543</v>
      </c>
      <c r="B1448">
        <f>+ROUND(Get_Data!B1447,5)</f>
        <v>65.690100000000001</v>
      </c>
      <c r="C1448">
        <f>+ROUND(Get_Data!C1447,5)</f>
        <v>30.924320000000002</v>
      </c>
      <c r="D1448" s="4">
        <f t="shared" si="23"/>
        <v>2.1242213248343051</v>
      </c>
    </row>
    <row r="1449" spans="1:4">
      <c r="A1449" s="2">
        <f>+Get_Data!A1448</f>
        <v>41544</v>
      </c>
      <c r="B1449">
        <f>+ROUND(Get_Data!B1448,5)</f>
        <v>65.412800000000004</v>
      </c>
      <c r="C1449">
        <f>+ROUND(Get_Data!C1448,5)</f>
        <v>30.652920000000002</v>
      </c>
      <c r="D1449" s="4">
        <f t="shared" si="23"/>
        <v>2.1339826678828642</v>
      </c>
    </row>
    <row r="1450" spans="1:4">
      <c r="A1450" s="2">
        <f>+Get_Data!A1449</f>
        <v>41547</v>
      </c>
      <c r="B1450">
        <f>+ROUND(Get_Data!B1449,5)</f>
        <v>64.841849999999994</v>
      </c>
      <c r="C1450">
        <f>+ROUND(Get_Data!C1449,5)</f>
        <v>30.237819999999999</v>
      </c>
      <c r="D1450" s="4">
        <f t="shared" si="23"/>
        <v>2.1443956607982981</v>
      </c>
    </row>
    <row r="1451" spans="1:4">
      <c r="A1451" s="2">
        <f>+Get_Data!A1450</f>
        <v>41548</v>
      </c>
      <c r="B1451">
        <f>+ROUND(Get_Data!B1450,5)</f>
        <v>65.10284</v>
      </c>
      <c r="C1451">
        <f>+ROUND(Get_Data!C1450,5)</f>
        <v>30.293700000000001</v>
      </c>
      <c r="D1451" s="4">
        <f t="shared" si="23"/>
        <v>2.1490554141620204</v>
      </c>
    </row>
    <row r="1452" spans="1:4">
      <c r="A1452" s="2">
        <f>+Get_Data!A1451</f>
        <v>41549</v>
      </c>
      <c r="B1452">
        <f>+ROUND(Get_Data!B1451,5)</f>
        <v>64.890799999999999</v>
      </c>
      <c r="C1452">
        <f>+ROUND(Get_Data!C1451,5)</f>
        <v>29.878599999999999</v>
      </c>
      <c r="D1452" s="4">
        <f t="shared" si="23"/>
        <v>2.1718152791630132</v>
      </c>
    </row>
    <row r="1453" spans="1:4">
      <c r="A1453" s="2">
        <f>+Get_Data!A1452</f>
        <v>41550</v>
      </c>
      <c r="B1453">
        <f>+ROUND(Get_Data!B1452,5)</f>
        <v>64.792929999999998</v>
      </c>
      <c r="C1453">
        <f>+ROUND(Get_Data!C1452,5)</f>
        <v>29.663070000000001</v>
      </c>
      <c r="D1453" s="4">
        <f t="shared" si="23"/>
        <v>2.1842961635461196</v>
      </c>
    </row>
    <row r="1454" spans="1:4">
      <c r="A1454" s="2">
        <f>+Get_Data!A1453</f>
        <v>41551</v>
      </c>
      <c r="B1454">
        <f>+ROUND(Get_Data!B1453,5)</f>
        <v>64.939710000000005</v>
      </c>
      <c r="C1454">
        <f>+ROUND(Get_Data!C1453,5)</f>
        <v>29.69501</v>
      </c>
      <c r="D1454" s="4">
        <f t="shared" si="23"/>
        <v>2.1868896491363365</v>
      </c>
    </row>
    <row r="1455" spans="1:4">
      <c r="A1455" s="2">
        <f>+Get_Data!A1454</f>
        <v>41554</v>
      </c>
      <c r="B1455">
        <f>+ROUND(Get_Data!B1454,5)</f>
        <v>64.482990000000001</v>
      </c>
      <c r="C1455">
        <f>+ROUND(Get_Data!C1454,5)</f>
        <v>29.57527</v>
      </c>
      <c r="D1455" s="4">
        <f t="shared" si="23"/>
        <v>2.1803009744289739</v>
      </c>
    </row>
    <row r="1456" spans="1:4">
      <c r="A1456" s="2">
        <f>+Get_Data!A1455</f>
        <v>41555</v>
      </c>
      <c r="B1456">
        <f>+ROUND(Get_Data!B1455,5)</f>
        <v>64.376940000000005</v>
      </c>
      <c r="C1456">
        <f>+ROUND(Get_Data!C1455,5)</f>
        <v>29.758870000000002</v>
      </c>
      <c r="D1456" s="4">
        <f t="shared" si="23"/>
        <v>2.1632857699233874</v>
      </c>
    </row>
    <row r="1457" spans="1:4">
      <c r="A1457" s="2">
        <f>+Get_Data!A1456</f>
        <v>41556</v>
      </c>
      <c r="B1457">
        <f>+ROUND(Get_Data!B1456,5)</f>
        <v>64.841849999999994</v>
      </c>
      <c r="C1457">
        <f>+ROUND(Get_Data!C1456,5)</f>
        <v>29.599209999999999</v>
      </c>
      <c r="D1457" s="4">
        <f t="shared" si="23"/>
        <v>2.1906615075199642</v>
      </c>
    </row>
    <row r="1458" spans="1:4">
      <c r="A1458" s="2">
        <f>+Get_Data!A1457</f>
        <v>41557</v>
      </c>
      <c r="B1458">
        <f>+ROUND(Get_Data!B1457,5)</f>
        <v>65.812439999999995</v>
      </c>
      <c r="C1458">
        <f>+ROUND(Get_Data!C1457,5)</f>
        <v>30.158000000000001</v>
      </c>
      <c r="D1458" s="4">
        <f t="shared" si="23"/>
        <v>2.1822547914317925</v>
      </c>
    </row>
    <row r="1459" spans="1:4">
      <c r="A1459" s="2">
        <f>+Get_Data!A1458</f>
        <v>41558</v>
      </c>
      <c r="B1459">
        <f>+ROUND(Get_Data!B1458,5)</f>
        <v>65.926630000000003</v>
      </c>
      <c r="C1459">
        <f>+ROUND(Get_Data!C1458,5)</f>
        <v>30.150010000000002</v>
      </c>
      <c r="D1459" s="4">
        <f t="shared" si="23"/>
        <v>2.1866205019500824</v>
      </c>
    </row>
    <row r="1460" spans="1:4">
      <c r="A1460" s="2">
        <f>+Get_Data!A1459</f>
        <v>41561</v>
      </c>
      <c r="B1460">
        <f>+ROUND(Get_Data!B1459,5)</f>
        <v>66.138689999999997</v>
      </c>
      <c r="C1460">
        <f>+ROUND(Get_Data!C1459,5)</f>
        <v>30.261769999999999</v>
      </c>
      <c r="D1460" s="4">
        <f t="shared" si="23"/>
        <v>2.1855525965599503</v>
      </c>
    </row>
    <row r="1461" spans="1:4">
      <c r="A1461" s="2">
        <f>+Get_Data!A1460</f>
        <v>41562</v>
      </c>
      <c r="B1461">
        <f>+ROUND(Get_Data!B1460,5)</f>
        <v>65.739050000000006</v>
      </c>
      <c r="C1461">
        <f>+ROUND(Get_Data!C1460,5)</f>
        <v>30.062200000000001</v>
      </c>
      <c r="D1461" s="4">
        <f t="shared" si="23"/>
        <v>2.1867677681606805</v>
      </c>
    </row>
    <row r="1462" spans="1:4">
      <c r="A1462" s="2">
        <f>+Get_Data!A1461</f>
        <v>41563</v>
      </c>
      <c r="B1462">
        <f>+ROUND(Get_Data!B1461,5)</f>
        <v>67.101110000000006</v>
      </c>
      <c r="C1462">
        <f>+ROUND(Get_Data!C1461,5)</f>
        <v>30.33361</v>
      </c>
      <c r="D1462" s="4">
        <f t="shared" si="23"/>
        <v>2.2121043291583167</v>
      </c>
    </row>
    <row r="1463" spans="1:4">
      <c r="A1463" s="2">
        <f>+Get_Data!A1462</f>
        <v>41564</v>
      </c>
      <c r="B1463">
        <f>+ROUND(Get_Data!B1462,5)</f>
        <v>67.353960000000001</v>
      </c>
      <c r="C1463">
        <f>+ROUND(Get_Data!C1462,5)</f>
        <v>30.772649999999999</v>
      </c>
      <c r="D1463" s="4">
        <f t="shared" si="23"/>
        <v>2.1887604739923279</v>
      </c>
    </row>
    <row r="1464" spans="1:4">
      <c r="A1464" s="2">
        <f>+Get_Data!A1463</f>
        <v>41565</v>
      </c>
      <c r="B1464">
        <f>+ROUND(Get_Data!B1463,5)</f>
        <v>67.704689999999999</v>
      </c>
      <c r="C1464">
        <f>+ROUND(Get_Data!C1463,5)</f>
        <v>30.956240000000001</v>
      </c>
      <c r="D1464" s="4">
        <f t="shared" si="23"/>
        <v>2.187109610211059</v>
      </c>
    </row>
    <row r="1465" spans="1:4">
      <c r="A1465" s="2">
        <f>+Get_Data!A1464</f>
        <v>41568</v>
      </c>
      <c r="B1465">
        <f>+ROUND(Get_Data!B1464,5)</f>
        <v>67.182689999999994</v>
      </c>
      <c r="C1465">
        <f>+ROUND(Get_Data!C1464,5)</f>
        <v>30.98817</v>
      </c>
      <c r="D1465" s="4">
        <f t="shared" si="23"/>
        <v>2.1680108893167938</v>
      </c>
    </row>
    <row r="1466" spans="1:4">
      <c r="A1466" s="2">
        <f>+Get_Data!A1465</f>
        <v>41569</v>
      </c>
      <c r="B1466">
        <f>+ROUND(Get_Data!B1465,5)</f>
        <v>68.055390000000003</v>
      </c>
      <c r="C1466">
        <f>+ROUND(Get_Data!C1465,5)</f>
        <v>31.203700000000001</v>
      </c>
      <c r="D1466" s="4">
        <f t="shared" si="23"/>
        <v>2.1810038553120301</v>
      </c>
    </row>
    <row r="1467" spans="1:4">
      <c r="A1467" s="2">
        <f>+Get_Data!A1466</f>
        <v>41570</v>
      </c>
      <c r="B1467">
        <f>+ROUND(Get_Data!B1466,5)</f>
        <v>67.965689999999995</v>
      </c>
      <c r="C1467">
        <f>+ROUND(Get_Data!C1466,5)</f>
        <v>31.203700000000001</v>
      </c>
      <c r="D1467" s="4">
        <f t="shared" si="23"/>
        <v>2.1781291962171152</v>
      </c>
    </row>
    <row r="1468" spans="1:4">
      <c r="A1468" s="2">
        <f>+Get_Data!A1467</f>
        <v>41571</v>
      </c>
      <c r="B1468">
        <f>+ROUND(Get_Data!B1467,5)</f>
        <v>67.321340000000006</v>
      </c>
      <c r="C1468">
        <f>+ROUND(Get_Data!C1467,5)</f>
        <v>30.97221</v>
      </c>
      <c r="D1468" s="4">
        <f t="shared" si="23"/>
        <v>2.1736046604359198</v>
      </c>
    </row>
    <row r="1469" spans="1:4">
      <c r="A1469" s="2">
        <f>+Get_Data!A1468</f>
        <v>41572</v>
      </c>
      <c r="B1469">
        <f>+ROUND(Get_Data!B1468,5)</f>
        <v>67.982020000000006</v>
      </c>
      <c r="C1469">
        <f>+ROUND(Get_Data!C1468,5)</f>
        <v>31.155809999999999</v>
      </c>
      <c r="D1469" s="4">
        <f t="shared" si="23"/>
        <v>2.1820013666792808</v>
      </c>
    </row>
    <row r="1470" spans="1:4">
      <c r="A1470" s="2">
        <f>+Get_Data!A1469</f>
        <v>41575</v>
      </c>
      <c r="B1470">
        <f>+ROUND(Get_Data!B1469,5)</f>
        <v>69.00967</v>
      </c>
      <c r="C1470">
        <f>+ROUND(Get_Data!C1469,5)</f>
        <v>31.6188</v>
      </c>
      <c r="D1470" s="4">
        <f t="shared" si="23"/>
        <v>2.1825518362493201</v>
      </c>
    </row>
    <row r="1471" spans="1:4">
      <c r="A1471" s="2">
        <f>+Get_Data!A1470</f>
        <v>41576</v>
      </c>
      <c r="B1471">
        <f>+ROUND(Get_Data!B1470,5)</f>
        <v>69.727419999999995</v>
      </c>
      <c r="C1471">
        <f>+ROUND(Get_Data!C1470,5)</f>
        <v>31.77046</v>
      </c>
      <c r="D1471" s="4">
        <f t="shared" si="23"/>
        <v>2.1947249111281359</v>
      </c>
    </row>
    <row r="1472" spans="1:4">
      <c r="A1472" s="2">
        <f>+Get_Data!A1471</f>
        <v>41577</v>
      </c>
      <c r="B1472">
        <f>+ROUND(Get_Data!B1471,5)</f>
        <v>69.099400000000003</v>
      </c>
      <c r="C1472">
        <f>+ROUND(Get_Data!C1471,5)</f>
        <v>31.62679</v>
      </c>
      <c r="D1472" s="4">
        <f t="shared" si="23"/>
        <v>2.1848376012867572</v>
      </c>
    </row>
    <row r="1473" spans="1:4">
      <c r="A1473" s="2">
        <f>+Get_Data!A1472</f>
        <v>41578</v>
      </c>
      <c r="B1473">
        <f>+ROUND(Get_Data!B1472,5)</f>
        <v>68.585570000000004</v>
      </c>
      <c r="C1473">
        <f>+ROUND(Get_Data!C1472,5)</f>
        <v>31.586860000000001</v>
      </c>
      <c r="D1473" s="4">
        <f t="shared" si="23"/>
        <v>2.1713323198317274</v>
      </c>
    </row>
    <row r="1474" spans="1:4">
      <c r="A1474" s="2">
        <f>+Get_Data!A1473</f>
        <v>41579</v>
      </c>
      <c r="B1474">
        <f>+ROUND(Get_Data!B1473,5)</f>
        <v>68.968909999999994</v>
      </c>
      <c r="C1474">
        <f>+ROUND(Get_Data!C1473,5)</f>
        <v>31.6188</v>
      </c>
      <c r="D1474" s="4">
        <f t="shared" si="23"/>
        <v>2.1812627297683655</v>
      </c>
    </row>
    <row r="1475" spans="1:4">
      <c r="A1475" s="2">
        <f>+Get_Data!A1474</f>
        <v>41582</v>
      </c>
      <c r="B1475">
        <f>+ROUND(Get_Data!B1474,5)</f>
        <v>68.813940000000002</v>
      </c>
      <c r="C1475">
        <f>+ROUND(Get_Data!C1474,5)</f>
        <v>31.538969999999999</v>
      </c>
      <c r="D1475" s="4">
        <f t="shared" si="23"/>
        <v>2.181870238628592</v>
      </c>
    </row>
    <row r="1476" spans="1:4">
      <c r="A1476" s="2">
        <f>+Get_Data!A1475</f>
        <v>41583</v>
      </c>
      <c r="B1476">
        <f>+ROUND(Get_Data!B1475,5)</f>
        <v>69.017830000000004</v>
      </c>
      <c r="C1476">
        <f>+ROUND(Get_Data!C1475,5)</f>
        <v>31.530989999999999</v>
      </c>
      <c r="D1476" s="4">
        <f t="shared" ref="D1476:D1539" si="24">IFERROR(B1476/C1476,"")</f>
        <v>2.1888887726011776</v>
      </c>
    </row>
    <row r="1477" spans="1:4">
      <c r="A1477" s="2">
        <f>+Get_Data!A1476</f>
        <v>41584</v>
      </c>
      <c r="B1477">
        <f>+ROUND(Get_Data!B1476,5)</f>
        <v>70.69802</v>
      </c>
      <c r="C1477">
        <f>+ROUND(Get_Data!C1476,5)</f>
        <v>31.970030000000001</v>
      </c>
      <c r="D1477" s="4">
        <f t="shared" si="24"/>
        <v>2.2113842245377935</v>
      </c>
    </row>
    <row r="1478" spans="1:4">
      <c r="A1478" s="2">
        <f>+Get_Data!A1477</f>
        <v>41585</v>
      </c>
      <c r="B1478">
        <f>+ROUND(Get_Data!B1477,5)</f>
        <v>69.572460000000007</v>
      </c>
      <c r="C1478">
        <f>+ROUND(Get_Data!C1477,5)</f>
        <v>31.794409999999999</v>
      </c>
      <c r="D1478" s="4">
        <f t="shared" si="24"/>
        <v>2.1881978624544378</v>
      </c>
    </row>
    <row r="1479" spans="1:4">
      <c r="A1479" s="2">
        <f>+Get_Data!A1478</f>
        <v>41586</v>
      </c>
      <c r="B1479">
        <f>+ROUND(Get_Data!B1478,5)</f>
        <v>70.021060000000006</v>
      </c>
      <c r="C1479">
        <f>+ROUND(Get_Data!C1478,5)</f>
        <v>31.970030000000001</v>
      </c>
      <c r="D1479" s="4">
        <f t="shared" si="24"/>
        <v>2.1902093929846171</v>
      </c>
    </row>
    <row r="1480" spans="1:4">
      <c r="A1480" s="2">
        <f>+Get_Data!A1479</f>
        <v>41589</v>
      </c>
      <c r="B1480">
        <f>+ROUND(Get_Data!B1479,5)</f>
        <v>69.694800000000001</v>
      </c>
      <c r="C1480">
        <f>+ROUND(Get_Data!C1479,5)</f>
        <v>31.826350000000001</v>
      </c>
      <c r="D1480" s="4">
        <f t="shared" si="24"/>
        <v>2.1898458352905688</v>
      </c>
    </row>
    <row r="1481" spans="1:4">
      <c r="A1481" s="2">
        <f>+Get_Data!A1480</f>
        <v>41590</v>
      </c>
      <c r="B1481">
        <f>+ROUND(Get_Data!B1480,5)</f>
        <v>69.849760000000003</v>
      </c>
      <c r="C1481">
        <f>+ROUND(Get_Data!C1480,5)</f>
        <v>31.834330000000001</v>
      </c>
      <c r="D1481" s="4">
        <f t="shared" si="24"/>
        <v>2.1941646015480774</v>
      </c>
    </row>
    <row r="1482" spans="1:4">
      <c r="A1482" s="2">
        <f>+Get_Data!A1481</f>
        <v>41591</v>
      </c>
      <c r="B1482">
        <f>+ROUND(Get_Data!B1481,5)</f>
        <v>70.102620000000002</v>
      </c>
      <c r="C1482">
        <f>+ROUND(Get_Data!C1481,5)</f>
        <v>32.025910000000003</v>
      </c>
      <c r="D1482" s="4">
        <f t="shared" si="24"/>
        <v>2.1889345220791538</v>
      </c>
    </row>
    <row r="1483" spans="1:4">
      <c r="A1483" s="2">
        <f>+Get_Data!A1482</f>
        <v>41592</v>
      </c>
      <c r="B1483">
        <f>+ROUND(Get_Data!B1482,5)</f>
        <v>70.461489999999998</v>
      </c>
      <c r="C1483">
        <f>+ROUND(Get_Data!C1482,5)</f>
        <v>32.097749999999998</v>
      </c>
      <c r="D1483" s="4">
        <f t="shared" si="24"/>
        <v>2.1952158640403145</v>
      </c>
    </row>
    <row r="1484" spans="1:4">
      <c r="A1484" s="2">
        <f>+Get_Data!A1483</f>
        <v>41593</v>
      </c>
      <c r="B1484">
        <f>+ROUND(Get_Data!B1483,5)</f>
        <v>70.167860000000005</v>
      </c>
      <c r="C1484">
        <f>+ROUND(Get_Data!C1483,5)</f>
        <v>32.105739999999997</v>
      </c>
      <c r="D1484" s="4">
        <f t="shared" si="24"/>
        <v>2.1855238346787838</v>
      </c>
    </row>
    <row r="1485" spans="1:4">
      <c r="A1485" s="2">
        <f>+Get_Data!A1484</f>
        <v>41596</v>
      </c>
      <c r="B1485">
        <f>+ROUND(Get_Data!B1484,5)</f>
        <v>70.029210000000006</v>
      </c>
      <c r="C1485">
        <f>+ROUND(Get_Data!C1484,5)</f>
        <v>32.065820000000002</v>
      </c>
      <c r="D1485" s="4">
        <f t="shared" si="24"/>
        <v>2.1839207604857758</v>
      </c>
    </row>
    <row r="1486" spans="1:4">
      <c r="A1486" s="2">
        <f>+Get_Data!A1485</f>
        <v>41597</v>
      </c>
      <c r="B1486">
        <f>+ROUND(Get_Data!B1485,5)</f>
        <v>69.564300000000003</v>
      </c>
      <c r="C1486">
        <f>+ROUND(Get_Data!C1485,5)</f>
        <v>32.041879999999999</v>
      </c>
      <c r="D1486" s="4">
        <f t="shared" si="24"/>
        <v>2.1710430224443762</v>
      </c>
    </row>
    <row r="1487" spans="1:4">
      <c r="A1487" s="2">
        <f>+Get_Data!A1486</f>
        <v>41598</v>
      </c>
      <c r="B1487">
        <f>+ROUND(Get_Data!B1486,5)</f>
        <v>69.433819999999997</v>
      </c>
      <c r="C1487">
        <f>+ROUND(Get_Data!C1486,5)</f>
        <v>31.978010000000001</v>
      </c>
      <c r="D1487" s="4">
        <f t="shared" si="24"/>
        <v>2.1712989645071721</v>
      </c>
    </row>
    <row r="1488" spans="1:4">
      <c r="A1488" s="2">
        <f>+Get_Data!A1487</f>
        <v>41599</v>
      </c>
      <c r="B1488">
        <f>+ROUND(Get_Data!B1487,5)</f>
        <v>69.833449999999999</v>
      </c>
      <c r="C1488">
        <f>+ROUND(Get_Data!C1487,5)</f>
        <v>32.27337</v>
      </c>
      <c r="D1488" s="4">
        <f t="shared" si="24"/>
        <v>2.1638102869331588</v>
      </c>
    </row>
    <row r="1489" spans="1:4">
      <c r="A1489" s="2">
        <f>+Get_Data!A1488</f>
        <v>41600</v>
      </c>
      <c r="B1489">
        <f>+ROUND(Get_Data!B1488,5)</f>
        <v>69.931330000000003</v>
      </c>
      <c r="C1489">
        <f>+ROUND(Get_Data!C1488,5)</f>
        <v>32.27337</v>
      </c>
      <c r="D1489" s="4">
        <f t="shared" si="24"/>
        <v>2.1668431279410858</v>
      </c>
    </row>
    <row r="1490" spans="1:4">
      <c r="A1490" s="2">
        <f>+Get_Data!A1489</f>
        <v>41603</v>
      </c>
      <c r="B1490">
        <f>+ROUND(Get_Data!B1489,5)</f>
        <v>69.629549999999995</v>
      </c>
      <c r="C1490">
        <f>+ROUND(Get_Data!C1489,5)</f>
        <v>32.225470000000001</v>
      </c>
      <c r="D1490" s="4">
        <f t="shared" si="24"/>
        <v>2.1606992853789251</v>
      </c>
    </row>
    <row r="1491" spans="1:4">
      <c r="A1491" s="2">
        <f>+Get_Data!A1490</f>
        <v>41604</v>
      </c>
      <c r="B1491">
        <f>+ROUND(Get_Data!B1490,5)</f>
        <v>68.830240000000003</v>
      </c>
      <c r="C1491">
        <f>+ROUND(Get_Data!C1490,5)</f>
        <v>32.12968</v>
      </c>
      <c r="D1491" s="4">
        <f t="shared" si="24"/>
        <v>2.1422634772584104</v>
      </c>
    </row>
    <row r="1492" spans="1:4">
      <c r="A1492" s="2">
        <f>+Get_Data!A1491</f>
        <v>41605</v>
      </c>
      <c r="B1492">
        <f>+ROUND(Get_Data!B1491,5)</f>
        <v>68.854709999999997</v>
      </c>
      <c r="C1492">
        <f>+ROUND(Get_Data!C1491,5)</f>
        <v>32.306519999999999</v>
      </c>
      <c r="D1492" s="4">
        <f t="shared" si="24"/>
        <v>2.131294549830808</v>
      </c>
    </row>
    <row r="1493" spans="1:4">
      <c r="A1493" s="2">
        <f>+Get_Data!A1492</f>
        <v>41607</v>
      </c>
      <c r="B1493">
        <f>+ROUND(Get_Data!B1492,5)</f>
        <v>68.887339999999995</v>
      </c>
      <c r="C1493">
        <f>+ROUND(Get_Data!C1492,5)</f>
        <v>32.306519999999999</v>
      </c>
      <c r="D1493" s="4">
        <f t="shared" si="24"/>
        <v>2.1323045626703214</v>
      </c>
    </row>
    <row r="1494" spans="1:4">
      <c r="A1494" s="2">
        <f>+Get_Data!A1493</f>
        <v>41610</v>
      </c>
      <c r="B1494">
        <f>+ROUND(Get_Data!B1493,5)</f>
        <v>68.26746</v>
      </c>
      <c r="C1494">
        <f>+ROUND(Get_Data!C1493,5)</f>
        <v>32.218110000000003</v>
      </c>
      <c r="D1494" s="4">
        <f t="shared" si="24"/>
        <v>2.1189157278313342</v>
      </c>
    </row>
    <row r="1495" spans="1:4">
      <c r="A1495" s="2">
        <f>+Get_Data!A1494</f>
        <v>41611</v>
      </c>
      <c r="B1495">
        <f>+ROUND(Get_Data!B1494,5)</f>
        <v>68.349010000000007</v>
      </c>
      <c r="C1495">
        <f>+ROUND(Get_Data!C1494,5)</f>
        <v>32.435130000000001</v>
      </c>
      <c r="D1495" s="4">
        <f t="shared" si="24"/>
        <v>2.1072525376035185</v>
      </c>
    </row>
    <row r="1496" spans="1:4">
      <c r="A1496" s="2">
        <f>+Get_Data!A1495</f>
        <v>41612</v>
      </c>
      <c r="B1496">
        <f>+ROUND(Get_Data!B1495,5)</f>
        <v>67.871089999999995</v>
      </c>
      <c r="C1496">
        <f>+ROUND(Get_Data!C1495,5)</f>
        <v>32.451219999999999</v>
      </c>
      <c r="D1496" s="4">
        <f t="shared" si="24"/>
        <v>2.0914803819394154</v>
      </c>
    </row>
    <row r="1497" spans="1:4">
      <c r="A1497" s="2">
        <f>+Get_Data!A1496</f>
        <v>41613</v>
      </c>
      <c r="B1497">
        <f>+ROUND(Get_Data!B1496,5)</f>
        <v>67.255229999999997</v>
      </c>
      <c r="C1497">
        <f>+ROUND(Get_Data!C1496,5)</f>
        <v>32.017139999999998</v>
      </c>
      <c r="D1497" s="4">
        <f t="shared" si="24"/>
        <v>2.1006008031947889</v>
      </c>
    </row>
    <row r="1498" spans="1:4">
      <c r="A1498" s="2">
        <f>+Get_Data!A1497</f>
        <v>41614</v>
      </c>
      <c r="B1498">
        <f>+ROUND(Get_Data!B1497,5)</f>
        <v>68.281689999999998</v>
      </c>
      <c r="C1498">
        <f>+ROUND(Get_Data!C1497,5)</f>
        <v>32.523560000000003</v>
      </c>
      <c r="D1498" s="4">
        <f t="shared" si="24"/>
        <v>2.0994531348966716</v>
      </c>
    </row>
    <row r="1499" spans="1:4">
      <c r="A1499" s="2">
        <f>+Get_Data!A1498</f>
        <v>41617</v>
      </c>
      <c r="B1499">
        <f>+ROUND(Get_Data!B1498,5)</f>
        <v>67.903949999999995</v>
      </c>
      <c r="C1499">
        <f>+ROUND(Get_Data!C1498,5)</f>
        <v>32.475340000000003</v>
      </c>
      <c r="D1499" s="4">
        <f t="shared" si="24"/>
        <v>2.0909388477534026</v>
      </c>
    </row>
    <row r="1500" spans="1:4">
      <c r="A1500" s="2">
        <f>+Get_Data!A1499</f>
        <v>41618</v>
      </c>
      <c r="B1500">
        <f>+ROUND(Get_Data!B1499,5)</f>
        <v>67.665800000000004</v>
      </c>
      <c r="C1500">
        <f>+ROUND(Get_Data!C1499,5)</f>
        <v>32.033209999999997</v>
      </c>
      <c r="D1500" s="4">
        <f t="shared" si="24"/>
        <v>2.1123640122235647</v>
      </c>
    </row>
    <row r="1501" spans="1:4">
      <c r="A1501" s="2">
        <f>+Get_Data!A1500</f>
        <v>41619</v>
      </c>
      <c r="B1501">
        <f>+ROUND(Get_Data!B1500,5)</f>
        <v>67.887500000000003</v>
      </c>
      <c r="C1501">
        <f>+ROUND(Get_Data!C1500,5)</f>
        <v>32.258290000000002</v>
      </c>
      <c r="D1501" s="4">
        <f t="shared" si="24"/>
        <v>2.1044977895604511</v>
      </c>
    </row>
    <row r="1502" spans="1:4">
      <c r="A1502" s="2">
        <f>+Get_Data!A1501</f>
        <v>41620</v>
      </c>
      <c r="B1502">
        <f>+ROUND(Get_Data!B1501,5)</f>
        <v>66.74606</v>
      </c>
      <c r="C1502">
        <f>+ROUND(Get_Data!C1501,5)</f>
        <v>31.518750000000001</v>
      </c>
      <c r="D1502" s="4">
        <f t="shared" si="24"/>
        <v>2.1176620265714852</v>
      </c>
    </row>
    <row r="1503" spans="1:4">
      <c r="A1503" s="2">
        <f>+Get_Data!A1502</f>
        <v>41621</v>
      </c>
      <c r="B1503">
        <f>+ROUND(Get_Data!B1502,5)</f>
        <v>66.458659999999995</v>
      </c>
      <c r="C1503">
        <f>+ROUND(Get_Data!C1502,5)</f>
        <v>31.534829999999999</v>
      </c>
      <c r="D1503" s="4">
        <f t="shared" si="24"/>
        <v>2.1074684721623678</v>
      </c>
    </row>
    <row r="1504" spans="1:4">
      <c r="A1504" s="2">
        <f>+Get_Data!A1503</f>
        <v>41624</v>
      </c>
      <c r="B1504">
        <f>+ROUND(Get_Data!B1503,5)</f>
        <v>66.516139999999993</v>
      </c>
      <c r="C1504">
        <f>+ROUND(Get_Data!C1503,5)</f>
        <v>31.566990000000001</v>
      </c>
      <c r="D1504" s="4">
        <f t="shared" si="24"/>
        <v>2.1071423027662757</v>
      </c>
    </row>
    <row r="1505" spans="1:4">
      <c r="A1505" s="2">
        <f>+Get_Data!A1504</f>
        <v>41625</v>
      </c>
      <c r="B1505">
        <f>+ROUND(Get_Data!B1504,5)</f>
        <v>66.072680000000005</v>
      </c>
      <c r="C1505">
        <f>+ROUND(Get_Data!C1504,5)</f>
        <v>31.430330000000001</v>
      </c>
      <c r="D1505" s="4">
        <f t="shared" si="24"/>
        <v>2.1021949180934469</v>
      </c>
    </row>
    <row r="1506" spans="1:4">
      <c r="A1506" s="2">
        <f>+Get_Data!A1505</f>
        <v>41626</v>
      </c>
      <c r="B1506">
        <f>+ROUND(Get_Data!B1505,5)</f>
        <v>66.861019999999996</v>
      </c>
      <c r="C1506">
        <f>+ROUND(Get_Data!C1505,5)</f>
        <v>32.169870000000003</v>
      </c>
      <c r="D1506" s="4">
        <f t="shared" si="24"/>
        <v>2.0783739567489703</v>
      </c>
    </row>
    <row r="1507" spans="1:4">
      <c r="A1507" s="2">
        <f>+Get_Data!A1506</f>
        <v>41627</v>
      </c>
      <c r="B1507">
        <f>+ROUND(Get_Data!B1506,5)</f>
        <v>67.058130000000006</v>
      </c>
      <c r="C1507">
        <f>+ROUND(Get_Data!C1506,5)</f>
        <v>32.041249999999998</v>
      </c>
      <c r="D1507" s="4">
        <f t="shared" si="24"/>
        <v>2.0928687239105841</v>
      </c>
    </row>
    <row r="1508" spans="1:4">
      <c r="A1508" s="2">
        <f>+Get_Data!A1507</f>
        <v>41628</v>
      </c>
      <c r="B1508">
        <f>+ROUND(Get_Data!B1507,5)</f>
        <v>67.181309999999996</v>
      </c>
      <c r="C1508">
        <f>+ROUND(Get_Data!C1507,5)</f>
        <v>32.185940000000002</v>
      </c>
      <c r="D1508" s="4">
        <f t="shared" si="24"/>
        <v>2.0872874926132341</v>
      </c>
    </row>
    <row r="1509" spans="1:4">
      <c r="A1509" s="2">
        <f>+Get_Data!A1508</f>
        <v>41631</v>
      </c>
      <c r="B1509">
        <f>+ROUND(Get_Data!B1508,5)</f>
        <v>67.222359999999995</v>
      </c>
      <c r="C1509">
        <f>+ROUND(Get_Data!C1508,5)</f>
        <v>32.282400000000003</v>
      </c>
      <c r="D1509" s="4">
        <f t="shared" si="24"/>
        <v>2.0823222560900052</v>
      </c>
    </row>
    <row r="1510" spans="1:4">
      <c r="A1510" s="2">
        <f>+Get_Data!A1509</f>
        <v>41632</v>
      </c>
      <c r="B1510">
        <f>+ROUND(Get_Data!B1509,5)</f>
        <v>67.370189999999994</v>
      </c>
      <c r="C1510">
        <f>+ROUND(Get_Data!C1509,5)</f>
        <v>32.306519999999999</v>
      </c>
      <c r="D1510" s="4">
        <f t="shared" si="24"/>
        <v>2.0853434538910411</v>
      </c>
    </row>
    <row r="1511" spans="1:4">
      <c r="A1511" s="2">
        <f>+Get_Data!A1510</f>
        <v>41634</v>
      </c>
      <c r="B1511">
        <f>+ROUND(Get_Data!B1510,5)</f>
        <v>67.706860000000006</v>
      </c>
      <c r="C1511">
        <f>+ROUND(Get_Data!C1510,5)</f>
        <v>32.547669999999997</v>
      </c>
      <c r="D1511" s="4">
        <f t="shared" si="24"/>
        <v>2.080236772709076</v>
      </c>
    </row>
    <row r="1512" spans="1:4">
      <c r="A1512" s="2">
        <f>+Get_Data!A1511</f>
        <v>41635</v>
      </c>
      <c r="B1512">
        <f>+ROUND(Get_Data!B1511,5)</f>
        <v>67.920360000000002</v>
      </c>
      <c r="C1512">
        <f>+ROUND(Get_Data!C1511,5)</f>
        <v>32.684330000000003</v>
      </c>
      <c r="D1512" s="4">
        <f t="shared" si="24"/>
        <v>2.0780710511734521</v>
      </c>
    </row>
    <row r="1513" spans="1:4">
      <c r="A1513" s="2">
        <f>+Get_Data!A1512</f>
        <v>41638</v>
      </c>
      <c r="B1513">
        <f>+ROUND(Get_Data!B1512,5)</f>
        <v>68.084609999999998</v>
      </c>
      <c r="C1513">
        <f>+ROUND(Get_Data!C1512,5)</f>
        <v>33.029980000000002</v>
      </c>
      <c r="D1513" s="4">
        <f t="shared" si="24"/>
        <v>2.061297342596029</v>
      </c>
    </row>
    <row r="1514" spans="1:4">
      <c r="A1514" s="2">
        <f>+Get_Data!A1513</f>
        <v>41639</v>
      </c>
      <c r="B1514">
        <f>+ROUND(Get_Data!B1513,5)</f>
        <v>68.109229999999997</v>
      </c>
      <c r="C1514">
        <f>+ROUND(Get_Data!C1513,5)</f>
        <v>33.206829999999997</v>
      </c>
      <c r="D1514" s="4">
        <f t="shared" si="24"/>
        <v>2.0510608811500526</v>
      </c>
    </row>
    <row r="1515" spans="1:4">
      <c r="A1515" s="2">
        <f>+Get_Data!A1514</f>
        <v>41641</v>
      </c>
      <c r="B1515">
        <f>+ROUND(Get_Data!B1514,5)</f>
        <v>67.419430000000006</v>
      </c>
      <c r="C1515">
        <f>+ROUND(Get_Data!C1514,5)</f>
        <v>32.684330000000003</v>
      </c>
      <c r="D1515" s="4">
        <f t="shared" si="24"/>
        <v>2.0627447464886077</v>
      </c>
    </row>
    <row r="1516" spans="1:4">
      <c r="A1516" s="2">
        <f>+Get_Data!A1515</f>
        <v>41642</v>
      </c>
      <c r="B1516">
        <f>+ROUND(Get_Data!B1515,5)</f>
        <v>67.534390000000002</v>
      </c>
      <c r="C1516">
        <f>+ROUND(Get_Data!C1515,5)</f>
        <v>32.523560000000003</v>
      </c>
      <c r="D1516" s="4">
        <f t="shared" si="24"/>
        <v>2.0764759454377071</v>
      </c>
    </row>
    <row r="1517" spans="1:4">
      <c r="A1517" s="2">
        <f>+Get_Data!A1516</f>
        <v>41645</v>
      </c>
      <c r="B1517">
        <f>+ROUND(Get_Data!B1516,5)</f>
        <v>67.567239999999998</v>
      </c>
      <c r="C1517">
        <f>+ROUND(Get_Data!C1516,5)</f>
        <v>32.370829999999998</v>
      </c>
      <c r="D1517" s="4">
        <f t="shared" si="24"/>
        <v>2.0872878452606871</v>
      </c>
    </row>
    <row r="1518" spans="1:4">
      <c r="A1518" s="2">
        <f>+Get_Data!A1517</f>
        <v>41646</v>
      </c>
      <c r="B1518">
        <f>+ROUND(Get_Data!B1517,5)</f>
        <v>68.552689999999998</v>
      </c>
      <c r="C1518">
        <f>+ROUND(Get_Data!C1517,5)</f>
        <v>32.467289999999998</v>
      </c>
      <c r="D1518" s="4">
        <f t="shared" si="24"/>
        <v>2.1114386202236157</v>
      </c>
    </row>
    <row r="1519" spans="1:4">
      <c r="A1519" s="2">
        <f>+Get_Data!A1518</f>
        <v>41647</v>
      </c>
      <c r="B1519">
        <f>+ROUND(Get_Data!B1518,5)</f>
        <v>68.355599999999995</v>
      </c>
      <c r="C1519">
        <f>+ROUND(Get_Data!C1518,5)</f>
        <v>32.105559999999997</v>
      </c>
      <c r="D1519" s="4">
        <f t="shared" si="24"/>
        <v>2.1290891671099961</v>
      </c>
    </row>
    <row r="1520" spans="1:4">
      <c r="A1520" s="2">
        <f>+Get_Data!A1519</f>
        <v>41648</v>
      </c>
      <c r="B1520">
        <f>+ROUND(Get_Data!B1519,5)</f>
        <v>68.035319999999999</v>
      </c>
      <c r="C1520">
        <f>+ROUND(Get_Data!C1519,5)</f>
        <v>31.93675</v>
      </c>
      <c r="D1520" s="4">
        <f t="shared" si="24"/>
        <v>2.1303144496543949</v>
      </c>
    </row>
    <row r="1521" spans="1:4">
      <c r="A1521" s="2">
        <f>+Get_Data!A1520</f>
        <v>41649</v>
      </c>
      <c r="B1521">
        <f>+ROUND(Get_Data!B1520,5)</f>
        <v>68.569109999999995</v>
      </c>
      <c r="C1521">
        <f>+ROUND(Get_Data!C1520,5)</f>
        <v>32.258290000000002</v>
      </c>
      <c r="D1521" s="4">
        <f t="shared" si="24"/>
        <v>2.125627551863412</v>
      </c>
    </row>
    <row r="1522" spans="1:4">
      <c r="A1522" s="2">
        <f>+Get_Data!A1521</f>
        <v>41652</v>
      </c>
      <c r="B1522">
        <f>+ROUND(Get_Data!B1521,5)</f>
        <v>67.641159999999999</v>
      </c>
      <c r="C1522">
        <f>+ROUND(Get_Data!C1521,5)</f>
        <v>31.776</v>
      </c>
      <c r="D1522" s="4">
        <f t="shared" si="24"/>
        <v>2.1286870594159115</v>
      </c>
    </row>
    <row r="1523" spans="1:4">
      <c r="A1523" s="2">
        <f>+Get_Data!A1522</f>
        <v>41653</v>
      </c>
      <c r="B1523">
        <f>+ROUND(Get_Data!B1522,5)</f>
        <v>67.641159999999999</v>
      </c>
      <c r="C1523">
        <f>+ROUND(Get_Data!C1522,5)</f>
        <v>31.904589999999999</v>
      </c>
      <c r="D1523" s="4">
        <f t="shared" si="24"/>
        <v>2.1201074829671844</v>
      </c>
    </row>
    <row r="1524" spans="1:4">
      <c r="A1524" s="2">
        <f>+Get_Data!A1523</f>
        <v>41654</v>
      </c>
      <c r="B1524">
        <f>+ROUND(Get_Data!B1523,5)</f>
        <v>68.068179999999998</v>
      </c>
      <c r="C1524">
        <f>+ROUND(Get_Data!C1523,5)</f>
        <v>31.96088</v>
      </c>
      <c r="D1524" s="4">
        <f t="shared" si="24"/>
        <v>2.1297342250901727</v>
      </c>
    </row>
    <row r="1525" spans="1:4">
      <c r="A1525" s="2">
        <f>+Get_Data!A1524</f>
        <v>41655</v>
      </c>
      <c r="B1525">
        <f>+ROUND(Get_Data!B1524,5)</f>
        <v>68.043549999999996</v>
      </c>
      <c r="C1525">
        <f>+ROUND(Get_Data!C1524,5)</f>
        <v>31.920680000000001</v>
      </c>
      <c r="D1525" s="4">
        <f t="shared" si="24"/>
        <v>2.1316447519288433</v>
      </c>
    </row>
    <row r="1526" spans="1:4">
      <c r="A1526" s="2">
        <f>+Get_Data!A1525</f>
        <v>41656</v>
      </c>
      <c r="B1526">
        <f>+ROUND(Get_Data!B1525,5)</f>
        <v>67.501540000000006</v>
      </c>
      <c r="C1526">
        <f>+ROUND(Get_Data!C1525,5)</f>
        <v>31.575019999999999</v>
      </c>
      <c r="D1526" s="4">
        <f t="shared" si="24"/>
        <v>2.1378146395473387</v>
      </c>
    </row>
    <row r="1527" spans="1:4">
      <c r="A1527" s="2">
        <f>+Get_Data!A1526</f>
        <v>41660</v>
      </c>
      <c r="B1527">
        <f>+ROUND(Get_Data!B1526,5)</f>
        <v>68.09281</v>
      </c>
      <c r="C1527">
        <f>+ROUND(Get_Data!C1526,5)</f>
        <v>32.089489999999998</v>
      </c>
      <c r="D1527" s="4">
        <f t="shared" si="24"/>
        <v>2.1219661016737881</v>
      </c>
    </row>
    <row r="1528" spans="1:4">
      <c r="A1528" s="2">
        <f>+Get_Data!A1527</f>
        <v>41661</v>
      </c>
      <c r="B1528">
        <f>+ROUND(Get_Data!B1527,5)</f>
        <v>68.035319999999999</v>
      </c>
      <c r="C1528">
        <f>+ROUND(Get_Data!C1527,5)</f>
        <v>32.073410000000003</v>
      </c>
      <c r="D1528" s="4">
        <f t="shared" si="24"/>
        <v>2.1212374986008657</v>
      </c>
    </row>
    <row r="1529" spans="1:4">
      <c r="A1529" s="2">
        <f>+Get_Data!A1528</f>
        <v>41662</v>
      </c>
      <c r="B1529">
        <f>+ROUND(Get_Data!B1528,5)</f>
        <v>67.690439999999995</v>
      </c>
      <c r="C1529">
        <f>+ROUND(Get_Data!C1528,5)</f>
        <v>31.542870000000001</v>
      </c>
      <c r="D1529" s="4">
        <f t="shared" si="24"/>
        <v>2.1459822774528758</v>
      </c>
    </row>
    <row r="1530" spans="1:4">
      <c r="A1530" s="2">
        <f>+Get_Data!A1529</f>
        <v>41663</v>
      </c>
      <c r="B1530">
        <f>+ROUND(Get_Data!B1529,5)</f>
        <v>66.869249999999994</v>
      </c>
      <c r="C1530">
        <f>+ROUND(Get_Data!C1529,5)</f>
        <v>31.221350000000001</v>
      </c>
      <c r="D1530" s="4">
        <f t="shared" si="24"/>
        <v>2.1417795835221729</v>
      </c>
    </row>
    <row r="1531" spans="1:4">
      <c r="A1531" s="2">
        <f>+Get_Data!A1530</f>
        <v>41666</v>
      </c>
      <c r="B1531">
        <f>+ROUND(Get_Data!B1530,5)</f>
        <v>67.386579999999995</v>
      </c>
      <c r="C1531">
        <f>+ROUND(Get_Data!C1530,5)</f>
        <v>31.132909999999999</v>
      </c>
      <c r="D1531" s="4">
        <f t="shared" si="24"/>
        <v>2.164480609104642</v>
      </c>
    </row>
    <row r="1532" spans="1:4">
      <c r="A1532" s="2">
        <f>+Get_Data!A1531</f>
        <v>41667</v>
      </c>
      <c r="B1532">
        <f>+ROUND(Get_Data!B1531,5)</f>
        <v>67.600099999999998</v>
      </c>
      <c r="C1532">
        <f>+ROUND(Get_Data!C1531,5)</f>
        <v>31.245460000000001</v>
      </c>
      <c r="D1532" s="4">
        <f t="shared" si="24"/>
        <v>2.1635175158246986</v>
      </c>
    </row>
    <row r="1533" spans="1:4">
      <c r="A1533" s="2">
        <f>+Get_Data!A1532</f>
        <v>41668</v>
      </c>
      <c r="B1533">
        <f>+ROUND(Get_Data!B1532,5)</f>
        <v>65.875630000000001</v>
      </c>
      <c r="C1533">
        <f>+ROUND(Get_Data!C1532,5)</f>
        <v>30.465720000000001</v>
      </c>
      <c r="D1533" s="4">
        <f t="shared" si="24"/>
        <v>2.162286990099036</v>
      </c>
    </row>
    <row r="1534" spans="1:4">
      <c r="A1534" s="2">
        <f>+Get_Data!A1533</f>
        <v>41669</v>
      </c>
      <c r="B1534">
        <f>+ROUND(Get_Data!B1533,5)</f>
        <v>66.58184</v>
      </c>
      <c r="C1534">
        <f>+ROUND(Get_Data!C1533,5)</f>
        <v>30.682749999999999</v>
      </c>
      <c r="D1534" s="4">
        <f t="shared" si="24"/>
        <v>2.1700088812117557</v>
      </c>
    </row>
    <row r="1535" spans="1:4">
      <c r="A1535" s="2">
        <f>+Get_Data!A1534</f>
        <v>41670</v>
      </c>
      <c r="B1535">
        <f>+ROUND(Get_Data!B1534,5)</f>
        <v>65.990570000000005</v>
      </c>
      <c r="C1535">
        <f>+ROUND(Get_Data!C1534,5)</f>
        <v>30.401409999999998</v>
      </c>
      <c r="D1535" s="4">
        <f t="shared" si="24"/>
        <v>2.1706417564185347</v>
      </c>
    </row>
    <row r="1536" spans="1:4">
      <c r="A1536" s="2">
        <f>+Get_Data!A1535</f>
        <v>41673</v>
      </c>
      <c r="B1536">
        <f>+ROUND(Get_Data!B1535,5)</f>
        <v>64.520650000000003</v>
      </c>
      <c r="C1536">
        <f>+ROUND(Get_Data!C1535,5)</f>
        <v>29.903030000000001</v>
      </c>
      <c r="D1536" s="4">
        <f t="shared" si="24"/>
        <v>2.1576626181360217</v>
      </c>
    </row>
    <row r="1537" spans="1:4">
      <c r="A1537" s="2">
        <f>+Get_Data!A1536</f>
        <v>41674</v>
      </c>
      <c r="B1537">
        <f>+ROUND(Get_Data!B1536,5)</f>
        <v>64.725949999999997</v>
      </c>
      <c r="C1537">
        <f>+ROUND(Get_Data!C1536,5)</f>
        <v>30.12811</v>
      </c>
      <c r="D1537" s="4">
        <f t="shared" si="24"/>
        <v>2.1483574641754828</v>
      </c>
    </row>
    <row r="1538" spans="1:4">
      <c r="A1538" s="2">
        <f>+Get_Data!A1537</f>
        <v>41675</v>
      </c>
      <c r="B1538">
        <f>+ROUND(Get_Data!B1537,5)</f>
        <v>65.218649999999997</v>
      </c>
      <c r="C1538">
        <f>+ROUND(Get_Data!C1537,5)</f>
        <v>30.232600000000001</v>
      </c>
      <c r="D1538" s="4">
        <f t="shared" si="24"/>
        <v>2.1572292822979167</v>
      </c>
    </row>
    <row r="1539" spans="1:4">
      <c r="A1539" s="2">
        <f>+Get_Data!A1538</f>
        <v>41676</v>
      </c>
      <c r="B1539">
        <f>+ROUND(Get_Data!B1538,5)</f>
        <v>65.194029999999998</v>
      </c>
      <c r="C1539">
        <f>+ROUND(Get_Data!C1538,5)</f>
        <v>30.570219999999999</v>
      </c>
      <c r="D1539" s="4">
        <f t="shared" si="24"/>
        <v>2.1325993074305649</v>
      </c>
    </row>
    <row r="1540" spans="1:4">
      <c r="A1540" s="2">
        <f>+Get_Data!A1539</f>
        <v>41677</v>
      </c>
      <c r="B1540">
        <f>+ROUND(Get_Data!B1539,5)</f>
        <v>65.875630000000001</v>
      </c>
      <c r="C1540">
        <f>+ROUND(Get_Data!C1539,5)</f>
        <v>30.50592</v>
      </c>
      <c r="D1540" s="4">
        <f t="shared" ref="D1540:D1603" si="25">IFERROR(B1540/C1540,"")</f>
        <v>2.159437578017644</v>
      </c>
    </row>
    <row r="1541" spans="1:4">
      <c r="A1541" s="2">
        <f>+Get_Data!A1540</f>
        <v>41680</v>
      </c>
      <c r="B1541">
        <f>+ROUND(Get_Data!B1540,5)</f>
        <v>66.18768</v>
      </c>
      <c r="C1541">
        <f>+ROUND(Get_Data!C1540,5)</f>
        <v>31.004290000000001</v>
      </c>
      <c r="D1541" s="4">
        <f t="shared" si="25"/>
        <v>2.1347910240808612</v>
      </c>
    </row>
    <row r="1542" spans="1:4">
      <c r="A1542" s="2">
        <f>+Get_Data!A1541</f>
        <v>41681</v>
      </c>
      <c r="B1542">
        <f>+ROUND(Get_Data!B1541,5)</f>
        <v>66.721440000000001</v>
      </c>
      <c r="C1542">
        <f>+ROUND(Get_Data!C1541,5)</f>
        <v>31.060569999999998</v>
      </c>
      <c r="D1542" s="4">
        <f t="shared" si="25"/>
        <v>2.1481073914612643</v>
      </c>
    </row>
    <row r="1543" spans="1:4">
      <c r="A1543" s="2">
        <f>+Get_Data!A1542</f>
        <v>41682</v>
      </c>
      <c r="B1543">
        <f>+ROUND(Get_Data!B1542,5)</f>
        <v>66.918509999999998</v>
      </c>
      <c r="C1543">
        <f>+ROUND(Get_Data!C1542,5)</f>
        <v>30.956060000000001</v>
      </c>
      <c r="D1543" s="4">
        <f t="shared" si="25"/>
        <v>2.1617256847286122</v>
      </c>
    </row>
    <row r="1544" spans="1:4">
      <c r="A1544" s="2">
        <f>+Get_Data!A1543</f>
        <v>41683</v>
      </c>
      <c r="B1544">
        <f>+ROUND(Get_Data!B1543,5)</f>
        <v>65.440380000000005</v>
      </c>
      <c r="C1544">
        <f>+ROUND(Get_Data!C1543,5)</f>
        <v>31.0686</v>
      </c>
      <c r="D1544" s="4">
        <f t="shared" si="25"/>
        <v>2.1063189200672063</v>
      </c>
    </row>
    <row r="1545" spans="1:4">
      <c r="A1545" s="2">
        <f>+Get_Data!A1544</f>
        <v>41684</v>
      </c>
      <c r="B1545">
        <f>+ROUND(Get_Data!B1544,5)</f>
        <v>64.126490000000004</v>
      </c>
      <c r="C1545">
        <f>+ROUND(Get_Data!C1544,5)</f>
        <v>31.293679999999998</v>
      </c>
      <c r="D1545" s="4">
        <f t="shared" si="25"/>
        <v>2.0491834133920972</v>
      </c>
    </row>
    <row r="1546" spans="1:4">
      <c r="A1546" s="2">
        <f>+Get_Data!A1545</f>
        <v>41688</v>
      </c>
      <c r="B1546">
        <f>+ROUND(Get_Data!B1545,5)</f>
        <v>64.200389999999999</v>
      </c>
      <c r="C1546">
        <f>+ROUND(Get_Data!C1545,5)</f>
        <v>30.120059999999999</v>
      </c>
      <c r="D1546" s="4">
        <f t="shared" si="25"/>
        <v>2.1314828058111437</v>
      </c>
    </row>
    <row r="1547" spans="1:4">
      <c r="A1547" s="2">
        <f>+Get_Data!A1546</f>
        <v>41689</v>
      </c>
      <c r="B1547">
        <f>+ROUND(Get_Data!B1546,5)</f>
        <v>63.313510000000001</v>
      </c>
      <c r="C1547">
        <f>+ROUND(Get_Data!C1546,5)</f>
        <v>29.822649999999999</v>
      </c>
      <c r="D1547" s="4">
        <f t="shared" si="25"/>
        <v>2.1230008064340358</v>
      </c>
    </row>
    <row r="1548" spans="1:4">
      <c r="A1548" s="2">
        <f>+Get_Data!A1547</f>
        <v>41690</v>
      </c>
      <c r="B1548">
        <f>+ROUND(Get_Data!B1547,5)</f>
        <v>64.060789999999997</v>
      </c>
      <c r="C1548">
        <f>+ROUND(Get_Data!C1547,5)</f>
        <v>29.983419999999999</v>
      </c>
      <c r="D1548" s="4">
        <f t="shared" si="25"/>
        <v>2.1365404613616459</v>
      </c>
    </row>
    <row r="1549" spans="1:4">
      <c r="A1549" s="2">
        <f>+Get_Data!A1548</f>
        <v>41691</v>
      </c>
      <c r="B1549">
        <f>+ROUND(Get_Data!B1548,5)</f>
        <v>64.233249999999998</v>
      </c>
      <c r="C1549">
        <f>+ROUND(Get_Data!C1548,5)</f>
        <v>29.886959999999998</v>
      </c>
      <c r="D1549" s="4">
        <f t="shared" si="25"/>
        <v>2.1492065435895791</v>
      </c>
    </row>
    <row r="1550" spans="1:4">
      <c r="A1550" s="2">
        <f>+Get_Data!A1549</f>
        <v>41694</v>
      </c>
      <c r="B1550">
        <f>+ROUND(Get_Data!B1549,5)</f>
        <v>64.775229999999993</v>
      </c>
      <c r="C1550">
        <f>+ROUND(Get_Data!C1549,5)</f>
        <v>30.144179999999999</v>
      </c>
      <c r="D1550" s="4">
        <f t="shared" si="25"/>
        <v>2.1488469747725762</v>
      </c>
    </row>
    <row r="1551" spans="1:4">
      <c r="A1551" s="2">
        <f>+Get_Data!A1550</f>
        <v>41695</v>
      </c>
      <c r="B1551">
        <f>+ROUND(Get_Data!B1550,5)</f>
        <v>65.062640000000002</v>
      </c>
      <c r="C1551">
        <f>+ROUND(Get_Data!C1550,5)</f>
        <v>30.361219999999999</v>
      </c>
      <c r="D1551" s="4">
        <f t="shared" si="25"/>
        <v>2.1429520948104193</v>
      </c>
    </row>
    <row r="1552" spans="1:4">
      <c r="A1552" s="2">
        <f>+Get_Data!A1551</f>
        <v>41696</v>
      </c>
      <c r="B1552">
        <f>+ROUND(Get_Data!B1551,5)</f>
        <v>64.586359999999999</v>
      </c>
      <c r="C1552">
        <f>+ROUND(Get_Data!C1551,5)</f>
        <v>30.441600000000001</v>
      </c>
      <c r="D1552" s="4">
        <f t="shared" si="25"/>
        <v>2.1216480079890676</v>
      </c>
    </row>
    <row r="1553" spans="1:4">
      <c r="A1553" s="2">
        <f>+Get_Data!A1552</f>
        <v>41697</v>
      </c>
      <c r="B1553">
        <f>+ROUND(Get_Data!B1552,5)</f>
        <v>64.931259999999995</v>
      </c>
      <c r="C1553">
        <f>+ROUND(Get_Data!C1552,5)</f>
        <v>30.60238</v>
      </c>
      <c r="D1553" s="4">
        <f t="shared" si="25"/>
        <v>2.1217715746291628</v>
      </c>
    </row>
    <row r="1554" spans="1:4">
      <c r="A1554" s="2">
        <f>+Get_Data!A1553</f>
        <v>41698</v>
      </c>
      <c r="B1554">
        <f>+ROUND(Get_Data!B1553,5)</f>
        <v>65.752449999999996</v>
      </c>
      <c r="C1554">
        <f>+ROUND(Get_Data!C1553,5)</f>
        <v>30.706869999999999</v>
      </c>
      <c r="D1554" s="4">
        <f t="shared" si="25"/>
        <v>2.1412944399738558</v>
      </c>
    </row>
    <row r="1555" spans="1:4">
      <c r="A1555" s="2">
        <f>+Get_Data!A1554</f>
        <v>41701</v>
      </c>
      <c r="B1555">
        <f>+ROUND(Get_Data!B1554,5)</f>
        <v>65.300759999999997</v>
      </c>
      <c r="C1555">
        <f>+ROUND(Get_Data!C1554,5)</f>
        <v>30.64256</v>
      </c>
      <c r="D1555" s="4">
        <f t="shared" si="25"/>
        <v>2.1310477975730486</v>
      </c>
    </row>
    <row r="1556" spans="1:4">
      <c r="A1556" s="2">
        <f>+Get_Data!A1555</f>
        <v>41702</v>
      </c>
      <c r="B1556">
        <f>+ROUND(Get_Data!B1555,5)</f>
        <v>66.392949999999999</v>
      </c>
      <c r="C1556">
        <f>+ROUND(Get_Data!C1555,5)</f>
        <v>30.795310000000001</v>
      </c>
      <c r="D1556" s="4">
        <f t="shared" si="25"/>
        <v>2.1559435511446385</v>
      </c>
    </row>
    <row r="1557" spans="1:4">
      <c r="A1557" s="2">
        <f>+Get_Data!A1556</f>
        <v>41703</v>
      </c>
      <c r="B1557">
        <f>+ROUND(Get_Data!B1556,5)</f>
        <v>67.077699999999993</v>
      </c>
      <c r="C1557">
        <f>+ROUND(Get_Data!C1556,5)</f>
        <v>30.827449999999999</v>
      </c>
      <c r="D1557" s="4">
        <f t="shared" si="25"/>
        <v>2.1759081597731891</v>
      </c>
    </row>
    <row r="1558" spans="1:4">
      <c r="A1558" s="2">
        <f>+Get_Data!A1557</f>
        <v>41704</v>
      </c>
      <c r="B1558">
        <f>+ROUND(Get_Data!B1557,5)</f>
        <v>67.259649999999993</v>
      </c>
      <c r="C1558">
        <f>+ROUND(Get_Data!C1557,5)</f>
        <v>30.923909999999999</v>
      </c>
      <c r="D1558" s="4">
        <f t="shared" si="25"/>
        <v>2.1750047131814831</v>
      </c>
    </row>
    <row r="1559" spans="1:4">
      <c r="A1559" s="2">
        <f>+Get_Data!A1558</f>
        <v>41705</v>
      </c>
      <c r="B1559">
        <f>+ROUND(Get_Data!B1558,5)</f>
        <v>67.449870000000004</v>
      </c>
      <c r="C1559">
        <f>+ROUND(Get_Data!C1558,5)</f>
        <v>30.988219999999998</v>
      </c>
      <c r="D1559" s="4">
        <f t="shared" si="25"/>
        <v>2.1766293772278629</v>
      </c>
    </row>
    <row r="1560" spans="1:4">
      <c r="A1560" s="2">
        <f>+Get_Data!A1559</f>
        <v>41708</v>
      </c>
      <c r="B1560">
        <f>+ROUND(Get_Data!B1559,5)</f>
        <v>67.590450000000004</v>
      </c>
      <c r="C1560">
        <f>+ROUND(Get_Data!C1559,5)</f>
        <v>31.0686</v>
      </c>
      <c r="D1560" s="4">
        <f t="shared" si="25"/>
        <v>2.1755228751858793</v>
      </c>
    </row>
    <row r="1561" spans="1:4">
      <c r="A1561" s="2">
        <f>+Get_Data!A1560</f>
        <v>41709</v>
      </c>
      <c r="B1561">
        <f>+ROUND(Get_Data!B1560,5)</f>
        <v>68.483599999999996</v>
      </c>
      <c r="C1561">
        <f>+ROUND(Get_Data!C1560,5)</f>
        <v>31.18919</v>
      </c>
      <c r="D1561" s="4">
        <f t="shared" si="25"/>
        <v>2.1957479498505732</v>
      </c>
    </row>
    <row r="1562" spans="1:4">
      <c r="A1562" s="2">
        <f>+Get_Data!A1561</f>
        <v>41710</v>
      </c>
      <c r="B1562">
        <f>+ROUND(Get_Data!B1561,5)</f>
        <v>67.937799999999996</v>
      </c>
      <c r="C1562">
        <f>+ROUND(Get_Data!C1561,5)</f>
        <v>31.16893</v>
      </c>
      <c r="D1562" s="4">
        <f t="shared" si="25"/>
        <v>2.1796641719815213</v>
      </c>
    </row>
    <row r="1563" spans="1:4">
      <c r="A1563" s="2">
        <f>+Get_Data!A1562</f>
        <v>41711</v>
      </c>
      <c r="B1563">
        <f>+ROUND(Get_Data!B1562,5)</f>
        <v>67.648349999999994</v>
      </c>
      <c r="C1563">
        <f>+ROUND(Get_Data!C1562,5)</f>
        <v>30.763809999999999</v>
      </c>
      <c r="D1563" s="4">
        <f t="shared" si="25"/>
        <v>2.1989587765624607</v>
      </c>
    </row>
    <row r="1564" spans="1:4">
      <c r="A1564" s="2">
        <f>+Get_Data!A1563</f>
        <v>41712</v>
      </c>
      <c r="B1564">
        <f>+ROUND(Get_Data!B1563,5)</f>
        <v>66.986739999999998</v>
      </c>
      <c r="C1564">
        <f>+ROUND(Get_Data!C1563,5)</f>
        <v>30.92586</v>
      </c>
      <c r="D1564" s="4">
        <f t="shared" si="25"/>
        <v>2.1660429168340021</v>
      </c>
    </row>
    <row r="1565" spans="1:4">
      <c r="A1565" s="2">
        <f>+Get_Data!A1564</f>
        <v>41715</v>
      </c>
      <c r="B1565">
        <f>+ROUND(Get_Data!B1564,5)</f>
        <v>67.855090000000004</v>
      </c>
      <c r="C1565">
        <f>+ROUND(Get_Data!C1564,5)</f>
        <v>31.006879999999999</v>
      </c>
      <c r="D1565" s="4">
        <f t="shared" si="25"/>
        <v>2.1883881899759023</v>
      </c>
    </row>
    <row r="1566" spans="1:4">
      <c r="A1566" s="2">
        <f>+Get_Data!A1565</f>
        <v>41716</v>
      </c>
      <c r="B1566">
        <f>+ROUND(Get_Data!B1565,5)</f>
        <v>67.772400000000005</v>
      </c>
      <c r="C1566">
        <f>+ROUND(Get_Data!C1565,5)</f>
        <v>31.112220000000001</v>
      </c>
      <c r="D1566" s="4">
        <f t="shared" si="25"/>
        <v>2.1783209298468575</v>
      </c>
    </row>
    <row r="1567" spans="1:4">
      <c r="A1567" s="2">
        <f>+Get_Data!A1566</f>
        <v>41717</v>
      </c>
      <c r="B1567">
        <f>+ROUND(Get_Data!B1566,5)</f>
        <v>67.292730000000006</v>
      </c>
      <c r="C1567">
        <f>+ROUND(Get_Data!C1566,5)</f>
        <v>30.90155</v>
      </c>
      <c r="D1567" s="4">
        <f t="shared" si="25"/>
        <v>2.1776490176059133</v>
      </c>
    </row>
    <row r="1568" spans="1:4">
      <c r="A1568" s="2">
        <f>+Get_Data!A1567</f>
        <v>41718</v>
      </c>
      <c r="B1568">
        <f>+ROUND(Get_Data!B1567,5)</f>
        <v>67.697969999999998</v>
      </c>
      <c r="C1568">
        <f>+ROUND(Get_Data!C1567,5)</f>
        <v>31.152719999999999</v>
      </c>
      <c r="D1568" s="4">
        <f t="shared" si="25"/>
        <v>2.1730998127932328</v>
      </c>
    </row>
    <row r="1569" spans="1:4">
      <c r="A1569" s="2">
        <f>+Get_Data!A1568</f>
        <v>41719</v>
      </c>
      <c r="B1569">
        <f>+ROUND(Get_Data!B1568,5)</f>
        <v>67.92953</v>
      </c>
      <c r="C1569">
        <f>+ROUND(Get_Data!C1568,5)</f>
        <v>31.14461</v>
      </c>
      <c r="D1569" s="4">
        <f t="shared" si="25"/>
        <v>2.1811006784159441</v>
      </c>
    </row>
    <row r="1570" spans="1:4">
      <c r="A1570" s="2">
        <f>+Get_Data!A1569</f>
        <v>41722</v>
      </c>
      <c r="B1570">
        <f>+ROUND(Get_Data!B1569,5)</f>
        <v>67.72278</v>
      </c>
      <c r="C1570">
        <f>+ROUND(Get_Data!C1569,5)</f>
        <v>31.112220000000001</v>
      </c>
      <c r="D1570" s="4">
        <f t="shared" si="25"/>
        <v>2.176726058121214</v>
      </c>
    </row>
    <row r="1571" spans="1:4">
      <c r="A1571" s="2">
        <f>+Get_Data!A1570</f>
        <v>41723</v>
      </c>
      <c r="B1571">
        <f>+ROUND(Get_Data!B1570,5)</f>
        <v>68.144540000000006</v>
      </c>
      <c r="C1571">
        <f>+ROUND(Get_Data!C1570,5)</f>
        <v>31.29045</v>
      </c>
      <c r="D1571" s="4">
        <f t="shared" si="25"/>
        <v>2.1778063274896975</v>
      </c>
    </row>
    <row r="1572" spans="1:4">
      <c r="A1572" s="2">
        <f>+Get_Data!A1571</f>
        <v>41724</v>
      </c>
      <c r="B1572">
        <f>+ROUND(Get_Data!B1571,5)</f>
        <v>68.533230000000003</v>
      </c>
      <c r="C1572">
        <f>+ROUND(Get_Data!C1571,5)</f>
        <v>31.282360000000001</v>
      </c>
      <c r="D1572" s="4">
        <f t="shared" si="25"/>
        <v>2.1907947482223209</v>
      </c>
    </row>
    <row r="1573" spans="1:4">
      <c r="A1573" s="2">
        <f>+Get_Data!A1572</f>
        <v>41725</v>
      </c>
      <c r="B1573">
        <f>+ROUND(Get_Data!B1572,5)</f>
        <v>68.260310000000004</v>
      </c>
      <c r="C1573">
        <f>+ROUND(Get_Data!C1572,5)</f>
        <v>31.452490000000001</v>
      </c>
      <c r="D1573" s="4">
        <f t="shared" si="25"/>
        <v>2.1702672824949629</v>
      </c>
    </row>
    <row r="1574" spans="1:4">
      <c r="A1574" s="2">
        <f>+Get_Data!A1573</f>
        <v>41726</v>
      </c>
      <c r="B1574">
        <f>+ROUND(Get_Data!B1573,5)</f>
        <v>68.59939</v>
      </c>
      <c r="C1574">
        <f>+ROUND(Get_Data!C1573,5)</f>
        <v>31.557829999999999</v>
      </c>
      <c r="D1574" s="4">
        <f t="shared" si="25"/>
        <v>2.1737676513245683</v>
      </c>
    </row>
    <row r="1575" spans="1:4">
      <c r="A1575" s="2">
        <f>+Get_Data!A1574</f>
        <v>41729</v>
      </c>
      <c r="B1575">
        <f>+ROUND(Get_Data!B1574,5)</f>
        <v>69.054220000000001</v>
      </c>
      <c r="C1575">
        <f>+ROUND(Get_Data!C1574,5)</f>
        <v>31.322859999999999</v>
      </c>
      <c r="D1575" s="4">
        <f t="shared" si="25"/>
        <v>2.2045949827059217</v>
      </c>
    </row>
    <row r="1576" spans="1:4">
      <c r="A1576" s="2">
        <f>+Get_Data!A1575</f>
        <v>41730</v>
      </c>
      <c r="B1576">
        <f>+ROUND(Get_Data!B1575,5)</f>
        <v>68.541499999999999</v>
      </c>
      <c r="C1576">
        <f>+ROUND(Get_Data!C1575,5)</f>
        <v>31.12031</v>
      </c>
      <c r="D1576" s="4">
        <f t="shared" si="25"/>
        <v>2.2024684201410589</v>
      </c>
    </row>
    <row r="1577" spans="1:4">
      <c r="A1577" s="2">
        <f>+Get_Data!A1576</f>
        <v>41731</v>
      </c>
      <c r="B1577">
        <f>+ROUND(Get_Data!B1576,5)</f>
        <v>68.417450000000002</v>
      </c>
      <c r="C1577">
        <f>+ROUND(Get_Data!C1576,5)</f>
        <v>31.055499999999999</v>
      </c>
      <c r="D1577" s="4">
        <f t="shared" si="25"/>
        <v>2.2030703096069941</v>
      </c>
    </row>
    <row r="1578" spans="1:4">
      <c r="A1578" s="2">
        <f>+Get_Data!A1577</f>
        <v>41732</v>
      </c>
      <c r="B1578">
        <f>+ROUND(Get_Data!B1577,5)</f>
        <v>68.566310000000001</v>
      </c>
      <c r="C1578">
        <f>+ROUND(Get_Data!C1577,5)</f>
        <v>30.844840000000001</v>
      </c>
      <c r="D1578" s="4">
        <f t="shared" si="25"/>
        <v>2.222942638055506</v>
      </c>
    </row>
    <row r="1579" spans="1:4">
      <c r="A1579" s="2">
        <f>+Get_Data!A1578</f>
        <v>41733</v>
      </c>
      <c r="B1579">
        <f>+ROUND(Get_Data!B1578,5)</f>
        <v>68.301670000000001</v>
      </c>
      <c r="C1579">
        <f>+ROUND(Get_Data!C1578,5)</f>
        <v>30.966370000000001</v>
      </c>
      <c r="D1579" s="4">
        <f t="shared" si="25"/>
        <v>2.2056724763025177</v>
      </c>
    </row>
    <row r="1580" spans="1:4">
      <c r="A1580" s="2">
        <f>+Get_Data!A1579</f>
        <v>41736</v>
      </c>
      <c r="B1580">
        <f>+ROUND(Get_Data!B1579,5)</f>
        <v>69.39331</v>
      </c>
      <c r="C1580">
        <f>+ROUND(Get_Data!C1579,5)</f>
        <v>31.29045</v>
      </c>
      <c r="D1580" s="4">
        <f t="shared" si="25"/>
        <v>2.2177153093036375</v>
      </c>
    </row>
    <row r="1581" spans="1:4">
      <c r="A1581" s="2">
        <f>+Get_Data!A1580</f>
        <v>41737</v>
      </c>
      <c r="B1581">
        <f>+ROUND(Get_Data!B1580,5)</f>
        <v>69.029430000000005</v>
      </c>
      <c r="C1581">
        <f>+ROUND(Get_Data!C1580,5)</f>
        <v>31.517320000000002</v>
      </c>
      <c r="D1581" s="4">
        <f t="shared" si="25"/>
        <v>2.190206210426521</v>
      </c>
    </row>
    <row r="1582" spans="1:4">
      <c r="A1582" s="2">
        <f>+Get_Data!A1581</f>
        <v>41738</v>
      </c>
      <c r="B1582">
        <f>+ROUND(Get_Data!B1581,5)</f>
        <v>69.39331</v>
      </c>
      <c r="C1582">
        <f>+ROUND(Get_Data!C1581,5)</f>
        <v>31.590240000000001</v>
      </c>
      <c r="D1582" s="4">
        <f t="shared" si="25"/>
        <v>2.1966692877293745</v>
      </c>
    </row>
    <row r="1583" spans="1:4">
      <c r="A1583" s="2">
        <f>+Get_Data!A1582</f>
        <v>41739</v>
      </c>
      <c r="B1583">
        <f>+ROUND(Get_Data!B1582,5)</f>
        <v>69.153480000000002</v>
      </c>
      <c r="C1583">
        <f>+ROUND(Get_Data!C1582,5)</f>
        <v>31.509219999999999</v>
      </c>
      <c r="D1583" s="4">
        <f t="shared" si="25"/>
        <v>2.1947061844120546</v>
      </c>
    </row>
    <row r="1584" spans="1:4">
      <c r="A1584" s="2">
        <f>+Get_Data!A1583</f>
        <v>41740</v>
      </c>
      <c r="B1584">
        <f>+ROUND(Get_Data!B1583,5)</f>
        <v>68.764790000000005</v>
      </c>
      <c r="C1584">
        <f>+ROUND(Get_Data!C1583,5)</f>
        <v>31.298559999999998</v>
      </c>
      <c r="D1584" s="4">
        <f t="shared" si="25"/>
        <v>2.1970592257279571</v>
      </c>
    </row>
    <row r="1585" spans="1:4">
      <c r="A1585" s="2">
        <f>+Get_Data!A1584</f>
        <v>41743</v>
      </c>
      <c r="B1585">
        <f>+ROUND(Get_Data!B1584,5)</f>
        <v>69.095579999999998</v>
      </c>
      <c r="C1585">
        <f>+ROUND(Get_Data!C1584,5)</f>
        <v>31.37959</v>
      </c>
      <c r="D1585" s="4">
        <f t="shared" si="25"/>
        <v>2.2019274311742123</v>
      </c>
    </row>
    <row r="1586" spans="1:4">
      <c r="A1586" s="2">
        <f>+Get_Data!A1585</f>
        <v>41744</v>
      </c>
      <c r="B1586">
        <f>+ROUND(Get_Data!B1585,5)</f>
        <v>69.434650000000005</v>
      </c>
      <c r="C1586">
        <f>+ROUND(Get_Data!C1585,5)</f>
        <v>32.554389999999998</v>
      </c>
      <c r="D1586" s="4">
        <f t="shared" si="25"/>
        <v>2.1328813103240458</v>
      </c>
    </row>
    <row r="1587" spans="1:4">
      <c r="A1587" s="2">
        <f>+Get_Data!A1586</f>
        <v>41745</v>
      </c>
      <c r="B1587">
        <f>+ROUND(Get_Data!B1586,5)</f>
        <v>70.104510000000005</v>
      </c>
      <c r="C1587">
        <f>+ROUND(Get_Data!C1586,5)</f>
        <v>32.886580000000002</v>
      </c>
      <c r="D1587" s="4">
        <f t="shared" si="25"/>
        <v>2.1317056987987195</v>
      </c>
    </row>
    <row r="1588" spans="1:4">
      <c r="A1588" s="2">
        <f>+Get_Data!A1587</f>
        <v>41746</v>
      </c>
      <c r="B1588">
        <f>+ROUND(Get_Data!B1587,5)</f>
        <v>70.749589999999998</v>
      </c>
      <c r="C1588">
        <f>+ROUND(Get_Data!C1587,5)</f>
        <v>32.991909999999997</v>
      </c>
      <c r="D1588" s="4">
        <f t="shared" si="25"/>
        <v>2.1444526855219963</v>
      </c>
    </row>
    <row r="1589" spans="1:4">
      <c r="A1589" s="2">
        <f>+Get_Data!A1588</f>
        <v>41750</v>
      </c>
      <c r="B1589">
        <f>+ROUND(Get_Data!B1588,5)</f>
        <v>71.047290000000004</v>
      </c>
      <c r="C1589">
        <f>+ROUND(Get_Data!C1588,5)</f>
        <v>33.016210000000001</v>
      </c>
      <c r="D1589" s="4">
        <f t="shared" si="25"/>
        <v>2.1518911468033428</v>
      </c>
    </row>
    <row r="1590" spans="1:4">
      <c r="A1590" s="2">
        <f>+Get_Data!A1589</f>
        <v>41751</v>
      </c>
      <c r="B1590">
        <f>+ROUND(Get_Data!B1589,5)</f>
        <v>70.410510000000002</v>
      </c>
      <c r="C1590">
        <f>+ROUND(Get_Data!C1589,5)</f>
        <v>32.983800000000002</v>
      </c>
      <c r="D1590" s="4">
        <f t="shared" si="25"/>
        <v>2.1346997617011989</v>
      </c>
    </row>
    <row r="1591" spans="1:4">
      <c r="A1591" s="2">
        <f>+Get_Data!A1590</f>
        <v>41752</v>
      </c>
      <c r="B1591">
        <f>+ROUND(Get_Data!B1590,5)</f>
        <v>70.633799999999994</v>
      </c>
      <c r="C1591">
        <f>+ROUND(Get_Data!C1590,5)</f>
        <v>33</v>
      </c>
      <c r="D1591" s="4">
        <f t="shared" si="25"/>
        <v>2.1404181818181818</v>
      </c>
    </row>
    <row r="1592" spans="1:4">
      <c r="A1592" s="2">
        <f>+Get_Data!A1591</f>
        <v>41753</v>
      </c>
      <c r="B1592">
        <f>+ROUND(Get_Data!B1591,5)</f>
        <v>70.724779999999996</v>
      </c>
      <c r="C1592">
        <f>+ROUND(Get_Data!C1591,5)</f>
        <v>32.975709999999999</v>
      </c>
      <c r="D1592" s="4">
        <f t="shared" si="25"/>
        <v>2.1447538203119811</v>
      </c>
    </row>
    <row r="1593" spans="1:4">
      <c r="A1593" s="2">
        <f>+Get_Data!A1592</f>
        <v>41754</v>
      </c>
      <c r="B1593">
        <f>+ROUND(Get_Data!B1592,5)</f>
        <v>70.501469999999998</v>
      </c>
      <c r="C1593">
        <f>+ROUND(Get_Data!C1592,5)</f>
        <v>33.226869999999998</v>
      </c>
      <c r="D1593" s="4">
        <f t="shared" si="25"/>
        <v>2.1218209840409283</v>
      </c>
    </row>
    <row r="1594" spans="1:4">
      <c r="A1594" s="2">
        <f>+Get_Data!A1593</f>
        <v>41757</v>
      </c>
      <c r="B1594">
        <f>+ROUND(Get_Data!B1593,5)</f>
        <v>71.799869999999999</v>
      </c>
      <c r="C1594">
        <f>+ROUND(Get_Data!C1593,5)</f>
        <v>33.243079999999999</v>
      </c>
      <c r="D1594" s="4">
        <f t="shared" si="25"/>
        <v>2.1598440938685584</v>
      </c>
    </row>
    <row r="1595" spans="1:4">
      <c r="A1595" s="2">
        <f>+Get_Data!A1594</f>
        <v>41758</v>
      </c>
      <c r="B1595">
        <f>+ROUND(Get_Data!B1594,5)</f>
        <v>70.923259999999999</v>
      </c>
      <c r="C1595">
        <f>+ROUND(Get_Data!C1594,5)</f>
        <v>32.870370000000001</v>
      </c>
      <c r="D1595" s="4">
        <f t="shared" si="25"/>
        <v>2.15766539895961</v>
      </c>
    </row>
    <row r="1596" spans="1:4">
      <c r="A1596" s="2">
        <f>+Get_Data!A1595</f>
        <v>41759</v>
      </c>
      <c r="B1596">
        <f>+ROUND(Get_Data!B1595,5)</f>
        <v>71.030749999999998</v>
      </c>
      <c r="C1596">
        <f>+ROUND(Get_Data!C1595,5)</f>
        <v>33.048609999999996</v>
      </c>
      <c r="D1596" s="4">
        <f t="shared" si="25"/>
        <v>2.1492810136341589</v>
      </c>
    </row>
    <row r="1597" spans="1:4">
      <c r="A1597" s="2">
        <f>+Get_Data!A1596</f>
        <v>41760</v>
      </c>
      <c r="B1597">
        <f>+ROUND(Get_Data!B1596,5)</f>
        <v>70.766120000000001</v>
      </c>
      <c r="C1597">
        <f>+ROUND(Get_Data!C1596,5)</f>
        <v>33.040509999999998</v>
      </c>
      <c r="D1597" s="4">
        <f t="shared" si="25"/>
        <v>2.1417986586768789</v>
      </c>
    </row>
    <row r="1598" spans="1:4">
      <c r="A1598" s="2">
        <f>+Get_Data!A1597</f>
        <v>41761</v>
      </c>
      <c r="B1598">
        <f>+ROUND(Get_Data!B1597,5)</f>
        <v>70.724779999999996</v>
      </c>
      <c r="C1598">
        <f>+ROUND(Get_Data!C1597,5)</f>
        <v>33.178260000000002</v>
      </c>
      <c r="D1598" s="4">
        <f t="shared" si="25"/>
        <v>2.1316603100946221</v>
      </c>
    </row>
    <row r="1599" spans="1:4">
      <c r="A1599" s="2">
        <f>+Get_Data!A1598</f>
        <v>41764</v>
      </c>
      <c r="B1599">
        <f>+ROUND(Get_Data!B1598,5)</f>
        <v>71.047290000000004</v>
      </c>
      <c r="C1599">
        <f>+ROUND(Get_Data!C1598,5)</f>
        <v>33.02431</v>
      </c>
      <c r="D1599" s="4">
        <f t="shared" si="25"/>
        <v>2.1513633441546545</v>
      </c>
    </row>
    <row r="1600" spans="1:4">
      <c r="A1600" s="2">
        <f>+Get_Data!A1599</f>
        <v>41765</v>
      </c>
      <c r="B1600">
        <f>+ROUND(Get_Data!B1599,5)</f>
        <v>70.600710000000007</v>
      </c>
      <c r="C1600">
        <f>+ROUND(Get_Data!C1599,5)</f>
        <v>32.80556</v>
      </c>
      <c r="D1600" s="4">
        <f t="shared" si="25"/>
        <v>2.1520958642376478</v>
      </c>
    </row>
    <row r="1601" spans="1:4">
      <c r="A1601" s="2">
        <f>+Get_Data!A1600</f>
        <v>41766</v>
      </c>
      <c r="B1601">
        <f>+ROUND(Get_Data!B1600,5)</f>
        <v>71.783320000000003</v>
      </c>
      <c r="C1601">
        <f>+ROUND(Get_Data!C1600,5)</f>
        <v>33.145850000000003</v>
      </c>
      <c r="D1601" s="4">
        <f t="shared" si="25"/>
        <v>2.1656804698024037</v>
      </c>
    </row>
    <row r="1602" spans="1:4">
      <c r="A1602" s="2">
        <f>+Get_Data!A1601</f>
        <v>41767</v>
      </c>
      <c r="B1602">
        <f>+ROUND(Get_Data!B1601,5)</f>
        <v>71.667559999999995</v>
      </c>
      <c r="C1602">
        <f>+ROUND(Get_Data!C1601,5)</f>
        <v>33</v>
      </c>
      <c r="D1602" s="4">
        <f t="shared" si="25"/>
        <v>2.1717442424242424</v>
      </c>
    </row>
    <row r="1603" spans="1:4">
      <c r="A1603" s="2">
        <f>+Get_Data!A1602</f>
        <v>41768</v>
      </c>
      <c r="B1603">
        <f>+ROUND(Get_Data!B1602,5)</f>
        <v>72.089290000000005</v>
      </c>
      <c r="C1603">
        <f>+ROUND(Get_Data!C1602,5)</f>
        <v>33.113439999999997</v>
      </c>
      <c r="D1603" s="4">
        <f t="shared" si="25"/>
        <v>2.1770401987833341</v>
      </c>
    </row>
    <row r="1604" spans="1:4">
      <c r="A1604" s="2">
        <f>+Get_Data!A1603</f>
        <v>41771</v>
      </c>
      <c r="B1604">
        <f>+ROUND(Get_Data!B1603,5)</f>
        <v>71.890839999999997</v>
      </c>
      <c r="C1604">
        <f>+ROUND(Get_Data!C1603,5)</f>
        <v>33.072920000000003</v>
      </c>
      <c r="D1604" s="4">
        <f t="shared" ref="D1604:D1667" si="26">IFERROR(B1604/C1604,"")</f>
        <v>2.1737070691066886</v>
      </c>
    </row>
    <row r="1605" spans="1:4">
      <c r="A1605" s="2">
        <f>+Get_Data!A1604</f>
        <v>41772</v>
      </c>
      <c r="B1605">
        <f>+ROUND(Get_Data!B1604,5)</f>
        <v>72.138930000000002</v>
      </c>
      <c r="C1605">
        <f>+ROUND(Get_Data!C1604,5)</f>
        <v>33.307879999999997</v>
      </c>
      <c r="D1605" s="4">
        <f t="shared" si="26"/>
        <v>2.1658217214665121</v>
      </c>
    </row>
    <row r="1606" spans="1:4">
      <c r="A1606" s="2">
        <f>+Get_Data!A1605</f>
        <v>41773</v>
      </c>
      <c r="B1606">
        <f>+ROUND(Get_Data!B1605,5)</f>
        <v>71.816389999999998</v>
      </c>
      <c r="C1606">
        <f>+ROUND(Get_Data!C1605,5)</f>
        <v>33.129649999999998</v>
      </c>
      <c r="D1606" s="4">
        <f t="shared" si="26"/>
        <v>2.1677376609774024</v>
      </c>
    </row>
    <row r="1607" spans="1:4">
      <c r="A1607" s="2">
        <f>+Get_Data!A1606</f>
        <v>41774</v>
      </c>
      <c r="B1607">
        <f>+ROUND(Get_Data!B1606,5)</f>
        <v>70.906700000000001</v>
      </c>
      <c r="C1607">
        <f>+ROUND(Get_Data!C1606,5)</f>
        <v>32.829859999999996</v>
      </c>
      <c r="D1607" s="4">
        <f t="shared" si="26"/>
        <v>2.1598234046687987</v>
      </c>
    </row>
    <row r="1608" spans="1:4">
      <c r="A1608" s="2">
        <f>+Get_Data!A1607</f>
        <v>41775</v>
      </c>
      <c r="B1608">
        <f>+ROUND(Get_Data!B1607,5)</f>
        <v>71.56832</v>
      </c>
      <c r="C1608">
        <f>+ROUND(Get_Data!C1607,5)</f>
        <v>33.129649999999998</v>
      </c>
      <c r="D1608" s="4">
        <f t="shared" si="26"/>
        <v>2.1602498064422657</v>
      </c>
    </row>
    <row r="1609" spans="1:4">
      <c r="A1609" s="2">
        <f>+Get_Data!A1608</f>
        <v>41778</v>
      </c>
      <c r="B1609">
        <f>+ROUND(Get_Data!B1608,5)</f>
        <v>71.204440000000005</v>
      </c>
      <c r="C1609">
        <f>+ROUND(Get_Data!C1608,5)</f>
        <v>32.983800000000002</v>
      </c>
      <c r="D1609" s="4">
        <f t="shared" si="26"/>
        <v>2.1587700628793529</v>
      </c>
    </row>
    <row r="1610" spans="1:4">
      <c r="A1610" s="2">
        <f>+Get_Data!A1609</f>
        <v>41779</v>
      </c>
      <c r="B1610">
        <f>+ROUND(Get_Data!B1609,5)</f>
        <v>70.83229</v>
      </c>
      <c r="C1610">
        <f>+ROUND(Get_Data!C1609,5)</f>
        <v>32.878480000000003</v>
      </c>
      <c r="D1610" s="4">
        <f t="shared" si="26"/>
        <v>2.1543663210708037</v>
      </c>
    </row>
    <row r="1611" spans="1:4">
      <c r="A1611" s="2">
        <f>+Get_Data!A1610</f>
        <v>41780</v>
      </c>
      <c r="B1611">
        <f>+ROUND(Get_Data!B1610,5)</f>
        <v>71.204440000000005</v>
      </c>
      <c r="C1611">
        <f>+ROUND(Get_Data!C1610,5)</f>
        <v>33.113439999999997</v>
      </c>
      <c r="D1611" s="4">
        <f t="shared" si="26"/>
        <v>2.1503184205567289</v>
      </c>
    </row>
    <row r="1612" spans="1:4">
      <c r="A1612" s="2">
        <f>+Get_Data!A1611</f>
        <v>41781</v>
      </c>
      <c r="B1612">
        <f>+ROUND(Get_Data!B1611,5)</f>
        <v>70.7744</v>
      </c>
      <c r="C1612">
        <f>+ROUND(Get_Data!C1611,5)</f>
        <v>32.878480000000003</v>
      </c>
      <c r="D1612" s="4">
        <f t="shared" si="26"/>
        <v>2.1526055949058471</v>
      </c>
    </row>
    <row r="1613" spans="1:4">
      <c r="A1613" s="2">
        <f>+Get_Data!A1612</f>
        <v>41782</v>
      </c>
      <c r="B1613">
        <f>+ROUND(Get_Data!B1612,5)</f>
        <v>70.98115</v>
      </c>
      <c r="C1613">
        <f>+ROUND(Get_Data!C1612,5)</f>
        <v>32.878480000000003</v>
      </c>
      <c r="D1613" s="4">
        <f t="shared" si="26"/>
        <v>2.1588939026378346</v>
      </c>
    </row>
    <row r="1614" spans="1:4">
      <c r="A1614" s="2">
        <f>+Get_Data!A1613</f>
        <v>41786</v>
      </c>
      <c r="B1614">
        <f>+ROUND(Get_Data!B1613,5)</f>
        <v>71.560040000000001</v>
      </c>
      <c r="C1614">
        <f>+ROUND(Get_Data!C1613,5)</f>
        <v>33.032420000000002</v>
      </c>
      <c r="D1614" s="4">
        <f t="shared" si="26"/>
        <v>2.1663577782069856</v>
      </c>
    </row>
    <row r="1615" spans="1:4">
      <c r="A1615" s="2">
        <f>+Get_Data!A1614</f>
        <v>41787</v>
      </c>
      <c r="B1615">
        <f>+ROUND(Get_Data!B1614,5)</f>
        <v>72.006609999999995</v>
      </c>
      <c r="C1615">
        <f>+ROUND(Get_Data!C1614,5)</f>
        <v>32.878480000000003</v>
      </c>
      <c r="D1615" s="4">
        <f t="shared" si="26"/>
        <v>2.1900833006878662</v>
      </c>
    </row>
    <row r="1616" spans="1:4">
      <c r="A1616" s="2">
        <f>+Get_Data!A1615</f>
        <v>41788</v>
      </c>
      <c r="B1616">
        <f>+ROUND(Get_Data!B1615,5)</f>
        <v>72.552430000000001</v>
      </c>
      <c r="C1616">
        <f>+ROUND(Get_Data!C1615,5)</f>
        <v>32.943289999999998</v>
      </c>
      <c r="D1616" s="4">
        <f t="shared" si="26"/>
        <v>2.2023431782314398</v>
      </c>
    </row>
    <row r="1617" spans="1:4">
      <c r="A1617" s="2">
        <f>+Get_Data!A1616</f>
        <v>41789</v>
      </c>
      <c r="B1617">
        <f>+ROUND(Get_Data!B1616,5)</f>
        <v>73.048630000000003</v>
      </c>
      <c r="C1617">
        <f>+ROUND(Get_Data!C1616,5)</f>
        <v>33.145850000000003</v>
      </c>
      <c r="D1617" s="4">
        <f t="shared" si="26"/>
        <v>2.2038544795200603</v>
      </c>
    </row>
    <row r="1618" spans="1:4">
      <c r="A1618" s="2">
        <f>+Get_Data!A1617</f>
        <v>41792</v>
      </c>
      <c r="B1618">
        <f>+ROUND(Get_Data!B1617,5)</f>
        <v>72.668210000000002</v>
      </c>
      <c r="C1618">
        <f>+ROUND(Get_Data!C1617,5)</f>
        <v>33.105339999999998</v>
      </c>
      <c r="D1618" s="4">
        <f t="shared" si="26"/>
        <v>2.1950600718796425</v>
      </c>
    </row>
    <row r="1619" spans="1:4">
      <c r="A1619" s="2">
        <f>+Get_Data!A1618</f>
        <v>41793</v>
      </c>
      <c r="B1619">
        <f>+ROUND(Get_Data!B1618,5)</f>
        <v>72.957660000000004</v>
      </c>
      <c r="C1619">
        <f>+ROUND(Get_Data!C1618,5)</f>
        <v>33.12153</v>
      </c>
      <c r="D1619" s="4">
        <f t="shared" si="26"/>
        <v>2.2027261421800262</v>
      </c>
    </row>
    <row r="1620" spans="1:4">
      <c r="A1620" s="2">
        <f>+Get_Data!A1619</f>
        <v>41794</v>
      </c>
      <c r="B1620">
        <f>+ROUND(Get_Data!B1619,5)</f>
        <v>72.845169999999996</v>
      </c>
      <c r="C1620">
        <f>+ROUND(Get_Data!C1619,5)</f>
        <v>33.048609999999996</v>
      </c>
      <c r="D1620" s="4">
        <f t="shared" si="26"/>
        <v>2.2041825662259322</v>
      </c>
    </row>
    <row r="1621" spans="1:4">
      <c r="A1621" s="2">
        <f>+Get_Data!A1620</f>
        <v>41795</v>
      </c>
      <c r="B1621">
        <f>+ROUND(Get_Data!B1620,5)</f>
        <v>73.12012</v>
      </c>
      <c r="C1621">
        <f>+ROUND(Get_Data!C1620,5)</f>
        <v>33.129649999999998</v>
      </c>
      <c r="D1621" s="4">
        <f t="shared" si="26"/>
        <v>2.2070900235891417</v>
      </c>
    </row>
    <row r="1622" spans="1:4">
      <c r="A1622" s="2">
        <f>+Get_Data!A1621</f>
        <v>41796</v>
      </c>
      <c r="B1622">
        <f>+ROUND(Get_Data!B1621,5)</f>
        <v>73.245109999999997</v>
      </c>
      <c r="C1622">
        <f>+ROUND(Get_Data!C1621,5)</f>
        <v>33.21067</v>
      </c>
      <c r="D1622" s="4">
        <f t="shared" si="26"/>
        <v>2.2054692061316437</v>
      </c>
    </row>
    <row r="1623" spans="1:4">
      <c r="A1623" s="2">
        <f>+Get_Data!A1622</f>
        <v>41799</v>
      </c>
      <c r="B1623">
        <f>+ROUND(Get_Data!B1622,5)</f>
        <v>73.32011</v>
      </c>
      <c r="C1623">
        <f>+ROUND(Get_Data!C1622,5)</f>
        <v>33.145850000000003</v>
      </c>
      <c r="D1623" s="4">
        <f t="shared" si="26"/>
        <v>2.212044946803295</v>
      </c>
    </row>
    <row r="1624" spans="1:4">
      <c r="A1624" s="2">
        <f>+Get_Data!A1623</f>
        <v>41800</v>
      </c>
      <c r="B1624">
        <f>+ROUND(Get_Data!B1623,5)</f>
        <v>73.670010000000005</v>
      </c>
      <c r="C1624">
        <f>+ROUND(Get_Data!C1623,5)</f>
        <v>33.275469999999999</v>
      </c>
      <c r="D1624" s="4">
        <f t="shared" si="26"/>
        <v>2.2139434844947345</v>
      </c>
    </row>
    <row r="1625" spans="1:4">
      <c r="A1625" s="2">
        <f>+Get_Data!A1624</f>
        <v>41801</v>
      </c>
      <c r="B1625">
        <f>+ROUND(Get_Data!B1624,5)</f>
        <v>73.136799999999994</v>
      </c>
      <c r="C1625">
        <f>+ROUND(Get_Data!C1624,5)</f>
        <v>33.105339999999998</v>
      </c>
      <c r="D1625" s="4">
        <f t="shared" si="26"/>
        <v>2.2092145859248085</v>
      </c>
    </row>
    <row r="1626" spans="1:4">
      <c r="A1626" s="2">
        <f>+Get_Data!A1625</f>
        <v>41802</v>
      </c>
      <c r="B1626">
        <f>+ROUND(Get_Data!B1625,5)</f>
        <v>72.670199999999994</v>
      </c>
      <c r="C1626">
        <f>+ROUND(Get_Data!C1625,5)</f>
        <v>32.99512</v>
      </c>
      <c r="D1626" s="4">
        <f t="shared" si="26"/>
        <v>2.2024529688026591</v>
      </c>
    </row>
    <row r="1627" spans="1:4">
      <c r="A1627" s="2">
        <f>+Get_Data!A1626</f>
        <v>41803</v>
      </c>
      <c r="B1627">
        <f>+ROUND(Get_Data!B1626,5)</f>
        <v>72.645219999999995</v>
      </c>
      <c r="C1627">
        <f>+ROUND(Get_Data!C1626,5)</f>
        <v>32.954320000000003</v>
      </c>
      <c r="D1627" s="4">
        <f t="shared" si="26"/>
        <v>2.2044217571474691</v>
      </c>
    </row>
    <row r="1628" spans="1:4">
      <c r="A1628" s="2">
        <f>+Get_Data!A1627</f>
        <v>41806</v>
      </c>
      <c r="B1628">
        <f>+ROUND(Get_Data!B1627,5)</f>
        <v>72.945189999999997</v>
      </c>
      <c r="C1628">
        <f>+ROUND(Get_Data!C1627,5)</f>
        <v>33.191040000000001</v>
      </c>
      <c r="D1628" s="4">
        <f t="shared" si="26"/>
        <v>2.1977374014191779</v>
      </c>
    </row>
    <row r="1629" spans="1:4">
      <c r="A1629" s="2">
        <f>+Get_Data!A1628</f>
        <v>41807</v>
      </c>
      <c r="B1629">
        <f>+ROUND(Get_Data!B1628,5)</f>
        <v>72.720209999999994</v>
      </c>
      <c r="C1629">
        <f>+ROUND(Get_Data!C1628,5)</f>
        <v>33.403289999999998</v>
      </c>
      <c r="D1629" s="4">
        <f t="shared" si="26"/>
        <v>2.1770373517099664</v>
      </c>
    </row>
    <row r="1630" spans="1:4">
      <c r="A1630" s="2">
        <f>+Get_Data!A1629</f>
        <v>41808</v>
      </c>
      <c r="B1630">
        <f>+ROUND(Get_Data!B1629,5)</f>
        <v>74.069950000000006</v>
      </c>
      <c r="C1630">
        <f>+ROUND(Get_Data!C1629,5)</f>
        <v>33.925719999999998</v>
      </c>
      <c r="D1630" s="4">
        <f t="shared" si="26"/>
        <v>2.1832978047334004</v>
      </c>
    </row>
    <row r="1631" spans="1:4">
      <c r="A1631" s="2">
        <f>+Get_Data!A1630</f>
        <v>41809</v>
      </c>
      <c r="B1631">
        <f>+ROUND(Get_Data!B1630,5)</f>
        <v>75.069760000000002</v>
      </c>
      <c r="C1631">
        <f>+ROUND(Get_Data!C1630,5)</f>
        <v>34.113489999999999</v>
      </c>
      <c r="D1631" s="4">
        <f t="shared" si="26"/>
        <v>2.2005886820726932</v>
      </c>
    </row>
    <row r="1632" spans="1:4">
      <c r="A1632" s="2">
        <f>+Get_Data!A1631</f>
        <v>41810</v>
      </c>
      <c r="B1632">
        <f>+ROUND(Get_Data!B1631,5)</f>
        <v>74.236599999999996</v>
      </c>
      <c r="C1632">
        <f>+ROUND(Get_Data!C1631,5)</f>
        <v>34.031840000000003</v>
      </c>
      <c r="D1632" s="4">
        <f t="shared" si="26"/>
        <v>2.1813866073653374</v>
      </c>
    </row>
    <row r="1633" spans="1:4">
      <c r="A1633" s="2">
        <f>+Get_Data!A1632</f>
        <v>41813</v>
      </c>
      <c r="B1633">
        <f>+ROUND(Get_Data!B1632,5)</f>
        <v>73.645039999999995</v>
      </c>
      <c r="C1633">
        <f>+ROUND(Get_Data!C1632,5)</f>
        <v>34.064489999999999</v>
      </c>
      <c r="D1633" s="4">
        <f t="shared" si="26"/>
        <v>2.1619299158742726</v>
      </c>
    </row>
    <row r="1634" spans="1:4">
      <c r="A1634" s="2">
        <f>+Get_Data!A1633</f>
        <v>41814</v>
      </c>
      <c r="B1634">
        <f>+ROUND(Get_Data!B1633,5)</f>
        <v>73.361739999999998</v>
      </c>
      <c r="C1634">
        <f>+ROUND(Get_Data!C1633,5)</f>
        <v>34.162439999999997</v>
      </c>
      <c r="D1634" s="4">
        <f t="shared" si="26"/>
        <v>2.1474385319081426</v>
      </c>
    </row>
    <row r="1635" spans="1:4">
      <c r="A1635" s="2">
        <f>+Get_Data!A1634</f>
        <v>41815</v>
      </c>
      <c r="B1635">
        <f>+ROUND(Get_Data!B1634,5)</f>
        <v>73.803349999999995</v>
      </c>
      <c r="C1635">
        <f>+ROUND(Get_Data!C1634,5)</f>
        <v>34.252249999999997</v>
      </c>
      <c r="D1635" s="4">
        <f t="shared" si="26"/>
        <v>2.1547007860797467</v>
      </c>
    </row>
    <row r="1636" spans="1:4">
      <c r="A1636" s="2">
        <f>+Get_Data!A1635</f>
        <v>41816</v>
      </c>
      <c r="B1636">
        <f>+ROUND(Get_Data!B1635,5)</f>
        <v>73.828320000000005</v>
      </c>
      <c r="C1636">
        <f>+ROUND(Get_Data!C1635,5)</f>
        <v>34.30939</v>
      </c>
      <c r="D1636" s="4">
        <f t="shared" si="26"/>
        <v>2.15184006477527</v>
      </c>
    </row>
    <row r="1637" spans="1:4">
      <c r="A1637" s="2">
        <f>+Get_Data!A1636</f>
        <v>41817</v>
      </c>
      <c r="B1637">
        <f>+ROUND(Get_Data!B1636,5)</f>
        <v>73.953320000000005</v>
      </c>
      <c r="C1637">
        <f>+ROUND(Get_Data!C1636,5)</f>
        <v>34.439990000000002</v>
      </c>
      <c r="D1637" s="4">
        <f t="shared" si="26"/>
        <v>2.1473095665823365</v>
      </c>
    </row>
    <row r="1638" spans="1:4">
      <c r="A1638" s="2">
        <f>+Get_Data!A1637</f>
        <v>41820</v>
      </c>
      <c r="B1638">
        <f>+ROUND(Get_Data!B1637,5)</f>
        <v>74.436549999999997</v>
      </c>
      <c r="C1638">
        <f>+ROUND(Get_Data!C1637,5)</f>
        <v>34.578780000000002</v>
      </c>
      <c r="D1638" s="4">
        <f t="shared" si="26"/>
        <v>2.1526655943327091</v>
      </c>
    </row>
    <row r="1639" spans="1:4">
      <c r="A1639" s="2">
        <f>+Get_Data!A1638</f>
        <v>41821</v>
      </c>
      <c r="B1639">
        <f>+ROUND(Get_Data!B1638,5)</f>
        <v>74.261610000000005</v>
      </c>
      <c r="C1639">
        <f>+ROUND(Get_Data!C1638,5)</f>
        <v>34.521639999999998</v>
      </c>
      <c r="D1639" s="4">
        <f t="shared" si="26"/>
        <v>2.1511611267599107</v>
      </c>
    </row>
    <row r="1640" spans="1:4">
      <c r="A1640" s="2">
        <f>+Get_Data!A1639</f>
        <v>41822</v>
      </c>
      <c r="B1640">
        <f>+ROUND(Get_Data!B1639,5)</f>
        <v>74.711519999999993</v>
      </c>
      <c r="C1640">
        <f>+ROUND(Get_Data!C1639,5)</f>
        <v>34.521639999999998</v>
      </c>
      <c r="D1640" s="4">
        <f t="shared" si="26"/>
        <v>2.1641938216145005</v>
      </c>
    </row>
    <row r="1641" spans="1:4">
      <c r="A1641" s="2">
        <f>+Get_Data!A1640</f>
        <v>41823</v>
      </c>
      <c r="B1641">
        <f>+ROUND(Get_Data!B1640,5)</f>
        <v>75.003140000000002</v>
      </c>
      <c r="C1641">
        <f>+ROUND(Get_Data!C1640,5)</f>
        <v>34.472650000000002</v>
      </c>
      <c r="D1641" s="4">
        <f t="shared" si="26"/>
        <v>2.1757288749196828</v>
      </c>
    </row>
    <row r="1642" spans="1:4">
      <c r="A1642" s="2">
        <f>+Get_Data!A1641</f>
        <v>41827</v>
      </c>
      <c r="B1642">
        <f>+ROUND(Get_Data!B1641,5)</f>
        <v>74.869810000000001</v>
      </c>
      <c r="C1642">
        <f>+ROUND(Get_Data!C1641,5)</f>
        <v>34.399169999999998</v>
      </c>
      <c r="D1642" s="4">
        <f t="shared" si="26"/>
        <v>2.1765004795173839</v>
      </c>
    </row>
    <row r="1643" spans="1:4">
      <c r="A1643" s="2">
        <f>+Get_Data!A1642</f>
        <v>41828</v>
      </c>
      <c r="B1643">
        <f>+ROUND(Get_Data!B1642,5)</f>
        <v>74.761499999999998</v>
      </c>
      <c r="C1643">
        <f>+ROUND(Get_Data!C1642,5)</f>
        <v>34.235930000000003</v>
      </c>
      <c r="D1643" s="4">
        <f t="shared" si="26"/>
        <v>2.1837145945794374</v>
      </c>
    </row>
    <row r="1644" spans="1:4">
      <c r="A1644" s="2">
        <f>+Get_Data!A1643</f>
        <v>41829</v>
      </c>
      <c r="B1644">
        <f>+ROUND(Get_Data!B1643,5)</f>
        <v>74.794820000000001</v>
      </c>
      <c r="C1644">
        <f>+ROUND(Get_Data!C1643,5)</f>
        <v>34.244079999999997</v>
      </c>
      <c r="D1644" s="4">
        <f t="shared" si="26"/>
        <v>2.1841678912092255</v>
      </c>
    </row>
    <row r="1645" spans="1:4">
      <c r="A1645" s="2">
        <f>+Get_Data!A1644</f>
        <v>41830</v>
      </c>
      <c r="B1645">
        <f>+ROUND(Get_Data!B1644,5)</f>
        <v>75.069760000000002</v>
      </c>
      <c r="C1645">
        <f>+ROUND(Get_Data!C1644,5)</f>
        <v>34.497140000000002</v>
      </c>
      <c r="D1645" s="4">
        <f t="shared" si="26"/>
        <v>2.1761154692823812</v>
      </c>
    </row>
    <row r="1646" spans="1:4">
      <c r="A1646" s="2">
        <f>+Get_Data!A1645</f>
        <v>41831</v>
      </c>
      <c r="B1646">
        <f>+ROUND(Get_Data!B1645,5)</f>
        <v>74.861490000000003</v>
      </c>
      <c r="C1646">
        <f>+ROUND(Get_Data!C1645,5)</f>
        <v>34.260399999999997</v>
      </c>
      <c r="D1646" s="4">
        <f t="shared" si="26"/>
        <v>2.185073437554728</v>
      </c>
    </row>
    <row r="1647" spans="1:4">
      <c r="A1647" s="2">
        <f>+Get_Data!A1646</f>
        <v>41834</v>
      </c>
      <c r="B1647">
        <f>+ROUND(Get_Data!B1646,5)</f>
        <v>75.886290000000002</v>
      </c>
      <c r="C1647">
        <f>+ROUND(Get_Data!C1646,5)</f>
        <v>34.595089999999999</v>
      </c>
      <c r="D1647" s="4">
        <f t="shared" si="26"/>
        <v>2.1935566578956727</v>
      </c>
    </row>
    <row r="1648" spans="1:4">
      <c r="A1648" s="2">
        <f>+Get_Data!A1647</f>
        <v>41835</v>
      </c>
      <c r="B1648">
        <f>+ROUND(Get_Data!B1647,5)</f>
        <v>75.269739999999999</v>
      </c>
      <c r="C1648">
        <f>+ROUND(Get_Data!C1647,5)</f>
        <v>34.366529999999997</v>
      </c>
      <c r="D1648" s="4">
        <f t="shared" si="26"/>
        <v>2.1902048301065018</v>
      </c>
    </row>
    <row r="1649" spans="1:4">
      <c r="A1649" s="2">
        <f>+Get_Data!A1648</f>
        <v>41836</v>
      </c>
      <c r="B1649">
        <f>+ROUND(Get_Data!B1648,5)</f>
        <v>75.403040000000004</v>
      </c>
      <c r="C1649">
        <f>+ROUND(Get_Data!C1648,5)</f>
        <v>34.382849999999998</v>
      </c>
      <c r="D1649" s="4">
        <f t="shared" si="26"/>
        <v>2.1930421707333747</v>
      </c>
    </row>
    <row r="1650" spans="1:4">
      <c r="A1650" s="2">
        <f>+Get_Data!A1649</f>
        <v>41837</v>
      </c>
      <c r="B1650">
        <f>+ROUND(Get_Data!B1649,5)</f>
        <v>74.978129999999993</v>
      </c>
      <c r="C1650">
        <f>+ROUND(Get_Data!C1649,5)</f>
        <v>34.301229999999997</v>
      </c>
      <c r="D1650" s="4">
        <f t="shared" si="26"/>
        <v>2.1858729264227552</v>
      </c>
    </row>
    <row r="1651" spans="1:4">
      <c r="A1651" s="2">
        <f>+Get_Data!A1650</f>
        <v>41838</v>
      </c>
      <c r="B1651">
        <f>+ROUND(Get_Data!B1650,5)</f>
        <v>75.061430000000001</v>
      </c>
      <c r="C1651">
        <f>+ROUND(Get_Data!C1650,5)</f>
        <v>34.635910000000003</v>
      </c>
      <c r="D1651" s="4">
        <f t="shared" si="26"/>
        <v>2.1671562837529024</v>
      </c>
    </row>
    <row r="1652" spans="1:4">
      <c r="A1652" s="2">
        <f>+Get_Data!A1651</f>
        <v>41841</v>
      </c>
      <c r="B1652">
        <f>+ROUND(Get_Data!B1651,5)</f>
        <v>74.911450000000002</v>
      </c>
      <c r="C1652">
        <f>+ROUND(Get_Data!C1651,5)</f>
        <v>34.611429999999999</v>
      </c>
      <c r="D1652" s="4">
        <f t="shared" si="26"/>
        <v>2.1643558211839271</v>
      </c>
    </row>
    <row r="1653" spans="1:4">
      <c r="A1653" s="2">
        <f>+Get_Data!A1652</f>
        <v>41842</v>
      </c>
      <c r="B1653">
        <f>+ROUND(Get_Data!B1652,5)</f>
        <v>74.294899999999998</v>
      </c>
      <c r="C1653">
        <f>+ROUND(Get_Data!C1652,5)</f>
        <v>33.623690000000003</v>
      </c>
      <c r="D1653" s="4">
        <f t="shared" si="26"/>
        <v>2.2095998386851647</v>
      </c>
    </row>
    <row r="1654" spans="1:4">
      <c r="A1654" s="2">
        <f>+Get_Data!A1653</f>
        <v>41843</v>
      </c>
      <c r="B1654">
        <f>+ROUND(Get_Data!B1653,5)</f>
        <v>75.669650000000004</v>
      </c>
      <c r="C1654">
        <f>+ROUND(Get_Data!C1653,5)</f>
        <v>33.313499999999998</v>
      </c>
      <c r="D1654" s="4">
        <f t="shared" si="26"/>
        <v>2.2714410073994031</v>
      </c>
    </row>
    <row r="1655" spans="1:4">
      <c r="A1655" s="2">
        <f>+Get_Data!A1654</f>
        <v>41844</v>
      </c>
      <c r="B1655">
        <f>+ROUND(Get_Data!B1654,5)</f>
        <v>76.577839999999995</v>
      </c>
      <c r="C1655">
        <f>+ROUND(Get_Data!C1654,5)</f>
        <v>33.444110000000002</v>
      </c>
      <c r="D1655" s="4">
        <f t="shared" si="26"/>
        <v>2.289725754400401</v>
      </c>
    </row>
    <row r="1656" spans="1:4">
      <c r="A1656" s="2">
        <f>+Get_Data!A1655</f>
        <v>41845</v>
      </c>
      <c r="B1656">
        <f>+ROUND(Get_Data!B1655,5)</f>
        <v>76.277919999999995</v>
      </c>
      <c r="C1656">
        <f>+ROUND(Get_Data!C1655,5)</f>
        <v>33.468589999999999</v>
      </c>
      <c r="D1656" s="4">
        <f t="shared" si="26"/>
        <v>2.2790897375718546</v>
      </c>
    </row>
    <row r="1657" spans="1:4">
      <c r="A1657" s="2">
        <f>+Get_Data!A1656</f>
        <v>41848</v>
      </c>
      <c r="B1657">
        <f>+ROUND(Get_Data!B1656,5)</f>
        <v>75.794650000000004</v>
      </c>
      <c r="C1657">
        <f>+ROUND(Get_Data!C1656,5)</f>
        <v>33.207369999999997</v>
      </c>
      <c r="D1657" s="4">
        <f t="shared" si="26"/>
        <v>2.2824647058770391</v>
      </c>
    </row>
    <row r="1658" spans="1:4">
      <c r="A1658" s="2">
        <f>+Get_Data!A1657</f>
        <v>41849</v>
      </c>
      <c r="B1658">
        <f>+ROUND(Get_Data!B1657,5)</f>
        <v>75.103099999999998</v>
      </c>
      <c r="C1658">
        <f>+ROUND(Get_Data!C1657,5)</f>
        <v>32.937980000000003</v>
      </c>
      <c r="D1658" s="4">
        <f t="shared" si="26"/>
        <v>2.2801367904164125</v>
      </c>
    </row>
    <row r="1659" spans="1:4">
      <c r="A1659" s="2">
        <f>+Get_Data!A1658</f>
        <v>41850</v>
      </c>
      <c r="B1659">
        <f>+ROUND(Get_Data!B1658,5)</f>
        <v>74.078289999999996</v>
      </c>
      <c r="C1659">
        <f>+ROUND(Get_Data!C1658,5)</f>
        <v>32.342089999999999</v>
      </c>
      <c r="D1659" s="4">
        <f t="shared" si="26"/>
        <v>2.2904608205592156</v>
      </c>
    </row>
    <row r="1660" spans="1:4">
      <c r="A1660" s="2">
        <f>+Get_Data!A1659</f>
        <v>41851</v>
      </c>
      <c r="B1660">
        <f>+ROUND(Get_Data!B1659,5)</f>
        <v>73.403419999999997</v>
      </c>
      <c r="C1660">
        <f>+ROUND(Get_Data!C1659,5)</f>
        <v>32.072719999999997</v>
      </c>
      <c r="D1660" s="4">
        <f t="shared" si="26"/>
        <v>2.2886559044571215</v>
      </c>
    </row>
    <row r="1661" spans="1:4">
      <c r="A1661" s="2">
        <f>+Get_Data!A1660</f>
        <v>41852</v>
      </c>
      <c r="B1661">
        <f>+ROUND(Get_Data!B1660,5)</f>
        <v>73.411739999999995</v>
      </c>
      <c r="C1661">
        <f>+ROUND(Get_Data!C1660,5)</f>
        <v>32.072719999999997</v>
      </c>
      <c r="D1661" s="4">
        <f t="shared" si="26"/>
        <v>2.2889153149467836</v>
      </c>
    </row>
    <row r="1662" spans="1:4">
      <c r="A1662" s="2">
        <f>+Get_Data!A1661</f>
        <v>41855</v>
      </c>
      <c r="B1662">
        <f>+ROUND(Get_Data!B1661,5)</f>
        <v>74.728170000000006</v>
      </c>
      <c r="C1662">
        <f>+ROUND(Get_Data!C1661,5)</f>
        <v>32.162509999999997</v>
      </c>
      <c r="D1662" s="4">
        <f t="shared" si="26"/>
        <v>2.3234557874991726</v>
      </c>
    </row>
    <row r="1663" spans="1:4">
      <c r="A1663" s="2">
        <f>+Get_Data!A1662</f>
        <v>41856</v>
      </c>
      <c r="B1663">
        <f>+ROUND(Get_Data!B1662,5)</f>
        <v>74.319909999999993</v>
      </c>
      <c r="C1663">
        <f>+ROUND(Get_Data!C1662,5)</f>
        <v>31.98292</v>
      </c>
      <c r="D1663" s="4">
        <f t="shared" si="26"/>
        <v>2.3237374823812207</v>
      </c>
    </row>
    <row r="1664" spans="1:4">
      <c r="A1664" s="2">
        <f>+Get_Data!A1663</f>
        <v>41857</v>
      </c>
      <c r="B1664">
        <f>+ROUND(Get_Data!B1663,5)</f>
        <v>75.4114</v>
      </c>
      <c r="C1664">
        <f>+ROUND(Get_Data!C1663,5)</f>
        <v>32.586979999999997</v>
      </c>
      <c r="D1664" s="4">
        <f t="shared" si="26"/>
        <v>2.314157372054729</v>
      </c>
    </row>
    <row r="1665" spans="1:4">
      <c r="A1665" s="2">
        <f>+Get_Data!A1664</f>
        <v>41858</v>
      </c>
      <c r="B1665">
        <f>+ROUND(Get_Data!B1664,5)</f>
        <v>74.90316</v>
      </c>
      <c r="C1665">
        <f>+ROUND(Get_Data!C1664,5)</f>
        <v>32.121679999999998</v>
      </c>
      <c r="D1665" s="4">
        <f t="shared" si="26"/>
        <v>2.3318568642735999</v>
      </c>
    </row>
    <row r="1666" spans="1:4">
      <c r="A1666" s="2">
        <f>+Get_Data!A1665</f>
        <v>41859</v>
      </c>
      <c r="B1666">
        <f>+ROUND(Get_Data!B1665,5)</f>
        <v>75.228080000000006</v>
      </c>
      <c r="C1666">
        <f>+ROUND(Get_Data!C1665,5)</f>
        <v>32.203330000000001</v>
      </c>
      <c r="D1666" s="4">
        <f t="shared" si="26"/>
        <v>2.3360341927372108</v>
      </c>
    </row>
    <row r="1667" spans="1:4">
      <c r="A1667" s="2">
        <f>+Get_Data!A1666</f>
        <v>41862</v>
      </c>
      <c r="B1667">
        <f>+ROUND(Get_Data!B1666,5)</f>
        <v>76.477869999999996</v>
      </c>
      <c r="C1667">
        <f>+ROUND(Get_Data!C1666,5)</f>
        <v>32.301259999999999</v>
      </c>
      <c r="D1667" s="4">
        <f t="shared" si="26"/>
        <v>2.3676435532236204</v>
      </c>
    </row>
    <row r="1668" spans="1:4">
      <c r="A1668" s="2">
        <f>+Get_Data!A1667</f>
        <v>41863</v>
      </c>
      <c r="B1668">
        <f>+ROUND(Get_Data!B1667,5)</f>
        <v>75.994609999999994</v>
      </c>
      <c r="C1668">
        <f>+ROUND(Get_Data!C1667,5)</f>
        <v>32.391060000000003</v>
      </c>
      <c r="D1668" s="4">
        <f t="shared" ref="D1668:D1731" si="27">IFERROR(B1668/C1668,"")</f>
        <v>2.3461600206970683</v>
      </c>
    </row>
    <row r="1669" spans="1:4">
      <c r="A1669" s="2">
        <f>+Get_Data!A1668</f>
        <v>41864</v>
      </c>
      <c r="B1669">
        <f>+ROUND(Get_Data!B1668,5)</f>
        <v>76.436199999999999</v>
      </c>
      <c r="C1669">
        <f>+ROUND(Get_Data!C1668,5)</f>
        <v>32.603290000000001</v>
      </c>
      <c r="D1669" s="4">
        <f t="shared" si="27"/>
        <v>2.3444321109924795</v>
      </c>
    </row>
    <row r="1670" spans="1:4">
      <c r="A1670" s="2">
        <f>+Get_Data!A1669</f>
        <v>41865</v>
      </c>
      <c r="B1670">
        <f>+ROUND(Get_Data!B1669,5)</f>
        <v>76.477869999999996</v>
      </c>
      <c r="C1670">
        <f>+ROUND(Get_Data!C1669,5)</f>
        <v>32.799219999999998</v>
      </c>
      <c r="D1670" s="4">
        <f t="shared" si="27"/>
        <v>2.3316978269605193</v>
      </c>
    </row>
    <row r="1671" spans="1:4">
      <c r="A1671" s="2">
        <f>+Get_Data!A1670</f>
        <v>41866</v>
      </c>
      <c r="B1671">
        <f>+ROUND(Get_Data!B1670,5)</f>
        <v>76.527839999999998</v>
      </c>
      <c r="C1671">
        <f>+ROUND(Get_Data!C1670,5)</f>
        <v>33.370629999999998</v>
      </c>
      <c r="D1671" s="4">
        <f t="shared" si="27"/>
        <v>2.2932692610238403</v>
      </c>
    </row>
    <row r="1672" spans="1:4">
      <c r="A1672" s="2">
        <f>+Get_Data!A1671</f>
        <v>41869</v>
      </c>
      <c r="B1672">
        <f>+ROUND(Get_Data!B1671,5)</f>
        <v>76.777820000000006</v>
      </c>
      <c r="C1672">
        <f>+ROUND(Get_Data!C1671,5)</f>
        <v>33.754300000000001</v>
      </c>
      <c r="D1672" s="4">
        <f t="shared" si="27"/>
        <v>2.2746085683898052</v>
      </c>
    </row>
    <row r="1673" spans="1:4">
      <c r="A1673" s="2">
        <f>+Get_Data!A1672</f>
        <v>41870</v>
      </c>
      <c r="B1673">
        <f>+ROUND(Get_Data!B1672,5)</f>
        <v>76.536190000000005</v>
      </c>
      <c r="C1673">
        <f>+ROUND(Get_Data!C1672,5)</f>
        <v>33.68083</v>
      </c>
      <c r="D1673" s="4">
        <f t="shared" si="27"/>
        <v>2.2723961968870721</v>
      </c>
    </row>
    <row r="1674" spans="1:4">
      <c r="A1674" s="2">
        <f>+Get_Data!A1673</f>
        <v>41871</v>
      </c>
      <c r="B1674">
        <f>+ROUND(Get_Data!B1673,5)</f>
        <v>76.844470000000001</v>
      </c>
      <c r="C1674">
        <f>+ROUND(Get_Data!C1673,5)</f>
        <v>33.672669999999997</v>
      </c>
      <c r="D1674" s="4">
        <f t="shared" si="27"/>
        <v>2.2821020726898107</v>
      </c>
    </row>
    <row r="1675" spans="1:4">
      <c r="A1675" s="2">
        <f>+Get_Data!A1674</f>
        <v>41872</v>
      </c>
      <c r="B1675">
        <f>+ROUND(Get_Data!B1674,5)</f>
        <v>76.694469999999995</v>
      </c>
      <c r="C1675">
        <f>+ROUND(Get_Data!C1674,5)</f>
        <v>33.803280000000001</v>
      </c>
      <c r="D1675" s="4">
        <f t="shared" si="27"/>
        <v>2.2688469876296025</v>
      </c>
    </row>
    <row r="1676" spans="1:4">
      <c r="A1676" s="2">
        <f>+Get_Data!A1675</f>
        <v>41873</v>
      </c>
      <c r="B1676">
        <f>+ROUND(Get_Data!B1675,5)</f>
        <v>76.319540000000003</v>
      </c>
      <c r="C1676">
        <f>+ROUND(Get_Data!C1675,5)</f>
        <v>33.566540000000003</v>
      </c>
      <c r="D1676" s="4">
        <f t="shared" si="27"/>
        <v>2.2736790863758967</v>
      </c>
    </row>
    <row r="1677" spans="1:4">
      <c r="A1677" s="2">
        <f>+Get_Data!A1676</f>
        <v>41876</v>
      </c>
      <c r="B1677">
        <f>+ROUND(Get_Data!B1676,5)</f>
        <v>77.644319999999993</v>
      </c>
      <c r="C1677">
        <f>+ROUND(Get_Data!C1676,5)</f>
        <v>33.803280000000001</v>
      </c>
      <c r="D1677" s="4">
        <f t="shared" si="27"/>
        <v>2.2969463318352537</v>
      </c>
    </row>
    <row r="1678" spans="1:4">
      <c r="A1678" s="2">
        <f>+Get_Data!A1677</f>
        <v>41877</v>
      </c>
      <c r="B1678">
        <f>+ROUND(Get_Data!B1677,5)</f>
        <v>77.152730000000005</v>
      </c>
      <c r="C1678">
        <f>+ROUND(Get_Data!C1677,5)</f>
        <v>33.958370000000002</v>
      </c>
      <c r="D1678" s="4">
        <f t="shared" si="27"/>
        <v>2.2719797799482131</v>
      </c>
    </row>
    <row r="1679" spans="1:4">
      <c r="A1679" s="2">
        <f>+Get_Data!A1678</f>
        <v>41878</v>
      </c>
      <c r="B1679">
        <f>+ROUND(Get_Data!B1678,5)</f>
        <v>76.844470000000001</v>
      </c>
      <c r="C1679">
        <f>+ROUND(Get_Data!C1678,5)</f>
        <v>33.958370000000002</v>
      </c>
      <c r="D1679" s="4">
        <f t="shared" si="27"/>
        <v>2.262902194657753</v>
      </c>
    </row>
    <row r="1680" spans="1:4">
      <c r="A1680" s="2">
        <f>+Get_Data!A1679</f>
        <v>41879</v>
      </c>
      <c r="B1680">
        <f>+ROUND(Get_Data!B1679,5)</f>
        <v>77.136089999999996</v>
      </c>
      <c r="C1680">
        <f>+ROUND(Get_Data!C1679,5)</f>
        <v>33.982869999999998</v>
      </c>
      <c r="D1680" s="4">
        <f t="shared" si="27"/>
        <v>2.2698521343253235</v>
      </c>
    </row>
    <row r="1681" spans="1:4">
      <c r="A1681" s="2">
        <f>+Get_Data!A1680</f>
        <v>41880</v>
      </c>
      <c r="B1681">
        <f>+ROUND(Get_Data!B1680,5)</f>
        <v>77.061070000000001</v>
      </c>
      <c r="C1681">
        <f>+ROUND(Get_Data!C1680,5)</f>
        <v>34.056339999999999</v>
      </c>
      <c r="D1681" s="4">
        <f t="shared" si="27"/>
        <v>2.2627525447537815</v>
      </c>
    </row>
    <row r="1682" spans="1:4">
      <c r="A1682" s="2">
        <f>+Get_Data!A1681</f>
        <v>41884</v>
      </c>
      <c r="B1682">
        <f>+ROUND(Get_Data!B1681,5)</f>
        <v>77.052760000000006</v>
      </c>
      <c r="C1682">
        <f>+ROUND(Get_Data!C1681,5)</f>
        <v>33.991030000000002</v>
      </c>
      <c r="D1682" s="4">
        <f t="shared" si="27"/>
        <v>2.2668556969294547</v>
      </c>
    </row>
    <row r="1683" spans="1:4">
      <c r="A1683" s="2">
        <f>+Get_Data!A1682</f>
        <v>41885</v>
      </c>
      <c r="B1683">
        <f>+ROUND(Get_Data!B1682,5)</f>
        <v>77.828940000000003</v>
      </c>
      <c r="C1683">
        <f>+ROUND(Get_Data!C1682,5)</f>
        <v>34.105310000000003</v>
      </c>
      <c r="D1683" s="4">
        <f t="shared" si="27"/>
        <v>2.282018254635422</v>
      </c>
    </row>
    <row r="1684" spans="1:4">
      <c r="A1684" s="2">
        <f>+Get_Data!A1683</f>
        <v>41886</v>
      </c>
      <c r="B1684">
        <f>+ROUND(Get_Data!B1683,5)</f>
        <v>77.073719999999994</v>
      </c>
      <c r="C1684">
        <f>+ROUND(Get_Data!C1683,5)</f>
        <v>34.17877</v>
      </c>
      <c r="D1684" s="4">
        <f t="shared" si="27"/>
        <v>2.2550173689690998</v>
      </c>
    </row>
    <row r="1685" spans="1:4">
      <c r="A1685" s="2">
        <f>+Get_Data!A1684</f>
        <v>41887</v>
      </c>
      <c r="B1685">
        <f>+ROUND(Get_Data!B1684,5)</f>
        <v>76.989810000000006</v>
      </c>
      <c r="C1685">
        <f>+ROUND(Get_Data!C1684,5)</f>
        <v>34.154290000000003</v>
      </c>
      <c r="D1685" s="4">
        <f t="shared" si="27"/>
        <v>2.2541768545034899</v>
      </c>
    </row>
    <row r="1686" spans="1:4">
      <c r="A1686" s="2">
        <f>+Get_Data!A1685</f>
        <v>41890</v>
      </c>
      <c r="B1686">
        <f>+ROUND(Get_Data!B1685,5)</f>
        <v>77.082130000000006</v>
      </c>
      <c r="C1686">
        <f>+ROUND(Get_Data!C1685,5)</f>
        <v>34.105310000000003</v>
      </c>
      <c r="D1686" s="4">
        <f t="shared" si="27"/>
        <v>2.2601210779201244</v>
      </c>
    </row>
    <row r="1687" spans="1:4">
      <c r="A1687" s="2">
        <f>+Get_Data!A1686</f>
        <v>41891</v>
      </c>
      <c r="B1687">
        <f>+ROUND(Get_Data!B1686,5)</f>
        <v>76.712900000000005</v>
      </c>
      <c r="C1687">
        <f>+ROUND(Get_Data!C1686,5)</f>
        <v>34.235930000000003</v>
      </c>
      <c r="D1687" s="4">
        <f t="shared" si="27"/>
        <v>2.240713192251532</v>
      </c>
    </row>
    <row r="1688" spans="1:4">
      <c r="A1688" s="2">
        <f>+Get_Data!A1687</f>
        <v>41892</v>
      </c>
      <c r="B1688">
        <f>+ROUND(Get_Data!B1687,5)</f>
        <v>77.023390000000006</v>
      </c>
      <c r="C1688">
        <f>+ROUND(Get_Data!C1687,5)</f>
        <v>34.423670000000001</v>
      </c>
      <c r="D1688" s="4">
        <f t="shared" si="27"/>
        <v>2.2375124441990062</v>
      </c>
    </row>
    <row r="1689" spans="1:4">
      <c r="A1689" s="2">
        <f>+Get_Data!A1688</f>
        <v>41893</v>
      </c>
      <c r="B1689">
        <f>+ROUND(Get_Data!B1688,5)</f>
        <v>76.905900000000003</v>
      </c>
      <c r="C1689">
        <f>+ROUND(Get_Data!C1688,5)</f>
        <v>34.493560000000002</v>
      </c>
      <c r="D1689" s="4">
        <f t="shared" si="27"/>
        <v>2.2295727086447439</v>
      </c>
    </row>
    <row r="1690" spans="1:4">
      <c r="A1690" s="2">
        <f>+Get_Data!A1689</f>
        <v>41894</v>
      </c>
      <c r="B1690">
        <f>+ROUND(Get_Data!B1689,5)</f>
        <v>76.251400000000004</v>
      </c>
      <c r="C1690">
        <f>+ROUND(Get_Data!C1689,5)</f>
        <v>34.09066</v>
      </c>
      <c r="D1690" s="4">
        <f t="shared" si="27"/>
        <v>2.2367240763305847</v>
      </c>
    </row>
    <row r="1691" spans="1:4">
      <c r="A1691" s="2">
        <f>+Get_Data!A1690</f>
        <v>41897</v>
      </c>
      <c r="B1691">
        <f>+ROUND(Get_Data!B1690,5)</f>
        <v>76.528310000000005</v>
      </c>
      <c r="C1691">
        <f>+ROUND(Get_Data!C1690,5)</f>
        <v>34.123550000000002</v>
      </c>
      <c r="D1691" s="4">
        <f t="shared" si="27"/>
        <v>2.2426831323235712</v>
      </c>
    </row>
    <row r="1692" spans="1:4">
      <c r="A1692" s="2">
        <f>+Get_Data!A1691</f>
        <v>41898</v>
      </c>
      <c r="B1692">
        <f>+ROUND(Get_Data!B1691,5)</f>
        <v>77.677899999999994</v>
      </c>
      <c r="C1692">
        <f>+ROUND(Get_Data!C1691,5)</f>
        <v>34.238669999999999</v>
      </c>
      <c r="D1692" s="4">
        <f t="shared" si="27"/>
        <v>2.2687183818763987</v>
      </c>
    </row>
    <row r="1693" spans="1:4">
      <c r="A1693" s="2">
        <f>+Get_Data!A1692</f>
        <v>41899</v>
      </c>
      <c r="B1693">
        <f>+ROUND(Get_Data!B1692,5)</f>
        <v>77.912850000000006</v>
      </c>
      <c r="C1693">
        <f>+ROUND(Get_Data!C1692,5)</f>
        <v>34.213999999999999</v>
      </c>
      <c r="D1693" s="4">
        <f t="shared" si="27"/>
        <v>2.2772213129128431</v>
      </c>
    </row>
    <row r="1694" spans="1:4">
      <c r="A1694" s="2">
        <f>+Get_Data!A1693</f>
        <v>41900</v>
      </c>
      <c r="B1694">
        <f>+ROUND(Get_Data!B1693,5)</f>
        <v>78.349209999999999</v>
      </c>
      <c r="C1694">
        <f>+ROUND(Get_Data!C1693,5)</f>
        <v>34.362009999999998</v>
      </c>
      <c r="D1694" s="4">
        <f t="shared" si="27"/>
        <v>2.280111378816315</v>
      </c>
    </row>
    <row r="1695" spans="1:4">
      <c r="A1695" s="2">
        <f>+Get_Data!A1694</f>
        <v>41901</v>
      </c>
      <c r="B1695">
        <f>+ROUND(Get_Data!B1694,5)</f>
        <v>78.701639999999998</v>
      </c>
      <c r="C1695">
        <f>+ROUND(Get_Data!C1694,5)</f>
        <v>34.575789999999998</v>
      </c>
      <c r="D1695" s="4">
        <f t="shared" si="27"/>
        <v>2.2762065595608951</v>
      </c>
    </row>
    <row r="1696" spans="1:4">
      <c r="A1696" s="2">
        <f>+Get_Data!A1695</f>
        <v>41904</v>
      </c>
      <c r="B1696">
        <f>+ROUND(Get_Data!B1695,5)</f>
        <v>78.525419999999997</v>
      </c>
      <c r="C1696">
        <f>+ROUND(Get_Data!C1695,5)</f>
        <v>34.71557</v>
      </c>
      <c r="D1696" s="4">
        <f t="shared" si="27"/>
        <v>2.2619654523892305</v>
      </c>
    </row>
    <row r="1697" spans="1:4">
      <c r="A1697" s="2">
        <f>+Get_Data!A1696</f>
        <v>41905</v>
      </c>
      <c r="B1697">
        <f>+ROUND(Get_Data!B1696,5)</f>
        <v>77.98</v>
      </c>
      <c r="C1697">
        <f>+ROUND(Get_Data!C1696,5)</f>
        <v>34.444229999999997</v>
      </c>
      <c r="D1697" s="4">
        <f t="shared" si="27"/>
        <v>2.2639495787828618</v>
      </c>
    </row>
    <row r="1698" spans="1:4">
      <c r="A1698" s="2">
        <f>+Get_Data!A1697</f>
        <v>41906</v>
      </c>
      <c r="B1698">
        <f>+ROUND(Get_Data!B1697,5)</f>
        <v>78.458299999999994</v>
      </c>
      <c r="C1698">
        <f>+ROUND(Get_Data!C1697,5)</f>
        <v>34.756689999999999</v>
      </c>
      <c r="D1698" s="4">
        <f t="shared" si="27"/>
        <v>2.2573582236973659</v>
      </c>
    </row>
    <row r="1699" spans="1:4">
      <c r="A1699" s="2">
        <f>+Get_Data!A1698</f>
        <v>41907</v>
      </c>
      <c r="B1699">
        <f>+ROUND(Get_Data!B1698,5)</f>
        <v>77.761809999999997</v>
      </c>
      <c r="C1699">
        <f>+ROUND(Get_Data!C1698,5)</f>
        <v>34.35378</v>
      </c>
      <c r="D1699" s="4">
        <f t="shared" si="27"/>
        <v>2.2635590610407355</v>
      </c>
    </row>
    <row r="1700" spans="1:4">
      <c r="A1700" s="2">
        <f>+Get_Data!A1699</f>
        <v>41908</v>
      </c>
      <c r="B1700">
        <f>+ROUND(Get_Data!B1699,5)</f>
        <v>78.147819999999996</v>
      </c>
      <c r="C1700">
        <f>+ROUND(Get_Data!C1699,5)</f>
        <v>34.699129999999997</v>
      </c>
      <c r="D1700" s="4">
        <f t="shared" si="27"/>
        <v>2.2521550252124478</v>
      </c>
    </row>
    <row r="1701" spans="1:4">
      <c r="A1701" s="2">
        <f>+Get_Data!A1700</f>
        <v>41911</v>
      </c>
      <c r="B1701">
        <f>+ROUND(Get_Data!B1700,5)</f>
        <v>78.164599999999993</v>
      </c>
      <c r="C1701">
        <f>+ROUND(Get_Data!C1700,5)</f>
        <v>34.74024</v>
      </c>
      <c r="D1701" s="4">
        <f t="shared" si="27"/>
        <v>2.2499729420406998</v>
      </c>
    </row>
    <row r="1702" spans="1:4">
      <c r="A1702" s="2">
        <f>+Get_Data!A1701</f>
        <v>41912</v>
      </c>
      <c r="B1702">
        <f>+ROUND(Get_Data!B1701,5)</f>
        <v>78.114260000000002</v>
      </c>
      <c r="C1702">
        <f>+ROUND(Get_Data!C1701,5)</f>
        <v>35.077370000000002</v>
      </c>
      <c r="D1702" s="4">
        <f t="shared" si="27"/>
        <v>2.2269132491974171</v>
      </c>
    </row>
    <row r="1703" spans="1:4">
      <c r="A1703" s="2">
        <f>+Get_Data!A1702</f>
        <v>41913</v>
      </c>
      <c r="B1703">
        <f>+ROUND(Get_Data!B1702,5)</f>
        <v>77.745059999999995</v>
      </c>
      <c r="C1703">
        <f>+ROUND(Get_Data!C1702,5)</f>
        <v>35.143140000000002</v>
      </c>
      <c r="D1703" s="4">
        <f t="shared" si="27"/>
        <v>2.2122399990439097</v>
      </c>
    </row>
    <row r="1704" spans="1:4">
      <c r="A1704" s="2">
        <f>+Get_Data!A1703</f>
        <v>41914</v>
      </c>
      <c r="B1704">
        <f>+ROUND(Get_Data!B1703,5)</f>
        <v>77.686310000000006</v>
      </c>
      <c r="C1704">
        <f>+ROUND(Get_Data!C1703,5)</f>
        <v>35.077370000000002</v>
      </c>
      <c r="D1704" s="4">
        <f t="shared" si="27"/>
        <v>2.2147130756952418</v>
      </c>
    </row>
    <row r="1705" spans="1:4">
      <c r="A1705" s="2">
        <f>+Get_Data!A1704</f>
        <v>41915</v>
      </c>
      <c r="B1705">
        <f>+ROUND(Get_Data!B1704,5)</f>
        <v>78.458299999999994</v>
      </c>
      <c r="C1705">
        <f>+ROUND(Get_Data!C1704,5)</f>
        <v>35.356929999999998</v>
      </c>
      <c r="D1705" s="4">
        <f t="shared" si="27"/>
        <v>2.2190359853075479</v>
      </c>
    </row>
    <row r="1706" spans="1:4">
      <c r="A1706" s="2">
        <f>+Get_Data!A1705</f>
        <v>41918</v>
      </c>
      <c r="B1706">
        <f>+ROUND(Get_Data!B1705,5)</f>
        <v>78.349209999999999</v>
      </c>
      <c r="C1706">
        <f>+ROUND(Get_Data!C1705,5)</f>
        <v>35.850279999999998</v>
      </c>
      <c r="D1706" s="4">
        <f t="shared" si="27"/>
        <v>2.1854560131747927</v>
      </c>
    </row>
    <row r="1707" spans="1:4">
      <c r="A1707" s="2">
        <f>+Get_Data!A1706</f>
        <v>41919</v>
      </c>
      <c r="B1707">
        <f>+ROUND(Get_Data!B1706,5)</f>
        <v>78.122640000000004</v>
      </c>
      <c r="C1707">
        <f>+ROUND(Get_Data!C1706,5)</f>
        <v>36.113410000000002</v>
      </c>
      <c r="D1707" s="4">
        <f t="shared" si="27"/>
        <v>2.1632584682532059</v>
      </c>
    </row>
    <row r="1708" spans="1:4">
      <c r="A1708" s="2">
        <f>+Get_Data!A1707</f>
        <v>41920</v>
      </c>
      <c r="B1708">
        <f>+ROUND(Get_Data!B1707,5)</f>
        <v>78.827510000000004</v>
      </c>
      <c r="C1708">
        <f>+ROUND(Get_Data!C1707,5)</f>
        <v>36.631419999999999</v>
      </c>
      <c r="D1708" s="4">
        <f t="shared" si="27"/>
        <v>2.1519097539762315</v>
      </c>
    </row>
    <row r="1709" spans="1:4">
      <c r="A1709" s="2">
        <f>+Get_Data!A1708</f>
        <v>41921</v>
      </c>
      <c r="B1709">
        <f>+ROUND(Get_Data!B1708,5)</f>
        <v>78.517049999999998</v>
      </c>
      <c r="C1709">
        <f>+ROUND(Get_Data!C1708,5)</f>
        <v>36.072299999999998</v>
      </c>
      <c r="D1709" s="4">
        <f t="shared" si="27"/>
        <v>2.1766577124275415</v>
      </c>
    </row>
    <row r="1710" spans="1:4">
      <c r="A1710" s="2">
        <f>+Get_Data!A1709</f>
        <v>41922</v>
      </c>
      <c r="B1710">
        <f>+ROUND(Get_Data!B1709,5)</f>
        <v>79.423299999999998</v>
      </c>
      <c r="C1710">
        <f>+ROUND(Get_Data!C1709,5)</f>
        <v>36.565640000000002</v>
      </c>
      <c r="D1710" s="4">
        <f t="shared" si="27"/>
        <v>2.1720746580669719</v>
      </c>
    </row>
    <row r="1711" spans="1:4">
      <c r="A1711" s="2">
        <f>+Get_Data!A1710</f>
        <v>41925</v>
      </c>
      <c r="B1711">
        <f>+ROUND(Get_Data!B1710,5)</f>
        <v>78.827510000000004</v>
      </c>
      <c r="C1711">
        <f>+ROUND(Get_Data!C1710,5)</f>
        <v>36.236739999999998</v>
      </c>
      <c r="D1711" s="4">
        <f t="shared" si="27"/>
        <v>2.1753477271962107</v>
      </c>
    </row>
    <row r="1712" spans="1:4">
      <c r="A1712" s="2">
        <f>+Get_Data!A1711</f>
        <v>41926</v>
      </c>
      <c r="B1712">
        <f>+ROUND(Get_Data!B1711,5)</f>
        <v>78.047129999999996</v>
      </c>
      <c r="C1712">
        <f>+ROUND(Get_Data!C1711,5)</f>
        <v>35.88317</v>
      </c>
      <c r="D1712" s="4">
        <f t="shared" si="27"/>
        <v>2.1750344242161437</v>
      </c>
    </row>
    <row r="1713" spans="1:4">
      <c r="A1713" s="2">
        <f>+Get_Data!A1712</f>
        <v>41927</v>
      </c>
      <c r="B1713">
        <f>+ROUND(Get_Data!B1712,5)</f>
        <v>77.006600000000006</v>
      </c>
      <c r="C1713">
        <f>+ROUND(Get_Data!C1712,5)</f>
        <v>35.546050000000001</v>
      </c>
      <c r="D1713" s="4">
        <f t="shared" si="27"/>
        <v>2.1663897957719636</v>
      </c>
    </row>
    <row r="1714" spans="1:4">
      <c r="A1714" s="2">
        <f>+Get_Data!A1713</f>
        <v>41928</v>
      </c>
      <c r="B1714">
        <f>+ROUND(Get_Data!B1713,5)</f>
        <v>76.184250000000006</v>
      </c>
      <c r="C1714">
        <f>+ROUND(Get_Data!C1713,5)</f>
        <v>34.995139999999999</v>
      </c>
      <c r="D1714" s="4">
        <f t="shared" si="27"/>
        <v>2.1769951484691878</v>
      </c>
    </row>
    <row r="1715" spans="1:4">
      <c r="A1715" s="2">
        <f>+Get_Data!A1714</f>
        <v>41929</v>
      </c>
      <c r="B1715">
        <f>+ROUND(Get_Data!B1714,5)</f>
        <v>76.788439999999994</v>
      </c>
      <c r="C1715">
        <f>+ROUND(Get_Data!C1714,5)</f>
        <v>35.25826</v>
      </c>
      <c r="D1715" s="4">
        <f t="shared" si="27"/>
        <v>2.1778851253578591</v>
      </c>
    </row>
    <row r="1716" spans="1:4">
      <c r="A1716" s="2">
        <f>+Get_Data!A1715</f>
        <v>41932</v>
      </c>
      <c r="B1716">
        <f>+ROUND(Get_Data!B1715,5)</f>
        <v>78.500249999999994</v>
      </c>
      <c r="C1716">
        <f>+ROUND(Get_Data!C1715,5)</f>
        <v>35.595390000000002</v>
      </c>
      <c r="D1716" s="4">
        <f t="shared" si="27"/>
        <v>2.2053487825249278</v>
      </c>
    </row>
    <row r="1717" spans="1:4">
      <c r="A1717" s="2">
        <f>+Get_Data!A1716</f>
        <v>41933</v>
      </c>
      <c r="B1717">
        <f>+ROUND(Get_Data!B1716,5)</f>
        <v>78.651290000000003</v>
      </c>
      <c r="C1717">
        <f>+ROUND(Get_Data!C1716,5)</f>
        <v>33.449300000000001</v>
      </c>
      <c r="D1717" s="4">
        <f t="shared" si="27"/>
        <v>2.3513583243894489</v>
      </c>
    </row>
    <row r="1718" spans="1:4">
      <c r="A1718" s="2">
        <f>+Get_Data!A1717</f>
        <v>41934</v>
      </c>
      <c r="B1718">
        <f>+ROUND(Get_Data!B1717,5)</f>
        <v>79.263850000000005</v>
      </c>
      <c r="C1718">
        <f>+ROUND(Get_Data!C1717,5)</f>
        <v>33.39996</v>
      </c>
      <c r="D1718" s="4">
        <f t="shared" si="27"/>
        <v>2.3731720037988069</v>
      </c>
    </row>
    <row r="1719" spans="1:4">
      <c r="A1719" s="2">
        <f>+Get_Data!A1718</f>
        <v>41935</v>
      </c>
      <c r="B1719">
        <f>+ROUND(Get_Data!B1718,5)</f>
        <v>78.676479999999998</v>
      </c>
      <c r="C1719">
        <f>+ROUND(Get_Data!C1718,5)</f>
        <v>33.59731</v>
      </c>
      <c r="D1719" s="4">
        <f t="shared" si="27"/>
        <v>2.341749384102477</v>
      </c>
    </row>
    <row r="1720" spans="1:4">
      <c r="A1720" s="2">
        <f>+Get_Data!A1719</f>
        <v>41936</v>
      </c>
      <c r="B1720">
        <f>+ROUND(Get_Data!B1719,5)</f>
        <v>79.381330000000005</v>
      </c>
      <c r="C1720">
        <f>+ROUND(Get_Data!C1719,5)</f>
        <v>33.737090000000002</v>
      </c>
      <c r="D1720" s="4">
        <f t="shared" si="27"/>
        <v>2.3529394503201075</v>
      </c>
    </row>
    <row r="1721" spans="1:4">
      <c r="A1721" s="2">
        <f>+Get_Data!A1720</f>
        <v>41939</v>
      </c>
      <c r="B1721">
        <f>+ROUND(Get_Data!B1720,5)</f>
        <v>79.398110000000003</v>
      </c>
      <c r="C1721">
        <f>+ROUND(Get_Data!C1720,5)</f>
        <v>33.515079999999998</v>
      </c>
      <c r="D1721" s="4">
        <f t="shared" si="27"/>
        <v>2.3690264203457074</v>
      </c>
    </row>
    <row r="1722" spans="1:4">
      <c r="A1722" s="2">
        <f>+Get_Data!A1721</f>
        <v>41940</v>
      </c>
      <c r="B1722">
        <f>+ROUND(Get_Data!B1721,5)</f>
        <v>79.935169999999999</v>
      </c>
      <c r="C1722">
        <f>+ROUND(Get_Data!C1721,5)</f>
        <v>33.350639999999999</v>
      </c>
      <c r="D1722" s="4">
        <f t="shared" si="27"/>
        <v>2.3968106758970742</v>
      </c>
    </row>
    <row r="1723" spans="1:4">
      <c r="A1723" s="2">
        <f>+Get_Data!A1722</f>
        <v>41941</v>
      </c>
      <c r="B1723">
        <f>+ROUND(Get_Data!B1722,5)</f>
        <v>79.456869999999995</v>
      </c>
      <c r="C1723">
        <f>+ROUND(Get_Data!C1722,5)</f>
        <v>33.67953</v>
      </c>
      <c r="D1723" s="4">
        <f t="shared" si="27"/>
        <v>2.3592036468442403</v>
      </c>
    </row>
    <row r="1724" spans="1:4">
      <c r="A1724" s="2">
        <f>+Get_Data!A1723</f>
        <v>41942</v>
      </c>
      <c r="B1724">
        <f>+ROUND(Get_Data!B1723,5)</f>
        <v>80.262410000000003</v>
      </c>
      <c r="C1724">
        <f>+ROUND(Get_Data!C1723,5)</f>
        <v>34.041319999999999</v>
      </c>
      <c r="D1724" s="4">
        <f t="shared" si="27"/>
        <v>2.3577937048269577</v>
      </c>
    </row>
    <row r="1725" spans="1:4">
      <c r="A1725" s="2">
        <f>+Get_Data!A1724</f>
        <v>41943</v>
      </c>
      <c r="B1725">
        <f>+ROUND(Get_Data!B1724,5)</f>
        <v>80.698759999999993</v>
      </c>
      <c r="C1725">
        <f>+ROUND(Get_Data!C1724,5)</f>
        <v>34.436010000000003</v>
      </c>
      <c r="D1725" s="4">
        <f t="shared" si="27"/>
        <v>2.3434410664882486</v>
      </c>
    </row>
    <row r="1726" spans="1:4">
      <c r="A1726" s="2">
        <f>+Get_Data!A1725</f>
        <v>41946</v>
      </c>
      <c r="B1726">
        <f>+ROUND(Get_Data!B1725,5)</f>
        <v>80.413460000000001</v>
      </c>
      <c r="C1726">
        <f>+ROUND(Get_Data!C1725,5)</f>
        <v>34.378439999999998</v>
      </c>
      <c r="D1726" s="4">
        <f t="shared" si="27"/>
        <v>2.3390665777737443</v>
      </c>
    </row>
    <row r="1727" spans="1:4">
      <c r="A1727" s="2">
        <f>+Get_Data!A1726</f>
        <v>41947</v>
      </c>
      <c r="B1727">
        <f>+ROUND(Get_Data!B1726,5)</f>
        <v>81.168670000000006</v>
      </c>
      <c r="C1727">
        <f>+ROUND(Get_Data!C1726,5)</f>
        <v>34.386670000000002</v>
      </c>
      <c r="D1727" s="4">
        <f t="shared" si="27"/>
        <v>2.360469042218976</v>
      </c>
    </row>
    <row r="1728" spans="1:4">
      <c r="A1728" s="2">
        <f>+Get_Data!A1727</f>
        <v>41948</v>
      </c>
      <c r="B1728">
        <f>+ROUND(Get_Data!B1727,5)</f>
        <v>81.302930000000003</v>
      </c>
      <c r="C1728">
        <f>+ROUND(Get_Data!C1727,5)</f>
        <v>34.789580000000001</v>
      </c>
      <c r="D1728" s="4">
        <f t="shared" si="27"/>
        <v>2.3369908461096687</v>
      </c>
    </row>
    <row r="1729" spans="1:4">
      <c r="A1729" s="2">
        <f>+Get_Data!A1728</f>
        <v>41949</v>
      </c>
      <c r="B1729">
        <f>+ROUND(Get_Data!B1728,5)</f>
        <v>81.235799999999998</v>
      </c>
      <c r="C1729">
        <f>+ROUND(Get_Data!C1728,5)</f>
        <v>34.773130000000002</v>
      </c>
      <c r="D1729" s="4">
        <f t="shared" si="27"/>
        <v>2.3361658844055739</v>
      </c>
    </row>
    <row r="1730" spans="1:4">
      <c r="A1730" s="2">
        <f>+Get_Data!A1729</f>
        <v>41950</v>
      </c>
      <c r="B1730">
        <f>+ROUND(Get_Data!B1729,5)</f>
        <v>81.227400000000003</v>
      </c>
      <c r="C1730">
        <f>+ROUND(Get_Data!C1729,5)</f>
        <v>34.797789999999999</v>
      </c>
      <c r="D1730" s="4">
        <f t="shared" si="27"/>
        <v>2.3342689291475121</v>
      </c>
    </row>
    <row r="1731" spans="1:4">
      <c r="A1731" s="2">
        <f>+Get_Data!A1730</f>
        <v>41953</v>
      </c>
      <c r="B1731">
        <f>+ROUND(Get_Data!B1730,5)</f>
        <v>81.370050000000006</v>
      </c>
      <c r="C1731">
        <f>+ROUND(Get_Data!C1730,5)</f>
        <v>34.855350000000001</v>
      </c>
      <c r="D1731" s="4">
        <f t="shared" si="27"/>
        <v>2.3345067543433076</v>
      </c>
    </row>
    <row r="1732" spans="1:4">
      <c r="A1732" s="2">
        <f>+Get_Data!A1731</f>
        <v>41954</v>
      </c>
      <c r="B1732">
        <f>+ROUND(Get_Data!B1731,5)</f>
        <v>81.14349</v>
      </c>
      <c r="C1732">
        <f>+ROUND(Get_Data!C1731,5)</f>
        <v>34.95402</v>
      </c>
      <c r="D1732" s="4">
        <f t="shared" ref="D1732:D1795" si="28">IFERROR(B1732/C1732,"")</f>
        <v>2.3214351310664698</v>
      </c>
    </row>
    <row r="1733" spans="1:4">
      <c r="A1733" s="2">
        <f>+Get_Data!A1732</f>
        <v>41955</v>
      </c>
      <c r="B1733">
        <f>+ROUND(Get_Data!B1732,5)</f>
        <v>81.529499999999999</v>
      </c>
      <c r="C1733">
        <f>+ROUND(Get_Data!C1732,5)</f>
        <v>35.118479999999998</v>
      </c>
      <c r="D1733" s="4">
        <f t="shared" si="28"/>
        <v>2.3215554887341368</v>
      </c>
    </row>
    <row r="1734" spans="1:4">
      <c r="A1734" s="2">
        <f>+Get_Data!A1733</f>
        <v>41956</v>
      </c>
      <c r="B1734">
        <f>+ROUND(Get_Data!B1733,5)</f>
        <v>82.6875</v>
      </c>
      <c r="C1734">
        <f>+ROUND(Get_Data!C1733,5)</f>
        <v>35.184260000000002</v>
      </c>
      <c r="D1734" s="4">
        <f t="shared" si="28"/>
        <v>2.3501275854600889</v>
      </c>
    </row>
    <row r="1735" spans="1:4">
      <c r="A1735" s="2">
        <f>+Get_Data!A1734</f>
        <v>41957</v>
      </c>
      <c r="B1735">
        <f>+ROUND(Get_Data!B1734,5)</f>
        <v>81.999399999999994</v>
      </c>
      <c r="C1735">
        <f>+ROUND(Get_Data!C1734,5)</f>
        <v>35.134929999999997</v>
      </c>
      <c r="D1735" s="4">
        <f t="shared" si="28"/>
        <v>2.3338427029739353</v>
      </c>
    </row>
    <row r="1736" spans="1:4">
      <c r="A1736" s="2">
        <f>+Get_Data!A1735</f>
        <v>41960</v>
      </c>
      <c r="B1736">
        <f>+ROUND(Get_Data!B1735,5)</f>
        <v>82.586789999999993</v>
      </c>
      <c r="C1736">
        <f>+ROUND(Get_Data!C1735,5)</f>
        <v>35.291150000000002</v>
      </c>
      <c r="D1736" s="4">
        <f t="shared" si="28"/>
        <v>2.3401558181017053</v>
      </c>
    </row>
    <row r="1737" spans="1:4">
      <c r="A1737" s="2">
        <f>+Get_Data!A1736</f>
        <v>41961</v>
      </c>
      <c r="B1737">
        <f>+ROUND(Get_Data!B1736,5)</f>
        <v>82.184010000000001</v>
      </c>
      <c r="C1737">
        <f>+ROUND(Get_Data!C1736,5)</f>
        <v>35.792720000000003</v>
      </c>
      <c r="D1737" s="4">
        <f t="shared" si="28"/>
        <v>2.2961096558182779</v>
      </c>
    </row>
    <row r="1738" spans="1:4">
      <c r="A1738" s="2">
        <f>+Get_Data!A1737</f>
        <v>41962</v>
      </c>
      <c r="B1738">
        <f>+ROUND(Get_Data!B1737,5)</f>
        <v>82.578419999999994</v>
      </c>
      <c r="C1738">
        <f>+ROUND(Get_Data!C1737,5)</f>
        <v>36.36007</v>
      </c>
      <c r="D1738" s="4">
        <f t="shared" si="28"/>
        <v>2.2711292910052152</v>
      </c>
    </row>
    <row r="1739" spans="1:4">
      <c r="A1739" s="2">
        <f>+Get_Data!A1738</f>
        <v>41963</v>
      </c>
      <c r="B1739">
        <f>+ROUND(Get_Data!B1738,5)</f>
        <v>82.284689999999998</v>
      </c>
      <c r="C1739">
        <f>+ROUND(Get_Data!C1738,5)</f>
        <v>36.384749999999997</v>
      </c>
      <c r="D1739" s="4">
        <f t="shared" si="28"/>
        <v>2.2615158823408161</v>
      </c>
    </row>
    <row r="1740" spans="1:4">
      <c r="A1740" s="2">
        <f>+Get_Data!A1739</f>
        <v>41964</v>
      </c>
      <c r="B1740">
        <f>+ROUND(Get_Data!B1739,5)</f>
        <v>82.981179999999995</v>
      </c>
      <c r="C1740">
        <f>+ROUND(Get_Data!C1739,5)</f>
        <v>36.590310000000002</v>
      </c>
      <c r="D1740" s="4">
        <f t="shared" si="28"/>
        <v>2.2678457766550757</v>
      </c>
    </row>
    <row r="1741" spans="1:4">
      <c r="A1741" s="2">
        <f>+Get_Data!A1740</f>
        <v>41967</v>
      </c>
      <c r="B1741">
        <f>+ROUND(Get_Data!B1740,5)</f>
        <v>82.804959999999994</v>
      </c>
      <c r="C1741">
        <f>+ROUND(Get_Data!C1740,5)</f>
        <v>36.40119</v>
      </c>
      <c r="D1741" s="4">
        <f t="shared" si="28"/>
        <v>2.2747871704194282</v>
      </c>
    </row>
    <row r="1742" spans="1:4">
      <c r="A1742" s="2">
        <f>+Get_Data!A1741</f>
        <v>41968</v>
      </c>
      <c r="B1742">
        <f>+ROUND(Get_Data!B1741,5)</f>
        <v>83.014750000000006</v>
      </c>
      <c r="C1742">
        <f>+ROUND(Get_Data!C1741,5)</f>
        <v>36.532760000000003</v>
      </c>
      <c r="D1742" s="4">
        <f t="shared" si="28"/>
        <v>2.2723372118613541</v>
      </c>
    </row>
    <row r="1743" spans="1:4">
      <c r="A1743" s="2">
        <f>+Get_Data!A1742</f>
        <v>41969</v>
      </c>
      <c r="B1743">
        <f>+ROUND(Get_Data!B1742,5)</f>
        <v>83.367180000000005</v>
      </c>
      <c r="C1743">
        <f>+ROUND(Get_Data!C1742,5)</f>
        <v>36.669359999999998</v>
      </c>
      <c r="D1743" s="4">
        <f t="shared" si="28"/>
        <v>2.2734833659491196</v>
      </c>
    </row>
    <row r="1744" spans="1:4">
      <c r="A1744" s="2">
        <f>+Get_Data!A1743</f>
        <v>41971</v>
      </c>
      <c r="B1744">
        <f>+ROUND(Get_Data!B1743,5)</f>
        <v>83.996530000000007</v>
      </c>
      <c r="C1744">
        <f>+ROUND(Get_Data!C1743,5)</f>
        <v>37.116439999999997</v>
      </c>
      <c r="D1744" s="4">
        <f t="shared" si="28"/>
        <v>2.2630545925201884</v>
      </c>
    </row>
    <row r="1745" spans="1:4">
      <c r="A1745" s="2">
        <f>+Get_Data!A1744</f>
        <v>41974</v>
      </c>
      <c r="B1745">
        <f>+ROUND(Get_Data!B1744,5)</f>
        <v>83.635710000000003</v>
      </c>
      <c r="C1745">
        <f>+ROUND(Get_Data!C1744,5)</f>
        <v>36.884630000000001</v>
      </c>
      <c r="D1745" s="4">
        <f t="shared" si="28"/>
        <v>2.2674948887924318</v>
      </c>
    </row>
    <row r="1746" spans="1:4">
      <c r="A1746" s="2">
        <f>+Get_Data!A1745</f>
        <v>41975</v>
      </c>
      <c r="B1746">
        <f>+ROUND(Get_Data!B1745,5)</f>
        <v>84.239879999999999</v>
      </c>
      <c r="C1746">
        <f>+ROUND(Get_Data!C1745,5)</f>
        <v>36.876350000000002</v>
      </c>
      <c r="D1746" s="4">
        <f t="shared" si="28"/>
        <v>2.2843876902133751</v>
      </c>
    </row>
    <row r="1747" spans="1:4">
      <c r="A1747" s="2">
        <f>+Get_Data!A1746</f>
        <v>41976</v>
      </c>
      <c r="B1747">
        <f>+ROUND(Get_Data!B1746,5)</f>
        <v>83.044709999999995</v>
      </c>
      <c r="C1747">
        <f>+ROUND(Get_Data!C1746,5)</f>
        <v>36.263669999999998</v>
      </c>
      <c r="D1747" s="4">
        <f t="shared" si="28"/>
        <v>2.2900249754092732</v>
      </c>
    </row>
    <row r="1748" spans="1:4">
      <c r="A1748" s="2">
        <f>+Get_Data!A1747</f>
        <v>41977</v>
      </c>
      <c r="B1748">
        <f>+ROUND(Get_Data!B1747,5)</f>
        <v>82.563289999999995</v>
      </c>
      <c r="C1748">
        <f>+ROUND(Get_Data!C1747,5)</f>
        <v>36.01529</v>
      </c>
      <c r="D1748" s="4">
        <f t="shared" si="28"/>
        <v>2.2924510673105782</v>
      </c>
    </row>
    <row r="1749" spans="1:4">
      <c r="A1749" s="2">
        <f>+Get_Data!A1748</f>
        <v>41978</v>
      </c>
      <c r="B1749">
        <f>+ROUND(Get_Data!B1748,5)</f>
        <v>82.571719999999999</v>
      </c>
      <c r="C1749">
        <f>+ROUND(Get_Data!C1748,5)</f>
        <v>36.040129999999998</v>
      </c>
      <c r="D1749" s="4">
        <f t="shared" si="28"/>
        <v>2.2911049432951547</v>
      </c>
    </row>
    <row r="1750" spans="1:4">
      <c r="A1750" s="2">
        <f>+Get_Data!A1749</f>
        <v>41981</v>
      </c>
      <c r="B1750">
        <f>+ROUND(Get_Data!B1749,5)</f>
        <v>82.588610000000003</v>
      </c>
      <c r="C1750">
        <f>+ROUND(Get_Data!C1749,5)</f>
        <v>35.717239999999997</v>
      </c>
      <c r="D1750" s="4">
        <f t="shared" si="28"/>
        <v>2.3122898073871334</v>
      </c>
    </row>
    <row r="1751" spans="1:4">
      <c r="A1751" s="2">
        <f>+Get_Data!A1750</f>
        <v>41982</v>
      </c>
      <c r="B1751">
        <f>+ROUND(Get_Data!B1750,5)</f>
        <v>82.039580000000001</v>
      </c>
      <c r="C1751">
        <f>+ROUND(Get_Data!C1750,5)</f>
        <v>34.8065</v>
      </c>
      <c r="D1751" s="4">
        <f t="shared" si="28"/>
        <v>2.35701894761036</v>
      </c>
    </row>
    <row r="1752" spans="1:4">
      <c r="A1752" s="2">
        <f>+Get_Data!A1751</f>
        <v>41983</v>
      </c>
      <c r="B1752">
        <f>+ROUND(Get_Data!B1751,5)</f>
        <v>81.237189999999998</v>
      </c>
      <c r="C1752">
        <f>+ROUND(Get_Data!C1751,5)</f>
        <v>34.4422</v>
      </c>
      <c r="D1752" s="4">
        <f t="shared" si="28"/>
        <v>2.3586527573732226</v>
      </c>
    </row>
    <row r="1753" spans="1:4">
      <c r="A1753" s="2">
        <f>+Get_Data!A1752</f>
        <v>41984</v>
      </c>
      <c r="B1753">
        <f>+ROUND(Get_Data!B1752,5)</f>
        <v>81.330119999999994</v>
      </c>
      <c r="C1753">
        <f>+ROUND(Get_Data!C1752,5)</f>
        <v>34.384250000000002</v>
      </c>
      <c r="D1753" s="4">
        <f t="shared" si="28"/>
        <v>2.365330638300966</v>
      </c>
    </row>
    <row r="1754" spans="1:4">
      <c r="A1754" s="2">
        <f>+Get_Data!A1753</f>
        <v>41985</v>
      </c>
      <c r="B1754">
        <f>+ROUND(Get_Data!B1753,5)</f>
        <v>80.020899999999997</v>
      </c>
      <c r="C1754">
        <f>+ROUND(Get_Data!C1753,5)</f>
        <v>33.870939999999997</v>
      </c>
      <c r="D1754" s="4">
        <f t="shared" si="28"/>
        <v>2.3625237445432576</v>
      </c>
    </row>
    <row r="1755" spans="1:4">
      <c r="A1755" s="2">
        <f>+Get_Data!A1754</f>
        <v>41988</v>
      </c>
      <c r="B1755">
        <f>+ROUND(Get_Data!B1754,5)</f>
        <v>79.514120000000005</v>
      </c>
      <c r="C1755">
        <f>+ROUND(Get_Data!C1754,5)</f>
        <v>33.58943</v>
      </c>
      <c r="D1755" s="4">
        <f t="shared" si="28"/>
        <v>2.3672363597715118</v>
      </c>
    </row>
    <row r="1756" spans="1:4">
      <c r="A1756" s="2">
        <f>+Get_Data!A1755</f>
        <v>41989</v>
      </c>
      <c r="B1756">
        <f>+ROUND(Get_Data!B1755,5)</f>
        <v>78.204939999999993</v>
      </c>
      <c r="C1756">
        <f>+ROUND(Get_Data!C1755,5)</f>
        <v>33.440399999999997</v>
      </c>
      <c r="D1756" s="4">
        <f t="shared" si="28"/>
        <v>2.3386364995634024</v>
      </c>
    </row>
    <row r="1757" spans="1:4">
      <c r="A1757" s="2">
        <f>+Get_Data!A1756</f>
        <v>41990</v>
      </c>
      <c r="B1757">
        <f>+ROUND(Get_Data!B1756,5)</f>
        <v>79.159379999999999</v>
      </c>
      <c r="C1757">
        <f>+ROUND(Get_Data!C1756,5)</f>
        <v>34.400820000000003</v>
      </c>
      <c r="D1757" s="4">
        <f t="shared" si="28"/>
        <v>2.3010899158799121</v>
      </c>
    </row>
    <row r="1758" spans="1:4">
      <c r="A1758" s="2">
        <f>+Get_Data!A1757</f>
        <v>41991</v>
      </c>
      <c r="B1758">
        <f>+ROUND(Get_Data!B1757,5)</f>
        <v>80.544589999999999</v>
      </c>
      <c r="C1758">
        <f>+ROUND(Get_Data!C1757,5)</f>
        <v>35.096269999999997</v>
      </c>
      <c r="D1758" s="4">
        <f t="shared" si="28"/>
        <v>2.2949615443464508</v>
      </c>
    </row>
    <row r="1759" spans="1:4">
      <c r="A1759" s="2">
        <f>+Get_Data!A1758</f>
        <v>41992</v>
      </c>
      <c r="B1759">
        <f>+ROUND(Get_Data!B1758,5)</f>
        <v>80.612160000000003</v>
      </c>
      <c r="C1759">
        <f>+ROUND(Get_Data!C1758,5)</f>
        <v>34.73198</v>
      </c>
      <c r="D1759" s="4">
        <f t="shared" si="28"/>
        <v>2.3209779574904741</v>
      </c>
    </row>
    <row r="1760" spans="1:4">
      <c r="A1760" s="2">
        <f>+Get_Data!A1759</f>
        <v>41995</v>
      </c>
      <c r="B1760">
        <f>+ROUND(Get_Data!B1759,5)</f>
        <v>81.608840000000001</v>
      </c>
      <c r="C1760">
        <f>+ROUND(Get_Data!C1759,5)</f>
        <v>35.063160000000003</v>
      </c>
      <c r="D1760" s="4">
        <f t="shared" si="28"/>
        <v>2.3274810370770918</v>
      </c>
    </row>
    <row r="1761" spans="1:4">
      <c r="A1761" s="2">
        <f>+Get_Data!A1760</f>
        <v>41996</v>
      </c>
      <c r="B1761">
        <f>+ROUND(Get_Data!B1760,5)</f>
        <v>82.233850000000004</v>
      </c>
      <c r="C1761">
        <f>+ROUND(Get_Data!C1760,5)</f>
        <v>35.576479999999997</v>
      </c>
      <c r="D1761" s="4">
        <f t="shared" si="28"/>
        <v>2.3114667330775842</v>
      </c>
    </row>
    <row r="1762" spans="1:4">
      <c r="A1762" s="2">
        <f>+Get_Data!A1761</f>
        <v>41997</v>
      </c>
      <c r="B1762">
        <f>+ROUND(Get_Data!B1761,5)</f>
        <v>82.005809999999997</v>
      </c>
      <c r="C1762">
        <f>+ROUND(Get_Data!C1761,5)</f>
        <v>35.551650000000002</v>
      </c>
      <c r="D1762" s="4">
        <f t="shared" si="28"/>
        <v>2.3066667791790252</v>
      </c>
    </row>
    <row r="1763" spans="1:4">
      <c r="A1763" s="2">
        <f>+Get_Data!A1762</f>
        <v>41999</v>
      </c>
      <c r="B1763">
        <f>+ROUND(Get_Data!B1762,5)</f>
        <v>81.972020000000001</v>
      </c>
      <c r="C1763">
        <f>+ROUND(Get_Data!C1762,5)</f>
        <v>35.568210000000001</v>
      </c>
      <c r="D1763" s="4">
        <f t="shared" si="28"/>
        <v>2.3046428257143106</v>
      </c>
    </row>
    <row r="1764" spans="1:4">
      <c r="A1764" s="2">
        <f>+Get_Data!A1763</f>
        <v>42002</v>
      </c>
      <c r="B1764">
        <f>+ROUND(Get_Data!B1763,5)</f>
        <v>81.701750000000004</v>
      </c>
      <c r="C1764">
        <f>+ROUND(Get_Data!C1763,5)</f>
        <v>35.485419999999998</v>
      </c>
      <c r="D1764" s="4">
        <f t="shared" si="28"/>
        <v>2.3024033532645243</v>
      </c>
    </row>
    <row r="1765" spans="1:4">
      <c r="A1765" s="2">
        <f>+Get_Data!A1764</f>
        <v>42003</v>
      </c>
      <c r="B1765">
        <f>+ROUND(Get_Data!B1764,5)</f>
        <v>81.051370000000006</v>
      </c>
      <c r="C1765">
        <f>+ROUND(Get_Data!C1764,5)</f>
        <v>35.402610000000003</v>
      </c>
      <c r="D1765" s="4">
        <f t="shared" si="28"/>
        <v>2.2894179270963355</v>
      </c>
    </row>
    <row r="1766" spans="1:4">
      <c r="A1766" s="2">
        <f>+Get_Data!A1765</f>
        <v>42004</v>
      </c>
      <c r="B1766">
        <f>+ROUND(Get_Data!B1765,5)</f>
        <v>79.868880000000004</v>
      </c>
      <c r="C1766">
        <f>+ROUND(Get_Data!C1765,5)</f>
        <v>34.955539999999999</v>
      </c>
      <c r="D1766" s="4">
        <f t="shared" si="28"/>
        <v>2.2848704382767369</v>
      </c>
    </row>
    <row r="1767" spans="1:4">
      <c r="A1767" s="2">
        <f>+Get_Data!A1766</f>
        <v>42006</v>
      </c>
      <c r="B1767">
        <f>+ROUND(Get_Data!B1766,5)</f>
        <v>79.767539999999997</v>
      </c>
      <c r="C1767">
        <f>+ROUND(Get_Data!C1766,5)</f>
        <v>34.889290000000003</v>
      </c>
      <c r="D1767" s="4">
        <f t="shared" si="28"/>
        <v>2.2863044791109246</v>
      </c>
    </row>
    <row r="1768" spans="1:4">
      <c r="A1768" s="2">
        <f>+Get_Data!A1767</f>
        <v>42009</v>
      </c>
      <c r="B1768">
        <f>+ROUND(Get_Data!B1767,5)</f>
        <v>79.167820000000006</v>
      </c>
      <c r="C1768">
        <f>+ROUND(Get_Data!C1767,5)</f>
        <v>34.889290000000003</v>
      </c>
      <c r="D1768" s="4">
        <f t="shared" si="28"/>
        <v>2.2691152499807248</v>
      </c>
    </row>
    <row r="1769" spans="1:4">
      <c r="A1769" s="2">
        <f>+Get_Data!A1768</f>
        <v>42010</v>
      </c>
      <c r="B1769">
        <f>+ROUND(Get_Data!B1768,5)</f>
        <v>78.56814</v>
      </c>
      <c r="C1769">
        <f>+ROUND(Get_Data!C1768,5)</f>
        <v>35.154240000000001</v>
      </c>
      <c r="D1769" s="4">
        <f t="shared" si="28"/>
        <v>2.2349548731532809</v>
      </c>
    </row>
    <row r="1770" spans="1:4">
      <c r="A1770" s="2">
        <f>+Get_Data!A1769</f>
        <v>42011</v>
      </c>
      <c r="B1770">
        <f>+ROUND(Get_Data!B1769,5)</f>
        <v>80.865530000000007</v>
      </c>
      <c r="C1770">
        <f>+ROUND(Get_Data!C1769,5)</f>
        <v>35.593040000000002</v>
      </c>
      <c r="D1770" s="4">
        <f t="shared" si="28"/>
        <v>2.2719478302499589</v>
      </c>
    </row>
    <row r="1771" spans="1:4">
      <c r="A1771" s="2">
        <f>+Get_Data!A1770</f>
        <v>42012</v>
      </c>
      <c r="B1771">
        <f>+ROUND(Get_Data!B1770,5)</f>
        <v>82.335239999999999</v>
      </c>
      <c r="C1771">
        <f>+ROUND(Get_Data!C1770,5)</f>
        <v>36.023569999999999</v>
      </c>
      <c r="D1771" s="4">
        <f t="shared" si="28"/>
        <v>2.2855935710980337</v>
      </c>
    </row>
    <row r="1772" spans="1:4">
      <c r="A1772" s="2">
        <f>+Get_Data!A1771</f>
        <v>42013</v>
      </c>
      <c r="B1772">
        <f>+ROUND(Get_Data!B1771,5)</f>
        <v>81.777770000000004</v>
      </c>
      <c r="C1772">
        <f>+ROUND(Get_Data!C1771,5)</f>
        <v>35.626159999999999</v>
      </c>
      <c r="D1772" s="4">
        <f t="shared" si="28"/>
        <v>2.2954416080767617</v>
      </c>
    </row>
    <row r="1773" spans="1:4">
      <c r="A1773" s="2">
        <f>+Get_Data!A1772</f>
        <v>42016</v>
      </c>
      <c r="B1773">
        <f>+ROUND(Get_Data!B1772,5)</f>
        <v>81.439899999999994</v>
      </c>
      <c r="C1773">
        <f>+ROUND(Get_Data!C1772,5)</f>
        <v>35.303260000000002</v>
      </c>
      <c r="D1773" s="4">
        <f t="shared" si="28"/>
        <v>2.3068662780717699</v>
      </c>
    </row>
    <row r="1774" spans="1:4">
      <c r="A1774" s="2">
        <f>+Get_Data!A1773</f>
        <v>42017</v>
      </c>
      <c r="B1774">
        <f>+ROUND(Get_Data!B1773,5)</f>
        <v>81.380780000000001</v>
      </c>
      <c r="C1774">
        <f>+ROUND(Get_Data!C1773,5)</f>
        <v>35.294989999999999</v>
      </c>
      <c r="D1774" s="4">
        <f t="shared" si="28"/>
        <v>2.3057317766629204</v>
      </c>
    </row>
    <row r="1775" spans="1:4">
      <c r="A1775" s="2">
        <f>+Get_Data!A1774</f>
        <v>42018</v>
      </c>
      <c r="B1775">
        <f>+ROUND(Get_Data!B1774,5)</f>
        <v>81.651070000000004</v>
      </c>
      <c r="C1775">
        <f>+ROUND(Get_Data!C1774,5)</f>
        <v>35.237020000000001</v>
      </c>
      <c r="D1775" s="4">
        <f t="shared" si="28"/>
        <v>2.3171956652407042</v>
      </c>
    </row>
    <row r="1776" spans="1:4">
      <c r="A1776" s="2">
        <f>+Get_Data!A1775</f>
        <v>42019</v>
      </c>
      <c r="B1776">
        <f>+ROUND(Get_Data!B1775,5)</f>
        <v>81.651070000000004</v>
      </c>
      <c r="C1776">
        <f>+ROUND(Get_Data!C1775,5)</f>
        <v>35.088000000000001</v>
      </c>
      <c r="D1776" s="4">
        <f t="shared" si="28"/>
        <v>2.3270368787049702</v>
      </c>
    </row>
    <row r="1777" spans="1:4">
      <c r="A1777" s="2">
        <f>+Get_Data!A1776</f>
        <v>42020</v>
      </c>
      <c r="B1777">
        <f>+ROUND(Get_Data!B1776,5)</f>
        <v>82.174719999999994</v>
      </c>
      <c r="C1777">
        <f>+ROUND(Get_Data!C1776,5)</f>
        <v>35.21219</v>
      </c>
      <c r="D1777" s="4">
        <f t="shared" si="28"/>
        <v>2.3337009143708469</v>
      </c>
    </row>
    <row r="1778" spans="1:4">
      <c r="A1778" s="2">
        <f>+Get_Data!A1777</f>
        <v>42024</v>
      </c>
      <c r="B1778">
        <f>+ROUND(Get_Data!B1777,5)</f>
        <v>82.360560000000007</v>
      </c>
      <c r="C1778">
        <f>+ROUND(Get_Data!C1777,5)</f>
        <v>35.733800000000002</v>
      </c>
      <c r="D1778" s="4">
        <f t="shared" si="28"/>
        <v>2.3048363174361528</v>
      </c>
    </row>
    <row r="1779" spans="1:4">
      <c r="A1779" s="2">
        <f>+Get_Data!A1778</f>
        <v>42025</v>
      </c>
      <c r="B1779">
        <f>+ROUND(Get_Data!B1778,5)</f>
        <v>82.26764</v>
      </c>
      <c r="C1779">
        <f>+ROUND(Get_Data!C1778,5)</f>
        <v>35.899380000000001</v>
      </c>
      <c r="D1779" s="4">
        <f t="shared" si="28"/>
        <v>2.2916172925549132</v>
      </c>
    </row>
    <row r="1780" spans="1:4">
      <c r="A1780" s="2">
        <f>+Get_Data!A1779</f>
        <v>42026</v>
      </c>
      <c r="B1780">
        <f>+ROUND(Get_Data!B1779,5)</f>
        <v>83.534599999999998</v>
      </c>
      <c r="C1780">
        <f>+ROUND(Get_Data!C1779,5)</f>
        <v>36.247120000000002</v>
      </c>
      <c r="D1780" s="4">
        <f t="shared" si="28"/>
        <v>2.3045858539933652</v>
      </c>
    </row>
    <row r="1781" spans="1:4">
      <c r="A1781" s="2">
        <f>+Get_Data!A1780</f>
        <v>42027</v>
      </c>
      <c r="B1781">
        <f>+ROUND(Get_Data!B1780,5)</f>
        <v>83.222080000000005</v>
      </c>
      <c r="C1781">
        <f>+ROUND(Get_Data!C1780,5)</f>
        <v>35.857979999999998</v>
      </c>
      <c r="D1781" s="4">
        <f t="shared" si="28"/>
        <v>2.3208803172961781</v>
      </c>
    </row>
    <row r="1782" spans="1:4">
      <c r="A1782" s="2">
        <f>+Get_Data!A1781</f>
        <v>42030</v>
      </c>
      <c r="B1782">
        <f>+ROUND(Get_Data!B1781,5)</f>
        <v>83.357240000000004</v>
      </c>
      <c r="C1782">
        <f>+ROUND(Get_Data!C1781,5)</f>
        <v>35.601329999999997</v>
      </c>
      <c r="D1782" s="4">
        <f t="shared" si="28"/>
        <v>2.3414080316662331</v>
      </c>
    </row>
    <row r="1783" spans="1:4">
      <c r="A1783" s="2">
        <f>+Get_Data!A1782</f>
        <v>42031</v>
      </c>
      <c r="B1783">
        <f>+ROUND(Get_Data!B1782,5)</f>
        <v>81.693280000000001</v>
      </c>
      <c r="C1783">
        <f>+ROUND(Get_Data!C1782,5)</f>
        <v>35.096269999999997</v>
      </c>
      <c r="D1783" s="4">
        <f t="shared" si="28"/>
        <v>2.3276912332849049</v>
      </c>
    </row>
    <row r="1784" spans="1:4">
      <c r="A1784" s="2">
        <f>+Get_Data!A1783</f>
        <v>42032</v>
      </c>
      <c r="B1784">
        <f>+ROUND(Get_Data!B1783,5)</f>
        <v>80.848650000000006</v>
      </c>
      <c r="C1784">
        <f>+ROUND(Get_Data!C1783,5)</f>
        <v>34.707140000000003</v>
      </c>
      <c r="D1784" s="4">
        <f t="shared" si="28"/>
        <v>2.3294529598232527</v>
      </c>
    </row>
    <row r="1785" spans="1:4">
      <c r="A1785" s="2">
        <f>+Get_Data!A1784</f>
        <v>42033</v>
      </c>
      <c r="B1785">
        <f>+ROUND(Get_Data!B1784,5)</f>
        <v>81.110489999999999</v>
      </c>
      <c r="C1785">
        <f>+ROUND(Get_Data!C1784,5)</f>
        <v>34.856180000000002</v>
      </c>
      <c r="D1785" s="4">
        <f t="shared" si="28"/>
        <v>2.3270045656179188</v>
      </c>
    </row>
    <row r="1786" spans="1:4">
      <c r="A1786" s="2">
        <f>+Get_Data!A1785</f>
        <v>42034</v>
      </c>
      <c r="B1786">
        <f>+ROUND(Get_Data!B1785,5)</f>
        <v>79.210049999999995</v>
      </c>
      <c r="C1786">
        <f>+ROUND(Get_Data!C1785,5)</f>
        <v>34.086199999999998</v>
      </c>
      <c r="D1786" s="4">
        <f t="shared" si="28"/>
        <v>2.3238157964220125</v>
      </c>
    </row>
    <row r="1787" spans="1:4">
      <c r="A1787" s="2">
        <f>+Get_Data!A1786</f>
        <v>42037</v>
      </c>
      <c r="B1787">
        <f>+ROUND(Get_Data!B1786,5)</f>
        <v>80.519239999999996</v>
      </c>
      <c r="C1787">
        <f>+ROUND(Get_Data!C1786,5)</f>
        <v>34.433929999999997</v>
      </c>
      <c r="D1787" s="4">
        <f t="shared" si="28"/>
        <v>2.3383691608828849</v>
      </c>
    </row>
    <row r="1788" spans="1:4">
      <c r="A1788" s="2">
        <f>+Get_Data!A1787</f>
        <v>42038</v>
      </c>
      <c r="B1788">
        <f>+ROUND(Get_Data!B1787,5)</f>
        <v>81.254069999999999</v>
      </c>
      <c r="C1788">
        <f>+ROUND(Get_Data!C1787,5)</f>
        <v>34.467059999999996</v>
      </c>
      <c r="D1788" s="4">
        <f t="shared" si="28"/>
        <v>2.3574412787165486</v>
      </c>
    </row>
    <row r="1789" spans="1:4">
      <c r="A1789" s="2">
        <f>+Get_Data!A1788</f>
        <v>42039</v>
      </c>
      <c r="B1789">
        <f>+ROUND(Get_Data!B1788,5)</f>
        <v>81.591930000000005</v>
      </c>
      <c r="C1789">
        <f>+ROUND(Get_Data!C1788,5)</f>
        <v>34.508450000000003</v>
      </c>
      <c r="D1789" s="4">
        <f t="shared" si="28"/>
        <v>2.3644043705237414</v>
      </c>
    </row>
    <row r="1790" spans="1:4">
      <c r="A1790" s="2">
        <f>+Get_Data!A1789</f>
        <v>42040</v>
      </c>
      <c r="B1790">
        <f>+ROUND(Get_Data!B1789,5)</f>
        <v>81.600380000000001</v>
      </c>
      <c r="C1790">
        <f>+ROUND(Get_Data!C1789,5)</f>
        <v>34.599530000000001</v>
      </c>
      <c r="D1790" s="4">
        <f t="shared" si="28"/>
        <v>2.3584245219515987</v>
      </c>
    </row>
    <row r="1791" spans="1:4">
      <c r="A1791" s="2">
        <f>+Get_Data!A1790</f>
        <v>42041</v>
      </c>
      <c r="B1791">
        <f>+ROUND(Get_Data!B1790,5)</f>
        <v>81.684839999999994</v>
      </c>
      <c r="C1791">
        <f>+ROUND(Get_Data!C1790,5)</f>
        <v>34.318010000000001</v>
      </c>
      <c r="D1791" s="4">
        <f t="shared" si="28"/>
        <v>2.3802324202364877</v>
      </c>
    </row>
    <row r="1792" spans="1:4">
      <c r="A1792" s="2">
        <f>+Get_Data!A1791</f>
        <v>42044</v>
      </c>
      <c r="B1792">
        <f>+ROUND(Get_Data!B1791,5)</f>
        <v>81.059820000000002</v>
      </c>
      <c r="C1792">
        <f>+ROUND(Get_Data!C1791,5)</f>
        <v>34.13588</v>
      </c>
      <c r="D1792" s="4">
        <f t="shared" si="28"/>
        <v>2.3746222449809409</v>
      </c>
    </row>
    <row r="1793" spans="1:4">
      <c r="A1793" s="2">
        <f>+Get_Data!A1792</f>
        <v>42045</v>
      </c>
      <c r="B1793">
        <f>+ROUND(Get_Data!B1792,5)</f>
        <v>82.765960000000007</v>
      </c>
      <c r="C1793">
        <f>+ROUND(Get_Data!C1792,5)</f>
        <v>35.104559999999999</v>
      </c>
      <c r="D1793" s="4">
        <f t="shared" si="28"/>
        <v>2.3576982591435418</v>
      </c>
    </row>
    <row r="1794" spans="1:4">
      <c r="A1794" s="2">
        <f>+Get_Data!A1793</f>
        <v>42046</v>
      </c>
      <c r="B1794">
        <f>+ROUND(Get_Data!B1793,5)</f>
        <v>84.801559999999995</v>
      </c>
      <c r="C1794">
        <f>+ROUND(Get_Data!C1793,5)</f>
        <v>35.079720000000002</v>
      </c>
      <c r="D1794" s="4">
        <f t="shared" si="28"/>
        <v>2.4173955778438367</v>
      </c>
    </row>
    <row r="1795" spans="1:4">
      <c r="A1795" s="2">
        <f>+Get_Data!A1794</f>
        <v>42047</v>
      </c>
      <c r="B1795">
        <f>+ROUND(Get_Data!B1794,5)</f>
        <v>84.691760000000002</v>
      </c>
      <c r="C1795">
        <f>+ROUND(Get_Data!C1794,5)</f>
        <v>34.91413</v>
      </c>
      <c r="D1795" s="4">
        <f t="shared" si="28"/>
        <v>2.4257158921044288</v>
      </c>
    </row>
    <row r="1796" spans="1:4">
      <c r="A1796" s="2">
        <f>+Get_Data!A1795</f>
        <v>42048</v>
      </c>
      <c r="B1796">
        <f>+ROUND(Get_Data!B1795,5)</f>
        <v>83.728859999999997</v>
      </c>
      <c r="C1796">
        <f>+ROUND(Get_Data!C1795,5)</f>
        <v>34.76511</v>
      </c>
      <c r="D1796" s="4">
        <f t="shared" ref="D1796:D1859" si="29">IFERROR(B1796/C1796,"")</f>
        <v>2.4084163691701246</v>
      </c>
    </row>
    <row r="1797" spans="1:4">
      <c r="A1797" s="2">
        <f>+Get_Data!A1796</f>
        <v>42052</v>
      </c>
      <c r="B1797">
        <f>+ROUND(Get_Data!B1796,5)</f>
        <v>83.078490000000002</v>
      </c>
      <c r="C1797">
        <f>+ROUND(Get_Data!C1796,5)</f>
        <v>34.616070000000001</v>
      </c>
      <c r="D1797" s="4">
        <f t="shared" si="29"/>
        <v>2.3999977467112816</v>
      </c>
    </row>
    <row r="1798" spans="1:4">
      <c r="A1798" s="2">
        <f>+Get_Data!A1797</f>
        <v>42053</v>
      </c>
      <c r="B1798">
        <f>+ROUND(Get_Data!B1797,5)</f>
        <v>83.897800000000004</v>
      </c>
      <c r="C1798">
        <f>+ROUND(Get_Data!C1797,5)</f>
        <v>34.549840000000003</v>
      </c>
      <c r="D1798" s="4">
        <f t="shared" si="29"/>
        <v>2.4283122584648726</v>
      </c>
    </row>
    <row r="1799" spans="1:4">
      <c r="A1799" s="2">
        <f>+Get_Data!A1798</f>
        <v>42054</v>
      </c>
      <c r="B1799">
        <f>+ROUND(Get_Data!B1798,5)</f>
        <v>83.382559999999998</v>
      </c>
      <c r="C1799">
        <f>+ROUND(Get_Data!C1798,5)</f>
        <v>34.864460000000001</v>
      </c>
      <c r="D1799" s="4">
        <f t="shared" si="29"/>
        <v>2.3916205786637739</v>
      </c>
    </row>
    <row r="1800" spans="1:4">
      <c r="A1800" s="2">
        <f>+Get_Data!A1799</f>
        <v>42055</v>
      </c>
      <c r="B1800">
        <f>+ROUND(Get_Data!B1799,5)</f>
        <v>83.669740000000004</v>
      </c>
      <c r="C1800">
        <f>+ROUND(Get_Data!C1799,5)</f>
        <v>34.748550000000002</v>
      </c>
      <c r="D1800" s="4">
        <f t="shared" si="29"/>
        <v>2.4078627741301437</v>
      </c>
    </row>
    <row r="1801" spans="1:4">
      <c r="A1801" s="2">
        <f>+Get_Data!A1800</f>
        <v>42058</v>
      </c>
      <c r="B1801">
        <f>+ROUND(Get_Data!B1800,5)</f>
        <v>83.999120000000005</v>
      </c>
      <c r="C1801">
        <f>+ROUND(Get_Data!C1800,5)</f>
        <v>34.649189999999997</v>
      </c>
      <c r="D1801" s="4">
        <f t="shared" si="29"/>
        <v>2.4242736987502451</v>
      </c>
    </row>
    <row r="1802" spans="1:4">
      <c r="A1802" s="2">
        <f>+Get_Data!A1801</f>
        <v>42059</v>
      </c>
      <c r="B1802">
        <f>+ROUND(Get_Data!B1801,5)</f>
        <v>84.108959999999996</v>
      </c>
      <c r="C1802">
        <f>+ROUND(Get_Data!C1801,5)</f>
        <v>34.881019999999999</v>
      </c>
      <c r="D1802" s="4">
        <f t="shared" si="29"/>
        <v>2.4113102197126115</v>
      </c>
    </row>
    <row r="1803" spans="1:4">
      <c r="A1803" s="2">
        <f>+Get_Data!A1802</f>
        <v>42060</v>
      </c>
      <c r="B1803">
        <f>+ROUND(Get_Data!B1802,5)</f>
        <v>84.041370000000001</v>
      </c>
      <c r="C1803">
        <f>+ROUND(Get_Data!C1802,5)</f>
        <v>34.814790000000002</v>
      </c>
      <c r="D1803" s="4">
        <f t="shared" si="29"/>
        <v>2.4139559652664859</v>
      </c>
    </row>
    <row r="1804" spans="1:4">
      <c r="A1804" s="2">
        <f>+Get_Data!A1803</f>
        <v>42061</v>
      </c>
      <c r="B1804">
        <f>+ROUND(Get_Data!B1803,5)</f>
        <v>83.678190000000001</v>
      </c>
      <c r="C1804">
        <f>+ROUND(Get_Data!C1803,5)</f>
        <v>35.154240000000001</v>
      </c>
      <c r="D1804" s="4">
        <f t="shared" si="29"/>
        <v>2.3803157172506073</v>
      </c>
    </row>
    <row r="1805" spans="1:4">
      <c r="A1805" s="2">
        <f>+Get_Data!A1804</f>
        <v>42062</v>
      </c>
      <c r="B1805">
        <f>+ROUND(Get_Data!B1804,5)</f>
        <v>83.602170000000001</v>
      </c>
      <c r="C1805">
        <f>+ROUND(Get_Data!C1804,5)</f>
        <v>35.849699999999999</v>
      </c>
      <c r="D1805" s="4">
        <f t="shared" si="29"/>
        <v>2.3320186779805692</v>
      </c>
    </row>
    <row r="1806" spans="1:4">
      <c r="A1806" s="2">
        <f>+Get_Data!A1805</f>
        <v>42065</v>
      </c>
      <c r="B1806">
        <f>+ROUND(Get_Data!B1805,5)</f>
        <v>83.619060000000005</v>
      </c>
      <c r="C1806">
        <f>+ROUND(Get_Data!C1805,5)</f>
        <v>35.766919999999999</v>
      </c>
      <c r="D1806" s="4">
        <f t="shared" si="29"/>
        <v>2.3378881938953651</v>
      </c>
    </row>
    <row r="1807" spans="1:4">
      <c r="A1807" s="2">
        <f>+Get_Data!A1806</f>
        <v>42066</v>
      </c>
      <c r="B1807">
        <f>+ROUND(Get_Data!B1806,5)</f>
        <v>83.112290000000002</v>
      </c>
      <c r="C1807">
        <f>+ROUND(Get_Data!C1806,5)</f>
        <v>35.559930000000001</v>
      </c>
      <c r="D1807" s="4">
        <f t="shared" si="29"/>
        <v>2.3372456020020285</v>
      </c>
    </row>
    <row r="1808" spans="1:4">
      <c r="A1808" s="2">
        <f>+Get_Data!A1807</f>
        <v>42067</v>
      </c>
      <c r="B1808">
        <f>+ROUND(Get_Data!B1807,5)</f>
        <v>82.784909999999996</v>
      </c>
      <c r="C1808">
        <f>+ROUND(Get_Data!C1807,5)</f>
        <v>35.187350000000002</v>
      </c>
      <c r="D1808" s="4">
        <f t="shared" si="29"/>
        <v>2.3526895318914325</v>
      </c>
    </row>
    <row r="1809" spans="1:4">
      <c r="A1809" s="2">
        <f>+Get_Data!A1808</f>
        <v>42068</v>
      </c>
      <c r="B1809">
        <f>+ROUND(Get_Data!B1808,5)</f>
        <v>82.674400000000006</v>
      </c>
      <c r="C1809">
        <f>+ROUND(Get_Data!C1808,5)</f>
        <v>35.104559999999999</v>
      </c>
      <c r="D1809" s="4">
        <f t="shared" si="29"/>
        <v>2.3550900509791322</v>
      </c>
    </row>
    <row r="1810" spans="1:4">
      <c r="A1810" s="2">
        <f>+Get_Data!A1809</f>
        <v>42069</v>
      </c>
      <c r="B1810">
        <f>+ROUND(Get_Data!B1809,5)</f>
        <v>81.773060000000001</v>
      </c>
      <c r="C1810">
        <f>+ROUND(Get_Data!C1809,5)</f>
        <v>34.375970000000002</v>
      </c>
      <c r="D1810" s="4">
        <f t="shared" si="29"/>
        <v>2.3787855295428755</v>
      </c>
    </row>
    <row r="1811" spans="1:4">
      <c r="A1811" s="2">
        <f>+Get_Data!A1810</f>
        <v>42072</v>
      </c>
      <c r="B1811">
        <f>+ROUND(Get_Data!B1810,5)</f>
        <v>81.662540000000007</v>
      </c>
      <c r="C1811">
        <f>+ROUND(Get_Data!C1810,5)</f>
        <v>34.268349999999998</v>
      </c>
      <c r="D1811" s="4">
        <f t="shared" si="29"/>
        <v>2.3830309892364241</v>
      </c>
    </row>
    <row r="1812" spans="1:4">
      <c r="A1812" s="2">
        <f>+Get_Data!A1811</f>
        <v>42073</v>
      </c>
      <c r="B1812">
        <f>+ROUND(Get_Data!B1811,5)</f>
        <v>80.293559999999999</v>
      </c>
      <c r="C1812">
        <f>+ROUND(Get_Data!C1811,5)</f>
        <v>33.688789999999997</v>
      </c>
      <c r="D1812" s="4">
        <f t="shared" si="29"/>
        <v>2.3833910330409611</v>
      </c>
    </row>
    <row r="1813" spans="1:4">
      <c r="A1813" s="2">
        <f>+Get_Data!A1812</f>
        <v>42074</v>
      </c>
      <c r="B1813">
        <f>+ROUND(Get_Data!B1812,5)</f>
        <v>79.613309999999998</v>
      </c>
      <c r="C1813">
        <f>+ROUND(Get_Data!C1812,5)</f>
        <v>33.200299999999999</v>
      </c>
      <c r="D1813" s="4">
        <f t="shared" si="29"/>
        <v>2.3979695966602712</v>
      </c>
    </row>
    <row r="1814" spans="1:4">
      <c r="A1814" s="2">
        <f>+Get_Data!A1813</f>
        <v>42075</v>
      </c>
      <c r="B1814">
        <f>+ROUND(Get_Data!B1813,5)</f>
        <v>81.38194</v>
      </c>
      <c r="C1814">
        <f>+ROUND(Get_Data!C1813,5)</f>
        <v>33.868139999999997</v>
      </c>
      <c r="D1814" s="4">
        <f t="shared" si="29"/>
        <v>2.4029055035204179</v>
      </c>
    </row>
    <row r="1815" spans="1:4">
      <c r="A1815" s="2">
        <f>+Get_Data!A1814</f>
        <v>42076</v>
      </c>
      <c r="B1815">
        <f>+ROUND(Get_Data!B1814,5)</f>
        <v>80.200029999999998</v>
      </c>
      <c r="C1815">
        <f>+ROUND(Get_Data!C1814,5)</f>
        <v>33.31718</v>
      </c>
      <c r="D1815" s="4">
        <f t="shared" si="29"/>
        <v>2.4071674133284988</v>
      </c>
    </row>
    <row r="1816" spans="1:4">
      <c r="A1816" s="2">
        <f>+Get_Data!A1815</f>
        <v>42079</v>
      </c>
      <c r="B1816">
        <f>+ROUND(Get_Data!B1815,5)</f>
        <v>81.160839999999993</v>
      </c>
      <c r="C1816">
        <f>+ROUND(Get_Data!C1815,5)</f>
        <v>33.634410000000003</v>
      </c>
      <c r="D1816" s="4">
        <f t="shared" si="29"/>
        <v>2.4130299892282929</v>
      </c>
    </row>
    <row r="1817" spans="1:4">
      <c r="A1817" s="2">
        <f>+Get_Data!A1816</f>
        <v>42080</v>
      </c>
      <c r="B1817">
        <f>+ROUND(Get_Data!B1816,5)</f>
        <v>80.038470000000004</v>
      </c>
      <c r="C1817">
        <f>+ROUND(Get_Data!C1816,5)</f>
        <v>33.818069999999999</v>
      </c>
      <c r="D1817" s="4">
        <f t="shared" si="29"/>
        <v>2.3667367771135375</v>
      </c>
    </row>
    <row r="1818" spans="1:4">
      <c r="A1818" s="2">
        <f>+Get_Data!A1817</f>
        <v>42081</v>
      </c>
      <c r="B1818">
        <f>+ROUND(Get_Data!B1817,5)</f>
        <v>80.472099999999998</v>
      </c>
      <c r="C1818">
        <f>+ROUND(Get_Data!C1817,5)</f>
        <v>33.8932</v>
      </c>
      <c r="D1818" s="4">
        <f t="shared" si="29"/>
        <v>2.3742845172482974</v>
      </c>
    </row>
    <row r="1819" spans="1:4">
      <c r="A1819" s="2">
        <f>+Get_Data!A1818</f>
        <v>42082</v>
      </c>
      <c r="B1819">
        <f>+ROUND(Get_Data!B1818,5)</f>
        <v>80.012950000000004</v>
      </c>
      <c r="C1819">
        <f>+ROUND(Get_Data!C1818,5)</f>
        <v>33.408999999999999</v>
      </c>
      <c r="D1819" s="4">
        <f t="shared" si="29"/>
        <v>2.3949519590529498</v>
      </c>
    </row>
    <row r="1820" spans="1:4">
      <c r="A1820" s="2">
        <f>+Get_Data!A1819</f>
        <v>42083</v>
      </c>
      <c r="B1820">
        <f>+ROUND(Get_Data!B1819,5)</f>
        <v>81.067310000000006</v>
      </c>
      <c r="C1820">
        <f>+ROUND(Get_Data!C1819,5)</f>
        <v>33.934939999999997</v>
      </c>
      <c r="D1820" s="4">
        <f t="shared" si="29"/>
        <v>2.3889038849044675</v>
      </c>
    </row>
    <row r="1821" spans="1:4">
      <c r="A1821" s="2">
        <f>+Get_Data!A1820</f>
        <v>42086</v>
      </c>
      <c r="B1821">
        <f>+ROUND(Get_Data!B1820,5)</f>
        <v>81.500979999999998</v>
      </c>
      <c r="C1821">
        <f>+ROUND(Get_Data!C1820,5)</f>
        <v>33.909889999999997</v>
      </c>
      <c r="D1821" s="4">
        <f t="shared" si="29"/>
        <v>2.4034575163764909</v>
      </c>
    </row>
    <row r="1822" spans="1:4">
      <c r="A1822" s="2">
        <f>+Get_Data!A1821</f>
        <v>42087</v>
      </c>
      <c r="B1822">
        <f>+ROUND(Get_Data!B1821,5)</f>
        <v>81.509479999999996</v>
      </c>
      <c r="C1822">
        <f>+ROUND(Get_Data!C1821,5)</f>
        <v>33.784669999999998</v>
      </c>
      <c r="D1822" s="4">
        <f t="shared" si="29"/>
        <v>2.4126173202224561</v>
      </c>
    </row>
    <row r="1823" spans="1:4">
      <c r="A1823" s="2">
        <f>+Get_Data!A1822</f>
        <v>42088</v>
      </c>
      <c r="B1823">
        <f>+ROUND(Get_Data!B1822,5)</f>
        <v>80.999300000000005</v>
      </c>
      <c r="C1823">
        <f>+ROUND(Get_Data!C1822,5)</f>
        <v>33.767980000000001</v>
      </c>
      <c r="D1823" s="4">
        <f t="shared" si="29"/>
        <v>2.3987013733128246</v>
      </c>
    </row>
    <row r="1824" spans="1:4">
      <c r="A1824" s="2">
        <f>+Get_Data!A1823</f>
        <v>42089</v>
      </c>
      <c r="B1824">
        <f>+ROUND(Get_Data!B1823,5)</f>
        <v>81.313919999999996</v>
      </c>
      <c r="C1824">
        <f>+ROUND(Get_Data!C1823,5)</f>
        <v>33.684489999999997</v>
      </c>
      <c r="D1824" s="4">
        <f t="shared" si="29"/>
        <v>2.4139869714518465</v>
      </c>
    </row>
    <row r="1825" spans="1:4">
      <c r="A1825" s="2">
        <f>+Get_Data!A1824</f>
        <v>42090</v>
      </c>
      <c r="B1825">
        <f>+ROUND(Get_Data!B1824,5)</f>
        <v>81.585999999999999</v>
      </c>
      <c r="C1825">
        <f>+ROUND(Get_Data!C1824,5)</f>
        <v>33.459090000000003</v>
      </c>
      <c r="D1825" s="4">
        <f t="shared" si="29"/>
        <v>2.4383807210536803</v>
      </c>
    </row>
    <row r="1826" spans="1:4">
      <c r="A1826" s="2">
        <f>+Get_Data!A1825</f>
        <v>42093</v>
      </c>
      <c r="B1826">
        <f>+ROUND(Get_Data!B1825,5)</f>
        <v>82.070660000000004</v>
      </c>
      <c r="C1826">
        <f>+ROUND(Get_Data!C1825,5)</f>
        <v>33.818069999999999</v>
      </c>
      <c r="D1826" s="4">
        <f t="shared" si="29"/>
        <v>2.42682861558924</v>
      </c>
    </row>
    <row r="1827" spans="1:4">
      <c r="A1827" s="2">
        <f>+Get_Data!A1826</f>
        <v>42094</v>
      </c>
      <c r="B1827">
        <f>+ROUND(Get_Data!B1826,5)</f>
        <v>81.305400000000006</v>
      </c>
      <c r="C1827">
        <f>+ROUND(Get_Data!C1826,5)</f>
        <v>33.85145</v>
      </c>
      <c r="D1827" s="4">
        <f t="shared" si="29"/>
        <v>2.4018291683221844</v>
      </c>
    </row>
    <row r="1828" spans="1:4">
      <c r="A1828" s="2">
        <f>+Get_Data!A1827</f>
        <v>42095</v>
      </c>
      <c r="B1828">
        <f>+ROUND(Get_Data!B1827,5)</f>
        <v>80.854740000000007</v>
      </c>
      <c r="C1828">
        <f>+ROUND(Get_Data!C1827,5)</f>
        <v>33.959989999999998</v>
      </c>
      <c r="D1828" s="4">
        <f t="shared" si="29"/>
        <v>2.3808823265260095</v>
      </c>
    </row>
    <row r="1829" spans="1:4">
      <c r="A1829" s="2">
        <f>+Get_Data!A1828</f>
        <v>42096</v>
      </c>
      <c r="B1829">
        <f>+ROUND(Get_Data!B1828,5)</f>
        <v>81.364919999999998</v>
      </c>
      <c r="C1829">
        <f>+ROUND(Get_Data!C1828,5)</f>
        <v>33.959989999999998</v>
      </c>
      <c r="D1829" s="4">
        <f t="shared" si="29"/>
        <v>2.3959052991476146</v>
      </c>
    </row>
    <row r="1830" spans="1:4">
      <c r="A1830" s="2">
        <f>+Get_Data!A1829</f>
        <v>42100</v>
      </c>
      <c r="B1830">
        <f>+ROUND(Get_Data!B1829,5)</f>
        <v>82.036649999999995</v>
      </c>
      <c r="C1830">
        <f>+ROUND(Get_Data!C1829,5)</f>
        <v>34.369039999999998</v>
      </c>
      <c r="D1830" s="4">
        <f t="shared" si="29"/>
        <v>2.3869345783297993</v>
      </c>
    </row>
    <row r="1831" spans="1:4">
      <c r="A1831" s="2">
        <f>+Get_Data!A1830</f>
        <v>42101</v>
      </c>
      <c r="B1831">
        <f>+ROUND(Get_Data!B1830,5)</f>
        <v>81.807079999999999</v>
      </c>
      <c r="C1831">
        <f>+ROUND(Get_Data!C1830,5)</f>
        <v>34.235460000000003</v>
      </c>
      <c r="D1831" s="4">
        <f t="shared" si="29"/>
        <v>2.3895423049668381</v>
      </c>
    </row>
    <row r="1832" spans="1:4">
      <c r="A1832" s="2">
        <f>+Get_Data!A1831</f>
        <v>42102</v>
      </c>
      <c r="B1832">
        <f>+ROUND(Get_Data!B1831,5)</f>
        <v>81.654020000000003</v>
      </c>
      <c r="C1832">
        <f>+ROUND(Get_Data!C1831,5)</f>
        <v>34.135289999999998</v>
      </c>
      <c r="D1832" s="4">
        <f t="shared" si="29"/>
        <v>2.3920704936152588</v>
      </c>
    </row>
    <row r="1833" spans="1:4">
      <c r="A1833" s="2">
        <f>+Get_Data!A1832</f>
        <v>42103</v>
      </c>
      <c r="B1833">
        <f>+ROUND(Get_Data!B1832,5)</f>
        <v>81.926119999999997</v>
      </c>
      <c r="C1833">
        <f>+ROUND(Get_Data!C1832,5)</f>
        <v>34.268859999999997</v>
      </c>
      <c r="D1833" s="4">
        <f t="shared" si="29"/>
        <v>2.3906870552449075</v>
      </c>
    </row>
    <row r="1834" spans="1:4">
      <c r="A1834" s="2">
        <f>+Get_Data!A1833</f>
        <v>42104</v>
      </c>
      <c r="B1834">
        <f>+ROUND(Get_Data!B1833,5)</f>
        <v>81.798559999999995</v>
      </c>
      <c r="C1834">
        <f>+ROUND(Get_Data!C1833,5)</f>
        <v>34.126930000000002</v>
      </c>
      <c r="D1834" s="4">
        <f t="shared" si="29"/>
        <v>2.3968918387912419</v>
      </c>
    </row>
    <row r="1835" spans="1:4">
      <c r="A1835" s="2">
        <f>+Get_Data!A1834</f>
        <v>42107</v>
      </c>
      <c r="B1835">
        <f>+ROUND(Get_Data!B1834,5)</f>
        <v>81.228859999999997</v>
      </c>
      <c r="C1835">
        <f>+ROUND(Get_Data!C1834,5)</f>
        <v>33.976669999999999</v>
      </c>
      <c r="D1835" s="4">
        <f t="shared" si="29"/>
        <v>2.3907245765991783</v>
      </c>
    </row>
    <row r="1836" spans="1:4">
      <c r="A1836" s="2">
        <f>+Get_Data!A1835</f>
        <v>42108</v>
      </c>
      <c r="B1836">
        <f>+ROUND(Get_Data!B1835,5)</f>
        <v>82.045140000000004</v>
      </c>
      <c r="C1836">
        <f>+ROUND(Get_Data!C1835,5)</f>
        <v>33.818069999999999</v>
      </c>
      <c r="D1836" s="4">
        <f t="shared" si="29"/>
        <v>2.4260739894381911</v>
      </c>
    </row>
    <row r="1837" spans="1:4">
      <c r="A1837" s="2">
        <f>+Get_Data!A1836</f>
        <v>42109</v>
      </c>
      <c r="B1837">
        <f>+ROUND(Get_Data!B1836,5)</f>
        <v>82.164190000000005</v>
      </c>
      <c r="C1837">
        <f>+ROUND(Get_Data!C1836,5)</f>
        <v>33.726230000000001</v>
      </c>
      <c r="D1837" s="4">
        <f t="shared" si="29"/>
        <v>2.4362103324326498</v>
      </c>
    </row>
    <row r="1838" spans="1:4">
      <c r="A1838" s="2">
        <f>+Get_Data!A1837</f>
        <v>42110</v>
      </c>
      <c r="B1838">
        <f>+ROUND(Get_Data!B1837,5)</f>
        <v>82.011150000000001</v>
      </c>
      <c r="C1838">
        <f>+ROUND(Get_Data!C1837,5)</f>
        <v>33.8932</v>
      </c>
      <c r="D1838" s="4">
        <f t="shared" si="29"/>
        <v>2.4196933308156208</v>
      </c>
    </row>
    <row r="1839" spans="1:4">
      <c r="A1839" s="2">
        <f>+Get_Data!A1838</f>
        <v>42111</v>
      </c>
      <c r="B1839">
        <f>+ROUND(Get_Data!B1838,5)</f>
        <v>81.466970000000003</v>
      </c>
      <c r="C1839">
        <f>+ROUND(Get_Data!C1838,5)</f>
        <v>33.642749999999999</v>
      </c>
      <c r="D1839" s="4">
        <f t="shared" si="29"/>
        <v>2.421531236299054</v>
      </c>
    </row>
    <row r="1840" spans="1:4">
      <c r="A1840" s="2">
        <f>+Get_Data!A1839</f>
        <v>42114</v>
      </c>
      <c r="B1840">
        <f>+ROUND(Get_Data!B1839,5)</f>
        <v>82.053669999999997</v>
      </c>
      <c r="C1840">
        <f>+ROUND(Get_Data!C1839,5)</f>
        <v>33.943280000000001</v>
      </c>
      <c r="D1840" s="4">
        <f t="shared" si="29"/>
        <v>2.4173759872351757</v>
      </c>
    </row>
    <row r="1841" spans="1:4">
      <c r="A1841" s="2">
        <f>+Get_Data!A1840</f>
        <v>42115</v>
      </c>
      <c r="B1841">
        <f>+ROUND(Get_Data!B1840,5)</f>
        <v>82.291740000000004</v>
      </c>
      <c r="C1841">
        <f>+ROUND(Get_Data!C1840,5)</f>
        <v>34.04345</v>
      </c>
      <c r="D1841" s="4">
        <f t="shared" si="29"/>
        <v>2.4172561829074315</v>
      </c>
    </row>
    <row r="1842" spans="1:4">
      <c r="A1842" s="2">
        <f>+Get_Data!A1841</f>
        <v>42116</v>
      </c>
      <c r="B1842">
        <f>+ROUND(Get_Data!B1841,5)</f>
        <v>82.716899999999995</v>
      </c>
      <c r="C1842">
        <f>+ROUND(Get_Data!C1841,5)</f>
        <v>34.485900000000001</v>
      </c>
      <c r="D1842" s="4">
        <f t="shared" si="29"/>
        <v>2.3985715901281393</v>
      </c>
    </row>
    <row r="1843" spans="1:4">
      <c r="A1843" s="2">
        <f>+Get_Data!A1842</f>
        <v>42117</v>
      </c>
      <c r="B1843">
        <f>+ROUND(Get_Data!B1842,5)</f>
        <v>81.398939999999996</v>
      </c>
      <c r="C1843">
        <f>+ROUND(Get_Data!C1842,5)</f>
        <v>34.185380000000002</v>
      </c>
      <c r="D1843" s="4">
        <f t="shared" si="29"/>
        <v>2.3811038519975494</v>
      </c>
    </row>
    <row r="1844" spans="1:4">
      <c r="A1844" s="2">
        <f>+Get_Data!A1843</f>
        <v>42118</v>
      </c>
      <c r="B1844">
        <f>+ROUND(Get_Data!B1843,5)</f>
        <v>80.922759999999997</v>
      </c>
      <c r="C1844">
        <f>+ROUND(Get_Data!C1843,5)</f>
        <v>34.135289999999998</v>
      </c>
      <c r="D1844" s="4">
        <f t="shared" si="29"/>
        <v>2.3706480888253769</v>
      </c>
    </row>
    <row r="1845" spans="1:4">
      <c r="A1845" s="2">
        <f>+Get_Data!A1844</f>
        <v>42121</v>
      </c>
      <c r="B1845">
        <f>+ROUND(Get_Data!B1844,5)</f>
        <v>80.344570000000004</v>
      </c>
      <c r="C1845">
        <f>+ROUND(Get_Data!C1844,5)</f>
        <v>34.085209999999996</v>
      </c>
      <c r="D1845" s="4">
        <f t="shared" si="29"/>
        <v>2.3571681089833394</v>
      </c>
    </row>
    <row r="1846" spans="1:4">
      <c r="A1846" s="2">
        <f>+Get_Data!A1845</f>
        <v>42122</v>
      </c>
      <c r="B1846">
        <f>+ROUND(Get_Data!B1845,5)</f>
        <v>80.285030000000006</v>
      </c>
      <c r="C1846">
        <f>+ROUND(Get_Data!C1845,5)</f>
        <v>34.035110000000003</v>
      </c>
      <c r="D1846" s="4">
        <f t="shared" si="29"/>
        <v>2.3588885124802004</v>
      </c>
    </row>
    <row r="1847" spans="1:4">
      <c r="A1847" s="2">
        <f>+Get_Data!A1846</f>
        <v>42123</v>
      </c>
      <c r="B1847">
        <f>+ROUND(Get_Data!B1846,5)</f>
        <v>80.251009999999994</v>
      </c>
      <c r="C1847">
        <f>+ROUND(Get_Data!C1846,5)</f>
        <v>33.801369999999999</v>
      </c>
      <c r="D1847" s="4">
        <f t="shared" si="29"/>
        <v>2.3741940045625367</v>
      </c>
    </row>
    <row r="1848" spans="1:4">
      <c r="A1848" s="2">
        <f>+Get_Data!A1847</f>
        <v>42124</v>
      </c>
      <c r="B1848">
        <f>+ROUND(Get_Data!B1847,5)</f>
        <v>80.880260000000007</v>
      </c>
      <c r="C1848">
        <f>+ROUND(Get_Data!C1847,5)</f>
        <v>33.8598</v>
      </c>
      <c r="D1848" s="4">
        <f t="shared" si="29"/>
        <v>2.3886809727169092</v>
      </c>
    </row>
    <row r="1849" spans="1:4">
      <c r="A1849" s="2">
        <f>+Get_Data!A1848</f>
        <v>42125</v>
      </c>
      <c r="B1849">
        <f>+ROUND(Get_Data!B1848,5)</f>
        <v>81.254379999999998</v>
      </c>
      <c r="C1849">
        <f>+ROUND(Get_Data!C1848,5)</f>
        <v>34.151989999999998</v>
      </c>
      <c r="D1849" s="4">
        <f t="shared" si="29"/>
        <v>2.3791989866476304</v>
      </c>
    </row>
    <row r="1850" spans="1:4">
      <c r="A1850" s="2">
        <f>+Get_Data!A1849</f>
        <v>42128</v>
      </c>
      <c r="B1850">
        <f>+ROUND(Get_Data!B1849,5)</f>
        <v>81.585999999999999</v>
      </c>
      <c r="C1850">
        <f>+ROUND(Get_Data!C1849,5)</f>
        <v>34.193730000000002</v>
      </c>
      <c r="D1850" s="4">
        <f t="shared" si="29"/>
        <v>2.3859929876032826</v>
      </c>
    </row>
    <row r="1851" spans="1:4">
      <c r="A1851" s="2">
        <f>+Get_Data!A1850</f>
        <v>42129</v>
      </c>
      <c r="B1851">
        <f>+ROUND(Get_Data!B1850,5)</f>
        <v>81.135350000000003</v>
      </c>
      <c r="C1851">
        <f>+ROUND(Get_Data!C1850,5)</f>
        <v>34.018419999999999</v>
      </c>
      <c r="D1851" s="4">
        <f t="shared" si="29"/>
        <v>2.385041692118564</v>
      </c>
    </row>
    <row r="1852" spans="1:4">
      <c r="A1852" s="2">
        <f>+Get_Data!A1851</f>
        <v>42130</v>
      </c>
      <c r="B1852">
        <f>+ROUND(Get_Data!B1851,5)</f>
        <v>81.186369999999997</v>
      </c>
      <c r="C1852">
        <f>+ROUND(Get_Data!C1851,5)</f>
        <v>33.943280000000001</v>
      </c>
      <c r="D1852" s="4">
        <f t="shared" si="29"/>
        <v>2.3918245378761274</v>
      </c>
    </row>
    <row r="1853" spans="1:4">
      <c r="A1853" s="2">
        <f>+Get_Data!A1852</f>
        <v>42131</v>
      </c>
      <c r="B1853">
        <f>+ROUND(Get_Data!B1852,5)</f>
        <v>80.905760000000001</v>
      </c>
      <c r="C1853">
        <f>+ROUND(Get_Data!C1852,5)</f>
        <v>33.976669999999999</v>
      </c>
      <c r="D1853" s="4">
        <f t="shared" si="29"/>
        <v>2.3812151102506514</v>
      </c>
    </row>
    <row r="1854" spans="1:4">
      <c r="A1854" s="2">
        <f>+Get_Data!A1853</f>
        <v>42132</v>
      </c>
      <c r="B1854">
        <f>+ROUND(Get_Data!B1853,5)</f>
        <v>82.096199999999996</v>
      </c>
      <c r="C1854">
        <f>+ROUND(Get_Data!C1853,5)</f>
        <v>34.210419999999999</v>
      </c>
      <c r="D1854" s="4">
        <f t="shared" si="29"/>
        <v>2.399742534584492</v>
      </c>
    </row>
    <row r="1855" spans="1:4">
      <c r="A1855" s="2">
        <f>+Get_Data!A1854</f>
        <v>42135</v>
      </c>
      <c r="B1855">
        <f>+ROUND(Get_Data!B1854,5)</f>
        <v>81.926119999999997</v>
      </c>
      <c r="C1855">
        <f>+ROUND(Get_Data!C1854,5)</f>
        <v>34.177019999999999</v>
      </c>
      <c r="D1855" s="4">
        <f t="shared" si="29"/>
        <v>2.3971112753540242</v>
      </c>
    </row>
    <row r="1856" spans="1:4">
      <c r="A1856" s="2">
        <f>+Get_Data!A1855</f>
        <v>42136</v>
      </c>
      <c r="B1856">
        <f>+ROUND(Get_Data!B1855,5)</f>
        <v>81.798559999999995</v>
      </c>
      <c r="C1856">
        <f>+ROUND(Get_Data!C1855,5)</f>
        <v>33.968319999999999</v>
      </c>
      <c r="D1856" s="4">
        <f t="shared" si="29"/>
        <v>2.4080837674633306</v>
      </c>
    </row>
    <row r="1857" spans="1:4">
      <c r="A1857" s="2">
        <f>+Get_Data!A1856</f>
        <v>42137</v>
      </c>
      <c r="B1857">
        <f>+ROUND(Get_Data!B1856,5)</f>
        <v>81.977130000000002</v>
      </c>
      <c r="C1857">
        <f>+ROUND(Get_Data!C1856,5)</f>
        <v>34.268859999999997</v>
      </c>
      <c r="D1857" s="4">
        <f t="shared" si="29"/>
        <v>2.3921755786448693</v>
      </c>
    </row>
    <row r="1858" spans="1:4">
      <c r="A1858" s="2">
        <f>+Get_Data!A1857</f>
        <v>42138</v>
      </c>
      <c r="B1858">
        <f>+ROUND(Get_Data!B1857,5)</f>
        <v>83.329120000000003</v>
      </c>
      <c r="C1858">
        <f>+ROUND(Get_Data!C1857,5)</f>
        <v>34.644509999999997</v>
      </c>
      <c r="D1858" s="4">
        <f t="shared" si="29"/>
        <v>2.4052619015249461</v>
      </c>
    </row>
    <row r="1859" spans="1:4">
      <c r="A1859" s="2">
        <f>+Get_Data!A1858</f>
        <v>42139</v>
      </c>
      <c r="B1859">
        <f>+ROUND(Get_Data!B1858,5)</f>
        <v>83.516180000000006</v>
      </c>
      <c r="C1859">
        <f>+ROUND(Get_Data!C1858,5)</f>
        <v>34.66122</v>
      </c>
      <c r="D1859" s="4">
        <f t="shared" si="29"/>
        <v>2.4094991463081796</v>
      </c>
    </row>
    <row r="1860" spans="1:4">
      <c r="A1860" s="2">
        <f>+Get_Data!A1859</f>
        <v>42142</v>
      </c>
      <c r="B1860">
        <f>+ROUND(Get_Data!B1859,5)</f>
        <v>83.371629999999996</v>
      </c>
      <c r="C1860">
        <f>+ROUND(Get_Data!C1859,5)</f>
        <v>34.494239999999998</v>
      </c>
      <c r="D1860" s="4">
        <f t="shared" ref="D1860:D1923" si="30">IFERROR(B1860/C1860,"")</f>
        <v>2.4169725148314618</v>
      </c>
    </row>
    <row r="1861" spans="1:4">
      <c r="A1861" s="2">
        <f>+Get_Data!A1860</f>
        <v>42143</v>
      </c>
      <c r="B1861">
        <f>+ROUND(Get_Data!B1860,5)</f>
        <v>83.286600000000007</v>
      </c>
      <c r="C1861">
        <f>+ROUND(Get_Data!C1860,5)</f>
        <v>34.485900000000001</v>
      </c>
      <c r="D1861" s="4">
        <f t="shared" si="30"/>
        <v>2.4150913851748106</v>
      </c>
    </row>
    <row r="1862" spans="1:4">
      <c r="A1862" s="2">
        <f>+Get_Data!A1861</f>
        <v>42144</v>
      </c>
      <c r="B1862">
        <f>+ROUND(Get_Data!B1861,5)</f>
        <v>83.065529999999995</v>
      </c>
      <c r="C1862">
        <f>+ROUND(Get_Data!C1861,5)</f>
        <v>34.519289999999998</v>
      </c>
      <c r="D1862" s="4">
        <f t="shared" si="30"/>
        <v>2.4063510576260403</v>
      </c>
    </row>
    <row r="1863" spans="1:4">
      <c r="A1863" s="2">
        <f>+Get_Data!A1862</f>
        <v>42145</v>
      </c>
      <c r="B1863">
        <f>+ROUND(Get_Data!B1862,5)</f>
        <v>82.648880000000005</v>
      </c>
      <c r="C1863">
        <f>+ROUND(Get_Data!C1862,5)</f>
        <v>34.419119999999999</v>
      </c>
      <c r="D1863" s="4">
        <f t="shared" si="30"/>
        <v>2.4012490731895531</v>
      </c>
    </row>
    <row r="1864" spans="1:4">
      <c r="A1864" s="2">
        <f>+Get_Data!A1863</f>
        <v>42146</v>
      </c>
      <c r="B1864">
        <f>+ROUND(Get_Data!B1863,5)</f>
        <v>81.849590000000006</v>
      </c>
      <c r="C1864">
        <f>+ROUND(Get_Data!C1863,5)</f>
        <v>34.402430000000003</v>
      </c>
      <c r="D1864" s="4">
        <f t="shared" si="30"/>
        <v>2.3791804823089531</v>
      </c>
    </row>
    <row r="1865" spans="1:4">
      <c r="A1865" s="2">
        <f>+Get_Data!A1864</f>
        <v>42150</v>
      </c>
      <c r="B1865">
        <f>+ROUND(Get_Data!B1864,5)</f>
        <v>81.449969999999993</v>
      </c>
      <c r="C1865">
        <f>+ROUND(Get_Data!C1864,5)</f>
        <v>34.218769999999999</v>
      </c>
      <c r="D1865" s="4">
        <f t="shared" si="30"/>
        <v>2.3802717046813782</v>
      </c>
    </row>
    <row r="1866" spans="1:4">
      <c r="A1866" s="2">
        <f>+Get_Data!A1865</f>
        <v>42151</v>
      </c>
      <c r="B1866">
        <f>+ROUND(Get_Data!B1865,5)</f>
        <v>81.951639999999998</v>
      </c>
      <c r="C1866">
        <f>+ROUND(Get_Data!C1865,5)</f>
        <v>34.327289999999998</v>
      </c>
      <c r="D1866" s="4">
        <f t="shared" si="30"/>
        <v>2.3873611928002472</v>
      </c>
    </row>
    <row r="1867" spans="1:4">
      <c r="A1867" s="2">
        <f>+Get_Data!A1866</f>
        <v>42152</v>
      </c>
      <c r="B1867">
        <f>+ROUND(Get_Data!B1866,5)</f>
        <v>82.529830000000004</v>
      </c>
      <c r="C1867">
        <f>+ROUND(Get_Data!C1866,5)</f>
        <v>34.343989999999998</v>
      </c>
      <c r="D1867" s="4">
        <f t="shared" si="30"/>
        <v>2.4030355820625386</v>
      </c>
    </row>
    <row r="1868" spans="1:4">
      <c r="A1868" s="2">
        <f>+Get_Data!A1867</f>
        <v>42153</v>
      </c>
      <c r="B1868">
        <f>+ROUND(Get_Data!B1867,5)</f>
        <v>81.994140000000002</v>
      </c>
      <c r="C1868">
        <f>+ROUND(Get_Data!C1867,5)</f>
        <v>34.193730000000002</v>
      </c>
      <c r="D1868" s="4">
        <f t="shared" si="30"/>
        <v>2.3979290940181137</v>
      </c>
    </row>
    <row r="1869" spans="1:4">
      <c r="A1869" s="2">
        <f>+Get_Data!A1868</f>
        <v>42156</v>
      </c>
      <c r="B1869">
        <f>+ROUND(Get_Data!B1868,5)</f>
        <v>81.602999999999994</v>
      </c>
      <c r="C1869">
        <f>+ROUND(Get_Data!C1868,5)</f>
        <v>34.177019999999999</v>
      </c>
      <c r="D1869" s="4">
        <f t="shared" si="30"/>
        <v>2.3876569695075811</v>
      </c>
    </row>
    <row r="1870" spans="1:4">
      <c r="A1870" s="2">
        <f>+Get_Data!A1869</f>
        <v>42157</v>
      </c>
      <c r="B1870">
        <f>+ROUND(Get_Data!B1869,5)</f>
        <v>81.671030000000002</v>
      </c>
      <c r="C1870">
        <f>+ROUND(Get_Data!C1869,5)</f>
        <v>34.218769999999999</v>
      </c>
      <c r="D1870" s="4">
        <f t="shared" si="30"/>
        <v>2.3867319018187971</v>
      </c>
    </row>
    <row r="1871" spans="1:4">
      <c r="A1871" s="2">
        <f>+Get_Data!A1870</f>
        <v>42158</v>
      </c>
      <c r="B1871">
        <f>+ROUND(Get_Data!B1870,5)</f>
        <v>81.630750000000006</v>
      </c>
      <c r="C1871">
        <f>+ROUND(Get_Data!C1870,5)</f>
        <v>34.118600000000001</v>
      </c>
      <c r="D1871" s="4">
        <f t="shared" si="30"/>
        <v>2.3925586043976015</v>
      </c>
    </row>
    <row r="1872" spans="1:4">
      <c r="A1872" s="2">
        <f>+Get_Data!A1871</f>
        <v>42159</v>
      </c>
      <c r="B1872">
        <f>+ROUND(Get_Data!B1871,5)</f>
        <v>80.637150000000005</v>
      </c>
      <c r="C1872">
        <f>+ROUND(Get_Data!C1871,5)</f>
        <v>33.884839999999997</v>
      </c>
      <c r="D1872" s="4">
        <f t="shared" si="30"/>
        <v>2.3797412058017691</v>
      </c>
    </row>
    <row r="1873" spans="1:4">
      <c r="A1873" s="2">
        <f>+Get_Data!A1872</f>
        <v>42160</v>
      </c>
      <c r="B1873">
        <f>+ROUND(Get_Data!B1872,5)</f>
        <v>79.703509999999994</v>
      </c>
      <c r="C1873">
        <f>+ROUND(Get_Data!C1872,5)</f>
        <v>33.475790000000003</v>
      </c>
      <c r="D1873" s="4">
        <f t="shared" si="30"/>
        <v>2.3809299198017428</v>
      </c>
    </row>
    <row r="1874" spans="1:4">
      <c r="A1874" s="2">
        <f>+Get_Data!A1873</f>
        <v>42163</v>
      </c>
      <c r="B1874">
        <f>+ROUND(Get_Data!B1873,5)</f>
        <v>79.523610000000005</v>
      </c>
      <c r="C1874">
        <f>+ROUND(Get_Data!C1873,5)</f>
        <v>33.525880000000001</v>
      </c>
      <c r="D1874" s="4">
        <f t="shared" si="30"/>
        <v>2.3720066408398526</v>
      </c>
    </row>
    <row r="1875" spans="1:4">
      <c r="A1875" s="2">
        <f>+Get_Data!A1874</f>
        <v>42164</v>
      </c>
      <c r="B1875">
        <f>+ROUND(Get_Data!B1874,5)</f>
        <v>79.72063</v>
      </c>
      <c r="C1875">
        <f>+ROUND(Get_Data!C1874,5)</f>
        <v>33.559280000000001</v>
      </c>
      <c r="D1875" s="4">
        <f t="shared" si="30"/>
        <v>2.3755166976168738</v>
      </c>
    </row>
    <row r="1876" spans="1:4">
      <c r="A1876" s="2">
        <f>+Get_Data!A1875</f>
        <v>42165</v>
      </c>
      <c r="B1876">
        <f>+ROUND(Get_Data!B1875,5)</f>
        <v>80.251689999999996</v>
      </c>
      <c r="C1876">
        <f>+ROUND(Get_Data!C1875,5)</f>
        <v>33.6678</v>
      </c>
      <c r="D1876" s="4">
        <f t="shared" si="30"/>
        <v>2.3836333232346631</v>
      </c>
    </row>
    <row r="1877" spans="1:4">
      <c r="A1877" s="2">
        <f>+Get_Data!A1876</f>
        <v>42166</v>
      </c>
      <c r="B1877">
        <f>+ROUND(Get_Data!B1876,5)</f>
        <v>80.594319999999996</v>
      </c>
      <c r="C1877">
        <f>+ROUND(Get_Data!C1876,5)</f>
        <v>33.751959999999997</v>
      </c>
      <c r="D1877" s="4">
        <f t="shared" si="30"/>
        <v>2.3878411801862769</v>
      </c>
    </row>
    <row r="1878" spans="1:4">
      <c r="A1878" s="2">
        <f>+Get_Data!A1877</f>
        <v>42167</v>
      </c>
      <c r="B1878">
        <f>+ROUND(Get_Data!B1877,5)</f>
        <v>80.294539999999998</v>
      </c>
      <c r="C1878">
        <f>+ROUND(Get_Data!C1877,5)</f>
        <v>33.634120000000003</v>
      </c>
      <c r="D1878" s="4">
        <f t="shared" si="30"/>
        <v>2.3872942119490563</v>
      </c>
    </row>
    <row r="1879" spans="1:4">
      <c r="A1879" s="2">
        <f>+Get_Data!A1878</f>
        <v>42170</v>
      </c>
      <c r="B1879">
        <f>+ROUND(Get_Data!B1878,5)</f>
        <v>79.352320000000006</v>
      </c>
      <c r="C1879">
        <f>+ROUND(Get_Data!C1878,5)</f>
        <v>33.322710000000001</v>
      </c>
      <c r="D1879" s="4">
        <f t="shared" si="30"/>
        <v>2.3813285294023205</v>
      </c>
    </row>
    <row r="1880" spans="1:4">
      <c r="A1880" s="2">
        <f>+Get_Data!A1879</f>
        <v>42171</v>
      </c>
      <c r="B1880">
        <f>+ROUND(Get_Data!B1879,5)</f>
        <v>80.131780000000006</v>
      </c>
      <c r="C1880">
        <f>+ROUND(Get_Data!C1879,5)</f>
        <v>33.735140000000001</v>
      </c>
      <c r="D1880" s="4">
        <f t="shared" si="30"/>
        <v>2.3753208079172046</v>
      </c>
    </row>
    <row r="1881" spans="1:4">
      <c r="A1881" s="2">
        <f>+Get_Data!A1880</f>
        <v>42172</v>
      </c>
      <c r="B1881">
        <f>+ROUND(Get_Data!B1880,5)</f>
        <v>80.560069999999996</v>
      </c>
      <c r="C1881">
        <f>+ROUND(Get_Data!C1880,5)</f>
        <v>33.895060000000001</v>
      </c>
      <c r="D1881" s="4">
        <f t="shared" si="30"/>
        <v>2.3767495912383692</v>
      </c>
    </row>
    <row r="1882" spans="1:4">
      <c r="A1882" s="2">
        <f>+Get_Data!A1881</f>
        <v>42173</v>
      </c>
      <c r="B1882">
        <f>+ROUND(Get_Data!B1881,5)</f>
        <v>81.570830000000001</v>
      </c>
      <c r="C1882">
        <f>+ROUND(Get_Data!C1881,5)</f>
        <v>34.214889999999997</v>
      </c>
      <c r="D1882" s="4">
        <f t="shared" si="30"/>
        <v>2.3840740098828319</v>
      </c>
    </row>
    <row r="1883" spans="1:4">
      <c r="A1883" s="2">
        <f>+Get_Data!A1882</f>
        <v>42174</v>
      </c>
      <c r="B1883">
        <f>+ROUND(Get_Data!B1882,5)</f>
        <v>81.253870000000006</v>
      </c>
      <c r="C1883">
        <f>+ROUND(Get_Data!C1882,5)</f>
        <v>34.004489999999997</v>
      </c>
      <c r="D1883" s="4">
        <f t="shared" si="30"/>
        <v>2.3895041507753834</v>
      </c>
    </row>
    <row r="1884" spans="1:4">
      <c r="A1884" s="2">
        <f>+Get_Data!A1883</f>
        <v>42177</v>
      </c>
      <c r="B1884">
        <f>+ROUND(Get_Data!B1883,5)</f>
        <v>81.887749999999997</v>
      </c>
      <c r="C1884">
        <f>+ROUND(Get_Data!C1883,5)</f>
        <v>34.071809999999999</v>
      </c>
      <c r="D1884" s="4">
        <f t="shared" si="30"/>
        <v>2.4033871402781362</v>
      </c>
    </row>
    <row r="1885" spans="1:4">
      <c r="A1885" s="2">
        <f>+Get_Data!A1884</f>
        <v>42178</v>
      </c>
      <c r="B1885">
        <f>+ROUND(Get_Data!B1884,5)</f>
        <v>81.887749999999997</v>
      </c>
      <c r="C1885">
        <f>+ROUND(Get_Data!C1884,5)</f>
        <v>33.987639999999999</v>
      </c>
      <c r="D1885" s="4">
        <f t="shared" si="30"/>
        <v>2.4093391009202167</v>
      </c>
    </row>
    <row r="1886" spans="1:4">
      <c r="A1886" s="2">
        <f>+Get_Data!A1885</f>
        <v>42179</v>
      </c>
      <c r="B1886">
        <f>+ROUND(Get_Data!B1885,5)</f>
        <v>81.622200000000007</v>
      </c>
      <c r="C1886">
        <f>+ROUND(Get_Data!C1885,5)</f>
        <v>33.827719999999999</v>
      </c>
      <c r="D1886" s="4">
        <f t="shared" si="30"/>
        <v>2.4128791417216418</v>
      </c>
    </row>
    <row r="1887" spans="1:4">
      <c r="A1887" s="2">
        <f>+Get_Data!A1886</f>
        <v>42180</v>
      </c>
      <c r="B1887">
        <f>+ROUND(Get_Data!B1886,5)</f>
        <v>81.228189999999998</v>
      </c>
      <c r="C1887">
        <f>+ROUND(Get_Data!C1886,5)</f>
        <v>33.684620000000002</v>
      </c>
      <c r="D1887" s="4">
        <f t="shared" si="30"/>
        <v>2.4114325766477398</v>
      </c>
    </row>
    <row r="1888" spans="1:4">
      <c r="A1888" s="2">
        <f>+Get_Data!A1887</f>
        <v>42181</v>
      </c>
      <c r="B1888">
        <f>+ROUND(Get_Data!B1887,5)</f>
        <v>81.296710000000004</v>
      </c>
      <c r="C1888">
        <f>+ROUND(Get_Data!C1887,5)</f>
        <v>33.6678</v>
      </c>
      <c r="D1888" s="4">
        <f t="shared" si="30"/>
        <v>2.4146724763720826</v>
      </c>
    </row>
    <row r="1889" spans="1:4">
      <c r="A1889" s="2">
        <f>+Get_Data!A1888</f>
        <v>42184</v>
      </c>
      <c r="B1889">
        <f>+ROUND(Get_Data!B1888,5)</f>
        <v>80.251689999999996</v>
      </c>
      <c r="C1889">
        <f>+ROUND(Get_Data!C1888,5)</f>
        <v>33.162770000000002</v>
      </c>
      <c r="D1889" s="4">
        <f t="shared" si="30"/>
        <v>2.4199332564800828</v>
      </c>
    </row>
    <row r="1890" spans="1:4">
      <c r="A1890" s="2">
        <f>+Get_Data!A1889</f>
        <v>42185</v>
      </c>
      <c r="B1890">
        <f>+ROUND(Get_Data!B1889,5)</f>
        <v>79.951899999999995</v>
      </c>
      <c r="C1890">
        <f>+ROUND(Get_Data!C1889,5)</f>
        <v>33.0197</v>
      </c>
      <c r="D1890" s="4">
        <f t="shared" si="30"/>
        <v>2.4213393822475671</v>
      </c>
    </row>
    <row r="1891" spans="1:4">
      <c r="A1891" s="2">
        <f>+Get_Data!A1890</f>
        <v>42186</v>
      </c>
      <c r="B1891">
        <f>+ROUND(Get_Data!B1890,5)</f>
        <v>80.962649999999996</v>
      </c>
      <c r="C1891">
        <f>+ROUND(Get_Data!C1890,5)</f>
        <v>33.246949999999998</v>
      </c>
      <c r="D1891" s="4">
        <f t="shared" si="30"/>
        <v>2.4351902956511799</v>
      </c>
    </row>
    <row r="1892" spans="1:4">
      <c r="A1892" s="2">
        <f>+Get_Data!A1891</f>
        <v>42187</v>
      </c>
      <c r="B1892">
        <f>+ROUND(Get_Data!B1891,5)</f>
        <v>81.082579999999993</v>
      </c>
      <c r="C1892">
        <f>+ROUND(Get_Data!C1891,5)</f>
        <v>33.23854</v>
      </c>
      <c r="D1892" s="4">
        <f t="shared" si="30"/>
        <v>2.4394146072601259</v>
      </c>
    </row>
    <row r="1893" spans="1:4">
      <c r="A1893" s="2">
        <f>+Get_Data!A1892</f>
        <v>42191</v>
      </c>
      <c r="B1893">
        <f>+ROUND(Get_Data!B1892,5)</f>
        <v>80.859870000000001</v>
      </c>
      <c r="C1893">
        <f>+ROUND(Get_Data!C1892,5)</f>
        <v>33.179609999999997</v>
      </c>
      <c r="D1893" s="4">
        <f t="shared" si="30"/>
        <v>2.4370349741904747</v>
      </c>
    </row>
    <row r="1894" spans="1:4">
      <c r="A1894" s="2">
        <f>+Get_Data!A1893</f>
        <v>42192</v>
      </c>
      <c r="B1894">
        <f>+ROUND(Get_Data!B1893,5)</f>
        <v>82.572999999999993</v>
      </c>
      <c r="C1894">
        <f>+ROUND(Get_Data!C1893,5)</f>
        <v>33.878219999999999</v>
      </c>
      <c r="D1894" s="4">
        <f t="shared" si="30"/>
        <v>2.4373476528577949</v>
      </c>
    </row>
    <row r="1895" spans="1:4">
      <c r="A1895" s="2">
        <f>+Get_Data!A1894</f>
        <v>42193</v>
      </c>
      <c r="B1895">
        <f>+ROUND(Get_Data!B1894,5)</f>
        <v>81.896299999999997</v>
      </c>
      <c r="C1895">
        <f>+ROUND(Get_Data!C1894,5)</f>
        <v>33.549959999999999</v>
      </c>
      <c r="D1895" s="4">
        <f t="shared" si="30"/>
        <v>2.4410252650077675</v>
      </c>
    </row>
    <row r="1896" spans="1:4">
      <c r="A1896" s="2">
        <f>+Get_Data!A1895</f>
        <v>42194</v>
      </c>
      <c r="B1896">
        <f>+ROUND(Get_Data!B1895,5)</f>
        <v>81.022599999999997</v>
      </c>
      <c r="C1896">
        <f>+ROUND(Get_Data!C1895,5)</f>
        <v>33.600459999999998</v>
      </c>
      <c r="D1896" s="4">
        <f t="shared" si="30"/>
        <v>2.4113538921788571</v>
      </c>
    </row>
    <row r="1897" spans="1:4">
      <c r="A1897" s="2">
        <f>+Get_Data!A1896</f>
        <v>42195</v>
      </c>
      <c r="B1897">
        <f>+ROUND(Get_Data!B1896,5)</f>
        <v>81.844899999999996</v>
      </c>
      <c r="C1897">
        <f>+ROUND(Get_Data!C1896,5)</f>
        <v>33.99606</v>
      </c>
      <c r="D1897" s="4">
        <f t="shared" si="30"/>
        <v>2.4074819258467008</v>
      </c>
    </row>
    <row r="1898" spans="1:4">
      <c r="A1898" s="2">
        <f>+Get_Data!A1897</f>
        <v>42198</v>
      </c>
      <c r="B1898">
        <f>+ROUND(Get_Data!B1897,5)</f>
        <v>83.275390000000002</v>
      </c>
      <c r="C1898">
        <f>+ROUND(Get_Data!C1897,5)</f>
        <v>34.223320000000001</v>
      </c>
      <c r="D1898" s="4">
        <f t="shared" si="30"/>
        <v>2.4332937307075992</v>
      </c>
    </row>
    <row r="1899" spans="1:4">
      <c r="A1899" s="2">
        <f>+Get_Data!A1898</f>
        <v>42199</v>
      </c>
      <c r="B1899">
        <f>+ROUND(Get_Data!B1898,5)</f>
        <v>83.198279999999997</v>
      </c>
      <c r="C1899">
        <f>+ROUND(Get_Data!C1898,5)</f>
        <v>34.65258</v>
      </c>
      <c r="D1899" s="4">
        <f t="shared" si="30"/>
        <v>2.4009259916577639</v>
      </c>
    </row>
    <row r="1900" spans="1:4">
      <c r="A1900" s="2">
        <f>+Get_Data!A1899</f>
        <v>42200</v>
      </c>
      <c r="B1900">
        <f>+ROUND(Get_Data!B1899,5)</f>
        <v>82.530169999999998</v>
      </c>
      <c r="C1900">
        <f>+ROUND(Get_Data!C1899,5)</f>
        <v>34.61891</v>
      </c>
      <c r="D1900" s="4">
        <f t="shared" si="30"/>
        <v>2.3839621178136459</v>
      </c>
    </row>
    <row r="1901" spans="1:4">
      <c r="A1901" s="2">
        <f>+Get_Data!A1900</f>
        <v>42201</v>
      </c>
      <c r="B1901">
        <f>+ROUND(Get_Data!B1900,5)</f>
        <v>83.001289999999997</v>
      </c>
      <c r="C1901">
        <f>+ROUND(Get_Data!C1900,5)</f>
        <v>34.913499999999999</v>
      </c>
      <c r="D1901" s="4">
        <f t="shared" si="30"/>
        <v>2.3773408566886736</v>
      </c>
    </row>
    <row r="1902" spans="1:4">
      <c r="A1902" s="2">
        <f>+Get_Data!A1901</f>
        <v>42202</v>
      </c>
      <c r="B1902">
        <f>+ROUND(Get_Data!B1901,5)</f>
        <v>82.898480000000006</v>
      </c>
      <c r="C1902">
        <f>+ROUND(Get_Data!C1901,5)</f>
        <v>34.719920000000002</v>
      </c>
      <c r="D1902" s="4">
        <f t="shared" si="30"/>
        <v>2.3876345337201239</v>
      </c>
    </row>
    <row r="1903" spans="1:4">
      <c r="A1903" s="2">
        <f>+Get_Data!A1902</f>
        <v>42205</v>
      </c>
      <c r="B1903">
        <f>+ROUND(Get_Data!B1902,5)</f>
        <v>83.35248</v>
      </c>
      <c r="C1903">
        <f>+ROUND(Get_Data!C1902,5)</f>
        <v>34.829329999999999</v>
      </c>
      <c r="D1903" s="4">
        <f t="shared" si="30"/>
        <v>2.3931692053794893</v>
      </c>
    </row>
    <row r="1904" spans="1:4">
      <c r="A1904" s="2">
        <f>+Get_Data!A1903</f>
        <v>42206</v>
      </c>
      <c r="B1904">
        <f>+ROUND(Get_Data!B1903,5)</f>
        <v>83.026970000000006</v>
      </c>
      <c r="C1904">
        <f>+ROUND(Get_Data!C1903,5)</f>
        <v>34.669409999999999</v>
      </c>
      <c r="D1904" s="4">
        <f t="shared" si="30"/>
        <v>2.3948192369007724</v>
      </c>
    </row>
    <row r="1905" spans="1:4">
      <c r="A1905" s="2">
        <f>+Get_Data!A1904</f>
        <v>42207</v>
      </c>
      <c r="B1905">
        <f>+ROUND(Get_Data!B1904,5)</f>
        <v>83.23254</v>
      </c>
      <c r="C1905">
        <f>+ROUND(Get_Data!C1904,5)</f>
        <v>34.425319999999999</v>
      </c>
      <c r="D1905" s="4">
        <f t="shared" si="30"/>
        <v>2.4177709894926176</v>
      </c>
    </row>
    <row r="1906" spans="1:4">
      <c r="A1906" s="2">
        <f>+Get_Data!A1905</f>
        <v>42208</v>
      </c>
      <c r="B1906">
        <f>+ROUND(Get_Data!B1905,5)</f>
        <v>82.975589999999997</v>
      </c>
      <c r="C1906">
        <f>+ROUND(Get_Data!C1905,5)</f>
        <v>34.37482</v>
      </c>
      <c r="D1906" s="4">
        <f t="shared" si="30"/>
        <v>2.4138479852403592</v>
      </c>
    </row>
    <row r="1907" spans="1:4">
      <c r="A1907" s="2">
        <f>+Get_Data!A1906</f>
        <v>42209</v>
      </c>
      <c r="B1907">
        <f>+ROUND(Get_Data!B1906,5)</f>
        <v>82.384550000000004</v>
      </c>
      <c r="C1907">
        <f>+ROUND(Get_Data!C1906,5)</f>
        <v>34.038139999999999</v>
      </c>
      <c r="D1907" s="4">
        <f t="shared" si="30"/>
        <v>2.4203599256598629</v>
      </c>
    </row>
    <row r="1908" spans="1:4">
      <c r="A1908" s="2">
        <f>+Get_Data!A1907</f>
        <v>42212</v>
      </c>
      <c r="B1908">
        <f>+ROUND(Get_Data!B1907,5)</f>
        <v>81.939120000000003</v>
      </c>
      <c r="C1908">
        <f>+ROUND(Get_Data!C1907,5)</f>
        <v>34.122309999999999</v>
      </c>
      <c r="D1908" s="4">
        <f t="shared" si="30"/>
        <v>2.4013356657272031</v>
      </c>
    </row>
    <row r="1909" spans="1:4">
      <c r="A1909" s="2">
        <f>+Get_Data!A1908</f>
        <v>42213</v>
      </c>
      <c r="B1909">
        <f>+ROUND(Get_Data!B1908,5)</f>
        <v>82.324579999999997</v>
      </c>
      <c r="C1909">
        <f>+ROUND(Get_Data!C1908,5)</f>
        <v>34.13073</v>
      </c>
      <c r="D1909" s="4">
        <f t="shared" si="30"/>
        <v>2.4120368946108095</v>
      </c>
    </row>
    <row r="1910" spans="1:4">
      <c r="A1910" s="2">
        <f>+Get_Data!A1909</f>
        <v>42214</v>
      </c>
      <c r="B1910">
        <f>+ROUND(Get_Data!B1909,5)</f>
        <v>82.684359999999998</v>
      </c>
      <c r="C1910">
        <f>+ROUND(Get_Data!C1909,5)</f>
        <v>34.164389999999997</v>
      </c>
      <c r="D1910" s="4">
        <f t="shared" si="30"/>
        <v>2.4201913161628235</v>
      </c>
    </row>
    <row r="1911" spans="1:4">
      <c r="A1911" s="2">
        <f>+Get_Data!A1910</f>
        <v>42215</v>
      </c>
      <c r="B1911">
        <f>+ROUND(Get_Data!B1910,5)</f>
        <v>82.77</v>
      </c>
      <c r="C1911">
        <f>+ROUND(Get_Data!C1910,5)</f>
        <v>34.139150000000001</v>
      </c>
      <c r="D1911" s="4">
        <f t="shared" si="30"/>
        <v>2.4244891861689584</v>
      </c>
    </row>
    <row r="1912" spans="1:4">
      <c r="A1912" s="2">
        <f>+Get_Data!A1911</f>
        <v>42216</v>
      </c>
      <c r="B1912">
        <f>+ROUND(Get_Data!B1911,5)</f>
        <v>82.530169999999998</v>
      </c>
      <c r="C1912">
        <f>+ROUND(Get_Data!C1911,5)</f>
        <v>34.576819999999998</v>
      </c>
      <c r="D1912" s="4">
        <f t="shared" si="30"/>
        <v>2.3868640898729265</v>
      </c>
    </row>
    <row r="1913" spans="1:4">
      <c r="A1913" s="2">
        <f>+Get_Data!A1912</f>
        <v>42219</v>
      </c>
      <c r="B1913">
        <f>+ROUND(Get_Data!B1912,5)</f>
        <v>83.472390000000004</v>
      </c>
      <c r="C1913">
        <f>+ROUND(Get_Data!C1912,5)</f>
        <v>34.964010000000002</v>
      </c>
      <c r="D1913" s="4">
        <f t="shared" si="30"/>
        <v>2.3873803376672185</v>
      </c>
    </row>
    <row r="1914" spans="1:4">
      <c r="A1914" s="2">
        <f>+Get_Data!A1913</f>
        <v>42220</v>
      </c>
      <c r="B1914">
        <f>+ROUND(Get_Data!B1913,5)</f>
        <v>83.780770000000004</v>
      </c>
      <c r="C1914">
        <f>+ROUND(Get_Data!C1913,5)</f>
        <v>35.224930000000001</v>
      </c>
      <c r="D1914" s="4">
        <f t="shared" si="30"/>
        <v>2.3784510004704056</v>
      </c>
    </row>
    <row r="1915" spans="1:4">
      <c r="A1915" s="2">
        <f>+Get_Data!A1914</f>
        <v>42221</v>
      </c>
      <c r="B1915">
        <f>+ROUND(Get_Data!B1914,5)</f>
        <v>84.962819999999994</v>
      </c>
      <c r="C1915">
        <f>+ROUND(Get_Data!C1914,5)</f>
        <v>35.452179999999998</v>
      </c>
      <c r="D1915" s="4">
        <f t="shared" si="30"/>
        <v>2.396547123477315</v>
      </c>
    </row>
    <row r="1916" spans="1:4">
      <c r="A1916" s="2">
        <f>+Get_Data!A1915</f>
        <v>42222</v>
      </c>
      <c r="B1916">
        <f>+ROUND(Get_Data!B1915,5)</f>
        <v>84.928569999999993</v>
      </c>
      <c r="C1916">
        <f>+ROUND(Get_Data!C1915,5)</f>
        <v>35.283839999999998</v>
      </c>
      <c r="D1916" s="4">
        <f t="shared" si="30"/>
        <v>2.4070104047632004</v>
      </c>
    </row>
    <row r="1917" spans="1:4">
      <c r="A1917" s="2">
        <f>+Get_Data!A1916</f>
        <v>42223</v>
      </c>
      <c r="B1917">
        <f>+ROUND(Get_Data!B1916,5)</f>
        <v>84.885739999999998</v>
      </c>
      <c r="C1917">
        <f>+ROUND(Get_Data!C1916,5)</f>
        <v>35.157600000000002</v>
      </c>
      <c r="D1917" s="4">
        <f t="shared" si="30"/>
        <v>2.4144350012515075</v>
      </c>
    </row>
    <row r="1918" spans="1:4">
      <c r="A1918" s="2">
        <f>+Get_Data!A1917</f>
        <v>42226</v>
      </c>
      <c r="B1918">
        <f>+ROUND(Get_Data!B1917,5)</f>
        <v>84.877139999999997</v>
      </c>
      <c r="C1918">
        <f>+ROUND(Get_Data!C1917,5)</f>
        <v>35.08184</v>
      </c>
      <c r="D1918" s="4">
        <f t="shared" si="30"/>
        <v>2.4194038853150235</v>
      </c>
    </row>
    <row r="1919" spans="1:4">
      <c r="A1919" s="2">
        <f>+Get_Data!A1918</f>
        <v>42227</v>
      </c>
      <c r="B1919">
        <f>+ROUND(Get_Data!B1918,5)</f>
        <v>84.474590000000006</v>
      </c>
      <c r="C1919">
        <f>+ROUND(Get_Data!C1918,5)</f>
        <v>34.913499999999999</v>
      </c>
      <c r="D1919" s="4">
        <f t="shared" si="30"/>
        <v>2.4195394331705504</v>
      </c>
    </row>
    <row r="1920" spans="1:4">
      <c r="A1920" s="2">
        <f>+Get_Data!A1919</f>
        <v>42228</v>
      </c>
      <c r="B1920">
        <f>+ROUND(Get_Data!B1919,5)</f>
        <v>84.268990000000002</v>
      </c>
      <c r="C1920">
        <f>+ROUND(Get_Data!C1919,5)</f>
        <v>34.728319999999997</v>
      </c>
      <c r="D1920" s="4">
        <f t="shared" si="30"/>
        <v>2.4265207761273797</v>
      </c>
    </row>
    <row r="1921" spans="1:4">
      <c r="A1921" s="2">
        <f>+Get_Data!A1920</f>
        <v>42229</v>
      </c>
      <c r="B1921">
        <f>+ROUND(Get_Data!B1920,5)</f>
        <v>84.620189999999994</v>
      </c>
      <c r="C1921">
        <f>+ROUND(Get_Data!C1920,5)</f>
        <v>34.593670000000003</v>
      </c>
      <c r="D1921" s="4">
        <f t="shared" si="30"/>
        <v>2.446117743506254</v>
      </c>
    </row>
    <row r="1922" spans="1:4">
      <c r="A1922" s="2">
        <f>+Get_Data!A1921</f>
        <v>42230</v>
      </c>
      <c r="B1922">
        <f>+ROUND(Get_Data!B1921,5)</f>
        <v>84.997079999999997</v>
      </c>
      <c r="C1922">
        <f>+ROUND(Get_Data!C1921,5)</f>
        <v>34.719920000000002</v>
      </c>
      <c r="D1922" s="4">
        <f t="shared" si="30"/>
        <v>2.44807822137839</v>
      </c>
    </row>
    <row r="1923" spans="1:4">
      <c r="A1923" s="2">
        <f>+Get_Data!A1922</f>
        <v>42233</v>
      </c>
      <c r="B1923">
        <f>+ROUND(Get_Data!B1922,5)</f>
        <v>85.536709999999999</v>
      </c>
      <c r="C1923">
        <f>+ROUND(Get_Data!C1922,5)</f>
        <v>34.804090000000002</v>
      </c>
      <c r="D1923" s="4">
        <f t="shared" si="30"/>
        <v>2.4576625908047012</v>
      </c>
    </row>
    <row r="1924" spans="1:4">
      <c r="A1924" s="2">
        <f>+Get_Data!A1923</f>
        <v>42234</v>
      </c>
      <c r="B1924">
        <f>+ROUND(Get_Data!B1923,5)</f>
        <v>85.459620000000001</v>
      </c>
      <c r="C1924">
        <f>+ROUND(Get_Data!C1923,5)</f>
        <v>34.762</v>
      </c>
      <c r="D1924" s="4">
        <f t="shared" ref="D1924:D1987" si="31">IFERROR(B1924/C1924,"")</f>
        <v>2.4584206892583857</v>
      </c>
    </row>
    <row r="1925" spans="1:4">
      <c r="A1925" s="2">
        <f>+Get_Data!A1924</f>
        <v>42235</v>
      </c>
      <c r="B1925">
        <f>+ROUND(Get_Data!B1924,5)</f>
        <v>84.791499999999999</v>
      </c>
      <c r="C1925">
        <f>+ROUND(Get_Data!C1924,5)</f>
        <v>34.324309999999997</v>
      </c>
      <c r="D1925" s="4">
        <f t="shared" si="31"/>
        <v>2.4703045742215943</v>
      </c>
    </row>
    <row r="1926" spans="1:4">
      <c r="A1926" s="2">
        <f>+Get_Data!A1925</f>
        <v>42236</v>
      </c>
      <c r="B1926">
        <f>+ROUND(Get_Data!B1925,5)</f>
        <v>83.926360000000003</v>
      </c>
      <c r="C1926">
        <f>+ROUND(Get_Data!C1925,5)</f>
        <v>34.13073</v>
      </c>
      <c r="D1926" s="4">
        <f t="shared" si="31"/>
        <v>2.458967622432922</v>
      </c>
    </row>
    <row r="1927" spans="1:4">
      <c r="A1927" s="2">
        <f>+Get_Data!A1926</f>
        <v>42237</v>
      </c>
      <c r="B1927">
        <f>+ROUND(Get_Data!B1926,5)</f>
        <v>82.444500000000005</v>
      </c>
      <c r="C1927">
        <f>+ROUND(Get_Data!C1926,5)</f>
        <v>33.272190000000002</v>
      </c>
      <c r="D1927" s="4">
        <f t="shared" si="31"/>
        <v>2.4778801756061144</v>
      </c>
    </row>
    <row r="1928" spans="1:4">
      <c r="A1928" s="2">
        <f>+Get_Data!A1927</f>
        <v>42240</v>
      </c>
      <c r="B1928">
        <f>+ROUND(Get_Data!B1927,5)</f>
        <v>78.65849</v>
      </c>
      <c r="C1928">
        <f>+ROUND(Get_Data!C1927,5)</f>
        <v>32.304250000000003</v>
      </c>
      <c r="D1928" s="4">
        <f t="shared" si="31"/>
        <v>2.434926983291672</v>
      </c>
    </row>
    <row r="1929" spans="1:4">
      <c r="A1929" s="2">
        <f>+Get_Data!A1928</f>
        <v>42241</v>
      </c>
      <c r="B1929">
        <f>+ROUND(Get_Data!B1928,5)</f>
        <v>76.782600000000002</v>
      </c>
      <c r="C1929">
        <f>+ROUND(Get_Data!C1928,5)</f>
        <v>31.975989999999999</v>
      </c>
      <c r="D1929" s="4">
        <f t="shared" si="31"/>
        <v>2.4012579438509958</v>
      </c>
    </row>
    <row r="1930" spans="1:4">
      <c r="A1930" s="2">
        <f>+Get_Data!A1929</f>
        <v>42242</v>
      </c>
      <c r="B1930">
        <f>+ROUND(Get_Data!B1929,5)</f>
        <v>79.22381</v>
      </c>
      <c r="C1930">
        <f>+ROUND(Get_Data!C1929,5)</f>
        <v>32.59883</v>
      </c>
      <c r="D1930" s="4">
        <f t="shared" si="31"/>
        <v>2.4302654420419385</v>
      </c>
    </row>
    <row r="1931" spans="1:4">
      <c r="A1931" s="2">
        <f>+Get_Data!A1930</f>
        <v>42243</v>
      </c>
      <c r="B1931">
        <f>+ROUND(Get_Data!B1930,5)</f>
        <v>80.174610000000001</v>
      </c>
      <c r="C1931">
        <f>+ROUND(Get_Data!C1930,5)</f>
        <v>33.053350000000002</v>
      </c>
      <c r="D1931" s="4">
        <f t="shared" si="31"/>
        <v>2.4256122299252572</v>
      </c>
    </row>
    <row r="1932" spans="1:4">
      <c r="A1932" s="2">
        <f>+Get_Data!A1931</f>
        <v>42244</v>
      </c>
      <c r="B1932">
        <f>+ROUND(Get_Data!B1931,5)</f>
        <v>80.114660000000001</v>
      </c>
      <c r="C1932">
        <f>+ROUND(Get_Data!C1931,5)</f>
        <v>33.204859999999996</v>
      </c>
      <c r="D1932" s="4">
        <f t="shared" si="31"/>
        <v>2.4127389785712094</v>
      </c>
    </row>
    <row r="1933" spans="1:4">
      <c r="A1933" s="2">
        <f>+Get_Data!A1932</f>
        <v>42247</v>
      </c>
      <c r="B1933">
        <f>+ROUND(Get_Data!B1932,5)</f>
        <v>79.600719999999995</v>
      </c>
      <c r="C1933">
        <f>+ROUND(Get_Data!C1932,5)</f>
        <v>33.095440000000004</v>
      </c>
      <c r="D1933" s="4">
        <f t="shared" si="31"/>
        <v>2.4051869381401181</v>
      </c>
    </row>
    <row r="1934" spans="1:4">
      <c r="A1934" s="2">
        <f>+Get_Data!A1933</f>
        <v>42248</v>
      </c>
      <c r="B1934">
        <f>+ROUND(Get_Data!B1933,5)</f>
        <v>78.23021</v>
      </c>
      <c r="C1934">
        <f>+ROUND(Get_Data!C1933,5)</f>
        <v>32.615679999999998</v>
      </c>
      <c r="D1934" s="4">
        <f t="shared" si="31"/>
        <v>2.398546036752875</v>
      </c>
    </row>
    <row r="1935" spans="1:4">
      <c r="A1935" s="2">
        <f>+Get_Data!A1934</f>
        <v>42249</v>
      </c>
      <c r="B1935">
        <f>+ROUND(Get_Data!B1934,5)</f>
        <v>79.10463</v>
      </c>
      <c r="C1935">
        <f>+ROUND(Get_Data!C1934,5)</f>
        <v>32.741930000000004</v>
      </c>
      <c r="D1935" s="4">
        <f t="shared" si="31"/>
        <v>2.4160038824834085</v>
      </c>
    </row>
    <row r="1936" spans="1:4">
      <c r="A1936" s="2">
        <f>+Get_Data!A1935</f>
        <v>42250</v>
      </c>
      <c r="B1936">
        <f>+ROUND(Get_Data!B1935,5)</f>
        <v>79.527609999999996</v>
      </c>
      <c r="C1936">
        <f>+ROUND(Get_Data!C1935,5)</f>
        <v>32.960769999999997</v>
      </c>
      <c r="D1936" s="4">
        <f t="shared" si="31"/>
        <v>2.4127958782516306</v>
      </c>
    </row>
    <row r="1937" spans="1:4">
      <c r="A1937" s="2">
        <f>+Get_Data!A1936</f>
        <v>42251</v>
      </c>
      <c r="B1937">
        <f>+ROUND(Get_Data!B1936,5)</f>
        <v>78.483130000000003</v>
      </c>
      <c r="C1937">
        <f>+ROUND(Get_Data!C1936,5)</f>
        <v>32.422089999999997</v>
      </c>
      <c r="D1937" s="4">
        <f t="shared" si="31"/>
        <v>2.420668439326398</v>
      </c>
    </row>
    <row r="1938" spans="1:4">
      <c r="A1938" s="2">
        <f>+Get_Data!A1937</f>
        <v>42255</v>
      </c>
      <c r="B1938">
        <f>+ROUND(Get_Data!B1937,5)</f>
        <v>79.734790000000004</v>
      </c>
      <c r="C1938">
        <f>+ROUND(Get_Data!C1937,5)</f>
        <v>32.741930000000004</v>
      </c>
      <c r="D1938" s="4">
        <f t="shared" si="31"/>
        <v>2.4352501517167742</v>
      </c>
    </row>
    <row r="1939" spans="1:4">
      <c r="A1939" s="2">
        <f>+Get_Data!A1938</f>
        <v>42256</v>
      </c>
      <c r="B1939">
        <f>+ROUND(Get_Data!B1938,5)</f>
        <v>78.405429999999996</v>
      </c>
      <c r="C1939">
        <f>+ROUND(Get_Data!C1938,5)</f>
        <v>32.236899999999999</v>
      </c>
      <c r="D1939" s="4">
        <f t="shared" si="31"/>
        <v>2.4321640728481957</v>
      </c>
    </row>
    <row r="1940" spans="1:4">
      <c r="A1940" s="2">
        <f>+Get_Data!A1939</f>
        <v>42257</v>
      </c>
      <c r="B1940">
        <f>+ROUND(Get_Data!B1939,5)</f>
        <v>78.603970000000004</v>
      </c>
      <c r="C1940">
        <f>+ROUND(Get_Data!C1939,5)</f>
        <v>32.337910000000001</v>
      </c>
      <c r="D1940" s="4">
        <f t="shared" si="31"/>
        <v>2.4307065608136087</v>
      </c>
    </row>
    <row r="1941" spans="1:4">
      <c r="A1941" s="2">
        <f>+Get_Data!A1940</f>
        <v>42258</v>
      </c>
      <c r="B1941">
        <f>+ROUND(Get_Data!B1940,5)</f>
        <v>79.087360000000004</v>
      </c>
      <c r="C1941">
        <f>+ROUND(Get_Data!C1940,5)</f>
        <v>32.371879999999997</v>
      </c>
      <c r="D1941" s="4">
        <f t="shared" si="31"/>
        <v>2.4430882605520599</v>
      </c>
    </row>
    <row r="1942" spans="1:4">
      <c r="A1942" s="2">
        <f>+Get_Data!A1941</f>
        <v>42261</v>
      </c>
      <c r="B1942">
        <f>+ROUND(Get_Data!B1941,5)</f>
        <v>78.724819999999994</v>
      </c>
      <c r="C1942">
        <f>+ROUND(Get_Data!C1941,5)</f>
        <v>32.346409999999999</v>
      </c>
      <c r="D1942" s="4">
        <f t="shared" si="31"/>
        <v>2.4338039368201909</v>
      </c>
    </row>
    <row r="1943" spans="1:4">
      <c r="A1943" s="2">
        <f>+Get_Data!A1942</f>
        <v>42262</v>
      </c>
      <c r="B1943">
        <f>+ROUND(Get_Data!B1942,5)</f>
        <v>79.467169999999996</v>
      </c>
      <c r="C1943">
        <f>+ROUND(Get_Data!C1942,5)</f>
        <v>32.686</v>
      </c>
      <c r="D1943" s="4">
        <f t="shared" si="31"/>
        <v>2.431229578412776</v>
      </c>
    </row>
    <row r="1944" spans="1:4">
      <c r="A1944" s="2">
        <f>+Get_Data!A1943</f>
        <v>42263</v>
      </c>
      <c r="B1944">
        <f>+ROUND(Get_Data!B1943,5)</f>
        <v>80.33905</v>
      </c>
      <c r="C1944">
        <f>+ROUND(Get_Data!C1943,5)</f>
        <v>33.237850000000002</v>
      </c>
      <c r="D1944" s="4">
        <f t="shared" si="31"/>
        <v>2.4170952693991938</v>
      </c>
    </row>
    <row r="1945" spans="1:4">
      <c r="A1945" s="2">
        <f>+Get_Data!A1944</f>
        <v>42264</v>
      </c>
      <c r="B1945">
        <f>+ROUND(Get_Data!B1944,5)</f>
        <v>80.597999999999999</v>
      </c>
      <c r="C1945">
        <f>+ROUND(Get_Data!C1944,5)</f>
        <v>33.433109999999999</v>
      </c>
      <c r="D1945" s="4">
        <f t="shared" si="31"/>
        <v>2.4107239799109328</v>
      </c>
    </row>
    <row r="1946" spans="1:4">
      <c r="A1946" s="2">
        <f>+Get_Data!A1945</f>
        <v>42265</v>
      </c>
      <c r="B1946">
        <f>+ROUND(Get_Data!B1945,5)</f>
        <v>80.321759999999998</v>
      </c>
      <c r="C1946">
        <f>+ROUND(Get_Data!C1945,5)</f>
        <v>33.093510000000002</v>
      </c>
      <c r="D1946" s="4">
        <f t="shared" si="31"/>
        <v>2.4271151654810867</v>
      </c>
    </row>
    <row r="1947" spans="1:4">
      <c r="A1947" s="2">
        <f>+Get_Data!A1946</f>
        <v>42268</v>
      </c>
      <c r="B1947">
        <f>+ROUND(Get_Data!B1946,5)</f>
        <v>80.891459999999995</v>
      </c>
      <c r="C1947">
        <f>+ROUND(Get_Data!C1946,5)</f>
        <v>33.271799999999999</v>
      </c>
      <c r="D1947" s="4">
        <f t="shared" si="31"/>
        <v>2.4312318540024886</v>
      </c>
    </row>
    <row r="1948" spans="1:4">
      <c r="A1948" s="2">
        <f>+Get_Data!A1947</f>
        <v>42269</v>
      </c>
      <c r="B1948">
        <f>+ROUND(Get_Data!B1947,5)</f>
        <v>79.734790000000004</v>
      </c>
      <c r="C1948">
        <f>+ROUND(Get_Data!C1947,5)</f>
        <v>32.932209999999998</v>
      </c>
      <c r="D1948" s="4">
        <f t="shared" si="31"/>
        <v>2.4211794471127206</v>
      </c>
    </row>
    <row r="1949" spans="1:4">
      <c r="A1949" s="2">
        <f>+Get_Data!A1948</f>
        <v>42270</v>
      </c>
      <c r="B1949">
        <f>+ROUND(Get_Data!B1948,5)</f>
        <v>79.760679999999994</v>
      </c>
      <c r="C1949">
        <f>+ROUND(Get_Data!C1948,5)</f>
        <v>32.906730000000003</v>
      </c>
      <c r="D1949" s="4">
        <f t="shared" si="31"/>
        <v>2.4238409589770842</v>
      </c>
    </row>
    <row r="1950" spans="1:4">
      <c r="A1950" s="2">
        <f>+Get_Data!A1949</f>
        <v>42271</v>
      </c>
      <c r="B1950">
        <f>+ROUND(Get_Data!B1949,5)</f>
        <v>79.821110000000004</v>
      </c>
      <c r="C1950">
        <f>+ROUND(Get_Data!C1949,5)</f>
        <v>33.237850000000002</v>
      </c>
      <c r="D1950" s="4">
        <f t="shared" si="31"/>
        <v>2.4015124323625026</v>
      </c>
    </row>
    <row r="1951" spans="1:4">
      <c r="A1951" s="2">
        <f>+Get_Data!A1950</f>
        <v>42272</v>
      </c>
      <c r="B1951">
        <f>+ROUND(Get_Data!B1950,5)</f>
        <v>80.68432</v>
      </c>
      <c r="C1951">
        <f>+ROUND(Get_Data!C1950,5)</f>
        <v>33.636859999999999</v>
      </c>
      <c r="D1951" s="4">
        <f t="shared" si="31"/>
        <v>2.3986876301771329</v>
      </c>
    </row>
    <row r="1952" spans="1:4">
      <c r="A1952" s="2">
        <f>+Get_Data!A1951</f>
        <v>42275</v>
      </c>
      <c r="B1952">
        <f>+ROUND(Get_Data!B1951,5)</f>
        <v>79.821110000000004</v>
      </c>
      <c r="C1952">
        <f>+ROUND(Get_Data!C1951,5)</f>
        <v>33.560450000000003</v>
      </c>
      <c r="D1952" s="4">
        <f t="shared" si="31"/>
        <v>2.3784278816285238</v>
      </c>
    </row>
    <row r="1953" spans="1:4">
      <c r="A1953" s="2">
        <f>+Get_Data!A1952</f>
        <v>42276</v>
      </c>
      <c r="B1953">
        <f>+ROUND(Get_Data!B1952,5)</f>
        <v>80.313119999999998</v>
      </c>
      <c r="C1953">
        <f>+ROUND(Get_Data!C1952,5)</f>
        <v>33.670830000000002</v>
      </c>
      <c r="D1953" s="4">
        <f t="shared" si="31"/>
        <v>2.3852432506118797</v>
      </c>
    </row>
    <row r="1954" spans="1:4">
      <c r="A1954" s="2">
        <f>+Get_Data!A1953</f>
        <v>42277</v>
      </c>
      <c r="B1954">
        <f>+ROUND(Get_Data!B1953,5)</f>
        <v>81.400760000000005</v>
      </c>
      <c r="C1954">
        <f>+ROUND(Get_Data!C1953,5)</f>
        <v>34.061369999999997</v>
      </c>
      <c r="D1954" s="4">
        <f t="shared" si="31"/>
        <v>2.3898263634140382</v>
      </c>
    </row>
    <row r="1955" spans="1:4">
      <c r="A1955" s="2">
        <f>+Get_Data!A1954</f>
        <v>42278</v>
      </c>
      <c r="B1955">
        <f>+ROUND(Get_Data!B1954,5)</f>
        <v>81.012320000000003</v>
      </c>
      <c r="C1955">
        <f>+ROUND(Get_Data!C1954,5)</f>
        <v>33.78969</v>
      </c>
      <c r="D1955" s="4">
        <f t="shared" si="31"/>
        <v>2.3975455235013996</v>
      </c>
    </row>
    <row r="1956" spans="1:4">
      <c r="A1956" s="2">
        <f>+Get_Data!A1955</f>
        <v>42279</v>
      </c>
      <c r="B1956">
        <f>+ROUND(Get_Data!B1955,5)</f>
        <v>81.279920000000004</v>
      </c>
      <c r="C1956">
        <f>+ROUND(Get_Data!C1955,5)</f>
        <v>34.290590000000002</v>
      </c>
      <c r="D1956" s="4">
        <f t="shared" si="31"/>
        <v>2.3703272530452231</v>
      </c>
    </row>
    <row r="1957" spans="1:4">
      <c r="A1957" s="2">
        <f>+Get_Data!A1956</f>
        <v>42282</v>
      </c>
      <c r="B1957">
        <f>+ROUND(Get_Data!B1956,5)</f>
        <v>82.704220000000007</v>
      </c>
      <c r="C1957">
        <f>+ROUND(Get_Data!C1956,5)</f>
        <v>34.816960000000002</v>
      </c>
      <c r="D1957" s="4">
        <f t="shared" si="31"/>
        <v>2.375400379585122</v>
      </c>
    </row>
    <row r="1958" spans="1:4">
      <c r="A1958" s="2">
        <f>+Get_Data!A1957</f>
        <v>42283</v>
      </c>
      <c r="B1958">
        <f>+ROUND(Get_Data!B1957,5)</f>
        <v>83.791880000000006</v>
      </c>
      <c r="C1958">
        <f>+ROUND(Get_Data!C1957,5)</f>
        <v>34.774509999999999</v>
      </c>
      <c r="D1958" s="4">
        <f t="shared" si="31"/>
        <v>2.409577590022117</v>
      </c>
    </row>
    <row r="1959" spans="1:4">
      <c r="A1959" s="2">
        <f>+Get_Data!A1958</f>
        <v>42284</v>
      </c>
      <c r="B1959">
        <f>+ROUND(Get_Data!B1958,5)</f>
        <v>85.043520000000001</v>
      </c>
      <c r="C1959">
        <f>+ROUND(Get_Data!C1958,5)</f>
        <v>35.249940000000002</v>
      </c>
      <c r="D1959" s="4">
        <f t="shared" si="31"/>
        <v>2.4125862341893347</v>
      </c>
    </row>
    <row r="1960" spans="1:4">
      <c r="A1960" s="2">
        <f>+Get_Data!A1959</f>
        <v>42285</v>
      </c>
      <c r="B1960">
        <f>+ROUND(Get_Data!B1959,5)</f>
        <v>85.431979999999996</v>
      </c>
      <c r="C1960">
        <f>+ROUND(Get_Data!C1959,5)</f>
        <v>35.640479999999997</v>
      </c>
      <c r="D1960" s="4">
        <f t="shared" si="31"/>
        <v>2.3970490857586655</v>
      </c>
    </row>
    <row r="1961" spans="1:4">
      <c r="A1961" s="2">
        <f>+Get_Data!A1960</f>
        <v>42286</v>
      </c>
      <c r="B1961">
        <f>+ROUND(Get_Data!B1960,5)</f>
        <v>85.863569999999996</v>
      </c>
      <c r="C1961">
        <f>+ROUND(Get_Data!C1960,5)</f>
        <v>35.674439999999997</v>
      </c>
      <c r="D1961" s="4">
        <f t="shared" si="31"/>
        <v>2.4068652514237083</v>
      </c>
    </row>
    <row r="1962" spans="1:4">
      <c r="A1962" s="2">
        <f>+Get_Data!A1961</f>
        <v>42289</v>
      </c>
      <c r="B1962">
        <f>+ROUND(Get_Data!B1961,5)</f>
        <v>85.578729999999993</v>
      </c>
      <c r="C1962">
        <f>+ROUND(Get_Data!C1961,5)</f>
        <v>35.65746</v>
      </c>
      <c r="D1962" s="4">
        <f t="shared" si="31"/>
        <v>2.4000231648580685</v>
      </c>
    </row>
    <row r="1963" spans="1:4">
      <c r="A1963" s="2">
        <f>+Get_Data!A1962</f>
        <v>42290</v>
      </c>
      <c r="B1963">
        <f>+ROUND(Get_Data!B1962,5)</f>
        <v>84.525599999999997</v>
      </c>
      <c r="C1963">
        <f>+ROUND(Get_Data!C1962,5)</f>
        <v>35.360309999999998</v>
      </c>
      <c r="D1963" s="4">
        <f t="shared" si="31"/>
        <v>2.3904089076142148</v>
      </c>
    </row>
    <row r="1964" spans="1:4">
      <c r="A1964" s="2">
        <f>+Get_Data!A1963</f>
        <v>42291</v>
      </c>
      <c r="B1964">
        <f>+ROUND(Get_Data!B1963,5)</f>
        <v>84.154409999999999</v>
      </c>
      <c r="C1964">
        <f>+ROUND(Get_Data!C1963,5)</f>
        <v>35.385779999999997</v>
      </c>
      <c r="D1964" s="4">
        <f t="shared" si="31"/>
        <v>2.378198530596189</v>
      </c>
    </row>
    <row r="1965" spans="1:4">
      <c r="A1965" s="2">
        <f>+Get_Data!A1964</f>
        <v>42292</v>
      </c>
      <c r="B1965">
        <f>+ROUND(Get_Data!B1964,5)</f>
        <v>84.836340000000007</v>
      </c>
      <c r="C1965">
        <f>+ROUND(Get_Data!C1964,5)</f>
        <v>35.589530000000003</v>
      </c>
      <c r="D1965" s="4">
        <f t="shared" si="31"/>
        <v>2.3837443203099338</v>
      </c>
    </row>
    <row r="1966" spans="1:4">
      <c r="A1966" s="2">
        <f>+Get_Data!A1965</f>
        <v>42293</v>
      </c>
      <c r="B1966">
        <f>+ROUND(Get_Data!B1965,5)</f>
        <v>86.062110000000004</v>
      </c>
      <c r="C1966">
        <f>+ROUND(Get_Data!C1965,5)</f>
        <v>35.674439999999997</v>
      </c>
      <c r="D1966" s="4">
        <f t="shared" si="31"/>
        <v>2.4124305805501085</v>
      </c>
    </row>
    <row r="1967" spans="1:4">
      <c r="A1967" s="2">
        <f>+Get_Data!A1966</f>
        <v>42296</v>
      </c>
      <c r="B1967">
        <f>+ROUND(Get_Data!B1966,5)</f>
        <v>86.476439999999997</v>
      </c>
      <c r="C1967">
        <f>+ROUND(Get_Data!C1966,5)</f>
        <v>35.648969999999998</v>
      </c>
      <c r="D1967" s="4">
        <f t="shared" si="31"/>
        <v>2.4257766774187304</v>
      </c>
    </row>
    <row r="1968" spans="1:4">
      <c r="A1968" s="2">
        <f>+Get_Data!A1967</f>
        <v>42297</v>
      </c>
      <c r="B1968">
        <f>+ROUND(Get_Data!B1967,5)</f>
        <v>86.554140000000004</v>
      </c>
      <c r="C1968">
        <f>+ROUND(Get_Data!C1967,5)</f>
        <v>35.903669999999998</v>
      </c>
      <c r="D1968" s="4">
        <f t="shared" si="31"/>
        <v>2.4107323847394988</v>
      </c>
    </row>
    <row r="1969" spans="1:4">
      <c r="A1969" s="2">
        <f>+Get_Data!A1968</f>
        <v>42298</v>
      </c>
      <c r="B1969">
        <f>+ROUND(Get_Data!B1968,5)</f>
        <v>86.536869999999993</v>
      </c>
      <c r="C1969">
        <f>+ROUND(Get_Data!C1968,5)</f>
        <v>35.818759999999997</v>
      </c>
      <c r="D1969" s="4">
        <f t="shared" si="31"/>
        <v>2.4159649859459122</v>
      </c>
    </row>
    <row r="1970" spans="1:4">
      <c r="A1970" s="2">
        <f>+Get_Data!A1969</f>
        <v>42299</v>
      </c>
      <c r="B1970">
        <f>+ROUND(Get_Data!B1969,5)</f>
        <v>88.979770000000002</v>
      </c>
      <c r="C1970">
        <f>+ROUND(Get_Data!C1969,5)</f>
        <v>36.7102</v>
      </c>
      <c r="D1970" s="4">
        <f t="shared" si="31"/>
        <v>2.4238432370294904</v>
      </c>
    </row>
    <row r="1971" spans="1:4">
      <c r="A1971" s="2">
        <f>+Get_Data!A1970</f>
        <v>42300</v>
      </c>
      <c r="B1971">
        <f>+ROUND(Get_Data!B1970,5)</f>
        <v>88.418670000000006</v>
      </c>
      <c r="C1971">
        <f>+ROUND(Get_Data!C1970,5)</f>
        <v>36.328150000000001</v>
      </c>
      <c r="D1971" s="4">
        <f t="shared" si="31"/>
        <v>2.4338885960336545</v>
      </c>
    </row>
    <row r="1972" spans="1:4">
      <c r="A1972" s="2">
        <f>+Get_Data!A1971</f>
        <v>42303</v>
      </c>
      <c r="B1972">
        <f>+ROUND(Get_Data!B1971,5)</f>
        <v>88.513630000000006</v>
      </c>
      <c r="C1972">
        <f>+ROUND(Get_Data!C1971,5)</f>
        <v>36.158349999999999</v>
      </c>
      <c r="D1972" s="4">
        <f t="shared" si="31"/>
        <v>2.4479443890553636</v>
      </c>
    </row>
    <row r="1973" spans="1:4">
      <c r="A1973" s="2">
        <f>+Get_Data!A1972</f>
        <v>42304</v>
      </c>
      <c r="B1973">
        <f>+ROUND(Get_Data!B1972,5)</f>
        <v>88.858919999999998</v>
      </c>
      <c r="C1973">
        <f>+ROUND(Get_Data!C1972,5)</f>
        <v>36.175339999999998</v>
      </c>
      <c r="D1973" s="4">
        <f t="shared" si="31"/>
        <v>2.4563395948731928</v>
      </c>
    </row>
    <row r="1974" spans="1:4">
      <c r="A1974" s="2">
        <f>+Get_Data!A1973</f>
        <v>42305</v>
      </c>
      <c r="B1974">
        <f>+ROUND(Get_Data!B1973,5)</f>
        <v>88.68629</v>
      </c>
      <c r="C1974">
        <f>+ROUND(Get_Data!C1973,5)</f>
        <v>36.277209999999997</v>
      </c>
      <c r="D1974" s="4">
        <f t="shared" si="31"/>
        <v>2.4446833149517291</v>
      </c>
    </row>
    <row r="1975" spans="1:4">
      <c r="A1975" s="2">
        <f>+Get_Data!A1974</f>
        <v>42306</v>
      </c>
      <c r="B1975">
        <f>+ROUND(Get_Data!B1974,5)</f>
        <v>88.738069999999993</v>
      </c>
      <c r="C1975">
        <f>+ROUND(Get_Data!C1974,5)</f>
        <v>36.328150000000001</v>
      </c>
      <c r="D1975" s="4">
        <f t="shared" si="31"/>
        <v>2.442680676004696</v>
      </c>
    </row>
    <row r="1976" spans="1:4">
      <c r="A1976" s="2">
        <f>+Get_Data!A1975</f>
        <v>42307</v>
      </c>
      <c r="B1976">
        <f>+ROUND(Get_Data!B1975,5)</f>
        <v>88.211510000000004</v>
      </c>
      <c r="C1976">
        <f>+ROUND(Get_Data!C1975,5)</f>
        <v>35.954599999999999</v>
      </c>
      <c r="D1976" s="4">
        <f t="shared" si="31"/>
        <v>2.4534137495619479</v>
      </c>
    </row>
    <row r="1977" spans="1:4">
      <c r="A1977" s="2">
        <f>+Get_Data!A1976</f>
        <v>42310</v>
      </c>
      <c r="B1977">
        <f>+ROUND(Get_Data!B1976,5)</f>
        <v>87.529579999999996</v>
      </c>
      <c r="C1977">
        <f>+ROUND(Get_Data!C1976,5)</f>
        <v>35.86121</v>
      </c>
      <c r="D1977" s="4">
        <f t="shared" si="31"/>
        <v>2.4407871346226186</v>
      </c>
    </row>
    <row r="1978" spans="1:4">
      <c r="A1978" s="2">
        <f>+Get_Data!A1977</f>
        <v>42311</v>
      </c>
      <c r="B1978">
        <f>+ROUND(Get_Data!B1977,5)</f>
        <v>87.115229999999997</v>
      </c>
      <c r="C1978">
        <f>+ROUND(Get_Data!C1977,5)</f>
        <v>35.793289999999999</v>
      </c>
      <c r="D1978" s="4">
        <f t="shared" si="31"/>
        <v>2.433842488354661</v>
      </c>
    </row>
    <row r="1979" spans="1:4">
      <c r="A1979" s="2">
        <f>+Get_Data!A1978</f>
        <v>42312</v>
      </c>
      <c r="B1979">
        <f>+ROUND(Get_Data!B1978,5)</f>
        <v>86.856269999999995</v>
      </c>
      <c r="C1979">
        <f>+ROUND(Get_Data!C1978,5)</f>
        <v>35.631990000000002</v>
      </c>
      <c r="D1979" s="4">
        <f t="shared" si="31"/>
        <v>2.4375924555434594</v>
      </c>
    </row>
    <row r="1980" spans="1:4">
      <c r="A1980" s="2">
        <f>+Get_Data!A1979</f>
        <v>42313</v>
      </c>
      <c r="B1980">
        <f>+ROUND(Get_Data!B1979,5)</f>
        <v>86.847629999999995</v>
      </c>
      <c r="C1980">
        <f>+ROUND(Get_Data!C1979,5)</f>
        <v>35.937620000000003</v>
      </c>
      <c r="D1980" s="4">
        <f t="shared" si="31"/>
        <v>2.4166216349329752</v>
      </c>
    </row>
    <row r="1981" spans="1:4">
      <c r="A1981" s="2">
        <f>+Get_Data!A1980</f>
        <v>42314</v>
      </c>
      <c r="B1981">
        <f>+ROUND(Get_Data!B1980,5)</f>
        <v>86.079390000000004</v>
      </c>
      <c r="C1981">
        <f>+ROUND(Get_Data!C1980,5)</f>
        <v>35.623489999999997</v>
      </c>
      <c r="D1981" s="4">
        <f t="shared" si="31"/>
        <v>2.4163659989518154</v>
      </c>
    </row>
    <row r="1982" spans="1:4">
      <c r="A1982" s="2">
        <f>+Get_Data!A1981</f>
        <v>42317</v>
      </c>
      <c r="B1982">
        <f>+ROUND(Get_Data!B1981,5)</f>
        <v>85.354280000000003</v>
      </c>
      <c r="C1982">
        <f>+ROUND(Get_Data!C1981,5)</f>
        <v>35.266930000000002</v>
      </c>
      <c r="D1982" s="4">
        <f t="shared" si="31"/>
        <v>2.4202356144977744</v>
      </c>
    </row>
    <row r="1983" spans="1:4">
      <c r="A1983" s="2">
        <f>+Get_Data!A1982</f>
        <v>42318</v>
      </c>
      <c r="B1983">
        <f>+ROUND(Get_Data!B1982,5)</f>
        <v>85.311120000000003</v>
      </c>
      <c r="C1983">
        <f>+ROUND(Get_Data!C1982,5)</f>
        <v>35.46219</v>
      </c>
      <c r="D1983" s="4">
        <f t="shared" si="31"/>
        <v>2.4056923726368846</v>
      </c>
    </row>
    <row r="1984" spans="1:4">
      <c r="A1984" s="2">
        <f>+Get_Data!A1983</f>
        <v>42319</v>
      </c>
      <c r="B1984">
        <f>+ROUND(Get_Data!B1983,5)</f>
        <v>85.829040000000006</v>
      </c>
      <c r="C1984">
        <f>+ROUND(Get_Data!C1983,5)</f>
        <v>35.691420000000001</v>
      </c>
      <c r="D1984" s="4">
        <f t="shared" si="31"/>
        <v>2.4047527388935492</v>
      </c>
    </row>
    <row r="1985" spans="1:4">
      <c r="A1985" s="2">
        <f>+Get_Data!A1984</f>
        <v>42320</v>
      </c>
      <c r="B1985">
        <f>+ROUND(Get_Data!B1984,5)</f>
        <v>84.914050000000003</v>
      </c>
      <c r="C1985">
        <f>+ROUND(Get_Data!C1984,5)</f>
        <v>35.300890000000003</v>
      </c>
      <c r="D1985" s="4">
        <f t="shared" si="31"/>
        <v>2.4054365201557242</v>
      </c>
    </row>
    <row r="1986" spans="1:4">
      <c r="A1986" s="2">
        <f>+Get_Data!A1985</f>
        <v>42321</v>
      </c>
      <c r="B1986">
        <f>+ROUND(Get_Data!B1985,5)</f>
        <v>84.629199999999997</v>
      </c>
      <c r="C1986">
        <f>+ROUND(Get_Data!C1985,5)</f>
        <v>35.131079999999997</v>
      </c>
      <c r="D1986" s="4">
        <f t="shared" si="31"/>
        <v>2.4089552612672311</v>
      </c>
    </row>
    <row r="1987" spans="1:4">
      <c r="A1987" s="2">
        <f>+Get_Data!A1986</f>
        <v>42324</v>
      </c>
      <c r="B1987">
        <f>+ROUND(Get_Data!B1986,5)</f>
        <v>85.94126</v>
      </c>
      <c r="C1987">
        <f>+ROUND(Get_Data!C1986,5)</f>
        <v>35.623489999999997</v>
      </c>
      <c r="D1987" s="4">
        <f t="shared" si="31"/>
        <v>2.4124885012670014</v>
      </c>
    </row>
    <row r="1988" spans="1:4">
      <c r="A1988" s="2">
        <f>+Get_Data!A1987</f>
        <v>42325</v>
      </c>
      <c r="B1988">
        <f>+ROUND(Get_Data!B1987,5)</f>
        <v>85.311120000000003</v>
      </c>
      <c r="C1988">
        <f>+ROUND(Get_Data!C1987,5)</f>
        <v>35.377290000000002</v>
      </c>
      <c r="D1988" s="4">
        <f t="shared" ref="D1988:D2051" si="32">IFERROR(B1988/C1988,"")</f>
        <v>2.4114656605975187</v>
      </c>
    </row>
    <row r="1989" spans="1:4">
      <c r="A1989" s="2">
        <f>+Get_Data!A1988</f>
        <v>42326</v>
      </c>
      <c r="B1989">
        <f>+ROUND(Get_Data!B1988,5)</f>
        <v>86.554140000000004</v>
      </c>
      <c r="C1989">
        <f>+ROUND(Get_Data!C1988,5)</f>
        <v>35.89517</v>
      </c>
      <c r="D1989" s="4">
        <f t="shared" si="32"/>
        <v>2.4113032477628606</v>
      </c>
    </row>
    <row r="1990" spans="1:4">
      <c r="A1990" s="2">
        <f>+Get_Data!A1989</f>
        <v>42327</v>
      </c>
      <c r="B1990">
        <f>+ROUND(Get_Data!B1989,5)</f>
        <v>87.123859999999993</v>
      </c>
      <c r="C1990">
        <f>+ROUND(Get_Data!C1989,5)</f>
        <v>36.599829999999997</v>
      </c>
      <c r="D1990" s="4">
        <f t="shared" si="32"/>
        <v>2.3804443900422489</v>
      </c>
    </row>
    <row r="1991" spans="1:4">
      <c r="A1991" s="2">
        <f>+Get_Data!A1990</f>
        <v>42328</v>
      </c>
      <c r="B1991">
        <f>+ROUND(Get_Data!B1990,5)</f>
        <v>86.407380000000003</v>
      </c>
      <c r="C1991">
        <f>+ROUND(Get_Data!C1990,5)</f>
        <v>36.02252</v>
      </c>
      <c r="D1991" s="4">
        <f t="shared" si="32"/>
        <v>2.3987044770882218</v>
      </c>
    </row>
    <row r="1992" spans="1:4">
      <c r="A1992" s="2">
        <f>+Get_Data!A1991</f>
        <v>42331</v>
      </c>
      <c r="B1992">
        <f>+ROUND(Get_Data!B1991,5)</f>
        <v>87.054789999999997</v>
      </c>
      <c r="C1992">
        <f>+ROUND(Get_Data!C1991,5)</f>
        <v>36.472479999999997</v>
      </c>
      <c r="D1992" s="4">
        <f t="shared" si="32"/>
        <v>2.3868623685584311</v>
      </c>
    </row>
    <row r="1993" spans="1:4">
      <c r="A1993" s="2">
        <f>+Get_Data!A1992</f>
        <v>42332</v>
      </c>
      <c r="B1993">
        <f>+ROUND(Get_Data!B1992,5)</f>
        <v>86.864909999999995</v>
      </c>
      <c r="C1993">
        <f>+ROUND(Get_Data!C1992,5)</f>
        <v>36.812080000000002</v>
      </c>
      <c r="D1993" s="4">
        <f t="shared" si="32"/>
        <v>2.3596849186462703</v>
      </c>
    </row>
    <row r="1994" spans="1:4">
      <c r="A1994" s="2">
        <f>+Get_Data!A1993</f>
        <v>42333</v>
      </c>
      <c r="B1994">
        <f>+ROUND(Get_Data!B1993,5)</f>
        <v>86.752679999999998</v>
      </c>
      <c r="C1994">
        <f>+ROUND(Get_Data!C1993,5)</f>
        <v>36.812080000000002</v>
      </c>
      <c r="D1994" s="4">
        <f t="shared" si="32"/>
        <v>2.3566361911633353</v>
      </c>
    </row>
    <row r="1995" spans="1:4">
      <c r="A1995" s="2">
        <f>+Get_Data!A1994</f>
        <v>42335</v>
      </c>
      <c r="B1995">
        <f>+ROUND(Get_Data!B1994,5)</f>
        <v>86.959860000000006</v>
      </c>
      <c r="C1995">
        <f>+ROUND(Get_Data!C1994,5)</f>
        <v>36.914749999999998</v>
      </c>
      <c r="D1995" s="4">
        <f t="shared" si="32"/>
        <v>2.3556941331039765</v>
      </c>
    </row>
    <row r="1996" spans="1:4">
      <c r="A1996" s="2">
        <f>+Get_Data!A1995</f>
        <v>42338</v>
      </c>
      <c r="B1996">
        <f>+ROUND(Get_Data!B1995,5)</f>
        <v>86.459190000000007</v>
      </c>
      <c r="C1996">
        <f>+ROUND(Get_Data!C1995,5)</f>
        <v>36.461329999999997</v>
      </c>
      <c r="D1996" s="4">
        <f t="shared" si="32"/>
        <v>2.3712571647825249</v>
      </c>
    </row>
    <row r="1997" spans="1:4">
      <c r="A1997" s="2">
        <f>+Get_Data!A1996</f>
        <v>42339</v>
      </c>
      <c r="B1997">
        <f>+ROUND(Get_Data!B1996,5)</f>
        <v>87.236050000000006</v>
      </c>
      <c r="C1997">
        <f>+ROUND(Get_Data!C1996,5)</f>
        <v>36.692309999999999</v>
      </c>
      <c r="D1997" s="4">
        <f t="shared" si="32"/>
        <v>2.3775022613730235</v>
      </c>
    </row>
    <row r="1998" spans="1:4">
      <c r="A1998" s="2">
        <f>+Get_Data!A1997</f>
        <v>42340</v>
      </c>
      <c r="B1998">
        <f>+ROUND(Get_Data!B1997,5)</f>
        <v>86.473749999999995</v>
      </c>
      <c r="C1998">
        <f>+ROUND(Get_Data!C1997,5)</f>
        <v>36.589649999999999</v>
      </c>
      <c r="D1998" s="4">
        <f t="shared" si="32"/>
        <v>2.3633390863263246</v>
      </c>
    </row>
    <row r="1999" spans="1:4">
      <c r="A1999" s="2">
        <f>+Get_Data!A1998</f>
        <v>42341</v>
      </c>
      <c r="B1999">
        <f>+ROUND(Get_Data!B1998,5)</f>
        <v>86.134709999999998</v>
      </c>
      <c r="C1999">
        <f>+ROUND(Get_Data!C1998,5)</f>
        <v>36.324440000000003</v>
      </c>
      <c r="D1999" s="4">
        <f t="shared" si="32"/>
        <v>2.371260506700172</v>
      </c>
    </row>
    <row r="2000" spans="1:4">
      <c r="A2000" s="2">
        <f>+Get_Data!A1999</f>
        <v>42342</v>
      </c>
      <c r="B2000">
        <f>+ROUND(Get_Data!B1999,5)</f>
        <v>87.847149999999999</v>
      </c>
      <c r="C2000">
        <f>+ROUND(Get_Data!C1999,5)</f>
        <v>37.034509999999997</v>
      </c>
      <c r="D2000" s="4">
        <f t="shared" si="32"/>
        <v>2.3720348939408136</v>
      </c>
    </row>
    <row r="2001" spans="1:4">
      <c r="A2001" s="2">
        <f>+Get_Data!A2000</f>
        <v>42345</v>
      </c>
      <c r="B2001">
        <f>+ROUND(Get_Data!B2000,5)</f>
        <v>87.508160000000004</v>
      </c>
      <c r="C2001">
        <f>+ROUND(Get_Data!C2000,5)</f>
        <v>36.957509999999999</v>
      </c>
      <c r="D2001" s="4">
        <f t="shared" si="32"/>
        <v>2.3678045409444524</v>
      </c>
    </row>
    <row r="2002" spans="1:4">
      <c r="A2002" s="2">
        <f>+Get_Data!A2001</f>
        <v>42346</v>
      </c>
      <c r="B2002">
        <f>+ROUND(Get_Data!B2001,5)</f>
        <v>87.073530000000005</v>
      </c>
      <c r="C2002">
        <f>+ROUND(Get_Data!C2001,5)</f>
        <v>36.794960000000003</v>
      </c>
      <c r="D2002" s="4">
        <f t="shared" si="32"/>
        <v>2.3664526337302716</v>
      </c>
    </row>
    <row r="2003" spans="1:4">
      <c r="A2003" s="2">
        <f>+Get_Data!A2002</f>
        <v>42347</v>
      </c>
      <c r="B2003">
        <f>+ROUND(Get_Data!B2002,5)</f>
        <v>86.169499999999999</v>
      </c>
      <c r="C2003">
        <f>+ROUND(Get_Data!C2002,5)</f>
        <v>36.495550000000001</v>
      </c>
      <c r="D2003" s="4">
        <f t="shared" si="32"/>
        <v>2.3610960788370088</v>
      </c>
    </row>
    <row r="2004" spans="1:4">
      <c r="A2004" s="2">
        <f>+Get_Data!A2003</f>
        <v>42348</v>
      </c>
      <c r="B2004">
        <f>+ROUND(Get_Data!B2003,5)</f>
        <v>85.969579999999993</v>
      </c>
      <c r="C2004">
        <f>+ROUND(Get_Data!C2003,5)</f>
        <v>36.581090000000003</v>
      </c>
      <c r="D2004" s="4">
        <f t="shared" si="32"/>
        <v>2.35010985183875</v>
      </c>
    </row>
    <row r="2005" spans="1:4">
      <c r="A2005" s="2">
        <f>+Get_Data!A2004</f>
        <v>42349</v>
      </c>
      <c r="B2005">
        <f>+ROUND(Get_Data!B2004,5)</f>
        <v>84.996009999999998</v>
      </c>
      <c r="C2005">
        <f>+ROUND(Get_Data!C2004,5)</f>
        <v>36.161900000000003</v>
      </c>
      <c r="D2005" s="4">
        <f t="shared" si="32"/>
        <v>2.3504298723241863</v>
      </c>
    </row>
    <row r="2006" spans="1:4">
      <c r="A2006" s="2">
        <f>+Get_Data!A2005</f>
        <v>42352</v>
      </c>
      <c r="B2006">
        <f>+ROUND(Get_Data!B2005,5)</f>
        <v>85.143780000000007</v>
      </c>
      <c r="C2006">
        <f>+ROUND(Get_Data!C2005,5)</f>
        <v>36.315890000000003</v>
      </c>
      <c r="D2006" s="4">
        <f t="shared" si="32"/>
        <v>2.3445323796277608</v>
      </c>
    </row>
    <row r="2007" spans="1:4">
      <c r="A2007" s="2">
        <f>+Get_Data!A2006</f>
        <v>42353</v>
      </c>
      <c r="B2007">
        <f>+ROUND(Get_Data!B2006,5)</f>
        <v>86.395510000000002</v>
      </c>
      <c r="C2007">
        <f>+ROUND(Get_Data!C2006,5)</f>
        <v>36.846299999999999</v>
      </c>
      <c r="D2007" s="4">
        <f t="shared" si="32"/>
        <v>2.3447540187210114</v>
      </c>
    </row>
    <row r="2008" spans="1:4">
      <c r="A2008" s="2">
        <f>+Get_Data!A2007</f>
        <v>42354</v>
      </c>
      <c r="B2008">
        <f>+ROUND(Get_Data!B2007,5)</f>
        <v>87.864549999999994</v>
      </c>
      <c r="C2008">
        <f>+ROUND(Get_Data!C2007,5)</f>
        <v>37.505029999999998</v>
      </c>
      <c r="D2008" s="4">
        <f t="shared" si="32"/>
        <v>2.3427404270840473</v>
      </c>
    </row>
    <row r="2009" spans="1:4">
      <c r="A2009" s="2">
        <f>+Get_Data!A2008</f>
        <v>42355</v>
      </c>
      <c r="B2009">
        <f>+ROUND(Get_Data!B2008,5)</f>
        <v>87.099590000000006</v>
      </c>
      <c r="C2009">
        <f>+ROUND(Get_Data!C2008,5)</f>
        <v>37.205620000000003</v>
      </c>
      <c r="D2009" s="4">
        <f t="shared" si="32"/>
        <v>2.3410331557436752</v>
      </c>
    </row>
    <row r="2010" spans="1:4">
      <c r="A2010" s="2">
        <f>+Get_Data!A2009</f>
        <v>42356</v>
      </c>
      <c r="B2010">
        <f>+ROUND(Get_Data!B2009,5)</f>
        <v>85.100309999999993</v>
      </c>
      <c r="C2010">
        <f>+ROUND(Get_Data!C2009,5)</f>
        <v>36.358669999999996</v>
      </c>
      <c r="D2010" s="4">
        <f t="shared" si="32"/>
        <v>2.3405781894662265</v>
      </c>
    </row>
    <row r="2011" spans="1:4">
      <c r="A2011" s="2">
        <f>+Get_Data!A2010</f>
        <v>42359</v>
      </c>
      <c r="B2011">
        <f>+ROUND(Get_Data!B2010,5)</f>
        <v>85.726200000000006</v>
      </c>
      <c r="C2011">
        <f>+ROUND(Get_Data!C2010,5)</f>
        <v>36.598199999999999</v>
      </c>
      <c r="D2011" s="4">
        <f t="shared" si="32"/>
        <v>2.3423610997262161</v>
      </c>
    </row>
    <row r="2012" spans="1:4">
      <c r="A2012" s="2">
        <f>+Get_Data!A2011</f>
        <v>42360</v>
      </c>
      <c r="B2012">
        <f>+ROUND(Get_Data!B2011,5)</f>
        <v>86.751909999999995</v>
      </c>
      <c r="C2012">
        <f>+ROUND(Get_Data!C2011,5)</f>
        <v>37.034509999999997</v>
      </c>
      <c r="D2012" s="4">
        <f t="shared" si="32"/>
        <v>2.3424613961410587</v>
      </c>
    </row>
    <row r="2013" spans="1:4">
      <c r="A2013" s="2">
        <f>+Get_Data!A2012</f>
        <v>42361</v>
      </c>
      <c r="B2013">
        <f>+ROUND(Get_Data!B2012,5)</f>
        <v>87.482069999999993</v>
      </c>
      <c r="C2013">
        <f>+ROUND(Get_Data!C2012,5)</f>
        <v>37.359589999999997</v>
      </c>
      <c r="D2013" s="4">
        <f t="shared" si="32"/>
        <v>2.3416228604221834</v>
      </c>
    </row>
    <row r="2014" spans="1:4">
      <c r="A2014" s="2">
        <f>+Get_Data!A2013</f>
        <v>42362</v>
      </c>
      <c r="B2014">
        <f>+ROUND(Get_Data!B2013,5)</f>
        <v>87.395150000000001</v>
      </c>
      <c r="C2014">
        <f>+ROUND(Get_Data!C2013,5)</f>
        <v>37.248379999999997</v>
      </c>
      <c r="D2014" s="4">
        <f t="shared" si="32"/>
        <v>2.3462805630741528</v>
      </c>
    </row>
    <row r="2015" spans="1:4">
      <c r="A2015" s="2">
        <f>+Get_Data!A2014</f>
        <v>42366</v>
      </c>
      <c r="B2015">
        <f>+ROUND(Get_Data!B2014,5)</f>
        <v>87.516850000000005</v>
      </c>
      <c r="C2015">
        <f>+ROUND(Get_Data!C2014,5)</f>
        <v>37.205620000000003</v>
      </c>
      <c r="D2015" s="4">
        <f t="shared" si="32"/>
        <v>2.3522481281053778</v>
      </c>
    </row>
    <row r="2016" spans="1:4">
      <c r="A2016" s="2">
        <f>+Get_Data!A2015</f>
        <v>42367</v>
      </c>
      <c r="B2016">
        <f>+ROUND(Get_Data!B2015,5)</f>
        <v>88.186179999999993</v>
      </c>
      <c r="C2016">
        <f>+ROUND(Get_Data!C2015,5)</f>
        <v>37.393819999999998</v>
      </c>
      <c r="D2016" s="4">
        <f t="shared" si="32"/>
        <v>2.3583089398194677</v>
      </c>
    </row>
    <row r="2017" spans="1:4">
      <c r="A2017" s="2">
        <f>+Get_Data!A2016</f>
        <v>42368</v>
      </c>
      <c r="B2017">
        <f>+ROUND(Get_Data!B2016,5)</f>
        <v>87.925409999999999</v>
      </c>
      <c r="C2017">
        <f>+ROUND(Get_Data!C2016,5)</f>
        <v>37.274050000000003</v>
      </c>
      <c r="D2017" s="4">
        <f t="shared" si="32"/>
        <v>2.3588907027811574</v>
      </c>
    </row>
    <row r="2018" spans="1:4">
      <c r="A2018" s="2">
        <f>+Get_Data!A2017</f>
        <v>42369</v>
      </c>
      <c r="B2018">
        <f>+ROUND(Get_Data!B2017,5)</f>
        <v>86.856219999999993</v>
      </c>
      <c r="C2018">
        <f>+ROUND(Get_Data!C2017,5)</f>
        <v>36.752189999999999</v>
      </c>
      <c r="D2018" s="4">
        <f t="shared" si="32"/>
        <v>2.3632937248093242</v>
      </c>
    </row>
    <row r="2019" spans="1:4">
      <c r="A2019" s="2">
        <f>+Get_Data!A2018</f>
        <v>42373</v>
      </c>
      <c r="B2019">
        <f>+ROUND(Get_Data!B2018,5)</f>
        <v>85.856579999999994</v>
      </c>
      <c r="C2019">
        <f>+ROUND(Get_Data!C2018,5)</f>
        <v>36.273119999999999</v>
      </c>
      <c r="D2019" s="4">
        <f t="shared" si="32"/>
        <v>2.3669477563551191</v>
      </c>
    </row>
    <row r="2020" spans="1:4">
      <c r="A2020" s="2">
        <f>+Get_Data!A2019</f>
        <v>42374</v>
      </c>
      <c r="B2020">
        <f>+ROUND(Get_Data!B2019,5)</f>
        <v>86.447649999999996</v>
      </c>
      <c r="C2020">
        <f>+ROUND(Get_Data!C2019,5)</f>
        <v>36.401440000000001</v>
      </c>
      <c r="D2020" s="4">
        <f t="shared" si="32"/>
        <v>2.374841489787217</v>
      </c>
    </row>
    <row r="2021" spans="1:4">
      <c r="A2021" s="2">
        <f>+Get_Data!A2020</f>
        <v>42375</v>
      </c>
      <c r="B2021">
        <f>+ROUND(Get_Data!B2020,5)</f>
        <v>86.473749999999995</v>
      </c>
      <c r="C2021">
        <f>+ROUND(Get_Data!C2020,5)</f>
        <v>36.20467</v>
      </c>
      <c r="D2021" s="4">
        <f t="shared" si="32"/>
        <v>2.3884694985481154</v>
      </c>
    </row>
    <row r="2022" spans="1:4">
      <c r="A2022" s="2">
        <f>+Get_Data!A2021</f>
        <v>42376</v>
      </c>
      <c r="B2022">
        <f>+ROUND(Get_Data!B2021,5)</f>
        <v>84.813460000000006</v>
      </c>
      <c r="C2022">
        <f>+ROUND(Get_Data!C2021,5)</f>
        <v>35.605829999999997</v>
      </c>
      <c r="D2022" s="4">
        <f t="shared" si="32"/>
        <v>2.3820104741274113</v>
      </c>
    </row>
    <row r="2023" spans="1:4">
      <c r="A2023" s="2">
        <f>+Get_Data!A2022</f>
        <v>42377</v>
      </c>
      <c r="B2023">
        <f>+ROUND(Get_Data!B2022,5)</f>
        <v>84.500519999999995</v>
      </c>
      <c r="C2023">
        <f>+ROUND(Get_Data!C2022,5)</f>
        <v>35.511719999999997</v>
      </c>
      <c r="D2023" s="4">
        <f t="shared" si="32"/>
        <v>2.379510764333578</v>
      </c>
    </row>
    <row r="2024" spans="1:4">
      <c r="A2024" s="2">
        <f>+Get_Data!A2023</f>
        <v>42380</v>
      </c>
      <c r="B2024">
        <f>+ROUND(Get_Data!B2023,5)</f>
        <v>84.700469999999996</v>
      </c>
      <c r="C2024">
        <f>+ROUND(Get_Data!C2023,5)</f>
        <v>35.57161</v>
      </c>
      <c r="D2024" s="4">
        <f t="shared" si="32"/>
        <v>2.3811255661467108</v>
      </c>
    </row>
    <row r="2025" spans="1:4">
      <c r="A2025" s="2">
        <f>+Get_Data!A2024</f>
        <v>42381</v>
      </c>
      <c r="B2025">
        <f>+ROUND(Get_Data!B2024,5)</f>
        <v>84.856920000000002</v>
      </c>
      <c r="C2025">
        <f>+ROUND(Get_Data!C2024,5)</f>
        <v>36.033569999999997</v>
      </c>
      <c r="D2025" s="4">
        <f t="shared" si="32"/>
        <v>2.3549406844783909</v>
      </c>
    </row>
    <row r="2026" spans="1:4">
      <c r="A2026" s="2">
        <f>+Get_Data!A2025</f>
        <v>42382</v>
      </c>
      <c r="B2026">
        <f>+ROUND(Get_Data!B2025,5)</f>
        <v>83.883349999999993</v>
      </c>
      <c r="C2026">
        <f>+ROUND(Get_Data!C2025,5)</f>
        <v>35.802590000000002</v>
      </c>
      <c r="D2026" s="4">
        <f t="shared" si="32"/>
        <v>2.3429408319342255</v>
      </c>
    </row>
    <row r="2027" spans="1:4">
      <c r="A2027" s="2">
        <f>+Get_Data!A2026</f>
        <v>42383</v>
      </c>
      <c r="B2027">
        <f>+ROUND(Get_Data!B2026,5)</f>
        <v>83.283569999999997</v>
      </c>
      <c r="C2027">
        <f>+ROUND(Get_Data!C2026,5)</f>
        <v>35.82826</v>
      </c>
      <c r="D2027" s="4">
        <f t="shared" si="32"/>
        <v>2.324521760197118</v>
      </c>
    </row>
    <row r="2028" spans="1:4">
      <c r="A2028" s="2">
        <f>+Get_Data!A2027</f>
        <v>42384</v>
      </c>
      <c r="B2028">
        <f>+ROUND(Get_Data!B2027,5)</f>
        <v>81.649370000000005</v>
      </c>
      <c r="C2028">
        <f>+ROUND(Get_Data!C2027,5)</f>
        <v>35.503169999999997</v>
      </c>
      <c r="D2028" s="4">
        <f t="shared" si="32"/>
        <v>2.2997768931619347</v>
      </c>
    </row>
    <row r="2029" spans="1:4">
      <c r="A2029" s="2">
        <f>+Get_Data!A2028</f>
        <v>42388</v>
      </c>
      <c r="B2029">
        <f>+ROUND(Get_Data!B2028,5)</f>
        <v>83.248800000000003</v>
      </c>
      <c r="C2029">
        <f>+ROUND(Get_Data!C2028,5)</f>
        <v>35.862479999999998</v>
      </c>
      <c r="D2029" s="4">
        <f t="shared" si="32"/>
        <v>2.321334163169976</v>
      </c>
    </row>
    <row r="2030" spans="1:4">
      <c r="A2030" s="2">
        <f>+Get_Data!A2029</f>
        <v>42389</v>
      </c>
      <c r="B2030">
        <f>+ROUND(Get_Data!B2029,5)</f>
        <v>81.510279999999995</v>
      </c>
      <c r="C2030">
        <f>+ROUND(Get_Data!C2029,5)</f>
        <v>35.400509999999997</v>
      </c>
      <c r="D2030" s="4">
        <f t="shared" si="32"/>
        <v>2.3025171106291973</v>
      </c>
    </row>
    <row r="2031" spans="1:4">
      <c r="A2031" s="2">
        <f>+Get_Data!A2030</f>
        <v>42390</v>
      </c>
      <c r="B2031">
        <f>+ROUND(Get_Data!B2030,5)</f>
        <v>82.118759999999995</v>
      </c>
      <c r="C2031">
        <f>+ROUND(Get_Data!C2030,5)</f>
        <v>35.409059999999997</v>
      </c>
      <c r="D2031" s="4">
        <f t="shared" si="32"/>
        <v>2.3191454390486501</v>
      </c>
    </row>
    <row r="2032" spans="1:4">
      <c r="A2032" s="2">
        <f>+Get_Data!A2031</f>
        <v>42391</v>
      </c>
      <c r="B2032">
        <f>+ROUND(Get_Data!B2031,5)</f>
        <v>83.318330000000003</v>
      </c>
      <c r="C2032">
        <f>+ROUND(Get_Data!C2031,5)</f>
        <v>35.982250000000001</v>
      </c>
      <c r="D2032" s="4">
        <f t="shared" si="32"/>
        <v>2.3155397452910811</v>
      </c>
    </row>
    <row r="2033" spans="1:4">
      <c r="A2033" s="2">
        <f>+Get_Data!A2032</f>
        <v>42394</v>
      </c>
      <c r="B2033">
        <f>+ROUND(Get_Data!B2032,5)</f>
        <v>83.396569999999997</v>
      </c>
      <c r="C2033">
        <f>+ROUND(Get_Data!C2032,5)</f>
        <v>36.067790000000002</v>
      </c>
      <c r="D2033" s="4">
        <f t="shared" si="32"/>
        <v>2.3122173551526166</v>
      </c>
    </row>
    <row r="2034" spans="1:4">
      <c r="A2034" s="2">
        <f>+Get_Data!A2033</f>
        <v>42395</v>
      </c>
      <c r="B2034">
        <f>+ROUND(Get_Data!B2033,5)</f>
        <v>83.726889999999997</v>
      </c>
      <c r="C2034">
        <f>+ROUND(Get_Data!C2033,5)</f>
        <v>35.999360000000003</v>
      </c>
      <c r="D2034" s="4">
        <f t="shared" si="32"/>
        <v>2.325788291791854</v>
      </c>
    </row>
    <row r="2035" spans="1:4">
      <c r="A2035" s="2">
        <f>+Get_Data!A2034</f>
        <v>42396</v>
      </c>
      <c r="B2035">
        <f>+ROUND(Get_Data!B2034,5)</f>
        <v>83.396569999999997</v>
      </c>
      <c r="C2035">
        <f>+ROUND(Get_Data!C2034,5)</f>
        <v>36.007910000000003</v>
      </c>
      <c r="D2035" s="4">
        <f t="shared" si="32"/>
        <v>2.3160624984899147</v>
      </c>
    </row>
    <row r="2036" spans="1:4">
      <c r="A2036" s="2">
        <f>+Get_Data!A2035</f>
        <v>42397</v>
      </c>
      <c r="B2036">
        <f>+ROUND(Get_Data!B2035,5)</f>
        <v>84.709140000000005</v>
      </c>
      <c r="C2036">
        <f>+ROUND(Get_Data!C2035,5)</f>
        <v>36.418550000000003</v>
      </c>
      <c r="D2036" s="4">
        <f t="shared" si="32"/>
        <v>2.3259888161390281</v>
      </c>
    </row>
    <row r="2037" spans="1:4">
      <c r="A2037" s="2">
        <f>+Get_Data!A2036</f>
        <v>42398</v>
      </c>
      <c r="B2037">
        <f>+ROUND(Get_Data!B2036,5)</f>
        <v>86.317279999999997</v>
      </c>
      <c r="C2037">
        <f>+ROUND(Get_Data!C2036,5)</f>
        <v>36.717970000000001</v>
      </c>
      <c r="D2037" s="4">
        <f t="shared" si="32"/>
        <v>2.3508184139809472</v>
      </c>
    </row>
    <row r="2038" spans="1:4">
      <c r="A2038" s="2">
        <f>+Get_Data!A2037</f>
        <v>42401</v>
      </c>
      <c r="B2038">
        <f>+ROUND(Get_Data!B2037,5)</f>
        <v>86.082579999999993</v>
      </c>
      <c r="C2038">
        <f>+ROUND(Get_Data!C2037,5)</f>
        <v>36.786409999999997</v>
      </c>
      <c r="D2038" s="4">
        <f t="shared" si="32"/>
        <v>2.3400647141158921</v>
      </c>
    </row>
    <row r="2039" spans="1:4">
      <c r="A2039" s="2">
        <f>+Get_Data!A2038</f>
        <v>42402</v>
      </c>
      <c r="B2039">
        <f>+ROUND(Get_Data!B2038,5)</f>
        <v>85.369789999999995</v>
      </c>
      <c r="C2039">
        <f>+ROUND(Get_Data!C2038,5)</f>
        <v>36.30733</v>
      </c>
      <c r="D2039" s="4">
        <f t="shared" si="32"/>
        <v>2.3513100522676824</v>
      </c>
    </row>
    <row r="2040" spans="1:4">
      <c r="A2040" s="2">
        <f>+Get_Data!A2039</f>
        <v>42403</v>
      </c>
      <c r="B2040">
        <f>+ROUND(Get_Data!B2039,5)</f>
        <v>85.813090000000003</v>
      </c>
      <c r="C2040">
        <f>+ROUND(Get_Data!C2039,5)</f>
        <v>36.546880000000002</v>
      </c>
      <c r="D2040" s="4">
        <f t="shared" si="32"/>
        <v>2.3480277933437819</v>
      </c>
    </row>
    <row r="2041" spans="1:4">
      <c r="A2041" s="2">
        <f>+Get_Data!A2040</f>
        <v>42404</v>
      </c>
      <c r="B2041">
        <f>+ROUND(Get_Data!B2040,5)</f>
        <v>84.65701</v>
      </c>
      <c r="C2041">
        <f>+ROUND(Get_Data!C2040,5)</f>
        <v>36.384329999999999</v>
      </c>
      <c r="D2041" s="4">
        <f t="shared" si="32"/>
        <v>2.3267436833384041</v>
      </c>
    </row>
    <row r="2042" spans="1:4">
      <c r="A2042" s="2">
        <f>+Get_Data!A2041</f>
        <v>42405</v>
      </c>
      <c r="B2042">
        <f>+ROUND(Get_Data!B2041,5)</f>
        <v>84.596140000000005</v>
      </c>
      <c r="C2042">
        <f>+ROUND(Get_Data!C2041,5)</f>
        <v>36.30733</v>
      </c>
      <c r="D2042" s="4">
        <f t="shared" si="32"/>
        <v>2.3300016828557761</v>
      </c>
    </row>
    <row r="2043" spans="1:4">
      <c r="A2043" s="2">
        <f>+Get_Data!A2042</f>
        <v>42408</v>
      </c>
      <c r="B2043">
        <f>+ROUND(Get_Data!B2042,5)</f>
        <v>84.77</v>
      </c>
      <c r="C2043">
        <f>+ROUND(Get_Data!C2042,5)</f>
        <v>36.486980000000003</v>
      </c>
      <c r="D2043" s="4">
        <f t="shared" si="32"/>
        <v>2.3232945012165982</v>
      </c>
    </row>
    <row r="2044" spans="1:4">
      <c r="A2044" s="2">
        <f>+Get_Data!A2043</f>
        <v>42409</v>
      </c>
      <c r="B2044">
        <f>+ROUND(Get_Data!B2043,5)</f>
        <v>85.430620000000005</v>
      </c>
      <c r="C2044">
        <f>+ROUND(Get_Data!C2043,5)</f>
        <v>37.04307</v>
      </c>
      <c r="D2044" s="4">
        <f t="shared" si="32"/>
        <v>2.3062510747624319</v>
      </c>
    </row>
    <row r="2045" spans="1:4">
      <c r="A2045" s="2">
        <f>+Get_Data!A2044</f>
        <v>42410</v>
      </c>
      <c r="B2045">
        <f>+ROUND(Get_Data!B2044,5)</f>
        <v>84.856920000000002</v>
      </c>
      <c r="C2045">
        <f>+ROUND(Get_Data!C2044,5)</f>
        <v>36.401440000000001</v>
      </c>
      <c r="D2045" s="4">
        <f t="shared" si="32"/>
        <v>2.3311418449380024</v>
      </c>
    </row>
    <row r="2046" spans="1:4">
      <c r="A2046" s="2">
        <f>+Get_Data!A2045</f>
        <v>42411</v>
      </c>
      <c r="B2046">
        <f>+ROUND(Get_Data!B2045,5)</f>
        <v>84.231059999999999</v>
      </c>
      <c r="C2046">
        <f>+ROUND(Get_Data!C2045,5)</f>
        <v>36.281669999999998</v>
      </c>
      <c r="D2046" s="4">
        <f t="shared" si="32"/>
        <v>2.3215871816264246</v>
      </c>
    </row>
    <row r="2047" spans="1:4">
      <c r="A2047" s="2">
        <f>+Get_Data!A2046</f>
        <v>42412</v>
      </c>
      <c r="B2047">
        <f>+ROUND(Get_Data!B2046,5)</f>
        <v>85.613190000000003</v>
      </c>
      <c r="C2047">
        <f>+ROUND(Get_Data!C2046,5)</f>
        <v>36.880519999999997</v>
      </c>
      <c r="D2047" s="4">
        <f t="shared" si="32"/>
        <v>2.321366130412478</v>
      </c>
    </row>
    <row r="2048" spans="1:4">
      <c r="A2048" s="2">
        <f>+Get_Data!A2047</f>
        <v>42416</v>
      </c>
      <c r="B2048">
        <f>+ROUND(Get_Data!B2047,5)</f>
        <v>85.708789999999993</v>
      </c>
      <c r="C2048">
        <f>+ROUND(Get_Data!C2047,5)</f>
        <v>37.094389999999997</v>
      </c>
      <c r="D2048" s="4">
        <f t="shared" si="32"/>
        <v>2.3105593595150102</v>
      </c>
    </row>
    <row r="2049" spans="1:4">
      <c r="A2049" s="2">
        <f>+Get_Data!A2048</f>
        <v>42417</v>
      </c>
      <c r="B2049">
        <f>+ROUND(Get_Data!B2048,5)</f>
        <v>86.534589999999994</v>
      </c>
      <c r="C2049">
        <f>+ROUND(Get_Data!C2048,5)</f>
        <v>37.205620000000003</v>
      </c>
      <c r="D2049" s="4">
        <f t="shared" si="32"/>
        <v>2.3258472779112398</v>
      </c>
    </row>
    <row r="2050" spans="1:4">
      <c r="A2050" s="2">
        <f>+Get_Data!A2049</f>
        <v>42418</v>
      </c>
      <c r="B2050">
        <f>+ROUND(Get_Data!B2049,5)</f>
        <v>86.595439999999996</v>
      </c>
      <c r="C2050">
        <f>+ROUND(Get_Data!C2049,5)</f>
        <v>37.30827</v>
      </c>
      <c r="D2050" s="4">
        <f t="shared" si="32"/>
        <v>2.321078945767252</v>
      </c>
    </row>
    <row r="2051" spans="1:4">
      <c r="A2051" s="2">
        <f>+Get_Data!A2050</f>
        <v>42419</v>
      </c>
      <c r="B2051">
        <f>+ROUND(Get_Data!B2050,5)</f>
        <v>86.560680000000005</v>
      </c>
      <c r="C2051">
        <f>+ROUND(Get_Data!C2050,5)</f>
        <v>37.445140000000002</v>
      </c>
      <c r="D2051" s="4">
        <f t="shared" si="32"/>
        <v>2.3116666141453872</v>
      </c>
    </row>
    <row r="2052" spans="1:4">
      <c r="A2052" s="2">
        <f>+Get_Data!A2051</f>
        <v>42422</v>
      </c>
      <c r="B2052">
        <f>+ROUND(Get_Data!B2051,5)</f>
        <v>86.812740000000005</v>
      </c>
      <c r="C2052">
        <f>+ROUND(Get_Data!C2051,5)</f>
        <v>37.590580000000003</v>
      </c>
      <c r="D2052" s="4">
        <f t="shared" ref="D2052:D2115" si="33">IFERROR(B2052/C2052,"")</f>
        <v>2.3094280535176632</v>
      </c>
    </row>
    <row r="2053" spans="1:4">
      <c r="A2053" s="2">
        <f>+Get_Data!A2052</f>
        <v>42423</v>
      </c>
      <c r="B2053">
        <f>+ROUND(Get_Data!B2052,5)</f>
        <v>86.525890000000004</v>
      </c>
      <c r="C2053">
        <f>+ROUND(Get_Data!C2052,5)</f>
        <v>37.3767</v>
      </c>
      <c r="D2053" s="4">
        <f t="shared" si="33"/>
        <v>2.3149686836986678</v>
      </c>
    </row>
    <row r="2054" spans="1:4">
      <c r="A2054" s="2">
        <f>+Get_Data!A2053</f>
        <v>42424</v>
      </c>
      <c r="B2054">
        <f>+ROUND(Get_Data!B2053,5)</f>
        <v>86.647599999999997</v>
      </c>
      <c r="C2054">
        <f>+ROUND(Get_Data!C2053,5)</f>
        <v>37.564909999999998</v>
      </c>
      <c r="D2054" s="4">
        <f t="shared" si="33"/>
        <v>2.3066100783949701</v>
      </c>
    </row>
    <row r="2055" spans="1:4">
      <c r="A2055" s="2">
        <f>+Get_Data!A2054</f>
        <v>42425</v>
      </c>
      <c r="B2055">
        <f>+ROUND(Get_Data!B2054,5)</f>
        <v>87.508160000000004</v>
      </c>
      <c r="C2055">
        <f>+ROUND(Get_Data!C2054,5)</f>
        <v>37.778790000000001</v>
      </c>
      <c r="D2055" s="4">
        <f t="shared" si="33"/>
        <v>2.3163304065588126</v>
      </c>
    </row>
    <row r="2056" spans="1:4">
      <c r="A2056" s="2">
        <f>+Get_Data!A2055</f>
        <v>42426</v>
      </c>
      <c r="B2056">
        <f>+ROUND(Get_Data!B2055,5)</f>
        <v>85.50018</v>
      </c>
      <c r="C2056">
        <f>+ROUND(Get_Data!C2055,5)</f>
        <v>36.906190000000002</v>
      </c>
      <c r="D2056" s="4">
        <f t="shared" si="33"/>
        <v>2.3166894225602803</v>
      </c>
    </row>
    <row r="2057" spans="1:4">
      <c r="A2057" s="2">
        <f>+Get_Data!A2056</f>
        <v>42429</v>
      </c>
      <c r="B2057">
        <f>+ROUND(Get_Data!B2056,5)</f>
        <v>85.030779999999993</v>
      </c>
      <c r="C2057">
        <f>+ROUND(Get_Data!C2056,5)</f>
        <v>36.897629999999999</v>
      </c>
      <c r="D2057" s="4">
        <f t="shared" si="33"/>
        <v>2.3045051945070725</v>
      </c>
    </row>
    <row r="2058" spans="1:4">
      <c r="A2058" s="2">
        <f>+Get_Data!A2057</f>
        <v>42430</v>
      </c>
      <c r="B2058">
        <f>+ROUND(Get_Data!B2057,5)</f>
        <v>86.134709999999998</v>
      </c>
      <c r="C2058">
        <f>+ROUND(Get_Data!C2057,5)</f>
        <v>37.3767</v>
      </c>
      <c r="D2058" s="4">
        <f t="shared" si="33"/>
        <v>2.3045028052235752</v>
      </c>
    </row>
    <row r="2059" spans="1:4">
      <c r="A2059" s="2">
        <f>+Get_Data!A2058</f>
        <v>42431</v>
      </c>
      <c r="B2059">
        <f>+ROUND(Get_Data!B2058,5)</f>
        <v>86.084850000000003</v>
      </c>
      <c r="C2059">
        <f>+ROUND(Get_Data!C2058,5)</f>
        <v>37.445140000000002</v>
      </c>
      <c r="D2059" s="4">
        <f t="shared" si="33"/>
        <v>2.2989592240808818</v>
      </c>
    </row>
    <row r="2060" spans="1:4">
      <c r="A2060" s="2">
        <f>+Get_Data!A2059</f>
        <v>42432</v>
      </c>
      <c r="B2060">
        <f>+ROUND(Get_Data!B2059,5)</f>
        <v>86.811459999999997</v>
      </c>
      <c r="C2060">
        <f>+ROUND(Get_Data!C2059,5)</f>
        <v>37.607689999999998</v>
      </c>
      <c r="D2060" s="4">
        <f t="shared" si="33"/>
        <v>2.3083433202092443</v>
      </c>
    </row>
    <row r="2061" spans="1:4">
      <c r="A2061" s="2">
        <f>+Get_Data!A2060</f>
        <v>42433</v>
      </c>
      <c r="B2061">
        <f>+ROUND(Get_Data!B2060,5)</f>
        <v>87.546869999999998</v>
      </c>
      <c r="C2061">
        <f>+ROUND(Get_Data!C2060,5)</f>
        <v>37.736020000000003</v>
      </c>
      <c r="D2061" s="4">
        <f t="shared" si="33"/>
        <v>2.3199815454835986</v>
      </c>
    </row>
    <row r="2062" spans="1:4">
      <c r="A2062" s="2">
        <f>+Get_Data!A2061</f>
        <v>42436</v>
      </c>
      <c r="B2062">
        <f>+ROUND(Get_Data!B2061,5)</f>
        <v>86.890270000000001</v>
      </c>
      <c r="C2062">
        <f>+ROUND(Get_Data!C2061,5)</f>
        <v>37.650469999999999</v>
      </c>
      <c r="D2062" s="4">
        <f t="shared" si="33"/>
        <v>2.3078136873191757</v>
      </c>
    </row>
    <row r="2063" spans="1:4">
      <c r="A2063" s="2">
        <f>+Get_Data!A2062</f>
        <v>42437</v>
      </c>
      <c r="B2063">
        <f>+ROUND(Get_Data!B2062,5)</f>
        <v>87.319220000000001</v>
      </c>
      <c r="C2063">
        <f>+ROUND(Get_Data!C2062,5)</f>
        <v>37.915669999999999</v>
      </c>
      <c r="D2063" s="4">
        <f t="shared" si="33"/>
        <v>2.3029850191227004</v>
      </c>
    </row>
    <row r="2064" spans="1:4">
      <c r="A2064" s="2">
        <f>+Get_Data!A2063</f>
        <v>42438</v>
      </c>
      <c r="B2064">
        <f>+ROUND(Get_Data!B2063,5)</f>
        <v>87.721950000000007</v>
      </c>
      <c r="C2064">
        <f>+ROUND(Get_Data!C2063,5)</f>
        <v>38.334870000000002</v>
      </c>
      <c r="D2064" s="4">
        <f t="shared" si="33"/>
        <v>2.2883069643903839</v>
      </c>
    </row>
    <row r="2065" spans="1:4">
      <c r="A2065" s="2">
        <f>+Get_Data!A2064</f>
        <v>42439</v>
      </c>
      <c r="B2065">
        <f>+ROUND(Get_Data!B2064,5)</f>
        <v>88.229730000000004</v>
      </c>
      <c r="C2065">
        <f>+ROUND(Get_Data!C2064,5)</f>
        <v>38.69417</v>
      </c>
      <c r="D2065" s="4">
        <f t="shared" si="33"/>
        <v>2.2801814847042849</v>
      </c>
    </row>
    <row r="2066" spans="1:4">
      <c r="A2066" s="2">
        <f>+Get_Data!A2065</f>
        <v>42440</v>
      </c>
      <c r="B2066">
        <f>+ROUND(Get_Data!B2065,5)</f>
        <v>88.693730000000002</v>
      </c>
      <c r="C2066">
        <f>+ROUND(Get_Data!C2065,5)</f>
        <v>38.97007</v>
      </c>
      <c r="D2066" s="4">
        <f t="shared" si="33"/>
        <v>2.275944846904304</v>
      </c>
    </row>
    <row r="2067" spans="1:4">
      <c r="A2067" s="2">
        <f>+Get_Data!A2066</f>
        <v>42443</v>
      </c>
      <c r="B2067">
        <f>+ROUND(Get_Data!B2066,5)</f>
        <v>88.115920000000003</v>
      </c>
      <c r="C2067">
        <f>+ROUND(Get_Data!C2066,5)</f>
        <v>39.04766</v>
      </c>
      <c r="D2067" s="4">
        <f t="shared" si="33"/>
        <v>2.2566248528080814</v>
      </c>
    </row>
    <row r="2068" spans="1:4">
      <c r="A2068" s="2">
        <f>+Get_Data!A2067</f>
        <v>42444</v>
      </c>
      <c r="B2068">
        <f>+ROUND(Get_Data!B2067,5)</f>
        <v>88.553659999999994</v>
      </c>
      <c r="C2068">
        <f>+ROUND(Get_Data!C2067,5)</f>
        <v>39.004559999999998</v>
      </c>
      <c r="D2068" s="4">
        <f t="shared" si="33"/>
        <v>2.2703412113865662</v>
      </c>
    </row>
    <row r="2069" spans="1:4">
      <c r="A2069" s="2">
        <f>+Get_Data!A2068</f>
        <v>42445</v>
      </c>
      <c r="B2069">
        <f>+ROUND(Get_Data!B2068,5)</f>
        <v>88.273499999999999</v>
      </c>
      <c r="C2069">
        <f>+ROUND(Get_Data!C2068,5)</f>
        <v>38.840739999999997</v>
      </c>
      <c r="D2069" s="4">
        <f t="shared" si="33"/>
        <v>2.2727038671250859</v>
      </c>
    </row>
    <row r="2070" spans="1:4">
      <c r="A2070" s="2">
        <f>+Get_Data!A2069</f>
        <v>42446</v>
      </c>
      <c r="B2070">
        <f>+ROUND(Get_Data!B2069,5)</f>
        <v>89.183980000000005</v>
      </c>
      <c r="C2070">
        <f>+ROUND(Get_Data!C2069,5)</f>
        <v>39.461509999999997</v>
      </c>
      <c r="D2070" s="4">
        <f t="shared" si="33"/>
        <v>2.2600245150274283</v>
      </c>
    </row>
    <row r="2071" spans="1:4">
      <c r="A2071" s="2">
        <f>+Get_Data!A2070</f>
        <v>42447</v>
      </c>
      <c r="B2071">
        <f>+ROUND(Get_Data!B2070,5)</f>
        <v>88.676209999999998</v>
      </c>
      <c r="C2071">
        <f>+ROUND(Get_Data!C2070,5)</f>
        <v>39.31494</v>
      </c>
      <c r="D2071" s="4">
        <f t="shared" si="33"/>
        <v>2.2555346644303667</v>
      </c>
    </row>
    <row r="2072" spans="1:4">
      <c r="A2072" s="2">
        <f>+Get_Data!A2071</f>
        <v>42450</v>
      </c>
      <c r="B2072">
        <f>+ROUND(Get_Data!B2071,5)</f>
        <v>88.895079999999993</v>
      </c>
      <c r="C2072">
        <f>+ROUND(Get_Data!C2071,5)</f>
        <v>39.37529</v>
      </c>
      <c r="D2072" s="4">
        <f t="shared" si="33"/>
        <v>2.2576361977270514</v>
      </c>
    </row>
    <row r="2073" spans="1:4">
      <c r="A2073" s="2">
        <f>+Get_Data!A2072</f>
        <v>42451</v>
      </c>
      <c r="B2073">
        <f>+ROUND(Get_Data!B2072,5)</f>
        <v>88.220969999999994</v>
      </c>
      <c r="C2073">
        <f>+ROUND(Get_Data!C2072,5)</f>
        <v>39.228720000000003</v>
      </c>
      <c r="D2073" s="4">
        <f t="shared" si="33"/>
        <v>2.2488872948186938</v>
      </c>
    </row>
    <row r="2074" spans="1:4">
      <c r="A2074" s="2">
        <f>+Get_Data!A2073</f>
        <v>42452</v>
      </c>
      <c r="B2074">
        <f>+ROUND(Get_Data!B2073,5)</f>
        <v>88.255979999999994</v>
      </c>
      <c r="C2074">
        <f>+ROUND(Get_Data!C2073,5)</f>
        <v>39.194229999999997</v>
      </c>
      <c r="D2074" s="4">
        <f t="shared" si="33"/>
        <v>2.2517595064375548</v>
      </c>
    </row>
    <row r="2075" spans="1:4">
      <c r="A2075" s="2">
        <f>+Get_Data!A2074</f>
        <v>42453</v>
      </c>
      <c r="B2075">
        <f>+ROUND(Get_Data!B2074,5)</f>
        <v>88.142169999999993</v>
      </c>
      <c r="C2075">
        <f>+ROUND(Get_Data!C2074,5)</f>
        <v>39.297699999999999</v>
      </c>
      <c r="D2075" s="4">
        <f t="shared" si="33"/>
        <v>2.2429345737791269</v>
      </c>
    </row>
    <row r="2076" spans="1:4">
      <c r="A2076" s="2">
        <f>+Get_Data!A2075</f>
        <v>42457</v>
      </c>
      <c r="B2076">
        <f>+ROUND(Get_Data!B2075,5)</f>
        <v>88.404809999999998</v>
      </c>
      <c r="C2076">
        <f>+ROUND(Get_Data!C2075,5)</f>
        <v>39.487380000000002</v>
      </c>
      <c r="D2076" s="4">
        <f t="shared" si="33"/>
        <v>2.2388117418780378</v>
      </c>
    </row>
    <row r="2077" spans="1:4">
      <c r="A2077" s="2">
        <f>+Get_Data!A2076</f>
        <v>42458</v>
      </c>
      <c r="B2077">
        <f>+ROUND(Get_Data!B2076,5)</f>
        <v>88.746250000000003</v>
      </c>
      <c r="C2077">
        <f>+ROUND(Get_Data!C2076,5)</f>
        <v>40.073639999999997</v>
      </c>
      <c r="D2077" s="4">
        <f t="shared" si="33"/>
        <v>2.2145792096749886</v>
      </c>
    </row>
    <row r="2078" spans="1:4">
      <c r="A2078" s="2">
        <f>+Get_Data!A2077</f>
        <v>42459</v>
      </c>
      <c r="B2078">
        <f>+ROUND(Get_Data!B2077,5)</f>
        <v>89.901870000000002</v>
      </c>
      <c r="C2078">
        <f>+ROUND(Get_Data!C2077,5)</f>
        <v>40.159860000000002</v>
      </c>
      <c r="D2078" s="4">
        <f t="shared" si="33"/>
        <v>2.2386001843631926</v>
      </c>
    </row>
    <row r="2079" spans="1:4">
      <c r="A2079" s="2">
        <f>+Get_Data!A2078</f>
        <v>42460</v>
      </c>
      <c r="B2079">
        <f>+ROUND(Get_Data!B2078,5)</f>
        <v>89.718029999999999</v>
      </c>
      <c r="C2079">
        <f>+ROUND(Get_Data!C2078,5)</f>
        <v>39.996040000000001</v>
      </c>
      <c r="D2079" s="4">
        <f t="shared" si="33"/>
        <v>2.2431728241095867</v>
      </c>
    </row>
    <row r="2080" spans="1:4">
      <c r="A2080" s="2">
        <f>+Get_Data!A2079</f>
        <v>42461</v>
      </c>
      <c r="B2080">
        <f>+ROUND(Get_Data!B2079,5)</f>
        <v>90.856129999999993</v>
      </c>
      <c r="C2080">
        <f>+ROUND(Get_Data!C2079,5)</f>
        <v>40.375410000000002</v>
      </c>
      <c r="D2080" s="4">
        <f t="shared" si="33"/>
        <v>2.2502837742081132</v>
      </c>
    </row>
    <row r="2081" spans="1:4">
      <c r="A2081" s="2">
        <f>+Get_Data!A2080</f>
        <v>42464</v>
      </c>
      <c r="B2081">
        <f>+ROUND(Get_Data!B2080,5)</f>
        <v>90.891139999999993</v>
      </c>
      <c r="C2081">
        <f>+ROUND(Get_Data!C2080,5)</f>
        <v>40.427140000000001</v>
      </c>
      <c r="D2081" s="4">
        <f t="shared" si="33"/>
        <v>2.2482703451196397</v>
      </c>
    </row>
    <row r="2082" spans="1:4">
      <c r="A2082" s="2">
        <f>+Get_Data!A2081</f>
        <v>42465</v>
      </c>
      <c r="B2082">
        <f>+ROUND(Get_Data!B2081,5)</f>
        <v>90.260800000000003</v>
      </c>
      <c r="C2082">
        <f>+ROUND(Get_Data!C2081,5)</f>
        <v>40.116759999999999</v>
      </c>
      <c r="D2082" s="4">
        <f t="shared" si="33"/>
        <v>2.2499523889765776</v>
      </c>
    </row>
    <row r="2083" spans="1:4">
      <c r="A2083" s="2">
        <f>+Get_Data!A2082</f>
        <v>42466</v>
      </c>
      <c r="B2083">
        <f>+ROUND(Get_Data!B2082,5)</f>
        <v>90.97869</v>
      </c>
      <c r="C2083">
        <f>+ROUND(Get_Data!C2082,5)</f>
        <v>40.271949999999997</v>
      </c>
      <c r="D2083" s="4">
        <f t="shared" si="33"/>
        <v>2.2591081385430805</v>
      </c>
    </row>
    <row r="2084" spans="1:4">
      <c r="A2084" s="2">
        <f>+Get_Data!A2083</f>
        <v>42467</v>
      </c>
      <c r="B2084">
        <f>+ROUND(Get_Data!B2083,5)</f>
        <v>90.698549999999997</v>
      </c>
      <c r="C2084">
        <f>+ROUND(Get_Data!C2083,5)</f>
        <v>39.970190000000002</v>
      </c>
      <c r="D2084" s="4">
        <f t="shared" si="33"/>
        <v>2.2691548376427533</v>
      </c>
    </row>
    <row r="2085" spans="1:4">
      <c r="A2085" s="2">
        <f>+Get_Data!A2084</f>
        <v>42468</v>
      </c>
      <c r="B2085">
        <f>+ROUND(Get_Data!B2084,5)</f>
        <v>91.994259999999997</v>
      </c>
      <c r="C2085">
        <f>+ROUND(Get_Data!C2084,5)</f>
        <v>40.409889999999997</v>
      </c>
      <c r="D2085" s="4">
        <f t="shared" si="33"/>
        <v>2.2765283449175437</v>
      </c>
    </row>
    <row r="2086" spans="1:4">
      <c r="A2086" s="2">
        <f>+Get_Data!A2085</f>
        <v>42471</v>
      </c>
      <c r="B2086">
        <f>+ROUND(Get_Data!B2085,5)</f>
        <v>91.311390000000003</v>
      </c>
      <c r="C2086">
        <f>+ROUND(Get_Data!C2085,5)</f>
        <v>40.039160000000003</v>
      </c>
      <c r="D2086" s="4">
        <f t="shared" si="33"/>
        <v>2.2805520895043752</v>
      </c>
    </row>
    <row r="2087" spans="1:4">
      <c r="A2087" s="2">
        <f>+Get_Data!A2086</f>
        <v>42472</v>
      </c>
      <c r="B2087">
        <f>+ROUND(Get_Data!B2086,5)</f>
        <v>91.845410000000001</v>
      </c>
      <c r="C2087">
        <f>+ROUND(Get_Data!C2086,5)</f>
        <v>40.220210000000002</v>
      </c>
      <c r="D2087" s="4">
        <f t="shared" si="33"/>
        <v>2.2835636611544294</v>
      </c>
    </row>
    <row r="2088" spans="1:4">
      <c r="A2088" s="2">
        <f>+Get_Data!A2087</f>
        <v>42473</v>
      </c>
      <c r="B2088">
        <f>+ROUND(Get_Data!B2087,5)</f>
        <v>91.153790000000001</v>
      </c>
      <c r="C2088">
        <f>+ROUND(Get_Data!C2087,5)</f>
        <v>39.694290000000002</v>
      </c>
      <c r="D2088" s="4">
        <f t="shared" si="33"/>
        <v>2.2963955269133165</v>
      </c>
    </row>
    <row r="2089" spans="1:4">
      <c r="A2089" s="2">
        <f>+Get_Data!A2088</f>
        <v>42474</v>
      </c>
      <c r="B2089">
        <f>+ROUND(Get_Data!B2088,5)</f>
        <v>90.313339999999997</v>
      </c>
      <c r="C2089">
        <f>+ROUND(Get_Data!C2088,5)</f>
        <v>39.513240000000003</v>
      </c>
      <c r="D2089" s="4">
        <f t="shared" si="33"/>
        <v>2.2856475449747982</v>
      </c>
    </row>
    <row r="2090" spans="1:4">
      <c r="A2090" s="2">
        <f>+Get_Data!A2089</f>
        <v>42475</v>
      </c>
      <c r="B2090">
        <f>+ROUND(Get_Data!B2089,5)</f>
        <v>90.847369999999998</v>
      </c>
      <c r="C2090">
        <f>+ROUND(Get_Data!C2089,5)</f>
        <v>39.746029999999998</v>
      </c>
      <c r="D2090" s="4">
        <f t="shared" si="33"/>
        <v>2.2856967098349195</v>
      </c>
    </row>
    <row r="2091" spans="1:4">
      <c r="A2091" s="2">
        <f>+Get_Data!A2090</f>
        <v>42478</v>
      </c>
      <c r="B2091">
        <f>+ROUND(Get_Data!B2090,5)</f>
        <v>90.803600000000003</v>
      </c>
      <c r="C2091">
        <f>+ROUND(Get_Data!C2090,5)</f>
        <v>39.84948</v>
      </c>
      <c r="D2091" s="4">
        <f t="shared" si="33"/>
        <v>2.2786646149460421</v>
      </c>
    </row>
    <row r="2092" spans="1:4">
      <c r="A2092" s="2">
        <f>+Get_Data!A2091</f>
        <v>42479</v>
      </c>
      <c r="B2092">
        <f>+ROUND(Get_Data!B2091,5)</f>
        <v>91.328900000000004</v>
      </c>
      <c r="C2092">
        <f>+ROUND(Get_Data!C2091,5)</f>
        <v>40.177100000000003</v>
      </c>
      <c r="D2092" s="4">
        <f t="shared" si="33"/>
        <v>2.2731580925452559</v>
      </c>
    </row>
    <row r="2093" spans="1:4">
      <c r="A2093" s="2">
        <f>+Get_Data!A2092</f>
        <v>42480</v>
      </c>
      <c r="B2093">
        <f>+ROUND(Get_Data!B2092,5)</f>
        <v>89.683009999999996</v>
      </c>
      <c r="C2093">
        <f>+ROUND(Get_Data!C2092,5)</f>
        <v>38.254460000000002</v>
      </c>
      <c r="D2093" s="4">
        <f t="shared" si="33"/>
        <v>2.3443804983784897</v>
      </c>
    </row>
    <row r="2094" spans="1:4">
      <c r="A2094" s="2">
        <f>+Get_Data!A2093</f>
        <v>42481</v>
      </c>
      <c r="B2094">
        <f>+ROUND(Get_Data!B2093,5)</f>
        <v>88.413570000000007</v>
      </c>
      <c r="C2094">
        <f>+ROUND(Get_Data!C2093,5)</f>
        <v>37.642330000000001</v>
      </c>
      <c r="D2094" s="4">
        <f t="shared" si="33"/>
        <v>2.3487804819733529</v>
      </c>
    </row>
    <row r="2095" spans="1:4">
      <c r="A2095" s="2">
        <f>+Get_Data!A2094</f>
        <v>42482</v>
      </c>
      <c r="B2095">
        <f>+ROUND(Get_Data!B2094,5)</f>
        <v>89.280299999999997</v>
      </c>
      <c r="C2095">
        <f>+ROUND(Get_Data!C2094,5)</f>
        <v>38.401040000000002</v>
      </c>
      <c r="D2095" s="4">
        <f t="shared" si="33"/>
        <v>2.3249448452437744</v>
      </c>
    </row>
    <row r="2096" spans="1:4">
      <c r="A2096" s="2">
        <f>+Get_Data!A2095</f>
        <v>42485</v>
      </c>
      <c r="B2096">
        <f>+ROUND(Get_Data!B2095,5)</f>
        <v>89.998180000000005</v>
      </c>
      <c r="C2096">
        <f>+ROUND(Get_Data!C2095,5)</f>
        <v>38.547600000000003</v>
      </c>
      <c r="D2096" s="4">
        <f t="shared" si="33"/>
        <v>2.3347284915273585</v>
      </c>
    </row>
    <row r="2097" spans="1:4">
      <c r="A2097" s="2">
        <f>+Get_Data!A2096</f>
        <v>42486</v>
      </c>
      <c r="B2097">
        <f>+ROUND(Get_Data!B2096,5)</f>
        <v>89.823080000000004</v>
      </c>
      <c r="C2097">
        <f>+ROUND(Get_Data!C2096,5)</f>
        <v>38.392409999999998</v>
      </c>
      <c r="D2097" s="4">
        <f t="shared" si="33"/>
        <v>2.3396051459129552</v>
      </c>
    </row>
    <row r="2098" spans="1:4">
      <c r="A2098" s="2">
        <f>+Get_Data!A2097</f>
        <v>42487</v>
      </c>
      <c r="B2098">
        <f>+ROUND(Get_Data!B2097,5)</f>
        <v>89.849350000000001</v>
      </c>
      <c r="C2098">
        <f>+ROUND(Get_Data!C2097,5)</f>
        <v>38.521740000000001</v>
      </c>
      <c r="D2098" s="4">
        <f t="shared" si="33"/>
        <v>2.3324322836922735</v>
      </c>
    </row>
    <row r="2099" spans="1:4">
      <c r="A2099" s="2">
        <f>+Get_Data!A2098</f>
        <v>42488</v>
      </c>
      <c r="B2099">
        <f>+ROUND(Get_Data!B2098,5)</f>
        <v>90.147019999999998</v>
      </c>
      <c r="C2099">
        <f>+ROUND(Get_Data!C2098,5)</f>
        <v>38.478630000000003</v>
      </c>
      <c r="D2099" s="4">
        <f t="shared" si="33"/>
        <v>2.3427814347860094</v>
      </c>
    </row>
    <row r="2100" spans="1:4">
      <c r="A2100" s="2">
        <f>+Get_Data!A2099</f>
        <v>42489</v>
      </c>
      <c r="B2100">
        <f>+ROUND(Get_Data!B2099,5)</f>
        <v>90.138249999999999</v>
      </c>
      <c r="C2100">
        <f>+ROUND(Get_Data!C2099,5)</f>
        <v>38.6252</v>
      </c>
      <c r="D2100" s="4">
        <f t="shared" si="33"/>
        <v>2.3336642917059329</v>
      </c>
    </row>
    <row r="2101" spans="1:4">
      <c r="A2101" s="2">
        <f>+Get_Data!A2100</f>
        <v>42492</v>
      </c>
      <c r="B2101">
        <f>+ROUND(Get_Data!B2100,5)</f>
        <v>90.549719999999994</v>
      </c>
      <c r="C2101">
        <f>+ROUND(Get_Data!C2100,5)</f>
        <v>38.780389999999997</v>
      </c>
      <c r="D2101" s="4">
        <f t="shared" si="33"/>
        <v>2.334935775529849</v>
      </c>
    </row>
    <row r="2102" spans="1:4">
      <c r="A2102" s="2">
        <f>+Get_Data!A2101</f>
        <v>42493</v>
      </c>
      <c r="B2102">
        <f>+ROUND(Get_Data!B2101,5)</f>
        <v>90.663539999999998</v>
      </c>
      <c r="C2102">
        <f>+ROUND(Get_Data!C2101,5)</f>
        <v>38.659680000000002</v>
      </c>
      <c r="D2102" s="4">
        <f t="shared" si="33"/>
        <v>2.34517047218187</v>
      </c>
    </row>
    <row r="2103" spans="1:4">
      <c r="A2103" s="2">
        <f>+Get_Data!A2102</f>
        <v>42494</v>
      </c>
      <c r="B2103">
        <f>+ROUND(Get_Data!B2102,5)</f>
        <v>91.066239999999993</v>
      </c>
      <c r="C2103">
        <f>+ROUND(Get_Data!C2102,5)</f>
        <v>38.780389999999997</v>
      </c>
      <c r="D2103" s="4">
        <f t="shared" si="33"/>
        <v>2.3482548783031838</v>
      </c>
    </row>
    <row r="2104" spans="1:4">
      <c r="A2104" s="2">
        <f>+Get_Data!A2103</f>
        <v>42495</v>
      </c>
      <c r="B2104">
        <f>+ROUND(Get_Data!B2103,5)</f>
        <v>91.232590000000002</v>
      </c>
      <c r="C2104">
        <f>+ROUND(Get_Data!C2103,5)</f>
        <v>38.84937</v>
      </c>
      <c r="D2104" s="4">
        <f t="shared" si="33"/>
        <v>2.3483672965610509</v>
      </c>
    </row>
    <row r="2105" spans="1:4">
      <c r="A2105" s="2">
        <f>+Get_Data!A2104</f>
        <v>42496</v>
      </c>
      <c r="B2105">
        <f>+ROUND(Get_Data!B2104,5)</f>
        <v>91.889200000000002</v>
      </c>
      <c r="C2105">
        <f>+ROUND(Get_Data!C2104,5)</f>
        <v>39.073540000000001</v>
      </c>
      <c r="D2105" s="4">
        <f t="shared" si="33"/>
        <v>2.3516988734575879</v>
      </c>
    </row>
    <row r="2106" spans="1:4">
      <c r="A2106" s="2">
        <f>+Get_Data!A2105</f>
        <v>42499</v>
      </c>
      <c r="B2106">
        <f>+ROUND(Get_Data!B2105,5)</f>
        <v>92.169330000000002</v>
      </c>
      <c r="C2106">
        <f>+ROUND(Get_Data!C2105,5)</f>
        <v>39.004559999999998</v>
      </c>
      <c r="D2106" s="4">
        <f t="shared" si="33"/>
        <v>2.3630398599548363</v>
      </c>
    </row>
    <row r="2107" spans="1:4">
      <c r="A2107" s="2">
        <f>+Get_Data!A2106</f>
        <v>42500</v>
      </c>
      <c r="B2107">
        <f>+ROUND(Get_Data!B2106,5)</f>
        <v>93.298699999999997</v>
      </c>
      <c r="C2107">
        <f>+ROUND(Get_Data!C2106,5)</f>
        <v>39.44426</v>
      </c>
      <c r="D2107" s="4">
        <f t="shared" si="33"/>
        <v>2.3653302153469222</v>
      </c>
    </row>
    <row r="2108" spans="1:4">
      <c r="A2108" s="2">
        <f>+Get_Data!A2107</f>
        <v>42501</v>
      </c>
      <c r="B2108">
        <f>+ROUND(Get_Data!B2107,5)</f>
        <v>92.55453</v>
      </c>
      <c r="C2108">
        <f>+ROUND(Get_Data!C2107,5)</f>
        <v>39.194229999999997</v>
      </c>
      <c r="D2108" s="4">
        <f t="shared" si="33"/>
        <v>2.3614325373913458</v>
      </c>
    </row>
    <row r="2109" spans="1:4">
      <c r="A2109" s="2">
        <f>+Get_Data!A2108</f>
        <v>42502</v>
      </c>
      <c r="B2109">
        <f>+ROUND(Get_Data!B2108,5)</f>
        <v>92.887209999999996</v>
      </c>
      <c r="C2109">
        <f>+ROUND(Get_Data!C2108,5)</f>
        <v>39.513240000000003</v>
      </c>
      <c r="D2109" s="4">
        <f t="shared" si="33"/>
        <v>2.3507869767197018</v>
      </c>
    </row>
    <row r="2110" spans="1:4">
      <c r="A2110" s="2">
        <f>+Get_Data!A2109</f>
        <v>42503</v>
      </c>
      <c r="B2110">
        <f>+ROUND(Get_Data!B2109,5)</f>
        <v>91.206329999999994</v>
      </c>
      <c r="C2110">
        <f>+ROUND(Get_Data!C2109,5)</f>
        <v>39.099379999999996</v>
      </c>
      <c r="D2110" s="4">
        <f t="shared" si="33"/>
        <v>2.3326796997804058</v>
      </c>
    </row>
    <row r="2111" spans="1:4">
      <c r="A2111" s="2">
        <f>+Get_Data!A2110</f>
        <v>42506</v>
      </c>
      <c r="B2111">
        <f>+ROUND(Get_Data!B2110,5)</f>
        <v>91.162549999999996</v>
      </c>
      <c r="C2111">
        <f>+ROUND(Get_Data!C2110,5)</f>
        <v>39.332180000000001</v>
      </c>
      <c r="D2111" s="4">
        <f t="shared" si="33"/>
        <v>2.3177599105872084</v>
      </c>
    </row>
    <row r="2112" spans="1:4">
      <c r="A2112" s="2">
        <f>+Get_Data!A2111</f>
        <v>42507</v>
      </c>
      <c r="B2112">
        <f>+ROUND(Get_Data!B2111,5)</f>
        <v>89.621719999999996</v>
      </c>
      <c r="C2112">
        <f>+ROUND(Get_Data!C2111,5)</f>
        <v>38.582099999999997</v>
      </c>
      <c r="D2112" s="4">
        <f t="shared" si="33"/>
        <v>2.3228834096640671</v>
      </c>
    </row>
    <row r="2113" spans="1:4">
      <c r="A2113" s="2">
        <f>+Get_Data!A2112</f>
        <v>42508</v>
      </c>
      <c r="B2113">
        <f>+ROUND(Get_Data!B2112,5)</f>
        <v>88.343559999999997</v>
      </c>
      <c r="C2113">
        <f>+ROUND(Get_Data!C2112,5)</f>
        <v>38.349319999999999</v>
      </c>
      <c r="D2113" s="4">
        <f t="shared" si="33"/>
        <v>2.3036538848667982</v>
      </c>
    </row>
    <row r="2114" spans="1:4">
      <c r="A2114" s="2">
        <f>+Get_Data!A2113</f>
        <v>42509</v>
      </c>
      <c r="B2114">
        <f>+ROUND(Get_Data!B2113,5)</f>
        <v>88.711240000000004</v>
      </c>
      <c r="C2114">
        <f>+ROUND(Get_Data!C2113,5)</f>
        <v>38.211359999999999</v>
      </c>
      <c r="D2114" s="4">
        <f t="shared" si="33"/>
        <v>2.3215933690923327</v>
      </c>
    </row>
    <row r="2115" spans="1:4">
      <c r="A2115" s="2">
        <f>+Get_Data!A2114</f>
        <v>42510</v>
      </c>
      <c r="B2115">
        <f>+ROUND(Get_Data!B2114,5)</f>
        <v>87.634410000000003</v>
      </c>
      <c r="C2115">
        <f>+ROUND(Get_Data!C2114,5)</f>
        <v>37.892359999999996</v>
      </c>
      <c r="D2115" s="4">
        <f t="shared" si="33"/>
        <v>2.3127197672565134</v>
      </c>
    </row>
    <row r="2116" spans="1:4">
      <c r="A2116" s="2">
        <f>+Get_Data!A2115</f>
        <v>42513</v>
      </c>
      <c r="B2116">
        <f>+ROUND(Get_Data!B2115,5)</f>
        <v>87.914559999999994</v>
      </c>
      <c r="C2116">
        <f>+ROUND(Get_Data!C2115,5)</f>
        <v>37.909599999999998</v>
      </c>
      <c r="D2116" s="4">
        <f t="shared" ref="D2116:D2179" si="34">IFERROR(B2116/C2116,"")</f>
        <v>2.3190579694853017</v>
      </c>
    </row>
    <row r="2117" spans="1:4">
      <c r="A2117" s="2">
        <f>+Get_Data!A2116</f>
        <v>42514</v>
      </c>
      <c r="B2117">
        <f>+ROUND(Get_Data!B2116,5)</f>
        <v>88.501109999999997</v>
      </c>
      <c r="C2117">
        <f>+ROUND(Get_Data!C2116,5)</f>
        <v>38.254460000000002</v>
      </c>
      <c r="D2117" s="4">
        <f t="shared" si="34"/>
        <v>2.3134847544573884</v>
      </c>
    </row>
    <row r="2118" spans="1:4">
      <c r="A2118" s="2">
        <f>+Get_Data!A2117</f>
        <v>42515</v>
      </c>
      <c r="B2118">
        <f>+ROUND(Get_Data!B2117,5)</f>
        <v>88.501109999999997</v>
      </c>
      <c r="C2118">
        <f>+ROUND(Get_Data!C2117,5)</f>
        <v>38.263100000000001</v>
      </c>
      <c r="D2118" s="4">
        <f t="shared" si="34"/>
        <v>2.3129623579898126</v>
      </c>
    </row>
    <row r="2119" spans="1:4">
      <c r="A2119" s="2">
        <f>+Get_Data!A2118</f>
        <v>42516</v>
      </c>
      <c r="B2119">
        <f>+ROUND(Get_Data!B2118,5)</f>
        <v>89.210269999999994</v>
      </c>
      <c r="C2119">
        <f>+ROUND(Get_Data!C2118,5)</f>
        <v>38.530360000000002</v>
      </c>
      <c r="D2119" s="4">
        <f t="shared" si="34"/>
        <v>2.3153240717190284</v>
      </c>
    </row>
    <row r="2120" spans="1:4">
      <c r="A2120" s="2">
        <f>+Get_Data!A2119</f>
        <v>42517</v>
      </c>
      <c r="B2120">
        <f>+ROUND(Get_Data!B2119,5)</f>
        <v>89.262770000000003</v>
      </c>
      <c r="C2120">
        <f>+ROUND(Get_Data!C2119,5)</f>
        <v>38.607959999999999</v>
      </c>
      <c r="D2120" s="4">
        <f t="shared" si="34"/>
        <v>2.3120302134585717</v>
      </c>
    </row>
    <row r="2121" spans="1:4">
      <c r="A2121" s="2">
        <f>+Get_Data!A2120</f>
        <v>42521</v>
      </c>
      <c r="B2121">
        <f>+ROUND(Get_Data!B2120,5)</f>
        <v>88.571169999999995</v>
      </c>
      <c r="C2121">
        <f>+ROUND(Get_Data!C2120,5)</f>
        <v>38.452759999999998</v>
      </c>
      <c r="D2121" s="4">
        <f t="shared" si="34"/>
        <v>2.3033761425707802</v>
      </c>
    </row>
    <row r="2122" spans="1:4">
      <c r="A2122" s="2">
        <f>+Get_Data!A2121</f>
        <v>42522</v>
      </c>
      <c r="B2122">
        <f>+ROUND(Get_Data!B2121,5)</f>
        <v>89.588139999999996</v>
      </c>
      <c r="C2122">
        <f>+ROUND(Get_Data!C2121,5)</f>
        <v>38.538980000000002</v>
      </c>
      <c r="D2122" s="4">
        <f t="shared" si="34"/>
        <v>2.3246110820784565</v>
      </c>
    </row>
    <row r="2123" spans="1:4">
      <c r="A2123" s="2">
        <f>+Get_Data!A2122</f>
        <v>42523</v>
      </c>
      <c r="B2123">
        <f>+ROUND(Get_Data!B2122,5)</f>
        <v>89.967420000000004</v>
      </c>
      <c r="C2123">
        <f>+ROUND(Get_Data!C2122,5)</f>
        <v>38.556220000000003</v>
      </c>
      <c r="D2123" s="4">
        <f t="shared" si="34"/>
        <v>2.3334087210831354</v>
      </c>
    </row>
    <row r="2124" spans="1:4">
      <c r="A2124" s="2">
        <f>+Get_Data!A2123</f>
        <v>42524</v>
      </c>
      <c r="B2124">
        <f>+ROUND(Get_Data!B2123,5)</f>
        <v>90.434910000000002</v>
      </c>
      <c r="C2124">
        <f>+ROUND(Get_Data!C2123,5)</f>
        <v>38.832120000000003</v>
      </c>
      <c r="D2124" s="4">
        <f t="shared" si="34"/>
        <v>2.3288687303191273</v>
      </c>
    </row>
    <row r="2125" spans="1:4">
      <c r="A2125" s="2">
        <f>+Get_Data!A2124</f>
        <v>42527</v>
      </c>
      <c r="B2125">
        <f>+ROUND(Get_Data!B2124,5)</f>
        <v>90.58484</v>
      </c>
      <c r="C2125">
        <f>+ROUND(Get_Data!C2124,5)</f>
        <v>39.116639999999997</v>
      </c>
      <c r="D2125" s="4">
        <f t="shared" si="34"/>
        <v>2.3157622945120031</v>
      </c>
    </row>
    <row r="2126" spans="1:4">
      <c r="A2126" s="2">
        <f>+Get_Data!A2125</f>
        <v>42528</v>
      </c>
      <c r="B2126">
        <f>+ROUND(Get_Data!B2125,5)</f>
        <v>90.399600000000007</v>
      </c>
      <c r="C2126">
        <f>+ROUND(Get_Data!C2125,5)</f>
        <v>39.073540000000001</v>
      </c>
      <c r="D2126" s="4">
        <f t="shared" si="34"/>
        <v>2.3135758879282502</v>
      </c>
    </row>
    <row r="2127" spans="1:4">
      <c r="A2127" s="2">
        <f>+Get_Data!A2126</f>
        <v>42529</v>
      </c>
      <c r="B2127">
        <f>+ROUND(Get_Data!B2126,5)</f>
        <v>91.008219999999994</v>
      </c>
      <c r="C2127">
        <f>+ROUND(Get_Data!C2126,5)</f>
        <v>39.271830000000001</v>
      </c>
      <c r="D2127" s="4">
        <f t="shared" si="34"/>
        <v>2.3173918811524694</v>
      </c>
    </row>
    <row r="2128" spans="1:4">
      <c r="A2128" s="2">
        <f>+Get_Data!A2127</f>
        <v>42530</v>
      </c>
      <c r="B2128">
        <f>+ROUND(Get_Data!B2127,5)</f>
        <v>91.431579999999997</v>
      </c>
      <c r="C2128">
        <f>+ROUND(Get_Data!C2127,5)</f>
        <v>39.45288</v>
      </c>
      <c r="D2128" s="4">
        <f t="shared" si="34"/>
        <v>2.3174881022627498</v>
      </c>
    </row>
    <row r="2129" spans="1:4">
      <c r="A2129" s="2">
        <f>+Get_Data!A2128</f>
        <v>42531</v>
      </c>
      <c r="B2129">
        <f>+ROUND(Get_Data!B2128,5)</f>
        <v>91.122870000000006</v>
      </c>
      <c r="C2129">
        <f>+ROUND(Get_Data!C2128,5)</f>
        <v>39.65119</v>
      </c>
      <c r="D2129" s="4">
        <f t="shared" si="34"/>
        <v>2.2981118599467005</v>
      </c>
    </row>
    <row r="2130" spans="1:4">
      <c r="A2130" s="2">
        <f>+Get_Data!A2129</f>
        <v>42534</v>
      </c>
      <c r="B2130">
        <f>+ROUND(Get_Data!B2129,5)</f>
        <v>90.902370000000005</v>
      </c>
      <c r="C2130">
        <f>+ROUND(Get_Data!C2129,5)</f>
        <v>39.199420000000003</v>
      </c>
      <c r="D2130" s="4">
        <f t="shared" si="34"/>
        <v>2.3189723215292468</v>
      </c>
    </row>
    <row r="2131" spans="1:4">
      <c r="A2131" s="2">
        <f>+Get_Data!A2130</f>
        <v>42535</v>
      </c>
      <c r="B2131">
        <f>+ROUND(Get_Data!B2130,5)</f>
        <v>91.052329999999998</v>
      </c>
      <c r="C2131">
        <f>+ROUND(Get_Data!C2130,5)</f>
        <v>39.129910000000002</v>
      </c>
      <c r="D2131" s="4">
        <f t="shared" si="34"/>
        <v>2.3269240844152206</v>
      </c>
    </row>
    <row r="2132" spans="1:4">
      <c r="A2132" s="2">
        <f>+Get_Data!A2131</f>
        <v>42536</v>
      </c>
      <c r="B2132">
        <f>+ROUND(Get_Data!B2131,5)</f>
        <v>90.725980000000007</v>
      </c>
      <c r="C2132">
        <f>+ROUND(Get_Data!C2131,5)</f>
        <v>39.103850000000001</v>
      </c>
      <c r="D2132" s="4">
        <f t="shared" si="34"/>
        <v>2.3201290921482158</v>
      </c>
    </row>
    <row r="2133" spans="1:4">
      <c r="A2133" s="2">
        <f>+Get_Data!A2132</f>
        <v>42537</v>
      </c>
      <c r="B2133">
        <f>+ROUND(Get_Data!B2132,5)</f>
        <v>91.599189999999993</v>
      </c>
      <c r="C2133">
        <f>+ROUND(Get_Data!C2132,5)</f>
        <v>39.364490000000004</v>
      </c>
      <c r="D2133" s="4">
        <f t="shared" si="34"/>
        <v>2.3269497458242183</v>
      </c>
    </row>
    <row r="2134" spans="1:4">
      <c r="A2134" s="2">
        <f>+Get_Data!A2133</f>
        <v>42538</v>
      </c>
      <c r="B2134">
        <f>+ROUND(Get_Data!B2133,5)</f>
        <v>91.211070000000007</v>
      </c>
      <c r="C2134">
        <f>+ROUND(Get_Data!C2133,5)</f>
        <v>38.912709999999997</v>
      </c>
      <c r="D2134" s="4">
        <f t="shared" si="34"/>
        <v>2.3439917189010999</v>
      </c>
    </row>
    <row r="2135" spans="1:4">
      <c r="A2135" s="2">
        <f>+Get_Data!A2134</f>
        <v>42541</v>
      </c>
      <c r="B2135">
        <f>+ROUND(Get_Data!B2134,5)</f>
        <v>91.175809999999998</v>
      </c>
      <c r="C2135">
        <f>+ROUND(Get_Data!C2134,5)</f>
        <v>39.077779999999997</v>
      </c>
      <c r="D2135" s="4">
        <f t="shared" si="34"/>
        <v>2.3331880674900161</v>
      </c>
    </row>
    <row r="2136" spans="1:4">
      <c r="A2136" s="2">
        <f>+Get_Data!A2135</f>
        <v>42542</v>
      </c>
      <c r="B2136">
        <f>+ROUND(Get_Data!B2135,5)</f>
        <v>91.802059999999997</v>
      </c>
      <c r="C2136">
        <f>+ROUND(Get_Data!C2135,5)</f>
        <v>39.208089999999999</v>
      </c>
      <c r="D2136" s="4">
        <f t="shared" si="34"/>
        <v>2.3414060720631888</v>
      </c>
    </row>
    <row r="2137" spans="1:4">
      <c r="A2137" s="2">
        <f>+Get_Data!A2136</f>
        <v>42543</v>
      </c>
      <c r="B2137">
        <f>+ROUND(Get_Data!B2136,5)</f>
        <v>91.50215</v>
      </c>
      <c r="C2137">
        <f>+ROUND(Get_Data!C2136,5)</f>
        <v>38.973529999999997</v>
      </c>
      <c r="D2137" s="4">
        <f t="shared" si="34"/>
        <v>2.3478024700354321</v>
      </c>
    </row>
    <row r="2138" spans="1:4">
      <c r="A2138" s="2">
        <f>+Get_Data!A2137</f>
        <v>42544</v>
      </c>
      <c r="B2138">
        <f>+ROUND(Get_Data!B2137,5)</f>
        <v>92.119569999999996</v>
      </c>
      <c r="C2138">
        <f>+ROUND(Get_Data!C2137,5)</f>
        <v>39.164659999999998</v>
      </c>
      <c r="D2138" s="4">
        <f t="shared" si="34"/>
        <v>2.3521095293563126</v>
      </c>
    </row>
    <row r="2139" spans="1:4">
      <c r="A2139" s="2">
        <f>+Get_Data!A2138</f>
        <v>42545</v>
      </c>
      <c r="B2139">
        <f>+ROUND(Get_Data!B2138,5)</f>
        <v>89.949789999999993</v>
      </c>
      <c r="C2139">
        <f>+ROUND(Get_Data!C2138,5)</f>
        <v>38.165570000000002</v>
      </c>
      <c r="D2139" s="4">
        <f t="shared" si="34"/>
        <v>2.3568307770590087</v>
      </c>
    </row>
    <row r="2140" spans="1:4">
      <c r="A2140" s="2">
        <f>+Get_Data!A2139</f>
        <v>42548</v>
      </c>
      <c r="B2140">
        <f>+ROUND(Get_Data!B2139,5)</f>
        <v>90.082080000000005</v>
      </c>
      <c r="C2140">
        <f>+ROUND(Get_Data!C2139,5)</f>
        <v>38.035249999999998</v>
      </c>
      <c r="D2140" s="4">
        <f t="shared" si="34"/>
        <v>2.3683840647820116</v>
      </c>
    </row>
    <row r="2141" spans="1:4">
      <c r="A2141" s="2">
        <f>+Get_Data!A2140</f>
        <v>42549</v>
      </c>
      <c r="B2141">
        <f>+ROUND(Get_Data!B2140,5)</f>
        <v>90.090900000000005</v>
      </c>
      <c r="C2141">
        <f>+ROUND(Get_Data!C2140,5)</f>
        <v>38.382759999999998</v>
      </c>
      <c r="D2141" s="4">
        <f t="shared" si="34"/>
        <v>2.3471709694665002</v>
      </c>
    </row>
    <row r="2142" spans="1:4">
      <c r="A2142" s="2">
        <f>+Get_Data!A2141</f>
        <v>42550</v>
      </c>
      <c r="B2142">
        <f>+ROUND(Get_Data!B2141,5)</f>
        <v>90.955280000000002</v>
      </c>
      <c r="C2142">
        <f>+ROUND(Get_Data!C2141,5)</f>
        <v>38.608640000000001</v>
      </c>
      <c r="D2142" s="4">
        <f t="shared" si="34"/>
        <v>2.3558270894804894</v>
      </c>
    </row>
    <row r="2143" spans="1:4">
      <c r="A2143" s="2">
        <f>+Get_Data!A2142</f>
        <v>42551</v>
      </c>
      <c r="B2143">
        <f>+ROUND(Get_Data!B2142,5)</f>
        <v>93.442629999999994</v>
      </c>
      <c r="C2143">
        <f>+ROUND(Get_Data!C2142,5)</f>
        <v>39.381860000000003</v>
      </c>
      <c r="D2143" s="4">
        <f t="shared" si="34"/>
        <v>2.3727327759531924</v>
      </c>
    </row>
    <row r="2144" spans="1:4">
      <c r="A2144" s="2">
        <f>+Get_Data!A2143</f>
        <v>42552</v>
      </c>
      <c r="B2144">
        <f>+ROUND(Get_Data!B2143,5)</f>
        <v>93.169200000000004</v>
      </c>
      <c r="C2144">
        <f>+ROUND(Get_Data!C2143,5)</f>
        <v>39.199420000000003</v>
      </c>
      <c r="D2144" s="4">
        <f t="shared" si="34"/>
        <v>2.376800473068224</v>
      </c>
    </row>
    <row r="2145" spans="1:4">
      <c r="A2145" s="2">
        <f>+Get_Data!A2144</f>
        <v>42556</v>
      </c>
      <c r="B2145">
        <f>+ROUND(Get_Data!B2144,5)</f>
        <v>93.866</v>
      </c>
      <c r="C2145">
        <f>+ROUND(Get_Data!C2144,5)</f>
        <v>39.468730000000001</v>
      </c>
      <c r="D2145" s="4">
        <f t="shared" si="34"/>
        <v>2.378237151284067</v>
      </c>
    </row>
    <row r="2146" spans="1:4">
      <c r="A2146" s="2">
        <f>+Get_Data!A2145</f>
        <v>42557</v>
      </c>
      <c r="B2146">
        <f>+ROUND(Get_Data!B2145,5)</f>
        <v>93.424989999999994</v>
      </c>
      <c r="C2146">
        <f>+ROUND(Get_Data!C2145,5)</f>
        <v>39.329729999999998</v>
      </c>
      <c r="D2146" s="4">
        <f t="shared" si="34"/>
        <v>2.3754292236432848</v>
      </c>
    </row>
    <row r="2147" spans="1:4">
      <c r="A2147" s="2">
        <f>+Get_Data!A2146</f>
        <v>42558</v>
      </c>
      <c r="B2147">
        <f>+ROUND(Get_Data!B2146,5)</f>
        <v>94.809759999999997</v>
      </c>
      <c r="C2147">
        <f>+ROUND(Get_Data!C2146,5)</f>
        <v>39.173360000000002</v>
      </c>
      <c r="D2147" s="4">
        <f t="shared" si="34"/>
        <v>2.4202611162279668</v>
      </c>
    </row>
    <row r="2148" spans="1:4">
      <c r="A2148" s="2">
        <f>+Get_Data!A2147</f>
        <v>42559</v>
      </c>
      <c r="B2148">
        <f>+ROUND(Get_Data!B2147,5)</f>
        <v>95.49776</v>
      </c>
      <c r="C2148">
        <f>+ROUND(Get_Data!C2147,5)</f>
        <v>39.4253</v>
      </c>
      <c r="D2148" s="4">
        <f t="shared" si="34"/>
        <v>2.4222456138570916</v>
      </c>
    </row>
    <row r="2149" spans="1:4">
      <c r="A2149" s="2">
        <f>+Get_Data!A2148</f>
        <v>42562</v>
      </c>
      <c r="B2149">
        <f>+ROUND(Get_Data!B2148,5)</f>
        <v>96.062280000000001</v>
      </c>
      <c r="C2149">
        <f>+ROUND(Get_Data!C2148,5)</f>
        <v>39.590359999999997</v>
      </c>
      <c r="D2149" s="4">
        <f t="shared" si="34"/>
        <v>2.4264058220233413</v>
      </c>
    </row>
    <row r="2150" spans="1:4">
      <c r="A2150" s="2">
        <f>+Get_Data!A2149</f>
        <v>42563</v>
      </c>
      <c r="B2150">
        <f>+ROUND(Get_Data!B2149,5)</f>
        <v>95.956440000000001</v>
      </c>
      <c r="C2150">
        <f>+ROUND(Get_Data!C2149,5)</f>
        <v>39.599060000000001</v>
      </c>
      <c r="D2150" s="4">
        <f t="shared" si="34"/>
        <v>2.4231999446451504</v>
      </c>
    </row>
    <row r="2151" spans="1:4">
      <c r="A2151" s="2">
        <f>+Get_Data!A2150</f>
        <v>42564</v>
      </c>
      <c r="B2151">
        <f>+ROUND(Get_Data!B2150,5)</f>
        <v>96.944310000000002</v>
      </c>
      <c r="C2151">
        <f>+ROUND(Get_Data!C2150,5)</f>
        <v>39.738059999999997</v>
      </c>
      <c r="D2151" s="4">
        <f t="shared" si="34"/>
        <v>2.4395833616437241</v>
      </c>
    </row>
    <row r="2152" spans="1:4">
      <c r="A2152" s="2">
        <f>+Get_Data!A2151</f>
        <v>42565</v>
      </c>
      <c r="B2152">
        <f>+ROUND(Get_Data!B2151,5)</f>
        <v>96.988399999999999</v>
      </c>
      <c r="C2152">
        <f>+ROUND(Get_Data!C2151,5)</f>
        <v>39.69462</v>
      </c>
      <c r="D2152" s="4">
        <f t="shared" si="34"/>
        <v>2.443363861399857</v>
      </c>
    </row>
    <row r="2153" spans="1:4">
      <c r="A2153" s="2">
        <f>+Get_Data!A2152</f>
        <v>42566</v>
      </c>
      <c r="B2153">
        <f>+ROUND(Get_Data!B2152,5)</f>
        <v>96.723799999999997</v>
      </c>
      <c r="C2153">
        <f>+ROUND(Get_Data!C2152,5)</f>
        <v>39.642490000000002</v>
      </c>
      <c r="D2153" s="4">
        <f t="shared" si="34"/>
        <v>2.4399022362117009</v>
      </c>
    </row>
    <row r="2154" spans="1:4">
      <c r="A2154" s="2">
        <f>+Get_Data!A2153</f>
        <v>42569</v>
      </c>
      <c r="B2154">
        <f>+ROUND(Get_Data!B2153,5)</f>
        <v>96.32687</v>
      </c>
      <c r="C2154">
        <f>+ROUND(Get_Data!C2153,5)</f>
        <v>39.642490000000002</v>
      </c>
      <c r="D2154" s="4">
        <f t="shared" si="34"/>
        <v>2.4298894948324383</v>
      </c>
    </row>
    <row r="2155" spans="1:4">
      <c r="A2155" s="2">
        <f>+Get_Data!A2154</f>
        <v>42570</v>
      </c>
      <c r="B2155">
        <f>+ROUND(Get_Data!B2154,5)</f>
        <v>96.609120000000004</v>
      </c>
      <c r="C2155">
        <f>+ROUND(Get_Data!C2154,5)</f>
        <v>39.642490000000002</v>
      </c>
      <c r="D2155" s="4">
        <f t="shared" si="34"/>
        <v>2.4370093805913804</v>
      </c>
    </row>
    <row r="2156" spans="1:4">
      <c r="A2156" s="2">
        <f>+Get_Data!A2155</f>
        <v>42571</v>
      </c>
      <c r="B2156">
        <f>+ROUND(Get_Data!B2155,5)</f>
        <v>96.071089999999998</v>
      </c>
      <c r="C2156">
        <f>+ROUND(Get_Data!C2155,5)</f>
        <v>39.538240000000002</v>
      </c>
      <c r="D2156" s="4">
        <f t="shared" si="34"/>
        <v>2.4298271749071279</v>
      </c>
    </row>
    <row r="2157" spans="1:4">
      <c r="A2157" s="2">
        <f>+Get_Data!A2156</f>
        <v>42572</v>
      </c>
      <c r="B2157">
        <f>+ROUND(Get_Data!B2156,5)</f>
        <v>95.77122</v>
      </c>
      <c r="C2157">
        <f>+ROUND(Get_Data!C2156,5)</f>
        <v>39.486109999999996</v>
      </c>
      <c r="D2157" s="4">
        <f t="shared" si="34"/>
        <v>2.4254407435931271</v>
      </c>
    </row>
    <row r="2158" spans="1:4">
      <c r="A2158" s="2">
        <f>+Get_Data!A2157</f>
        <v>42573</v>
      </c>
      <c r="B2158">
        <f>+ROUND(Get_Data!B2157,5)</f>
        <v>96.309240000000003</v>
      </c>
      <c r="C2158">
        <f>+ROUND(Get_Data!C2157,5)</f>
        <v>39.81626</v>
      </c>
      <c r="D2158" s="4">
        <f t="shared" si="34"/>
        <v>2.4188419504996199</v>
      </c>
    </row>
    <row r="2159" spans="1:4">
      <c r="A2159" s="2">
        <f>+Get_Data!A2158</f>
        <v>42576</v>
      </c>
      <c r="B2159">
        <f>+ROUND(Get_Data!B2158,5)</f>
        <v>96.159289999999999</v>
      </c>
      <c r="C2159">
        <f>+ROUND(Get_Data!C2158,5)</f>
        <v>39.590359999999997</v>
      </c>
      <c r="D2159" s="4">
        <f t="shared" si="34"/>
        <v>2.4288561659959647</v>
      </c>
    </row>
    <row r="2160" spans="1:4">
      <c r="A2160" s="2">
        <f>+Get_Data!A2159</f>
        <v>42577</v>
      </c>
      <c r="B2160">
        <f>+ROUND(Get_Data!B2159,5)</f>
        <v>95.436000000000007</v>
      </c>
      <c r="C2160">
        <f>+ROUND(Get_Data!C2159,5)</f>
        <v>38.99091</v>
      </c>
      <c r="D2160" s="4">
        <f t="shared" si="34"/>
        <v>2.4476474132047703</v>
      </c>
    </row>
    <row r="2161" spans="1:4">
      <c r="A2161" s="2">
        <f>+Get_Data!A2160</f>
        <v>42578</v>
      </c>
      <c r="B2161">
        <f>+ROUND(Get_Data!B2160,5)</f>
        <v>94.800960000000003</v>
      </c>
      <c r="C2161">
        <f>+ROUND(Get_Data!C2160,5)</f>
        <v>37.705109999999998</v>
      </c>
      <c r="D2161" s="4">
        <f t="shared" si="34"/>
        <v>2.5142735295030305</v>
      </c>
    </row>
    <row r="2162" spans="1:4">
      <c r="A2162" s="2">
        <f>+Get_Data!A2161</f>
        <v>42579</v>
      </c>
      <c r="B2162">
        <f>+ROUND(Get_Data!B2161,5)</f>
        <v>95.374279999999999</v>
      </c>
      <c r="C2162">
        <f>+ROUND(Get_Data!C2161,5)</f>
        <v>37.922310000000003</v>
      </c>
      <c r="D2162" s="4">
        <f t="shared" si="34"/>
        <v>2.5149913072278558</v>
      </c>
    </row>
    <row r="2163" spans="1:4">
      <c r="A2163" s="2">
        <f>+Get_Data!A2162</f>
        <v>42580</v>
      </c>
      <c r="B2163">
        <f>+ROUND(Get_Data!B2162,5)</f>
        <v>96.071089999999998</v>
      </c>
      <c r="C2163">
        <f>+ROUND(Get_Data!C2162,5)</f>
        <v>37.90493</v>
      </c>
      <c r="D2163" s="4">
        <f t="shared" si="34"/>
        <v>2.5345275667307656</v>
      </c>
    </row>
    <row r="2164" spans="1:4">
      <c r="A2164" s="2">
        <f>+Get_Data!A2163</f>
        <v>42583</v>
      </c>
      <c r="B2164">
        <f>+ROUND(Get_Data!B2163,5)</f>
        <v>96.079899999999995</v>
      </c>
      <c r="C2164">
        <f>+ROUND(Get_Data!C2163,5)</f>
        <v>37.748550000000002</v>
      </c>
      <c r="D2164" s="4">
        <f t="shared" si="34"/>
        <v>2.5452606788870034</v>
      </c>
    </row>
    <row r="2165" spans="1:4">
      <c r="A2165" s="2">
        <f>+Get_Data!A2164</f>
        <v>42584</v>
      </c>
      <c r="B2165">
        <f>+ROUND(Get_Data!B2164,5)</f>
        <v>95.894689999999997</v>
      </c>
      <c r="C2165">
        <f>+ROUND(Get_Data!C2164,5)</f>
        <v>37.818049999999999</v>
      </c>
      <c r="D2165" s="4">
        <f t="shared" si="34"/>
        <v>2.5356857373661517</v>
      </c>
    </row>
    <row r="2166" spans="1:4">
      <c r="A2166" s="2">
        <f>+Get_Data!A2165</f>
        <v>42585</v>
      </c>
      <c r="B2166">
        <f>+ROUND(Get_Data!B2165,5)</f>
        <v>95.294899999999998</v>
      </c>
      <c r="C2166">
        <f>+ROUND(Get_Data!C2165,5)</f>
        <v>37.913609999999998</v>
      </c>
      <c r="D2166" s="4">
        <f t="shared" si="34"/>
        <v>2.5134747126427688</v>
      </c>
    </row>
    <row r="2167" spans="1:4">
      <c r="A2167" s="2">
        <f>+Get_Data!A2166</f>
        <v>42586</v>
      </c>
      <c r="B2167">
        <f>+ROUND(Get_Data!B2166,5)</f>
        <v>95.63006</v>
      </c>
      <c r="C2167">
        <f>+ROUND(Get_Data!C2166,5)</f>
        <v>37.800669999999997</v>
      </c>
      <c r="D2167" s="4">
        <f t="shared" si="34"/>
        <v>2.5298509259227417</v>
      </c>
    </row>
    <row r="2168" spans="1:4">
      <c r="A2168" s="2">
        <f>+Get_Data!A2167</f>
        <v>42587</v>
      </c>
      <c r="B2168">
        <f>+ROUND(Get_Data!B2167,5)</f>
        <v>95.841750000000005</v>
      </c>
      <c r="C2168">
        <f>+ROUND(Get_Data!C2167,5)</f>
        <v>37.774610000000003</v>
      </c>
      <c r="D2168" s="4">
        <f t="shared" si="34"/>
        <v>2.5372002517034589</v>
      </c>
    </row>
    <row r="2169" spans="1:4">
      <c r="A2169" s="2">
        <f>+Get_Data!A2168</f>
        <v>42590</v>
      </c>
      <c r="B2169">
        <f>+ROUND(Get_Data!B2168,5)</f>
        <v>95.383099999999999</v>
      </c>
      <c r="C2169">
        <f>+ROUND(Get_Data!C2168,5)</f>
        <v>37.73986</v>
      </c>
      <c r="D2169" s="4">
        <f t="shared" si="34"/>
        <v>2.5273835144062535</v>
      </c>
    </row>
    <row r="2170" spans="1:4">
      <c r="A2170" s="2">
        <f>+Get_Data!A2169</f>
        <v>42591</v>
      </c>
      <c r="B2170">
        <f>+ROUND(Get_Data!B2169,5)</f>
        <v>95.50658</v>
      </c>
      <c r="C2170">
        <f>+ROUND(Get_Data!C2169,5)</f>
        <v>37.765929999999997</v>
      </c>
      <c r="D2170" s="4">
        <f t="shared" si="34"/>
        <v>2.5289084632630523</v>
      </c>
    </row>
    <row r="2171" spans="1:4">
      <c r="A2171" s="2">
        <f>+Get_Data!A2170</f>
        <v>42592</v>
      </c>
      <c r="B2171">
        <f>+ROUND(Get_Data!B2170,5)</f>
        <v>95.982889999999998</v>
      </c>
      <c r="C2171">
        <f>+ROUND(Get_Data!C2170,5)</f>
        <v>37.887549999999997</v>
      </c>
      <c r="D2171" s="4">
        <f t="shared" si="34"/>
        <v>2.5333622786377057</v>
      </c>
    </row>
    <row r="2172" spans="1:4">
      <c r="A2172" s="2">
        <f>+Get_Data!A2171</f>
        <v>42593</v>
      </c>
      <c r="B2172">
        <f>+ROUND(Get_Data!B2171,5)</f>
        <v>95.683000000000007</v>
      </c>
      <c r="C2172">
        <f>+ROUND(Get_Data!C2171,5)</f>
        <v>38.009180000000001</v>
      </c>
      <c r="D2172" s="4">
        <f t="shared" si="34"/>
        <v>2.5173655416928229</v>
      </c>
    </row>
    <row r="2173" spans="1:4">
      <c r="A2173" s="2">
        <f>+Get_Data!A2172</f>
        <v>42594</v>
      </c>
      <c r="B2173">
        <f>+ROUND(Get_Data!B2172,5)</f>
        <v>95.780010000000004</v>
      </c>
      <c r="C2173">
        <f>+ROUND(Get_Data!C2172,5)</f>
        <v>38.25244</v>
      </c>
      <c r="D2173" s="4">
        <f t="shared" si="34"/>
        <v>2.503892823568902</v>
      </c>
    </row>
    <row r="2174" spans="1:4">
      <c r="A2174" s="2">
        <f>+Get_Data!A2173</f>
        <v>42597</v>
      </c>
      <c r="B2174">
        <f>+ROUND(Get_Data!B2173,5)</f>
        <v>95.894689999999997</v>
      </c>
      <c r="C2174">
        <f>+ROUND(Get_Data!C2173,5)</f>
        <v>38.434890000000003</v>
      </c>
      <c r="D2174" s="4">
        <f t="shared" si="34"/>
        <v>2.494990619200419</v>
      </c>
    </row>
    <row r="2175" spans="1:4">
      <c r="A2175" s="2">
        <f>+Get_Data!A2174</f>
        <v>42598</v>
      </c>
      <c r="B2175">
        <f>+ROUND(Get_Data!B2174,5)</f>
        <v>95.259619999999998</v>
      </c>
      <c r="C2175">
        <f>+ROUND(Get_Data!C2174,5)</f>
        <v>38.078679999999999</v>
      </c>
      <c r="D2175" s="4">
        <f t="shared" si="34"/>
        <v>2.5016523682018388</v>
      </c>
    </row>
    <row r="2176" spans="1:4">
      <c r="A2176" s="2">
        <f>+Get_Data!A2175</f>
        <v>42599</v>
      </c>
      <c r="B2176">
        <f>+ROUND(Get_Data!B2175,5)</f>
        <v>95.674170000000004</v>
      </c>
      <c r="C2176">
        <f>+ROUND(Get_Data!C2175,5)</f>
        <v>38.278509999999997</v>
      </c>
      <c r="D2176" s="4">
        <f t="shared" si="34"/>
        <v>2.499422521932019</v>
      </c>
    </row>
    <row r="2177" spans="1:4">
      <c r="A2177" s="2">
        <f>+Get_Data!A2176</f>
        <v>42600</v>
      </c>
      <c r="B2177">
        <f>+ROUND(Get_Data!B2176,5)</f>
        <v>95.50658</v>
      </c>
      <c r="C2177">
        <f>+ROUND(Get_Data!C2176,5)</f>
        <v>38.31326</v>
      </c>
      <c r="D2177" s="4">
        <f t="shared" si="34"/>
        <v>2.492781350373213</v>
      </c>
    </row>
    <row r="2178" spans="1:4">
      <c r="A2178" s="2">
        <f>+Get_Data!A2177</f>
        <v>42601</v>
      </c>
      <c r="B2178">
        <f>+ROUND(Get_Data!B2177,5)</f>
        <v>95.409549999999996</v>
      </c>
      <c r="C2178">
        <f>+ROUND(Get_Data!C2177,5)</f>
        <v>38.156880000000001</v>
      </c>
      <c r="D2178" s="4">
        <f t="shared" si="34"/>
        <v>2.500454701747103</v>
      </c>
    </row>
    <row r="2179" spans="1:4">
      <c r="A2179" s="2">
        <f>+Get_Data!A2178</f>
        <v>42604</v>
      </c>
      <c r="B2179">
        <f>+ROUND(Get_Data!B2178,5)</f>
        <v>95.224329999999995</v>
      </c>
      <c r="C2179">
        <f>+ROUND(Get_Data!C2178,5)</f>
        <v>38.000500000000002</v>
      </c>
      <c r="D2179" s="4">
        <f t="shared" si="34"/>
        <v>2.5058704490730381</v>
      </c>
    </row>
    <row r="2180" spans="1:4">
      <c r="A2180" s="2">
        <f>+Get_Data!A2179</f>
        <v>42605</v>
      </c>
      <c r="B2180">
        <f>+ROUND(Get_Data!B2179,5)</f>
        <v>95.153790000000001</v>
      </c>
      <c r="C2180">
        <f>+ROUND(Get_Data!C2179,5)</f>
        <v>38.096069999999997</v>
      </c>
      <c r="D2180" s="4">
        <f t="shared" ref="D2180:D2243" si="35">IFERROR(B2180/C2180,"")</f>
        <v>2.4977324432677701</v>
      </c>
    </row>
    <row r="2181" spans="1:4">
      <c r="A2181" s="2">
        <f>+Get_Data!A2180</f>
        <v>42606</v>
      </c>
      <c r="B2181">
        <f>+ROUND(Get_Data!B2180,5)</f>
        <v>95.356650000000002</v>
      </c>
      <c r="C2181">
        <f>+ROUND(Get_Data!C2180,5)</f>
        <v>38.096069999999997</v>
      </c>
      <c r="D2181" s="4">
        <f t="shared" si="35"/>
        <v>2.5030574019839844</v>
      </c>
    </row>
    <row r="2182" spans="1:4">
      <c r="A2182" s="2">
        <f>+Get_Data!A2181</f>
        <v>42607</v>
      </c>
      <c r="B2182">
        <f>+ROUND(Get_Data!B2181,5)</f>
        <v>95.153790000000001</v>
      </c>
      <c r="C2182">
        <f>+ROUND(Get_Data!C2181,5)</f>
        <v>37.939680000000003</v>
      </c>
      <c r="D2182" s="4">
        <f t="shared" si="35"/>
        <v>2.5080282701382823</v>
      </c>
    </row>
    <row r="2183" spans="1:4">
      <c r="A2183" s="2">
        <f>+Get_Data!A2182</f>
        <v>42608</v>
      </c>
      <c r="B2183">
        <f>+ROUND(Get_Data!B2182,5)</f>
        <v>94.774510000000006</v>
      </c>
      <c r="C2183">
        <f>+ROUND(Get_Data!C2182,5)</f>
        <v>37.635599999999997</v>
      </c>
      <c r="D2183" s="4">
        <f t="shared" si="35"/>
        <v>2.5182144033840306</v>
      </c>
    </row>
    <row r="2184" spans="1:4">
      <c r="A2184" s="2">
        <f>+Get_Data!A2183</f>
        <v>42611</v>
      </c>
      <c r="B2184">
        <f>+ROUND(Get_Data!B2183,5)</f>
        <v>95.250789999999995</v>
      </c>
      <c r="C2184">
        <f>+ROUND(Get_Data!C2183,5)</f>
        <v>37.826740000000001</v>
      </c>
      <c r="D2184" s="4">
        <f t="shared" si="35"/>
        <v>2.5180808602591709</v>
      </c>
    </row>
    <row r="2185" spans="1:4">
      <c r="A2185" s="2">
        <f>+Get_Data!A2184</f>
        <v>42612</v>
      </c>
      <c r="B2185">
        <f>+ROUND(Get_Data!B2184,5)</f>
        <v>94.562809999999999</v>
      </c>
      <c r="C2185">
        <f>+ROUND(Get_Data!C2184,5)</f>
        <v>37.566110000000002</v>
      </c>
      <c r="D2185" s="4">
        <f t="shared" si="35"/>
        <v>2.5172372119444892</v>
      </c>
    </row>
    <row r="2186" spans="1:4">
      <c r="A2186" s="2">
        <f>+Get_Data!A2185</f>
        <v>42613</v>
      </c>
      <c r="B2186">
        <f>+ROUND(Get_Data!B2185,5)</f>
        <v>94.823070000000001</v>
      </c>
      <c r="C2186">
        <f>+ROUND(Get_Data!C2185,5)</f>
        <v>37.731180000000002</v>
      </c>
      <c r="D2186" s="4">
        <f t="shared" si="35"/>
        <v>2.5131223036226271</v>
      </c>
    </row>
    <row r="2187" spans="1:4">
      <c r="A2187" s="2">
        <f>+Get_Data!A2186</f>
        <v>42614</v>
      </c>
      <c r="B2187">
        <f>+ROUND(Get_Data!B2186,5)</f>
        <v>95.302750000000003</v>
      </c>
      <c r="C2187">
        <f>+ROUND(Get_Data!C2186,5)</f>
        <v>37.661679999999997</v>
      </c>
      <c r="D2187" s="4">
        <f t="shared" si="35"/>
        <v>2.5304965152908743</v>
      </c>
    </row>
    <row r="2188" spans="1:4">
      <c r="A2188" s="2">
        <f>+Get_Data!A2187</f>
        <v>42615</v>
      </c>
      <c r="B2188">
        <f>+ROUND(Get_Data!B2187,5)</f>
        <v>95.817939999999993</v>
      </c>
      <c r="C2188">
        <f>+ROUND(Get_Data!C2187,5)</f>
        <v>37.930990000000001</v>
      </c>
      <c r="D2188" s="4">
        <f t="shared" si="35"/>
        <v>2.5261122897135033</v>
      </c>
    </row>
    <row r="2189" spans="1:4">
      <c r="A2189" s="2">
        <f>+Get_Data!A2188</f>
        <v>42619</v>
      </c>
      <c r="B2189">
        <f>+ROUND(Get_Data!B2188,5)</f>
        <v>95.862369999999999</v>
      </c>
      <c r="C2189">
        <f>+ROUND(Get_Data!C2188,5)</f>
        <v>38.043930000000003</v>
      </c>
      <c r="D2189" s="4">
        <f t="shared" si="35"/>
        <v>2.5197809479725146</v>
      </c>
    </row>
    <row r="2190" spans="1:4">
      <c r="A2190" s="2">
        <f>+Get_Data!A2189</f>
        <v>42620</v>
      </c>
      <c r="B2190">
        <f>+ROUND(Get_Data!B2189,5)</f>
        <v>95.231679999999997</v>
      </c>
      <c r="C2190">
        <f>+ROUND(Get_Data!C2189,5)</f>
        <v>37.913609999999998</v>
      </c>
      <c r="D2190" s="4">
        <f t="shared" si="35"/>
        <v>2.511807237559283</v>
      </c>
    </row>
    <row r="2191" spans="1:4">
      <c r="A2191" s="2">
        <f>+Get_Data!A2190</f>
        <v>42621</v>
      </c>
      <c r="B2191">
        <f>+ROUND(Get_Data!B2190,5)</f>
        <v>94.938559999999995</v>
      </c>
      <c r="C2191">
        <f>+ROUND(Get_Data!C2190,5)</f>
        <v>37.90493</v>
      </c>
      <c r="D2191" s="4">
        <f t="shared" si="35"/>
        <v>2.5046493952105964</v>
      </c>
    </row>
    <row r="2192" spans="1:4">
      <c r="A2192" s="2">
        <f>+Get_Data!A2191</f>
        <v>42622</v>
      </c>
      <c r="B2192">
        <f>+ROUND(Get_Data!B2191,5)</f>
        <v>92.424750000000003</v>
      </c>
      <c r="C2192">
        <f>+ROUND(Get_Data!C2191,5)</f>
        <v>36.723379999999999</v>
      </c>
      <c r="D2192" s="4">
        <f t="shared" si="35"/>
        <v>2.5167822242941691</v>
      </c>
    </row>
    <row r="2193" spans="1:4">
      <c r="A2193" s="2">
        <f>+Get_Data!A2192</f>
        <v>42625</v>
      </c>
      <c r="B2193">
        <f>+ROUND(Get_Data!B2192,5)</f>
        <v>94.174620000000004</v>
      </c>
      <c r="C2193">
        <f>+ROUND(Get_Data!C2192,5)</f>
        <v>37.522669999999998</v>
      </c>
      <c r="D2193" s="4">
        <f t="shared" si="35"/>
        <v>2.5098059386498885</v>
      </c>
    </row>
    <row r="2194" spans="1:4">
      <c r="A2194" s="2">
        <f>+Get_Data!A2193</f>
        <v>42626</v>
      </c>
      <c r="B2194">
        <f>+ROUND(Get_Data!B2193,5)</f>
        <v>92.904399999999995</v>
      </c>
      <c r="C2194">
        <f>+ROUND(Get_Data!C2193,5)</f>
        <v>37.032179999999997</v>
      </c>
      <c r="D2194" s="4">
        <f t="shared" si="35"/>
        <v>2.508747797186123</v>
      </c>
    </row>
    <row r="2195" spans="1:4">
      <c r="A2195" s="2">
        <f>+Get_Data!A2194</f>
        <v>42627</v>
      </c>
      <c r="B2195">
        <f>+ROUND(Get_Data!B2194,5)</f>
        <v>93.313000000000002</v>
      </c>
      <c r="C2195">
        <f>+ROUND(Get_Data!C2194,5)</f>
        <v>36.883270000000003</v>
      </c>
      <c r="D2195" s="4">
        <f t="shared" si="35"/>
        <v>2.5299546379700062</v>
      </c>
    </row>
    <row r="2196" spans="1:4">
      <c r="A2196" s="2">
        <f>+Get_Data!A2195</f>
        <v>42628</v>
      </c>
      <c r="B2196">
        <f>+ROUND(Get_Data!B2195,5)</f>
        <v>93.694980000000001</v>
      </c>
      <c r="C2196">
        <f>+ROUND(Get_Data!C2195,5)</f>
        <v>37.102249999999998</v>
      </c>
      <c r="D2196" s="4">
        <f t="shared" si="35"/>
        <v>2.5253180063203717</v>
      </c>
    </row>
    <row r="2197" spans="1:4">
      <c r="A2197" s="2">
        <f>+Get_Data!A2196</f>
        <v>42629</v>
      </c>
      <c r="B2197">
        <f>+ROUND(Get_Data!B2196,5)</f>
        <v>93.517300000000006</v>
      </c>
      <c r="C2197">
        <f>+ROUND(Get_Data!C2196,5)</f>
        <v>36.909550000000003</v>
      </c>
      <c r="D2197" s="4">
        <f t="shared" si="35"/>
        <v>2.5336884356487683</v>
      </c>
    </row>
    <row r="2198" spans="1:4">
      <c r="A2198" s="2">
        <f>+Get_Data!A2197</f>
        <v>42632</v>
      </c>
      <c r="B2198">
        <f>+ROUND(Get_Data!B2197,5)</f>
        <v>93.863730000000004</v>
      </c>
      <c r="C2198">
        <f>+ROUND(Get_Data!C2197,5)</f>
        <v>36.874519999999997</v>
      </c>
      <c r="D2198" s="4">
        <f t="shared" si="35"/>
        <v>2.5454902192625153</v>
      </c>
    </row>
    <row r="2199" spans="1:4">
      <c r="A2199" s="2">
        <f>+Get_Data!A2198</f>
        <v>42633</v>
      </c>
      <c r="B2199">
        <f>+ROUND(Get_Data!B2198,5)</f>
        <v>94.423349999999999</v>
      </c>
      <c r="C2199">
        <f>+ROUND(Get_Data!C2198,5)</f>
        <v>37.08473</v>
      </c>
      <c r="D2199" s="4">
        <f t="shared" si="35"/>
        <v>2.5461517449365276</v>
      </c>
    </row>
    <row r="2200" spans="1:4">
      <c r="A2200" s="2">
        <f>+Get_Data!A2199</f>
        <v>42634</v>
      </c>
      <c r="B2200">
        <f>+ROUND(Get_Data!B2199,5)</f>
        <v>95.160610000000005</v>
      </c>
      <c r="C2200">
        <f>+ROUND(Get_Data!C2199,5)</f>
        <v>37.251139999999999</v>
      </c>
      <c r="D2200" s="4">
        <f t="shared" si="35"/>
        <v>2.554569068221805</v>
      </c>
    </row>
    <row r="2201" spans="1:4">
      <c r="A2201" s="2">
        <f>+Get_Data!A2200</f>
        <v>42635</v>
      </c>
      <c r="B2201">
        <f>+ROUND(Get_Data!B2200,5)</f>
        <v>95.773529999999994</v>
      </c>
      <c r="C2201">
        <f>+ROUND(Get_Data!C2200,5)</f>
        <v>37.627769999999998</v>
      </c>
      <c r="D2201" s="4">
        <f t="shared" si="35"/>
        <v>2.5452884930464919</v>
      </c>
    </row>
    <row r="2202" spans="1:4">
      <c r="A2202" s="2">
        <f>+Get_Data!A2201</f>
        <v>42636</v>
      </c>
      <c r="B2202">
        <f>+ROUND(Get_Data!B2201,5)</f>
        <v>95.347130000000007</v>
      </c>
      <c r="C2202">
        <f>+ROUND(Get_Data!C2201,5)</f>
        <v>37.435090000000002</v>
      </c>
      <c r="D2202" s="4">
        <f t="shared" si="35"/>
        <v>2.5469988184882153</v>
      </c>
    </row>
    <row r="2203" spans="1:4">
      <c r="A2203" s="2">
        <f>+Get_Data!A2202</f>
        <v>42639</v>
      </c>
      <c r="B2203">
        <f>+ROUND(Get_Data!B2202,5)</f>
        <v>95.071780000000004</v>
      </c>
      <c r="C2203">
        <f>+ROUND(Get_Data!C2202,5)</f>
        <v>36.830719999999999</v>
      </c>
      <c r="D2203" s="4">
        <f t="shared" si="35"/>
        <v>2.5813174436991728</v>
      </c>
    </row>
    <row r="2204" spans="1:4">
      <c r="A2204" s="2">
        <f>+Get_Data!A2203</f>
        <v>42640</v>
      </c>
      <c r="B2204">
        <f>+ROUND(Get_Data!B2203,5)</f>
        <v>95.48039</v>
      </c>
      <c r="C2204">
        <f>+ROUND(Get_Data!C2203,5)</f>
        <v>37.303690000000003</v>
      </c>
      <c r="D2204" s="4">
        <f t="shared" si="35"/>
        <v>2.5595427690933521</v>
      </c>
    </row>
    <row r="2205" spans="1:4">
      <c r="A2205" s="2">
        <f>+Get_Data!A2204</f>
        <v>42641</v>
      </c>
      <c r="B2205">
        <f>+ROUND(Get_Data!B2204,5)</f>
        <v>95.382689999999997</v>
      </c>
      <c r="C2205">
        <f>+ROUND(Get_Data!C2204,5)</f>
        <v>36.918309999999998</v>
      </c>
      <c r="D2205" s="4">
        <f t="shared" si="35"/>
        <v>2.5836147429283733</v>
      </c>
    </row>
    <row r="2206" spans="1:4">
      <c r="A2206" s="2">
        <f>+Get_Data!A2205</f>
        <v>42642</v>
      </c>
      <c r="B2206">
        <f>+ROUND(Get_Data!B2205,5)</f>
        <v>95.720230000000001</v>
      </c>
      <c r="C2206">
        <f>+ROUND(Get_Data!C2205,5)</f>
        <v>36.813200000000002</v>
      </c>
      <c r="D2206" s="4">
        <f t="shared" si="35"/>
        <v>2.6001605402410002</v>
      </c>
    </row>
    <row r="2207" spans="1:4">
      <c r="A2207" s="2">
        <f>+Get_Data!A2206</f>
        <v>42643</v>
      </c>
      <c r="B2207">
        <f>+ROUND(Get_Data!B2206,5)</f>
        <v>96.617379999999997</v>
      </c>
      <c r="C2207">
        <f>+ROUND(Get_Data!C2206,5)</f>
        <v>37.067210000000003</v>
      </c>
      <c r="D2207" s="4">
        <f t="shared" si="35"/>
        <v>2.6065457853450527</v>
      </c>
    </row>
    <row r="2208" spans="1:4">
      <c r="A2208" s="2">
        <f>+Get_Data!A2207</f>
        <v>42646</v>
      </c>
      <c r="B2208">
        <f>+ROUND(Get_Data!B2207,5)</f>
        <v>96.15549</v>
      </c>
      <c r="C2208">
        <f>+ROUND(Get_Data!C2207,5)</f>
        <v>36.813200000000002</v>
      </c>
      <c r="D2208" s="4">
        <f t="shared" si="35"/>
        <v>2.6119840166027402</v>
      </c>
    </row>
    <row r="2209" spans="1:4">
      <c r="A2209" s="2">
        <f>+Get_Data!A2208</f>
        <v>42647</v>
      </c>
      <c r="B2209">
        <f>+ROUND(Get_Data!B2208,5)</f>
        <v>95.133960000000002</v>
      </c>
      <c r="C2209">
        <f>+ROUND(Get_Data!C2208,5)</f>
        <v>36.646790000000003</v>
      </c>
      <c r="D2209" s="4">
        <f t="shared" si="35"/>
        <v>2.5959697970818181</v>
      </c>
    </row>
    <row r="2210" spans="1:4">
      <c r="A2210" s="2">
        <f>+Get_Data!A2209</f>
        <v>42648</v>
      </c>
      <c r="B2210">
        <f>+ROUND(Get_Data!B2209,5)</f>
        <v>94.165760000000006</v>
      </c>
      <c r="C2210">
        <f>+ROUND(Get_Data!C2209,5)</f>
        <v>36.620519999999999</v>
      </c>
      <c r="D2210" s="4">
        <f t="shared" si="35"/>
        <v>2.5713933062665415</v>
      </c>
    </row>
    <row r="2211" spans="1:4">
      <c r="A2211" s="2">
        <f>+Get_Data!A2210</f>
        <v>42649</v>
      </c>
      <c r="B2211">
        <f>+ROUND(Get_Data!B2210,5)</f>
        <v>94.512180000000001</v>
      </c>
      <c r="C2211">
        <f>+ROUND(Get_Data!C2210,5)</f>
        <v>36.53293</v>
      </c>
      <c r="D2211" s="4">
        <f t="shared" si="35"/>
        <v>2.5870407875853374</v>
      </c>
    </row>
    <row r="2212" spans="1:4">
      <c r="A2212" s="2">
        <f>+Get_Data!A2211</f>
        <v>42650</v>
      </c>
      <c r="B2212">
        <f>+ROUND(Get_Data!B2211,5)</f>
        <v>94.147989999999993</v>
      </c>
      <c r="C2212">
        <f>+ROUND(Get_Data!C2211,5)</f>
        <v>36.550449999999998</v>
      </c>
      <c r="D2212" s="4">
        <f t="shared" si="35"/>
        <v>2.5758366860052337</v>
      </c>
    </row>
    <row r="2213" spans="1:4">
      <c r="A2213" s="2">
        <f>+Get_Data!A2212</f>
        <v>42653</v>
      </c>
      <c r="B2213">
        <f>+ROUND(Get_Data!B2212,5)</f>
        <v>94.352289999999996</v>
      </c>
      <c r="C2213">
        <f>+ROUND(Get_Data!C2212,5)</f>
        <v>36.550449999999998</v>
      </c>
      <c r="D2213" s="4">
        <f t="shared" si="35"/>
        <v>2.5814262204706098</v>
      </c>
    </row>
    <row r="2214" spans="1:4">
      <c r="A2214" s="2">
        <f>+Get_Data!A2213</f>
        <v>42654</v>
      </c>
      <c r="B2214">
        <f>+ROUND(Get_Data!B2213,5)</f>
        <v>93.774919999999995</v>
      </c>
      <c r="C2214">
        <f>+ROUND(Get_Data!C2213,5)</f>
        <v>36.384030000000003</v>
      </c>
      <c r="D2214" s="4">
        <f t="shared" si="35"/>
        <v>2.5773648493583581</v>
      </c>
    </row>
    <row r="2215" spans="1:4">
      <c r="A2215" s="2">
        <f>+Get_Data!A2214</f>
        <v>42655</v>
      </c>
      <c r="B2215">
        <f>+ROUND(Get_Data!B2214,5)</f>
        <v>94.227930000000001</v>
      </c>
      <c r="C2215">
        <f>+ROUND(Get_Data!C2214,5)</f>
        <v>36.594239999999999</v>
      </c>
      <c r="D2215" s="4">
        <f t="shared" si="35"/>
        <v>2.5749388428342823</v>
      </c>
    </row>
    <row r="2216" spans="1:4">
      <c r="A2216" s="2">
        <f>+Get_Data!A2215</f>
        <v>42656</v>
      </c>
      <c r="B2216">
        <f>+ROUND(Get_Data!B2215,5)</f>
        <v>94.085819999999998</v>
      </c>
      <c r="C2216">
        <f>+ROUND(Get_Data!C2215,5)</f>
        <v>36.576720000000002</v>
      </c>
      <c r="D2216" s="4">
        <f t="shared" si="35"/>
        <v>2.5722869628550615</v>
      </c>
    </row>
    <row r="2217" spans="1:4">
      <c r="A2217" s="2">
        <f>+Get_Data!A2216</f>
        <v>42657</v>
      </c>
      <c r="B2217">
        <f>+ROUND(Get_Data!B2216,5)</f>
        <v>94.894130000000004</v>
      </c>
      <c r="C2217">
        <f>+ROUND(Get_Data!C2216,5)</f>
        <v>36.497880000000002</v>
      </c>
      <c r="D2217" s="4">
        <f t="shared" si="35"/>
        <v>2.5999901912111061</v>
      </c>
    </row>
    <row r="2218" spans="1:4">
      <c r="A2218" s="2">
        <f>+Get_Data!A2217</f>
        <v>42660</v>
      </c>
      <c r="B2218">
        <f>+ROUND(Get_Data!B2217,5)</f>
        <v>94.91189</v>
      </c>
      <c r="C2218">
        <f>+ROUND(Get_Data!C2217,5)</f>
        <v>36.436579999999999</v>
      </c>
      <c r="D2218" s="4">
        <f t="shared" si="35"/>
        <v>2.6048517725867795</v>
      </c>
    </row>
    <row r="2219" spans="1:4">
      <c r="A2219" s="2">
        <f>+Get_Data!A2218</f>
        <v>42661</v>
      </c>
      <c r="B2219">
        <f>+ROUND(Get_Data!B2218,5)</f>
        <v>95.000720000000001</v>
      </c>
      <c r="C2219">
        <f>+ROUND(Get_Data!C2218,5)</f>
        <v>36.760649999999998</v>
      </c>
      <c r="D2219" s="4">
        <f t="shared" si="35"/>
        <v>2.5843046844927935</v>
      </c>
    </row>
    <row r="2220" spans="1:4">
      <c r="A2220" s="2">
        <f>+Get_Data!A2219</f>
        <v>42662</v>
      </c>
      <c r="B2220">
        <f>+ROUND(Get_Data!B2219,5)</f>
        <v>94.387810000000002</v>
      </c>
      <c r="C2220">
        <f>+ROUND(Get_Data!C2219,5)</f>
        <v>36.830719999999999</v>
      </c>
      <c r="D2220" s="4">
        <f t="shared" si="35"/>
        <v>2.5627468048411761</v>
      </c>
    </row>
    <row r="2221" spans="1:4">
      <c r="A2221" s="2">
        <f>+Get_Data!A2220</f>
        <v>42663</v>
      </c>
      <c r="B2221">
        <f>+ROUND(Get_Data!B2220,5)</f>
        <v>94.041390000000007</v>
      </c>
      <c r="C2221">
        <f>+ROUND(Get_Data!C2220,5)</f>
        <v>36.725619999999999</v>
      </c>
      <c r="D2221" s="4">
        <f t="shared" si="35"/>
        <v>2.5606481252052387</v>
      </c>
    </row>
    <row r="2222" spans="1:4">
      <c r="A2222" s="2">
        <f>+Get_Data!A2221</f>
        <v>42664</v>
      </c>
      <c r="B2222">
        <f>+ROUND(Get_Data!B2221,5)</f>
        <v>93.819329999999994</v>
      </c>
      <c r="C2222">
        <f>+ROUND(Get_Data!C2221,5)</f>
        <v>36.900790000000001</v>
      </c>
      <c r="D2222" s="4">
        <f t="shared" si="35"/>
        <v>2.542474835904597</v>
      </c>
    </row>
    <row r="2223" spans="1:4">
      <c r="A2223" s="2">
        <f>+Get_Data!A2222</f>
        <v>42667</v>
      </c>
      <c r="B2223">
        <f>+ROUND(Get_Data!B2222,5)</f>
        <v>95.320520000000002</v>
      </c>
      <c r="C2223">
        <f>+ROUND(Get_Data!C2222,5)</f>
        <v>37.277419999999999</v>
      </c>
      <c r="D2223" s="4">
        <f t="shared" si="35"/>
        <v>2.557057865056112</v>
      </c>
    </row>
    <row r="2224" spans="1:4">
      <c r="A2224" s="2">
        <f>+Get_Data!A2223</f>
        <v>42668</v>
      </c>
      <c r="B2224">
        <f>+ROUND(Get_Data!B2223,5)</f>
        <v>95.249440000000007</v>
      </c>
      <c r="C2224">
        <f>+ROUND(Get_Data!C2223,5)</f>
        <v>37.259900000000002</v>
      </c>
      <c r="D2224" s="4">
        <f t="shared" si="35"/>
        <v>2.5563525398618889</v>
      </c>
    </row>
    <row r="2225" spans="1:4">
      <c r="A2225" s="2">
        <f>+Get_Data!A2224</f>
        <v>42669</v>
      </c>
      <c r="B2225">
        <f>+ROUND(Get_Data!B2224,5)</f>
        <v>95.107320000000001</v>
      </c>
      <c r="C2225">
        <f>+ROUND(Get_Data!C2224,5)</f>
        <v>37.172310000000003</v>
      </c>
      <c r="D2225" s="4">
        <f t="shared" si="35"/>
        <v>2.5585528582969417</v>
      </c>
    </row>
    <row r="2226" spans="1:4">
      <c r="A2226" s="2">
        <f>+Get_Data!A2225</f>
        <v>42670</v>
      </c>
      <c r="B2226">
        <f>+ROUND(Get_Data!B2225,5)</f>
        <v>94.716489999999993</v>
      </c>
      <c r="C2226">
        <f>+ROUND(Get_Data!C2225,5)</f>
        <v>36.892029999999998</v>
      </c>
      <c r="D2226" s="4">
        <f t="shared" si="35"/>
        <v>2.5673970773633221</v>
      </c>
    </row>
    <row r="2227" spans="1:4">
      <c r="A2227" s="2">
        <f>+Get_Data!A2226</f>
        <v>42671</v>
      </c>
      <c r="B2227">
        <f>+ROUND(Get_Data!B2226,5)</f>
        <v>95.107320000000001</v>
      </c>
      <c r="C2227">
        <f>+ROUND(Get_Data!C2226,5)</f>
        <v>36.988390000000003</v>
      </c>
      <c r="D2227" s="4">
        <f t="shared" si="35"/>
        <v>2.5712749324855717</v>
      </c>
    </row>
    <row r="2228" spans="1:4">
      <c r="A2228" s="2">
        <f>+Get_Data!A2227</f>
        <v>42674</v>
      </c>
      <c r="B2228">
        <f>+ROUND(Get_Data!B2227,5)</f>
        <v>95.222809999999996</v>
      </c>
      <c r="C2228">
        <f>+ROUND(Get_Data!C2227,5)</f>
        <v>37.13729</v>
      </c>
      <c r="D2228" s="4">
        <f t="shared" si="35"/>
        <v>2.5640753539097765</v>
      </c>
    </row>
    <row r="2229" spans="1:4">
      <c r="A2229" s="2">
        <f>+Get_Data!A2228</f>
        <v>42675</v>
      </c>
      <c r="B2229">
        <f>+ROUND(Get_Data!B2228,5)</f>
        <v>94.787540000000007</v>
      </c>
      <c r="C2229">
        <f>+ROUND(Get_Data!C2228,5)</f>
        <v>36.892029999999998</v>
      </c>
      <c r="D2229" s="4">
        <f t="shared" si="35"/>
        <v>2.5693229675894771</v>
      </c>
    </row>
    <row r="2230" spans="1:4">
      <c r="A2230" s="2">
        <f>+Get_Data!A2229</f>
        <v>42676</v>
      </c>
      <c r="B2230">
        <f>+ROUND(Get_Data!B2229,5)</f>
        <v>94.787540000000007</v>
      </c>
      <c r="C2230">
        <f>+ROUND(Get_Data!C2229,5)</f>
        <v>36.830719999999999</v>
      </c>
      <c r="D2230" s="4">
        <f t="shared" si="35"/>
        <v>2.5735999730659627</v>
      </c>
    </row>
    <row r="2231" spans="1:4">
      <c r="A2231" s="2">
        <f>+Get_Data!A2230</f>
        <v>42677</v>
      </c>
      <c r="B2231">
        <f>+ROUND(Get_Data!B2230,5)</f>
        <v>94.716489999999993</v>
      </c>
      <c r="C2231">
        <f>+ROUND(Get_Data!C2230,5)</f>
        <v>36.813200000000002</v>
      </c>
      <c r="D2231" s="4">
        <f t="shared" si="35"/>
        <v>2.5728947768735124</v>
      </c>
    </row>
    <row r="2232" spans="1:4">
      <c r="A2232" s="2">
        <f>+Get_Data!A2231</f>
        <v>42678</v>
      </c>
      <c r="B2232">
        <f>+ROUND(Get_Data!B2231,5)</f>
        <v>93.988110000000006</v>
      </c>
      <c r="C2232">
        <f>+ROUND(Get_Data!C2231,5)</f>
        <v>36.5154</v>
      </c>
      <c r="D2232" s="4">
        <f t="shared" si="35"/>
        <v>2.5739307251187173</v>
      </c>
    </row>
    <row r="2233" spans="1:4">
      <c r="A2233" s="2">
        <f>+Get_Data!A2232</f>
        <v>42681</v>
      </c>
      <c r="B2233">
        <f>+ROUND(Get_Data!B2232,5)</f>
        <v>95.009600000000006</v>
      </c>
      <c r="C2233">
        <f>+ROUND(Get_Data!C2232,5)</f>
        <v>37.189830000000001</v>
      </c>
      <c r="D2233" s="4">
        <f t="shared" si="35"/>
        <v>2.5547199328418548</v>
      </c>
    </row>
    <row r="2234" spans="1:4">
      <c r="A2234" s="2">
        <f>+Get_Data!A2233</f>
        <v>42682</v>
      </c>
      <c r="B2234">
        <f>+ROUND(Get_Data!B2233,5)</f>
        <v>96.572969999999998</v>
      </c>
      <c r="C2234">
        <f>+ROUND(Get_Data!C2233,5)</f>
        <v>37.557699999999997</v>
      </c>
      <c r="D2234" s="4">
        <f t="shared" si="35"/>
        <v>2.5713227913317378</v>
      </c>
    </row>
    <row r="2235" spans="1:4">
      <c r="A2235" s="2">
        <f>+Get_Data!A2234</f>
        <v>42683</v>
      </c>
      <c r="B2235">
        <f>+ROUND(Get_Data!B2234,5)</f>
        <v>95.267200000000003</v>
      </c>
      <c r="C2235">
        <f>+ROUND(Get_Data!C2234,5)</f>
        <v>37.023409999999998</v>
      </c>
      <c r="D2235" s="4">
        <f t="shared" si="35"/>
        <v>2.5731611431794104</v>
      </c>
    </row>
    <row r="2236" spans="1:4">
      <c r="A2236" s="2">
        <f>+Get_Data!A2235</f>
        <v>42684</v>
      </c>
      <c r="B2236">
        <f>+ROUND(Get_Data!B2235,5)</f>
        <v>91.714129999999997</v>
      </c>
      <c r="C2236">
        <f>+ROUND(Get_Data!C2235,5)</f>
        <v>35.858499999999999</v>
      </c>
      <c r="D2236" s="4">
        <f t="shared" si="35"/>
        <v>2.5576677775143968</v>
      </c>
    </row>
    <row r="2237" spans="1:4">
      <c r="A2237" s="2">
        <f>+Get_Data!A2236</f>
        <v>42685</v>
      </c>
      <c r="B2237">
        <f>+ROUND(Get_Data!B2236,5)</f>
        <v>91.660820000000001</v>
      </c>
      <c r="C2237">
        <f>+ROUND(Get_Data!C2236,5)</f>
        <v>35.937330000000003</v>
      </c>
      <c r="D2237" s="4">
        <f t="shared" si="35"/>
        <v>2.550574013150114</v>
      </c>
    </row>
    <row r="2238" spans="1:4">
      <c r="A2238" s="2">
        <f>+Get_Data!A2237</f>
        <v>42688</v>
      </c>
      <c r="B2238">
        <f>+ROUND(Get_Data!B2237,5)</f>
        <v>90.061920000000001</v>
      </c>
      <c r="C2238">
        <f>+ROUND(Get_Data!C2237,5)</f>
        <v>36.059939999999997</v>
      </c>
      <c r="D2238" s="4">
        <f t="shared" si="35"/>
        <v>2.497561560002596</v>
      </c>
    </row>
    <row r="2239" spans="1:4">
      <c r="A2239" s="2">
        <f>+Get_Data!A2238</f>
        <v>42689</v>
      </c>
      <c r="B2239">
        <f>+ROUND(Get_Data!B2238,5)</f>
        <v>90.47054</v>
      </c>
      <c r="C2239">
        <f>+ROUND(Get_Data!C2238,5)</f>
        <v>36.296439999999997</v>
      </c>
      <c r="D2239" s="4">
        <f t="shared" si="35"/>
        <v>2.4925458254308137</v>
      </c>
    </row>
    <row r="2240" spans="1:4">
      <c r="A2240" s="2">
        <f>+Get_Data!A2239</f>
        <v>42690</v>
      </c>
      <c r="B2240">
        <f>+ROUND(Get_Data!B2239,5)</f>
        <v>90.346180000000004</v>
      </c>
      <c r="C2240">
        <f>+ROUND(Get_Data!C2239,5)</f>
        <v>36.138770000000001</v>
      </c>
      <c r="D2240" s="4">
        <f t="shared" si="35"/>
        <v>2.4999793850205747</v>
      </c>
    </row>
    <row r="2241" spans="1:4">
      <c r="A2241" s="2">
        <f>+Get_Data!A2240</f>
        <v>42691</v>
      </c>
      <c r="B2241">
        <f>+ROUND(Get_Data!B2240,5)</f>
        <v>90.266229999999993</v>
      </c>
      <c r="C2241">
        <f>+ROUND(Get_Data!C2240,5)</f>
        <v>36.016150000000003</v>
      </c>
      <c r="D2241" s="4">
        <f t="shared" si="35"/>
        <v>2.5062709367880793</v>
      </c>
    </row>
    <row r="2242" spans="1:4">
      <c r="A2242" s="2">
        <f>+Get_Data!A2241</f>
        <v>42692</v>
      </c>
      <c r="B2242">
        <f>+ROUND(Get_Data!B2241,5)</f>
        <v>89.990870000000001</v>
      </c>
      <c r="C2242">
        <f>+ROUND(Get_Data!C2241,5)</f>
        <v>35.832230000000003</v>
      </c>
      <c r="D2242" s="4">
        <f t="shared" si="35"/>
        <v>2.511450445590464</v>
      </c>
    </row>
    <row r="2243" spans="1:4">
      <c r="A2243" s="2">
        <f>+Get_Data!A2242</f>
        <v>42695</v>
      </c>
      <c r="B2243">
        <f>+ROUND(Get_Data!B2242,5)</f>
        <v>90.83475</v>
      </c>
      <c r="C2243">
        <f>+ROUND(Get_Data!C2242,5)</f>
        <v>36.226379999999999</v>
      </c>
      <c r="D2243" s="4">
        <f t="shared" si="35"/>
        <v>2.5074200071881321</v>
      </c>
    </row>
    <row r="2244" spans="1:4">
      <c r="A2244" s="2">
        <f>+Get_Data!A2243</f>
        <v>42696</v>
      </c>
      <c r="B2244">
        <f>+ROUND(Get_Data!B2243,5)</f>
        <v>91.394350000000003</v>
      </c>
      <c r="C2244">
        <f>+ROUND(Get_Data!C2243,5)</f>
        <v>36.235120000000002</v>
      </c>
      <c r="D2244" s="4">
        <f t="shared" ref="D2244:D2307" si="36">IFERROR(B2244/C2244,"")</f>
        <v>2.5222587920227668</v>
      </c>
    </row>
    <row r="2245" spans="1:4">
      <c r="A2245" s="2">
        <f>+Get_Data!A2244</f>
        <v>42697</v>
      </c>
      <c r="B2245">
        <f>+ROUND(Get_Data!B2244,5)</f>
        <v>90.18629</v>
      </c>
      <c r="C2245">
        <f>+ROUND(Get_Data!C2244,5)</f>
        <v>36.016150000000003</v>
      </c>
      <c r="D2245" s="4">
        <f t="shared" si="36"/>
        <v>2.5040513769517285</v>
      </c>
    </row>
    <row r="2246" spans="1:4">
      <c r="A2246" s="2">
        <f>+Get_Data!A2245</f>
        <v>42699</v>
      </c>
      <c r="B2246">
        <f>+ROUND(Get_Data!B2245,5)</f>
        <v>90.75479</v>
      </c>
      <c r="C2246">
        <f>+ROUND(Get_Data!C2245,5)</f>
        <v>36.375259999999997</v>
      </c>
      <c r="D2246" s="4">
        <f t="shared" si="36"/>
        <v>2.494959211288112</v>
      </c>
    </row>
    <row r="2247" spans="1:4">
      <c r="A2247" s="2">
        <f>+Get_Data!A2246</f>
        <v>42702</v>
      </c>
      <c r="B2247">
        <f>+ROUND(Get_Data!B2246,5)</f>
        <v>91.305520000000001</v>
      </c>
      <c r="C2247">
        <f>+ROUND(Get_Data!C2246,5)</f>
        <v>36.567950000000003</v>
      </c>
      <c r="D2247" s="4">
        <f t="shared" si="36"/>
        <v>2.4968728080190439</v>
      </c>
    </row>
    <row r="2248" spans="1:4">
      <c r="A2248" s="2">
        <f>+Get_Data!A2247</f>
        <v>42703</v>
      </c>
      <c r="B2248">
        <f>+ROUND(Get_Data!B2247,5)</f>
        <v>91.083449999999999</v>
      </c>
      <c r="C2248">
        <f>+ROUND(Get_Data!C2247,5)</f>
        <v>36.347140000000003</v>
      </c>
      <c r="D2248" s="4">
        <f t="shared" si="36"/>
        <v>2.5059316909115816</v>
      </c>
    </row>
    <row r="2249" spans="1:4">
      <c r="A2249" s="2">
        <f>+Get_Data!A2248</f>
        <v>42704</v>
      </c>
      <c r="B2249">
        <f>+ROUND(Get_Data!B2248,5)</f>
        <v>89.573840000000004</v>
      </c>
      <c r="C2249">
        <f>+ROUND(Get_Data!C2248,5)</f>
        <v>35.640509999999999</v>
      </c>
      <c r="D2249" s="4">
        <f t="shared" si="36"/>
        <v>2.5132592098148989</v>
      </c>
    </row>
    <row r="2250" spans="1:4">
      <c r="A2250" s="2">
        <f>+Get_Data!A2249</f>
        <v>42705</v>
      </c>
      <c r="B2250">
        <f>+ROUND(Get_Data!B2249,5)</f>
        <v>88.616380000000007</v>
      </c>
      <c r="C2250">
        <f>+ROUND(Get_Data!C2249,5)</f>
        <v>35.481520000000003</v>
      </c>
      <c r="D2250" s="4">
        <f t="shared" si="36"/>
        <v>2.4975361822154181</v>
      </c>
    </row>
    <row r="2251" spans="1:4">
      <c r="A2251" s="2">
        <f>+Get_Data!A2250</f>
        <v>42706</v>
      </c>
      <c r="B2251">
        <f>+ROUND(Get_Data!B2250,5)</f>
        <v>90.021270000000001</v>
      </c>
      <c r="C2251">
        <f>+ROUND(Get_Data!C2250,5)</f>
        <v>35.649340000000002</v>
      </c>
      <c r="D2251" s="4">
        <f t="shared" si="36"/>
        <v>2.5251875630797089</v>
      </c>
    </row>
    <row r="2252" spans="1:4">
      <c r="A2252" s="2">
        <f>+Get_Data!A2251</f>
        <v>42709</v>
      </c>
      <c r="B2252">
        <f>+ROUND(Get_Data!B2251,5)</f>
        <v>90.119699999999995</v>
      </c>
      <c r="C2252">
        <f>+ROUND(Get_Data!C2251,5)</f>
        <v>35.879010000000001</v>
      </c>
      <c r="D2252" s="4">
        <f t="shared" si="36"/>
        <v>2.5117666290123388</v>
      </c>
    </row>
    <row r="2253" spans="1:4">
      <c r="A2253" s="2">
        <f>+Get_Data!A2252</f>
        <v>42710</v>
      </c>
      <c r="B2253">
        <f>+ROUND(Get_Data!B2252,5)</f>
        <v>90.871390000000005</v>
      </c>
      <c r="C2253">
        <f>+ROUND(Get_Data!C2252,5)</f>
        <v>35.83484</v>
      </c>
      <c r="D2253" s="4">
        <f t="shared" si="36"/>
        <v>2.5358391442517951</v>
      </c>
    </row>
    <row r="2254" spans="1:4">
      <c r="A2254" s="2">
        <f>+Get_Data!A2253</f>
        <v>42711</v>
      </c>
      <c r="B2254">
        <f>+ROUND(Get_Data!B2253,5)</f>
        <v>91.99888</v>
      </c>
      <c r="C2254">
        <f>+ROUND(Get_Data!C2253,5)</f>
        <v>36.470799999999997</v>
      </c>
      <c r="D2254" s="4">
        <f t="shared" si="36"/>
        <v>2.5225352885047765</v>
      </c>
    </row>
    <row r="2255" spans="1:4">
      <c r="A2255" s="2">
        <f>+Get_Data!A2254</f>
        <v>42712</v>
      </c>
      <c r="B2255">
        <f>+ROUND(Get_Data!B2254,5)</f>
        <v>91.408280000000005</v>
      </c>
      <c r="C2255">
        <f>+ROUND(Get_Data!C2254,5)</f>
        <v>36.19697</v>
      </c>
      <c r="D2255" s="4">
        <f t="shared" si="36"/>
        <v>2.5253019796960907</v>
      </c>
    </row>
    <row r="2256" spans="1:4">
      <c r="A2256" s="2">
        <f>+Get_Data!A2255</f>
        <v>42713</v>
      </c>
      <c r="B2256">
        <f>+ROUND(Get_Data!B2255,5)</f>
        <v>92.678960000000004</v>
      </c>
      <c r="C2256">
        <f>+ROUND(Get_Data!C2255,5)</f>
        <v>37.097929999999998</v>
      </c>
      <c r="D2256" s="4">
        <f t="shared" si="36"/>
        <v>2.4982245640120624</v>
      </c>
    </row>
    <row r="2257" spans="1:4">
      <c r="A2257" s="2">
        <f>+Get_Data!A2256</f>
        <v>42716</v>
      </c>
      <c r="B2257">
        <f>+ROUND(Get_Data!B2256,5)</f>
        <v>93.708020000000005</v>
      </c>
      <c r="C2257">
        <f>+ROUND(Get_Data!C2256,5)</f>
        <v>37.009590000000003</v>
      </c>
      <c r="D2257" s="4">
        <f t="shared" si="36"/>
        <v>2.5319929239961856</v>
      </c>
    </row>
    <row r="2258" spans="1:4">
      <c r="A2258" s="2">
        <f>+Get_Data!A2257</f>
        <v>42717</v>
      </c>
      <c r="B2258">
        <f>+ROUND(Get_Data!B2257,5)</f>
        <v>94.522319999999993</v>
      </c>
      <c r="C2258">
        <f>+ROUND(Get_Data!C2257,5)</f>
        <v>36.885939999999998</v>
      </c>
      <c r="D2258" s="4">
        <f t="shared" si="36"/>
        <v>2.5625568983737437</v>
      </c>
    </row>
    <row r="2259" spans="1:4">
      <c r="A2259" s="2">
        <f>+Get_Data!A2258</f>
        <v>42718</v>
      </c>
      <c r="B2259">
        <f>+ROUND(Get_Data!B2258,5)</f>
        <v>93.484319999999997</v>
      </c>
      <c r="C2259">
        <f>+ROUND(Get_Data!C2258,5)</f>
        <v>36.400120000000001</v>
      </c>
      <c r="D2259" s="4">
        <f t="shared" si="36"/>
        <v>2.5682420827184083</v>
      </c>
    </row>
    <row r="2260" spans="1:4">
      <c r="A2260" s="2">
        <f>+Get_Data!A2259</f>
        <v>42719</v>
      </c>
      <c r="B2260">
        <f>+ROUND(Get_Data!B2259,5)</f>
        <v>94.227029999999999</v>
      </c>
      <c r="C2260">
        <f>+ROUND(Get_Data!C2259,5)</f>
        <v>36.700449999999996</v>
      </c>
      <c r="D2260" s="4">
        <f t="shared" si="36"/>
        <v>2.5674625243014733</v>
      </c>
    </row>
    <row r="2261" spans="1:4">
      <c r="A2261" s="2">
        <f>+Get_Data!A2260</f>
        <v>42720</v>
      </c>
      <c r="B2261">
        <f>+ROUND(Get_Data!B2260,5)</f>
        <v>94.737110000000001</v>
      </c>
      <c r="C2261">
        <f>+ROUND(Get_Data!C2260,5)</f>
        <v>36.868270000000003</v>
      </c>
      <c r="D2261" s="4">
        <f t="shared" si="36"/>
        <v>2.5696109418749509</v>
      </c>
    </row>
    <row r="2262" spans="1:4">
      <c r="A2262" s="2">
        <f>+Get_Data!A2261</f>
        <v>42723</v>
      </c>
      <c r="B2262">
        <f>+ROUND(Get_Data!B2261,5)</f>
        <v>94.325460000000007</v>
      </c>
      <c r="C2262">
        <f>+ROUND(Get_Data!C2261,5)</f>
        <v>36.806440000000002</v>
      </c>
      <c r="D2262" s="4">
        <f t="shared" si="36"/>
        <v>2.5627433677367333</v>
      </c>
    </row>
    <row r="2263" spans="1:4">
      <c r="A2263" s="2">
        <f>+Get_Data!A2262</f>
        <v>42724</v>
      </c>
      <c r="B2263">
        <f>+ROUND(Get_Data!B2262,5)</f>
        <v>93.86909</v>
      </c>
      <c r="C2263">
        <f>+ROUND(Get_Data!C2262,5)</f>
        <v>36.797620000000002</v>
      </c>
      <c r="D2263" s="4">
        <f t="shared" si="36"/>
        <v>2.5509554694026404</v>
      </c>
    </row>
    <row r="2264" spans="1:4">
      <c r="A2264" s="2">
        <f>+Get_Data!A2263</f>
        <v>42725</v>
      </c>
      <c r="B2264">
        <f>+ROUND(Get_Data!B2263,5)</f>
        <v>93.690129999999996</v>
      </c>
      <c r="C2264">
        <f>+ROUND(Get_Data!C2263,5)</f>
        <v>36.718119999999999</v>
      </c>
      <c r="D2264" s="4">
        <f t="shared" si="36"/>
        <v>2.5516047662570958</v>
      </c>
    </row>
    <row r="2265" spans="1:4">
      <c r="A2265" s="2">
        <f>+Get_Data!A2264</f>
        <v>42726</v>
      </c>
      <c r="B2265">
        <f>+ROUND(Get_Data!B2264,5)</f>
        <v>94.271770000000004</v>
      </c>
      <c r="C2265">
        <f>+ROUND(Get_Data!C2264,5)</f>
        <v>36.700449999999996</v>
      </c>
      <c r="D2265" s="4">
        <f t="shared" si="36"/>
        <v>2.5686815829233707</v>
      </c>
    </row>
    <row r="2266" spans="1:4">
      <c r="A2266" s="2">
        <f>+Get_Data!A2265</f>
        <v>42727</v>
      </c>
      <c r="B2266">
        <f>+ROUND(Get_Data!B2265,5)</f>
        <v>94.039119999999997</v>
      </c>
      <c r="C2266">
        <f>+ROUND(Get_Data!C2265,5)</f>
        <v>36.744610000000002</v>
      </c>
      <c r="D2266" s="4">
        <f t="shared" si="36"/>
        <v>2.5592629776176694</v>
      </c>
    </row>
    <row r="2267" spans="1:4">
      <c r="A2267" s="2">
        <f>+Get_Data!A2266</f>
        <v>42731</v>
      </c>
      <c r="B2267">
        <f>+ROUND(Get_Data!B2266,5)</f>
        <v>94.074910000000003</v>
      </c>
      <c r="C2267">
        <f>+ROUND(Get_Data!C2266,5)</f>
        <v>36.753439999999998</v>
      </c>
      <c r="D2267" s="4">
        <f t="shared" si="36"/>
        <v>2.5596219020586917</v>
      </c>
    </row>
    <row r="2268" spans="1:4">
      <c r="A2268" s="2">
        <f>+Get_Data!A2267</f>
        <v>42732</v>
      </c>
      <c r="B2268">
        <f>+ROUND(Get_Data!B2267,5)</f>
        <v>93.618549999999999</v>
      </c>
      <c r="C2268">
        <f>+ROUND(Get_Data!C2267,5)</f>
        <v>36.55912</v>
      </c>
      <c r="D2268" s="4">
        <f t="shared" si="36"/>
        <v>2.5607440769909124</v>
      </c>
    </row>
    <row r="2269" spans="1:4">
      <c r="A2269" s="2">
        <f>+Get_Data!A2268</f>
        <v>42733</v>
      </c>
      <c r="B2269">
        <f>+ROUND(Get_Data!B2268,5)</f>
        <v>93.949629999999999</v>
      </c>
      <c r="C2269">
        <f>+ROUND(Get_Data!C2268,5)</f>
        <v>36.744610000000002</v>
      </c>
      <c r="D2269" s="4">
        <f t="shared" si="36"/>
        <v>2.5568275183761644</v>
      </c>
    </row>
    <row r="2270" spans="1:4">
      <c r="A2270" s="2">
        <f>+Get_Data!A2269</f>
        <v>42734</v>
      </c>
      <c r="B2270">
        <f>+ROUND(Get_Data!B2269,5)</f>
        <v>93.627489999999995</v>
      </c>
      <c r="C2270">
        <f>+ROUND(Get_Data!C2269,5)</f>
        <v>36.620959999999997</v>
      </c>
      <c r="D2270" s="4">
        <f t="shared" si="36"/>
        <v>2.556663997885364</v>
      </c>
    </row>
    <row r="2271" spans="1:4">
      <c r="A2271" s="2">
        <f>+Get_Data!A2270</f>
        <v>42738</v>
      </c>
      <c r="B2271">
        <f>+ROUND(Get_Data!B2270,5)</f>
        <v>93.645390000000006</v>
      </c>
      <c r="C2271">
        <f>+ROUND(Get_Data!C2270,5)</f>
        <v>36.921259999999997</v>
      </c>
      <c r="D2271" s="4">
        <f t="shared" si="36"/>
        <v>2.5363541222591</v>
      </c>
    </row>
    <row r="2272" spans="1:4">
      <c r="A2272" s="2">
        <f>+Get_Data!A2271</f>
        <v>42739</v>
      </c>
      <c r="B2272">
        <f>+ROUND(Get_Data!B2271,5)</f>
        <v>93.824349999999995</v>
      </c>
      <c r="C2272">
        <f>+ROUND(Get_Data!C2271,5)</f>
        <v>36.788780000000003</v>
      </c>
      <c r="D2272" s="4">
        <f t="shared" si="36"/>
        <v>2.5503523085027551</v>
      </c>
    </row>
    <row r="2273" spans="1:4">
      <c r="A2273" s="2">
        <f>+Get_Data!A2272</f>
        <v>42740</v>
      </c>
      <c r="B2273">
        <f>+ROUND(Get_Data!B2272,5)</f>
        <v>93.699070000000006</v>
      </c>
      <c r="C2273">
        <f>+ROUND(Get_Data!C2272,5)</f>
        <v>36.877099999999999</v>
      </c>
      <c r="D2273" s="4">
        <f t="shared" si="36"/>
        <v>2.5408470297284769</v>
      </c>
    </row>
    <row r="2274" spans="1:4">
      <c r="A2274" s="2">
        <f>+Get_Data!A2273</f>
        <v>42741</v>
      </c>
      <c r="B2274">
        <f>+ROUND(Get_Data!B2273,5)</f>
        <v>93.564830000000001</v>
      </c>
      <c r="C2274">
        <f>+ROUND(Get_Data!C2273,5)</f>
        <v>36.868270000000003</v>
      </c>
      <c r="D2274" s="4">
        <f t="shared" si="36"/>
        <v>2.537814494686081</v>
      </c>
    </row>
    <row r="2275" spans="1:4">
      <c r="A2275" s="2">
        <f>+Get_Data!A2274</f>
        <v>42744</v>
      </c>
      <c r="B2275">
        <f>+ROUND(Get_Data!B2274,5)</f>
        <v>92.580529999999996</v>
      </c>
      <c r="C2275">
        <f>+ROUND(Get_Data!C2274,5)</f>
        <v>36.49729</v>
      </c>
      <c r="D2275" s="4">
        <f t="shared" si="36"/>
        <v>2.5366412136353138</v>
      </c>
    </row>
    <row r="2276" spans="1:4">
      <c r="A2276" s="2">
        <f>+Get_Data!A2275</f>
        <v>42745</v>
      </c>
      <c r="B2276">
        <f>+ROUND(Get_Data!B2275,5)</f>
        <v>91.247209999999995</v>
      </c>
      <c r="C2276">
        <f>+ROUND(Get_Data!C2275,5)</f>
        <v>36.249980000000001</v>
      </c>
      <c r="D2276" s="4">
        <f t="shared" si="36"/>
        <v>2.5171658025742358</v>
      </c>
    </row>
    <row r="2277" spans="1:4">
      <c r="A2277" s="2">
        <f>+Get_Data!A2276</f>
        <v>42746</v>
      </c>
      <c r="B2277">
        <f>+ROUND(Get_Data!B2276,5)</f>
        <v>91.104020000000006</v>
      </c>
      <c r="C2277">
        <f>+ROUND(Get_Data!C2276,5)</f>
        <v>36.258800000000001</v>
      </c>
      <c r="D2277" s="4">
        <f t="shared" si="36"/>
        <v>2.5126043884519071</v>
      </c>
    </row>
    <row r="2278" spans="1:4">
      <c r="A2278" s="2">
        <f>+Get_Data!A2277</f>
        <v>42747</v>
      </c>
      <c r="B2278">
        <f>+ROUND(Get_Data!B2277,5)</f>
        <v>91.130870000000002</v>
      </c>
      <c r="C2278">
        <f>+ROUND(Get_Data!C2277,5)</f>
        <v>36.170479999999998</v>
      </c>
      <c r="D2278" s="4">
        <f t="shared" si="36"/>
        <v>2.5194819090042491</v>
      </c>
    </row>
    <row r="2279" spans="1:4">
      <c r="A2279" s="2">
        <f>+Get_Data!A2278</f>
        <v>42748</v>
      </c>
      <c r="B2279">
        <f>+ROUND(Get_Data!B2278,5)</f>
        <v>90.871390000000005</v>
      </c>
      <c r="C2279">
        <f>+ROUND(Get_Data!C2278,5)</f>
        <v>36.10866</v>
      </c>
      <c r="D2279" s="4">
        <f t="shared" si="36"/>
        <v>2.5166093120043782</v>
      </c>
    </row>
    <row r="2280" spans="1:4">
      <c r="A2280" s="2">
        <f>+Get_Data!A2279</f>
        <v>42752</v>
      </c>
      <c r="B2280">
        <f>+ROUND(Get_Data!B2279,5)</f>
        <v>91.444069999999996</v>
      </c>
      <c r="C2280">
        <f>+ROUND(Get_Data!C2279,5)</f>
        <v>36.408969999999997</v>
      </c>
      <c r="D2280" s="4">
        <f t="shared" si="36"/>
        <v>2.5115808000061524</v>
      </c>
    </row>
    <row r="2281" spans="1:4">
      <c r="A2281" s="2">
        <f>+Get_Data!A2280</f>
        <v>42753</v>
      </c>
      <c r="B2281">
        <f>+ROUND(Get_Data!B2280,5)</f>
        <v>91.936220000000006</v>
      </c>
      <c r="C2281">
        <f>+ROUND(Get_Data!C2280,5)</f>
        <v>36.470799999999997</v>
      </c>
      <c r="D2281" s="4">
        <f t="shared" si="36"/>
        <v>2.5208172017065711</v>
      </c>
    </row>
    <row r="2282" spans="1:4">
      <c r="A2282" s="2">
        <f>+Get_Data!A2281</f>
        <v>42754</v>
      </c>
      <c r="B2282">
        <f>+ROUND(Get_Data!B2281,5)</f>
        <v>91.596199999999996</v>
      </c>
      <c r="C2282">
        <f>+ROUND(Get_Data!C2281,5)</f>
        <v>36.338299999999997</v>
      </c>
      <c r="D2282" s="4">
        <f t="shared" si="36"/>
        <v>2.5206517641166486</v>
      </c>
    </row>
    <row r="2283" spans="1:4">
      <c r="A2283" s="2">
        <f>+Get_Data!A2282</f>
        <v>42755</v>
      </c>
      <c r="B2283">
        <f>+ROUND(Get_Data!B2282,5)</f>
        <v>92.38364</v>
      </c>
      <c r="C2283">
        <f>+ROUND(Get_Data!C2282,5)</f>
        <v>36.49729</v>
      </c>
      <c r="D2283" s="4">
        <f t="shared" si="36"/>
        <v>2.5312465665258981</v>
      </c>
    </row>
    <row r="2284" spans="1:4">
      <c r="A2284" s="2">
        <f>+Get_Data!A2283</f>
        <v>42758</v>
      </c>
      <c r="B2284">
        <f>+ROUND(Get_Data!B2283,5)</f>
        <v>93.072689999999994</v>
      </c>
      <c r="C2284">
        <f>+ROUND(Get_Data!C2283,5)</f>
        <v>36.594459999999998</v>
      </c>
      <c r="D2284" s="4">
        <f t="shared" si="36"/>
        <v>2.5433546498568362</v>
      </c>
    </row>
    <row r="2285" spans="1:4">
      <c r="A2285" s="2">
        <f>+Get_Data!A2284</f>
        <v>42759</v>
      </c>
      <c r="B2285">
        <f>+ROUND(Get_Data!B2284,5)</f>
        <v>93.699070000000006</v>
      </c>
      <c r="C2285">
        <f>+ROUND(Get_Data!C2284,5)</f>
        <v>37.009590000000003</v>
      </c>
      <c r="D2285" s="4">
        <f t="shared" si="36"/>
        <v>2.5317510947838113</v>
      </c>
    </row>
    <row r="2286" spans="1:4">
      <c r="A2286" s="2">
        <f>+Get_Data!A2285</f>
        <v>42760</v>
      </c>
      <c r="B2286">
        <f>+ROUND(Get_Data!B2285,5)</f>
        <v>93.609589999999997</v>
      </c>
      <c r="C2286">
        <f>+ROUND(Get_Data!C2285,5)</f>
        <v>37.203919999999997</v>
      </c>
      <c r="D2286" s="4">
        <f t="shared" si="36"/>
        <v>2.5161216882522059</v>
      </c>
    </row>
    <row r="2287" spans="1:4">
      <c r="A2287" s="2">
        <f>+Get_Data!A2286</f>
        <v>42761</v>
      </c>
      <c r="B2287">
        <f>+ROUND(Get_Data!B2286,5)</f>
        <v>93.189030000000002</v>
      </c>
      <c r="C2287">
        <f>+ROUND(Get_Data!C2286,5)</f>
        <v>36.930109999999999</v>
      </c>
      <c r="D2287" s="4">
        <f t="shared" si="36"/>
        <v>2.5233889094833457</v>
      </c>
    </row>
    <row r="2288" spans="1:4">
      <c r="A2288" s="2">
        <f>+Get_Data!A2287</f>
        <v>42762</v>
      </c>
      <c r="B2288">
        <f>+ROUND(Get_Data!B2287,5)</f>
        <v>92.598429999999993</v>
      </c>
      <c r="C2288">
        <f>+ROUND(Get_Data!C2287,5)</f>
        <v>36.612119999999997</v>
      </c>
      <c r="D2288" s="4">
        <f t="shared" si="36"/>
        <v>2.5291742188106014</v>
      </c>
    </row>
    <row r="2289" spans="1:4">
      <c r="A2289" s="2">
        <f>+Get_Data!A2288</f>
        <v>42765</v>
      </c>
      <c r="B2289">
        <f>+ROUND(Get_Data!B2288,5)</f>
        <v>92.786339999999996</v>
      </c>
      <c r="C2289">
        <f>+ROUND(Get_Data!C2288,5)</f>
        <v>36.550289999999997</v>
      </c>
      <c r="D2289" s="4">
        <f t="shared" si="36"/>
        <v>2.5385938114307711</v>
      </c>
    </row>
    <row r="2290" spans="1:4">
      <c r="A2290" s="2">
        <f>+Get_Data!A2289</f>
        <v>42766</v>
      </c>
      <c r="B2290">
        <f>+ROUND(Get_Data!B2289,5)</f>
        <v>92.866860000000003</v>
      </c>
      <c r="C2290">
        <f>+ROUND(Get_Data!C2289,5)</f>
        <v>36.718119999999999</v>
      </c>
      <c r="D2290" s="4">
        <f t="shared" si="36"/>
        <v>2.5291834113511258</v>
      </c>
    </row>
    <row r="2291" spans="1:4">
      <c r="A2291" s="2">
        <f>+Get_Data!A2290</f>
        <v>42767</v>
      </c>
      <c r="B2291">
        <f>+ROUND(Get_Data!B2290,5)</f>
        <v>92.177850000000007</v>
      </c>
      <c r="C2291">
        <f>+ROUND(Get_Data!C2290,5)</f>
        <v>36.444290000000002</v>
      </c>
      <c r="D2291" s="4">
        <f t="shared" si="36"/>
        <v>2.5292809929895741</v>
      </c>
    </row>
    <row r="2292" spans="1:4">
      <c r="A2292" s="2">
        <f>+Get_Data!A2291</f>
        <v>42768</v>
      </c>
      <c r="B2292">
        <f>+ROUND(Get_Data!B2291,5)</f>
        <v>93.090580000000003</v>
      </c>
      <c r="C2292">
        <f>+ROUND(Get_Data!C2291,5)</f>
        <v>36.567959999999999</v>
      </c>
      <c r="D2292" s="4">
        <f t="shared" si="36"/>
        <v>2.5456869893753988</v>
      </c>
    </row>
    <row r="2293" spans="1:4">
      <c r="A2293" s="2">
        <f>+Get_Data!A2292</f>
        <v>42769</v>
      </c>
      <c r="B2293">
        <f>+ROUND(Get_Data!B2292,5)</f>
        <v>94.057010000000005</v>
      </c>
      <c r="C2293">
        <f>+ROUND(Get_Data!C2292,5)</f>
        <v>36.69162</v>
      </c>
      <c r="D2293" s="4">
        <f t="shared" si="36"/>
        <v>2.563446639859456</v>
      </c>
    </row>
    <row r="2294" spans="1:4">
      <c r="A2294" s="2">
        <f>+Get_Data!A2293</f>
        <v>42772</v>
      </c>
      <c r="B2294">
        <f>+ROUND(Get_Data!B2293,5)</f>
        <v>93.573800000000006</v>
      </c>
      <c r="C2294">
        <f>+ROUND(Get_Data!C2293,5)</f>
        <v>36.709269999999997</v>
      </c>
      <c r="D2294" s="4">
        <f t="shared" si="36"/>
        <v>2.5490509617870369</v>
      </c>
    </row>
    <row r="2295" spans="1:4">
      <c r="A2295" s="2">
        <f>+Get_Data!A2294</f>
        <v>42773</v>
      </c>
      <c r="B2295">
        <f>+ROUND(Get_Data!B2294,5)</f>
        <v>94.504429999999999</v>
      </c>
      <c r="C2295">
        <f>+ROUND(Get_Data!C2294,5)</f>
        <v>37.009590000000003</v>
      </c>
      <c r="D2295" s="4">
        <f t="shared" si="36"/>
        <v>2.5535119410941864</v>
      </c>
    </row>
    <row r="2296" spans="1:4">
      <c r="A2296" s="2">
        <f>+Get_Data!A2295</f>
        <v>42774</v>
      </c>
      <c r="B2296">
        <f>+ROUND(Get_Data!B2295,5)</f>
        <v>94.576030000000003</v>
      </c>
      <c r="C2296">
        <f>+ROUND(Get_Data!C2295,5)</f>
        <v>37.115589999999997</v>
      </c>
      <c r="D2296" s="4">
        <f t="shared" si="36"/>
        <v>2.5481483656867643</v>
      </c>
    </row>
    <row r="2297" spans="1:4">
      <c r="A2297" s="2">
        <f>+Get_Data!A2296</f>
        <v>42775</v>
      </c>
      <c r="B2297">
        <f>+ROUND(Get_Data!B2296,5)</f>
        <v>94.826580000000007</v>
      </c>
      <c r="C2297">
        <f>+ROUND(Get_Data!C2296,5)</f>
        <v>36.435470000000002</v>
      </c>
      <c r="D2297" s="4">
        <f t="shared" si="36"/>
        <v>2.6025897291842264</v>
      </c>
    </row>
    <row r="2298" spans="1:4">
      <c r="A2298" s="2">
        <f>+Get_Data!A2297</f>
        <v>42776</v>
      </c>
      <c r="B2298">
        <f>+ROUND(Get_Data!B2297,5)</f>
        <v>94.942909999999998</v>
      </c>
      <c r="C2298">
        <f>+ROUND(Get_Data!C2297,5)</f>
        <v>35.84366</v>
      </c>
      <c r="D2298" s="4">
        <f t="shared" si="36"/>
        <v>2.6488062323992585</v>
      </c>
    </row>
    <row r="2299" spans="1:4">
      <c r="A2299" s="2">
        <f>+Get_Data!A2298</f>
        <v>42779</v>
      </c>
      <c r="B2299">
        <f>+ROUND(Get_Data!B2298,5)</f>
        <v>95.318730000000002</v>
      </c>
      <c r="C2299">
        <f>+ROUND(Get_Data!C2298,5)</f>
        <v>35.879010000000001</v>
      </c>
      <c r="D2299" s="4">
        <f t="shared" si="36"/>
        <v>2.6566711288856633</v>
      </c>
    </row>
    <row r="2300" spans="1:4">
      <c r="A2300" s="2">
        <f>+Get_Data!A2299</f>
        <v>42780</v>
      </c>
      <c r="B2300">
        <f>+ROUND(Get_Data!B2299,5)</f>
        <v>95.676680000000005</v>
      </c>
      <c r="C2300">
        <f>+ROUND(Get_Data!C2299,5)</f>
        <v>35.799500000000002</v>
      </c>
      <c r="D2300" s="4">
        <f t="shared" si="36"/>
        <v>2.6725702872945152</v>
      </c>
    </row>
    <row r="2301" spans="1:4">
      <c r="A2301" s="2">
        <f>+Get_Data!A2300</f>
        <v>42781</v>
      </c>
      <c r="B2301">
        <f>+ROUND(Get_Data!B2300,5)</f>
        <v>95.50667</v>
      </c>
      <c r="C2301">
        <f>+ROUND(Get_Data!C2300,5)</f>
        <v>35.72</v>
      </c>
      <c r="D2301" s="4">
        <f t="shared" si="36"/>
        <v>2.6737589585666295</v>
      </c>
    </row>
    <row r="2302" spans="1:4">
      <c r="A2302" s="2">
        <f>+Get_Data!A2301</f>
        <v>42782</v>
      </c>
      <c r="B2302">
        <f>+ROUND(Get_Data!B2301,5)</f>
        <v>96.750510000000006</v>
      </c>
      <c r="C2302">
        <f>+ROUND(Get_Data!C2301,5)</f>
        <v>36.391309999999997</v>
      </c>
      <c r="D2302" s="4">
        <f t="shared" si="36"/>
        <v>2.6586157519473748</v>
      </c>
    </row>
    <row r="2303" spans="1:4">
      <c r="A2303" s="2">
        <f>+Get_Data!A2302</f>
        <v>42783</v>
      </c>
      <c r="B2303">
        <f>+ROUND(Get_Data!B2302,5)</f>
        <v>96.777339999999995</v>
      </c>
      <c r="C2303">
        <f>+ROUND(Get_Data!C2302,5)</f>
        <v>36.4178</v>
      </c>
      <c r="D2303" s="4">
        <f t="shared" si="36"/>
        <v>2.6574186249581246</v>
      </c>
    </row>
    <row r="2304" spans="1:4">
      <c r="A2304" s="2">
        <f>+Get_Data!A2303</f>
        <v>42787</v>
      </c>
      <c r="B2304">
        <f>+ROUND(Get_Data!B2303,5)</f>
        <v>97.860079999999996</v>
      </c>
      <c r="C2304">
        <f>+ROUND(Get_Data!C2303,5)</f>
        <v>36.620959999999997</v>
      </c>
      <c r="D2304" s="4">
        <f t="shared" si="36"/>
        <v>2.6722423442749728</v>
      </c>
    </row>
    <row r="2305" spans="1:4">
      <c r="A2305" s="2">
        <f>+Get_Data!A2304</f>
        <v>42788</v>
      </c>
      <c r="B2305">
        <f>+ROUND(Get_Data!B2304,5)</f>
        <v>97.904849999999996</v>
      </c>
      <c r="C2305">
        <f>+ROUND(Get_Data!C2304,5)</f>
        <v>36.744610000000002</v>
      </c>
      <c r="D2305" s="4">
        <f t="shared" si="36"/>
        <v>2.6644683397102322</v>
      </c>
    </row>
    <row r="2306" spans="1:4">
      <c r="A2306" s="2">
        <f>+Get_Data!A2305</f>
        <v>42789</v>
      </c>
      <c r="B2306">
        <f>+ROUND(Get_Data!B2305,5)</f>
        <v>98.021180000000001</v>
      </c>
      <c r="C2306">
        <f>+ROUND(Get_Data!C2305,5)</f>
        <v>36.797620000000002</v>
      </c>
      <c r="D2306" s="4">
        <f t="shared" si="36"/>
        <v>2.6637912995460029</v>
      </c>
    </row>
    <row r="2307" spans="1:4">
      <c r="A2307" s="2">
        <f>+Get_Data!A2306</f>
        <v>42790</v>
      </c>
      <c r="B2307">
        <f>+ROUND(Get_Data!B2306,5)</f>
        <v>98.280680000000004</v>
      </c>
      <c r="C2307">
        <f>+ROUND(Get_Data!C2306,5)</f>
        <v>36.90361</v>
      </c>
      <c r="D2307" s="4">
        <f t="shared" si="36"/>
        <v>2.663172518894493</v>
      </c>
    </row>
    <row r="2308" spans="1:4">
      <c r="A2308" s="2">
        <f>+Get_Data!A2307</f>
        <v>42793</v>
      </c>
      <c r="B2308">
        <f>+ROUND(Get_Data!B2307,5)</f>
        <v>97.779560000000004</v>
      </c>
      <c r="C2308">
        <f>+ROUND(Get_Data!C2307,5)</f>
        <v>36.806440000000002</v>
      </c>
      <c r="D2308" s="4">
        <f t="shared" ref="D2308:D2371" si="37">IFERROR(B2308/C2308,"")</f>
        <v>2.6565883579069314</v>
      </c>
    </row>
    <row r="2309" spans="1:4">
      <c r="A2309" s="2">
        <f>+Get_Data!A2308</f>
        <v>42794</v>
      </c>
      <c r="B2309">
        <f>+ROUND(Get_Data!B2308,5)</f>
        <v>98.772829999999999</v>
      </c>
      <c r="C2309">
        <f>+ROUND(Get_Data!C2308,5)</f>
        <v>37.062600000000003</v>
      </c>
      <c r="D2309" s="4">
        <f t="shared" si="37"/>
        <v>2.6650270083588303</v>
      </c>
    </row>
    <row r="2310" spans="1:4">
      <c r="A2310" s="2">
        <f>+Get_Data!A2309</f>
        <v>42795</v>
      </c>
      <c r="B2310">
        <f>+ROUND(Get_Data!B2309,5)</f>
        <v>98.865639999999999</v>
      </c>
      <c r="C2310">
        <f>+ROUND(Get_Data!C2309,5)</f>
        <v>37.239249999999998</v>
      </c>
      <c r="D2310" s="4">
        <f t="shared" si="37"/>
        <v>2.6548773135871429</v>
      </c>
    </row>
    <row r="2311" spans="1:4">
      <c r="A2311" s="2">
        <f>+Get_Data!A2310</f>
        <v>42796</v>
      </c>
      <c r="B2311">
        <f>+ROUND(Get_Data!B2310,5)</f>
        <v>99.208020000000005</v>
      </c>
      <c r="C2311">
        <f>+ROUND(Get_Data!C2310,5)</f>
        <v>37.513080000000002</v>
      </c>
      <c r="D2311" s="4">
        <f t="shared" si="37"/>
        <v>2.6446247548854958</v>
      </c>
    </row>
    <row r="2312" spans="1:4">
      <c r="A2312" s="2">
        <f>+Get_Data!A2311</f>
        <v>42797</v>
      </c>
      <c r="B2312">
        <f>+ROUND(Get_Data!B2311,5)</f>
        <v>99.61345</v>
      </c>
      <c r="C2312">
        <f>+ROUND(Get_Data!C2311,5)</f>
        <v>37.521909999999998</v>
      </c>
      <c r="D2312" s="4">
        <f t="shared" si="37"/>
        <v>2.6548075511081395</v>
      </c>
    </row>
    <row r="2313" spans="1:4">
      <c r="A2313" s="2">
        <f>+Get_Data!A2312</f>
        <v>42800</v>
      </c>
      <c r="B2313">
        <f>+ROUND(Get_Data!B2312,5)</f>
        <v>98.775540000000007</v>
      </c>
      <c r="C2313">
        <f>+ROUND(Get_Data!C2312,5)</f>
        <v>37.256920000000001</v>
      </c>
      <c r="D2313" s="4">
        <f t="shared" si="37"/>
        <v>2.6511998307965339</v>
      </c>
    </row>
    <row r="2314" spans="1:4">
      <c r="A2314" s="2">
        <f>+Get_Data!A2313</f>
        <v>42801</v>
      </c>
      <c r="B2314">
        <f>+ROUND(Get_Data!B2313,5)</f>
        <v>98.496229999999997</v>
      </c>
      <c r="C2314">
        <f>+ROUND(Get_Data!C2313,5)</f>
        <v>37.089100000000002</v>
      </c>
      <c r="D2314" s="4">
        <f t="shared" si="37"/>
        <v>2.6556651415105783</v>
      </c>
    </row>
    <row r="2315" spans="1:4">
      <c r="A2315" s="2">
        <f>+Get_Data!A2314</f>
        <v>42802</v>
      </c>
      <c r="B2315">
        <f>+ROUND(Get_Data!B2314,5)</f>
        <v>98.478229999999996</v>
      </c>
      <c r="C2315">
        <f>+ROUND(Get_Data!C2314,5)</f>
        <v>37.089100000000002</v>
      </c>
      <c r="D2315" s="4">
        <f t="shared" si="37"/>
        <v>2.6551798237217938</v>
      </c>
    </row>
    <row r="2316" spans="1:4">
      <c r="A2316" s="2">
        <f>+Get_Data!A2315</f>
        <v>42803</v>
      </c>
      <c r="B2316">
        <f>+ROUND(Get_Data!B2315,5)</f>
        <v>98.225939999999994</v>
      </c>
      <c r="C2316">
        <f>+ROUND(Get_Data!C2315,5)</f>
        <v>37.124420000000001</v>
      </c>
      <c r="D2316" s="4">
        <f t="shared" si="37"/>
        <v>2.6458579016183954</v>
      </c>
    </row>
    <row r="2317" spans="1:4">
      <c r="A2317" s="2">
        <f>+Get_Data!A2316</f>
        <v>42804</v>
      </c>
      <c r="B2317">
        <f>+ROUND(Get_Data!B2316,5)</f>
        <v>98.739490000000004</v>
      </c>
      <c r="C2317">
        <f>+ROUND(Get_Data!C2316,5)</f>
        <v>37.354089999999999</v>
      </c>
      <c r="D2317" s="4">
        <f t="shared" si="37"/>
        <v>2.6433381190654091</v>
      </c>
    </row>
    <row r="2318" spans="1:4">
      <c r="A2318" s="2">
        <f>+Get_Data!A2317</f>
        <v>42807</v>
      </c>
      <c r="B2318">
        <f>+ROUND(Get_Data!B2317,5)</f>
        <v>98.57732</v>
      </c>
      <c r="C2318">
        <f>+ROUND(Get_Data!C2317,5)</f>
        <v>37.452100000000002</v>
      </c>
      <c r="D2318" s="4">
        <f t="shared" si="37"/>
        <v>2.6320905903807796</v>
      </c>
    </row>
    <row r="2319" spans="1:4">
      <c r="A2319" s="2">
        <f>+Get_Data!A2318</f>
        <v>42808</v>
      </c>
      <c r="B2319">
        <f>+ROUND(Get_Data!B2318,5)</f>
        <v>98.514250000000004</v>
      </c>
      <c r="C2319">
        <f>+ROUND(Get_Data!C2318,5)</f>
        <v>37.39864</v>
      </c>
      <c r="D2319" s="4">
        <f t="shared" si="37"/>
        <v>2.6341666434929185</v>
      </c>
    </row>
    <row r="2320" spans="1:4">
      <c r="A2320" s="2">
        <f>+Get_Data!A2319</f>
        <v>42809</v>
      </c>
      <c r="B2320">
        <f>+ROUND(Get_Data!B2319,5)</f>
        <v>100.10901</v>
      </c>
      <c r="C2320">
        <f>+ROUND(Get_Data!C2319,5)</f>
        <v>37.532299999999999</v>
      </c>
      <c r="D2320" s="4">
        <f t="shared" si="37"/>
        <v>2.6672761861116956</v>
      </c>
    </row>
    <row r="2321" spans="1:4">
      <c r="A2321" s="2">
        <f>+Get_Data!A2320</f>
        <v>42810</v>
      </c>
      <c r="B2321">
        <f>+ROUND(Get_Data!B2320,5)</f>
        <v>100.13603000000001</v>
      </c>
      <c r="C2321">
        <f>+ROUND(Get_Data!C2320,5)</f>
        <v>37.648130000000002</v>
      </c>
      <c r="D2321" s="4">
        <f t="shared" si="37"/>
        <v>2.6597876176054429</v>
      </c>
    </row>
    <row r="2322" spans="1:4">
      <c r="A2322" s="2">
        <f>+Get_Data!A2321</f>
        <v>42811</v>
      </c>
      <c r="B2322">
        <f>+ROUND(Get_Data!B2321,5)</f>
        <v>100.36127999999999</v>
      </c>
      <c r="C2322">
        <f>+ROUND(Get_Data!C2321,5)</f>
        <v>37.452100000000002</v>
      </c>
      <c r="D2322" s="4">
        <f t="shared" si="37"/>
        <v>2.6797237004066523</v>
      </c>
    </row>
    <row r="2323" spans="1:4">
      <c r="A2323" s="2">
        <f>+Get_Data!A2322</f>
        <v>42814</v>
      </c>
      <c r="B2323">
        <f>+ROUND(Get_Data!B2322,5)</f>
        <v>100.14503999999999</v>
      </c>
      <c r="C2323">
        <f>+ROUND(Get_Data!C2322,5)</f>
        <v>37.585760000000001</v>
      </c>
      <c r="D2323" s="4">
        <f t="shared" si="37"/>
        <v>2.6644410010599757</v>
      </c>
    </row>
    <row r="2324" spans="1:4">
      <c r="A2324" s="2">
        <f>+Get_Data!A2323</f>
        <v>42815</v>
      </c>
      <c r="B2324">
        <f>+ROUND(Get_Data!B2323,5)</f>
        <v>100.70365</v>
      </c>
      <c r="C2324">
        <f>+ROUND(Get_Data!C2323,5)</f>
        <v>37.870910000000002</v>
      </c>
      <c r="D2324" s="4">
        <f t="shared" si="37"/>
        <v>2.6591293950950741</v>
      </c>
    </row>
    <row r="2325" spans="1:4">
      <c r="A2325" s="2">
        <f>+Get_Data!A2324</f>
        <v>42816</v>
      </c>
      <c r="B2325">
        <f>+ROUND(Get_Data!B2324,5)</f>
        <v>100.92892000000001</v>
      </c>
      <c r="C2325">
        <f>+ROUND(Get_Data!C2324,5)</f>
        <v>37.763979999999997</v>
      </c>
      <c r="D2325" s="4">
        <f t="shared" si="37"/>
        <v>2.6726240189725767</v>
      </c>
    </row>
    <row r="2326" spans="1:4">
      <c r="A2326" s="2">
        <f>+Get_Data!A2325</f>
        <v>42817</v>
      </c>
      <c r="B2326">
        <f>+ROUND(Get_Data!B2325,5)</f>
        <v>100.71267</v>
      </c>
      <c r="C2326">
        <f>+ROUND(Get_Data!C2325,5)</f>
        <v>37.57685</v>
      </c>
      <c r="D2326" s="4">
        <f t="shared" si="37"/>
        <v>2.6801786206134897</v>
      </c>
    </row>
    <row r="2327" spans="1:4">
      <c r="A2327" s="2">
        <f>+Get_Data!A2326</f>
        <v>42818</v>
      </c>
      <c r="B2327">
        <f>+ROUND(Get_Data!B2326,5)</f>
        <v>101.01900000000001</v>
      </c>
      <c r="C2327">
        <f>+ROUND(Get_Data!C2326,5)</f>
        <v>37.532299999999999</v>
      </c>
      <c r="D2327" s="4">
        <f t="shared" si="37"/>
        <v>2.6915217026401264</v>
      </c>
    </row>
    <row r="2328" spans="1:4">
      <c r="A2328" s="2">
        <f>+Get_Data!A2327</f>
        <v>42821</v>
      </c>
      <c r="B2328">
        <f>+ROUND(Get_Data!B2327,5)</f>
        <v>100.75774</v>
      </c>
      <c r="C2328">
        <f>+ROUND(Get_Data!C2327,5)</f>
        <v>37.710509999999999</v>
      </c>
      <c r="D2328" s="4">
        <f t="shared" si="37"/>
        <v>2.6718742334696612</v>
      </c>
    </row>
    <row r="2329" spans="1:4">
      <c r="A2329" s="2">
        <f>+Get_Data!A2328</f>
        <v>42822</v>
      </c>
      <c r="B2329">
        <f>+ROUND(Get_Data!B2328,5)</f>
        <v>101.31632999999999</v>
      </c>
      <c r="C2329">
        <f>+ROUND(Get_Data!C2328,5)</f>
        <v>37.808529999999998</v>
      </c>
      <c r="D2329" s="4">
        <f t="shared" si="37"/>
        <v>2.6797214808404348</v>
      </c>
    </row>
    <row r="2330" spans="1:4">
      <c r="A2330" s="2">
        <f>+Get_Data!A2329</f>
        <v>42823</v>
      </c>
      <c r="B2330">
        <f>+ROUND(Get_Data!B2329,5)</f>
        <v>101.29832</v>
      </c>
      <c r="C2330">
        <f>+ROUND(Get_Data!C2329,5)</f>
        <v>37.799619999999997</v>
      </c>
      <c r="D2330" s="4">
        <f t="shared" si="37"/>
        <v>2.6798766760089126</v>
      </c>
    </row>
    <row r="2331" spans="1:4">
      <c r="A2331" s="2">
        <f>+Get_Data!A2330</f>
        <v>42824</v>
      </c>
      <c r="B2331">
        <f>+ROUND(Get_Data!B2330,5)</f>
        <v>101.07306</v>
      </c>
      <c r="C2331">
        <f>+ROUND(Get_Data!C2330,5)</f>
        <v>37.960009999999997</v>
      </c>
      <c r="D2331" s="4">
        <f t="shared" si="37"/>
        <v>2.6626194250212265</v>
      </c>
    </row>
    <row r="2332" spans="1:4">
      <c r="A2332" s="2">
        <f>+Get_Data!A2331</f>
        <v>42825</v>
      </c>
      <c r="B2332">
        <f>+ROUND(Get_Data!B2331,5)</f>
        <v>100.78474</v>
      </c>
      <c r="C2332">
        <f>+ROUND(Get_Data!C2331,5)</f>
        <v>37.817439999999998</v>
      </c>
      <c r="D2332" s="4">
        <f t="shared" si="37"/>
        <v>2.6650333814240206</v>
      </c>
    </row>
    <row r="2333" spans="1:4">
      <c r="A2333" s="2">
        <f>+Get_Data!A2332</f>
        <v>42828</v>
      </c>
      <c r="B2333">
        <f>+ROUND(Get_Data!B2332,5)</f>
        <v>100.78474</v>
      </c>
      <c r="C2333">
        <f>+ROUND(Get_Data!C2332,5)</f>
        <v>37.790709999999997</v>
      </c>
      <c r="D2333" s="4">
        <f t="shared" si="37"/>
        <v>2.6669184040204592</v>
      </c>
    </row>
    <row r="2334" spans="1:4">
      <c r="A2334" s="2">
        <f>+Get_Data!A2333</f>
        <v>42829</v>
      </c>
      <c r="B2334">
        <f>+ROUND(Get_Data!B2333,5)</f>
        <v>100.98296000000001</v>
      </c>
      <c r="C2334">
        <f>+ROUND(Get_Data!C2333,5)</f>
        <v>38.031300000000002</v>
      </c>
      <c r="D2334" s="4">
        <f t="shared" si="37"/>
        <v>2.6552592206945334</v>
      </c>
    </row>
    <row r="2335" spans="1:4">
      <c r="A2335" s="2">
        <f>+Get_Data!A2334</f>
        <v>42830</v>
      </c>
      <c r="B2335">
        <f>+ROUND(Get_Data!B2334,5)</f>
        <v>100.85683</v>
      </c>
      <c r="C2335">
        <f>+ROUND(Get_Data!C2334,5)</f>
        <v>37.933280000000003</v>
      </c>
      <c r="D2335" s="4">
        <f t="shared" si="37"/>
        <v>2.6587953902219894</v>
      </c>
    </row>
    <row r="2336" spans="1:4">
      <c r="A2336" s="2">
        <f>+Get_Data!A2335</f>
        <v>42831</v>
      </c>
      <c r="B2336">
        <f>+ROUND(Get_Data!B2335,5)</f>
        <v>100.53248000000001</v>
      </c>
      <c r="C2336">
        <f>+ROUND(Get_Data!C2335,5)</f>
        <v>38.022399999999998</v>
      </c>
      <c r="D2336" s="4">
        <f t="shared" si="37"/>
        <v>2.6440329910789431</v>
      </c>
    </row>
    <row r="2337" spans="1:4">
      <c r="A2337" s="2">
        <f>+Get_Data!A2336</f>
        <v>42832</v>
      </c>
      <c r="B2337">
        <f>+ROUND(Get_Data!B2336,5)</f>
        <v>100.5595</v>
      </c>
      <c r="C2337">
        <f>+ROUND(Get_Data!C2336,5)</f>
        <v>37.96893</v>
      </c>
      <c r="D2337" s="4">
        <f t="shared" si="37"/>
        <v>2.648468102735579</v>
      </c>
    </row>
    <row r="2338" spans="1:4">
      <c r="A2338" s="2">
        <f>+Get_Data!A2337</f>
        <v>42835</v>
      </c>
      <c r="B2338">
        <f>+ROUND(Get_Data!B2337,5)</f>
        <v>100.92892000000001</v>
      </c>
      <c r="C2338">
        <f>+ROUND(Get_Data!C2337,5)</f>
        <v>38.040210000000002</v>
      </c>
      <c r="D2338" s="4">
        <f t="shared" si="37"/>
        <v>2.6532166883411001</v>
      </c>
    </row>
    <row r="2339" spans="1:4">
      <c r="A2339" s="2">
        <f>+Get_Data!A2338</f>
        <v>42836</v>
      </c>
      <c r="B2339">
        <f>+ROUND(Get_Data!B2338,5)</f>
        <v>100.66763</v>
      </c>
      <c r="C2339">
        <f>+ROUND(Get_Data!C2338,5)</f>
        <v>38.013480000000001</v>
      </c>
      <c r="D2339" s="4">
        <f t="shared" si="37"/>
        <v>2.6482087406888293</v>
      </c>
    </row>
    <row r="2340" spans="1:4">
      <c r="A2340" s="2">
        <f>+Get_Data!A2339</f>
        <v>42837</v>
      </c>
      <c r="B2340">
        <f>+ROUND(Get_Data!B2339,5)</f>
        <v>102.36147</v>
      </c>
      <c r="C2340">
        <f>+ROUND(Get_Data!C2339,5)</f>
        <v>38.262970000000003</v>
      </c>
      <c r="D2340" s="4">
        <f t="shared" si="37"/>
        <v>2.6752097393380594</v>
      </c>
    </row>
    <row r="2341" spans="1:4">
      <c r="A2341" s="2">
        <f>+Get_Data!A2340</f>
        <v>42838</v>
      </c>
      <c r="B2341">
        <f>+ROUND(Get_Data!B2340,5)</f>
        <v>101.52356</v>
      </c>
      <c r="C2341">
        <f>+ROUND(Get_Data!C2340,5)</f>
        <v>38.129309999999997</v>
      </c>
      <c r="D2341" s="4">
        <f t="shared" si="37"/>
        <v>2.662612043071328</v>
      </c>
    </row>
    <row r="2342" spans="1:4">
      <c r="A2342" s="2">
        <f>+Get_Data!A2341</f>
        <v>42842</v>
      </c>
      <c r="B2342">
        <f>+ROUND(Get_Data!B2341,5)</f>
        <v>102.1002</v>
      </c>
      <c r="C2342">
        <f>+ROUND(Get_Data!C2341,5)</f>
        <v>38.378819999999997</v>
      </c>
      <c r="D2342" s="4">
        <f t="shared" si="37"/>
        <v>2.6603267114517855</v>
      </c>
    </row>
    <row r="2343" spans="1:4">
      <c r="A2343" s="2">
        <f>+Get_Data!A2342</f>
        <v>42843</v>
      </c>
      <c r="B2343">
        <f>+ROUND(Get_Data!B2342,5)</f>
        <v>102.96514000000001</v>
      </c>
      <c r="C2343">
        <f>+ROUND(Get_Data!C2342,5)</f>
        <v>38.744160000000001</v>
      </c>
      <c r="D2343" s="4">
        <f t="shared" si="37"/>
        <v>2.6575654240535864</v>
      </c>
    </row>
    <row r="2344" spans="1:4">
      <c r="A2344" s="2">
        <f>+Get_Data!A2343</f>
        <v>42844</v>
      </c>
      <c r="B2344">
        <f>+ROUND(Get_Data!B2343,5)</f>
        <v>102.37049</v>
      </c>
      <c r="C2344">
        <f>+ROUND(Get_Data!C2343,5)</f>
        <v>38.521389999999997</v>
      </c>
      <c r="D2344" s="4">
        <f t="shared" si="37"/>
        <v>2.6574973021482355</v>
      </c>
    </row>
    <row r="2345" spans="1:4">
      <c r="A2345" s="2">
        <f>+Get_Data!A2344</f>
        <v>42845</v>
      </c>
      <c r="B2345">
        <f>+ROUND(Get_Data!B2344,5)</f>
        <v>102.34347</v>
      </c>
      <c r="C2345">
        <f>+ROUND(Get_Data!C2344,5)</f>
        <v>38.396659999999997</v>
      </c>
      <c r="D2345" s="4">
        <f t="shared" si="37"/>
        <v>2.665426367814284</v>
      </c>
    </row>
    <row r="2346" spans="1:4">
      <c r="A2346" s="2">
        <f>+Get_Data!A2345</f>
        <v>42846</v>
      </c>
      <c r="B2346">
        <f>+ROUND(Get_Data!B2345,5)</f>
        <v>102.19932</v>
      </c>
      <c r="C2346">
        <f>+ROUND(Get_Data!C2345,5)</f>
        <v>38.378819999999997</v>
      </c>
      <c r="D2346" s="4">
        <f t="shared" si="37"/>
        <v>2.6629093859581929</v>
      </c>
    </row>
    <row r="2347" spans="1:4">
      <c r="A2347" s="2">
        <f>+Get_Data!A2346</f>
        <v>42849</v>
      </c>
      <c r="B2347">
        <f>+ROUND(Get_Data!B2346,5)</f>
        <v>103.00118000000001</v>
      </c>
      <c r="C2347">
        <f>+ROUND(Get_Data!C2346,5)</f>
        <v>38.565950000000001</v>
      </c>
      <c r="D2347" s="4">
        <f t="shared" si="37"/>
        <v>2.6707803126851535</v>
      </c>
    </row>
    <row r="2348" spans="1:4">
      <c r="A2348" s="2">
        <f>+Get_Data!A2347</f>
        <v>42850</v>
      </c>
      <c r="B2348">
        <f>+ROUND(Get_Data!B2347,5)</f>
        <v>102.85704</v>
      </c>
      <c r="C2348">
        <f>+ROUND(Get_Data!C2347,5)</f>
        <v>38.414470000000001</v>
      </c>
      <c r="D2348" s="4">
        <f t="shared" si="37"/>
        <v>2.6775597841126011</v>
      </c>
    </row>
    <row r="2349" spans="1:4">
      <c r="A2349" s="2">
        <f>+Get_Data!A2348</f>
        <v>42851</v>
      </c>
      <c r="B2349">
        <f>+ROUND(Get_Data!B2348,5)</f>
        <v>102.1092</v>
      </c>
      <c r="C2349">
        <f>+ROUND(Get_Data!C2348,5)</f>
        <v>38.53031</v>
      </c>
      <c r="D2349" s="4">
        <f t="shared" si="37"/>
        <v>2.650100661012071</v>
      </c>
    </row>
    <row r="2350" spans="1:4">
      <c r="A2350" s="2">
        <f>+Get_Data!A2349</f>
        <v>42852</v>
      </c>
      <c r="B2350">
        <f>+ROUND(Get_Data!B2349,5)</f>
        <v>101.48754</v>
      </c>
      <c r="C2350">
        <f>+ROUND(Get_Data!C2349,5)</f>
        <v>38.325360000000003</v>
      </c>
      <c r="D2350" s="4">
        <f t="shared" si="37"/>
        <v>2.6480518382606189</v>
      </c>
    </row>
    <row r="2351" spans="1:4">
      <c r="A2351" s="2">
        <f>+Get_Data!A2350</f>
        <v>42853</v>
      </c>
      <c r="B2351">
        <f>+ROUND(Get_Data!B2350,5)</f>
        <v>102.06415</v>
      </c>
      <c r="C2351">
        <f>+ROUND(Get_Data!C2350,5)</f>
        <v>38.450110000000002</v>
      </c>
      <c r="D2351" s="4">
        <f t="shared" si="37"/>
        <v>2.6544566452475689</v>
      </c>
    </row>
    <row r="2352" spans="1:4">
      <c r="A2352" s="2">
        <f>+Get_Data!A2351</f>
        <v>42856</v>
      </c>
      <c r="B2352">
        <f>+ROUND(Get_Data!B2351,5)</f>
        <v>101.16316</v>
      </c>
      <c r="C2352">
        <f>+ROUND(Get_Data!C2351,5)</f>
        <v>38.512479999999996</v>
      </c>
      <c r="D2352" s="4">
        <f t="shared" si="37"/>
        <v>2.6267630648558602</v>
      </c>
    </row>
    <row r="2353" spans="1:4">
      <c r="A2353" s="2">
        <f>+Get_Data!A2352</f>
        <v>42857</v>
      </c>
      <c r="B2353">
        <f>+ROUND(Get_Data!B2352,5)</f>
        <v>101.17218</v>
      </c>
      <c r="C2353">
        <f>+ROUND(Get_Data!C2352,5)</f>
        <v>38.663969999999999</v>
      </c>
      <c r="D2353" s="4">
        <f t="shared" si="37"/>
        <v>2.616704389125069</v>
      </c>
    </row>
    <row r="2354" spans="1:4">
      <c r="A2354" s="2">
        <f>+Get_Data!A2353</f>
        <v>42858</v>
      </c>
      <c r="B2354">
        <f>+ROUND(Get_Data!B2353,5)</f>
        <v>100.72169</v>
      </c>
      <c r="C2354">
        <f>+ROUND(Get_Data!C2353,5)</f>
        <v>38.601590000000002</v>
      </c>
      <c r="D2354" s="4">
        <f t="shared" si="37"/>
        <v>2.6092627272607163</v>
      </c>
    </row>
    <row r="2355" spans="1:4">
      <c r="A2355" s="2">
        <f>+Get_Data!A2354</f>
        <v>42859</v>
      </c>
      <c r="B2355">
        <f>+ROUND(Get_Data!B2354,5)</f>
        <v>101.77583</v>
      </c>
      <c r="C2355">
        <f>+ROUND(Get_Data!C2354,5)</f>
        <v>38.904559999999996</v>
      </c>
      <c r="D2355" s="4">
        <f t="shared" si="37"/>
        <v>2.6160385826237338</v>
      </c>
    </row>
    <row r="2356" spans="1:4">
      <c r="A2356" s="2">
        <f>+Get_Data!A2355</f>
        <v>42860</v>
      </c>
      <c r="B2356">
        <f>+ROUND(Get_Data!B2355,5)</f>
        <v>102.01009000000001</v>
      </c>
      <c r="C2356">
        <f>+ROUND(Get_Data!C2355,5)</f>
        <v>38.931289999999997</v>
      </c>
      <c r="D2356" s="4">
        <f t="shared" si="37"/>
        <v>2.620259693423979</v>
      </c>
    </row>
    <row r="2357" spans="1:4">
      <c r="A2357" s="2">
        <f>+Get_Data!A2356</f>
        <v>42863</v>
      </c>
      <c r="B2357">
        <f>+ROUND(Get_Data!B2356,5)</f>
        <v>102.01009000000001</v>
      </c>
      <c r="C2357">
        <f>+ROUND(Get_Data!C2356,5)</f>
        <v>39.109499999999997</v>
      </c>
      <c r="D2357" s="4">
        <f t="shared" si="37"/>
        <v>2.6083199734079958</v>
      </c>
    </row>
    <row r="2358" spans="1:4">
      <c r="A2358" s="2">
        <f>+Get_Data!A2357</f>
        <v>42864</v>
      </c>
      <c r="B2358">
        <f>+ROUND(Get_Data!B2357,5)</f>
        <v>101.55961000000001</v>
      </c>
      <c r="C2358">
        <f>+ROUND(Get_Data!C2357,5)</f>
        <v>38.770890000000001</v>
      </c>
      <c r="D2358" s="4">
        <f t="shared" si="37"/>
        <v>2.6194810075291026</v>
      </c>
    </row>
    <row r="2359" spans="1:4">
      <c r="A2359" s="2">
        <f>+Get_Data!A2358</f>
        <v>42865</v>
      </c>
      <c r="B2359">
        <f>+ROUND(Get_Data!B2358,5)</f>
        <v>101.6677</v>
      </c>
      <c r="C2359">
        <f>+ROUND(Get_Data!C2358,5)</f>
        <v>38.824370000000002</v>
      </c>
      <c r="D2359" s="4">
        <f t="shared" si="37"/>
        <v>2.618656786961385</v>
      </c>
    </row>
    <row r="2360" spans="1:4">
      <c r="A2360" s="2">
        <f>+Get_Data!A2359</f>
        <v>42866</v>
      </c>
      <c r="B2360">
        <f>+ROUND(Get_Data!B2359,5)</f>
        <v>101.84792</v>
      </c>
      <c r="C2360">
        <f>+ROUND(Get_Data!C2359,5)</f>
        <v>38.913460000000001</v>
      </c>
      <c r="D2360" s="4">
        <f t="shared" si="37"/>
        <v>2.6172928338934653</v>
      </c>
    </row>
    <row r="2361" spans="1:4">
      <c r="A2361" s="2">
        <f>+Get_Data!A2360</f>
        <v>42867</v>
      </c>
      <c r="B2361">
        <f>+ROUND(Get_Data!B2360,5)</f>
        <v>101.73079</v>
      </c>
      <c r="C2361">
        <f>+ROUND(Get_Data!C2360,5)</f>
        <v>38.842190000000002</v>
      </c>
      <c r="D2361" s="4">
        <f t="shared" si="37"/>
        <v>2.6190796656934121</v>
      </c>
    </row>
    <row r="2362" spans="1:4">
      <c r="A2362" s="2">
        <f>+Get_Data!A2361</f>
        <v>42870</v>
      </c>
      <c r="B2362">
        <f>+ROUND(Get_Data!B2361,5)</f>
        <v>102.65881</v>
      </c>
      <c r="C2362">
        <f>+ROUND(Get_Data!C2361,5)</f>
        <v>38.966929999999998</v>
      </c>
      <c r="D2362" s="4">
        <f t="shared" si="37"/>
        <v>2.6345111098051608</v>
      </c>
    </row>
    <row r="2363" spans="1:4">
      <c r="A2363" s="2">
        <f>+Get_Data!A2362</f>
        <v>42871</v>
      </c>
      <c r="B2363">
        <f>+ROUND(Get_Data!B2362,5)</f>
        <v>102.52366000000001</v>
      </c>
      <c r="C2363">
        <f>+ROUND(Get_Data!C2362,5)</f>
        <v>39.073869999999999</v>
      </c>
      <c r="D2363" s="4">
        <f t="shared" si="37"/>
        <v>2.6238419690703791</v>
      </c>
    </row>
    <row r="2364" spans="1:4">
      <c r="A2364" s="2">
        <f>+Get_Data!A2363</f>
        <v>42872</v>
      </c>
      <c r="B2364">
        <f>+ROUND(Get_Data!B2363,5)</f>
        <v>102.4786</v>
      </c>
      <c r="C2364">
        <f>+ROUND(Get_Data!C2363,5)</f>
        <v>39.145150000000001</v>
      </c>
      <c r="D2364" s="4">
        <f t="shared" si="37"/>
        <v>2.6179130747998154</v>
      </c>
    </row>
    <row r="2365" spans="1:4">
      <c r="A2365" s="2">
        <f>+Get_Data!A2364</f>
        <v>42873</v>
      </c>
      <c r="B2365">
        <f>+ROUND(Get_Data!B2364,5)</f>
        <v>102.73990000000001</v>
      </c>
      <c r="C2365">
        <f>+ROUND(Get_Data!C2364,5)</f>
        <v>39.029310000000002</v>
      </c>
      <c r="D2365" s="4">
        <f t="shared" si="37"/>
        <v>2.6323780768863196</v>
      </c>
    </row>
    <row r="2366" spans="1:4">
      <c r="A2366" s="2">
        <f>+Get_Data!A2365</f>
        <v>42874</v>
      </c>
      <c r="B2366">
        <f>+ROUND(Get_Data!B2365,5)</f>
        <v>102.43356</v>
      </c>
      <c r="C2366">
        <f>+ROUND(Get_Data!C2365,5)</f>
        <v>39.11842</v>
      </c>
      <c r="D2366" s="4">
        <f t="shared" si="37"/>
        <v>2.6185505447305899</v>
      </c>
    </row>
    <row r="2367" spans="1:4">
      <c r="A2367" s="2">
        <f>+Get_Data!A2366</f>
        <v>42877</v>
      </c>
      <c r="B2367">
        <f>+ROUND(Get_Data!B2366,5)</f>
        <v>103.34354999999999</v>
      </c>
      <c r="C2367">
        <f>+ROUND(Get_Data!C2366,5)</f>
        <v>39.367919999999998</v>
      </c>
      <c r="D2367" s="4">
        <f t="shared" si="37"/>
        <v>2.6250701078441532</v>
      </c>
    </row>
    <row r="2368" spans="1:4">
      <c r="A2368" s="2">
        <f>+Get_Data!A2367</f>
        <v>42878</v>
      </c>
      <c r="B2368">
        <f>+ROUND(Get_Data!B2367,5)</f>
        <v>103.6589</v>
      </c>
      <c r="C2368">
        <f>+ROUND(Get_Data!C2367,5)</f>
        <v>39.555050000000001</v>
      </c>
      <c r="D2368" s="4">
        <f t="shared" si="37"/>
        <v>2.6206236624653489</v>
      </c>
    </row>
    <row r="2369" spans="1:4">
      <c r="A2369" s="2">
        <f>+Get_Data!A2368</f>
        <v>42879</v>
      </c>
      <c r="B2369">
        <f>+ROUND(Get_Data!B2368,5)</f>
        <v>104.56891</v>
      </c>
      <c r="C2369">
        <f>+ROUND(Get_Data!C2368,5)</f>
        <v>40.125329999999998</v>
      </c>
      <c r="D2369" s="4">
        <f t="shared" si="37"/>
        <v>2.6060573208992923</v>
      </c>
    </row>
    <row r="2370" spans="1:4">
      <c r="A2370" s="2">
        <f>+Get_Data!A2369</f>
        <v>42880</v>
      </c>
      <c r="B2370">
        <f>+ROUND(Get_Data!B2369,5)</f>
        <v>105.89336</v>
      </c>
      <c r="C2370">
        <f>+ROUND(Get_Data!C2369,5)</f>
        <v>40.463949999999997</v>
      </c>
      <c r="D2370" s="4">
        <f t="shared" si="37"/>
        <v>2.6169802997482945</v>
      </c>
    </row>
    <row r="2371" spans="1:4">
      <c r="A2371" s="2">
        <f>+Get_Data!A2370</f>
        <v>42881</v>
      </c>
      <c r="B2371">
        <f>+ROUND(Get_Data!B2370,5)</f>
        <v>106.23573</v>
      </c>
      <c r="C2371">
        <f>+ROUND(Get_Data!C2370,5)</f>
        <v>40.446129999999997</v>
      </c>
      <c r="D2371" s="4">
        <f t="shared" si="37"/>
        <v>2.6265981442476698</v>
      </c>
    </row>
    <row r="2372" spans="1:4">
      <c r="A2372" s="2">
        <f>+Get_Data!A2371</f>
        <v>42885</v>
      </c>
      <c r="B2372">
        <f>+ROUND(Get_Data!B2371,5)</f>
        <v>106.32584</v>
      </c>
      <c r="C2372">
        <f>+ROUND(Get_Data!C2371,5)</f>
        <v>40.481780000000001</v>
      </c>
      <c r="D2372" s="4">
        <f t="shared" ref="D2372:D2435" si="38">IFERROR(B2372/C2372,"")</f>
        <v>2.6265109884002138</v>
      </c>
    </row>
    <row r="2373" spans="1:4">
      <c r="A2373" s="2">
        <f>+Get_Data!A2372</f>
        <v>42886</v>
      </c>
      <c r="B2373">
        <f>+ROUND(Get_Data!B2372,5)</f>
        <v>106.02193</v>
      </c>
      <c r="C2373">
        <f>+ROUND(Get_Data!C2372,5)</f>
        <v>40.517409999999998</v>
      </c>
      <c r="D2373" s="4">
        <f t="shared" si="38"/>
        <v>2.6167005739014413</v>
      </c>
    </row>
    <row r="2374" spans="1:4">
      <c r="A2374" s="2">
        <f>+Get_Data!A2373</f>
        <v>42887</v>
      </c>
      <c r="B2374">
        <f>+ROUND(Get_Data!B2373,5)</f>
        <v>106.34851999999999</v>
      </c>
      <c r="C2374">
        <f>+ROUND(Get_Data!C2373,5)</f>
        <v>40.80256</v>
      </c>
      <c r="D2374" s="4">
        <f t="shared" si="38"/>
        <v>2.6064178326065814</v>
      </c>
    </row>
    <row r="2375" spans="1:4">
      <c r="A2375" s="2">
        <f>+Get_Data!A2374</f>
        <v>42888</v>
      </c>
      <c r="B2375">
        <f>+ROUND(Get_Data!B2374,5)</f>
        <v>106.74767</v>
      </c>
      <c r="C2375">
        <f>+ROUND(Get_Data!C2374,5)</f>
        <v>40.891669999999998</v>
      </c>
      <c r="D2375" s="4">
        <f t="shared" si="38"/>
        <v>2.6104991554514649</v>
      </c>
    </row>
    <row r="2376" spans="1:4">
      <c r="A2376" s="2">
        <f>+Get_Data!A2375</f>
        <v>42891</v>
      </c>
      <c r="B2376">
        <f>+ROUND(Get_Data!B2375,5)</f>
        <v>106.93817</v>
      </c>
      <c r="C2376">
        <f>+ROUND(Get_Data!C2375,5)</f>
        <v>40.980780000000003</v>
      </c>
      <c r="D2376" s="4">
        <f t="shared" si="38"/>
        <v>2.609471318017861</v>
      </c>
    </row>
    <row r="2377" spans="1:4">
      <c r="A2377" s="2">
        <f>+Get_Data!A2376</f>
        <v>42892</v>
      </c>
      <c r="B2377">
        <f>+ROUND(Get_Data!B2376,5)</f>
        <v>106.77489</v>
      </c>
      <c r="C2377">
        <f>+ROUND(Get_Data!C2376,5)</f>
        <v>40.97186</v>
      </c>
      <c r="D2377" s="4">
        <f t="shared" si="38"/>
        <v>2.6060542528457336</v>
      </c>
    </row>
    <row r="2378" spans="1:4">
      <c r="A2378" s="2">
        <f>+Get_Data!A2377</f>
        <v>42893</v>
      </c>
      <c r="B2378">
        <f>+ROUND(Get_Data!B2377,5)</f>
        <v>106.18523</v>
      </c>
      <c r="C2378">
        <f>+ROUND(Get_Data!C2377,5)</f>
        <v>40.553060000000002</v>
      </c>
      <c r="D2378" s="4">
        <f t="shared" si="38"/>
        <v>2.6184270681423301</v>
      </c>
    </row>
    <row r="2379" spans="1:4">
      <c r="A2379" s="2">
        <f>+Get_Data!A2378</f>
        <v>42894</v>
      </c>
      <c r="B2379">
        <f>+ROUND(Get_Data!B2378,5)</f>
        <v>105.13290000000001</v>
      </c>
      <c r="C2379">
        <f>+ROUND(Get_Data!C2378,5)</f>
        <v>40.214440000000003</v>
      </c>
      <c r="D2379" s="4">
        <f t="shared" si="38"/>
        <v>2.6143071991055948</v>
      </c>
    </row>
    <row r="2380" spans="1:4">
      <c r="A2380" s="2">
        <f>+Get_Data!A2379</f>
        <v>42895</v>
      </c>
      <c r="B2380">
        <f>+ROUND(Get_Data!B2379,5)</f>
        <v>105.17825999999999</v>
      </c>
      <c r="C2380">
        <f>+ROUND(Get_Data!C2379,5)</f>
        <v>40.383760000000002</v>
      </c>
      <c r="D2380" s="4">
        <f t="shared" si="38"/>
        <v>2.6044692222814319</v>
      </c>
    </row>
    <row r="2381" spans="1:4">
      <c r="A2381" s="2">
        <f>+Get_Data!A2380</f>
        <v>42898</v>
      </c>
      <c r="B2381">
        <f>+ROUND(Get_Data!B2380,5)</f>
        <v>105.44135</v>
      </c>
      <c r="C2381">
        <f>+ROUND(Get_Data!C2380,5)</f>
        <v>40.392670000000003</v>
      </c>
      <c r="D2381" s="4">
        <f t="shared" si="38"/>
        <v>2.6104080270009384</v>
      </c>
    </row>
    <row r="2382" spans="1:4">
      <c r="A2382" s="2">
        <f>+Get_Data!A2381</f>
        <v>42899</v>
      </c>
      <c r="B2382">
        <f>+ROUND(Get_Data!B2381,5)</f>
        <v>105.52298</v>
      </c>
      <c r="C2382">
        <f>+ROUND(Get_Data!C2381,5)</f>
        <v>40.455550000000002</v>
      </c>
      <c r="D2382" s="4">
        <f t="shared" si="38"/>
        <v>2.6083684438847081</v>
      </c>
    </row>
    <row r="2383" spans="1:4">
      <c r="A2383" s="2">
        <f>+Get_Data!A2382</f>
        <v>42900</v>
      </c>
      <c r="B2383">
        <f>+ROUND(Get_Data!B2382,5)</f>
        <v>106.47553000000001</v>
      </c>
      <c r="C2383">
        <f>+ROUND(Get_Data!C2382,5)</f>
        <v>40.698120000000003</v>
      </c>
      <c r="D2383" s="4">
        <f t="shared" si="38"/>
        <v>2.6162272360492329</v>
      </c>
    </row>
    <row r="2384" spans="1:4">
      <c r="A2384" s="2">
        <f>+Get_Data!A2383</f>
        <v>42901</v>
      </c>
      <c r="B2384">
        <f>+ROUND(Get_Data!B2383,5)</f>
        <v>106.33037</v>
      </c>
      <c r="C2384">
        <f>+ROUND(Get_Data!C2383,5)</f>
        <v>40.653210000000001</v>
      </c>
      <c r="D2384" s="4">
        <f t="shared" si="38"/>
        <v>2.615546718205032</v>
      </c>
    </row>
    <row r="2385" spans="1:4">
      <c r="A2385" s="2">
        <f>+Get_Data!A2384</f>
        <v>42902</v>
      </c>
      <c r="B2385">
        <f>+ROUND(Get_Data!B2384,5)</f>
        <v>106.01287000000001</v>
      </c>
      <c r="C2385">
        <f>+ROUND(Get_Data!C2384,5)</f>
        <v>40.70711</v>
      </c>
      <c r="D2385" s="4">
        <f t="shared" si="38"/>
        <v>2.6042838708029139</v>
      </c>
    </row>
    <row r="2386" spans="1:4">
      <c r="A2386" s="2">
        <f>+Get_Data!A2385</f>
        <v>42905</v>
      </c>
      <c r="B2386">
        <f>+ROUND(Get_Data!B2385,5)</f>
        <v>106.40293</v>
      </c>
      <c r="C2386">
        <f>+ROUND(Get_Data!C2385,5)</f>
        <v>40.770000000000003</v>
      </c>
      <c r="D2386" s="4">
        <f t="shared" si="38"/>
        <v>2.6098339465293106</v>
      </c>
    </row>
    <row r="2387" spans="1:4">
      <c r="A2387" s="2">
        <f>+Get_Data!A2386</f>
        <v>42906</v>
      </c>
      <c r="B2387">
        <f>+ROUND(Get_Data!B2386,5)</f>
        <v>107.00167999999999</v>
      </c>
      <c r="C2387">
        <f>+ROUND(Get_Data!C2386,5)</f>
        <v>40.97663</v>
      </c>
      <c r="D2387" s="4">
        <f t="shared" si="38"/>
        <v>2.6112855059090996</v>
      </c>
    </row>
    <row r="2388" spans="1:4">
      <c r="A2388" s="2">
        <f>+Get_Data!A2387</f>
        <v>42907</v>
      </c>
      <c r="B2388">
        <f>+ROUND(Get_Data!B2387,5)</f>
        <v>106.52087</v>
      </c>
      <c r="C2388">
        <f>+ROUND(Get_Data!C2387,5)</f>
        <v>40.626260000000002</v>
      </c>
      <c r="D2388" s="4">
        <f t="shared" si="38"/>
        <v>2.6219708631806125</v>
      </c>
    </row>
    <row r="2389" spans="1:4">
      <c r="A2389" s="2">
        <f>+Get_Data!A2388</f>
        <v>42908</v>
      </c>
      <c r="B2389">
        <f>+ROUND(Get_Data!B2388,5)</f>
        <v>105.36877</v>
      </c>
      <c r="C2389">
        <f>+ROUND(Get_Data!C2388,5)</f>
        <v>40.491489999999999</v>
      </c>
      <c r="D2389" s="4">
        <f t="shared" si="38"/>
        <v>2.6022448173677977</v>
      </c>
    </row>
    <row r="2390" spans="1:4">
      <c r="A2390" s="2">
        <f>+Get_Data!A2389</f>
        <v>42909</v>
      </c>
      <c r="B2390">
        <f>+ROUND(Get_Data!B2389,5)</f>
        <v>106.10357999999999</v>
      </c>
      <c r="C2390">
        <f>+ROUND(Get_Data!C2389,5)</f>
        <v>40.653210000000001</v>
      </c>
      <c r="D2390" s="4">
        <f t="shared" si="38"/>
        <v>2.6099680689421572</v>
      </c>
    </row>
    <row r="2391" spans="1:4">
      <c r="A2391" s="2">
        <f>+Get_Data!A2390</f>
        <v>42912</v>
      </c>
      <c r="B2391">
        <f>+ROUND(Get_Data!B2390,5)</f>
        <v>106.24872000000001</v>
      </c>
      <c r="C2391">
        <f>+ROUND(Get_Data!C2390,5)</f>
        <v>40.814920000000001</v>
      </c>
      <c r="D2391" s="4">
        <f t="shared" si="38"/>
        <v>2.6031833456980928</v>
      </c>
    </row>
    <row r="2392" spans="1:4">
      <c r="A2392" s="2">
        <f>+Get_Data!A2391</f>
        <v>42913</v>
      </c>
      <c r="B2392">
        <f>+ROUND(Get_Data!B2391,5)</f>
        <v>105.17825999999999</v>
      </c>
      <c r="C2392">
        <f>+ROUND(Get_Data!C2391,5)</f>
        <v>40.473520000000001</v>
      </c>
      <c r="D2392" s="4">
        <f t="shared" si="38"/>
        <v>2.5986931702505736</v>
      </c>
    </row>
    <row r="2393" spans="1:4">
      <c r="A2393" s="2">
        <f>+Get_Data!A2392</f>
        <v>42914</v>
      </c>
      <c r="B2393">
        <f>+ROUND(Get_Data!B2392,5)</f>
        <v>105.57741</v>
      </c>
      <c r="C2393">
        <f>+ROUND(Get_Data!C2392,5)</f>
        <v>40.716090000000001</v>
      </c>
      <c r="D2393" s="4">
        <f t="shared" si="38"/>
        <v>2.5930144569382767</v>
      </c>
    </row>
    <row r="2394" spans="1:4">
      <c r="A2394" s="2">
        <f>+Get_Data!A2393</f>
        <v>42915</v>
      </c>
      <c r="B2394">
        <f>+ROUND(Get_Data!B2393,5)</f>
        <v>104.48878999999999</v>
      </c>
      <c r="C2394">
        <f>+ROUND(Get_Data!C2393,5)</f>
        <v>40.275869999999998</v>
      </c>
      <c r="D2394" s="4">
        <f t="shared" si="38"/>
        <v>2.5943273230348591</v>
      </c>
    </row>
    <row r="2395" spans="1:4">
      <c r="A2395" s="2">
        <f>+Get_Data!A2394</f>
        <v>42916</v>
      </c>
      <c r="B2395">
        <f>+ROUND(Get_Data!B2394,5)</f>
        <v>104.77002</v>
      </c>
      <c r="C2395">
        <f>+ROUND(Get_Data!C2394,5)</f>
        <v>40.29383</v>
      </c>
      <c r="D2395" s="4">
        <f t="shared" si="38"/>
        <v>2.6001504448695991</v>
      </c>
    </row>
    <row r="2396" spans="1:4">
      <c r="A2396" s="2">
        <f>+Get_Data!A2395</f>
        <v>42919</v>
      </c>
      <c r="B2396">
        <f>+ROUND(Get_Data!B2395,5)</f>
        <v>104.72466</v>
      </c>
      <c r="C2396">
        <f>+ROUND(Get_Data!C2395,5)</f>
        <v>40.212980000000002</v>
      </c>
      <c r="D2396" s="4">
        <f t="shared" si="38"/>
        <v>2.6042501699699945</v>
      </c>
    </row>
    <row r="2397" spans="1:4">
      <c r="A2397" s="2">
        <f>+Get_Data!A2396</f>
        <v>42921</v>
      </c>
      <c r="B2397">
        <f>+ROUND(Get_Data!B2396,5)</f>
        <v>104.59766</v>
      </c>
      <c r="C2397">
        <f>+ROUND(Get_Data!C2396,5)</f>
        <v>40.2669</v>
      </c>
      <c r="D2397" s="4">
        <f t="shared" si="38"/>
        <v>2.5976089542527485</v>
      </c>
    </row>
    <row r="2398" spans="1:4">
      <c r="A2398" s="2">
        <f>+Get_Data!A2397</f>
        <v>42922</v>
      </c>
      <c r="B2398">
        <f>+ROUND(Get_Data!B2397,5)</f>
        <v>104.44344</v>
      </c>
      <c r="C2398">
        <f>+ROUND(Get_Data!C2397,5)</f>
        <v>39.88955</v>
      </c>
      <c r="D2398" s="4">
        <f t="shared" si="38"/>
        <v>2.6183158245705953</v>
      </c>
    </row>
    <row r="2399" spans="1:4">
      <c r="A2399" s="2">
        <f>+Get_Data!A2398</f>
        <v>42923</v>
      </c>
      <c r="B2399">
        <f>+ROUND(Get_Data!B2398,5)</f>
        <v>104.78818</v>
      </c>
      <c r="C2399">
        <f>+ROUND(Get_Data!C2398,5)</f>
        <v>39.880580000000002</v>
      </c>
      <c r="D2399" s="4">
        <f t="shared" si="38"/>
        <v>2.6275490476818542</v>
      </c>
    </row>
    <row r="2400" spans="1:4">
      <c r="A2400" s="2">
        <f>+Get_Data!A2399</f>
        <v>42926</v>
      </c>
      <c r="B2400">
        <f>+ROUND(Get_Data!B2399,5)</f>
        <v>103.66328</v>
      </c>
      <c r="C2400">
        <f>+ROUND(Get_Data!C2399,5)</f>
        <v>39.871589999999998</v>
      </c>
      <c r="D2400" s="4">
        <f t="shared" si="38"/>
        <v>2.5999284202109822</v>
      </c>
    </row>
    <row r="2401" spans="1:4">
      <c r="A2401" s="2">
        <f>+Get_Data!A2400</f>
        <v>42927</v>
      </c>
      <c r="B2401">
        <f>+ROUND(Get_Data!B2400,5)</f>
        <v>103.18246000000001</v>
      </c>
      <c r="C2401">
        <f>+ROUND(Get_Data!C2400,5)</f>
        <v>39.82667</v>
      </c>
      <c r="D2401" s="4">
        <f t="shared" si="38"/>
        <v>2.5907880322407073</v>
      </c>
    </row>
    <row r="2402" spans="1:4">
      <c r="A2402" s="2">
        <f>+Get_Data!A2401</f>
        <v>42928</v>
      </c>
      <c r="B2402">
        <f>+ROUND(Get_Data!B2401,5)</f>
        <v>104.11684</v>
      </c>
      <c r="C2402">
        <f>+ROUND(Get_Data!C2401,5)</f>
        <v>39.988370000000003</v>
      </c>
      <c r="D2402" s="4">
        <f t="shared" si="38"/>
        <v>2.6036780193841356</v>
      </c>
    </row>
    <row r="2403" spans="1:4">
      <c r="A2403" s="2">
        <f>+Get_Data!A2402</f>
        <v>42929</v>
      </c>
      <c r="B2403">
        <f>+ROUND(Get_Data!B2402,5)</f>
        <v>103.43647</v>
      </c>
      <c r="C2403">
        <f>+ROUND(Get_Data!C2402,5)</f>
        <v>39.916510000000002</v>
      </c>
      <c r="D2403" s="4">
        <f t="shared" si="38"/>
        <v>2.59132048367956</v>
      </c>
    </row>
    <row r="2404" spans="1:4">
      <c r="A2404" s="2">
        <f>+Get_Data!A2403</f>
        <v>42930</v>
      </c>
      <c r="B2404">
        <f>+ROUND(Get_Data!B2403,5)</f>
        <v>104.26201</v>
      </c>
      <c r="C2404">
        <f>+ROUND(Get_Data!C2403,5)</f>
        <v>40.141109999999998</v>
      </c>
      <c r="D2404" s="4">
        <f t="shared" si="38"/>
        <v>2.5973873168928314</v>
      </c>
    </row>
    <row r="2405" spans="1:4">
      <c r="A2405" s="2">
        <f>+Get_Data!A2404</f>
        <v>42933</v>
      </c>
      <c r="B2405">
        <f>+ROUND(Get_Data!B2404,5)</f>
        <v>104.26201</v>
      </c>
      <c r="C2405">
        <f>+ROUND(Get_Data!C2404,5)</f>
        <v>40.186030000000002</v>
      </c>
      <c r="D2405" s="4">
        <f t="shared" si="38"/>
        <v>2.5944839537520874</v>
      </c>
    </row>
    <row r="2406" spans="1:4">
      <c r="A2406" s="2">
        <f>+Get_Data!A2405</f>
        <v>42934</v>
      </c>
      <c r="B2406">
        <f>+ROUND(Get_Data!B2405,5)</f>
        <v>104.33459000000001</v>
      </c>
      <c r="C2406">
        <f>+ROUND(Get_Data!C2405,5)</f>
        <v>40.132129999999997</v>
      </c>
      <c r="D2406" s="4">
        <f t="shared" si="38"/>
        <v>2.5997770365041681</v>
      </c>
    </row>
    <row r="2407" spans="1:4">
      <c r="A2407" s="2">
        <f>+Get_Data!A2406</f>
        <v>42935</v>
      </c>
      <c r="B2407">
        <f>+ROUND(Get_Data!B2406,5)</f>
        <v>104.63394</v>
      </c>
      <c r="C2407">
        <f>+ROUND(Get_Data!C2406,5)</f>
        <v>40.275869999999998</v>
      </c>
      <c r="D2407" s="4">
        <f t="shared" si="38"/>
        <v>2.5979312178731333</v>
      </c>
    </row>
    <row r="2408" spans="1:4">
      <c r="A2408" s="2">
        <f>+Get_Data!A2407</f>
        <v>42936</v>
      </c>
      <c r="B2408">
        <f>+ROUND(Get_Data!B2407,5)</f>
        <v>104.78818</v>
      </c>
      <c r="C2408">
        <f>+ROUND(Get_Data!C2407,5)</f>
        <v>40.2669</v>
      </c>
      <c r="D2408" s="4">
        <f t="shared" si="38"/>
        <v>2.6023403837891665</v>
      </c>
    </row>
    <row r="2409" spans="1:4">
      <c r="A2409" s="2">
        <f>+Get_Data!A2408</f>
        <v>42937</v>
      </c>
      <c r="B2409">
        <f>+ROUND(Get_Data!B2408,5)</f>
        <v>105.80421</v>
      </c>
      <c r="C2409">
        <f>+ROUND(Get_Data!C2408,5)</f>
        <v>40.455550000000002</v>
      </c>
      <c r="D2409" s="4">
        <f t="shared" si="38"/>
        <v>2.6153200240758063</v>
      </c>
    </row>
    <row r="2410" spans="1:4">
      <c r="A2410" s="2">
        <f>+Get_Data!A2409</f>
        <v>42940</v>
      </c>
      <c r="B2410">
        <f>+ROUND(Get_Data!B2409,5)</f>
        <v>105.35062000000001</v>
      </c>
      <c r="C2410">
        <f>+ROUND(Get_Data!C2409,5)</f>
        <v>40.284849999999999</v>
      </c>
      <c r="D2410" s="4">
        <f t="shared" si="38"/>
        <v>2.615142417062494</v>
      </c>
    </row>
    <row r="2411" spans="1:4">
      <c r="A2411" s="2">
        <f>+Get_Data!A2410</f>
        <v>42941</v>
      </c>
      <c r="B2411">
        <f>+ROUND(Get_Data!B2410,5)</f>
        <v>105.64091999999999</v>
      </c>
      <c r="C2411">
        <f>+ROUND(Get_Data!C2410,5)</f>
        <v>40.644219999999997</v>
      </c>
      <c r="D2411" s="4">
        <f t="shared" si="38"/>
        <v>2.5991621932958733</v>
      </c>
    </row>
    <row r="2412" spans="1:4">
      <c r="A2412" s="2">
        <f>+Get_Data!A2411</f>
        <v>42942</v>
      </c>
      <c r="B2412">
        <f>+ROUND(Get_Data!B2411,5)</f>
        <v>106.31223</v>
      </c>
      <c r="C2412">
        <f>+ROUND(Get_Data!C2411,5)</f>
        <v>41.093429999999998</v>
      </c>
      <c r="D2412" s="4">
        <f t="shared" si="38"/>
        <v>2.5870858188279735</v>
      </c>
    </row>
    <row r="2413" spans="1:4">
      <c r="A2413" s="2">
        <f>+Get_Data!A2412</f>
        <v>42943</v>
      </c>
      <c r="B2413">
        <f>+ROUND(Get_Data!B2412,5)</f>
        <v>106.44829</v>
      </c>
      <c r="C2413">
        <f>+ROUND(Get_Data!C2412,5)</f>
        <v>41.434820000000002</v>
      </c>
      <c r="D2413" s="4">
        <f t="shared" si="38"/>
        <v>2.569053998545185</v>
      </c>
    </row>
    <row r="2414" spans="1:4">
      <c r="A2414" s="2">
        <f>+Get_Data!A2413</f>
        <v>42944</v>
      </c>
      <c r="B2414">
        <f>+ROUND(Get_Data!B2413,5)</f>
        <v>105.78606000000001</v>
      </c>
      <c r="C2414">
        <f>+ROUND(Get_Data!C2413,5)</f>
        <v>41.335990000000002</v>
      </c>
      <c r="D2414" s="4">
        <f t="shared" si="38"/>
        <v>2.5591756723378345</v>
      </c>
    </row>
    <row r="2415" spans="1:4">
      <c r="A2415" s="2">
        <f>+Get_Data!A2414</f>
        <v>42947</v>
      </c>
      <c r="B2415">
        <f>+ROUND(Get_Data!B2414,5)</f>
        <v>105.78606000000001</v>
      </c>
      <c r="C2415">
        <f>+ROUND(Get_Data!C2414,5)</f>
        <v>41.18327</v>
      </c>
      <c r="D2415" s="4">
        <f t="shared" si="38"/>
        <v>2.5686658684460948</v>
      </c>
    </row>
    <row r="2416" spans="1:4">
      <c r="A2416" s="2">
        <f>+Get_Data!A2415</f>
        <v>42948</v>
      </c>
      <c r="B2416">
        <f>+ROUND(Get_Data!B2415,5)</f>
        <v>105.16011</v>
      </c>
      <c r="C2416">
        <f>+ROUND(Get_Data!C2415,5)</f>
        <v>41.057490000000001</v>
      </c>
      <c r="D2416" s="4">
        <f t="shared" si="38"/>
        <v>2.5612893043388674</v>
      </c>
    </row>
    <row r="2417" spans="1:4">
      <c r="A2417" s="2">
        <f>+Get_Data!A2416</f>
        <v>42949</v>
      </c>
      <c r="B2417">
        <f>+ROUND(Get_Data!B2416,5)</f>
        <v>104.87889</v>
      </c>
      <c r="C2417">
        <f>+ROUND(Get_Data!C2416,5)</f>
        <v>40.958669999999998</v>
      </c>
      <c r="D2417" s="4">
        <f t="shared" si="38"/>
        <v>2.5606029199678604</v>
      </c>
    </row>
    <row r="2418" spans="1:4">
      <c r="A2418" s="2">
        <f>+Get_Data!A2417</f>
        <v>42950</v>
      </c>
      <c r="B2418">
        <f>+ROUND(Get_Data!B2417,5)</f>
        <v>105.50485</v>
      </c>
      <c r="C2418">
        <f>+ROUND(Get_Data!C2417,5)</f>
        <v>41.030540000000002</v>
      </c>
      <c r="D2418" s="4">
        <f t="shared" si="38"/>
        <v>2.5713736645922767</v>
      </c>
    </row>
    <row r="2419" spans="1:4">
      <c r="A2419" s="2">
        <f>+Get_Data!A2418</f>
        <v>42951</v>
      </c>
      <c r="B2419">
        <f>+ROUND(Get_Data!B2418,5)</f>
        <v>105.56834000000001</v>
      </c>
      <c r="C2419">
        <f>+ROUND(Get_Data!C2418,5)</f>
        <v>40.877809999999997</v>
      </c>
      <c r="D2419" s="4">
        <f t="shared" si="38"/>
        <v>2.582534142606955</v>
      </c>
    </row>
    <row r="2420" spans="1:4">
      <c r="A2420" s="2">
        <f>+Get_Data!A2419</f>
        <v>42954</v>
      </c>
      <c r="B2420">
        <f>+ROUND(Get_Data!B2419,5)</f>
        <v>106.10357999999999</v>
      </c>
      <c r="C2420">
        <f>+ROUND(Get_Data!C2419,5)</f>
        <v>41.003590000000003</v>
      </c>
      <c r="D2420" s="4">
        <f t="shared" si="38"/>
        <v>2.5876656165960101</v>
      </c>
    </row>
    <row r="2421" spans="1:4">
      <c r="A2421" s="2">
        <f>+Get_Data!A2420</f>
        <v>42955</v>
      </c>
      <c r="B2421">
        <f>+ROUND(Get_Data!B2420,5)</f>
        <v>105.87679</v>
      </c>
      <c r="C2421">
        <f>+ROUND(Get_Data!C2420,5)</f>
        <v>40.967649999999999</v>
      </c>
      <c r="D2421" s="4">
        <f t="shared" si="38"/>
        <v>2.5843998862517132</v>
      </c>
    </row>
    <row r="2422" spans="1:4">
      <c r="A2422" s="2">
        <f>+Get_Data!A2421</f>
        <v>42956</v>
      </c>
      <c r="B2422">
        <f>+ROUND(Get_Data!B2421,5)</f>
        <v>105.80421</v>
      </c>
      <c r="C2422">
        <f>+ROUND(Get_Data!C2421,5)</f>
        <v>40.958669999999998</v>
      </c>
      <c r="D2422" s="4">
        <f t="shared" si="38"/>
        <v>2.5831944738439994</v>
      </c>
    </row>
    <row r="2423" spans="1:4">
      <c r="A2423" s="2">
        <f>+Get_Data!A2422</f>
        <v>42957</v>
      </c>
      <c r="B2423">
        <f>+ROUND(Get_Data!B2422,5)</f>
        <v>105.57741</v>
      </c>
      <c r="C2423">
        <f>+ROUND(Get_Data!C2422,5)</f>
        <v>41.093429999999998</v>
      </c>
      <c r="D2423" s="4">
        <f t="shared" si="38"/>
        <v>2.5692041282511586</v>
      </c>
    </row>
    <row r="2424" spans="1:4">
      <c r="A2424" s="2">
        <f>+Get_Data!A2423</f>
        <v>42958</v>
      </c>
      <c r="B2424">
        <f>+ROUND(Get_Data!B2423,5)</f>
        <v>105.69534</v>
      </c>
      <c r="C2424">
        <f>+ROUND(Get_Data!C2423,5)</f>
        <v>40.958669999999998</v>
      </c>
      <c r="D2424" s="4">
        <f t="shared" si="38"/>
        <v>2.5805364285510248</v>
      </c>
    </row>
    <row r="2425" spans="1:4">
      <c r="A2425" s="2">
        <f>+Get_Data!A2424</f>
        <v>42961</v>
      </c>
      <c r="B2425">
        <f>+ROUND(Get_Data!B2424,5)</f>
        <v>106.90191</v>
      </c>
      <c r="C2425">
        <f>+ROUND(Get_Data!C2424,5)</f>
        <v>41.14734</v>
      </c>
      <c r="D2425" s="4">
        <f t="shared" si="38"/>
        <v>2.5980272357824346</v>
      </c>
    </row>
    <row r="2426" spans="1:4">
      <c r="A2426" s="2">
        <f>+Get_Data!A2425</f>
        <v>42962</v>
      </c>
      <c r="B2426">
        <f>+ROUND(Get_Data!B2425,5)</f>
        <v>107.92700000000001</v>
      </c>
      <c r="C2426">
        <f>+ROUND(Get_Data!C2425,5)</f>
        <v>41.497709999999998</v>
      </c>
      <c r="D2426" s="4">
        <f t="shared" si="38"/>
        <v>2.600794116109058</v>
      </c>
    </row>
    <row r="2427" spans="1:4">
      <c r="A2427" s="2">
        <f>+Get_Data!A2426</f>
        <v>42963</v>
      </c>
      <c r="B2427">
        <f>+ROUND(Get_Data!B2426,5)</f>
        <v>108.04494</v>
      </c>
      <c r="C2427">
        <f>+ROUND(Get_Data!C2426,5)</f>
        <v>41.506700000000002</v>
      </c>
      <c r="D2427" s="4">
        <f t="shared" si="38"/>
        <v>2.6030722750784809</v>
      </c>
    </row>
    <row r="2428" spans="1:4">
      <c r="A2428" s="2">
        <f>+Get_Data!A2427</f>
        <v>42964</v>
      </c>
      <c r="B2428">
        <f>+ROUND(Get_Data!B2427,5)</f>
        <v>107.40085000000001</v>
      </c>
      <c r="C2428">
        <f>+ROUND(Get_Data!C2427,5)</f>
        <v>41.201239999999999</v>
      </c>
      <c r="D2428" s="4">
        <f t="shared" si="38"/>
        <v>2.6067382923426581</v>
      </c>
    </row>
    <row r="2429" spans="1:4">
      <c r="A2429" s="2">
        <f>+Get_Data!A2428</f>
        <v>42965</v>
      </c>
      <c r="B2429">
        <f>+ROUND(Get_Data!B2428,5)</f>
        <v>106.68416000000001</v>
      </c>
      <c r="C2429">
        <f>+ROUND(Get_Data!C2428,5)</f>
        <v>41.030540000000002</v>
      </c>
      <c r="D2429" s="4">
        <f t="shared" si="38"/>
        <v>2.6001159136584602</v>
      </c>
    </row>
    <row r="2430" spans="1:4">
      <c r="A2430" s="2">
        <f>+Get_Data!A2429</f>
        <v>42968</v>
      </c>
      <c r="B2430">
        <f>+ROUND(Get_Data!B2429,5)</f>
        <v>107.28291</v>
      </c>
      <c r="C2430">
        <f>+ROUND(Get_Data!C2429,5)</f>
        <v>41.039520000000003</v>
      </c>
      <c r="D2430" s="4">
        <f t="shared" si="38"/>
        <v>2.6141365688487581</v>
      </c>
    </row>
    <row r="2431" spans="1:4">
      <c r="A2431" s="2">
        <f>+Get_Data!A2430</f>
        <v>42969</v>
      </c>
      <c r="B2431">
        <f>+ROUND(Get_Data!B2430,5)</f>
        <v>106.97448</v>
      </c>
      <c r="C2431">
        <f>+ROUND(Get_Data!C2430,5)</f>
        <v>40.967649999999999</v>
      </c>
      <c r="D2431" s="4">
        <f t="shared" si="38"/>
        <v>2.6111939542541496</v>
      </c>
    </row>
    <row r="2432" spans="1:4">
      <c r="A2432" s="2">
        <f>+Get_Data!A2431</f>
        <v>42970</v>
      </c>
      <c r="B2432">
        <f>+ROUND(Get_Data!B2431,5)</f>
        <v>106.40293</v>
      </c>
      <c r="C2432">
        <f>+ROUND(Get_Data!C2431,5)</f>
        <v>40.91375</v>
      </c>
      <c r="D2432" s="4">
        <f t="shared" si="38"/>
        <v>2.6006643243408387</v>
      </c>
    </row>
    <row r="2433" spans="1:4">
      <c r="A2433" s="2">
        <f>+Get_Data!A2432</f>
        <v>42971</v>
      </c>
      <c r="B2433">
        <f>+ROUND(Get_Data!B2432,5)</f>
        <v>105.43227</v>
      </c>
      <c r="C2433">
        <f>+ROUND(Get_Data!C2432,5)</f>
        <v>40.796959999999999</v>
      </c>
      <c r="D2433" s="4">
        <f t="shared" si="38"/>
        <v>2.5843168216455346</v>
      </c>
    </row>
    <row r="2434" spans="1:4">
      <c r="A2434" s="2">
        <f>+Get_Data!A2433</f>
        <v>42972</v>
      </c>
      <c r="B2434">
        <f>+ROUND(Get_Data!B2433,5)</f>
        <v>105.09662</v>
      </c>
      <c r="C2434">
        <f>+ROUND(Get_Data!C2433,5)</f>
        <v>40.9407</v>
      </c>
      <c r="D2434" s="4">
        <f t="shared" si="38"/>
        <v>2.5670450187710521</v>
      </c>
    </row>
    <row r="2435" spans="1:4">
      <c r="A2435" s="2">
        <f>+Get_Data!A2434</f>
        <v>42975</v>
      </c>
      <c r="B2435">
        <f>+ROUND(Get_Data!B2434,5)</f>
        <v>104.81538999999999</v>
      </c>
      <c r="C2435">
        <f>+ROUND(Get_Data!C2434,5)</f>
        <v>40.805929999999996</v>
      </c>
      <c r="D2435" s="4">
        <f t="shared" si="38"/>
        <v>2.5686313239276743</v>
      </c>
    </row>
    <row r="2436" spans="1:4">
      <c r="A2436" s="2">
        <f>+Get_Data!A2435</f>
        <v>42976</v>
      </c>
      <c r="B2436">
        <f>+ROUND(Get_Data!B2435,5)</f>
        <v>105.08754</v>
      </c>
      <c r="C2436">
        <f>+ROUND(Get_Data!C2435,5)</f>
        <v>40.832889999999999</v>
      </c>
      <c r="D2436" s="4">
        <f t="shared" ref="D2436:D2499" si="39">IFERROR(B2436/C2436,"")</f>
        <v>2.5736003501099236</v>
      </c>
    </row>
    <row r="2437" spans="1:4">
      <c r="A2437" s="2">
        <f>+Get_Data!A2436</f>
        <v>42977</v>
      </c>
      <c r="B2437">
        <f>+ROUND(Get_Data!B2436,5)</f>
        <v>105.19259</v>
      </c>
      <c r="C2437">
        <f>+ROUND(Get_Data!C2436,5)</f>
        <v>40.778979999999997</v>
      </c>
      <c r="D2437" s="4">
        <f t="shared" si="39"/>
        <v>2.5795787437547482</v>
      </c>
    </row>
    <row r="2438" spans="1:4">
      <c r="A2438" s="2">
        <f>+Get_Data!A2437</f>
        <v>42978</v>
      </c>
      <c r="B2438">
        <f>+ROUND(Get_Data!B2437,5)</f>
        <v>105.72243</v>
      </c>
      <c r="C2438">
        <f>+ROUND(Get_Data!C2437,5)</f>
        <v>40.922730000000001</v>
      </c>
      <c r="D2438" s="4">
        <f t="shared" si="39"/>
        <v>2.5834647395225097</v>
      </c>
    </row>
    <row r="2439" spans="1:4">
      <c r="A2439" s="2">
        <f>+Get_Data!A2438</f>
        <v>42979</v>
      </c>
      <c r="B2439">
        <f>+ROUND(Get_Data!B2438,5)</f>
        <v>105.82292</v>
      </c>
      <c r="C2439">
        <f>+ROUND(Get_Data!C2438,5)</f>
        <v>41.129370000000002</v>
      </c>
      <c r="D2439" s="4">
        <f t="shared" si="39"/>
        <v>2.5729282991691824</v>
      </c>
    </row>
    <row r="2440" spans="1:4">
      <c r="A2440" s="2">
        <f>+Get_Data!A2439</f>
        <v>42983</v>
      </c>
      <c r="B2440">
        <f>+ROUND(Get_Data!B2439,5)</f>
        <v>105.85033</v>
      </c>
      <c r="C2440">
        <f>+ROUND(Get_Data!C2439,5)</f>
        <v>41.255139999999997</v>
      </c>
      <c r="D2440" s="4">
        <f t="shared" si="39"/>
        <v>2.5657488981978975</v>
      </c>
    </row>
    <row r="2441" spans="1:4">
      <c r="A2441" s="2">
        <f>+Get_Data!A2440</f>
        <v>42984</v>
      </c>
      <c r="B2441">
        <f>+ROUND(Get_Data!B2440,5)</f>
        <v>106.28883</v>
      </c>
      <c r="C2441">
        <f>+ROUND(Get_Data!C2440,5)</f>
        <v>41.291080000000001</v>
      </c>
      <c r="D2441" s="4">
        <f t="shared" si="39"/>
        <v>2.5741353822665816</v>
      </c>
    </row>
    <row r="2442" spans="1:4">
      <c r="A2442" s="2">
        <f>+Get_Data!A2441</f>
        <v>42985</v>
      </c>
      <c r="B2442">
        <f>+ROUND(Get_Data!B2441,5)</f>
        <v>106.87349</v>
      </c>
      <c r="C2442">
        <f>+ROUND(Get_Data!C2441,5)</f>
        <v>41.578569999999999</v>
      </c>
      <c r="D2442" s="4">
        <f t="shared" si="39"/>
        <v>2.5703984047551423</v>
      </c>
    </row>
    <row r="2443" spans="1:4">
      <c r="A2443" s="2">
        <f>+Get_Data!A2442</f>
        <v>42986</v>
      </c>
      <c r="B2443">
        <f>+ROUND(Get_Data!B2442,5)</f>
        <v>105.09211000000001</v>
      </c>
      <c r="C2443">
        <f>+ROUND(Get_Data!C2442,5)</f>
        <v>41.596530000000001</v>
      </c>
      <c r="D2443" s="4">
        <f t="shared" si="39"/>
        <v>2.5264633852871863</v>
      </c>
    </row>
    <row r="2444" spans="1:4">
      <c r="A2444" s="2">
        <f>+Get_Data!A2443</f>
        <v>42989</v>
      </c>
      <c r="B2444">
        <f>+ROUND(Get_Data!B2443,5)</f>
        <v>105.6859</v>
      </c>
      <c r="C2444">
        <f>+ROUND(Get_Data!C2443,5)</f>
        <v>41.79419</v>
      </c>
      <c r="D2444" s="4">
        <f t="shared" si="39"/>
        <v>2.5287222936968035</v>
      </c>
    </row>
    <row r="2445" spans="1:4">
      <c r="A2445" s="2">
        <f>+Get_Data!A2444</f>
        <v>42990</v>
      </c>
      <c r="B2445">
        <f>+ROUND(Get_Data!B2444,5)</f>
        <v>105.05556</v>
      </c>
      <c r="C2445">
        <f>+ROUND(Get_Data!C2444,5)</f>
        <v>41.973880000000001</v>
      </c>
      <c r="D2445" s="4">
        <f t="shared" si="39"/>
        <v>2.5028794097662641</v>
      </c>
    </row>
    <row r="2446" spans="1:4">
      <c r="A2446" s="2">
        <f>+Get_Data!A2445</f>
        <v>42991</v>
      </c>
      <c r="B2446">
        <f>+ROUND(Get_Data!B2445,5)</f>
        <v>104.55312000000001</v>
      </c>
      <c r="C2446">
        <f>+ROUND(Get_Data!C2445,5)</f>
        <v>42.108629999999998</v>
      </c>
      <c r="D2446" s="4">
        <f t="shared" si="39"/>
        <v>2.4829380580655322</v>
      </c>
    </row>
    <row r="2447" spans="1:4">
      <c r="A2447" s="2">
        <f>+Get_Data!A2446</f>
        <v>42992</v>
      </c>
      <c r="B2447">
        <f>+ROUND(Get_Data!B2446,5)</f>
        <v>104.31563</v>
      </c>
      <c r="C2447">
        <f>+ROUND(Get_Data!C2446,5)</f>
        <v>41.755459999999999</v>
      </c>
      <c r="D2447" s="4">
        <f t="shared" si="39"/>
        <v>2.4982512466633104</v>
      </c>
    </row>
    <row r="2448" spans="1:4">
      <c r="A2448" s="2">
        <f>+Get_Data!A2447</f>
        <v>42993</v>
      </c>
      <c r="B2448">
        <f>+ROUND(Get_Data!B2447,5)</f>
        <v>104.91853</v>
      </c>
      <c r="C2448">
        <f>+ROUND(Get_Data!C2447,5)</f>
        <v>41.818860000000001</v>
      </c>
      <c r="D2448" s="4">
        <f t="shared" si="39"/>
        <v>2.5088806820654606</v>
      </c>
    </row>
    <row r="2449" spans="1:4">
      <c r="A2449" s="2">
        <f>+Get_Data!A2448</f>
        <v>42996</v>
      </c>
      <c r="B2449">
        <f>+ROUND(Get_Data!B2448,5)</f>
        <v>105.04642</v>
      </c>
      <c r="C2449">
        <f>+ROUND(Get_Data!C2448,5)</f>
        <v>41.755459999999999</v>
      </c>
      <c r="D2449" s="4">
        <f t="shared" si="39"/>
        <v>2.5157529099188465</v>
      </c>
    </row>
    <row r="2450" spans="1:4">
      <c r="A2450" s="2">
        <f>+Get_Data!A2449</f>
        <v>42997</v>
      </c>
      <c r="B2450">
        <f>+ROUND(Get_Data!B2449,5)</f>
        <v>104.58965999999999</v>
      </c>
      <c r="C2450">
        <f>+ROUND(Get_Data!C2449,5)</f>
        <v>41.637740000000001</v>
      </c>
      <c r="D2450" s="4">
        <f t="shared" si="39"/>
        <v>2.5118956984697056</v>
      </c>
    </row>
    <row r="2451" spans="1:4">
      <c r="A2451" s="2">
        <f>+Get_Data!A2450</f>
        <v>42998</v>
      </c>
      <c r="B2451">
        <f>+ROUND(Get_Data!B2450,5)</f>
        <v>103.75837</v>
      </c>
      <c r="C2451">
        <f>+ROUND(Get_Data!C2450,5)</f>
        <v>41.456629999999997</v>
      </c>
      <c r="D2451" s="4">
        <f t="shared" si="39"/>
        <v>2.5028172815783627</v>
      </c>
    </row>
    <row r="2452" spans="1:4">
      <c r="A2452" s="2">
        <f>+Get_Data!A2451</f>
        <v>42999</v>
      </c>
      <c r="B2452">
        <f>+ROUND(Get_Data!B2451,5)</f>
        <v>103.04581</v>
      </c>
      <c r="C2452">
        <f>+ROUND(Get_Data!C2451,5)</f>
        <v>41.112520000000004</v>
      </c>
      <c r="D2452" s="4">
        <f t="shared" si="39"/>
        <v>2.5064338065387379</v>
      </c>
    </row>
    <row r="2453" spans="1:4">
      <c r="A2453" s="2">
        <f>+Get_Data!A2452</f>
        <v>43000</v>
      </c>
      <c r="B2453">
        <f>+ROUND(Get_Data!B2452,5)</f>
        <v>102.17796</v>
      </c>
      <c r="C2453">
        <f>+ROUND(Get_Data!C2452,5)</f>
        <v>41.194020000000002</v>
      </c>
      <c r="D2453" s="4">
        <f t="shared" si="39"/>
        <v>2.4804075931409462</v>
      </c>
    </row>
    <row r="2454" spans="1:4">
      <c r="A2454" s="2">
        <f>+Get_Data!A2453</f>
        <v>43003</v>
      </c>
      <c r="B2454">
        <f>+ROUND(Get_Data!B2453,5)</f>
        <v>102.26017</v>
      </c>
      <c r="C2454">
        <f>+ROUND(Get_Data!C2453,5)</f>
        <v>41.375129999999999</v>
      </c>
      <c r="D2454" s="4">
        <f t="shared" si="39"/>
        <v>2.4715371287050942</v>
      </c>
    </row>
    <row r="2455" spans="1:4">
      <c r="A2455" s="2">
        <f>+Get_Data!A2454</f>
        <v>43004</v>
      </c>
      <c r="B2455">
        <f>+ROUND(Get_Data!B2454,5)</f>
        <v>102.1414</v>
      </c>
      <c r="C2455">
        <f>+ROUND(Get_Data!C2454,5)</f>
        <v>41.266460000000002</v>
      </c>
      <c r="D2455" s="4">
        <f t="shared" si="39"/>
        <v>2.4751674846836873</v>
      </c>
    </row>
    <row r="2456" spans="1:4">
      <c r="A2456" s="2">
        <f>+Get_Data!A2455</f>
        <v>43005</v>
      </c>
      <c r="B2456">
        <f>+ROUND(Get_Data!B2455,5)</f>
        <v>101.49281000000001</v>
      </c>
      <c r="C2456">
        <f>+ROUND(Get_Data!C2455,5)</f>
        <v>40.424289999999999</v>
      </c>
      <c r="D2456" s="4">
        <f t="shared" si="39"/>
        <v>2.5106887467906054</v>
      </c>
    </row>
    <row r="2457" spans="1:4">
      <c r="A2457" s="2">
        <f>+Get_Data!A2456</f>
        <v>43006</v>
      </c>
      <c r="B2457">
        <f>+ROUND(Get_Data!B2456,5)</f>
        <v>101.98612</v>
      </c>
      <c r="C2457">
        <f>+ROUND(Get_Data!C2456,5)</f>
        <v>40.668790000000001</v>
      </c>
      <c r="D2457" s="4">
        <f t="shared" si="39"/>
        <v>2.507724473730347</v>
      </c>
    </row>
    <row r="2458" spans="1:4">
      <c r="A2458" s="2">
        <f>+Get_Data!A2457</f>
        <v>43007</v>
      </c>
      <c r="B2458">
        <f>+ROUND(Get_Data!B2457,5)</f>
        <v>101.79427</v>
      </c>
      <c r="C2458">
        <f>+ROUND(Get_Data!C2457,5)</f>
        <v>40.759349999999998</v>
      </c>
      <c r="D2458" s="4">
        <f t="shared" si="39"/>
        <v>2.497445862115073</v>
      </c>
    </row>
    <row r="2459" spans="1:4">
      <c r="A2459" s="2">
        <f>+Get_Data!A2458</f>
        <v>43010</v>
      </c>
      <c r="B2459">
        <f>+ROUND(Get_Data!B2458,5)</f>
        <v>99.684020000000004</v>
      </c>
      <c r="C2459">
        <f>+ROUND(Get_Data!C2458,5)</f>
        <v>40.569180000000003</v>
      </c>
      <c r="D2459" s="4">
        <f t="shared" si="39"/>
        <v>2.4571366737015636</v>
      </c>
    </row>
    <row r="2460" spans="1:4">
      <c r="A2460" s="2">
        <f>+Get_Data!A2459</f>
        <v>43011</v>
      </c>
      <c r="B2460">
        <f>+ROUND(Get_Data!B2459,5)</f>
        <v>99.693150000000003</v>
      </c>
      <c r="C2460">
        <f>+ROUND(Get_Data!C2459,5)</f>
        <v>40.922350000000002</v>
      </c>
      <c r="D2460" s="4">
        <f t="shared" si="39"/>
        <v>2.436154082060292</v>
      </c>
    </row>
    <row r="2461" spans="1:4">
      <c r="A2461" s="2">
        <f>+Get_Data!A2460</f>
        <v>43012</v>
      </c>
      <c r="B2461">
        <f>+ROUND(Get_Data!B2460,5)</f>
        <v>99.885009999999994</v>
      </c>
      <c r="C2461">
        <f>+ROUND(Get_Data!C2460,5)</f>
        <v>41.20308</v>
      </c>
      <c r="D2461" s="4">
        <f t="shared" si="39"/>
        <v>2.4242122190865341</v>
      </c>
    </row>
    <row r="2462" spans="1:4">
      <c r="A2462" s="2">
        <f>+Get_Data!A2461</f>
        <v>43013</v>
      </c>
      <c r="B2462">
        <f>+ROUND(Get_Data!B2461,5)</f>
        <v>100.899</v>
      </c>
      <c r="C2462">
        <f>+ROUND(Get_Data!C2461,5)</f>
        <v>41.221179999999997</v>
      </c>
      <c r="D2462" s="4">
        <f t="shared" si="39"/>
        <v>2.447746522540112</v>
      </c>
    </row>
    <row r="2463" spans="1:4">
      <c r="A2463" s="2">
        <f>+Get_Data!A2462</f>
        <v>43014</v>
      </c>
      <c r="B2463">
        <f>+ROUND(Get_Data!B2462,5)</f>
        <v>100.85334</v>
      </c>
      <c r="C2463">
        <f>+ROUND(Get_Data!C2462,5)</f>
        <v>41.194020000000002</v>
      </c>
      <c r="D2463" s="4">
        <f t="shared" si="39"/>
        <v>2.4482519550167718</v>
      </c>
    </row>
    <row r="2464" spans="1:4">
      <c r="A2464" s="2">
        <f>+Get_Data!A2463</f>
        <v>43017</v>
      </c>
      <c r="B2464">
        <f>+ROUND(Get_Data!B2463,5)</f>
        <v>100.49706</v>
      </c>
      <c r="C2464">
        <f>+ROUND(Get_Data!C2463,5)</f>
        <v>41.121569999999998</v>
      </c>
      <c r="D2464" s="4">
        <f t="shared" si="39"/>
        <v>2.4439013393700679</v>
      </c>
    </row>
    <row r="2465" spans="1:4">
      <c r="A2465" s="2">
        <f>+Get_Data!A2464</f>
        <v>43018</v>
      </c>
      <c r="B2465">
        <f>+ROUND(Get_Data!B2464,5)</f>
        <v>101.20049</v>
      </c>
      <c r="C2465">
        <f>+ROUND(Get_Data!C2464,5)</f>
        <v>41.538130000000002</v>
      </c>
      <c r="D2465" s="4">
        <f t="shared" si="39"/>
        <v>2.4363275380957208</v>
      </c>
    </row>
    <row r="2466" spans="1:4">
      <c r="A2466" s="2">
        <f>+Get_Data!A2465</f>
        <v>43019</v>
      </c>
      <c r="B2466">
        <f>+ROUND(Get_Data!B2465,5)</f>
        <v>101.86736000000001</v>
      </c>
      <c r="C2466">
        <f>+ROUND(Get_Data!C2465,5)</f>
        <v>41.746409999999997</v>
      </c>
      <c r="D2466" s="4">
        <f t="shared" si="39"/>
        <v>2.4401465898504808</v>
      </c>
    </row>
    <row r="2467" spans="1:4">
      <c r="A2467" s="2">
        <f>+Get_Data!A2466</f>
        <v>43020</v>
      </c>
      <c r="B2467">
        <f>+ROUND(Get_Data!B2466,5)</f>
        <v>102.72607000000001</v>
      </c>
      <c r="C2467">
        <f>+ROUND(Get_Data!C2466,5)</f>
        <v>41.755459999999999</v>
      </c>
      <c r="D2467" s="4">
        <f t="shared" si="39"/>
        <v>2.4601829317650914</v>
      </c>
    </row>
    <row r="2468" spans="1:4">
      <c r="A2468" s="2">
        <f>+Get_Data!A2467</f>
        <v>43021</v>
      </c>
      <c r="B2468">
        <f>+ROUND(Get_Data!B2467,5)</f>
        <v>102.88137</v>
      </c>
      <c r="C2468">
        <f>+ROUND(Get_Data!C2467,5)</f>
        <v>41.818860000000001</v>
      </c>
      <c r="D2468" s="4">
        <f t="shared" si="39"/>
        <v>2.4601667764257562</v>
      </c>
    </row>
    <row r="2469" spans="1:4">
      <c r="A2469" s="2">
        <f>+Get_Data!A2468</f>
        <v>43024</v>
      </c>
      <c r="B2469">
        <f>+ROUND(Get_Data!B2468,5)</f>
        <v>103.74921000000001</v>
      </c>
      <c r="C2469">
        <f>+ROUND(Get_Data!C2468,5)</f>
        <v>42.217300000000002</v>
      </c>
      <c r="D2469" s="4">
        <f t="shared" si="39"/>
        <v>2.4575046248812691</v>
      </c>
    </row>
    <row r="2470" spans="1:4">
      <c r="A2470" s="2">
        <f>+Get_Data!A2469</f>
        <v>43025</v>
      </c>
      <c r="B2470">
        <f>+ROUND(Get_Data!B2469,5)</f>
        <v>102.48856000000001</v>
      </c>
      <c r="C2470">
        <f>+ROUND(Get_Data!C2469,5)</f>
        <v>42.126739999999998</v>
      </c>
      <c r="D2470" s="4">
        <f t="shared" si="39"/>
        <v>2.4328623577328798</v>
      </c>
    </row>
    <row r="2471" spans="1:4">
      <c r="A2471" s="2">
        <f>+Get_Data!A2470</f>
        <v>43026</v>
      </c>
      <c r="B2471">
        <f>+ROUND(Get_Data!B2470,5)</f>
        <v>102.2693</v>
      </c>
      <c r="C2471">
        <f>+ROUND(Get_Data!C2470,5)</f>
        <v>42.018079999999998</v>
      </c>
      <c r="D2471" s="4">
        <f t="shared" si="39"/>
        <v>2.4339355820161228</v>
      </c>
    </row>
    <row r="2472" spans="1:4">
      <c r="A2472" s="2">
        <f>+Get_Data!A2471</f>
        <v>43027</v>
      </c>
      <c r="B2472">
        <f>+ROUND(Get_Data!B2471,5)</f>
        <v>102.92706</v>
      </c>
      <c r="C2472">
        <f>+ROUND(Get_Data!C2471,5)</f>
        <v>42.190130000000003</v>
      </c>
      <c r="D2472" s="4">
        <f t="shared" si="39"/>
        <v>2.4396004468343659</v>
      </c>
    </row>
    <row r="2473" spans="1:4">
      <c r="A2473" s="2">
        <f>+Get_Data!A2472</f>
        <v>43028</v>
      </c>
      <c r="B2473">
        <f>+ROUND(Get_Data!B2472,5)</f>
        <v>101.95872</v>
      </c>
      <c r="C2473">
        <f>+ROUND(Get_Data!C2472,5)</f>
        <v>41.999969999999998</v>
      </c>
      <c r="D2473" s="4">
        <f t="shared" si="39"/>
        <v>2.427590305421647</v>
      </c>
    </row>
    <row r="2474" spans="1:4">
      <c r="A2474" s="2">
        <f>+Get_Data!A2473</f>
        <v>43031</v>
      </c>
      <c r="B2474">
        <f>+ROUND(Get_Data!B2473,5)</f>
        <v>102.0318</v>
      </c>
      <c r="C2474">
        <f>+ROUND(Get_Data!C2473,5)</f>
        <v>41.945630000000001</v>
      </c>
      <c r="D2474" s="4">
        <f t="shared" si="39"/>
        <v>2.4324774714314699</v>
      </c>
    </row>
    <row r="2475" spans="1:4">
      <c r="A2475" s="2">
        <f>+Get_Data!A2474</f>
        <v>43032</v>
      </c>
      <c r="B2475">
        <f>+ROUND(Get_Data!B2474,5)</f>
        <v>101.17309</v>
      </c>
      <c r="C2475">
        <f>+ROUND(Get_Data!C2474,5)</f>
        <v>41.818860000000001</v>
      </c>
      <c r="D2475" s="4">
        <f t="shared" si="39"/>
        <v>2.4193172649852244</v>
      </c>
    </row>
    <row r="2476" spans="1:4">
      <c r="A2476" s="2">
        <f>+Get_Data!A2475</f>
        <v>43033</v>
      </c>
      <c r="B2476">
        <f>+ROUND(Get_Data!B2475,5)</f>
        <v>100.55189</v>
      </c>
      <c r="C2476">
        <f>+ROUND(Get_Data!C2475,5)</f>
        <v>41.701129999999999</v>
      </c>
      <c r="D2476" s="4">
        <f t="shared" si="39"/>
        <v>2.4112509661009187</v>
      </c>
    </row>
    <row r="2477" spans="1:4">
      <c r="A2477" s="2">
        <f>+Get_Data!A2476</f>
        <v>43034</v>
      </c>
      <c r="B2477">
        <f>+ROUND(Get_Data!B2476,5)</f>
        <v>101.15479999999999</v>
      </c>
      <c r="C2477">
        <f>+ROUND(Get_Data!C2476,5)</f>
        <v>41.864139999999999</v>
      </c>
      <c r="D2477" s="4">
        <f t="shared" si="39"/>
        <v>2.4162636566760956</v>
      </c>
    </row>
    <row r="2478" spans="1:4">
      <c r="A2478" s="2">
        <f>+Get_Data!A2477</f>
        <v>43035</v>
      </c>
      <c r="B2478">
        <f>+ROUND(Get_Data!B2477,5)</f>
        <v>101.03604</v>
      </c>
      <c r="C2478">
        <f>+ROUND(Get_Data!C2477,5)</f>
        <v>41.719239999999999</v>
      </c>
      <c r="D2478" s="4">
        <f t="shared" si="39"/>
        <v>2.4218092180010951</v>
      </c>
    </row>
    <row r="2479" spans="1:4">
      <c r="A2479" s="2">
        <f>+Get_Data!A2478</f>
        <v>43038</v>
      </c>
      <c r="B2479">
        <f>+ROUND(Get_Data!B2478,5)</f>
        <v>100.16821</v>
      </c>
      <c r="C2479">
        <f>+ROUND(Get_Data!C2478,5)</f>
        <v>41.52908</v>
      </c>
      <c r="D2479" s="4">
        <f t="shared" si="39"/>
        <v>2.4120016624495415</v>
      </c>
    </row>
    <row r="2480" spans="1:4">
      <c r="A2480" s="2">
        <f>+Get_Data!A2479</f>
        <v>43039</v>
      </c>
      <c r="B2480">
        <f>+ROUND(Get_Data!B2479,5)</f>
        <v>100.69804000000001</v>
      </c>
      <c r="C2480">
        <f>+ROUND(Get_Data!C2479,5)</f>
        <v>41.637740000000001</v>
      </c>
      <c r="D2480" s="4">
        <f t="shared" si="39"/>
        <v>2.4184319321845997</v>
      </c>
    </row>
    <row r="2481" spans="1:4">
      <c r="A2481" s="2">
        <f>+Get_Data!A2480</f>
        <v>43040</v>
      </c>
      <c r="B2481">
        <f>+ROUND(Get_Data!B2480,5)</f>
        <v>100.60669</v>
      </c>
      <c r="C2481">
        <f>+ROUND(Get_Data!C2480,5)</f>
        <v>41.474739999999997</v>
      </c>
      <c r="D2481" s="4">
        <f t="shared" si="39"/>
        <v>2.42573407331788</v>
      </c>
    </row>
    <row r="2482" spans="1:4">
      <c r="A2482" s="2">
        <f>+Get_Data!A2481</f>
        <v>43041</v>
      </c>
      <c r="B2482">
        <f>+ROUND(Get_Data!B2481,5)</f>
        <v>100.53361</v>
      </c>
      <c r="C2482">
        <f>+ROUND(Get_Data!C2481,5)</f>
        <v>41.547179999999997</v>
      </c>
      <c r="D2482" s="4">
        <f t="shared" si="39"/>
        <v>2.419745696338476</v>
      </c>
    </row>
    <row r="2483" spans="1:4">
      <c r="A2483" s="2">
        <f>+Get_Data!A2482</f>
        <v>43042</v>
      </c>
      <c r="B2483">
        <f>+ROUND(Get_Data!B2482,5)</f>
        <v>100.68892</v>
      </c>
      <c r="C2483">
        <f>+ROUND(Get_Data!C2482,5)</f>
        <v>41.628680000000003</v>
      </c>
      <c r="D2483" s="4">
        <f t="shared" si="39"/>
        <v>2.4187391961503462</v>
      </c>
    </row>
    <row r="2484" spans="1:4">
      <c r="A2484" s="2">
        <f>+Get_Data!A2483</f>
        <v>43045</v>
      </c>
      <c r="B2484">
        <f>+ROUND(Get_Data!B2483,5)</f>
        <v>99.811930000000004</v>
      </c>
      <c r="C2484">
        <f>+ROUND(Get_Data!C2483,5)</f>
        <v>41.175899999999999</v>
      </c>
      <c r="D2484" s="4">
        <f t="shared" si="39"/>
        <v>2.4240376045210912</v>
      </c>
    </row>
    <row r="2485" spans="1:4">
      <c r="A2485" s="2">
        <f>+Get_Data!A2484</f>
        <v>43046</v>
      </c>
      <c r="B2485">
        <f>+ROUND(Get_Data!B2484,5)</f>
        <v>100.9173</v>
      </c>
      <c r="C2485">
        <f>+ROUND(Get_Data!C2484,5)</f>
        <v>41.601509999999998</v>
      </c>
      <c r="D2485" s="4">
        <f t="shared" si="39"/>
        <v>2.4258085824288589</v>
      </c>
    </row>
    <row r="2486" spans="1:4">
      <c r="A2486" s="2">
        <f>+Get_Data!A2485</f>
        <v>43047</v>
      </c>
      <c r="B2486">
        <f>+ROUND(Get_Data!B2485,5)</f>
        <v>102.31497</v>
      </c>
      <c r="C2486">
        <f>+ROUND(Get_Data!C2485,5)</f>
        <v>41.818860000000001</v>
      </c>
      <c r="D2486" s="4">
        <f t="shared" si="39"/>
        <v>2.4466226482500959</v>
      </c>
    </row>
    <row r="2487" spans="1:4">
      <c r="A2487" s="2">
        <f>+Get_Data!A2486</f>
        <v>43048</v>
      </c>
      <c r="B2487">
        <f>+ROUND(Get_Data!B2486,5)</f>
        <v>101.83994</v>
      </c>
      <c r="C2487">
        <f>+ROUND(Get_Data!C2486,5)</f>
        <v>41.864139999999999</v>
      </c>
      <c r="D2487" s="4">
        <f t="shared" si="39"/>
        <v>2.43262945327433</v>
      </c>
    </row>
    <row r="2488" spans="1:4">
      <c r="A2488" s="2">
        <f>+Get_Data!A2487</f>
        <v>43049</v>
      </c>
      <c r="B2488">
        <f>+ROUND(Get_Data!B2487,5)</f>
        <v>103.00014</v>
      </c>
      <c r="C2488">
        <f>+ROUND(Get_Data!C2487,5)</f>
        <v>42.144860000000001</v>
      </c>
      <c r="D2488" s="4">
        <f t="shared" si="39"/>
        <v>2.4439549686486086</v>
      </c>
    </row>
    <row r="2489" spans="1:4">
      <c r="A2489" s="2">
        <f>+Get_Data!A2488</f>
        <v>43052</v>
      </c>
      <c r="B2489">
        <f>+ROUND(Get_Data!B2488,5)</f>
        <v>104.17856999999999</v>
      </c>
      <c r="C2489">
        <f>+ROUND(Get_Data!C2488,5)</f>
        <v>42.307859999999998</v>
      </c>
      <c r="D2489" s="4">
        <f t="shared" si="39"/>
        <v>2.4623928036067055</v>
      </c>
    </row>
    <row r="2490" spans="1:4">
      <c r="A2490" s="2">
        <f>+Get_Data!A2489</f>
        <v>43053</v>
      </c>
      <c r="B2490">
        <f>+ROUND(Get_Data!B2489,5)</f>
        <v>105.74986</v>
      </c>
      <c r="C2490">
        <f>+ROUND(Get_Data!C2489,5)</f>
        <v>42.950809999999997</v>
      </c>
      <c r="D2490" s="4">
        <f t="shared" si="39"/>
        <v>2.4621156155145854</v>
      </c>
    </row>
    <row r="2491" spans="1:4">
      <c r="A2491" s="2">
        <f>+Get_Data!A2490</f>
        <v>43054</v>
      </c>
      <c r="B2491">
        <f>+ROUND(Get_Data!B2490,5)</f>
        <v>105.14691999999999</v>
      </c>
      <c r="C2491">
        <f>+ROUND(Get_Data!C2490,5)</f>
        <v>42.389360000000003</v>
      </c>
      <c r="D2491" s="4">
        <f t="shared" si="39"/>
        <v>2.4805026544396989</v>
      </c>
    </row>
    <row r="2492" spans="1:4">
      <c r="A2492" s="2">
        <f>+Get_Data!A2491</f>
        <v>43055</v>
      </c>
      <c r="B2492">
        <f>+ROUND(Get_Data!B2491,5)</f>
        <v>105.26568</v>
      </c>
      <c r="C2492">
        <f>+ROUND(Get_Data!C2491,5)</f>
        <v>42.153919999999999</v>
      </c>
      <c r="D2492" s="4">
        <f t="shared" si="39"/>
        <v>2.4971741655343087</v>
      </c>
    </row>
    <row r="2493" spans="1:4">
      <c r="A2493" s="2">
        <f>+Get_Data!A2492</f>
        <v>43056</v>
      </c>
      <c r="B2493">
        <f>+ROUND(Get_Data!B2492,5)</f>
        <v>104.76324</v>
      </c>
      <c r="C2493">
        <f>+ROUND(Get_Data!C2492,5)</f>
        <v>41.393239999999999</v>
      </c>
      <c r="D2493" s="4">
        <f t="shared" si="39"/>
        <v>2.5309263058412435</v>
      </c>
    </row>
    <row r="2494" spans="1:4">
      <c r="A2494" s="2">
        <f>+Get_Data!A2493</f>
        <v>43059</v>
      </c>
      <c r="B2494">
        <f>+ROUND(Get_Data!B2493,5)</f>
        <v>104.97336</v>
      </c>
      <c r="C2494">
        <f>+ROUND(Get_Data!C2493,5)</f>
        <v>41.166849999999997</v>
      </c>
      <c r="D2494" s="4">
        <f t="shared" si="39"/>
        <v>2.5499488058960065</v>
      </c>
    </row>
    <row r="2495" spans="1:4">
      <c r="A2495" s="2">
        <f>+Get_Data!A2494</f>
        <v>43060</v>
      </c>
      <c r="B2495">
        <f>+ROUND(Get_Data!B2494,5)</f>
        <v>106.01476</v>
      </c>
      <c r="C2495">
        <f>+ROUND(Get_Data!C2494,5)</f>
        <v>41.456629999999997</v>
      </c>
      <c r="D2495" s="4">
        <f t="shared" si="39"/>
        <v>2.5572450052018216</v>
      </c>
    </row>
    <row r="2496" spans="1:4">
      <c r="A2496" s="2">
        <f>+Get_Data!A2495</f>
        <v>43061</v>
      </c>
      <c r="B2496">
        <f>+ROUND(Get_Data!B2495,5)</f>
        <v>105.12864</v>
      </c>
      <c r="C2496">
        <f>+ROUND(Get_Data!C2495,5)</f>
        <v>41.510959999999997</v>
      </c>
      <c r="D2496" s="4">
        <f t="shared" si="39"/>
        <v>2.5325514032920466</v>
      </c>
    </row>
    <row r="2497" spans="1:4">
      <c r="A2497" s="2">
        <f>+Get_Data!A2496</f>
        <v>43063</v>
      </c>
      <c r="B2497">
        <f>+ROUND(Get_Data!B2496,5)</f>
        <v>105.87775000000001</v>
      </c>
      <c r="C2497">
        <f>+ROUND(Get_Data!C2496,5)</f>
        <v>41.547179999999997</v>
      </c>
      <c r="D2497" s="4">
        <f t="shared" si="39"/>
        <v>2.54837392092556</v>
      </c>
    </row>
    <row r="2498" spans="1:4">
      <c r="A2498" s="2">
        <f>+Get_Data!A2497</f>
        <v>43066</v>
      </c>
      <c r="B2498">
        <f>+ROUND(Get_Data!B2497,5)</f>
        <v>105.83207</v>
      </c>
      <c r="C2498">
        <f>+ROUND(Get_Data!C2497,5)</f>
        <v>41.565300000000001</v>
      </c>
      <c r="D2498" s="4">
        <f t="shared" si="39"/>
        <v>2.5461639877493969</v>
      </c>
    </row>
    <row r="2499" spans="1:4">
      <c r="A2499" s="2">
        <f>+Get_Data!A2498</f>
        <v>43067</v>
      </c>
      <c r="B2499">
        <f>+ROUND(Get_Data!B2498,5)</f>
        <v>106.6725</v>
      </c>
      <c r="C2499">
        <f>+ROUND(Get_Data!C2498,5)</f>
        <v>41.501910000000002</v>
      </c>
      <c r="D2499" s="4">
        <f t="shared" si="39"/>
        <v>2.5703033908559871</v>
      </c>
    </row>
    <row r="2500" spans="1:4">
      <c r="A2500" s="2">
        <f>+Get_Data!A2499</f>
        <v>43068</v>
      </c>
      <c r="B2500">
        <f>+ROUND(Get_Data!B2499,5)</f>
        <v>106.73643</v>
      </c>
      <c r="C2500">
        <f>+ROUND(Get_Data!C2499,5)</f>
        <v>41.20308</v>
      </c>
      <c r="D2500" s="4">
        <f t="shared" ref="D2500:D2563" si="40">IFERROR(B2500/C2500,"")</f>
        <v>2.5904963900756934</v>
      </c>
    </row>
    <row r="2501" spans="1:4">
      <c r="A2501" s="2">
        <f>+Get_Data!A2500</f>
        <v>43069</v>
      </c>
      <c r="B2501">
        <f>+ROUND(Get_Data!B2500,5)</f>
        <v>107.18259</v>
      </c>
      <c r="C2501">
        <f>+ROUND(Get_Data!C2500,5)</f>
        <v>41.787379999999999</v>
      </c>
      <c r="D2501" s="4">
        <f t="shared" si="40"/>
        <v>2.5649511886124472</v>
      </c>
    </row>
    <row r="2502" spans="1:4">
      <c r="A2502" s="2">
        <f>+Get_Data!A2501</f>
        <v>43070</v>
      </c>
      <c r="B2502">
        <f>+ROUND(Get_Data!B2501,5)</f>
        <v>107.42177</v>
      </c>
      <c r="C2502">
        <f>+ROUND(Get_Data!C2501,5)</f>
        <v>41.96998</v>
      </c>
      <c r="D2502" s="4">
        <f t="shared" si="40"/>
        <v>2.5594906168647209</v>
      </c>
    </row>
    <row r="2503" spans="1:4">
      <c r="A2503" s="2">
        <f>+Get_Data!A2502</f>
        <v>43073</v>
      </c>
      <c r="B2503">
        <f>+ROUND(Get_Data!B2502,5)</f>
        <v>108.04725999999999</v>
      </c>
      <c r="C2503">
        <f>+ROUND(Get_Data!C2502,5)</f>
        <v>42.207360000000001</v>
      </c>
      <c r="D2503" s="4">
        <f t="shared" si="40"/>
        <v>2.559915142761831</v>
      </c>
    </row>
    <row r="2504" spans="1:4">
      <c r="A2504" s="2">
        <f>+Get_Data!A2503</f>
        <v>43074</v>
      </c>
      <c r="B2504">
        <f>+ROUND(Get_Data!B2503,5)</f>
        <v>108.16685</v>
      </c>
      <c r="C2504">
        <f>+ROUND(Get_Data!C2503,5)</f>
        <v>42.234749999999998</v>
      </c>
      <c r="D2504" s="4">
        <f t="shared" si="40"/>
        <v>2.5610865460314076</v>
      </c>
    </row>
    <row r="2505" spans="1:4">
      <c r="A2505" s="2">
        <f>+Get_Data!A2504</f>
        <v>43075</v>
      </c>
      <c r="B2505">
        <f>+ROUND(Get_Data!B2504,5)</f>
        <v>109.37184999999999</v>
      </c>
      <c r="C2505">
        <f>+ROUND(Get_Data!C2504,5)</f>
        <v>42.408209999999997</v>
      </c>
      <c r="D2505" s="4">
        <f t="shared" si="40"/>
        <v>2.5790253821135107</v>
      </c>
    </row>
    <row r="2506" spans="1:4">
      <c r="A2506" s="2">
        <f>+Get_Data!A2505</f>
        <v>43076</v>
      </c>
      <c r="B2506">
        <f>+ROUND(Get_Data!B2505,5)</f>
        <v>107.37576</v>
      </c>
      <c r="C2506">
        <f>+ROUND(Get_Data!C2505,5)</f>
        <v>41.796509999999998</v>
      </c>
      <c r="D2506" s="4">
        <f t="shared" si="40"/>
        <v>2.5690125802369623</v>
      </c>
    </row>
    <row r="2507" spans="1:4">
      <c r="A2507" s="2">
        <f>+Get_Data!A2506</f>
        <v>43077</v>
      </c>
      <c r="B2507">
        <f>+ROUND(Get_Data!B2506,5)</f>
        <v>107.22859</v>
      </c>
      <c r="C2507">
        <f>+ROUND(Get_Data!C2506,5)</f>
        <v>41.367420000000003</v>
      </c>
      <c r="D2507" s="4">
        <f t="shared" si="40"/>
        <v>2.5921024323005879</v>
      </c>
    </row>
    <row r="2508" spans="1:4">
      <c r="A2508" s="2">
        <f>+Get_Data!A2507</f>
        <v>43080</v>
      </c>
      <c r="B2508">
        <f>+ROUND(Get_Data!B2507,5)</f>
        <v>107.98287000000001</v>
      </c>
      <c r="C2508">
        <f>+ROUND(Get_Data!C2507,5)</f>
        <v>41.385669999999998</v>
      </c>
      <c r="D2508" s="4">
        <f t="shared" si="40"/>
        <v>2.6091850150064024</v>
      </c>
    </row>
    <row r="2509" spans="1:4">
      <c r="A2509" s="2">
        <f>+Get_Data!A2508</f>
        <v>43081</v>
      </c>
      <c r="B2509">
        <f>+ROUND(Get_Data!B2508,5)</f>
        <v>107.99207</v>
      </c>
      <c r="C2509">
        <f>+ROUND(Get_Data!C2508,5)</f>
        <v>41.349150000000002</v>
      </c>
      <c r="D2509" s="4">
        <f t="shared" si="40"/>
        <v>2.6117119698953908</v>
      </c>
    </row>
    <row r="2510" spans="1:4">
      <c r="A2510" s="2">
        <f>+Get_Data!A2509</f>
        <v>43082</v>
      </c>
      <c r="B2510">
        <f>+ROUND(Get_Data!B2509,5)</f>
        <v>108.36002000000001</v>
      </c>
      <c r="C2510">
        <f>+ROUND(Get_Data!C2509,5)</f>
        <v>41.906080000000003</v>
      </c>
      <c r="D2510" s="4">
        <f t="shared" si="40"/>
        <v>2.5857827790144055</v>
      </c>
    </row>
    <row r="2511" spans="1:4">
      <c r="A2511" s="2">
        <f>+Get_Data!A2510</f>
        <v>43083</v>
      </c>
      <c r="B2511">
        <f>+ROUND(Get_Data!B2510,5)</f>
        <v>108.56238</v>
      </c>
      <c r="C2511">
        <f>+ROUND(Get_Data!C2510,5)</f>
        <v>42.024760000000001</v>
      </c>
      <c r="D2511" s="4">
        <f t="shared" si="40"/>
        <v>2.5832956571316528</v>
      </c>
    </row>
    <row r="2512" spans="1:4">
      <c r="A2512" s="2">
        <f>+Get_Data!A2511</f>
        <v>43084</v>
      </c>
      <c r="B2512">
        <f>+ROUND(Get_Data!B2511,5)</f>
        <v>109.66622</v>
      </c>
      <c r="C2512">
        <f>+ROUND(Get_Data!C2511,5)</f>
        <v>42.170830000000002</v>
      </c>
      <c r="D2512" s="4">
        <f t="shared" si="40"/>
        <v>2.6005231578320842</v>
      </c>
    </row>
    <row r="2513" spans="1:4">
      <c r="A2513" s="2">
        <f>+Get_Data!A2512</f>
        <v>43087</v>
      </c>
      <c r="B2513">
        <f>+ROUND(Get_Data!B2512,5)</f>
        <v>108.58999</v>
      </c>
      <c r="C2513">
        <f>+ROUND(Get_Data!C2512,5)</f>
        <v>41.933459999999997</v>
      </c>
      <c r="D2513" s="4">
        <f t="shared" si="40"/>
        <v>2.5895785847387747</v>
      </c>
    </row>
    <row r="2514" spans="1:4">
      <c r="A2514" s="2">
        <f>+Get_Data!A2513</f>
        <v>43088</v>
      </c>
      <c r="B2514">
        <f>+ROUND(Get_Data!B2513,5)</f>
        <v>109.10509</v>
      </c>
      <c r="C2514">
        <f>+ROUND(Get_Data!C2513,5)</f>
        <v>42.116070000000001</v>
      </c>
      <c r="D2514" s="4">
        <f t="shared" si="40"/>
        <v>2.5905809825085768</v>
      </c>
    </row>
    <row r="2515" spans="1:4">
      <c r="A2515" s="2">
        <f>+Get_Data!A2514</f>
        <v>43089</v>
      </c>
      <c r="B2515">
        <f>+ROUND(Get_Data!B2514,5)</f>
        <v>109.48224</v>
      </c>
      <c r="C2515">
        <f>+ROUND(Get_Data!C2514,5)</f>
        <v>42.070419999999999</v>
      </c>
      <c r="D2515" s="4">
        <f t="shared" si="40"/>
        <v>2.6023567152407798</v>
      </c>
    </row>
    <row r="2516" spans="1:4">
      <c r="A2516" s="2">
        <f>+Get_Data!A2515</f>
        <v>43090</v>
      </c>
      <c r="B2516">
        <f>+ROUND(Get_Data!B2515,5)</f>
        <v>108.78315000000001</v>
      </c>
      <c r="C2516">
        <f>+ROUND(Get_Data!C2515,5)</f>
        <v>41.632179999999998</v>
      </c>
      <c r="D2516" s="4">
        <f t="shared" si="40"/>
        <v>2.6129582933202156</v>
      </c>
    </row>
    <row r="2517" spans="1:4">
      <c r="A2517" s="2">
        <f>+Get_Data!A2516</f>
        <v>43091</v>
      </c>
      <c r="B2517">
        <f>+ROUND(Get_Data!B2516,5)</f>
        <v>109.09591</v>
      </c>
      <c r="C2517">
        <f>+ROUND(Get_Data!C2516,5)</f>
        <v>41.623049999999999</v>
      </c>
      <c r="D2517" s="4">
        <f t="shared" si="40"/>
        <v>2.6210455504822447</v>
      </c>
    </row>
    <row r="2518" spans="1:4">
      <c r="A2518" s="2">
        <f>+Get_Data!A2517</f>
        <v>43095</v>
      </c>
      <c r="B2518">
        <f>+ROUND(Get_Data!B2517,5)</f>
        <v>109.36268</v>
      </c>
      <c r="C2518">
        <f>+ROUND(Get_Data!C2517,5)</f>
        <v>41.823909999999998</v>
      </c>
      <c r="D2518" s="4">
        <f t="shared" si="40"/>
        <v>2.6148363460039965</v>
      </c>
    </row>
    <row r="2519" spans="1:4">
      <c r="A2519" s="2">
        <f>+Get_Data!A2518</f>
        <v>43096</v>
      </c>
      <c r="B2519">
        <f>+ROUND(Get_Data!B2518,5)</f>
        <v>109.73981999999999</v>
      </c>
      <c r="C2519">
        <f>+ROUND(Get_Data!C2518,5)</f>
        <v>41.933459999999997</v>
      </c>
      <c r="D2519" s="4">
        <f t="shared" si="40"/>
        <v>2.6169989311638009</v>
      </c>
    </row>
    <row r="2520" spans="1:4">
      <c r="A2520" s="2">
        <f>+Get_Data!A2519</f>
        <v>43097</v>
      </c>
      <c r="B2520">
        <f>+ROUND(Get_Data!B2519,5)</f>
        <v>109.78581</v>
      </c>
      <c r="C2520">
        <f>+ROUND(Get_Data!C2519,5)</f>
        <v>41.74174</v>
      </c>
      <c r="D2520" s="4">
        <f t="shared" si="40"/>
        <v>2.6301205939187011</v>
      </c>
    </row>
    <row r="2521" spans="1:4">
      <c r="A2521" s="2">
        <f>+Get_Data!A2520</f>
        <v>43098</v>
      </c>
      <c r="B2521">
        <f>+ROUND(Get_Data!B2520,5)</f>
        <v>110.31010999999999</v>
      </c>
      <c r="C2521">
        <f>+ROUND(Get_Data!C2520,5)</f>
        <v>41.887810000000002</v>
      </c>
      <c r="D2521" s="4">
        <f t="shared" si="40"/>
        <v>2.633465678917088</v>
      </c>
    </row>
    <row r="2522" spans="1:4">
      <c r="A2522" s="2">
        <f>+Get_Data!A2521</f>
        <v>43102</v>
      </c>
      <c r="B2522">
        <f>+ROUND(Get_Data!B2521,5)</f>
        <v>108.59917</v>
      </c>
      <c r="C2522">
        <f>+ROUND(Get_Data!C2521,5)</f>
        <v>41.577399999999997</v>
      </c>
      <c r="D2522" s="4">
        <f t="shared" si="40"/>
        <v>2.6119759773338402</v>
      </c>
    </row>
    <row r="2523" spans="1:4">
      <c r="A2523" s="2">
        <f>+Get_Data!A2522</f>
        <v>43103</v>
      </c>
      <c r="B2523">
        <f>+ROUND(Get_Data!B2522,5)</f>
        <v>108.31401</v>
      </c>
      <c r="C2523">
        <f>+ROUND(Get_Data!C2522,5)</f>
        <v>41.4861</v>
      </c>
      <c r="D2523" s="4">
        <f t="shared" si="40"/>
        <v>2.6108506222566112</v>
      </c>
    </row>
    <row r="2524" spans="1:4">
      <c r="A2524" s="2">
        <f>+Get_Data!A2523</f>
        <v>43104</v>
      </c>
      <c r="B2524">
        <f>+ROUND(Get_Data!B2523,5)</f>
        <v>108.84753000000001</v>
      </c>
      <c r="C2524">
        <f>+ROUND(Get_Data!C2523,5)</f>
        <v>42.070419999999999</v>
      </c>
      <c r="D2524" s="4">
        <f t="shared" si="40"/>
        <v>2.5872698679975148</v>
      </c>
    </row>
    <row r="2525" spans="1:4">
      <c r="A2525" s="2">
        <f>+Get_Data!A2524</f>
        <v>43105</v>
      </c>
      <c r="B2525">
        <f>+ROUND(Get_Data!B2524,5)</f>
        <v>109.16029</v>
      </c>
      <c r="C2525">
        <f>+ROUND(Get_Data!C2524,5)</f>
        <v>42.061279999999996</v>
      </c>
      <c r="D2525" s="4">
        <f t="shared" si="40"/>
        <v>2.5952679043528875</v>
      </c>
    </row>
    <row r="2526" spans="1:4">
      <c r="A2526" s="2">
        <f>+Get_Data!A2525</f>
        <v>43108</v>
      </c>
      <c r="B2526">
        <f>+ROUND(Get_Data!B2525,5)</f>
        <v>108.53476999999999</v>
      </c>
      <c r="C2526">
        <f>+ROUND(Get_Data!C2525,5)</f>
        <v>41.99738</v>
      </c>
      <c r="D2526" s="4">
        <f t="shared" si="40"/>
        <v>2.5843224029689469</v>
      </c>
    </row>
    <row r="2527" spans="1:4">
      <c r="A2527" s="2">
        <f>+Get_Data!A2526</f>
        <v>43109</v>
      </c>
      <c r="B2527">
        <f>+ROUND(Get_Data!B2526,5)</f>
        <v>108.61758</v>
      </c>
      <c r="C2527">
        <f>+ROUND(Get_Data!C2526,5)</f>
        <v>42.207360000000001</v>
      </c>
      <c r="D2527" s="4">
        <f t="shared" si="40"/>
        <v>2.5734274780512214</v>
      </c>
    </row>
    <row r="2528" spans="1:4">
      <c r="A2528" s="2">
        <f>+Get_Data!A2527</f>
        <v>43110</v>
      </c>
      <c r="B2528">
        <f>+ROUND(Get_Data!B2527,5)</f>
        <v>108.06565999999999</v>
      </c>
      <c r="C2528">
        <f>+ROUND(Get_Data!C2527,5)</f>
        <v>42.061279999999996</v>
      </c>
      <c r="D2528" s="4">
        <f t="shared" si="40"/>
        <v>2.5692432565057461</v>
      </c>
    </row>
    <row r="2529" spans="1:4">
      <c r="A2529" s="2">
        <f>+Get_Data!A2528</f>
        <v>43111</v>
      </c>
      <c r="B2529">
        <f>+ROUND(Get_Data!B2528,5)</f>
        <v>107.51375</v>
      </c>
      <c r="C2529">
        <f>+ROUND(Get_Data!C2528,5)</f>
        <v>42.03389</v>
      </c>
      <c r="D2529" s="4">
        <f t="shared" si="40"/>
        <v>2.5577872997241036</v>
      </c>
    </row>
    <row r="2530" spans="1:4">
      <c r="A2530" s="2">
        <f>+Get_Data!A2529</f>
        <v>43112</v>
      </c>
      <c r="B2530">
        <f>+ROUND(Get_Data!B2529,5)</f>
        <v>107.97366</v>
      </c>
      <c r="C2530">
        <f>+ROUND(Get_Data!C2529,5)</f>
        <v>42.134329999999999</v>
      </c>
      <c r="D2530" s="4">
        <f t="shared" si="40"/>
        <v>2.5626053624206198</v>
      </c>
    </row>
    <row r="2531" spans="1:4">
      <c r="A2531" s="2">
        <f>+Get_Data!A2530</f>
        <v>43116</v>
      </c>
      <c r="B2531">
        <f>+ROUND(Get_Data!B2530,5)</f>
        <v>108.41521</v>
      </c>
      <c r="C2531">
        <f>+ROUND(Get_Data!C2530,5)</f>
        <v>42.481259999999999</v>
      </c>
      <c r="D2531" s="4">
        <f t="shared" si="40"/>
        <v>2.5520714310262926</v>
      </c>
    </row>
    <row r="2532" spans="1:4">
      <c r="A2532" s="2">
        <f>+Get_Data!A2531</f>
        <v>43117</v>
      </c>
      <c r="B2532">
        <f>+ROUND(Get_Data!B2531,5)</f>
        <v>109.62943</v>
      </c>
      <c r="C2532">
        <f>+ROUND(Get_Data!C2531,5)</f>
        <v>42.746020000000001</v>
      </c>
      <c r="D2532" s="4">
        <f t="shared" si="40"/>
        <v>2.564669880377167</v>
      </c>
    </row>
    <row r="2533" spans="1:4">
      <c r="A2533" s="2">
        <f>+Get_Data!A2532</f>
        <v>43118</v>
      </c>
      <c r="B2533">
        <f>+ROUND(Get_Data!B2532,5)</f>
        <v>109.50985</v>
      </c>
      <c r="C2533">
        <f>+ROUND(Get_Data!C2532,5)</f>
        <v>42.800800000000002</v>
      </c>
      <c r="D2533" s="4">
        <f t="shared" si="40"/>
        <v>2.558593530962038</v>
      </c>
    </row>
    <row r="2534" spans="1:4">
      <c r="A2534" s="2">
        <f>+Get_Data!A2533</f>
        <v>43119</v>
      </c>
      <c r="B2534">
        <f>+ROUND(Get_Data!B2533,5)</f>
        <v>110.54008</v>
      </c>
      <c r="C2534">
        <f>+ROUND(Get_Data!C2533,5)</f>
        <v>43.056440000000002</v>
      </c>
      <c r="D2534" s="4">
        <f t="shared" si="40"/>
        <v>2.5673297653034015</v>
      </c>
    </row>
    <row r="2535" spans="1:4">
      <c r="A2535" s="2">
        <f>+Get_Data!A2534</f>
        <v>43122</v>
      </c>
      <c r="B2535">
        <f>+ROUND(Get_Data!B2534,5)</f>
        <v>111.77272000000001</v>
      </c>
      <c r="C2535">
        <f>+ROUND(Get_Data!C2534,5)</f>
        <v>43.257289999999998</v>
      </c>
      <c r="D2535" s="4">
        <f t="shared" si="40"/>
        <v>2.5839048169684236</v>
      </c>
    </row>
    <row r="2536" spans="1:4">
      <c r="A2536" s="2">
        <f>+Get_Data!A2535</f>
        <v>43123</v>
      </c>
      <c r="B2536">
        <f>+ROUND(Get_Data!B2535,5)</f>
        <v>111.57953999999999</v>
      </c>
      <c r="C2536">
        <f>+ROUND(Get_Data!C2535,5)</f>
        <v>43.321199999999997</v>
      </c>
      <c r="D2536" s="4">
        <f t="shared" si="40"/>
        <v>2.5756336389573695</v>
      </c>
    </row>
    <row r="2537" spans="1:4">
      <c r="A2537" s="2">
        <f>+Get_Data!A2536</f>
        <v>43124</v>
      </c>
      <c r="B2537">
        <f>+ROUND(Get_Data!B2536,5)</f>
        <v>111.43237000000001</v>
      </c>
      <c r="C2537">
        <f>+ROUND(Get_Data!C2536,5)</f>
        <v>43.668140000000001</v>
      </c>
      <c r="D2537" s="4">
        <f t="shared" si="40"/>
        <v>2.551800236969104</v>
      </c>
    </row>
    <row r="2538" spans="1:4">
      <c r="A2538" s="2">
        <f>+Get_Data!A2537</f>
        <v>43125</v>
      </c>
      <c r="B2538">
        <f>+ROUND(Get_Data!B2537,5)</f>
        <v>111.21159</v>
      </c>
      <c r="C2538">
        <f>+ROUND(Get_Data!C2537,5)</f>
        <v>43.677259999999997</v>
      </c>
      <c r="D2538" s="4">
        <f t="shared" si="40"/>
        <v>2.5462126058273804</v>
      </c>
    </row>
    <row r="2539" spans="1:4">
      <c r="A2539" s="2">
        <f>+Get_Data!A2538</f>
        <v>43126</v>
      </c>
      <c r="B2539">
        <f>+ROUND(Get_Data!B2538,5)</f>
        <v>112.00266999999999</v>
      </c>
      <c r="C2539">
        <f>+ROUND(Get_Data!C2538,5)</f>
        <v>44.307229999999997</v>
      </c>
      <c r="D2539" s="4">
        <f t="shared" si="40"/>
        <v>2.5278644140019586</v>
      </c>
    </row>
    <row r="2540" spans="1:4">
      <c r="A2540" s="2">
        <f>+Get_Data!A2539</f>
        <v>43129</v>
      </c>
      <c r="B2540">
        <f>+ROUND(Get_Data!B2539,5)</f>
        <v>110.08017</v>
      </c>
      <c r="C2540">
        <f>+ROUND(Get_Data!C2539,5)</f>
        <v>43.54945</v>
      </c>
      <c r="D2540" s="4">
        <f t="shared" si="40"/>
        <v>2.5277051719367294</v>
      </c>
    </row>
    <row r="2541" spans="1:4">
      <c r="A2541" s="2">
        <f>+Get_Data!A2540</f>
        <v>43130</v>
      </c>
      <c r="B2541">
        <f>+ROUND(Get_Data!B2540,5)</f>
        <v>110.28252000000001</v>
      </c>
      <c r="C2541">
        <f>+ROUND(Get_Data!C2540,5)</f>
        <v>43.284680000000002</v>
      </c>
      <c r="D2541" s="4">
        <f t="shared" si="40"/>
        <v>2.5478418692248619</v>
      </c>
    </row>
    <row r="2542" spans="1:4">
      <c r="A2542" s="2">
        <f>+Get_Data!A2541</f>
        <v>43131</v>
      </c>
      <c r="B2542">
        <f>+ROUND(Get_Data!B2541,5)</f>
        <v>110.65967999999999</v>
      </c>
      <c r="C2542">
        <f>+ROUND(Get_Data!C2541,5)</f>
        <v>43.449019999999997</v>
      </c>
      <c r="D2542" s="4">
        <f t="shared" si="40"/>
        <v>2.5468855223892275</v>
      </c>
    </row>
    <row r="2543" spans="1:4">
      <c r="A2543" s="2">
        <f>+Get_Data!A2542</f>
        <v>43132</v>
      </c>
      <c r="B2543">
        <f>+ROUND(Get_Data!B2542,5)</f>
        <v>110.65967999999999</v>
      </c>
      <c r="C2543">
        <f>+ROUND(Get_Data!C2542,5)</f>
        <v>43.321199999999997</v>
      </c>
      <c r="D2543" s="4">
        <f t="shared" si="40"/>
        <v>2.5544001551203568</v>
      </c>
    </row>
    <row r="2544" spans="1:4">
      <c r="A2544" s="2">
        <f>+Get_Data!A2543</f>
        <v>43133</v>
      </c>
      <c r="B2544">
        <f>+ROUND(Get_Data!B2543,5)</f>
        <v>109.16029</v>
      </c>
      <c r="C2544">
        <f>+ROUND(Get_Data!C2543,5)</f>
        <v>42.66386</v>
      </c>
      <c r="D2544" s="4">
        <f t="shared" si="40"/>
        <v>2.5586126056104628</v>
      </c>
    </row>
    <row r="2545" spans="1:4">
      <c r="A2545" s="2">
        <f>+Get_Data!A2544</f>
        <v>43136</v>
      </c>
      <c r="B2545">
        <f>+ROUND(Get_Data!B2544,5)</f>
        <v>105.28767000000001</v>
      </c>
      <c r="C2545">
        <f>+ROUND(Get_Data!C2544,5)</f>
        <v>40.983960000000003</v>
      </c>
      <c r="D2545" s="4">
        <f t="shared" si="40"/>
        <v>2.5689969929699328</v>
      </c>
    </row>
    <row r="2546" spans="1:4">
      <c r="A2546" s="2">
        <f>+Get_Data!A2545</f>
        <v>43137</v>
      </c>
      <c r="B2546">
        <f>+ROUND(Get_Data!B2545,5)</f>
        <v>104.45979</v>
      </c>
      <c r="C2546">
        <f>+ROUND(Get_Data!C2545,5)</f>
        <v>40.783099999999997</v>
      </c>
      <c r="D2546" s="4">
        <f t="shared" si="40"/>
        <v>2.561349921903926</v>
      </c>
    </row>
    <row r="2547" spans="1:4">
      <c r="A2547" s="2">
        <f>+Get_Data!A2546</f>
        <v>43138</v>
      </c>
      <c r="B2547">
        <f>+ROUND(Get_Data!B2546,5)</f>
        <v>104.40459</v>
      </c>
      <c r="C2547">
        <f>+ROUND(Get_Data!C2546,5)</f>
        <v>40.682670000000002</v>
      </c>
      <c r="D2547" s="4">
        <f t="shared" si="40"/>
        <v>2.5663160751248628</v>
      </c>
    </row>
    <row r="2548" spans="1:4">
      <c r="A2548" s="2">
        <f>+Get_Data!A2547</f>
        <v>43139</v>
      </c>
      <c r="B2548">
        <f>+ROUND(Get_Data!B2547,5)</f>
        <v>101.32304000000001</v>
      </c>
      <c r="C2548">
        <f>+ROUND(Get_Data!C2547,5)</f>
        <v>39.349710000000002</v>
      </c>
      <c r="D2548" s="4">
        <f t="shared" si="40"/>
        <v>2.5749374010634387</v>
      </c>
    </row>
    <row r="2549" spans="1:4">
      <c r="A2549" s="2">
        <f>+Get_Data!A2548</f>
        <v>43140</v>
      </c>
      <c r="B2549">
        <f>+ROUND(Get_Data!B2548,5)</f>
        <v>102.27052</v>
      </c>
      <c r="C2549">
        <f>+ROUND(Get_Data!C2548,5)</f>
        <v>39.377090000000003</v>
      </c>
      <c r="D2549" s="4">
        <f t="shared" si="40"/>
        <v>2.5972086814947475</v>
      </c>
    </row>
    <row r="2550" spans="1:4">
      <c r="A2550" s="2">
        <f>+Get_Data!A2549</f>
        <v>43143</v>
      </c>
      <c r="B2550">
        <f>+ROUND(Get_Data!B2549,5)</f>
        <v>102.96042</v>
      </c>
      <c r="C2550">
        <f>+ROUND(Get_Data!C2549,5)</f>
        <v>40.144010000000002</v>
      </c>
      <c r="D2550" s="4">
        <f t="shared" si="40"/>
        <v>2.5647766628196833</v>
      </c>
    </row>
    <row r="2551" spans="1:4">
      <c r="A2551" s="2">
        <f>+Get_Data!A2550</f>
        <v>43144</v>
      </c>
      <c r="B2551">
        <f>+ROUND(Get_Data!B2550,5)</f>
        <v>103.15358999999999</v>
      </c>
      <c r="C2551">
        <f>+ROUND(Get_Data!C2550,5)</f>
        <v>40.344859999999997</v>
      </c>
      <c r="D2551" s="4">
        <f t="shared" si="40"/>
        <v>2.5567963304371362</v>
      </c>
    </row>
    <row r="2552" spans="1:4">
      <c r="A2552" s="2">
        <f>+Get_Data!A2551</f>
        <v>43145</v>
      </c>
      <c r="B2552">
        <f>+ROUND(Get_Data!B2551,5)</f>
        <v>100.36639</v>
      </c>
      <c r="C2552">
        <f>+ROUND(Get_Data!C2551,5)</f>
        <v>40.262700000000002</v>
      </c>
      <c r="D2552" s="4">
        <f t="shared" si="40"/>
        <v>2.4927883624297422</v>
      </c>
    </row>
    <row r="2553" spans="1:4">
      <c r="A2553" s="2">
        <f>+Get_Data!A2552</f>
        <v>43146</v>
      </c>
      <c r="B2553">
        <f>+ROUND(Get_Data!B2552,5)</f>
        <v>102.07734000000001</v>
      </c>
      <c r="C2553">
        <f>+ROUND(Get_Data!C2552,5)</f>
        <v>40.88353</v>
      </c>
      <c r="D2553" s="4">
        <f t="shared" si="40"/>
        <v>2.4967839127394336</v>
      </c>
    </row>
    <row r="2554" spans="1:4">
      <c r="A2554" s="2">
        <f>+Get_Data!A2553</f>
        <v>43147</v>
      </c>
      <c r="B2554">
        <f>+ROUND(Get_Data!B2553,5)</f>
        <v>102.16013</v>
      </c>
      <c r="C2554">
        <f>+ROUND(Get_Data!C2553,5)</f>
        <v>41.066119999999998</v>
      </c>
      <c r="D2554" s="4">
        <f t="shared" si="40"/>
        <v>2.4876986187153789</v>
      </c>
    </row>
    <row r="2555" spans="1:4">
      <c r="A2555" s="2">
        <f>+Get_Data!A2554</f>
        <v>43151</v>
      </c>
      <c r="B2555">
        <f>+ROUND(Get_Data!B2554,5)</f>
        <v>100.70676</v>
      </c>
      <c r="C2555">
        <f>+ROUND(Get_Data!C2554,5)</f>
        <v>40.162260000000003</v>
      </c>
      <c r="D2555" s="4">
        <f t="shared" si="40"/>
        <v>2.5074973370522473</v>
      </c>
    </row>
    <row r="2556" spans="1:4">
      <c r="A2556" s="2">
        <f>+Get_Data!A2555</f>
        <v>43152</v>
      </c>
      <c r="B2556">
        <f>+ROUND(Get_Data!B2555,5)</f>
        <v>99.345339999999993</v>
      </c>
      <c r="C2556">
        <f>+ROUND(Get_Data!C2555,5)</f>
        <v>39.568820000000002</v>
      </c>
      <c r="D2556" s="4">
        <f t="shared" si="40"/>
        <v>2.5106975643953997</v>
      </c>
    </row>
    <row r="2557" spans="1:4">
      <c r="A2557" s="2">
        <f>+Get_Data!A2556</f>
        <v>43153</v>
      </c>
      <c r="B2557">
        <f>+ROUND(Get_Data!B2556,5)</f>
        <v>100.50438</v>
      </c>
      <c r="C2557">
        <f>+ROUND(Get_Data!C2556,5)</f>
        <v>39.733170000000001</v>
      </c>
      <c r="D2557" s="4">
        <f t="shared" si="40"/>
        <v>2.5294830490494467</v>
      </c>
    </row>
    <row r="2558" spans="1:4">
      <c r="A2558" s="2">
        <f>+Get_Data!A2557</f>
        <v>43154</v>
      </c>
      <c r="B2558">
        <f>+ROUND(Get_Data!B2557,5)</f>
        <v>100.89072</v>
      </c>
      <c r="C2558">
        <f>+ROUND(Get_Data!C2557,5)</f>
        <v>40.207909999999998</v>
      </c>
      <c r="D2558" s="4">
        <f t="shared" si="40"/>
        <v>2.5092256722620006</v>
      </c>
    </row>
    <row r="2559" spans="1:4">
      <c r="A2559" s="2">
        <f>+Get_Data!A2558</f>
        <v>43157</v>
      </c>
      <c r="B2559">
        <f>+ROUND(Get_Data!B2558,5)</f>
        <v>102.04974</v>
      </c>
      <c r="C2559">
        <f>+ROUND(Get_Data!C2558,5)</f>
        <v>40.198779999999999</v>
      </c>
      <c r="D2559" s="4">
        <f t="shared" si="40"/>
        <v>2.5386277892015627</v>
      </c>
    </row>
    <row r="2560" spans="1:4">
      <c r="A2560" s="2">
        <f>+Get_Data!A2559</f>
        <v>43158</v>
      </c>
      <c r="B2560">
        <f>+ROUND(Get_Data!B2559,5)</f>
        <v>102.00375</v>
      </c>
      <c r="C2560">
        <f>+ROUND(Get_Data!C2559,5)</f>
        <v>39.824460000000002</v>
      </c>
      <c r="D2560" s="4">
        <f t="shared" si="40"/>
        <v>2.5613341649830277</v>
      </c>
    </row>
    <row r="2561" spans="1:4">
      <c r="A2561" s="2">
        <f>+Get_Data!A2560</f>
        <v>43159</v>
      </c>
      <c r="B2561">
        <f>+ROUND(Get_Data!B2560,5)</f>
        <v>100.93671999999999</v>
      </c>
      <c r="C2561">
        <f>+ROUND(Get_Data!C2560,5)</f>
        <v>39.459269999999997</v>
      </c>
      <c r="D2561" s="4">
        <f t="shared" si="40"/>
        <v>2.5579976517558487</v>
      </c>
    </row>
    <row r="2562" spans="1:4">
      <c r="A2562" s="2">
        <f>+Get_Data!A2561</f>
        <v>43160</v>
      </c>
      <c r="B2562">
        <f>+ROUND(Get_Data!B2561,5)</f>
        <v>100.19074000000001</v>
      </c>
      <c r="C2562">
        <f>+ROUND(Get_Data!C2561,5)</f>
        <v>39.651000000000003</v>
      </c>
      <c r="D2562" s="4">
        <f t="shared" si="40"/>
        <v>2.5268149605306296</v>
      </c>
    </row>
    <row r="2563" spans="1:4">
      <c r="A2563" s="2">
        <f>+Get_Data!A2562</f>
        <v>43161</v>
      </c>
      <c r="B2563">
        <f>+ROUND(Get_Data!B2562,5)</f>
        <v>101.04327000000001</v>
      </c>
      <c r="C2563">
        <f>+ROUND(Get_Data!C2562,5)</f>
        <v>39.915759999999999</v>
      </c>
      <c r="D2563" s="4">
        <f t="shared" si="40"/>
        <v>2.5314129055791499</v>
      </c>
    </row>
    <row r="2564" spans="1:4">
      <c r="A2564" s="2">
        <f>+Get_Data!A2563</f>
        <v>43164</v>
      </c>
      <c r="B2564">
        <f>+ROUND(Get_Data!B2563,5)</f>
        <v>101.40468</v>
      </c>
      <c r="C2564">
        <f>+ROUND(Get_Data!C2563,5)</f>
        <v>40.070970000000003</v>
      </c>
      <c r="D2564" s="4">
        <f t="shared" ref="D2564:D2627" si="41">IFERROR(B2564/C2564,"")</f>
        <v>2.5306270349831808</v>
      </c>
    </row>
    <row r="2565" spans="1:4">
      <c r="A2565" s="2">
        <f>+Get_Data!A2564</f>
        <v>43165</v>
      </c>
      <c r="B2565">
        <f>+ROUND(Get_Data!B2564,5)</f>
        <v>101.54369</v>
      </c>
      <c r="C2565">
        <f>+ROUND(Get_Data!C2564,5)</f>
        <v>40.107489999999999</v>
      </c>
      <c r="D2565" s="4">
        <f t="shared" si="41"/>
        <v>2.5317887008137383</v>
      </c>
    </row>
    <row r="2566" spans="1:4">
      <c r="A2566" s="2">
        <f>+Get_Data!A2565</f>
        <v>43166</v>
      </c>
      <c r="B2566">
        <f>+ROUND(Get_Data!B2565,5)</f>
        <v>101.7846</v>
      </c>
      <c r="C2566">
        <f>+ROUND(Get_Data!C2565,5)</f>
        <v>40.00705</v>
      </c>
      <c r="D2566" s="4">
        <f t="shared" si="41"/>
        <v>2.5441665906384001</v>
      </c>
    </row>
    <row r="2567" spans="1:4">
      <c r="A2567" s="2">
        <f>+Get_Data!A2566</f>
        <v>43167</v>
      </c>
      <c r="B2567">
        <f>+ROUND(Get_Data!B2566,5)</f>
        <v>103.86032</v>
      </c>
      <c r="C2567">
        <f>+ROUND(Get_Data!C2566,5)</f>
        <v>40.582239999999999</v>
      </c>
      <c r="D2567" s="4">
        <f t="shared" si="41"/>
        <v>2.5592554772728171</v>
      </c>
    </row>
    <row r="2568" spans="1:4">
      <c r="A2568" s="2">
        <f>+Get_Data!A2567</f>
        <v>43168</v>
      </c>
      <c r="B2568">
        <f>+ROUND(Get_Data!B2567,5)</f>
        <v>104.28660000000001</v>
      </c>
      <c r="C2568">
        <f>+ROUND(Get_Data!C2567,5)</f>
        <v>40.920050000000003</v>
      </c>
      <c r="D2568" s="4">
        <f t="shared" si="41"/>
        <v>2.5485452730385227</v>
      </c>
    </row>
    <row r="2569" spans="1:4">
      <c r="A2569" s="2">
        <f>+Get_Data!A2568</f>
        <v>43171</v>
      </c>
      <c r="B2569">
        <f>+ROUND(Get_Data!B2568,5)</f>
        <v>104.48119</v>
      </c>
      <c r="C2569">
        <f>+ROUND(Get_Data!C2568,5)</f>
        <v>40.655279999999998</v>
      </c>
      <c r="D2569" s="4">
        <f t="shared" si="41"/>
        <v>2.5699291703316276</v>
      </c>
    </row>
    <row r="2570" spans="1:4">
      <c r="A2570" s="2">
        <f>+Get_Data!A2569</f>
        <v>43172</v>
      </c>
      <c r="B2570">
        <f>+ROUND(Get_Data!B2569,5)</f>
        <v>105.26886</v>
      </c>
      <c r="C2570">
        <f>+ROUND(Get_Data!C2569,5)</f>
        <v>40.691800000000001</v>
      </c>
      <c r="D2570" s="4">
        <f t="shared" si="41"/>
        <v>2.5869796863250092</v>
      </c>
    </row>
    <row r="2571" spans="1:4">
      <c r="A2571" s="2">
        <f>+Get_Data!A2570</f>
        <v>43173</v>
      </c>
      <c r="B2571">
        <f>+ROUND(Get_Data!B2570,5)</f>
        <v>104.35146</v>
      </c>
      <c r="C2571">
        <f>+ROUND(Get_Data!C2570,5)</f>
        <v>40.32338</v>
      </c>
      <c r="D2571" s="4">
        <f t="shared" si="41"/>
        <v>2.5878649061661001</v>
      </c>
    </row>
    <row r="2572" spans="1:4">
      <c r="A2572" s="2">
        <f>+Get_Data!A2571</f>
        <v>43174</v>
      </c>
      <c r="B2572">
        <f>+ROUND(Get_Data!B2571,5)</f>
        <v>103.77692</v>
      </c>
      <c r="C2572">
        <f>+ROUND(Get_Data!C2571,5)</f>
        <v>40.222059999999999</v>
      </c>
      <c r="D2572" s="4">
        <f t="shared" si="41"/>
        <v>2.5800995771971897</v>
      </c>
    </row>
    <row r="2573" spans="1:4">
      <c r="A2573" s="2">
        <f>+Get_Data!A2572</f>
        <v>43175</v>
      </c>
      <c r="B2573">
        <f>+ROUND(Get_Data!B2572,5)</f>
        <v>103.45261000000001</v>
      </c>
      <c r="C2573">
        <f>+ROUND(Get_Data!C2572,5)</f>
        <v>40.028640000000003</v>
      </c>
      <c r="D2573" s="4">
        <f t="shared" si="41"/>
        <v>2.5844647732223729</v>
      </c>
    </row>
    <row r="2574" spans="1:4">
      <c r="A2574" s="2">
        <f>+Get_Data!A2573</f>
        <v>43178</v>
      </c>
      <c r="B2574">
        <f>+ROUND(Get_Data!B2573,5)</f>
        <v>102.26646</v>
      </c>
      <c r="C2574">
        <f>+ROUND(Get_Data!C2573,5)</f>
        <v>39.844430000000003</v>
      </c>
      <c r="D2574" s="4">
        <f t="shared" si="41"/>
        <v>2.5666438194748924</v>
      </c>
    </row>
    <row r="2575" spans="1:4">
      <c r="A2575" s="2">
        <f>+Get_Data!A2574</f>
        <v>43179</v>
      </c>
      <c r="B2575">
        <f>+ROUND(Get_Data!B2574,5)</f>
        <v>101.8402</v>
      </c>
      <c r="C2575">
        <f>+ROUND(Get_Data!C2574,5)</f>
        <v>39.752330000000001</v>
      </c>
      <c r="D2575" s="4">
        <f t="shared" si="41"/>
        <v>2.5618674427385764</v>
      </c>
    </row>
    <row r="2576" spans="1:4">
      <c r="A2576" s="2">
        <f>+Get_Data!A2575</f>
        <v>43180</v>
      </c>
      <c r="B2576">
        <f>+ROUND(Get_Data!B2575,5)</f>
        <v>100.76527</v>
      </c>
      <c r="C2576">
        <f>+ROUND(Get_Data!C2575,5)</f>
        <v>39.604970000000002</v>
      </c>
      <c r="D2576" s="4">
        <f t="shared" si="41"/>
        <v>2.5442582079976326</v>
      </c>
    </row>
    <row r="2577" spans="1:4">
      <c r="A2577" s="2">
        <f>+Get_Data!A2576</f>
        <v>43181</v>
      </c>
      <c r="B2577">
        <f>+ROUND(Get_Data!B2576,5)</f>
        <v>100.02394</v>
      </c>
      <c r="C2577">
        <f>+ROUND(Get_Data!C2576,5)</f>
        <v>39.38391</v>
      </c>
      <c r="D2577" s="4">
        <f t="shared" si="41"/>
        <v>2.539715838269994</v>
      </c>
    </row>
    <row r="2578" spans="1:4">
      <c r="A2578" s="2">
        <f>+Get_Data!A2577</f>
        <v>43182</v>
      </c>
      <c r="B2578">
        <f>+ROUND(Get_Data!B2577,5)</f>
        <v>98.365219999999994</v>
      </c>
      <c r="C2578">
        <f>+ROUND(Get_Data!C2577,5)</f>
        <v>38.987870000000001</v>
      </c>
      <c r="D2578" s="4">
        <f t="shared" si="41"/>
        <v>2.5229698365158186</v>
      </c>
    </row>
    <row r="2579" spans="1:4">
      <c r="A2579" s="2">
        <f>+Get_Data!A2578</f>
        <v>43185</v>
      </c>
      <c r="B2579">
        <f>+ROUND(Get_Data!B2578,5)</f>
        <v>98.976820000000004</v>
      </c>
      <c r="C2579">
        <f>+ROUND(Get_Data!C2578,5)</f>
        <v>39.31944</v>
      </c>
      <c r="D2579" s="4">
        <f t="shared" si="41"/>
        <v>2.5172489740443913</v>
      </c>
    </row>
    <row r="2580" spans="1:4">
      <c r="A2580" s="2">
        <f>+Get_Data!A2579</f>
        <v>43186</v>
      </c>
      <c r="B2580">
        <f>+ROUND(Get_Data!B2579,5)</f>
        <v>99.745959999999997</v>
      </c>
      <c r="C2580">
        <f>+ROUND(Get_Data!C2579,5)</f>
        <v>39.50365</v>
      </c>
      <c r="D2580" s="4">
        <f t="shared" si="41"/>
        <v>2.5249808561993636</v>
      </c>
    </row>
    <row r="2581" spans="1:4">
      <c r="A2581" s="2">
        <f>+Get_Data!A2580</f>
        <v>43187</v>
      </c>
      <c r="B2581">
        <f>+ROUND(Get_Data!B2580,5)</f>
        <v>101.17301999999999</v>
      </c>
      <c r="C2581">
        <f>+ROUND(Get_Data!C2580,5)</f>
        <v>39.899700000000003</v>
      </c>
      <c r="D2581" s="4">
        <f t="shared" si="41"/>
        <v>2.5356837269453152</v>
      </c>
    </row>
    <row r="2582" spans="1:4">
      <c r="A2582" s="2">
        <f>+Get_Data!A2581</f>
        <v>43188</v>
      </c>
      <c r="B2582">
        <f>+ROUND(Get_Data!B2581,5)</f>
        <v>101.14521999999999</v>
      </c>
      <c r="C2582">
        <f>+ROUND(Get_Data!C2581,5)</f>
        <v>40.001019999999997</v>
      </c>
      <c r="D2582" s="4">
        <f t="shared" si="41"/>
        <v>2.5285660215664501</v>
      </c>
    </row>
    <row r="2583" spans="1:4">
      <c r="A2583" s="2">
        <f>+Get_Data!A2582</f>
        <v>43192</v>
      </c>
      <c r="B2583">
        <f>+ROUND(Get_Data!B2582,5)</f>
        <v>99.199209999999994</v>
      </c>
      <c r="C2583">
        <f>+ROUND(Get_Data!C2582,5)</f>
        <v>39.301029999999997</v>
      </c>
      <c r="D2583" s="4">
        <f t="shared" si="41"/>
        <v>2.5240867732983081</v>
      </c>
    </row>
    <row r="2584" spans="1:4">
      <c r="A2584" s="2">
        <f>+Get_Data!A2583</f>
        <v>43193</v>
      </c>
      <c r="B2584">
        <f>+ROUND(Get_Data!B2583,5)</f>
        <v>100.25561999999999</v>
      </c>
      <c r="C2584">
        <f>+ROUND(Get_Data!C2583,5)</f>
        <v>39.954970000000003</v>
      </c>
      <c r="D2584" s="4">
        <f t="shared" si="41"/>
        <v>2.5092152490666364</v>
      </c>
    </row>
    <row r="2585" spans="1:4">
      <c r="A2585" s="2">
        <f>+Get_Data!A2584</f>
        <v>43194</v>
      </c>
      <c r="B2585">
        <f>+ROUND(Get_Data!B2584,5)</f>
        <v>102.09966</v>
      </c>
      <c r="C2585">
        <f>+ROUND(Get_Data!C2584,5)</f>
        <v>40.747059999999998</v>
      </c>
      <c r="D2585" s="4">
        <f t="shared" si="41"/>
        <v>2.5056939077322391</v>
      </c>
    </row>
    <row r="2586" spans="1:4">
      <c r="A2586" s="2">
        <f>+Get_Data!A2585</f>
        <v>43195</v>
      </c>
      <c r="B2586">
        <f>+ROUND(Get_Data!B2585,5)</f>
        <v>102.46106</v>
      </c>
      <c r="C2586">
        <f>+ROUND(Get_Data!C2585,5)</f>
        <v>40.894419999999997</v>
      </c>
      <c r="D2586" s="4">
        <f t="shared" si="41"/>
        <v>2.5055022176619697</v>
      </c>
    </row>
    <row r="2587" spans="1:4">
      <c r="A2587" s="2">
        <f>+Get_Data!A2586</f>
        <v>43196</v>
      </c>
      <c r="B2587">
        <f>+ROUND(Get_Data!B2586,5)</f>
        <v>101.28422</v>
      </c>
      <c r="C2587">
        <f>+ROUND(Get_Data!C2586,5)</f>
        <v>40.45232</v>
      </c>
      <c r="D2587" s="4">
        <f t="shared" si="41"/>
        <v>2.503792613130718</v>
      </c>
    </row>
    <row r="2588" spans="1:4">
      <c r="A2588" s="2">
        <f>+Get_Data!A2587</f>
        <v>43199</v>
      </c>
      <c r="B2588">
        <f>+ROUND(Get_Data!B2587,5)</f>
        <v>101.35835</v>
      </c>
      <c r="C2588">
        <f>+ROUND(Get_Data!C2587,5)</f>
        <v>40.369430000000001</v>
      </c>
      <c r="D2588" s="4">
        <f t="shared" si="41"/>
        <v>2.5107699068329672</v>
      </c>
    </row>
    <row r="2589" spans="1:4">
      <c r="A2589" s="2">
        <f>+Get_Data!A2588</f>
        <v>43200</v>
      </c>
      <c r="B2589">
        <f>+ROUND(Get_Data!B2588,5)</f>
        <v>101.37688</v>
      </c>
      <c r="C2589">
        <f>+ROUND(Get_Data!C2588,5)</f>
        <v>40.516800000000003</v>
      </c>
      <c r="D2589" s="4">
        <f t="shared" si="41"/>
        <v>2.5020949334597002</v>
      </c>
    </row>
    <row r="2590" spans="1:4">
      <c r="A2590" s="2">
        <f>+Get_Data!A2589</f>
        <v>43201</v>
      </c>
      <c r="B2590">
        <f>+ROUND(Get_Data!B2589,5)</f>
        <v>100.70968000000001</v>
      </c>
      <c r="C2590">
        <f>+ROUND(Get_Data!C2589,5)</f>
        <v>40.516800000000003</v>
      </c>
      <c r="D2590" s="4">
        <f t="shared" si="41"/>
        <v>2.4856276902420724</v>
      </c>
    </row>
    <row r="2591" spans="1:4">
      <c r="A2591" s="2">
        <f>+Get_Data!A2590</f>
        <v>43202</v>
      </c>
      <c r="B2591">
        <f>+ROUND(Get_Data!B2590,5)</f>
        <v>100.36681</v>
      </c>
      <c r="C2591">
        <f>+ROUND(Get_Data!C2590,5)</f>
        <v>40.553640000000001</v>
      </c>
      <c r="D2591" s="4">
        <f t="shared" si="41"/>
        <v>2.4749149521473286</v>
      </c>
    </row>
    <row r="2592" spans="1:4">
      <c r="A2592" s="2">
        <f>+Get_Data!A2591</f>
        <v>43203</v>
      </c>
      <c r="B2592">
        <f>+ROUND(Get_Data!B2591,5)</f>
        <v>101.24714</v>
      </c>
      <c r="C2592">
        <f>+ROUND(Get_Data!C2591,5)</f>
        <v>40.995739999999998</v>
      </c>
      <c r="D2592" s="4">
        <f t="shared" si="41"/>
        <v>2.4696990467790068</v>
      </c>
    </row>
    <row r="2593" spans="1:4">
      <c r="A2593" s="2">
        <f>+Get_Data!A2592</f>
        <v>43206</v>
      </c>
      <c r="B2593">
        <f>+ROUND(Get_Data!B2592,5)</f>
        <v>101.85872999999999</v>
      </c>
      <c r="C2593">
        <f>+ROUND(Get_Data!C2592,5)</f>
        <v>41.152320000000003</v>
      </c>
      <c r="D2593" s="4">
        <f t="shared" si="41"/>
        <v>2.475163733174703</v>
      </c>
    </row>
    <row r="2594" spans="1:4">
      <c r="A2594" s="2">
        <f>+Get_Data!A2593</f>
        <v>43207</v>
      </c>
      <c r="B2594">
        <f>+ROUND(Get_Data!B2593,5)</f>
        <v>100.88574</v>
      </c>
      <c r="C2594">
        <f>+ROUND(Get_Data!C2593,5)</f>
        <v>41.336530000000003</v>
      </c>
      <c r="D2594" s="4">
        <f t="shared" si="41"/>
        <v>2.4405952797682824</v>
      </c>
    </row>
    <row r="2595" spans="1:4">
      <c r="A2595" s="2">
        <f>+Get_Data!A2594</f>
        <v>43208</v>
      </c>
      <c r="B2595">
        <f>+ROUND(Get_Data!B2594,5)</f>
        <v>99.134349999999998</v>
      </c>
      <c r="C2595">
        <f>+ROUND(Get_Data!C2594,5)</f>
        <v>40.995739999999998</v>
      </c>
      <c r="D2595" s="4">
        <f t="shared" si="41"/>
        <v>2.4181622285632605</v>
      </c>
    </row>
    <row r="2596" spans="1:4">
      <c r="A2596" s="2">
        <f>+Get_Data!A2595</f>
        <v>43209</v>
      </c>
      <c r="B2596">
        <f>+ROUND(Get_Data!B2595,5)</f>
        <v>97.827759999999998</v>
      </c>
      <c r="C2596">
        <f>+ROUND(Get_Data!C2595,5)</f>
        <v>40.811529999999998</v>
      </c>
      <c r="D2596" s="4">
        <f t="shared" si="41"/>
        <v>2.3970618107186867</v>
      </c>
    </row>
    <row r="2597" spans="1:4">
      <c r="A2597" s="2">
        <f>+Get_Data!A2596</f>
        <v>43210</v>
      </c>
      <c r="B2597">
        <f>+ROUND(Get_Data!B2596,5)</f>
        <v>94.964380000000006</v>
      </c>
      <c r="C2597">
        <f>+ROUND(Get_Data!C2596,5)</f>
        <v>40.286540000000002</v>
      </c>
      <c r="D2597" s="4">
        <f t="shared" si="41"/>
        <v>2.3572235292482304</v>
      </c>
    </row>
    <row r="2598" spans="1:4">
      <c r="A2598" s="2">
        <f>+Get_Data!A2597</f>
        <v>43213</v>
      </c>
      <c r="B2598">
        <f>+ROUND(Get_Data!B2597,5)</f>
        <v>95.057029999999997</v>
      </c>
      <c r="C2598">
        <f>+ROUND(Get_Data!C2597,5)</f>
        <v>40.50759</v>
      </c>
      <c r="D2598" s="4">
        <f t="shared" si="41"/>
        <v>2.346647381391981</v>
      </c>
    </row>
    <row r="2599" spans="1:4">
      <c r="A2599" s="2">
        <f>+Get_Data!A2598</f>
        <v>43214</v>
      </c>
      <c r="B2599">
        <f>+ROUND(Get_Data!B2598,5)</f>
        <v>94.000649999999993</v>
      </c>
      <c r="C2599">
        <f>+ROUND(Get_Data!C2598,5)</f>
        <v>39.669429999999998</v>
      </c>
      <c r="D2599" s="4">
        <f t="shared" si="41"/>
        <v>2.3695992102735026</v>
      </c>
    </row>
    <row r="2600" spans="1:4">
      <c r="A2600" s="2">
        <f>+Get_Data!A2599</f>
        <v>43215</v>
      </c>
      <c r="B2600">
        <f>+ROUND(Get_Data!B2599,5)</f>
        <v>93.731899999999996</v>
      </c>
      <c r="C2600">
        <f>+ROUND(Get_Data!C2599,5)</f>
        <v>39.079970000000003</v>
      </c>
      <c r="D2600" s="4">
        <f t="shared" si="41"/>
        <v>2.3984639701616963</v>
      </c>
    </row>
    <row r="2601" spans="1:4">
      <c r="A2601" s="2">
        <f>+Get_Data!A2600</f>
        <v>43216</v>
      </c>
      <c r="B2601">
        <f>+ROUND(Get_Data!B2600,5)</f>
        <v>95.687169999999995</v>
      </c>
      <c r="C2601">
        <f>+ROUND(Get_Data!C2600,5)</f>
        <v>39.374690000000001</v>
      </c>
      <c r="D2601" s="4">
        <f t="shared" si="41"/>
        <v>2.4301694819692545</v>
      </c>
    </row>
    <row r="2602" spans="1:4">
      <c r="A2602" s="2">
        <f>+Get_Data!A2601</f>
        <v>43217</v>
      </c>
      <c r="B2602">
        <f>+ROUND(Get_Data!B2601,5)</f>
        <v>94.250839999999997</v>
      </c>
      <c r="C2602">
        <f>+ROUND(Get_Data!C2601,5)</f>
        <v>39.89049</v>
      </c>
      <c r="D2602" s="4">
        <f t="shared" si="41"/>
        <v>2.3627395903133803</v>
      </c>
    </row>
    <row r="2603" spans="1:4">
      <c r="A2603" s="2">
        <f>+Get_Data!A2602</f>
        <v>43220</v>
      </c>
      <c r="B2603">
        <f>+ROUND(Get_Data!B2602,5)</f>
        <v>93.537319999999994</v>
      </c>
      <c r="C2603">
        <f>+ROUND(Get_Data!C2602,5)</f>
        <v>39.798389999999998</v>
      </c>
      <c r="D2603" s="4">
        <f t="shared" si="41"/>
        <v>2.3502789936979864</v>
      </c>
    </row>
    <row r="2604" spans="1:4">
      <c r="A2604" s="2">
        <f>+Get_Data!A2603</f>
        <v>43221</v>
      </c>
      <c r="B2604">
        <f>+ROUND(Get_Data!B2603,5)</f>
        <v>91.860050000000001</v>
      </c>
      <c r="C2604">
        <f>+ROUND(Get_Data!C2603,5)</f>
        <v>39.227339999999998</v>
      </c>
      <c r="D2604" s="4">
        <f t="shared" si="41"/>
        <v>2.3417353814966808</v>
      </c>
    </row>
    <row r="2605" spans="1:4">
      <c r="A2605" s="2">
        <f>+Get_Data!A2604</f>
        <v>43222</v>
      </c>
      <c r="B2605">
        <f>+ROUND(Get_Data!B2604,5)</f>
        <v>90.099400000000003</v>
      </c>
      <c r="C2605">
        <f>+ROUND(Get_Data!C2604,5)</f>
        <v>38.739179999999998</v>
      </c>
      <c r="D2605" s="4">
        <f t="shared" si="41"/>
        <v>2.3257952284999321</v>
      </c>
    </row>
    <row r="2606" spans="1:4">
      <c r="A2606" s="2">
        <f>+Get_Data!A2605</f>
        <v>43223</v>
      </c>
      <c r="B2606">
        <f>+ROUND(Get_Data!B2605,5)</f>
        <v>90.442260000000005</v>
      </c>
      <c r="C2606">
        <f>+ROUND(Get_Data!C2605,5)</f>
        <v>38.582599999999999</v>
      </c>
      <c r="D2606" s="4">
        <f t="shared" si="41"/>
        <v>2.3441204066081602</v>
      </c>
    </row>
    <row r="2607" spans="1:4">
      <c r="A2607" s="2">
        <f>+Get_Data!A2606</f>
        <v>43224</v>
      </c>
      <c r="B2607">
        <f>+ROUND(Get_Data!B2606,5)</f>
        <v>91.730320000000006</v>
      </c>
      <c r="C2607">
        <f>+ROUND(Get_Data!C2606,5)</f>
        <v>39.015500000000003</v>
      </c>
      <c r="D2607" s="4">
        <f t="shared" si="41"/>
        <v>2.351125065679025</v>
      </c>
    </row>
    <row r="2608" spans="1:4">
      <c r="A2608" s="2">
        <f>+Get_Data!A2607</f>
        <v>43227</v>
      </c>
      <c r="B2608">
        <f>+ROUND(Get_Data!B2607,5)</f>
        <v>91.026070000000004</v>
      </c>
      <c r="C2608">
        <f>+ROUND(Get_Data!C2607,5)</f>
        <v>38.812860000000001</v>
      </c>
      <c r="D2608" s="4">
        <f t="shared" si="41"/>
        <v>2.34525541276783</v>
      </c>
    </row>
    <row r="2609" spans="1:4">
      <c r="A2609" s="2">
        <f>+Get_Data!A2608</f>
        <v>43228</v>
      </c>
      <c r="B2609">
        <f>+ROUND(Get_Data!B2608,5)</f>
        <v>89.691659999999999</v>
      </c>
      <c r="C2609">
        <f>+ROUND(Get_Data!C2608,5)</f>
        <v>38.508920000000003</v>
      </c>
      <c r="D2609" s="4">
        <f t="shared" si="41"/>
        <v>2.3291138780313752</v>
      </c>
    </row>
    <row r="2610" spans="1:4">
      <c r="A2610" s="2">
        <f>+Get_Data!A2609</f>
        <v>43229</v>
      </c>
      <c r="B2610">
        <f>+ROUND(Get_Data!B2609,5)</f>
        <v>89.107870000000005</v>
      </c>
      <c r="C2610">
        <f>+ROUND(Get_Data!C2609,5)</f>
        <v>38.481290000000001</v>
      </c>
      <c r="D2610" s="4">
        <f t="shared" si="41"/>
        <v>2.3156154588372688</v>
      </c>
    </row>
    <row r="2611" spans="1:4">
      <c r="A2611" s="2">
        <f>+Get_Data!A2610</f>
        <v>43230</v>
      </c>
      <c r="B2611">
        <f>+ROUND(Get_Data!B2610,5)</f>
        <v>90.136449999999996</v>
      </c>
      <c r="C2611">
        <f>+ROUND(Get_Data!C2610,5)</f>
        <v>38.849710000000002</v>
      </c>
      <c r="D2611" s="4">
        <f t="shared" si="41"/>
        <v>2.3201318619881586</v>
      </c>
    </row>
    <row r="2612" spans="1:4">
      <c r="A2612" s="2">
        <f>+Get_Data!A2611</f>
        <v>43231</v>
      </c>
      <c r="B2612">
        <f>+ROUND(Get_Data!B2611,5)</f>
        <v>90.284719999999993</v>
      </c>
      <c r="C2612">
        <f>+ROUND(Get_Data!C2611,5)</f>
        <v>38.812860000000001</v>
      </c>
      <c r="D2612" s="4">
        <f t="shared" si="41"/>
        <v>2.3261547847800959</v>
      </c>
    </row>
    <row r="2613" spans="1:4">
      <c r="A2613" s="2">
        <f>+Get_Data!A2612</f>
        <v>43234</v>
      </c>
      <c r="B2613">
        <f>+ROUND(Get_Data!B2612,5)</f>
        <v>90.025260000000003</v>
      </c>
      <c r="C2613">
        <f>+ROUND(Get_Data!C2612,5)</f>
        <v>38.720770000000002</v>
      </c>
      <c r="D2613" s="4">
        <f t="shared" si="41"/>
        <v>2.3249863057991873</v>
      </c>
    </row>
    <row r="2614" spans="1:4">
      <c r="A2614" s="2">
        <f>+Get_Data!A2613</f>
        <v>43235</v>
      </c>
      <c r="B2614">
        <f>+ROUND(Get_Data!B2613,5)</f>
        <v>89.700919999999996</v>
      </c>
      <c r="C2614">
        <f>+ROUND(Get_Data!C2613,5)</f>
        <v>38.426029999999997</v>
      </c>
      <c r="D2614" s="4">
        <f t="shared" si="41"/>
        <v>2.3343790654407965</v>
      </c>
    </row>
    <row r="2615" spans="1:4">
      <c r="A2615" s="2">
        <f>+Get_Data!A2614</f>
        <v>43236</v>
      </c>
      <c r="B2615">
        <f>+ROUND(Get_Data!B2614,5)</f>
        <v>90.06232</v>
      </c>
      <c r="C2615">
        <f>+ROUND(Get_Data!C2614,5)</f>
        <v>38.269449999999999</v>
      </c>
      <c r="D2615" s="4">
        <f t="shared" si="41"/>
        <v>2.3533737746426979</v>
      </c>
    </row>
    <row r="2616" spans="1:4">
      <c r="A2616" s="2">
        <f>+Get_Data!A2615</f>
        <v>43237</v>
      </c>
      <c r="B2616">
        <f>+ROUND(Get_Data!B2615,5)</f>
        <v>90.738789999999995</v>
      </c>
      <c r="C2616">
        <f>+ROUND(Get_Data!C2615,5)</f>
        <v>38.960230000000003</v>
      </c>
      <c r="D2616" s="4">
        <f t="shared" si="41"/>
        <v>2.3290106346908113</v>
      </c>
    </row>
    <row r="2617" spans="1:4">
      <c r="A2617" s="2">
        <f>+Get_Data!A2616</f>
        <v>43238</v>
      </c>
      <c r="B2617">
        <f>+ROUND(Get_Data!B2616,5)</f>
        <v>90.358860000000007</v>
      </c>
      <c r="C2617">
        <f>+ROUND(Get_Data!C2616,5)</f>
        <v>38.849710000000002</v>
      </c>
      <c r="D2617" s="4">
        <f t="shared" si="41"/>
        <v>2.3258567438469941</v>
      </c>
    </row>
    <row r="2618" spans="1:4">
      <c r="A2618" s="2">
        <f>+Get_Data!A2617</f>
        <v>43241</v>
      </c>
      <c r="B2618">
        <f>+ROUND(Get_Data!B2617,5)</f>
        <v>92.212180000000004</v>
      </c>
      <c r="C2618">
        <f>+ROUND(Get_Data!C2617,5)</f>
        <v>39.061549999999997</v>
      </c>
      <c r="D2618" s="4">
        <f t="shared" si="41"/>
        <v>2.3606892199618299</v>
      </c>
    </row>
    <row r="2619" spans="1:4">
      <c r="A2619" s="2">
        <f>+Get_Data!A2618</f>
        <v>43242</v>
      </c>
      <c r="B2619">
        <f>+ROUND(Get_Data!B2618,5)</f>
        <v>92.601389999999995</v>
      </c>
      <c r="C2619">
        <f>+ROUND(Get_Data!C2618,5)</f>
        <v>38.914180000000002</v>
      </c>
      <c r="D2619" s="4">
        <f t="shared" si="41"/>
        <v>2.3796310239609313</v>
      </c>
    </row>
    <row r="2620" spans="1:4">
      <c r="A2620" s="2">
        <f>+Get_Data!A2619</f>
        <v>43243</v>
      </c>
      <c r="B2620">
        <f>+ROUND(Get_Data!B2619,5)</f>
        <v>93.083240000000004</v>
      </c>
      <c r="C2620">
        <f>+ROUND(Get_Data!C2619,5)</f>
        <v>39.052340000000001</v>
      </c>
      <c r="D2620" s="4">
        <f t="shared" si="41"/>
        <v>2.3835508960538601</v>
      </c>
    </row>
    <row r="2621" spans="1:4">
      <c r="A2621" s="2">
        <f>+Get_Data!A2620</f>
        <v>43244</v>
      </c>
      <c r="B2621">
        <f>+ROUND(Get_Data!B2620,5)</f>
        <v>92.83305</v>
      </c>
      <c r="C2621">
        <f>+ROUND(Get_Data!C2620,5)</f>
        <v>38.978659999999998</v>
      </c>
      <c r="D2621" s="4">
        <f t="shared" si="41"/>
        <v>2.3816377987339741</v>
      </c>
    </row>
    <row r="2622" spans="1:4">
      <c r="A2622" s="2">
        <f>+Get_Data!A2621</f>
        <v>43245</v>
      </c>
      <c r="B2622">
        <f>+ROUND(Get_Data!B2621,5)</f>
        <v>92.953519999999997</v>
      </c>
      <c r="C2622">
        <f>+ROUND(Get_Data!C2621,5)</f>
        <v>39.052340000000001</v>
      </c>
      <c r="D2622" s="4">
        <f t="shared" si="41"/>
        <v>2.3802292000940275</v>
      </c>
    </row>
    <row r="2623" spans="1:4">
      <c r="A2623" s="2">
        <f>+Get_Data!A2622</f>
        <v>43249</v>
      </c>
      <c r="B2623">
        <f>+ROUND(Get_Data!B2622,5)</f>
        <v>93.685590000000005</v>
      </c>
      <c r="C2623">
        <f>+ROUND(Get_Data!C2622,5)</f>
        <v>39.310229999999997</v>
      </c>
      <c r="D2623" s="4">
        <f t="shared" si="41"/>
        <v>2.3832368826129997</v>
      </c>
    </row>
    <row r="2624" spans="1:4">
      <c r="A2624" s="2">
        <f>+Get_Data!A2623</f>
        <v>43250</v>
      </c>
      <c r="B2624">
        <f>+ROUND(Get_Data!B2623,5)</f>
        <v>94.362049999999996</v>
      </c>
      <c r="C2624">
        <f>+ROUND(Get_Data!C2623,5)</f>
        <v>39.724699999999999</v>
      </c>
      <c r="D2624" s="4">
        <f t="shared" si="41"/>
        <v>2.3753999400876533</v>
      </c>
    </row>
    <row r="2625" spans="1:4">
      <c r="A2625" s="2">
        <f>+Get_Data!A2624</f>
        <v>43251</v>
      </c>
      <c r="B2625">
        <f>+ROUND(Get_Data!B2624,5)</f>
        <v>93.752300000000005</v>
      </c>
      <c r="C2625">
        <f>+ROUND(Get_Data!C2624,5)</f>
        <v>39.604970000000002</v>
      </c>
      <c r="D2625" s="4">
        <f t="shared" si="41"/>
        <v>2.3671852295305364</v>
      </c>
    </row>
    <row r="2626" spans="1:4">
      <c r="A2626" s="2">
        <f>+Get_Data!A2625</f>
        <v>43252</v>
      </c>
      <c r="B2626">
        <f>+ROUND(Get_Data!B2625,5)</f>
        <v>93.752300000000005</v>
      </c>
      <c r="C2626">
        <f>+ROUND(Get_Data!C2625,5)</f>
        <v>39.715479999999999</v>
      </c>
      <c r="D2626" s="4">
        <f t="shared" si="41"/>
        <v>2.3605984366801058</v>
      </c>
    </row>
    <row r="2627" spans="1:4">
      <c r="A2627" s="2">
        <f>+Get_Data!A2626</f>
        <v>43255</v>
      </c>
      <c r="B2627">
        <f>+ROUND(Get_Data!B2626,5)</f>
        <v>93.63073</v>
      </c>
      <c r="C2627">
        <f>+ROUND(Get_Data!C2626,5)</f>
        <v>40.056280000000001</v>
      </c>
      <c r="D2627" s="4">
        <f t="shared" si="41"/>
        <v>2.3374794164610391</v>
      </c>
    </row>
    <row r="2628" spans="1:4">
      <c r="A2628" s="2">
        <f>+Get_Data!A2627</f>
        <v>43256</v>
      </c>
      <c r="B2628">
        <f>+ROUND(Get_Data!B2627,5)</f>
        <v>93.7149</v>
      </c>
      <c r="C2628">
        <f>+ROUND(Get_Data!C2627,5)</f>
        <v>39.70628</v>
      </c>
      <c r="D2628" s="4">
        <f t="shared" ref="D2628:D2691" si="42">IFERROR(B2628/C2628,"")</f>
        <v>2.3602034741103926</v>
      </c>
    </row>
    <row r="2629" spans="1:4">
      <c r="A2629" s="2">
        <f>+Get_Data!A2628</f>
        <v>43257</v>
      </c>
      <c r="B2629">
        <f>+ROUND(Get_Data!B2628,5)</f>
        <v>94.294719999999998</v>
      </c>
      <c r="C2629">
        <f>+ROUND(Get_Data!C2628,5)</f>
        <v>40.028640000000003</v>
      </c>
      <c r="D2629" s="4">
        <f t="shared" si="42"/>
        <v>2.3556813321661689</v>
      </c>
    </row>
    <row r="2630" spans="1:4">
      <c r="A2630" s="2">
        <f>+Get_Data!A2629</f>
        <v>43258</v>
      </c>
      <c r="B2630">
        <f>+ROUND(Get_Data!B2629,5)</f>
        <v>94.603319999999997</v>
      </c>
      <c r="C2630">
        <f>+ROUND(Get_Data!C2629,5)</f>
        <v>40.01023</v>
      </c>
      <c r="D2630" s="4">
        <f t="shared" si="42"/>
        <v>2.3644782846786931</v>
      </c>
    </row>
    <row r="2631" spans="1:4">
      <c r="A2631" s="2">
        <f>+Get_Data!A2630</f>
        <v>43259</v>
      </c>
      <c r="B2631">
        <f>+ROUND(Get_Data!B2630,5)</f>
        <v>95.847110000000001</v>
      </c>
      <c r="C2631">
        <f>+ROUND(Get_Data!C2630,5)</f>
        <v>40.479959999999998</v>
      </c>
      <c r="D2631" s="4">
        <f t="shared" si="42"/>
        <v>2.3677669147894416</v>
      </c>
    </row>
    <row r="2632" spans="1:4">
      <c r="A2632" s="2">
        <f>+Get_Data!A2631</f>
        <v>43262</v>
      </c>
      <c r="B2632">
        <f>+ROUND(Get_Data!B2631,5)</f>
        <v>96.520449999999997</v>
      </c>
      <c r="C2632">
        <f>+ROUND(Get_Data!C2631,5)</f>
        <v>40.64575</v>
      </c>
      <c r="D2632" s="4">
        <f t="shared" si="42"/>
        <v>2.3746750890314483</v>
      </c>
    </row>
    <row r="2633" spans="1:4">
      <c r="A2633" s="2">
        <f>+Get_Data!A2632</f>
        <v>43263</v>
      </c>
      <c r="B2633">
        <f>+ROUND(Get_Data!B2632,5)</f>
        <v>97.70814</v>
      </c>
      <c r="C2633">
        <f>+ROUND(Get_Data!C2632,5)</f>
        <v>40.903640000000003</v>
      </c>
      <c r="D2633" s="4">
        <f t="shared" si="42"/>
        <v>2.38873948626577</v>
      </c>
    </row>
    <row r="2634" spans="1:4">
      <c r="A2634" s="2">
        <f>+Get_Data!A2633</f>
        <v>43264</v>
      </c>
      <c r="B2634">
        <f>+ROUND(Get_Data!B2633,5)</f>
        <v>98.446920000000006</v>
      </c>
      <c r="C2634">
        <f>+ROUND(Get_Data!C2633,5)</f>
        <v>40.691800000000001</v>
      </c>
      <c r="D2634" s="4">
        <f t="shared" si="42"/>
        <v>2.4193306759592841</v>
      </c>
    </row>
    <row r="2635" spans="1:4">
      <c r="A2635" s="2">
        <f>+Get_Data!A2634</f>
        <v>43265</v>
      </c>
      <c r="B2635">
        <f>+ROUND(Get_Data!B2634,5)</f>
        <v>98.315989999999999</v>
      </c>
      <c r="C2635">
        <f>+ROUND(Get_Data!C2634,5)</f>
        <v>40.496659999999999</v>
      </c>
      <c r="D2635" s="4">
        <f t="shared" si="42"/>
        <v>2.4277555235419417</v>
      </c>
    </row>
    <row r="2636" spans="1:4">
      <c r="A2636" s="2">
        <f>+Get_Data!A2635</f>
        <v>43266</v>
      </c>
      <c r="B2636">
        <f>+ROUND(Get_Data!B2635,5)</f>
        <v>100.63526</v>
      </c>
      <c r="C2636">
        <f>+ROUND(Get_Data!C2635,5)</f>
        <v>40.998449999999998</v>
      </c>
      <c r="D2636" s="4">
        <f t="shared" si="42"/>
        <v>2.4546113328674624</v>
      </c>
    </row>
    <row r="2637" spans="1:4">
      <c r="A2637" s="2">
        <f>+Get_Data!A2636</f>
        <v>43269</v>
      </c>
      <c r="B2637">
        <f>+ROUND(Get_Data!B2636,5)</f>
        <v>98.549800000000005</v>
      </c>
      <c r="C2637">
        <f>+ROUND(Get_Data!C2636,5)</f>
        <v>40.468780000000002</v>
      </c>
      <c r="D2637" s="4">
        <f t="shared" si="42"/>
        <v>2.4352056078784683</v>
      </c>
    </row>
    <row r="2638" spans="1:4">
      <c r="A2638" s="2">
        <f>+Get_Data!A2637</f>
        <v>43270</v>
      </c>
      <c r="B2638">
        <f>+ROUND(Get_Data!B2637,5)</f>
        <v>99.092200000000005</v>
      </c>
      <c r="C2638">
        <f>+ROUND(Get_Data!C2637,5)</f>
        <v>40.515239999999999</v>
      </c>
      <c r="D2638" s="4">
        <f t="shared" si="42"/>
        <v>2.4458006419312834</v>
      </c>
    </row>
    <row r="2639" spans="1:4">
      <c r="A2639" s="2">
        <f>+Get_Data!A2638</f>
        <v>43271</v>
      </c>
      <c r="B2639">
        <f>+ROUND(Get_Data!B2638,5)</f>
        <v>98.951920000000001</v>
      </c>
      <c r="C2639">
        <f>+ROUND(Get_Data!C2638,5)</f>
        <v>40.199289999999998</v>
      </c>
      <c r="D2639" s="4">
        <f t="shared" si="42"/>
        <v>2.4615340221183013</v>
      </c>
    </row>
    <row r="2640" spans="1:4">
      <c r="A2640" s="2">
        <f>+Get_Data!A2639</f>
        <v>43272</v>
      </c>
      <c r="B2640">
        <f>+ROUND(Get_Data!B2639,5)</f>
        <v>100.28925</v>
      </c>
      <c r="C2640">
        <f>+ROUND(Get_Data!C2639,5)</f>
        <v>40.041319999999999</v>
      </c>
      <c r="D2640" s="4">
        <f t="shared" si="42"/>
        <v>2.5046439527967608</v>
      </c>
    </row>
    <row r="2641" spans="1:4">
      <c r="A2641" s="2">
        <f>+Get_Data!A2640</f>
        <v>43273</v>
      </c>
      <c r="B2641">
        <f>+ROUND(Get_Data!B2640,5)</f>
        <v>101.34601000000001</v>
      </c>
      <c r="C2641">
        <f>+ROUND(Get_Data!C2640,5)</f>
        <v>40.190010000000001</v>
      </c>
      <c r="D2641" s="4">
        <f t="shared" si="42"/>
        <v>2.5216716791063254</v>
      </c>
    </row>
    <row r="2642" spans="1:4">
      <c r="A2642" s="2">
        <f>+Get_Data!A2641</f>
        <v>43276</v>
      </c>
      <c r="B2642">
        <f>+ROUND(Get_Data!B2641,5)</f>
        <v>101.92582</v>
      </c>
      <c r="C2642">
        <f>+ROUND(Get_Data!C2641,5)</f>
        <v>40.496659999999999</v>
      </c>
      <c r="D2642" s="4">
        <f t="shared" si="42"/>
        <v>2.5168944796928931</v>
      </c>
    </row>
    <row r="2643" spans="1:4">
      <c r="A2643" s="2">
        <f>+Get_Data!A2642</f>
        <v>43277</v>
      </c>
      <c r="B2643">
        <f>+ROUND(Get_Data!B2642,5)</f>
        <v>101.04675</v>
      </c>
      <c r="C2643">
        <f>+ROUND(Get_Data!C2642,5)</f>
        <v>40.26435</v>
      </c>
      <c r="D2643" s="4">
        <f t="shared" si="42"/>
        <v>2.5095835397814694</v>
      </c>
    </row>
    <row r="2644" spans="1:4">
      <c r="A2644" s="2">
        <f>+Get_Data!A2643</f>
        <v>43278</v>
      </c>
      <c r="B2644">
        <f>+ROUND(Get_Data!B2643,5)</f>
        <v>101.25248000000001</v>
      </c>
      <c r="C2644">
        <f>+ROUND(Get_Data!C2643,5)</f>
        <v>40.022739999999999</v>
      </c>
      <c r="D2644" s="4">
        <f t="shared" si="42"/>
        <v>2.5298737667635951</v>
      </c>
    </row>
    <row r="2645" spans="1:4">
      <c r="A2645" s="2">
        <f>+Get_Data!A2644</f>
        <v>43279</v>
      </c>
      <c r="B2645">
        <f>+ROUND(Get_Data!B2644,5)</f>
        <v>101.63592</v>
      </c>
      <c r="C2645">
        <f>+ROUND(Get_Data!C2644,5)</f>
        <v>40.394440000000003</v>
      </c>
      <c r="D2645" s="4">
        <f t="shared" si="42"/>
        <v>2.516086867400563</v>
      </c>
    </row>
    <row r="2646" spans="1:4">
      <c r="A2646" s="2">
        <f>+Get_Data!A2645</f>
        <v>43280</v>
      </c>
      <c r="B2646">
        <f>+ROUND(Get_Data!B2645,5)</f>
        <v>101.81359</v>
      </c>
      <c r="C2646">
        <f>+ROUND(Get_Data!C2645,5)</f>
        <v>40.75685</v>
      </c>
      <c r="D2646" s="4">
        <f t="shared" si="42"/>
        <v>2.4980730846471206</v>
      </c>
    </row>
    <row r="2647" spans="1:4">
      <c r="A2647" s="2">
        <f>+Get_Data!A2646</f>
        <v>43283</v>
      </c>
      <c r="B2647">
        <f>+ROUND(Get_Data!B2646,5)</f>
        <v>102.43080999999999</v>
      </c>
      <c r="C2647">
        <f>+ROUND(Get_Data!C2646,5)</f>
        <v>40.654629999999997</v>
      </c>
      <c r="D2647" s="4">
        <f t="shared" si="42"/>
        <v>2.519536151232959</v>
      </c>
    </row>
    <row r="2648" spans="1:4">
      <c r="A2648" s="2">
        <f>+Get_Data!A2647</f>
        <v>43284</v>
      </c>
      <c r="B2648">
        <f>+ROUND(Get_Data!B2647,5)</f>
        <v>101.74815</v>
      </c>
      <c r="C2648">
        <f>+ROUND(Get_Data!C2647,5)</f>
        <v>40.877650000000003</v>
      </c>
      <c r="D2648" s="4">
        <f t="shared" si="42"/>
        <v>2.4890900039508139</v>
      </c>
    </row>
    <row r="2649" spans="1:4">
      <c r="A2649" s="2">
        <f>+Get_Data!A2648</f>
        <v>43286</v>
      </c>
      <c r="B2649">
        <f>+ROUND(Get_Data!B2648,5)</f>
        <v>102.44952000000001</v>
      </c>
      <c r="C2649">
        <f>+ROUND(Get_Data!C2648,5)</f>
        <v>41.500239999999998</v>
      </c>
      <c r="D2649" s="4">
        <f t="shared" si="42"/>
        <v>2.4686488560066162</v>
      </c>
    </row>
    <row r="2650" spans="1:4">
      <c r="A2650" s="2">
        <f>+Get_Data!A2649</f>
        <v>43287</v>
      </c>
      <c r="B2650">
        <f>+ROUND(Get_Data!B2649,5)</f>
        <v>102.45887999999999</v>
      </c>
      <c r="C2650">
        <f>+ROUND(Get_Data!C2649,5)</f>
        <v>41.481659999999998</v>
      </c>
      <c r="D2650" s="4">
        <f t="shared" si="42"/>
        <v>2.4699802274065212</v>
      </c>
    </row>
    <row r="2651" spans="1:4">
      <c r="A2651" s="2">
        <f>+Get_Data!A2650</f>
        <v>43290</v>
      </c>
      <c r="B2651">
        <f>+ROUND(Get_Data!B2650,5)</f>
        <v>100.77554000000001</v>
      </c>
      <c r="C2651">
        <f>+ROUND(Get_Data!C2650,5)</f>
        <v>41.25864</v>
      </c>
      <c r="D2651" s="4">
        <f t="shared" si="42"/>
        <v>2.4425317945526079</v>
      </c>
    </row>
    <row r="2652" spans="1:4">
      <c r="A2652" s="2">
        <f>+Get_Data!A2651</f>
        <v>43291</v>
      </c>
      <c r="B2652">
        <f>+ROUND(Get_Data!B2651,5)</f>
        <v>105.57304000000001</v>
      </c>
      <c r="C2652">
        <f>+ROUND(Get_Data!C2651,5)</f>
        <v>41.788319999999999</v>
      </c>
      <c r="D2652" s="4">
        <f t="shared" si="42"/>
        <v>2.5263767483354203</v>
      </c>
    </row>
    <row r="2653" spans="1:4">
      <c r="A2653" s="2">
        <f>+Get_Data!A2652</f>
        <v>43292</v>
      </c>
      <c r="B2653">
        <f>+ROUND(Get_Data!B2652,5)</f>
        <v>105.24574</v>
      </c>
      <c r="C2653">
        <f>+ROUND(Get_Data!C2652,5)</f>
        <v>41.621040000000001</v>
      </c>
      <c r="D2653" s="4">
        <f t="shared" si="42"/>
        <v>2.5286667512392769</v>
      </c>
    </row>
    <row r="2654" spans="1:4">
      <c r="A2654" s="2">
        <f>+Get_Data!A2653</f>
        <v>43293</v>
      </c>
      <c r="B2654">
        <f>+ROUND(Get_Data!B2653,5)</f>
        <v>104.30119000000001</v>
      </c>
      <c r="C2654">
        <f>+ROUND(Get_Data!C2653,5)</f>
        <v>41.509540000000001</v>
      </c>
      <c r="D2654" s="4">
        <f t="shared" si="42"/>
        <v>2.5127040675468821</v>
      </c>
    </row>
    <row r="2655" spans="1:4">
      <c r="A2655" s="2">
        <f>+Get_Data!A2654</f>
        <v>43294</v>
      </c>
      <c r="B2655">
        <f>+ROUND(Get_Data!B2654,5)</f>
        <v>105.386</v>
      </c>
      <c r="C2655">
        <f>+ROUND(Get_Data!C2654,5)</f>
        <v>41.574579999999997</v>
      </c>
      <c r="D2655" s="4">
        <f t="shared" si="42"/>
        <v>2.5348662572177521</v>
      </c>
    </row>
    <row r="2656" spans="1:4">
      <c r="A2656" s="2">
        <f>+Get_Data!A2655</f>
        <v>43297</v>
      </c>
      <c r="B2656">
        <f>+ROUND(Get_Data!B2655,5)</f>
        <v>105.63851</v>
      </c>
      <c r="C2656">
        <f>+ROUND(Get_Data!C2655,5)</f>
        <v>41.565289999999997</v>
      </c>
      <c r="D2656" s="4">
        <f t="shared" si="42"/>
        <v>2.5415078302112173</v>
      </c>
    </row>
    <row r="2657" spans="1:4">
      <c r="A2657" s="2">
        <f>+Get_Data!A2656</f>
        <v>43298</v>
      </c>
      <c r="B2657">
        <f>+ROUND(Get_Data!B2656,5)</f>
        <v>107.43406</v>
      </c>
      <c r="C2657">
        <f>+ROUND(Get_Data!C2656,5)</f>
        <v>42.048499999999997</v>
      </c>
      <c r="D2657" s="4">
        <f t="shared" si="42"/>
        <v>2.55500338894372</v>
      </c>
    </row>
    <row r="2658" spans="1:4">
      <c r="A2658" s="2">
        <f>+Get_Data!A2657</f>
        <v>43299</v>
      </c>
      <c r="B2658">
        <f>+ROUND(Get_Data!B2657,5)</f>
        <v>107.3873</v>
      </c>
      <c r="C2658">
        <f>+ROUND(Get_Data!C2657,5)</f>
        <v>41.927700000000002</v>
      </c>
      <c r="D2658" s="4">
        <f t="shared" si="42"/>
        <v>2.5612494842311881</v>
      </c>
    </row>
    <row r="2659" spans="1:4">
      <c r="A2659" s="2">
        <f>+Get_Data!A2658</f>
        <v>43300</v>
      </c>
      <c r="B2659">
        <f>+ROUND(Get_Data!B2658,5)</f>
        <v>108.26636999999999</v>
      </c>
      <c r="C2659">
        <f>+ROUND(Get_Data!C2658,5)</f>
        <v>41.918410000000002</v>
      </c>
      <c r="D2659" s="4">
        <f t="shared" si="42"/>
        <v>2.5827880876206897</v>
      </c>
    </row>
    <row r="2660" spans="1:4">
      <c r="A2660" s="2">
        <f>+Get_Data!A2659</f>
        <v>43301</v>
      </c>
      <c r="B2660">
        <f>+ROUND(Get_Data!B2659,5)</f>
        <v>108.49081</v>
      </c>
      <c r="C2660">
        <f>+ROUND(Get_Data!C2659,5)</f>
        <v>42.076369999999997</v>
      </c>
      <c r="D2660" s="4">
        <f t="shared" si="42"/>
        <v>2.5784260857103405</v>
      </c>
    </row>
    <row r="2661" spans="1:4">
      <c r="A2661" s="2">
        <f>+Get_Data!A2660</f>
        <v>43304</v>
      </c>
      <c r="B2661">
        <f>+ROUND(Get_Data!B2660,5)</f>
        <v>106.97582</v>
      </c>
      <c r="C2661">
        <f>+ROUND(Get_Data!C2660,5)</f>
        <v>41.769730000000003</v>
      </c>
      <c r="D2661" s="4">
        <f t="shared" si="42"/>
        <v>2.5610847855612184</v>
      </c>
    </row>
    <row r="2662" spans="1:4">
      <c r="A2662" s="2">
        <f>+Get_Data!A2661</f>
        <v>43305</v>
      </c>
      <c r="B2662">
        <f>+ROUND(Get_Data!B2661,5)</f>
        <v>107.30313</v>
      </c>
      <c r="C2662">
        <f>+ROUND(Get_Data!C2661,5)</f>
        <v>42.057789999999997</v>
      </c>
      <c r="D2662" s="4">
        <f t="shared" si="42"/>
        <v>2.5513259255895284</v>
      </c>
    </row>
    <row r="2663" spans="1:4">
      <c r="A2663" s="2">
        <f>+Get_Data!A2662</f>
        <v>43306</v>
      </c>
      <c r="B2663">
        <f>+ROUND(Get_Data!B2662,5)</f>
        <v>107.74267999999999</v>
      </c>
      <c r="C2663">
        <f>+ROUND(Get_Data!C2662,5)</f>
        <v>42.829070000000002</v>
      </c>
      <c r="D2663" s="4">
        <f t="shared" si="42"/>
        <v>2.5156436971430849</v>
      </c>
    </row>
    <row r="2664" spans="1:4">
      <c r="A2664" s="2">
        <f>+Get_Data!A2663</f>
        <v>43307</v>
      </c>
      <c r="B2664">
        <f>+ROUND(Get_Data!B2663,5)</f>
        <v>107.54629</v>
      </c>
      <c r="C2664">
        <f>+ROUND(Get_Data!C2663,5)</f>
        <v>42.96846</v>
      </c>
      <c r="D2664" s="4">
        <f t="shared" si="42"/>
        <v>2.5029123687467503</v>
      </c>
    </row>
    <row r="2665" spans="1:4">
      <c r="A2665" s="2">
        <f>+Get_Data!A2664</f>
        <v>43308</v>
      </c>
      <c r="B2665">
        <f>+ROUND(Get_Data!B2664,5)</f>
        <v>106.87296000000001</v>
      </c>
      <c r="C2665">
        <f>+ROUND(Get_Data!C2664,5)</f>
        <v>42.940579999999997</v>
      </c>
      <c r="D2665" s="4">
        <f t="shared" si="42"/>
        <v>2.4888569274099237</v>
      </c>
    </row>
    <row r="2666" spans="1:4">
      <c r="A2666" s="2">
        <f>+Get_Data!A2665</f>
        <v>43311</v>
      </c>
      <c r="B2666">
        <f>+ROUND(Get_Data!B2665,5)</f>
        <v>106.77943</v>
      </c>
      <c r="C2666">
        <f>+ROUND(Get_Data!C2665,5)</f>
        <v>42.959159999999997</v>
      </c>
      <c r="D2666" s="4">
        <f t="shared" si="42"/>
        <v>2.4856033032303242</v>
      </c>
    </row>
    <row r="2667" spans="1:4">
      <c r="A2667" s="2">
        <f>+Get_Data!A2666</f>
        <v>43312</v>
      </c>
      <c r="B2667">
        <f>+ROUND(Get_Data!B2666,5)</f>
        <v>107.54629</v>
      </c>
      <c r="C2667">
        <f>+ROUND(Get_Data!C2666,5)</f>
        <v>43.330869999999997</v>
      </c>
      <c r="D2667" s="4">
        <f t="shared" si="42"/>
        <v>2.4819785524730986</v>
      </c>
    </row>
    <row r="2668" spans="1:4">
      <c r="A2668" s="2">
        <f>+Get_Data!A2667</f>
        <v>43313</v>
      </c>
      <c r="B2668">
        <f>+ROUND(Get_Data!B2667,5)</f>
        <v>106.24637</v>
      </c>
      <c r="C2668">
        <f>+ROUND(Get_Data!C2667,5)</f>
        <v>43.107840000000003</v>
      </c>
      <c r="D2668" s="4">
        <f t="shared" si="42"/>
        <v>2.4646646642466892</v>
      </c>
    </row>
    <row r="2669" spans="1:4">
      <c r="A2669" s="2">
        <f>+Get_Data!A2668</f>
        <v>43314</v>
      </c>
      <c r="B2669">
        <f>+ROUND(Get_Data!B2668,5)</f>
        <v>107.25637</v>
      </c>
      <c r="C2669">
        <f>+ROUND(Get_Data!C2668,5)</f>
        <v>42.912700000000001</v>
      </c>
      <c r="D2669" s="4">
        <f t="shared" si="42"/>
        <v>2.4994085666947083</v>
      </c>
    </row>
    <row r="2670" spans="1:4">
      <c r="A2670" s="2">
        <f>+Get_Data!A2669</f>
        <v>43315</v>
      </c>
      <c r="B2670">
        <f>+ROUND(Get_Data!B2669,5)</f>
        <v>108.76202000000001</v>
      </c>
      <c r="C2670">
        <f>+ROUND(Get_Data!C2669,5)</f>
        <v>43.321579999999997</v>
      </c>
      <c r="D2670" s="4">
        <f t="shared" si="42"/>
        <v>2.5105737140704476</v>
      </c>
    </row>
    <row r="2671" spans="1:4">
      <c r="A2671" s="2">
        <f>+Get_Data!A2670</f>
        <v>43318</v>
      </c>
      <c r="B2671">
        <f>+ROUND(Get_Data!B2670,5)</f>
        <v>109.77203</v>
      </c>
      <c r="C2671">
        <f>+ROUND(Get_Data!C2670,5)</f>
        <v>43.349449999999997</v>
      </c>
      <c r="D2671" s="4">
        <f t="shared" si="42"/>
        <v>2.5322588867909515</v>
      </c>
    </row>
    <row r="2672" spans="1:4">
      <c r="A2672" s="2">
        <f>+Get_Data!A2671</f>
        <v>43319</v>
      </c>
      <c r="B2672">
        <f>+ROUND(Get_Data!B2671,5)</f>
        <v>106.81685</v>
      </c>
      <c r="C2672">
        <f>+ROUND(Get_Data!C2671,5)</f>
        <v>43.210059999999999</v>
      </c>
      <c r="D2672" s="4">
        <f t="shared" si="42"/>
        <v>2.4720366044388737</v>
      </c>
    </row>
    <row r="2673" spans="1:4">
      <c r="A2673" s="2">
        <f>+Get_Data!A2672</f>
        <v>43320</v>
      </c>
      <c r="B2673">
        <f>+ROUND(Get_Data!B2672,5)</f>
        <v>106.13415000000001</v>
      </c>
      <c r="C2673">
        <f>+ROUND(Get_Data!C2672,5)</f>
        <v>42.884830000000001</v>
      </c>
      <c r="D2673" s="4">
        <f t="shared" si="42"/>
        <v>2.4748646549374218</v>
      </c>
    </row>
    <row r="2674" spans="1:4">
      <c r="A2674" s="2">
        <f>+Get_Data!A2673</f>
        <v>43321</v>
      </c>
      <c r="B2674">
        <f>+ROUND(Get_Data!B2673,5)</f>
        <v>106.33054</v>
      </c>
      <c r="C2674">
        <f>+ROUND(Get_Data!C2673,5)</f>
        <v>43.07067</v>
      </c>
      <c r="D2674" s="4">
        <f t="shared" si="42"/>
        <v>2.4687459006326113</v>
      </c>
    </row>
    <row r="2675" spans="1:4">
      <c r="A2675" s="2">
        <f>+Get_Data!A2674</f>
        <v>43322</v>
      </c>
      <c r="B2675">
        <f>+ROUND(Get_Data!B2674,5)</f>
        <v>105.55434</v>
      </c>
      <c r="C2675">
        <f>+ROUND(Get_Data!C2674,5)</f>
        <v>42.819780000000002</v>
      </c>
      <c r="D2675" s="4">
        <f t="shared" si="42"/>
        <v>2.4650836599347308</v>
      </c>
    </row>
    <row r="2676" spans="1:4">
      <c r="A2676" s="2">
        <f>+Get_Data!A2675</f>
        <v>43325</v>
      </c>
      <c r="B2676">
        <f>+ROUND(Get_Data!B2675,5)</f>
        <v>105.69462</v>
      </c>
      <c r="C2676">
        <f>+ROUND(Get_Data!C2675,5)</f>
        <v>42.587470000000003</v>
      </c>
      <c r="D2676" s="4">
        <f t="shared" si="42"/>
        <v>2.4818243488049418</v>
      </c>
    </row>
    <row r="2677" spans="1:4">
      <c r="A2677" s="2">
        <f>+Get_Data!A2676</f>
        <v>43326</v>
      </c>
      <c r="B2677">
        <f>+ROUND(Get_Data!B2676,5)</f>
        <v>105.76943</v>
      </c>
      <c r="C2677">
        <f>+ROUND(Get_Data!C2676,5)</f>
        <v>42.643219999999999</v>
      </c>
      <c r="D2677" s="4">
        <f t="shared" si="42"/>
        <v>2.4803340366885989</v>
      </c>
    </row>
    <row r="2678" spans="1:4">
      <c r="A2678" s="2">
        <f>+Get_Data!A2677</f>
        <v>43327</v>
      </c>
      <c r="B2678">
        <f>+ROUND(Get_Data!B2677,5)</f>
        <v>106.09675</v>
      </c>
      <c r="C2678">
        <f>+ROUND(Get_Data!C2677,5)</f>
        <v>42.819780000000002</v>
      </c>
      <c r="D2678" s="4">
        <f t="shared" si="42"/>
        <v>2.4777509365998611</v>
      </c>
    </row>
    <row r="2679" spans="1:4">
      <c r="A2679" s="2">
        <f>+Get_Data!A2678</f>
        <v>43328</v>
      </c>
      <c r="B2679">
        <f>+ROUND(Get_Data!B2678,5)</f>
        <v>106.84489000000001</v>
      </c>
      <c r="C2679">
        <f>+ROUND(Get_Data!C2678,5)</f>
        <v>42.949869999999997</v>
      </c>
      <c r="D2679" s="4">
        <f t="shared" si="42"/>
        <v>2.4876650383342258</v>
      </c>
    </row>
    <row r="2680" spans="1:4">
      <c r="A2680" s="2">
        <f>+Get_Data!A2679</f>
        <v>43329</v>
      </c>
      <c r="B2680">
        <f>+ROUND(Get_Data!B2679,5)</f>
        <v>107.50888999999999</v>
      </c>
      <c r="C2680">
        <f>+ROUND(Get_Data!C2679,5)</f>
        <v>43.302990000000001</v>
      </c>
      <c r="D2680" s="4">
        <f t="shared" si="42"/>
        <v>2.4827128565487047</v>
      </c>
    </row>
    <row r="2681" spans="1:4">
      <c r="A2681" s="2">
        <f>+Get_Data!A2680</f>
        <v>43332</v>
      </c>
      <c r="B2681">
        <f>+ROUND(Get_Data!B2680,5)</f>
        <v>107.39664</v>
      </c>
      <c r="C2681">
        <f>+ROUND(Get_Data!C2680,5)</f>
        <v>43.423789999999997</v>
      </c>
      <c r="D2681" s="4">
        <f t="shared" si="42"/>
        <v>2.4732212457733427</v>
      </c>
    </row>
    <row r="2682" spans="1:4">
      <c r="A2682" s="2">
        <f>+Get_Data!A2681</f>
        <v>43333</v>
      </c>
      <c r="B2682">
        <f>+ROUND(Get_Data!B2681,5)</f>
        <v>106.34925</v>
      </c>
      <c r="C2682">
        <f>+ROUND(Get_Data!C2681,5)</f>
        <v>42.949869999999997</v>
      </c>
      <c r="D2682" s="4">
        <f t="shared" si="42"/>
        <v>2.4761250732540052</v>
      </c>
    </row>
    <row r="2683" spans="1:4">
      <c r="A2683" s="2">
        <f>+Get_Data!A2682</f>
        <v>43334</v>
      </c>
      <c r="B2683">
        <f>+ROUND(Get_Data!B2682,5)</f>
        <v>104.96517</v>
      </c>
      <c r="C2683">
        <f>+ROUND(Get_Data!C2682,5)</f>
        <v>42.680390000000003</v>
      </c>
      <c r="D2683" s="4">
        <f t="shared" si="42"/>
        <v>2.4593301513880261</v>
      </c>
    </row>
    <row r="2684" spans="1:4">
      <c r="A2684" s="2">
        <f>+Get_Data!A2683</f>
        <v>43335</v>
      </c>
      <c r="B2684">
        <f>+ROUND(Get_Data!B2683,5)</f>
        <v>104.67525999999999</v>
      </c>
      <c r="C2684">
        <f>+ROUND(Get_Data!C2683,5)</f>
        <v>42.466670000000001</v>
      </c>
      <c r="D2684" s="4">
        <f t="shared" si="42"/>
        <v>2.4648803402762685</v>
      </c>
    </row>
    <row r="2685" spans="1:4">
      <c r="A2685" s="2">
        <f>+Get_Data!A2684</f>
        <v>43336</v>
      </c>
      <c r="B2685">
        <f>+ROUND(Get_Data!B2684,5)</f>
        <v>104.88101</v>
      </c>
      <c r="C2685">
        <f>+ROUND(Get_Data!C2684,5)</f>
        <v>42.401609999999998</v>
      </c>
      <c r="D2685" s="4">
        <f t="shared" si="42"/>
        <v>2.4735148028577219</v>
      </c>
    </row>
    <row r="2686" spans="1:4">
      <c r="A2686" s="2">
        <f>+Get_Data!A2685</f>
        <v>43339</v>
      </c>
      <c r="B2686">
        <f>+ROUND(Get_Data!B2685,5)</f>
        <v>105.12415</v>
      </c>
      <c r="C2686">
        <f>+ROUND(Get_Data!C2685,5)</f>
        <v>42.457369999999997</v>
      </c>
      <c r="D2686" s="4">
        <f t="shared" si="42"/>
        <v>2.4759929783686556</v>
      </c>
    </row>
    <row r="2687" spans="1:4">
      <c r="A2687" s="2">
        <f>+Get_Data!A2686</f>
        <v>43340</v>
      </c>
      <c r="B2687">
        <f>+ROUND(Get_Data!B2686,5)</f>
        <v>103.96451999999999</v>
      </c>
      <c r="C2687">
        <f>+ROUND(Get_Data!C2686,5)</f>
        <v>42.16001</v>
      </c>
      <c r="D2687" s="4">
        <f t="shared" si="42"/>
        <v>2.4659510280002306</v>
      </c>
    </row>
    <row r="2688" spans="1:4">
      <c r="A2688" s="2">
        <f>+Get_Data!A2687</f>
        <v>43341</v>
      </c>
      <c r="B2688">
        <f>+ROUND(Get_Data!B2687,5)</f>
        <v>104.78748</v>
      </c>
      <c r="C2688">
        <f>+ROUND(Get_Data!C2687,5)</f>
        <v>42.122839999999997</v>
      </c>
      <c r="D2688" s="4">
        <f t="shared" si="42"/>
        <v>2.4876641745903174</v>
      </c>
    </row>
    <row r="2689" spans="1:4">
      <c r="A2689" s="2">
        <f>+Get_Data!A2688</f>
        <v>43342</v>
      </c>
      <c r="B2689">
        <f>+ROUND(Get_Data!B2688,5)</f>
        <v>104.70332000000001</v>
      </c>
      <c r="C2689">
        <f>+ROUND(Get_Data!C2688,5)</f>
        <v>41.769730000000003</v>
      </c>
      <c r="D2689" s="4">
        <f t="shared" si="42"/>
        <v>2.5066793584732294</v>
      </c>
    </row>
    <row r="2690" spans="1:4">
      <c r="A2690" s="2">
        <f>+Get_Data!A2689</f>
        <v>43343</v>
      </c>
      <c r="B2690">
        <f>+ROUND(Get_Data!B2689,5)</f>
        <v>104.75008</v>
      </c>
      <c r="C2690">
        <f>+ROUND(Get_Data!C2689,5)</f>
        <v>41.416609999999999</v>
      </c>
      <c r="D2690" s="4">
        <f t="shared" si="42"/>
        <v>2.5291804423394382</v>
      </c>
    </row>
    <row r="2691" spans="1:4">
      <c r="A2691" s="2">
        <f>+Get_Data!A2690</f>
        <v>43347</v>
      </c>
      <c r="B2691">
        <f>+ROUND(Get_Data!B2690,5)</f>
        <v>103.80553999999999</v>
      </c>
      <c r="C2691">
        <f>+ROUND(Get_Data!C2690,5)</f>
        <v>41.593170000000001</v>
      </c>
      <c r="D2691" s="4">
        <f t="shared" si="42"/>
        <v>2.4957352372997774</v>
      </c>
    </row>
    <row r="2692" spans="1:4">
      <c r="A2692" s="2">
        <f>+Get_Data!A2691</f>
        <v>43348</v>
      </c>
      <c r="B2692">
        <f>+ROUND(Get_Data!B2691,5)</f>
        <v>105.78813</v>
      </c>
      <c r="C2692">
        <f>+ROUND(Get_Data!C2691,5)</f>
        <v>42.1693</v>
      </c>
      <c r="D2692" s="4">
        <f t="shared" ref="D2692:D2755" si="43">IFERROR(B2692/C2692,"")</f>
        <v>2.5086527402636514</v>
      </c>
    </row>
    <row r="2693" spans="1:4">
      <c r="A2693" s="2">
        <f>+Get_Data!A2692</f>
        <v>43349</v>
      </c>
      <c r="B2693">
        <f>+ROUND(Get_Data!B2692,5)</f>
        <v>107.02146999999999</v>
      </c>
      <c r="C2693">
        <f>+ROUND(Get_Data!C2692,5)</f>
        <v>42.531709999999997</v>
      </c>
      <c r="D2693" s="4">
        <f t="shared" si="43"/>
        <v>2.5162747982622848</v>
      </c>
    </row>
    <row r="2694" spans="1:4">
      <c r="A2694" s="2">
        <f>+Get_Data!A2693</f>
        <v>43350</v>
      </c>
      <c r="B2694">
        <f>+ROUND(Get_Data!B2693,5)</f>
        <v>106.30484</v>
      </c>
      <c r="C2694">
        <f>+ROUND(Get_Data!C2693,5)</f>
        <v>42.485250000000001</v>
      </c>
      <c r="D2694" s="4">
        <f t="shared" si="43"/>
        <v>2.502158749212962</v>
      </c>
    </row>
    <row r="2695" spans="1:4">
      <c r="A2695" s="2">
        <f>+Get_Data!A2694</f>
        <v>43353</v>
      </c>
      <c r="B2695">
        <f>+ROUND(Get_Data!B2694,5)</f>
        <v>107.08748</v>
      </c>
      <c r="C2695">
        <f>+ROUND(Get_Data!C2694,5)</f>
        <v>42.801189999999998</v>
      </c>
      <c r="D2695" s="4">
        <f t="shared" si="43"/>
        <v>2.5019743609932341</v>
      </c>
    </row>
    <row r="2696" spans="1:4">
      <c r="A2696" s="2">
        <f>+Get_Data!A2695</f>
        <v>43354</v>
      </c>
      <c r="B2696">
        <f>+ROUND(Get_Data!B2695,5)</f>
        <v>106.86118</v>
      </c>
      <c r="C2696">
        <f>+ROUND(Get_Data!C2695,5)</f>
        <v>42.764020000000002</v>
      </c>
      <c r="D2696" s="4">
        <f t="shared" si="43"/>
        <v>2.4988572168846614</v>
      </c>
    </row>
    <row r="2697" spans="1:4">
      <c r="A2697" s="2">
        <f>+Get_Data!A2696</f>
        <v>43355</v>
      </c>
      <c r="B2697">
        <f>+ROUND(Get_Data!B2696,5)</f>
        <v>107.35149</v>
      </c>
      <c r="C2697">
        <f>+ROUND(Get_Data!C2696,5)</f>
        <v>42.96846</v>
      </c>
      <c r="D2697" s="4">
        <f t="shared" si="43"/>
        <v>2.4983788108766292</v>
      </c>
    </row>
    <row r="2698" spans="1:4">
      <c r="A2698" s="2">
        <f>+Get_Data!A2697</f>
        <v>43356</v>
      </c>
      <c r="B2698">
        <f>+ROUND(Get_Data!B2697,5)</f>
        <v>108.42641999999999</v>
      </c>
      <c r="C2698">
        <f>+ROUND(Get_Data!C2697,5)</f>
        <v>42.949719999999999</v>
      </c>
      <c r="D2698" s="4">
        <f t="shared" si="43"/>
        <v>2.5244965508506225</v>
      </c>
    </row>
    <row r="2699" spans="1:4">
      <c r="A2699" s="2">
        <f>+Get_Data!A2698</f>
        <v>43357</v>
      </c>
      <c r="B2699">
        <f>+ROUND(Get_Data!B2698,5)</f>
        <v>108.03039</v>
      </c>
      <c r="C2699">
        <f>+ROUND(Get_Data!C2698,5)</f>
        <v>43.09966</v>
      </c>
      <c r="D2699" s="4">
        <f t="shared" si="43"/>
        <v>2.5065253414992137</v>
      </c>
    </row>
    <row r="2700" spans="1:4">
      <c r="A2700" s="2">
        <f>+Get_Data!A2699</f>
        <v>43360</v>
      </c>
      <c r="B2700">
        <f>+ROUND(Get_Data!B2699,5)</f>
        <v>108.81303</v>
      </c>
      <c r="C2700">
        <f>+ROUND(Get_Data!C2699,5)</f>
        <v>43.408920000000002</v>
      </c>
      <c r="D2700" s="4">
        <f t="shared" si="43"/>
        <v>2.5066974713952801</v>
      </c>
    </row>
    <row r="2701" spans="1:4">
      <c r="A2701" s="2">
        <f>+Get_Data!A2700</f>
        <v>43361</v>
      </c>
      <c r="B2701">
        <f>+ROUND(Get_Data!B2700,5)</f>
        <v>107.47408</v>
      </c>
      <c r="C2701">
        <f>+ROUND(Get_Data!C2700,5)</f>
        <v>43.043430000000001</v>
      </c>
      <c r="D2701" s="4">
        <f t="shared" si="43"/>
        <v>2.4968753651834903</v>
      </c>
    </row>
    <row r="2702" spans="1:4">
      <c r="A2702" s="2">
        <f>+Get_Data!A2701</f>
        <v>43362</v>
      </c>
      <c r="B2702">
        <f>+ROUND(Get_Data!B2701,5)</f>
        <v>107.27605</v>
      </c>
      <c r="C2702">
        <f>+ROUND(Get_Data!C2701,5)</f>
        <v>43.071539999999999</v>
      </c>
      <c r="D2702" s="4">
        <f t="shared" si="43"/>
        <v>2.4906481170629142</v>
      </c>
    </row>
    <row r="2703" spans="1:4">
      <c r="A2703" s="2">
        <f>+Get_Data!A2702</f>
        <v>43363</v>
      </c>
      <c r="B2703">
        <f>+ROUND(Get_Data!B2702,5)</f>
        <v>108.6433</v>
      </c>
      <c r="C2703">
        <f>+ROUND(Get_Data!C2702,5)</f>
        <v>43.70881</v>
      </c>
      <c r="D2703" s="4">
        <f t="shared" si="43"/>
        <v>2.4856156001501755</v>
      </c>
    </row>
    <row r="2704" spans="1:4">
      <c r="A2704" s="2">
        <f>+Get_Data!A2703</f>
        <v>43364</v>
      </c>
      <c r="B2704">
        <f>+ROUND(Get_Data!B2703,5)</f>
        <v>108.35099</v>
      </c>
      <c r="C2704">
        <f>+ROUND(Get_Data!C2703,5)</f>
        <v>43.65258</v>
      </c>
      <c r="D2704" s="4">
        <f t="shared" si="43"/>
        <v>2.4821211025785876</v>
      </c>
    </row>
    <row r="2705" spans="1:4">
      <c r="A2705" s="2">
        <f>+Get_Data!A2704</f>
        <v>43367</v>
      </c>
      <c r="B2705">
        <f>+ROUND(Get_Data!B2704,5)</f>
        <v>105.86167</v>
      </c>
      <c r="C2705">
        <f>+ROUND(Get_Data!C2704,5)</f>
        <v>43.174630000000001</v>
      </c>
      <c r="D2705" s="4">
        <f t="shared" si="43"/>
        <v>2.4519415684627757</v>
      </c>
    </row>
    <row r="2706" spans="1:4">
      <c r="A2706" s="2">
        <f>+Get_Data!A2705</f>
        <v>43368</v>
      </c>
      <c r="B2706">
        <f>+ROUND(Get_Data!B2705,5)</f>
        <v>105.57881</v>
      </c>
      <c r="C2706">
        <f>+ROUND(Get_Data!C2705,5)</f>
        <v>42.809139999999999</v>
      </c>
      <c r="D2706" s="4">
        <f t="shared" si="43"/>
        <v>2.4662679511898631</v>
      </c>
    </row>
    <row r="2707" spans="1:4">
      <c r="A2707" s="2">
        <f>+Get_Data!A2706</f>
        <v>43369</v>
      </c>
      <c r="B2707">
        <f>+ROUND(Get_Data!B2706,5)</f>
        <v>105.13563000000001</v>
      </c>
      <c r="C2707">
        <f>+ROUND(Get_Data!C2706,5)</f>
        <v>42.968449999999997</v>
      </c>
      <c r="D2707" s="4">
        <f t="shared" si="43"/>
        <v>2.4468099268183985</v>
      </c>
    </row>
    <row r="2708" spans="1:4">
      <c r="A2708" s="2">
        <f>+Get_Data!A2707</f>
        <v>43370</v>
      </c>
      <c r="B2708">
        <f>+ROUND(Get_Data!B2707,5)</f>
        <v>104.71133</v>
      </c>
      <c r="C2708">
        <f>+ROUND(Get_Data!C2707,5)</f>
        <v>43.118389999999998</v>
      </c>
      <c r="D2708" s="4">
        <f t="shared" si="43"/>
        <v>2.4284610348391951</v>
      </c>
    </row>
    <row r="2709" spans="1:4">
      <c r="A2709" s="2">
        <f>+Get_Data!A2708</f>
        <v>43371</v>
      </c>
      <c r="B2709">
        <f>+ROUND(Get_Data!B2708,5)</f>
        <v>105.41851</v>
      </c>
      <c r="C2709">
        <f>+ROUND(Get_Data!C2708,5)</f>
        <v>43.287089999999999</v>
      </c>
      <c r="D2709" s="4">
        <f t="shared" si="43"/>
        <v>2.4353337219018418</v>
      </c>
    </row>
    <row r="2710" spans="1:4">
      <c r="A2710" s="2">
        <f>+Get_Data!A2709</f>
        <v>43374</v>
      </c>
      <c r="B2710">
        <f>+ROUND(Get_Data!B2709,5)</f>
        <v>104.39072</v>
      </c>
      <c r="C2710">
        <f>+ROUND(Get_Data!C2709,5)</f>
        <v>43.324579999999997</v>
      </c>
      <c r="D2710" s="4">
        <f t="shared" si="43"/>
        <v>2.4095033350582975</v>
      </c>
    </row>
    <row r="2711" spans="1:4">
      <c r="A2711" s="2">
        <f>+Get_Data!A2710</f>
        <v>43375</v>
      </c>
      <c r="B2711">
        <f>+ROUND(Get_Data!B2710,5)</f>
        <v>102.51433</v>
      </c>
      <c r="C2711">
        <f>+ROUND(Get_Data!C2710,5)</f>
        <v>43.586979999999997</v>
      </c>
      <c r="D2711" s="4">
        <f t="shared" si="43"/>
        <v>2.3519484488257736</v>
      </c>
    </row>
    <row r="2712" spans="1:4">
      <c r="A2712" s="2">
        <f>+Get_Data!A2711</f>
        <v>43376</v>
      </c>
      <c r="B2712">
        <f>+ROUND(Get_Data!B2711,5)</f>
        <v>101.38281000000001</v>
      </c>
      <c r="C2712">
        <f>+ROUND(Get_Data!C2711,5)</f>
        <v>42.987200000000001</v>
      </c>
      <c r="D2712" s="4">
        <f t="shared" si="43"/>
        <v>2.3584418152380242</v>
      </c>
    </row>
    <row r="2713" spans="1:4">
      <c r="A2713" s="2">
        <f>+Get_Data!A2712</f>
        <v>43377</v>
      </c>
      <c r="B2713">
        <f>+ROUND(Get_Data!B2712,5)</f>
        <v>100.52476</v>
      </c>
      <c r="C2713">
        <f>+ROUND(Get_Data!C2712,5)</f>
        <v>42.968449999999997</v>
      </c>
      <c r="D2713" s="4">
        <f t="shared" si="43"/>
        <v>2.3395016576115735</v>
      </c>
    </row>
    <row r="2714" spans="1:4">
      <c r="A2714" s="2">
        <f>+Get_Data!A2713</f>
        <v>43378</v>
      </c>
      <c r="B2714">
        <f>+ROUND(Get_Data!B2713,5)</f>
        <v>100.41160000000001</v>
      </c>
      <c r="C2714">
        <f>+ROUND(Get_Data!C2713,5)</f>
        <v>42.996580000000002</v>
      </c>
      <c r="D2714" s="4">
        <f t="shared" si="43"/>
        <v>2.335339229306145</v>
      </c>
    </row>
    <row r="2715" spans="1:4">
      <c r="A2715" s="2">
        <f>+Get_Data!A2714</f>
        <v>43381</v>
      </c>
      <c r="B2715">
        <f>+ROUND(Get_Data!B2714,5)</f>
        <v>102.01456</v>
      </c>
      <c r="C2715">
        <f>+ROUND(Get_Data!C2714,5)</f>
        <v>43.558860000000003</v>
      </c>
      <c r="D2715" s="4">
        <f t="shared" si="43"/>
        <v>2.3419933395869403</v>
      </c>
    </row>
    <row r="2716" spans="1:4">
      <c r="A2716" s="2">
        <f>+Get_Data!A2715</f>
        <v>43382</v>
      </c>
      <c r="B2716">
        <f>+ROUND(Get_Data!B2715,5)</f>
        <v>101.94856</v>
      </c>
      <c r="C2716">
        <f>+ROUND(Get_Data!C2715,5)</f>
        <v>43.474519999999998</v>
      </c>
      <c r="D2716" s="4">
        <f t="shared" si="43"/>
        <v>2.3450186454042505</v>
      </c>
    </row>
    <row r="2717" spans="1:4">
      <c r="A2717" s="2">
        <f>+Get_Data!A2716</f>
        <v>43383</v>
      </c>
      <c r="B2717">
        <f>+ROUND(Get_Data!B2716,5)</f>
        <v>101.21308000000001</v>
      </c>
      <c r="C2717">
        <f>+ROUND(Get_Data!C2716,5)</f>
        <v>42.809139999999999</v>
      </c>
      <c r="D2717" s="4">
        <f t="shared" si="43"/>
        <v>2.3642866920475396</v>
      </c>
    </row>
    <row r="2718" spans="1:4">
      <c r="A2718" s="2">
        <f>+Get_Data!A2717</f>
        <v>43384</v>
      </c>
      <c r="B2718">
        <f>+ROUND(Get_Data!B2717,5)</f>
        <v>99.063220000000001</v>
      </c>
      <c r="C2718">
        <f>+ROUND(Get_Data!C2717,5)</f>
        <v>41.834499999999998</v>
      </c>
      <c r="D2718" s="4">
        <f t="shared" si="43"/>
        <v>2.3679790603449309</v>
      </c>
    </row>
    <row r="2719" spans="1:4">
      <c r="A2719" s="2">
        <f>+Get_Data!A2718</f>
        <v>43385</v>
      </c>
      <c r="B2719">
        <f>+ROUND(Get_Data!B2718,5)</f>
        <v>99.270669999999996</v>
      </c>
      <c r="C2719">
        <f>+ROUND(Get_Data!C2718,5)</f>
        <v>41.871989999999997</v>
      </c>
      <c r="D2719" s="4">
        <f t="shared" si="43"/>
        <v>2.3708132811457014</v>
      </c>
    </row>
    <row r="2720" spans="1:4">
      <c r="A2720" s="2">
        <f>+Get_Data!A2719</f>
        <v>43388</v>
      </c>
      <c r="B2720">
        <f>+ROUND(Get_Data!B2719,5)</f>
        <v>99.60069</v>
      </c>
      <c r="C2720">
        <f>+ROUND(Get_Data!C2719,5)</f>
        <v>42.087539999999997</v>
      </c>
      <c r="D2720" s="4">
        <f t="shared" si="43"/>
        <v>2.3665125117790207</v>
      </c>
    </row>
    <row r="2721" spans="1:4">
      <c r="A2721" s="2">
        <f>+Get_Data!A2720</f>
        <v>43389</v>
      </c>
      <c r="B2721">
        <f>+ROUND(Get_Data!B2720,5)</f>
        <v>101.26023000000001</v>
      </c>
      <c r="C2721">
        <f>+ROUND(Get_Data!C2720,5)</f>
        <v>42.631079999999997</v>
      </c>
      <c r="D2721" s="4">
        <f t="shared" si="43"/>
        <v>2.3752677623930714</v>
      </c>
    </row>
    <row r="2722" spans="1:4">
      <c r="A2722" s="2">
        <f>+Get_Data!A2721</f>
        <v>43390</v>
      </c>
      <c r="B2722">
        <f>+ROUND(Get_Data!B2721,5)</f>
        <v>102.12770999999999</v>
      </c>
      <c r="C2722">
        <f>+ROUND(Get_Data!C2721,5)</f>
        <v>42.977829999999997</v>
      </c>
      <c r="D2722" s="4">
        <f t="shared" si="43"/>
        <v>2.3762881932382345</v>
      </c>
    </row>
    <row r="2723" spans="1:4">
      <c r="A2723" s="2">
        <f>+Get_Data!A2722</f>
        <v>43391</v>
      </c>
      <c r="B2723">
        <f>+ROUND(Get_Data!B2722,5)</f>
        <v>101.76939</v>
      </c>
      <c r="C2723">
        <f>+ROUND(Get_Data!C2722,5)</f>
        <v>42.743540000000003</v>
      </c>
      <c r="D2723" s="4">
        <f t="shared" si="43"/>
        <v>2.3809303113406139</v>
      </c>
    </row>
    <row r="2724" spans="1:4">
      <c r="A2724" s="2">
        <f>+Get_Data!A2723</f>
        <v>43392</v>
      </c>
      <c r="B2724">
        <f>+ROUND(Get_Data!B2723,5)</f>
        <v>103.99471</v>
      </c>
      <c r="C2724">
        <f>+ROUND(Get_Data!C2723,5)</f>
        <v>43.418289999999999</v>
      </c>
      <c r="D2724" s="4">
        <f t="shared" si="43"/>
        <v>2.3951820764935698</v>
      </c>
    </row>
    <row r="2725" spans="1:4">
      <c r="A2725" s="2">
        <f>+Get_Data!A2724</f>
        <v>43395</v>
      </c>
      <c r="B2725">
        <f>+ROUND(Get_Data!B2724,5)</f>
        <v>103.1555</v>
      </c>
      <c r="C2725">
        <f>+ROUND(Get_Data!C2724,5)</f>
        <v>43.080919999999999</v>
      </c>
      <c r="D2725" s="4">
        <f t="shared" si="43"/>
        <v>2.3944590784040827</v>
      </c>
    </row>
    <row r="2726" spans="1:4">
      <c r="A2726" s="2">
        <f>+Get_Data!A2725</f>
        <v>43396</v>
      </c>
      <c r="B2726">
        <f>+ROUND(Get_Data!B2725,5)</f>
        <v>103.84383</v>
      </c>
      <c r="C2726">
        <f>+ROUND(Get_Data!C2725,5)</f>
        <v>43.446399999999997</v>
      </c>
      <c r="D2726" s="4">
        <f t="shared" si="43"/>
        <v>2.3901595989541136</v>
      </c>
    </row>
    <row r="2727" spans="1:4">
      <c r="A2727" s="2">
        <f>+Get_Data!A2726</f>
        <v>43397</v>
      </c>
      <c r="B2727">
        <f>+ROUND(Get_Data!B2726,5)</f>
        <v>106.5123</v>
      </c>
      <c r="C2727">
        <f>+ROUND(Get_Data!C2726,5)</f>
        <v>43.793149999999997</v>
      </c>
      <c r="D2727" s="4">
        <f t="shared" si="43"/>
        <v>2.4321680445457794</v>
      </c>
    </row>
    <row r="2728" spans="1:4">
      <c r="A2728" s="2">
        <f>+Get_Data!A2727</f>
        <v>43398</v>
      </c>
      <c r="B2728">
        <f>+ROUND(Get_Data!B2727,5)</f>
        <v>106.40855999999999</v>
      </c>
      <c r="C2728">
        <f>+ROUND(Get_Data!C2727,5)</f>
        <v>43.586979999999997</v>
      </c>
      <c r="D2728" s="4">
        <f t="shared" si="43"/>
        <v>2.4412923308749539</v>
      </c>
    </row>
    <row r="2729" spans="1:4">
      <c r="A2729" s="2">
        <f>+Get_Data!A2728</f>
        <v>43399</v>
      </c>
      <c r="B2729">
        <f>+ROUND(Get_Data!B2728,5)</f>
        <v>104.14556</v>
      </c>
      <c r="C2729">
        <f>+ROUND(Get_Data!C2728,5)</f>
        <v>43.034050000000001</v>
      </c>
      <c r="D2729" s="4">
        <f t="shared" si="43"/>
        <v>2.4200734069881875</v>
      </c>
    </row>
    <row r="2730" spans="1:4">
      <c r="A2730" s="2">
        <f>+Get_Data!A2729</f>
        <v>43402</v>
      </c>
      <c r="B2730">
        <f>+ROUND(Get_Data!B2729,5)</f>
        <v>106.44629</v>
      </c>
      <c r="C2730">
        <f>+ROUND(Get_Data!C2729,5)</f>
        <v>43.540120000000002</v>
      </c>
      <c r="D2730" s="4">
        <f t="shared" si="43"/>
        <v>2.4447863258070948</v>
      </c>
    </row>
    <row r="2731" spans="1:4">
      <c r="A2731" s="2">
        <f>+Get_Data!A2730</f>
        <v>43403</v>
      </c>
      <c r="B2731">
        <f>+ROUND(Get_Data!B2730,5)</f>
        <v>107.27605</v>
      </c>
      <c r="C2731">
        <f>+ROUND(Get_Data!C2730,5)</f>
        <v>44.636589999999998</v>
      </c>
      <c r="D2731" s="4">
        <f t="shared" si="43"/>
        <v>2.4033209078023208</v>
      </c>
    </row>
    <row r="2732" spans="1:4">
      <c r="A2732" s="2">
        <f>+Get_Data!A2731</f>
        <v>43404</v>
      </c>
      <c r="B2732">
        <f>+ROUND(Get_Data!B2731,5)</f>
        <v>105.96539</v>
      </c>
      <c r="C2732">
        <f>+ROUND(Get_Data!C2731,5)</f>
        <v>44.87088</v>
      </c>
      <c r="D2732" s="4">
        <f t="shared" si="43"/>
        <v>2.3615625546011132</v>
      </c>
    </row>
    <row r="2733" spans="1:4">
      <c r="A2733" s="2">
        <f>+Get_Data!A2732</f>
        <v>43405</v>
      </c>
      <c r="B2733">
        <f>+ROUND(Get_Data!B2732,5)</f>
        <v>105.14507</v>
      </c>
      <c r="C2733">
        <f>+ROUND(Get_Data!C2732,5)</f>
        <v>44.73968</v>
      </c>
      <c r="D2733" s="4">
        <f t="shared" si="43"/>
        <v>2.3501524820919597</v>
      </c>
    </row>
    <row r="2734" spans="1:4">
      <c r="A2734" s="2">
        <f>+Get_Data!A2733</f>
        <v>43406</v>
      </c>
      <c r="B2734">
        <f>+ROUND(Get_Data!B2733,5)</f>
        <v>104.82446</v>
      </c>
      <c r="C2734">
        <f>+ROUND(Get_Data!C2733,5)</f>
        <v>44.983330000000002</v>
      </c>
      <c r="D2734" s="4">
        <f t="shared" si="43"/>
        <v>2.3302956895365461</v>
      </c>
    </row>
    <row r="2735" spans="1:4">
      <c r="A2735" s="2">
        <f>+Get_Data!A2734</f>
        <v>43409</v>
      </c>
      <c r="B2735">
        <f>+ROUND(Get_Data!B2734,5)</f>
        <v>107.86067</v>
      </c>
      <c r="C2735">
        <f>+ROUND(Get_Data!C2734,5)</f>
        <v>45.62997</v>
      </c>
      <c r="D2735" s="4">
        <f t="shared" si="43"/>
        <v>2.3638119858505275</v>
      </c>
    </row>
    <row r="2736" spans="1:4">
      <c r="A2736" s="2">
        <f>+Get_Data!A2735</f>
        <v>43410</v>
      </c>
      <c r="B2736">
        <f>+ROUND(Get_Data!B2735,5)</f>
        <v>108.63386</v>
      </c>
      <c r="C2736">
        <f>+ROUND(Get_Data!C2735,5)</f>
        <v>46.023569999999999</v>
      </c>
      <c r="D2736" s="4">
        <f t="shared" si="43"/>
        <v>2.3603962056833052</v>
      </c>
    </row>
    <row r="2737" spans="1:4">
      <c r="A2737" s="2">
        <f>+Get_Data!A2736</f>
        <v>43411</v>
      </c>
      <c r="B2737">
        <f>+ROUND(Get_Data!B2736,5)</f>
        <v>109.01102</v>
      </c>
      <c r="C2737">
        <f>+ROUND(Get_Data!C2736,5)</f>
        <v>46.267229999999998</v>
      </c>
      <c r="D2737" s="4">
        <f t="shared" si="43"/>
        <v>2.3561172778227704</v>
      </c>
    </row>
    <row r="2738" spans="1:4">
      <c r="A2738" s="2">
        <f>+Get_Data!A2737</f>
        <v>43412</v>
      </c>
      <c r="B2738">
        <f>+ROUND(Get_Data!B2737,5)</f>
        <v>109.43535</v>
      </c>
      <c r="C2738">
        <f>+ROUND(Get_Data!C2737,5)</f>
        <v>46.229750000000003</v>
      </c>
      <c r="D2738" s="4">
        <f t="shared" si="43"/>
        <v>2.3672061821662456</v>
      </c>
    </row>
    <row r="2739" spans="1:4">
      <c r="A2739" s="2">
        <f>+Get_Data!A2738</f>
        <v>43413</v>
      </c>
      <c r="B2739">
        <f>+ROUND(Get_Data!B2738,5)</f>
        <v>110.7743</v>
      </c>
      <c r="C2739">
        <f>+ROUND(Get_Data!C2738,5)</f>
        <v>46.557749999999999</v>
      </c>
      <c r="D2739" s="4">
        <f t="shared" si="43"/>
        <v>2.3792880884492913</v>
      </c>
    </row>
    <row r="2740" spans="1:4">
      <c r="A2740" s="2">
        <f>+Get_Data!A2739</f>
        <v>43416</v>
      </c>
      <c r="B2740">
        <f>+ROUND(Get_Data!B2739,5)</f>
        <v>110.29342</v>
      </c>
      <c r="C2740">
        <f>+ROUND(Get_Data!C2739,5)</f>
        <v>46.735810000000001</v>
      </c>
      <c r="D2740" s="4">
        <f t="shared" si="43"/>
        <v>2.3599338494400759</v>
      </c>
    </row>
    <row r="2741" spans="1:4">
      <c r="A2741" s="2">
        <f>+Get_Data!A2740</f>
        <v>43417</v>
      </c>
      <c r="B2741">
        <f>+ROUND(Get_Data!B2740,5)</f>
        <v>110.4537</v>
      </c>
      <c r="C2741">
        <f>+ROUND(Get_Data!C2740,5)</f>
        <v>46.726439999999997</v>
      </c>
      <c r="D2741" s="4">
        <f t="shared" si="43"/>
        <v>2.3638372621582131</v>
      </c>
    </row>
    <row r="2742" spans="1:4">
      <c r="A2742" s="2">
        <f>+Get_Data!A2741</f>
        <v>43418</v>
      </c>
      <c r="B2742">
        <f>+ROUND(Get_Data!B2741,5)</f>
        <v>109.99167</v>
      </c>
      <c r="C2742">
        <f>+ROUND(Get_Data!C2741,5)</f>
        <v>46.632719999999999</v>
      </c>
      <c r="D2742" s="4">
        <f t="shared" si="43"/>
        <v>2.358680128459159</v>
      </c>
    </row>
    <row r="2743" spans="1:4">
      <c r="A2743" s="2">
        <f>+Get_Data!A2742</f>
        <v>43419</v>
      </c>
      <c r="B2743">
        <f>+ROUND(Get_Data!B2742,5)</f>
        <v>110.13312000000001</v>
      </c>
      <c r="C2743">
        <f>+ROUND(Get_Data!C2742,5)</f>
        <v>46.613979999999998</v>
      </c>
      <c r="D2743" s="4">
        <f t="shared" si="43"/>
        <v>2.3626628749572554</v>
      </c>
    </row>
    <row r="2744" spans="1:4">
      <c r="A2744" s="2">
        <f>+Get_Data!A2743</f>
        <v>43420</v>
      </c>
      <c r="B2744">
        <f>+ROUND(Get_Data!B2743,5)</f>
        <v>111.59464</v>
      </c>
      <c r="C2744">
        <f>+ROUND(Get_Data!C2743,5)</f>
        <v>47.016959999999997</v>
      </c>
      <c r="D2744" s="4">
        <f t="shared" si="43"/>
        <v>2.3734975634324296</v>
      </c>
    </row>
    <row r="2745" spans="1:4">
      <c r="A2745" s="2">
        <f>+Get_Data!A2744</f>
        <v>43423</v>
      </c>
      <c r="B2745">
        <f>+ROUND(Get_Data!B2744,5)</f>
        <v>112.21696</v>
      </c>
      <c r="C2745">
        <f>+ROUND(Get_Data!C2744,5)</f>
        <v>47.335590000000003</v>
      </c>
      <c r="D2745" s="4">
        <f t="shared" si="43"/>
        <v>2.3706678209778307</v>
      </c>
    </row>
    <row r="2746" spans="1:4">
      <c r="A2746" s="2">
        <f>+Get_Data!A2745</f>
        <v>43424</v>
      </c>
      <c r="B2746">
        <f>+ROUND(Get_Data!B2745,5)</f>
        <v>109.37878000000001</v>
      </c>
      <c r="C2746">
        <f>+ROUND(Get_Data!C2745,5)</f>
        <v>46.276609999999998</v>
      </c>
      <c r="D2746" s="4">
        <f t="shared" si="43"/>
        <v>2.3635867017916827</v>
      </c>
    </row>
    <row r="2747" spans="1:4">
      <c r="A2747" s="2">
        <f>+Get_Data!A2746</f>
        <v>43425</v>
      </c>
      <c r="B2747">
        <f>+ROUND(Get_Data!B2746,5)</f>
        <v>108.69986</v>
      </c>
      <c r="C2747">
        <f>+ROUND(Get_Data!C2746,5)</f>
        <v>45.667459999999998</v>
      </c>
      <c r="D2747" s="4">
        <f t="shared" si="43"/>
        <v>2.3802475548235003</v>
      </c>
    </row>
    <row r="2748" spans="1:4">
      <c r="A2748" s="2">
        <f>+Get_Data!A2747</f>
        <v>43427</v>
      </c>
      <c r="B2748">
        <f>+ROUND(Get_Data!B2747,5)</f>
        <v>108.82245</v>
      </c>
      <c r="C2748">
        <f>+ROUND(Get_Data!C2747,5)</f>
        <v>45.939230000000002</v>
      </c>
      <c r="D2748" s="4">
        <f t="shared" si="43"/>
        <v>2.3688348716336778</v>
      </c>
    </row>
    <row r="2749" spans="1:4">
      <c r="A2749" s="2">
        <f>+Get_Data!A2748</f>
        <v>43430</v>
      </c>
      <c r="B2749">
        <f>+ROUND(Get_Data!B2748,5)</f>
        <v>109.24677</v>
      </c>
      <c r="C2749">
        <f>+ROUND(Get_Data!C2748,5)</f>
        <v>45.798659999999998</v>
      </c>
      <c r="D2749" s="4">
        <f t="shared" si="43"/>
        <v>2.3853704453361737</v>
      </c>
    </row>
    <row r="2750" spans="1:4">
      <c r="A2750" s="2">
        <f>+Get_Data!A2749</f>
        <v>43431</v>
      </c>
      <c r="B2750">
        <f>+ROUND(Get_Data!B2749,5)</f>
        <v>109.79366</v>
      </c>
      <c r="C2750">
        <f>+ROUND(Get_Data!C2749,5)</f>
        <v>46.267229999999998</v>
      </c>
      <c r="D2750" s="4">
        <f t="shared" si="43"/>
        <v>2.3730329220054887</v>
      </c>
    </row>
    <row r="2751" spans="1:4">
      <c r="A2751" s="2">
        <f>+Get_Data!A2750</f>
        <v>43432</v>
      </c>
      <c r="B2751">
        <f>+ROUND(Get_Data!B2750,5)</f>
        <v>111.73608</v>
      </c>
      <c r="C2751">
        <f>+ROUND(Get_Data!C2750,5)</f>
        <v>46.58587</v>
      </c>
      <c r="D2751" s="4">
        <f t="shared" si="43"/>
        <v>2.3984972267342006</v>
      </c>
    </row>
    <row r="2752" spans="1:4">
      <c r="A2752" s="2">
        <f>+Get_Data!A2751</f>
        <v>43433</v>
      </c>
      <c r="B2752">
        <f>+ROUND(Get_Data!B2751,5)</f>
        <v>111.5192</v>
      </c>
      <c r="C2752">
        <f>+ROUND(Get_Data!C2751,5)</f>
        <v>46.264710000000001</v>
      </c>
      <c r="D2752" s="4">
        <f t="shared" si="43"/>
        <v>2.4104592895967571</v>
      </c>
    </row>
    <row r="2753" spans="1:4">
      <c r="A2753" s="2">
        <f>+Get_Data!A2752</f>
        <v>43434</v>
      </c>
      <c r="B2753">
        <f>+ROUND(Get_Data!B2752,5)</f>
        <v>114.97972</v>
      </c>
      <c r="C2753">
        <f>+ROUND(Get_Data!C2752,5)</f>
        <v>47.606000000000002</v>
      </c>
      <c r="D2753" s="4">
        <f t="shared" si="43"/>
        <v>2.41523589463513</v>
      </c>
    </row>
    <row r="2754" spans="1:4">
      <c r="A2754" s="2">
        <f>+Get_Data!A2753</f>
        <v>43437</v>
      </c>
      <c r="B2754">
        <f>+ROUND(Get_Data!B2753,5)</f>
        <v>112.18868000000001</v>
      </c>
      <c r="C2754">
        <f>+ROUND(Get_Data!C2753,5)</f>
        <v>46.935360000000003</v>
      </c>
      <c r="D2754" s="4">
        <f t="shared" si="43"/>
        <v>2.3902805901563342</v>
      </c>
    </row>
    <row r="2755" spans="1:4">
      <c r="A2755" s="2">
        <f>+Get_Data!A2754</f>
        <v>43438</v>
      </c>
      <c r="B2755">
        <f>+ROUND(Get_Data!B2754,5)</f>
        <v>111.07605</v>
      </c>
      <c r="C2755">
        <f>+ROUND(Get_Data!C2754,5)</f>
        <v>46.83146</v>
      </c>
      <c r="D2755" s="4">
        <f t="shared" si="43"/>
        <v>2.3718254780013264</v>
      </c>
    </row>
    <row r="2756" spans="1:4">
      <c r="A2756" s="2">
        <f>+Get_Data!A2755</f>
        <v>43440</v>
      </c>
      <c r="B2756">
        <f>+ROUND(Get_Data!B2755,5)</f>
        <v>111.04562</v>
      </c>
      <c r="C2756">
        <f>+ROUND(Get_Data!C2755,5)</f>
        <v>46.642539999999997</v>
      </c>
      <c r="D2756" s="4">
        <f t="shared" ref="D2756:D2819" si="44">IFERROR(B2756/C2756,"")</f>
        <v>2.3807798631892689</v>
      </c>
    </row>
    <row r="2757" spans="1:4">
      <c r="A2757" s="2">
        <f>+Get_Data!A2756</f>
        <v>43441</v>
      </c>
      <c r="B2757">
        <f>+ROUND(Get_Data!B2756,5)</f>
        <v>110.0762</v>
      </c>
      <c r="C2757">
        <f>+ROUND(Get_Data!C2756,5)</f>
        <v>46.368609999999997</v>
      </c>
      <c r="D2757" s="4">
        <f t="shared" si="44"/>
        <v>2.373937885996583</v>
      </c>
    </row>
    <row r="2758" spans="1:4">
      <c r="A2758" s="2">
        <f>+Get_Data!A2757</f>
        <v>43444</v>
      </c>
      <c r="B2758">
        <f>+ROUND(Get_Data!B2757,5)</f>
        <v>110.42786</v>
      </c>
      <c r="C2758">
        <f>+ROUND(Get_Data!C2757,5)</f>
        <v>46.510300000000001</v>
      </c>
      <c r="D2758" s="4">
        <f t="shared" si="44"/>
        <v>2.374266775316435</v>
      </c>
    </row>
    <row r="2759" spans="1:4">
      <c r="A2759" s="2">
        <f>+Get_Data!A2758</f>
        <v>43445</v>
      </c>
      <c r="B2759">
        <f>+ROUND(Get_Data!B2758,5)</f>
        <v>111.47329999999999</v>
      </c>
      <c r="C2759">
        <f>+ROUND(Get_Data!C2758,5)</f>
        <v>46.793669999999999</v>
      </c>
      <c r="D2759" s="4">
        <f t="shared" si="44"/>
        <v>2.382230331581173</v>
      </c>
    </row>
    <row r="2760" spans="1:4">
      <c r="A2760" s="2">
        <f>+Get_Data!A2759</f>
        <v>43446</v>
      </c>
      <c r="B2760">
        <f>+ROUND(Get_Data!B2759,5)</f>
        <v>111.19768999999999</v>
      </c>
      <c r="C2760">
        <f>+ROUND(Get_Data!C2759,5)</f>
        <v>46.491410000000002</v>
      </c>
      <c r="D2760" s="4">
        <f t="shared" si="44"/>
        <v>2.3917900102406011</v>
      </c>
    </row>
    <row r="2761" spans="1:4">
      <c r="A2761" s="2">
        <f>+Get_Data!A2760</f>
        <v>43447</v>
      </c>
      <c r="B2761">
        <f>+ROUND(Get_Data!B2760,5)</f>
        <v>112.48072999999999</v>
      </c>
      <c r="C2761">
        <f>+ROUND(Get_Data!C2760,5)</f>
        <v>46.727550000000001</v>
      </c>
      <c r="D2761" s="4">
        <f t="shared" si="44"/>
        <v>2.4071608719053321</v>
      </c>
    </row>
    <row r="2762" spans="1:4">
      <c r="A2762" s="2">
        <f>+Get_Data!A2761</f>
        <v>43448</v>
      </c>
      <c r="B2762">
        <f>+ROUND(Get_Data!B2761,5)</f>
        <v>108.29894</v>
      </c>
      <c r="C2762">
        <f>+ROUND(Get_Data!C2761,5)</f>
        <v>46.604759999999999</v>
      </c>
      <c r="D2762" s="4">
        <f t="shared" si="44"/>
        <v>2.3237742239204753</v>
      </c>
    </row>
    <row r="2763" spans="1:4">
      <c r="A2763" s="2">
        <f>+Get_Data!A2762</f>
        <v>43451</v>
      </c>
      <c r="B2763">
        <f>+ROUND(Get_Data!B2762,5)</f>
        <v>107.27251</v>
      </c>
      <c r="C2763">
        <f>+ROUND(Get_Data!C2762,5)</f>
        <v>45.650750000000002</v>
      </c>
      <c r="D2763" s="4">
        <f t="shared" si="44"/>
        <v>2.3498520834816512</v>
      </c>
    </row>
    <row r="2764" spans="1:4">
      <c r="A2764" s="2">
        <f>+Get_Data!A2763</f>
        <v>43452</v>
      </c>
      <c r="B2764">
        <f>+ROUND(Get_Data!B2763,5)</f>
        <v>106.29358000000001</v>
      </c>
      <c r="C2764">
        <f>+ROUND(Get_Data!C2763,5)</f>
        <v>45.641300000000001</v>
      </c>
      <c r="D2764" s="4">
        <f t="shared" si="44"/>
        <v>2.3288902813898815</v>
      </c>
    </row>
    <row r="2765" spans="1:4">
      <c r="A2765" s="2">
        <f>+Get_Data!A2764</f>
        <v>43453</v>
      </c>
      <c r="B2765">
        <f>+ROUND(Get_Data!B2764,5)</f>
        <v>104.58284999999999</v>
      </c>
      <c r="C2765">
        <f>+ROUND(Get_Data!C2764,5)</f>
        <v>45.244579999999999</v>
      </c>
      <c r="D2765" s="4">
        <f t="shared" si="44"/>
        <v>2.311500073599976</v>
      </c>
    </row>
    <row r="2766" spans="1:4">
      <c r="A2766" s="2">
        <f>+Get_Data!A2765</f>
        <v>43454</v>
      </c>
      <c r="B2766">
        <f>+ROUND(Get_Data!B2765,5)</f>
        <v>104.74442000000001</v>
      </c>
      <c r="C2766">
        <f>+ROUND(Get_Data!C2765,5)</f>
        <v>44.90455</v>
      </c>
      <c r="D2766" s="4">
        <f t="shared" si="44"/>
        <v>2.3326014847047793</v>
      </c>
    </row>
    <row r="2767" spans="1:4">
      <c r="A2767" s="2">
        <f>+Get_Data!A2766</f>
        <v>43455</v>
      </c>
      <c r="B2767">
        <f>+ROUND(Get_Data!B2766,5)</f>
        <v>103.9936</v>
      </c>
      <c r="C2767">
        <f>+ROUND(Get_Data!C2766,5)</f>
        <v>44.932879999999997</v>
      </c>
      <c r="D2767" s="4">
        <f t="shared" si="44"/>
        <v>2.3144209763540644</v>
      </c>
    </row>
    <row r="2768" spans="1:4">
      <c r="A2768" s="2">
        <f>+Get_Data!A2767</f>
        <v>43458</v>
      </c>
      <c r="B2768">
        <f>+ROUND(Get_Data!B2767,5)</f>
        <v>100.77171</v>
      </c>
      <c r="C2768">
        <f>+ROUND(Get_Data!C2767,5)</f>
        <v>43.412140000000001</v>
      </c>
      <c r="D2768" s="4">
        <f t="shared" si="44"/>
        <v>2.3212794854158307</v>
      </c>
    </row>
    <row r="2769" spans="1:4">
      <c r="A2769" s="2">
        <f>+Get_Data!A2768</f>
        <v>43460</v>
      </c>
      <c r="B2769">
        <f>+ROUND(Get_Data!B2768,5)</f>
        <v>102.95765</v>
      </c>
      <c r="C2769">
        <f>+ROUND(Get_Data!C2768,5)</f>
        <v>44.337800000000001</v>
      </c>
      <c r="D2769" s="4">
        <f t="shared" si="44"/>
        <v>2.3221190496596584</v>
      </c>
    </row>
    <row r="2770" spans="1:4">
      <c r="A2770" s="2">
        <f>+Get_Data!A2769</f>
        <v>43461</v>
      </c>
      <c r="B2770">
        <f>+ROUND(Get_Data!B2769,5)</f>
        <v>103.9936</v>
      </c>
      <c r="C2770">
        <f>+ROUND(Get_Data!C2769,5)</f>
        <v>44.895099999999999</v>
      </c>
      <c r="D2770" s="4">
        <f t="shared" si="44"/>
        <v>2.3163686014732119</v>
      </c>
    </row>
    <row r="2771" spans="1:4">
      <c r="A2771" s="2">
        <f>+Get_Data!A2770</f>
        <v>43462</v>
      </c>
      <c r="B2771">
        <f>+ROUND(Get_Data!B2770,5)</f>
        <v>104.88697999999999</v>
      </c>
      <c r="C2771">
        <f>+ROUND(Get_Data!C2770,5)</f>
        <v>44.583390000000001</v>
      </c>
      <c r="D2771" s="4">
        <f t="shared" si="44"/>
        <v>2.3526021686551872</v>
      </c>
    </row>
    <row r="2772" spans="1:4">
      <c r="A2772" s="2">
        <f>+Get_Data!A2771</f>
        <v>43465</v>
      </c>
      <c r="B2772">
        <f>+ROUND(Get_Data!B2771,5)</f>
        <v>105.00103</v>
      </c>
      <c r="C2772">
        <f>+ROUND(Get_Data!C2771,5)</f>
        <v>44.725079999999998</v>
      </c>
      <c r="D2772" s="4">
        <f t="shared" si="44"/>
        <v>2.3476990985818249</v>
      </c>
    </row>
    <row r="2773" spans="1:4">
      <c r="A2773" s="2">
        <f>+Get_Data!A2772</f>
        <v>43467</v>
      </c>
      <c r="B2773">
        <f>+ROUND(Get_Data!B2772,5)</f>
        <v>103.86053</v>
      </c>
      <c r="C2773">
        <f>+ROUND(Get_Data!C2772,5)</f>
        <v>44.328360000000004</v>
      </c>
      <c r="D2773" s="4">
        <f t="shared" si="44"/>
        <v>2.3429815585327316</v>
      </c>
    </row>
    <row r="2774" spans="1:4">
      <c r="A2774" s="2">
        <f>+Get_Data!A2773</f>
        <v>43468</v>
      </c>
      <c r="B2774">
        <f>+ROUND(Get_Data!B2773,5)</f>
        <v>102.89112</v>
      </c>
      <c r="C2774">
        <f>+ROUND(Get_Data!C2773,5)</f>
        <v>44.05444</v>
      </c>
      <c r="D2774" s="4">
        <f t="shared" si="44"/>
        <v>2.3355448395212832</v>
      </c>
    </row>
    <row r="2775" spans="1:4">
      <c r="A2775" s="2">
        <f>+Get_Data!A2774</f>
        <v>43469</v>
      </c>
      <c r="B2775">
        <f>+ROUND(Get_Data!B2774,5)</f>
        <v>105.00103</v>
      </c>
      <c r="C2775">
        <f>+ROUND(Get_Data!C2774,5)</f>
        <v>44.932879999999997</v>
      </c>
      <c r="D2775" s="4">
        <f t="shared" si="44"/>
        <v>2.3368417515191551</v>
      </c>
    </row>
    <row r="2776" spans="1:4">
      <c r="A2776" s="2">
        <f>+Get_Data!A2775</f>
        <v>43472</v>
      </c>
      <c r="B2776">
        <f>+ROUND(Get_Data!B2775,5)</f>
        <v>104.09814</v>
      </c>
      <c r="C2776">
        <f>+ROUND(Get_Data!C2775,5)</f>
        <v>44.347250000000003</v>
      </c>
      <c r="D2776" s="4">
        <f t="shared" si="44"/>
        <v>2.3473414924262497</v>
      </c>
    </row>
    <row r="2777" spans="1:4">
      <c r="A2777" s="2">
        <f>+Get_Data!A2776</f>
        <v>43473</v>
      </c>
      <c r="B2777">
        <f>+ROUND(Get_Data!B2776,5)</f>
        <v>105.09605999999999</v>
      </c>
      <c r="C2777">
        <f>+ROUND(Get_Data!C2776,5)</f>
        <v>44.84787</v>
      </c>
      <c r="D2777" s="4">
        <f t="shared" si="44"/>
        <v>2.3433902212078297</v>
      </c>
    </row>
    <row r="2778" spans="1:4">
      <c r="A2778" s="2">
        <f>+Get_Data!A2777</f>
        <v>43474</v>
      </c>
      <c r="B2778">
        <f>+ROUND(Get_Data!B2777,5)</f>
        <v>102.15931</v>
      </c>
      <c r="C2778">
        <f>+ROUND(Get_Data!C2777,5)</f>
        <v>43.988320000000002</v>
      </c>
      <c r="D2778" s="4">
        <f t="shared" si="44"/>
        <v>2.3224189966791187</v>
      </c>
    </row>
    <row r="2779" spans="1:4">
      <c r="A2779" s="2">
        <f>+Get_Data!A2778</f>
        <v>43475</v>
      </c>
      <c r="B2779">
        <f>+ROUND(Get_Data!B2778,5)</f>
        <v>102.78658</v>
      </c>
      <c r="C2779">
        <f>+ROUND(Get_Data!C2778,5)</f>
        <v>44.460599999999999</v>
      </c>
      <c r="D2779" s="4">
        <f t="shared" si="44"/>
        <v>2.3118576897297833</v>
      </c>
    </row>
    <row r="2780" spans="1:4">
      <c r="A2780" s="2">
        <f>+Get_Data!A2779</f>
        <v>43476</v>
      </c>
      <c r="B2780">
        <f>+ROUND(Get_Data!B2779,5)</f>
        <v>102.79608</v>
      </c>
      <c r="C2780">
        <f>+ROUND(Get_Data!C2779,5)</f>
        <v>44.71564</v>
      </c>
      <c r="D2780" s="4">
        <f t="shared" si="44"/>
        <v>2.2988842382665218</v>
      </c>
    </row>
    <row r="2781" spans="1:4">
      <c r="A2781" s="2">
        <f>+Get_Data!A2780</f>
        <v>43479</v>
      </c>
      <c r="B2781">
        <f>+ROUND(Get_Data!B2780,5)</f>
        <v>101.99775</v>
      </c>
      <c r="C2781">
        <f>+ROUND(Get_Data!C2780,5)</f>
        <v>44.536169999999998</v>
      </c>
      <c r="D2781" s="4">
        <f t="shared" si="44"/>
        <v>2.2902227560205559</v>
      </c>
    </row>
    <row r="2782" spans="1:4">
      <c r="A2782" s="2">
        <f>+Get_Data!A2781</f>
        <v>43480</v>
      </c>
      <c r="B2782">
        <f>+ROUND(Get_Data!B2781,5)</f>
        <v>103.58492</v>
      </c>
      <c r="C2782">
        <f>+ROUND(Get_Data!C2781,5)</f>
        <v>44.932879999999997</v>
      </c>
      <c r="D2782" s="4">
        <f t="shared" si="44"/>
        <v>2.3053256323654305</v>
      </c>
    </row>
    <row r="2783" spans="1:4">
      <c r="A2783" s="2">
        <f>+Get_Data!A2782</f>
        <v>43481</v>
      </c>
      <c r="B2783">
        <f>+ROUND(Get_Data!B2782,5)</f>
        <v>102.96716000000001</v>
      </c>
      <c r="C2783">
        <f>+ROUND(Get_Data!C2782,5)</f>
        <v>44.318919999999999</v>
      </c>
      <c r="D2783" s="4">
        <f t="shared" si="44"/>
        <v>2.3233228607556322</v>
      </c>
    </row>
    <row r="2784" spans="1:4">
      <c r="A2784" s="2">
        <f>+Get_Data!A2783</f>
        <v>43482</v>
      </c>
      <c r="B2784">
        <f>+ROUND(Get_Data!B2783,5)</f>
        <v>103.80351</v>
      </c>
      <c r="C2784">
        <f>+ROUND(Get_Data!C2783,5)</f>
        <v>44.451160000000002</v>
      </c>
      <c r="D2784" s="4">
        <f t="shared" si="44"/>
        <v>2.3352261223329154</v>
      </c>
    </row>
    <row r="2785" spans="1:4">
      <c r="A2785" s="2">
        <f>+Get_Data!A2784</f>
        <v>43483</v>
      </c>
      <c r="B2785">
        <f>+ROUND(Get_Data!B2784,5)</f>
        <v>104.61136</v>
      </c>
      <c r="C2785">
        <f>+ROUND(Get_Data!C2784,5)</f>
        <v>44.970660000000002</v>
      </c>
      <c r="D2785" s="4">
        <f t="shared" si="44"/>
        <v>2.3262135801431421</v>
      </c>
    </row>
    <row r="2786" spans="1:4">
      <c r="A2786" s="2">
        <f>+Get_Data!A2785</f>
        <v>43487</v>
      </c>
      <c r="B2786">
        <f>+ROUND(Get_Data!B2785,5)</f>
        <v>104.4593</v>
      </c>
      <c r="C2786">
        <f>+ROUND(Get_Data!C2785,5)</f>
        <v>45.074570000000001</v>
      </c>
      <c r="D2786" s="4">
        <f t="shared" si="44"/>
        <v>2.3174774601288486</v>
      </c>
    </row>
    <row r="2787" spans="1:4">
      <c r="A2787" s="2">
        <f>+Get_Data!A2786</f>
        <v>43488</v>
      </c>
      <c r="B2787">
        <f>+ROUND(Get_Data!B2786,5)</f>
        <v>105.23862</v>
      </c>
      <c r="C2787">
        <f>+ROUND(Get_Data!C2786,5)</f>
        <v>45.594079999999998</v>
      </c>
      <c r="D2787" s="4">
        <f t="shared" si="44"/>
        <v>2.3081641300800455</v>
      </c>
    </row>
    <row r="2788" spans="1:4">
      <c r="A2788" s="2">
        <f>+Get_Data!A2787</f>
        <v>43489</v>
      </c>
      <c r="B2788">
        <f>+ROUND(Get_Data!B2787,5)</f>
        <v>104.06964000000001</v>
      </c>
      <c r="C2788">
        <f>+ROUND(Get_Data!C2787,5)</f>
        <v>45.046230000000001</v>
      </c>
      <c r="D2788" s="4">
        <f t="shared" si="44"/>
        <v>2.3102852336366442</v>
      </c>
    </row>
    <row r="2789" spans="1:4">
      <c r="A2789" s="2">
        <f>+Get_Data!A2788</f>
        <v>43490</v>
      </c>
      <c r="B2789">
        <f>+ROUND(Get_Data!B2788,5)</f>
        <v>103.92707</v>
      </c>
      <c r="C2789">
        <f>+ROUND(Get_Data!C2788,5)</f>
        <v>44.743969999999997</v>
      </c>
      <c r="D2789" s="4">
        <f t="shared" si="44"/>
        <v>2.3227056070348699</v>
      </c>
    </row>
    <row r="2790" spans="1:4">
      <c r="A2790" s="2">
        <f>+Get_Data!A2789</f>
        <v>43493</v>
      </c>
      <c r="B2790">
        <f>+ROUND(Get_Data!B2789,5)</f>
        <v>103.42336</v>
      </c>
      <c r="C2790">
        <f>+ROUND(Get_Data!C2789,5)</f>
        <v>44.555050000000001</v>
      </c>
      <c r="D2790" s="4">
        <f t="shared" si="44"/>
        <v>2.3212488820010302</v>
      </c>
    </row>
    <row r="2791" spans="1:4">
      <c r="A2791" s="2">
        <f>+Get_Data!A2790</f>
        <v>43494</v>
      </c>
      <c r="B2791">
        <f>+ROUND(Get_Data!B2790,5)</f>
        <v>103.59442</v>
      </c>
      <c r="C2791">
        <f>+ROUND(Get_Data!C2790,5)</f>
        <v>44.772309999999997</v>
      </c>
      <c r="D2791" s="4">
        <f t="shared" si="44"/>
        <v>2.3138055641980504</v>
      </c>
    </row>
    <row r="2792" spans="1:4">
      <c r="A2792" s="2">
        <f>+Get_Data!A2791</f>
        <v>43495</v>
      </c>
      <c r="B2792">
        <f>+ROUND(Get_Data!B2791,5)</f>
        <v>105.32417</v>
      </c>
      <c r="C2792">
        <f>+ROUND(Get_Data!C2791,5)</f>
        <v>45.206809999999997</v>
      </c>
      <c r="D2792" s="4">
        <f t="shared" si="44"/>
        <v>2.3298297314055119</v>
      </c>
    </row>
    <row r="2793" spans="1:4">
      <c r="A2793" s="2">
        <f>+Get_Data!A2792</f>
        <v>43496</v>
      </c>
      <c r="B2793">
        <f>+ROUND(Get_Data!B2792,5)</f>
        <v>107.08242</v>
      </c>
      <c r="C2793">
        <f>+ROUND(Get_Data!C2792,5)</f>
        <v>45.461829999999999</v>
      </c>
      <c r="D2793" s="4">
        <f t="shared" si="44"/>
        <v>2.3554357578654446</v>
      </c>
    </row>
    <row r="2794" spans="1:4">
      <c r="A2794" s="2">
        <f>+Get_Data!A2793</f>
        <v>43497</v>
      </c>
      <c r="B2794">
        <f>+ROUND(Get_Data!B2793,5)</f>
        <v>106.62623000000001</v>
      </c>
      <c r="C2794">
        <f>+ROUND(Get_Data!C2793,5)</f>
        <v>46.000239999999998</v>
      </c>
      <c r="D2794" s="4">
        <f t="shared" si="44"/>
        <v>2.3179494280899409</v>
      </c>
    </row>
    <row r="2795" spans="1:4">
      <c r="A2795" s="2">
        <f>+Get_Data!A2794</f>
        <v>43500</v>
      </c>
      <c r="B2795">
        <f>+ROUND(Get_Data!B2794,5)</f>
        <v>107.48159</v>
      </c>
      <c r="C2795">
        <f>+ROUND(Get_Data!C2794,5)</f>
        <v>46.519750000000002</v>
      </c>
      <c r="D2795" s="4">
        <f t="shared" si="44"/>
        <v>2.3104507225425759</v>
      </c>
    </row>
    <row r="2796" spans="1:4">
      <c r="A2796" s="2">
        <f>+Get_Data!A2795</f>
        <v>43501</v>
      </c>
      <c r="B2796">
        <f>+ROUND(Get_Data!B2795,5)</f>
        <v>107.30101000000001</v>
      </c>
      <c r="C2796">
        <f>+ROUND(Get_Data!C2795,5)</f>
        <v>46.52919</v>
      </c>
      <c r="D2796" s="4">
        <f t="shared" si="44"/>
        <v>2.3061009658668032</v>
      </c>
    </row>
    <row r="2797" spans="1:4">
      <c r="A2797" s="2">
        <f>+Get_Data!A2796</f>
        <v>43502</v>
      </c>
      <c r="B2797">
        <f>+ROUND(Get_Data!B2796,5)</f>
        <v>107.44358</v>
      </c>
      <c r="C2797">
        <f>+ROUND(Get_Data!C2796,5)</f>
        <v>46.52919</v>
      </c>
      <c r="D2797" s="4">
        <f t="shared" si="44"/>
        <v>2.3091650639093437</v>
      </c>
    </row>
    <row r="2798" spans="1:4">
      <c r="A2798" s="2">
        <f>+Get_Data!A2797</f>
        <v>43503</v>
      </c>
      <c r="B2798">
        <f>+ROUND(Get_Data!B2797,5)</f>
        <v>107.48159</v>
      </c>
      <c r="C2798">
        <f>+ROUND(Get_Data!C2797,5)</f>
        <v>46.680320000000002</v>
      </c>
      <c r="D2798" s="4">
        <f t="shared" si="44"/>
        <v>2.3025032818969535</v>
      </c>
    </row>
    <row r="2799" spans="1:4">
      <c r="A2799" s="2">
        <f>+Get_Data!A2798</f>
        <v>43504</v>
      </c>
      <c r="B2799">
        <f>+ROUND(Get_Data!B2798,5)</f>
        <v>107.41506</v>
      </c>
      <c r="C2799">
        <f>+ROUND(Get_Data!C2798,5)</f>
        <v>46.755890000000001</v>
      </c>
      <c r="D2799" s="4">
        <f t="shared" si="44"/>
        <v>2.2973588995953236</v>
      </c>
    </row>
    <row r="2800" spans="1:4">
      <c r="A2800" s="2">
        <f>+Get_Data!A2799</f>
        <v>43507</v>
      </c>
      <c r="B2800">
        <f>+ROUND(Get_Data!B2799,5)</f>
        <v>107.36754000000001</v>
      </c>
      <c r="C2800">
        <f>+ROUND(Get_Data!C2799,5)</f>
        <v>46.859789999999997</v>
      </c>
      <c r="D2800" s="4">
        <f t="shared" si="44"/>
        <v>2.2912509851196519</v>
      </c>
    </row>
    <row r="2801" spans="1:4">
      <c r="A2801" s="2">
        <f>+Get_Data!A2800</f>
        <v>43508</v>
      </c>
      <c r="B2801">
        <f>+ROUND(Get_Data!B2800,5)</f>
        <v>108.14688</v>
      </c>
      <c r="C2801">
        <f>+ROUND(Get_Data!C2800,5)</f>
        <v>46.907020000000003</v>
      </c>
      <c r="D2801" s="4">
        <f t="shared" si="44"/>
        <v>2.3055585283396813</v>
      </c>
    </row>
    <row r="2802" spans="1:4">
      <c r="A2802" s="2">
        <f>+Get_Data!A2801</f>
        <v>43509</v>
      </c>
      <c r="B2802">
        <f>+ROUND(Get_Data!B2801,5)</f>
        <v>108.46051</v>
      </c>
      <c r="C2802">
        <f>+ROUND(Get_Data!C2801,5)</f>
        <v>47.029820000000001</v>
      </c>
      <c r="D2802" s="4">
        <f t="shared" si="44"/>
        <v>2.3062072106591094</v>
      </c>
    </row>
    <row r="2803" spans="1:4">
      <c r="A2803" s="2">
        <f>+Get_Data!A2802</f>
        <v>43510</v>
      </c>
      <c r="B2803">
        <f>+ROUND(Get_Data!B2802,5)</f>
        <v>107.00639</v>
      </c>
      <c r="C2803">
        <f>+ROUND(Get_Data!C2802,5)</f>
        <v>43.062640000000002</v>
      </c>
      <c r="D2803" s="4">
        <f t="shared" si="44"/>
        <v>2.4849008328332864</v>
      </c>
    </row>
    <row r="2804" spans="1:4">
      <c r="A2804" s="2">
        <f>+Get_Data!A2803</f>
        <v>43511</v>
      </c>
      <c r="B2804">
        <f>+ROUND(Get_Data!B2803,5)</f>
        <v>110.16175</v>
      </c>
      <c r="C2804">
        <f>+ROUND(Get_Data!C2803,5)</f>
        <v>42.732050000000001</v>
      </c>
      <c r="D2804" s="4">
        <f t="shared" si="44"/>
        <v>2.5779654849229092</v>
      </c>
    </row>
    <row r="2805" spans="1:4">
      <c r="A2805" s="2">
        <f>+Get_Data!A2804</f>
        <v>43515</v>
      </c>
      <c r="B2805">
        <f>+ROUND(Get_Data!B2804,5)</f>
        <v>110.18076000000001</v>
      </c>
      <c r="C2805">
        <f>+ROUND(Get_Data!C2804,5)</f>
        <v>42.34478</v>
      </c>
      <c r="D2805" s="4">
        <f t="shared" si="44"/>
        <v>2.6019915559839961</v>
      </c>
    </row>
    <row r="2806" spans="1:4">
      <c r="A2806" s="2">
        <f>+Get_Data!A2805</f>
        <v>43516</v>
      </c>
      <c r="B2806">
        <f>+ROUND(Get_Data!B2805,5)</f>
        <v>110.08571999999999</v>
      </c>
      <c r="C2806">
        <f>+ROUND(Get_Data!C2805,5)</f>
        <v>42.599809999999998</v>
      </c>
      <c r="D2806" s="4">
        <f t="shared" si="44"/>
        <v>2.5841833566863328</v>
      </c>
    </row>
    <row r="2807" spans="1:4">
      <c r="A2807" s="2">
        <f>+Get_Data!A2806</f>
        <v>43517</v>
      </c>
      <c r="B2807">
        <f>+ROUND(Get_Data!B2806,5)</f>
        <v>110.34231</v>
      </c>
      <c r="C2807">
        <f>+ROUND(Get_Data!C2806,5)</f>
        <v>43.317680000000003</v>
      </c>
      <c r="D2807" s="4">
        <f t="shared" si="44"/>
        <v>2.5472811563315485</v>
      </c>
    </row>
    <row r="2808" spans="1:4">
      <c r="A2808" s="2">
        <f>+Get_Data!A2807</f>
        <v>43518</v>
      </c>
      <c r="B2808">
        <f>+ROUND(Get_Data!B2807,5)</f>
        <v>110.96959</v>
      </c>
      <c r="C2808">
        <f>+ROUND(Get_Data!C2807,5)</f>
        <v>42.769829999999999</v>
      </c>
      <c r="D2808" s="4">
        <f t="shared" si="44"/>
        <v>2.5945763637592201</v>
      </c>
    </row>
    <row r="2809" spans="1:4">
      <c r="A2809" s="2">
        <f>+Get_Data!A2808</f>
        <v>43521</v>
      </c>
      <c r="B2809">
        <f>+ROUND(Get_Data!B2808,5)</f>
        <v>110.30431</v>
      </c>
      <c r="C2809">
        <f>+ROUND(Get_Data!C2808,5)</f>
        <v>42.448680000000003</v>
      </c>
      <c r="D2809" s="4">
        <f t="shared" si="44"/>
        <v>2.598533334841036</v>
      </c>
    </row>
    <row r="2810" spans="1:4">
      <c r="A2810" s="2">
        <f>+Get_Data!A2809</f>
        <v>43522</v>
      </c>
      <c r="B2810">
        <f>+ROUND(Get_Data!B2809,5)</f>
        <v>110.21877000000001</v>
      </c>
      <c r="C2810">
        <f>+ROUND(Get_Data!C2809,5)</f>
        <v>42.212539999999997</v>
      </c>
      <c r="D2810" s="4">
        <f t="shared" si="44"/>
        <v>2.6110433060886651</v>
      </c>
    </row>
    <row r="2811" spans="1:4">
      <c r="A2811" s="2">
        <f>+Get_Data!A2810</f>
        <v>43523</v>
      </c>
      <c r="B2811">
        <f>+ROUND(Get_Data!B2810,5)</f>
        <v>109.64852</v>
      </c>
      <c r="C2811">
        <f>+ROUND(Get_Data!C2810,5)</f>
        <v>42.448680000000003</v>
      </c>
      <c r="D2811" s="4">
        <f t="shared" si="44"/>
        <v>2.5830843267682293</v>
      </c>
    </row>
    <row r="2812" spans="1:4">
      <c r="A2812" s="2">
        <f>+Get_Data!A2811</f>
        <v>43524</v>
      </c>
      <c r="B2812">
        <f>+ROUND(Get_Data!B2811,5)</f>
        <v>110.79634</v>
      </c>
      <c r="C2812">
        <f>+ROUND(Get_Data!C2811,5)</f>
        <v>42.826500000000003</v>
      </c>
      <c r="D2812" s="4">
        <f t="shared" si="44"/>
        <v>2.5870977081946922</v>
      </c>
    </row>
    <row r="2813" spans="1:4">
      <c r="A2813" s="2">
        <f>+Get_Data!A2812</f>
        <v>43525</v>
      </c>
      <c r="B2813">
        <f>+ROUND(Get_Data!B2812,5)</f>
        <v>111.31373000000001</v>
      </c>
      <c r="C2813">
        <f>+ROUND(Get_Data!C2812,5)</f>
        <v>42.864289999999997</v>
      </c>
      <c r="D2813" s="4">
        <f t="shared" si="44"/>
        <v>2.5968872924291997</v>
      </c>
    </row>
    <row r="2814" spans="1:4">
      <c r="A2814" s="2">
        <f>+Get_Data!A2813</f>
        <v>43528</v>
      </c>
      <c r="B2814">
        <f>+ROUND(Get_Data!B2813,5)</f>
        <v>111.30415000000001</v>
      </c>
      <c r="C2814">
        <f>+ROUND(Get_Data!C2813,5)</f>
        <v>43.119320000000002</v>
      </c>
      <c r="D2814" s="4">
        <f t="shared" si="44"/>
        <v>2.5813057812600015</v>
      </c>
    </row>
    <row r="2815" spans="1:4">
      <c r="A2815" s="2">
        <f>+Get_Data!A2814</f>
        <v>43529</v>
      </c>
      <c r="B2815">
        <f>+ROUND(Get_Data!B2814,5)</f>
        <v>111.17001</v>
      </c>
      <c r="C2815">
        <f>+ROUND(Get_Data!C2814,5)</f>
        <v>43.072090000000003</v>
      </c>
      <c r="D2815" s="4">
        <f t="shared" si="44"/>
        <v>2.5810219564455776</v>
      </c>
    </row>
    <row r="2816" spans="1:4">
      <c r="A2816" s="2">
        <f>+Get_Data!A2815</f>
        <v>43530</v>
      </c>
      <c r="B2816">
        <f>+ROUND(Get_Data!B2815,5)</f>
        <v>111.77361000000001</v>
      </c>
      <c r="C2816">
        <f>+ROUND(Get_Data!C2815,5)</f>
        <v>42.930410000000002</v>
      </c>
      <c r="D2816" s="4">
        <f t="shared" si="44"/>
        <v>2.6035998724447311</v>
      </c>
    </row>
    <row r="2817" spans="1:4">
      <c r="A2817" s="2">
        <f>+Get_Data!A2816</f>
        <v>43531</v>
      </c>
      <c r="B2817">
        <f>+ROUND(Get_Data!B2816,5)</f>
        <v>111.23708000000001</v>
      </c>
      <c r="C2817">
        <f>+ROUND(Get_Data!C2816,5)</f>
        <v>42.769829999999999</v>
      </c>
      <c r="D2817" s="4">
        <f t="shared" si="44"/>
        <v>2.6008305387232076</v>
      </c>
    </row>
    <row r="2818" spans="1:4">
      <c r="A2818" s="2">
        <f>+Get_Data!A2817</f>
        <v>43532</v>
      </c>
      <c r="B2818">
        <f>+ROUND(Get_Data!B2817,5)</f>
        <v>110.40352</v>
      </c>
      <c r="C2818">
        <f>+ROUND(Get_Data!C2817,5)</f>
        <v>42.354219999999998</v>
      </c>
      <c r="D2818" s="4">
        <f t="shared" si="44"/>
        <v>2.6066710707929461</v>
      </c>
    </row>
    <row r="2819" spans="1:4">
      <c r="A2819" s="2">
        <f>+Get_Data!A2818</f>
        <v>43535</v>
      </c>
      <c r="B2819">
        <f>+ROUND(Get_Data!B2818,5)</f>
        <v>111.70654999999999</v>
      </c>
      <c r="C2819">
        <f>+ROUND(Get_Data!C2818,5)</f>
        <v>43.619929999999997</v>
      </c>
      <c r="D2819" s="4">
        <f t="shared" si="44"/>
        <v>2.5609062187857705</v>
      </c>
    </row>
    <row r="2820" spans="1:4">
      <c r="A2820" s="2">
        <f>+Get_Data!A2819</f>
        <v>43536</v>
      </c>
      <c r="B2820">
        <f>+ROUND(Get_Data!B2819,5)</f>
        <v>111.68738999999999</v>
      </c>
      <c r="C2820">
        <f>+ROUND(Get_Data!C2819,5)</f>
        <v>43.497149999999998</v>
      </c>
      <c r="D2820" s="4">
        <f t="shared" ref="D2820:D2883" si="45">IFERROR(B2820/C2820,"")</f>
        <v>2.5676944351526481</v>
      </c>
    </row>
    <row r="2821" spans="1:4">
      <c r="A2821" s="2">
        <f>+Get_Data!A2820</f>
        <v>43537</v>
      </c>
      <c r="B2821">
        <f>+ROUND(Get_Data!B2820,5)</f>
        <v>111.69698</v>
      </c>
      <c r="C2821">
        <f>+ROUND(Get_Data!C2820,5)</f>
        <v>43.657719999999998</v>
      </c>
      <c r="D2821" s="4">
        <f t="shared" si="45"/>
        <v>2.5584703003271816</v>
      </c>
    </row>
    <row r="2822" spans="1:4">
      <c r="A2822" s="2">
        <f>+Get_Data!A2821</f>
        <v>43538</v>
      </c>
      <c r="B2822">
        <f>+ROUND(Get_Data!B2821,5)</f>
        <v>110.66221</v>
      </c>
      <c r="C2822">
        <f>+ROUND(Get_Data!C2821,5)</f>
        <v>43.543379999999999</v>
      </c>
      <c r="D2822" s="4">
        <f t="shared" si="45"/>
        <v>2.5414244369637822</v>
      </c>
    </row>
    <row r="2823" spans="1:4">
      <c r="A2823" s="2">
        <f>+Get_Data!A2822</f>
        <v>43539</v>
      </c>
      <c r="B2823">
        <f>+ROUND(Get_Data!B2822,5)</f>
        <v>110.81551</v>
      </c>
      <c r="C2823">
        <f>+ROUND(Get_Data!C2822,5)</f>
        <v>43.162260000000003</v>
      </c>
      <c r="D2823" s="4">
        <f t="shared" si="45"/>
        <v>2.5674167664065783</v>
      </c>
    </row>
    <row r="2824" spans="1:4">
      <c r="A2824" s="2">
        <f>+Get_Data!A2823</f>
        <v>43542</v>
      </c>
      <c r="B2824">
        <f>+ROUND(Get_Data!B2823,5)</f>
        <v>112.35805999999999</v>
      </c>
      <c r="C2824">
        <f>+ROUND(Get_Data!C2823,5)</f>
        <v>43.267069999999997</v>
      </c>
      <c r="D2824" s="4">
        <f t="shared" si="45"/>
        <v>2.5968492897716438</v>
      </c>
    </row>
    <row r="2825" spans="1:4">
      <c r="A2825" s="2">
        <f>+Get_Data!A2824</f>
        <v>43543</v>
      </c>
      <c r="B2825">
        <f>+ROUND(Get_Data!B2824,5)</f>
        <v>113.14371</v>
      </c>
      <c r="C2825">
        <f>+ROUND(Get_Data!C2824,5)</f>
        <v>43.409990000000001</v>
      </c>
      <c r="D2825" s="4">
        <f t="shared" si="45"/>
        <v>2.6063979742911711</v>
      </c>
    </row>
    <row r="2826" spans="1:4">
      <c r="A2826" s="2">
        <f>+Get_Data!A2825</f>
        <v>43544</v>
      </c>
      <c r="B2826">
        <f>+ROUND(Get_Data!B2825,5)</f>
        <v>113.36409</v>
      </c>
      <c r="C2826">
        <f>+ROUND(Get_Data!C2825,5)</f>
        <v>43.381399999999999</v>
      </c>
      <c r="D2826" s="4">
        <f t="shared" si="45"/>
        <v>2.6131957474862499</v>
      </c>
    </row>
    <row r="2827" spans="1:4">
      <c r="A2827" s="2">
        <f>+Get_Data!A2826</f>
        <v>43545</v>
      </c>
      <c r="B2827">
        <f>+ROUND(Get_Data!B2826,5)</f>
        <v>114.43716999999999</v>
      </c>
      <c r="C2827">
        <f>+ROUND(Get_Data!C2826,5)</f>
        <v>43.362340000000003</v>
      </c>
      <c r="D2827" s="4">
        <f t="shared" si="45"/>
        <v>2.6390912021814317</v>
      </c>
    </row>
    <row r="2828" spans="1:4">
      <c r="A2828" s="2">
        <f>+Get_Data!A2827</f>
        <v>43546</v>
      </c>
      <c r="B2828">
        <f>+ROUND(Get_Data!B2827,5)</f>
        <v>115.66357000000001</v>
      </c>
      <c r="C2828">
        <f>+ROUND(Get_Data!C2827,5)</f>
        <v>43.762529999999998</v>
      </c>
      <c r="D2828" s="4">
        <f t="shared" si="45"/>
        <v>2.6429817928716646</v>
      </c>
    </row>
    <row r="2829" spans="1:4">
      <c r="A2829" s="2">
        <f>+Get_Data!A2828</f>
        <v>43549</v>
      </c>
      <c r="B2829">
        <f>+ROUND(Get_Data!B2828,5)</f>
        <v>115.78812000000001</v>
      </c>
      <c r="C2829">
        <f>+ROUND(Get_Data!C2828,5)</f>
        <v>43.857810000000001</v>
      </c>
      <c r="D2829" s="4">
        <f t="shared" si="45"/>
        <v>2.6400798398278438</v>
      </c>
    </row>
    <row r="2830" spans="1:4">
      <c r="A2830" s="2">
        <f>+Get_Data!A2829</f>
        <v>43550</v>
      </c>
      <c r="B2830">
        <f>+ROUND(Get_Data!B2829,5)</f>
        <v>116.9091</v>
      </c>
      <c r="C2830">
        <f>+ROUND(Get_Data!C2829,5)</f>
        <v>44.439019999999999</v>
      </c>
      <c r="D2830" s="4">
        <f t="shared" si="45"/>
        <v>2.6307758361908071</v>
      </c>
    </row>
    <row r="2831" spans="1:4">
      <c r="A2831" s="2">
        <f>+Get_Data!A2830</f>
        <v>43551</v>
      </c>
      <c r="B2831">
        <f>+ROUND(Get_Data!B2830,5)</f>
        <v>116.78455</v>
      </c>
      <c r="C2831">
        <f>+ROUND(Get_Data!C2830,5)</f>
        <v>44.410429999999998</v>
      </c>
      <c r="D2831" s="4">
        <f t="shared" si="45"/>
        <v>2.6296649233074301</v>
      </c>
    </row>
    <row r="2832" spans="1:4">
      <c r="A2832" s="2">
        <f>+Get_Data!A2831</f>
        <v>43552</v>
      </c>
      <c r="B2832">
        <f>+ROUND(Get_Data!B2831,5)</f>
        <v>116.73665</v>
      </c>
      <c r="C2832">
        <f>+ROUND(Get_Data!C2831,5)</f>
        <v>44.381860000000003</v>
      </c>
      <c r="D2832" s="4">
        <f t="shared" si="45"/>
        <v>2.6302784516016224</v>
      </c>
    </row>
    <row r="2833" spans="1:4">
      <c r="A2833" s="2">
        <f>+Get_Data!A2832</f>
        <v>43553</v>
      </c>
      <c r="B2833">
        <f>+ROUND(Get_Data!B2832,5)</f>
        <v>117.41691</v>
      </c>
      <c r="C2833">
        <f>+ROUND(Get_Data!C2832,5)</f>
        <v>44.64864</v>
      </c>
      <c r="D2833" s="4">
        <f t="shared" si="45"/>
        <v>2.6297981304693714</v>
      </c>
    </row>
    <row r="2834" spans="1:4">
      <c r="A2834" s="2">
        <f>+Get_Data!A2833</f>
        <v>43556</v>
      </c>
      <c r="B2834">
        <f>+ROUND(Get_Data!B2833,5)</f>
        <v>116.88996</v>
      </c>
      <c r="C2834">
        <f>+ROUND(Get_Data!C2833,5)</f>
        <v>44.515250000000002</v>
      </c>
      <c r="D2834" s="4">
        <f t="shared" si="45"/>
        <v>2.6258408073637685</v>
      </c>
    </row>
    <row r="2835" spans="1:4">
      <c r="A2835" s="2">
        <f>+Get_Data!A2834</f>
        <v>43557</v>
      </c>
      <c r="B2835">
        <f>+ROUND(Get_Data!B2834,5)</f>
        <v>116.58335</v>
      </c>
      <c r="C2835">
        <f>+ROUND(Get_Data!C2834,5)</f>
        <v>44.372329999999998</v>
      </c>
      <c r="D2835" s="4">
        <f t="shared" si="45"/>
        <v>2.6273885099114698</v>
      </c>
    </row>
    <row r="2836" spans="1:4">
      <c r="A2836" s="2">
        <f>+Get_Data!A2835</f>
        <v>43558</v>
      </c>
      <c r="B2836">
        <f>+ROUND(Get_Data!B2835,5)</f>
        <v>116.46838</v>
      </c>
      <c r="C2836">
        <f>+ROUND(Get_Data!C2835,5)</f>
        <v>44.000729999999997</v>
      </c>
      <c r="D2836" s="4">
        <f t="shared" si="45"/>
        <v>2.6469647208125866</v>
      </c>
    </row>
    <row r="2837" spans="1:4">
      <c r="A2837" s="2">
        <f>+Get_Data!A2836</f>
        <v>43559</v>
      </c>
      <c r="B2837">
        <f>+ROUND(Get_Data!B2836,5)</f>
        <v>116.38215</v>
      </c>
      <c r="C2837">
        <f>+ROUND(Get_Data!C2836,5)</f>
        <v>44.286580000000001</v>
      </c>
      <c r="D2837" s="4">
        <f t="shared" si="45"/>
        <v>2.6279326604131543</v>
      </c>
    </row>
    <row r="2838" spans="1:4">
      <c r="A2838" s="2">
        <f>+Get_Data!A2837</f>
        <v>43560</v>
      </c>
      <c r="B2838">
        <f>+ROUND(Get_Data!B2837,5)</f>
        <v>116.52585999999999</v>
      </c>
      <c r="C2838">
        <f>+ROUND(Get_Data!C2837,5)</f>
        <v>44.27704</v>
      </c>
      <c r="D2838" s="4">
        <f t="shared" si="45"/>
        <v>2.6317445791317575</v>
      </c>
    </row>
    <row r="2839" spans="1:4">
      <c r="A2839" s="2">
        <f>+Get_Data!A2838</f>
        <v>43563</v>
      </c>
      <c r="B2839">
        <f>+ROUND(Get_Data!B2838,5)</f>
        <v>116.88996</v>
      </c>
      <c r="C2839">
        <f>+ROUND(Get_Data!C2838,5)</f>
        <v>44.353270000000002</v>
      </c>
      <c r="D2839" s="4">
        <f t="shared" si="45"/>
        <v>2.6354304879888222</v>
      </c>
    </row>
    <row r="2840" spans="1:4">
      <c r="A2840" s="2">
        <f>+Get_Data!A2839</f>
        <v>43564</v>
      </c>
      <c r="B2840">
        <f>+ROUND(Get_Data!B2839,5)</f>
        <v>117.05283</v>
      </c>
      <c r="C2840">
        <f>+ROUND(Get_Data!C2839,5)</f>
        <v>44.467610000000001</v>
      </c>
      <c r="D2840" s="4">
        <f t="shared" si="45"/>
        <v>2.6323166457563159</v>
      </c>
    </row>
    <row r="2841" spans="1:4">
      <c r="A2841" s="2">
        <f>+Get_Data!A2840</f>
        <v>43565</v>
      </c>
      <c r="B2841">
        <f>+ROUND(Get_Data!B2840,5)</f>
        <v>116.92828</v>
      </c>
      <c r="C2841">
        <f>+ROUND(Get_Data!C2840,5)</f>
        <v>44.439019999999999</v>
      </c>
      <c r="D2841" s="4">
        <f t="shared" si="45"/>
        <v>2.6312074388679139</v>
      </c>
    </row>
    <row r="2842" spans="1:4">
      <c r="A2842" s="2">
        <f>+Get_Data!A2841</f>
        <v>43566</v>
      </c>
      <c r="B2842">
        <f>+ROUND(Get_Data!B2841,5)</f>
        <v>116.57378</v>
      </c>
      <c r="C2842">
        <f>+ROUND(Get_Data!C2841,5)</f>
        <v>44.505719999999997</v>
      </c>
      <c r="D2842" s="4">
        <f t="shared" si="45"/>
        <v>2.6192988227131258</v>
      </c>
    </row>
    <row r="2843" spans="1:4">
      <c r="A2843" s="2">
        <f>+Get_Data!A2842</f>
        <v>43567</v>
      </c>
      <c r="B2843">
        <f>+ROUND(Get_Data!B2842,5)</f>
        <v>117.11032</v>
      </c>
      <c r="C2843">
        <f>+ROUND(Get_Data!C2842,5)</f>
        <v>44.534309999999998</v>
      </c>
      <c r="D2843" s="4">
        <f t="shared" si="45"/>
        <v>2.6296650829439145</v>
      </c>
    </row>
    <row r="2844" spans="1:4">
      <c r="A2844" s="2">
        <f>+Get_Data!A2843</f>
        <v>43570</v>
      </c>
      <c r="B2844">
        <f>+ROUND(Get_Data!B2843,5)</f>
        <v>118.48042</v>
      </c>
      <c r="C2844">
        <f>+ROUND(Get_Data!C2843,5)</f>
        <v>44.782040000000002</v>
      </c>
      <c r="D2844" s="4">
        <f t="shared" si="45"/>
        <v>2.6457128795383147</v>
      </c>
    </row>
    <row r="2845" spans="1:4">
      <c r="A2845" s="2">
        <f>+Get_Data!A2844</f>
        <v>43571</v>
      </c>
      <c r="B2845">
        <f>+ROUND(Get_Data!B2844,5)</f>
        <v>117.28279000000001</v>
      </c>
      <c r="C2845">
        <f>+ROUND(Get_Data!C2844,5)</f>
        <v>44.734389999999998</v>
      </c>
      <c r="D2845" s="4">
        <f t="shared" si="45"/>
        <v>2.6217590091202765</v>
      </c>
    </row>
    <row r="2846" spans="1:4">
      <c r="A2846" s="2">
        <f>+Get_Data!A2845</f>
        <v>43572</v>
      </c>
      <c r="B2846">
        <f>+ROUND(Get_Data!B2845,5)</f>
        <v>121.6901</v>
      </c>
      <c r="C2846">
        <f>+ROUND(Get_Data!C2845,5)</f>
        <v>45.048819999999999</v>
      </c>
      <c r="D2846" s="4">
        <f t="shared" si="45"/>
        <v>2.7012938407709681</v>
      </c>
    </row>
    <row r="2847" spans="1:4">
      <c r="A2847" s="2">
        <f>+Get_Data!A2846</f>
        <v>43573</v>
      </c>
      <c r="B2847">
        <f>+ROUND(Get_Data!B2846,5)</f>
        <v>121.76675</v>
      </c>
      <c r="C2847">
        <f>+ROUND(Get_Data!C2846,5)</f>
        <v>45.239379999999997</v>
      </c>
      <c r="D2847" s="4">
        <f t="shared" si="45"/>
        <v>2.6916096109186292</v>
      </c>
    </row>
    <row r="2848" spans="1:4">
      <c r="A2848" s="2">
        <f>+Get_Data!A2847</f>
        <v>43577</v>
      </c>
      <c r="B2848">
        <f>+ROUND(Get_Data!B2847,5)</f>
        <v>121.14397</v>
      </c>
      <c r="C2848">
        <f>+ROUND(Get_Data!C2847,5)</f>
        <v>45.163159999999998</v>
      </c>
      <c r="D2848" s="4">
        <f t="shared" si="45"/>
        <v>2.6823625716181065</v>
      </c>
    </row>
    <row r="2849" spans="1:4">
      <c r="A2849" s="2">
        <f>+Get_Data!A2848</f>
        <v>43578</v>
      </c>
      <c r="B2849">
        <f>+ROUND(Get_Data!B2848,5)</f>
        <v>121.76675</v>
      </c>
      <c r="C2849">
        <f>+ROUND(Get_Data!C2848,5)</f>
        <v>45.934930000000001</v>
      </c>
      <c r="D2849" s="4">
        <f t="shared" si="45"/>
        <v>2.6508530654123126</v>
      </c>
    </row>
    <row r="2850" spans="1:4">
      <c r="A2850" s="2">
        <f>+Get_Data!A2849</f>
        <v>43579</v>
      </c>
      <c r="B2850">
        <f>+ROUND(Get_Data!B2849,5)</f>
        <v>121.60387</v>
      </c>
      <c r="C2850">
        <f>+ROUND(Get_Data!C2849,5)</f>
        <v>45.715789999999998</v>
      </c>
      <c r="D2850" s="4">
        <f t="shared" si="45"/>
        <v>2.659997125719582</v>
      </c>
    </row>
    <row r="2851" spans="1:4">
      <c r="A2851" s="2">
        <f>+Get_Data!A2850</f>
        <v>43580</v>
      </c>
      <c r="B2851">
        <f>+ROUND(Get_Data!B2850,5)</f>
        <v>120.84697</v>
      </c>
      <c r="C2851">
        <f>+ROUND(Get_Data!C2850,5)</f>
        <v>45.582389999999997</v>
      </c>
      <c r="D2851" s="4">
        <f t="shared" si="45"/>
        <v>2.651176693455521</v>
      </c>
    </row>
    <row r="2852" spans="1:4">
      <c r="A2852" s="2">
        <f>+Get_Data!A2851</f>
        <v>43581</v>
      </c>
      <c r="B2852">
        <f>+ROUND(Get_Data!B2851,5)</f>
        <v>121.10565</v>
      </c>
      <c r="C2852">
        <f>+ROUND(Get_Data!C2851,5)</f>
        <v>45.982570000000003</v>
      </c>
      <c r="D2852" s="4">
        <f t="shared" si="45"/>
        <v>2.633729476190652</v>
      </c>
    </row>
    <row r="2853" spans="1:4">
      <c r="A2853" s="2">
        <f>+Get_Data!A2852</f>
        <v>43584</v>
      </c>
      <c r="B2853">
        <f>+ROUND(Get_Data!B2852,5)</f>
        <v>121.38351</v>
      </c>
      <c r="C2853">
        <f>+ROUND(Get_Data!C2852,5)</f>
        <v>46.135019999999997</v>
      </c>
      <c r="D2853" s="4">
        <f t="shared" si="45"/>
        <v>2.6310492549911109</v>
      </c>
    </row>
    <row r="2854" spans="1:4">
      <c r="A2854" s="2">
        <f>+Get_Data!A2853</f>
        <v>43585</v>
      </c>
      <c r="B2854">
        <f>+ROUND(Get_Data!B2853,5)</f>
        <v>122.68655</v>
      </c>
      <c r="C2854">
        <f>+ROUND(Get_Data!C2853,5)</f>
        <v>46.74483</v>
      </c>
      <c r="D2854" s="4">
        <f t="shared" si="45"/>
        <v>2.6246014799925468</v>
      </c>
    </row>
    <row r="2855" spans="1:4">
      <c r="A2855" s="2">
        <f>+Get_Data!A2854</f>
        <v>43586</v>
      </c>
      <c r="B2855">
        <f>+ROUND(Get_Data!B2854,5)</f>
        <v>121.91047</v>
      </c>
      <c r="C2855">
        <f>+ROUND(Get_Data!C2854,5)</f>
        <v>46.296999999999997</v>
      </c>
      <c r="D2855" s="4">
        <f t="shared" si="45"/>
        <v>2.6332261269628705</v>
      </c>
    </row>
    <row r="2856" spans="1:4">
      <c r="A2856" s="2">
        <f>+Get_Data!A2855</f>
        <v>43587</v>
      </c>
      <c r="B2856">
        <f>+ROUND(Get_Data!B2855,5)</f>
        <v>121.51765</v>
      </c>
      <c r="C2856">
        <f>+ROUND(Get_Data!C2855,5)</f>
        <v>46.106439999999999</v>
      </c>
      <c r="D2856" s="4">
        <f t="shared" si="45"/>
        <v>2.6355895185141165</v>
      </c>
    </row>
    <row r="2857" spans="1:4">
      <c r="A2857" s="2">
        <f>+Get_Data!A2856</f>
        <v>43588</v>
      </c>
      <c r="B2857">
        <f>+ROUND(Get_Data!B2856,5)</f>
        <v>122.32246000000001</v>
      </c>
      <c r="C2857">
        <f>+ROUND(Get_Data!C2856,5)</f>
        <v>46.420870000000001</v>
      </c>
      <c r="D2857" s="4">
        <f t="shared" si="45"/>
        <v>2.6350746980829958</v>
      </c>
    </row>
    <row r="2858" spans="1:4">
      <c r="A2858" s="2">
        <f>+Get_Data!A2857</f>
        <v>43591</v>
      </c>
      <c r="B2858">
        <f>+ROUND(Get_Data!B2857,5)</f>
        <v>121.9392</v>
      </c>
      <c r="C2858">
        <f>+ROUND(Get_Data!C2857,5)</f>
        <v>46.182670000000002</v>
      </c>
      <c r="D2858" s="4">
        <f t="shared" si="45"/>
        <v>2.6403670467731728</v>
      </c>
    </row>
    <row r="2859" spans="1:4">
      <c r="A2859" s="2">
        <f>+Get_Data!A2858</f>
        <v>43592</v>
      </c>
      <c r="B2859">
        <f>+ROUND(Get_Data!B2858,5)</f>
        <v>120.70325</v>
      </c>
      <c r="C2859">
        <f>+ROUND(Get_Data!C2858,5)</f>
        <v>45.734839999999998</v>
      </c>
      <c r="D2859" s="4">
        <f t="shared" si="45"/>
        <v>2.6391969448236838</v>
      </c>
    </row>
    <row r="2860" spans="1:4">
      <c r="A2860" s="2">
        <f>+Get_Data!A2859</f>
        <v>43593</v>
      </c>
      <c r="B2860">
        <f>+ROUND(Get_Data!B2859,5)</f>
        <v>120.74156000000001</v>
      </c>
      <c r="C2860">
        <f>+ROUND(Get_Data!C2859,5)</f>
        <v>45.591920000000002</v>
      </c>
      <c r="D2860" s="4">
        <f t="shared" si="45"/>
        <v>2.6483104901043868</v>
      </c>
    </row>
    <row r="2861" spans="1:4">
      <c r="A2861" s="2">
        <f>+Get_Data!A2860</f>
        <v>43594</v>
      </c>
      <c r="B2861">
        <f>+ROUND(Get_Data!B2860,5)</f>
        <v>120.77032</v>
      </c>
      <c r="C2861">
        <f>+ROUND(Get_Data!C2860,5)</f>
        <v>45.163159999999998</v>
      </c>
      <c r="D2861" s="4">
        <f t="shared" si="45"/>
        <v>2.6740892355627905</v>
      </c>
    </row>
    <row r="2862" spans="1:4">
      <c r="A2862" s="2">
        <f>+Get_Data!A2861</f>
        <v>43595</v>
      </c>
      <c r="B2862">
        <f>+ROUND(Get_Data!B2861,5)</f>
        <v>122.64821000000001</v>
      </c>
      <c r="C2862">
        <f>+ROUND(Get_Data!C2861,5)</f>
        <v>45.915869999999998</v>
      </c>
      <c r="D2862" s="4">
        <f t="shared" si="45"/>
        <v>2.6711507372069834</v>
      </c>
    </row>
    <row r="2863" spans="1:4">
      <c r="A2863" s="2">
        <f>+Get_Data!A2862</f>
        <v>43598</v>
      </c>
      <c r="B2863">
        <f>+ROUND(Get_Data!B2862,5)</f>
        <v>121.83382</v>
      </c>
      <c r="C2863">
        <f>+ROUND(Get_Data!C2862,5)</f>
        <v>45.782490000000003</v>
      </c>
      <c r="D2863" s="4">
        <f t="shared" si="45"/>
        <v>2.6611444681143381</v>
      </c>
    </row>
    <row r="2864" spans="1:4">
      <c r="A2864" s="2">
        <f>+Get_Data!A2863</f>
        <v>43599</v>
      </c>
      <c r="B2864">
        <f>+ROUND(Get_Data!B2863,5)</f>
        <v>122.07335999999999</v>
      </c>
      <c r="C2864">
        <f>+ROUND(Get_Data!C2863,5)</f>
        <v>46.39228</v>
      </c>
      <c r="D2864" s="4">
        <f t="shared" si="45"/>
        <v>2.631329178044278</v>
      </c>
    </row>
    <row r="2865" spans="1:4">
      <c r="A2865" s="2">
        <f>+Get_Data!A2864</f>
        <v>43600</v>
      </c>
      <c r="B2865">
        <f>+ROUND(Get_Data!B2864,5)</f>
        <v>123.93209</v>
      </c>
      <c r="C2865">
        <f>+ROUND(Get_Data!C2864,5)</f>
        <v>46.85915</v>
      </c>
      <c r="D2865" s="4">
        <f t="shared" si="45"/>
        <v>2.6447788745634524</v>
      </c>
    </row>
    <row r="2866" spans="1:4">
      <c r="A2866" s="2">
        <f>+Get_Data!A2865</f>
        <v>43601</v>
      </c>
      <c r="B2866">
        <f>+ROUND(Get_Data!B2865,5)</f>
        <v>124.81356</v>
      </c>
      <c r="C2866">
        <f>+ROUND(Get_Data!C2865,5)</f>
        <v>47.240279999999998</v>
      </c>
      <c r="D2866" s="4">
        <f t="shared" si="45"/>
        <v>2.6421003431817085</v>
      </c>
    </row>
    <row r="2867" spans="1:4">
      <c r="A2867" s="2">
        <f>+Get_Data!A2866</f>
        <v>43602</v>
      </c>
      <c r="B2867">
        <f>+ROUND(Get_Data!B2866,5)</f>
        <v>125.04349999999999</v>
      </c>
      <c r="C2867">
        <f>+ROUND(Get_Data!C2866,5)</f>
        <v>46.878219999999999</v>
      </c>
      <c r="D2867" s="4">
        <f t="shared" si="45"/>
        <v>2.6674114332839429</v>
      </c>
    </row>
    <row r="2868" spans="1:4">
      <c r="A2868" s="2">
        <f>+Get_Data!A2867</f>
        <v>43605</v>
      </c>
      <c r="B2868">
        <f>+ROUND(Get_Data!B2867,5)</f>
        <v>124.54528999999999</v>
      </c>
      <c r="C2868">
        <f>+ROUND(Get_Data!C2867,5)</f>
        <v>46.544730000000001</v>
      </c>
      <c r="D2868" s="4">
        <f t="shared" si="45"/>
        <v>2.6758193677350794</v>
      </c>
    </row>
    <row r="2869" spans="1:4">
      <c r="A2869" s="2">
        <f>+Get_Data!A2868</f>
        <v>43606</v>
      </c>
      <c r="B2869">
        <f>+ROUND(Get_Data!B2868,5)</f>
        <v>123.64466</v>
      </c>
      <c r="C2869">
        <f>+ROUND(Get_Data!C2868,5)</f>
        <v>46.306530000000002</v>
      </c>
      <c r="D2869" s="4">
        <f t="shared" si="45"/>
        <v>2.670134428124932</v>
      </c>
    </row>
    <row r="2870" spans="1:4">
      <c r="A2870" s="2">
        <f>+Get_Data!A2869</f>
        <v>43607</v>
      </c>
      <c r="B2870">
        <f>+ROUND(Get_Data!B2869,5)</f>
        <v>124.62195</v>
      </c>
      <c r="C2870">
        <f>+ROUND(Get_Data!C2869,5)</f>
        <v>47.306980000000003</v>
      </c>
      <c r="D2870" s="4">
        <f t="shared" si="45"/>
        <v>2.6343247867439432</v>
      </c>
    </row>
    <row r="2871" spans="1:4">
      <c r="A2871" s="2">
        <f>+Get_Data!A2870</f>
        <v>43608</v>
      </c>
      <c r="B2871">
        <f>+ROUND(Get_Data!B2870,5)</f>
        <v>124.52612000000001</v>
      </c>
      <c r="C2871">
        <f>+ROUND(Get_Data!C2870,5)</f>
        <v>47.497540000000001</v>
      </c>
      <c r="D2871" s="4">
        <f t="shared" si="45"/>
        <v>2.6217383047627307</v>
      </c>
    </row>
    <row r="2872" spans="1:4">
      <c r="A2872" s="2">
        <f>+Get_Data!A2871</f>
        <v>43609</v>
      </c>
      <c r="B2872">
        <f>+ROUND(Get_Data!B2871,5)</f>
        <v>124.07581</v>
      </c>
      <c r="C2872">
        <f>+ROUND(Get_Data!C2871,5)</f>
        <v>47.26887</v>
      </c>
      <c r="D2872" s="4">
        <f t="shared" si="45"/>
        <v>2.6248947774719387</v>
      </c>
    </row>
    <row r="2873" spans="1:4">
      <c r="A2873" s="2">
        <f>+Get_Data!A2872</f>
        <v>43613</v>
      </c>
      <c r="B2873">
        <f>+ROUND(Get_Data!B2872,5)</f>
        <v>122.28413</v>
      </c>
      <c r="C2873">
        <f>+ROUND(Get_Data!C2872,5)</f>
        <v>46.782940000000004</v>
      </c>
      <c r="D2873" s="4">
        <f t="shared" si="45"/>
        <v>2.6138615914262764</v>
      </c>
    </row>
    <row r="2874" spans="1:4">
      <c r="A2874" s="2">
        <f>+Get_Data!A2873</f>
        <v>43614</v>
      </c>
      <c r="B2874">
        <f>+ROUND(Get_Data!B2873,5)</f>
        <v>122.80150999999999</v>
      </c>
      <c r="C2874">
        <f>+ROUND(Get_Data!C2873,5)</f>
        <v>46.31606</v>
      </c>
      <c r="D2874" s="4">
        <f t="shared" si="45"/>
        <v>2.6513807521624249</v>
      </c>
    </row>
    <row r="2875" spans="1:4">
      <c r="A2875" s="2">
        <f>+Get_Data!A2874</f>
        <v>43615</v>
      </c>
      <c r="B2875">
        <f>+ROUND(Get_Data!B2874,5)</f>
        <v>123.22308</v>
      </c>
      <c r="C2875">
        <f>+ROUND(Get_Data!C2874,5)</f>
        <v>46.92586</v>
      </c>
      <c r="D2875" s="4">
        <f t="shared" si="45"/>
        <v>2.6259098927542297</v>
      </c>
    </row>
    <row r="2876" spans="1:4">
      <c r="A2876" s="2">
        <f>+Get_Data!A2875</f>
        <v>43616</v>
      </c>
      <c r="B2876">
        <f>+ROUND(Get_Data!B2875,5)</f>
        <v>122.63864</v>
      </c>
      <c r="C2876">
        <f>+ROUND(Get_Data!C2875,5)</f>
        <v>46.811520000000002</v>
      </c>
      <c r="D2876" s="4">
        <f t="shared" si="45"/>
        <v>2.6198388772678176</v>
      </c>
    </row>
    <row r="2877" spans="1:4">
      <c r="A2877" s="2">
        <f>+Get_Data!A2876</f>
        <v>43619</v>
      </c>
      <c r="B2877">
        <f>+ROUND(Get_Data!B2876,5)</f>
        <v>123.57758</v>
      </c>
      <c r="C2877">
        <f>+ROUND(Get_Data!C2876,5)</f>
        <v>47.621409999999997</v>
      </c>
      <c r="D2877" s="4">
        <f t="shared" si="45"/>
        <v>2.5950004420280712</v>
      </c>
    </row>
    <row r="2878" spans="1:4">
      <c r="A2878" s="2">
        <f>+Get_Data!A2877</f>
        <v>43620</v>
      </c>
      <c r="B2878">
        <f>+ROUND(Get_Data!B2877,5)</f>
        <v>123.66383</v>
      </c>
      <c r="C2878">
        <f>+ROUND(Get_Data!C2877,5)</f>
        <v>47.640459999999997</v>
      </c>
      <c r="D2878" s="4">
        <f t="shared" si="45"/>
        <v>2.5957732146163157</v>
      </c>
    </row>
    <row r="2879" spans="1:4">
      <c r="A2879" s="2">
        <f>+Get_Data!A2878</f>
        <v>43621</v>
      </c>
      <c r="B2879">
        <f>+ROUND(Get_Data!B2878,5)</f>
        <v>125.88666000000001</v>
      </c>
      <c r="C2879">
        <f>+ROUND(Get_Data!C2878,5)</f>
        <v>48.383650000000003</v>
      </c>
      <c r="D2879" s="4">
        <f t="shared" si="45"/>
        <v>2.6018429779481291</v>
      </c>
    </row>
    <row r="2880" spans="1:4">
      <c r="A2880" s="2">
        <f>+Get_Data!A2879</f>
        <v>43622</v>
      </c>
      <c r="B2880">
        <f>+ROUND(Get_Data!B2879,5)</f>
        <v>127.37775999999999</v>
      </c>
      <c r="C2880">
        <f>+ROUND(Get_Data!C2879,5)</f>
        <v>48.974400000000003</v>
      </c>
      <c r="D2880" s="4">
        <f t="shared" si="45"/>
        <v>2.6009049625927014</v>
      </c>
    </row>
    <row r="2881" spans="1:4">
      <c r="A2881" s="2">
        <f>+Get_Data!A2880</f>
        <v>43623</v>
      </c>
      <c r="B2881">
        <f>+ROUND(Get_Data!B2880,5)</f>
        <v>128.81583000000001</v>
      </c>
      <c r="C2881">
        <f>+ROUND(Get_Data!C2880,5)</f>
        <v>49.06015</v>
      </c>
      <c r="D2881" s="4">
        <f t="shared" si="45"/>
        <v>2.6256713442580182</v>
      </c>
    </row>
    <row r="2882" spans="1:4">
      <c r="A2882" s="2">
        <f>+Get_Data!A2881</f>
        <v>43626</v>
      </c>
      <c r="B2882">
        <f>+ROUND(Get_Data!B2881,5)</f>
        <v>128.93163000000001</v>
      </c>
      <c r="C2882">
        <f>+ROUND(Get_Data!C2881,5)</f>
        <v>48.95534</v>
      </c>
      <c r="D2882" s="4">
        <f t="shared" si="45"/>
        <v>2.6336581463840312</v>
      </c>
    </row>
    <row r="2883" spans="1:4">
      <c r="A2883" s="2">
        <f>+Get_Data!A2882</f>
        <v>43627</v>
      </c>
      <c r="B2883">
        <f>+ROUND(Get_Data!B2882,5)</f>
        <v>128.55521999999999</v>
      </c>
      <c r="C2883">
        <f>+ROUND(Get_Data!C2882,5)</f>
        <v>48.907699999999998</v>
      </c>
      <c r="D2883" s="4">
        <f t="shared" si="45"/>
        <v>2.6285272053275865</v>
      </c>
    </row>
    <row r="2884" spans="1:4">
      <c r="A2884" s="2">
        <f>+Get_Data!A2883</f>
        <v>43628</v>
      </c>
      <c r="B2884">
        <f>+ROUND(Get_Data!B2883,5)</f>
        <v>128.49731</v>
      </c>
      <c r="C2884">
        <f>+ROUND(Get_Data!C2883,5)</f>
        <v>49.203069999999997</v>
      </c>
      <c r="D2884" s="4">
        <f t="shared" ref="D2884:D2947" si="46">IFERROR(B2884/C2884,"")</f>
        <v>2.6115709853064049</v>
      </c>
    </row>
    <row r="2885" spans="1:4">
      <c r="A2885" s="2">
        <f>+Get_Data!A2884</f>
        <v>43629</v>
      </c>
      <c r="B2885">
        <f>+ROUND(Get_Data!B2884,5)</f>
        <v>128.30429000000001</v>
      </c>
      <c r="C2885">
        <f>+ROUND(Get_Data!C2884,5)</f>
        <v>49.097439999999999</v>
      </c>
      <c r="D2885" s="4">
        <f t="shared" si="46"/>
        <v>2.613258247273178</v>
      </c>
    </row>
    <row r="2886" spans="1:4">
      <c r="A2886" s="2">
        <f>+Get_Data!A2885</f>
        <v>43630</v>
      </c>
      <c r="B2886">
        <f>+ROUND(Get_Data!B2885,5)</f>
        <v>128.10158999999999</v>
      </c>
      <c r="C2886">
        <f>+ROUND(Get_Data!C2885,5)</f>
        <v>49.270290000000003</v>
      </c>
      <c r="D2886" s="4">
        <f t="shared" si="46"/>
        <v>2.5999763752151646</v>
      </c>
    </row>
    <row r="2887" spans="1:4">
      <c r="A2887" s="2">
        <f>+Get_Data!A2886</f>
        <v>43633</v>
      </c>
      <c r="B2887">
        <f>+ROUND(Get_Data!B2886,5)</f>
        <v>127.89894</v>
      </c>
      <c r="C2887">
        <f>+ROUND(Get_Data!C2886,5)</f>
        <v>48.84778</v>
      </c>
      <c r="D2887" s="4">
        <f t="shared" si="46"/>
        <v>2.6183163288075733</v>
      </c>
    </row>
    <row r="2888" spans="1:4">
      <c r="A2888" s="2">
        <f>+Get_Data!A2887</f>
        <v>43634</v>
      </c>
      <c r="B2888">
        <f>+ROUND(Get_Data!B2887,5)</f>
        <v>127.45499</v>
      </c>
      <c r="C2888">
        <f>+ROUND(Get_Data!C2887,5)</f>
        <v>48.626919999999998</v>
      </c>
      <c r="D2888" s="4">
        <f t="shared" si="46"/>
        <v>2.6210788180703197</v>
      </c>
    </row>
    <row r="2889" spans="1:4">
      <c r="A2889" s="2">
        <f>+Get_Data!A2888</f>
        <v>43635</v>
      </c>
      <c r="B2889">
        <f>+ROUND(Get_Data!B2888,5)</f>
        <v>128.21745000000001</v>
      </c>
      <c r="C2889">
        <f>+ROUND(Get_Data!C2888,5)</f>
        <v>49.08784</v>
      </c>
      <c r="D2889" s="4">
        <f t="shared" si="46"/>
        <v>2.6120002428299967</v>
      </c>
    </row>
    <row r="2890" spans="1:4">
      <c r="A2890" s="2">
        <f>+Get_Data!A2889</f>
        <v>43636</v>
      </c>
      <c r="B2890">
        <f>+ROUND(Get_Data!B2889,5)</f>
        <v>129.48175000000001</v>
      </c>
      <c r="C2890">
        <f>+ROUND(Get_Data!C2889,5)</f>
        <v>49.606369999999998</v>
      </c>
      <c r="D2890" s="4">
        <f t="shared" si="46"/>
        <v>2.6101839340391164</v>
      </c>
    </row>
    <row r="2891" spans="1:4">
      <c r="A2891" s="2">
        <f>+Get_Data!A2890</f>
        <v>43637</v>
      </c>
      <c r="B2891">
        <f>+ROUND(Get_Data!B2890,5)</f>
        <v>129.28872999999999</v>
      </c>
      <c r="C2891">
        <f>+ROUND(Get_Data!C2890,5)</f>
        <v>49.50074</v>
      </c>
      <c r="D2891" s="4">
        <f t="shared" si="46"/>
        <v>2.6118544894480364</v>
      </c>
    </row>
    <row r="2892" spans="1:4">
      <c r="A2892" s="2">
        <f>+Get_Data!A2891</f>
        <v>43640</v>
      </c>
      <c r="B2892">
        <f>+ROUND(Get_Data!B2891,5)</f>
        <v>129.46244999999999</v>
      </c>
      <c r="C2892">
        <f>+ROUND(Get_Data!C2891,5)</f>
        <v>49.85604</v>
      </c>
      <c r="D2892" s="4">
        <f t="shared" si="46"/>
        <v>2.5967254920366716</v>
      </c>
    </row>
    <row r="2893" spans="1:4">
      <c r="A2893" s="2">
        <f>+Get_Data!A2892</f>
        <v>43641</v>
      </c>
      <c r="B2893">
        <f>+ROUND(Get_Data!B2892,5)</f>
        <v>129.14394999999999</v>
      </c>
      <c r="C2893">
        <f>+ROUND(Get_Data!C2892,5)</f>
        <v>49.702399999999997</v>
      </c>
      <c r="D2893" s="4">
        <f t="shared" si="46"/>
        <v>2.5983443455446817</v>
      </c>
    </row>
    <row r="2894" spans="1:4">
      <c r="A2894" s="2">
        <f>+Get_Data!A2893</f>
        <v>43642</v>
      </c>
      <c r="B2894">
        <f>+ROUND(Get_Data!B2893,5)</f>
        <v>127.70592000000001</v>
      </c>
      <c r="C2894">
        <f>+ROUND(Get_Data!C2893,5)</f>
        <v>49.08784</v>
      </c>
      <c r="D2894" s="4">
        <f t="shared" si="46"/>
        <v>2.6015795357872746</v>
      </c>
    </row>
    <row r="2895" spans="1:4">
      <c r="A2895" s="2">
        <f>+Get_Data!A2894</f>
        <v>43643</v>
      </c>
      <c r="B2895">
        <f>+ROUND(Get_Data!B2894,5)</f>
        <v>127.09789000000001</v>
      </c>
      <c r="C2895">
        <f>+ROUND(Get_Data!C2894,5)</f>
        <v>49.049430000000001</v>
      </c>
      <c r="D2895" s="4">
        <f t="shared" si="46"/>
        <v>2.5912205299837328</v>
      </c>
    </row>
    <row r="2896" spans="1:4">
      <c r="A2896" s="2">
        <f>+Get_Data!A2895</f>
        <v>43644</v>
      </c>
      <c r="B2896">
        <f>+ROUND(Get_Data!B2895,5)</f>
        <v>126.55741999999999</v>
      </c>
      <c r="C2896">
        <f>+ROUND(Get_Data!C2895,5)</f>
        <v>48.895789999999998</v>
      </c>
      <c r="D2896" s="4">
        <f t="shared" si="46"/>
        <v>2.5883091366352806</v>
      </c>
    </row>
    <row r="2897" spans="1:4">
      <c r="A2897" s="2">
        <f>+Get_Data!A2896</f>
        <v>43647</v>
      </c>
      <c r="B2897">
        <f>+ROUND(Get_Data!B2896,5)</f>
        <v>127.27159</v>
      </c>
      <c r="C2897">
        <f>+ROUND(Get_Data!C2896,5)</f>
        <v>49.548760000000001</v>
      </c>
      <c r="D2897" s="4">
        <f t="shared" si="46"/>
        <v>2.5686130187718117</v>
      </c>
    </row>
    <row r="2898" spans="1:4">
      <c r="A2898" s="2">
        <f>+Get_Data!A2897</f>
        <v>43648</v>
      </c>
      <c r="B2898">
        <f>+ROUND(Get_Data!B2897,5)</f>
        <v>127.81207000000001</v>
      </c>
      <c r="C2898">
        <f>+ROUND(Get_Data!C2897,5)</f>
        <v>49.913649999999997</v>
      </c>
      <c r="D2898" s="4">
        <f t="shared" si="46"/>
        <v>2.5606636661514437</v>
      </c>
    </row>
    <row r="2899" spans="1:4">
      <c r="A2899" s="2">
        <f>+Get_Data!A2898</f>
        <v>43649</v>
      </c>
      <c r="B2899">
        <f>+ROUND(Get_Data!B2898,5)</f>
        <v>129.31769</v>
      </c>
      <c r="C2899">
        <f>+ROUND(Get_Data!C2898,5)</f>
        <v>50.028880000000001</v>
      </c>
      <c r="D2899" s="4">
        <f t="shared" si="46"/>
        <v>2.5848607844109242</v>
      </c>
    </row>
    <row r="2900" spans="1:4">
      <c r="A2900" s="2">
        <f>+Get_Data!A2899</f>
        <v>43651</v>
      </c>
      <c r="B2900">
        <f>+ROUND(Get_Data!B2899,5)</f>
        <v>128.38151999999999</v>
      </c>
      <c r="C2900">
        <f>+ROUND(Get_Data!C2899,5)</f>
        <v>50.038490000000003</v>
      </c>
      <c r="D2900" s="4">
        <f t="shared" si="46"/>
        <v>2.5656553585050226</v>
      </c>
    </row>
    <row r="2901" spans="1:4">
      <c r="A2901" s="2">
        <f>+Get_Data!A2900</f>
        <v>43654</v>
      </c>
      <c r="B2901">
        <f>+ROUND(Get_Data!B2900,5)</f>
        <v>127.93755</v>
      </c>
      <c r="C2901">
        <f>+ROUND(Get_Data!C2900,5)</f>
        <v>49.932850000000002</v>
      </c>
      <c r="D2901" s="4">
        <f t="shared" si="46"/>
        <v>2.5621920238880818</v>
      </c>
    </row>
    <row r="2902" spans="1:4">
      <c r="A2902" s="2">
        <f>+Get_Data!A2901</f>
        <v>43655</v>
      </c>
      <c r="B2902">
        <f>+ROUND(Get_Data!B2901,5)</f>
        <v>127.14615000000001</v>
      </c>
      <c r="C2902">
        <f>+ROUND(Get_Data!C2901,5)</f>
        <v>49.539149999999999</v>
      </c>
      <c r="D2902" s="4">
        <f t="shared" si="46"/>
        <v>2.5665791601188155</v>
      </c>
    </row>
    <row r="2903" spans="1:4">
      <c r="A2903" s="2">
        <f>+Get_Data!A2902</f>
        <v>43656</v>
      </c>
      <c r="B2903">
        <f>+ROUND(Get_Data!B2902,5)</f>
        <v>129.72305</v>
      </c>
      <c r="C2903">
        <f>+ROUND(Get_Data!C2902,5)</f>
        <v>49.760010000000001</v>
      </c>
      <c r="D2903" s="4">
        <f t="shared" si="46"/>
        <v>2.6069739535824046</v>
      </c>
    </row>
    <row r="2904" spans="1:4">
      <c r="A2904" s="2">
        <f>+Get_Data!A2903</f>
        <v>43657</v>
      </c>
      <c r="B2904">
        <f>+ROUND(Get_Data!B2903,5)</f>
        <v>129.66515000000001</v>
      </c>
      <c r="C2904">
        <f>+ROUND(Get_Data!C2903,5)</f>
        <v>49.971269999999997</v>
      </c>
      <c r="D2904" s="4">
        <f t="shared" si="46"/>
        <v>2.5947939686143662</v>
      </c>
    </row>
    <row r="2905" spans="1:4">
      <c r="A2905" s="2">
        <f>+Get_Data!A2904</f>
        <v>43658</v>
      </c>
      <c r="B2905">
        <f>+ROUND(Get_Data!B2904,5)</f>
        <v>128.63245000000001</v>
      </c>
      <c r="C2905">
        <f>+ROUND(Get_Data!C2904,5)</f>
        <v>50.048090000000002</v>
      </c>
      <c r="D2905" s="4">
        <f t="shared" si="46"/>
        <v>2.5701770037577858</v>
      </c>
    </row>
    <row r="2906" spans="1:4">
      <c r="A2906" s="2">
        <f>+Get_Data!A2905</f>
        <v>43661</v>
      </c>
      <c r="B2906">
        <f>+ROUND(Get_Data!B2905,5)</f>
        <v>129.47209000000001</v>
      </c>
      <c r="C2906">
        <f>+ROUND(Get_Data!C2905,5)</f>
        <v>50.057690000000001</v>
      </c>
      <c r="D2906" s="4">
        <f t="shared" si="46"/>
        <v>2.5864575452842513</v>
      </c>
    </row>
    <row r="2907" spans="1:4">
      <c r="A2907" s="2">
        <f>+Get_Data!A2906</f>
        <v>43662</v>
      </c>
      <c r="B2907">
        <f>+ROUND(Get_Data!B2906,5)</f>
        <v>129.13428999999999</v>
      </c>
      <c r="C2907">
        <f>+ROUND(Get_Data!C2906,5)</f>
        <v>50.067300000000003</v>
      </c>
      <c r="D2907" s="4">
        <f t="shared" si="46"/>
        <v>2.5792141777167927</v>
      </c>
    </row>
    <row r="2908" spans="1:4">
      <c r="A2908" s="2">
        <f>+Get_Data!A2907</f>
        <v>43663</v>
      </c>
      <c r="B2908">
        <f>+ROUND(Get_Data!B2907,5)</f>
        <v>128.14986999999999</v>
      </c>
      <c r="C2908">
        <f>+ROUND(Get_Data!C2907,5)</f>
        <v>50.105699999999999</v>
      </c>
      <c r="D2908" s="4">
        <f t="shared" si="46"/>
        <v>2.5575906533587993</v>
      </c>
    </row>
    <row r="2909" spans="1:4">
      <c r="A2909" s="2">
        <f>+Get_Data!A2908</f>
        <v>43664</v>
      </c>
      <c r="B2909">
        <f>+ROUND(Get_Data!B2908,5)</f>
        <v>128.24639999999999</v>
      </c>
      <c r="C2909">
        <f>+ROUND(Get_Data!C2908,5)</f>
        <v>49.961669999999998</v>
      </c>
      <c r="D2909" s="4">
        <f t="shared" si="46"/>
        <v>2.5668957823067164</v>
      </c>
    </row>
    <row r="2910" spans="1:4">
      <c r="A2910" s="2">
        <f>+Get_Data!A2909</f>
        <v>43665</v>
      </c>
      <c r="B2910">
        <f>+ROUND(Get_Data!B2909,5)</f>
        <v>125.55367</v>
      </c>
      <c r="C2910">
        <f>+ROUND(Get_Data!C2909,5)</f>
        <v>49.347110000000001</v>
      </c>
      <c r="D2910" s="4">
        <f t="shared" si="46"/>
        <v>2.5442963123878988</v>
      </c>
    </row>
    <row r="2911" spans="1:4">
      <c r="A2911" s="2">
        <f>+Get_Data!A2910</f>
        <v>43668</v>
      </c>
      <c r="B2911">
        <f>+ROUND(Get_Data!B2910,5)</f>
        <v>125.73705</v>
      </c>
      <c r="C2911">
        <f>+ROUND(Get_Data!C2910,5)</f>
        <v>49.183860000000003</v>
      </c>
      <c r="D2911" s="4">
        <f t="shared" si="46"/>
        <v>2.5564697443429609</v>
      </c>
    </row>
    <row r="2912" spans="1:4">
      <c r="A2912" s="2">
        <f>+Get_Data!A2911</f>
        <v>43669</v>
      </c>
      <c r="B2912">
        <f>+ROUND(Get_Data!B2911,5)</f>
        <v>126.18101</v>
      </c>
      <c r="C2912">
        <f>+ROUND(Get_Data!C2911,5)</f>
        <v>52.170229999999997</v>
      </c>
      <c r="D2912" s="4">
        <f t="shared" si="46"/>
        <v>2.4186400941686479</v>
      </c>
    </row>
    <row r="2913" spans="1:4">
      <c r="A2913" s="2">
        <f>+Get_Data!A2912</f>
        <v>43670</v>
      </c>
      <c r="B2913">
        <f>+ROUND(Get_Data!B2912,5)</f>
        <v>124.70437</v>
      </c>
      <c r="C2913">
        <f>+ROUND(Get_Data!C2912,5)</f>
        <v>51.642099999999999</v>
      </c>
      <c r="D2913" s="4">
        <f t="shared" si="46"/>
        <v>2.4147811572341169</v>
      </c>
    </row>
    <row r="2914" spans="1:4">
      <c r="A2914" s="2">
        <f>+Get_Data!A2913</f>
        <v>43671</v>
      </c>
      <c r="B2914">
        <f>+ROUND(Get_Data!B2913,5)</f>
        <v>124.49203</v>
      </c>
      <c r="C2914">
        <f>+ROUND(Get_Data!C2913,5)</f>
        <v>50.960320000000003</v>
      </c>
      <c r="D2914" s="4">
        <f t="shared" si="46"/>
        <v>2.4429208843272567</v>
      </c>
    </row>
    <row r="2915" spans="1:4">
      <c r="A2915" s="2">
        <f>+Get_Data!A2914</f>
        <v>43672</v>
      </c>
      <c r="B2915">
        <f>+ROUND(Get_Data!B2914,5)</f>
        <v>126.64427000000001</v>
      </c>
      <c r="C2915">
        <f>+ROUND(Get_Data!C2914,5)</f>
        <v>52.016590000000001</v>
      </c>
      <c r="D2915" s="4">
        <f t="shared" si="46"/>
        <v>2.4346899710265513</v>
      </c>
    </row>
    <row r="2916" spans="1:4">
      <c r="A2916" s="2">
        <f>+Get_Data!A2915</f>
        <v>43675</v>
      </c>
      <c r="B2916">
        <f>+ROUND(Get_Data!B2915,5)</f>
        <v>126.94345</v>
      </c>
      <c r="C2916">
        <f>+ROUND(Get_Data!C2915,5)</f>
        <v>51.84375</v>
      </c>
      <c r="D2916" s="4">
        <f t="shared" si="46"/>
        <v>2.4485776974080773</v>
      </c>
    </row>
    <row r="2917" spans="1:4">
      <c r="A2917" s="2">
        <f>+Get_Data!A2916</f>
        <v>43676</v>
      </c>
      <c r="B2917">
        <f>+ROUND(Get_Data!B2916,5)</f>
        <v>125.93007</v>
      </c>
      <c r="C2917">
        <f>+ROUND(Get_Data!C2916,5)</f>
        <v>51.584479999999999</v>
      </c>
      <c r="D2917" s="4">
        <f t="shared" si="46"/>
        <v>2.4412394968409101</v>
      </c>
    </row>
    <row r="2918" spans="1:4">
      <c r="A2918" s="2">
        <f>+Get_Data!A2917</f>
        <v>43677</v>
      </c>
      <c r="B2918">
        <f>+ROUND(Get_Data!B2917,5)</f>
        <v>123.35317000000001</v>
      </c>
      <c r="C2918">
        <f>+ROUND(Get_Data!C2917,5)</f>
        <v>50.53781</v>
      </c>
      <c r="D2918" s="4">
        <f t="shared" si="46"/>
        <v>2.4408095641659187</v>
      </c>
    </row>
    <row r="2919" spans="1:4">
      <c r="A2919" s="2">
        <f>+Get_Data!A2918</f>
        <v>43678</v>
      </c>
      <c r="B2919">
        <f>+ROUND(Get_Data!B2918,5)</f>
        <v>122.70654</v>
      </c>
      <c r="C2919">
        <f>+ROUND(Get_Data!C2918,5)</f>
        <v>49.961669999999998</v>
      </c>
      <c r="D2919" s="4">
        <f t="shared" si="46"/>
        <v>2.4560135800104361</v>
      </c>
    </row>
    <row r="2920" spans="1:4">
      <c r="A2920" s="2">
        <f>+Get_Data!A2919</f>
        <v>43679</v>
      </c>
      <c r="B2920">
        <f>+ROUND(Get_Data!B2919,5)</f>
        <v>123.45934</v>
      </c>
      <c r="C2920">
        <f>+ROUND(Get_Data!C2919,5)</f>
        <v>50.249740000000003</v>
      </c>
      <c r="D2920" s="4">
        <f t="shared" si="46"/>
        <v>2.4569150009532388</v>
      </c>
    </row>
    <row r="2921" spans="1:4">
      <c r="A2921" s="2">
        <f>+Get_Data!A2920</f>
        <v>43682</v>
      </c>
      <c r="B2921">
        <f>+ROUND(Get_Data!B2920,5)</f>
        <v>120.06207999999999</v>
      </c>
      <c r="C2921">
        <f>+ROUND(Get_Data!C2920,5)</f>
        <v>49.596769999999999</v>
      </c>
      <c r="D2921" s="4">
        <f t="shared" si="46"/>
        <v>2.4207640941133866</v>
      </c>
    </row>
    <row r="2922" spans="1:4">
      <c r="A2922" s="2">
        <f>+Get_Data!A2921</f>
        <v>43683</v>
      </c>
      <c r="B2922">
        <f>+ROUND(Get_Data!B2921,5)</f>
        <v>122.0406</v>
      </c>
      <c r="C2922">
        <f>+ROUND(Get_Data!C2921,5)</f>
        <v>50.192120000000003</v>
      </c>
      <c r="D2922" s="4">
        <f t="shared" si="46"/>
        <v>2.4314693222760861</v>
      </c>
    </row>
    <row r="2923" spans="1:4">
      <c r="A2923" s="2">
        <f>+Get_Data!A2922</f>
        <v>43684</v>
      </c>
      <c r="B2923">
        <f>+ROUND(Get_Data!B2922,5)</f>
        <v>123.32423</v>
      </c>
      <c r="C2923">
        <f>+ROUND(Get_Data!C2922,5)</f>
        <v>51.065950000000001</v>
      </c>
      <c r="D2923" s="4">
        <f t="shared" si="46"/>
        <v>2.41499923138608</v>
      </c>
    </row>
    <row r="2924" spans="1:4">
      <c r="A2924" s="2">
        <f>+Get_Data!A2923</f>
        <v>43685</v>
      </c>
      <c r="B2924">
        <f>+ROUND(Get_Data!B2923,5)</f>
        <v>124.95529000000001</v>
      </c>
      <c r="C2924">
        <f>+ROUND(Get_Data!C2923,5)</f>
        <v>51.555669999999999</v>
      </c>
      <c r="D2924" s="4">
        <f t="shared" si="46"/>
        <v>2.4236963655016024</v>
      </c>
    </row>
    <row r="2925" spans="1:4">
      <c r="A2925" s="2">
        <f>+Get_Data!A2924</f>
        <v>43686</v>
      </c>
      <c r="B2925">
        <f>+ROUND(Get_Data!B2924,5)</f>
        <v>124.11565</v>
      </c>
      <c r="C2925">
        <f>+ROUND(Get_Data!C2924,5)</f>
        <v>51.296410000000002</v>
      </c>
      <c r="D2925" s="4">
        <f t="shared" si="46"/>
        <v>2.4195777053403931</v>
      </c>
    </row>
    <row r="2926" spans="1:4">
      <c r="A2926" s="2">
        <f>+Get_Data!A2925</f>
        <v>43689</v>
      </c>
      <c r="B2926">
        <f>+ROUND(Get_Data!B2925,5)</f>
        <v>123.87436</v>
      </c>
      <c r="C2926">
        <f>+ROUND(Get_Data!C2925,5)</f>
        <v>51.085160000000002</v>
      </c>
      <c r="D2926" s="4">
        <f t="shared" si="46"/>
        <v>2.4248599789058112</v>
      </c>
    </row>
    <row r="2927" spans="1:4">
      <c r="A2927" s="2">
        <f>+Get_Data!A2926</f>
        <v>43690</v>
      </c>
      <c r="B2927">
        <f>+ROUND(Get_Data!B2926,5)</f>
        <v>125.39924999999999</v>
      </c>
      <c r="C2927">
        <f>+ROUND(Get_Data!C2926,5)</f>
        <v>51.37323</v>
      </c>
      <c r="D2927" s="4">
        <f t="shared" si="46"/>
        <v>2.4409454106740025</v>
      </c>
    </row>
    <row r="2928" spans="1:4">
      <c r="A2928" s="2">
        <f>+Get_Data!A2927</f>
        <v>43691</v>
      </c>
      <c r="B2928">
        <f>+ROUND(Get_Data!B2927,5)</f>
        <v>124.61749</v>
      </c>
      <c r="C2928">
        <f>+ROUND(Get_Data!C2927,5)</f>
        <v>50.883510000000001</v>
      </c>
      <c r="D2928" s="4">
        <f t="shared" si="46"/>
        <v>2.4490741696081892</v>
      </c>
    </row>
    <row r="2929" spans="1:4">
      <c r="A2929" s="2">
        <f>+Get_Data!A2928</f>
        <v>43692</v>
      </c>
      <c r="B2929">
        <f>+ROUND(Get_Data!B2928,5)</f>
        <v>126.16171</v>
      </c>
      <c r="C2929">
        <f>+ROUND(Get_Data!C2928,5)</f>
        <v>51.728520000000003</v>
      </c>
      <c r="D2929" s="4">
        <f t="shared" si="46"/>
        <v>2.4389197680505839</v>
      </c>
    </row>
    <row r="2930" spans="1:4">
      <c r="A2930" s="2">
        <f>+Get_Data!A2929</f>
        <v>43693</v>
      </c>
      <c r="B2930">
        <f>+ROUND(Get_Data!B2929,5)</f>
        <v>127.16545000000001</v>
      </c>
      <c r="C2930">
        <f>+ROUND(Get_Data!C2929,5)</f>
        <v>52.247050000000002</v>
      </c>
      <c r="D2930" s="4">
        <f t="shared" si="46"/>
        <v>2.4339259345742965</v>
      </c>
    </row>
    <row r="2931" spans="1:4">
      <c r="A2931" s="2">
        <f>+Get_Data!A2930</f>
        <v>43696</v>
      </c>
      <c r="B2931">
        <f>+ROUND(Get_Data!B2930,5)</f>
        <v>127.9472</v>
      </c>
      <c r="C2931">
        <f>+ROUND(Get_Data!C2930,5)</f>
        <v>52.515920000000001</v>
      </c>
      <c r="D2931" s="4">
        <f t="shared" si="46"/>
        <v>2.436350729454992</v>
      </c>
    </row>
    <row r="2932" spans="1:4">
      <c r="A2932" s="2">
        <f>+Get_Data!A2931</f>
        <v>43697</v>
      </c>
      <c r="B2932">
        <f>+ROUND(Get_Data!B2931,5)</f>
        <v>127.45499</v>
      </c>
      <c r="C2932">
        <f>+ROUND(Get_Data!C2931,5)</f>
        <v>51.738120000000002</v>
      </c>
      <c r="D2932" s="4">
        <f t="shared" si="46"/>
        <v>2.4634638831097844</v>
      </c>
    </row>
    <row r="2933" spans="1:4">
      <c r="A2933" s="2">
        <f>+Get_Data!A2932</f>
        <v>43698</v>
      </c>
      <c r="B2933">
        <f>+ROUND(Get_Data!B2932,5)</f>
        <v>127.72521</v>
      </c>
      <c r="C2933">
        <f>+ROUND(Get_Data!C2932,5)</f>
        <v>51.949370000000002</v>
      </c>
      <c r="D2933" s="4">
        <f t="shared" si="46"/>
        <v>2.458647910455892</v>
      </c>
    </row>
    <row r="2934" spans="1:4">
      <c r="A2934" s="2">
        <f>+Get_Data!A2933</f>
        <v>43699</v>
      </c>
      <c r="B2934">
        <f>+ROUND(Get_Data!B2933,5)</f>
        <v>128.03407000000001</v>
      </c>
      <c r="C2934">
        <f>+ROUND(Get_Data!C2933,5)</f>
        <v>52.323880000000003</v>
      </c>
      <c r="D2934" s="4">
        <f t="shared" si="46"/>
        <v>2.4469529018107985</v>
      </c>
    </row>
    <row r="2935" spans="1:4">
      <c r="A2935" s="2">
        <f>+Get_Data!A2934</f>
        <v>43700</v>
      </c>
      <c r="B2935">
        <f>+ROUND(Get_Data!B2934,5)</f>
        <v>125.7274</v>
      </c>
      <c r="C2935">
        <f>+ROUND(Get_Data!C2934,5)</f>
        <v>51.60369</v>
      </c>
      <c r="D2935" s="4">
        <f t="shared" si="46"/>
        <v>2.4364032882144668</v>
      </c>
    </row>
    <row r="2936" spans="1:4">
      <c r="A2936" s="2">
        <f>+Get_Data!A2935</f>
        <v>43703</v>
      </c>
      <c r="B2936">
        <f>+ROUND(Get_Data!B2935,5)</f>
        <v>129.07640000000001</v>
      </c>
      <c r="C2936">
        <f>+ROUND(Get_Data!C2935,5)</f>
        <v>52.37189</v>
      </c>
      <c r="D2936" s="4">
        <f t="shared" si="46"/>
        <v>2.4646122185011845</v>
      </c>
    </row>
    <row r="2937" spans="1:4">
      <c r="A2937" s="2">
        <f>+Get_Data!A2936</f>
        <v>43704</v>
      </c>
      <c r="B2937">
        <f>+ROUND(Get_Data!B2936,5)</f>
        <v>130.06082000000001</v>
      </c>
      <c r="C2937">
        <f>+ROUND(Get_Data!C2936,5)</f>
        <v>52.544730000000001</v>
      </c>
      <c r="D2937" s="4">
        <f t="shared" si="46"/>
        <v>2.4752400478601757</v>
      </c>
    </row>
    <row r="2938" spans="1:4">
      <c r="A2938" s="2">
        <f>+Get_Data!A2937</f>
        <v>43705</v>
      </c>
      <c r="B2938">
        <f>+ROUND(Get_Data!B2937,5)</f>
        <v>130.47585000000001</v>
      </c>
      <c r="C2938">
        <f>+ROUND(Get_Data!C2937,5)</f>
        <v>52.919229999999999</v>
      </c>
      <c r="D2938" s="4">
        <f t="shared" si="46"/>
        <v>2.4655659199878759</v>
      </c>
    </row>
    <row r="2939" spans="1:4">
      <c r="A2939" s="2">
        <f>+Get_Data!A2938</f>
        <v>43706</v>
      </c>
      <c r="B2939">
        <f>+ROUND(Get_Data!B2938,5)</f>
        <v>131.27691999999999</v>
      </c>
      <c r="C2939">
        <f>+ROUND(Get_Data!C2938,5)</f>
        <v>52.861609999999999</v>
      </c>
      <c r="D2939" s="4">
        <f t="shared" si="46"/>
        <v>2.4834075239100737</v>
      </c>
    </row>
    <row r="2940" spans="1:4">
      <c r="A2940" s="2">
        <f>+Get_Data!A2939</f>
        <v>43707</v>
      </c>
      <c r="B2940">
        <f>+ROUND(Get_Data!B2939,5)</f>
        <v>131.96213</v>
      </c>
      <c r="C2940">
        <f>+ROUND(Get_Data!C2939,5)</f>
        <v>52.85201</v>
      </c>
      <c r="D2940" s="4">
        <f t="shared" si="46"/>
        <v>2.4968232996247446</v>
      </c>
    </row>
    <row r="2941" spans="1:4">
      <c r="A2941" s="2">
        <f>+Get_Data!A2940</f>
        <v>43711</v>
      </c>
      <c r="B2941">
        <f>+ROUND(Get_Data!B2940,5)</f>
        <v>132.66668999999999</v>
      </c>
      <c r="C2941">
        <f>+ROUND(Get_Data!C2940,5)</f>
        <v>53.101680000000002</v>
      </c>
      <c r="D2941" s="4">
        <f t="shared" si="46"/>
        <v>2.4983520295403081</v>
      </c>
    </row>
    <row r="2942" spans="1:4">
      <c r="A2942" s="2">
        <f>+Get_Data!A2941</f>
        <v>43712</v>
      </c>
      <c r="B2942">
        <f>+ROUND(Get_Data!B2941,5)</f>
        <v>134.29774</v>
      </c>
      <c r="C2942">
        <f>+ROUND(Get_Data!C2941,5)</f>
        <v>53.552990000000001</v>
      </c>
      <c r="D2942" s="4">
        <f t="shared" si="46"/>
        <v>2.5077542822538947</v>
      </c>
    </row>
    <row r="2943" spans="1:4">
      <c r="A2943" s="2">
        <f>+Get_Data!A2942</f>
        <v>43713</v>
      </c>
      <c r="B2943">
        <f>+ROUND(Get_Data!B2942,5)</f>
        <v>132.14519999999999</v>
      </c>
      <c r="C2943">
        <f>+ROUND(Get_Data!C2942,5)</f>
        <v>52.928829999999998</v>
      </c>
      <c r="D2943" s="4">
        <f t="shared" si="46"/>
        <v>2.4966582484441844</v>
      </c>
    </row>
    <row r="2944" spans="1:4">
      <c r="A2944" s="2">
        <f>+Get_Data!A2943</f>
        <v>43714</v>
      </c>
      <c r="B2944">
        <f>+ROUND(Get_Data!B2943,5)</f>
        <v>133.49600000000001</v>
      </c>
      <c r="C2944">
        <f>+ROUND(Get_Data!C2943,5)</f>
        <v>53.03445</v>
      </c>
      <c r="D2944" s="4">
        <f t="shared" si="46"/>
        <v>2.5171563012343867</v>
      </c>
    </row>
    <row r="2945" spans="1:4">
      <c r="A2945" s="2">
        <f>+Get_Data!A2944</f>
        <v>43717</v>
      </c>
      <c r="B2945">
        <f>+ROUND(Get_Data!B2944,5)</f>
        <v>132.55333999999999</v>
      </c>
      <c r="C2945">
        <f>+ROUND(Get_Data!C2944,5)</f>
        <v>52.352679999999999</v>
      </c>
      <c r="D2945" s="4">
        <f t="shared" si="46"/>
        <v>2.5319303615402307</v>
      </c>
    </row>
    <row r="2946" spans="1:4">
      <c r="A2946" s="2">
        <f>+Get_Data!A2945</f>
        <v>43718</v>
      </c>
      <c r="B2946">
        <f>+ROUND(Get_Data!B2945,5)</f>
        <v>132.02859000000001</v>
      </c>
      <c r="C2946">
        <f>+ROUND(Get_Data!C2945,5)</f>
        <v>52.237459999999999</v>
      </c>
      <c r="D2946" s="4">
        <f t="shared" si="46"/>
        <v>2.5274695592013856</v>
      </c>
    </row>
    <row r="2947" spans="1:4">
      <c r="A2947" s="2">
        <f>+Get_Data!A2946</f>
        <v>43719</v>
      </c>
      <c r="B2947">
        <f>+ROUND(Get_Data!B2946,5)</f>
        <v>132.5145</v>
      </c>
      <c r="C2947">
        <f>+ROUND(Get_Data!C2946,5)</f>
        <v>52.592739999999999</v>
      </c>
      <c r="D2947" s="4">
        <f t="shared" si="46"/>
        <v>2.5196348393333374</v>
      </c>
    </row>
    <row r="2948" spans="1:4">
      <c r="A2948" s="2">
        <f>+Get_Data!A2947</f>
        <v>43720</v>
      </c>
      <c r="B2948">
        <f>+ROUND(Get_Data!B2947,5)</f>
        <v>133.41827000000001</v>
      </c>
      <c r="C2948">
        <f>+ROUND(Get_Data!C2947,5)</f>
        <v>52.919229999999999</v>
      </c>
      <c r="D2948" s="4">
        <f t="shared" ref="D2948:D3011" si="47">IFERROR(B2948/C2948,"")</f>
        <v>2.5211680139714807</v>
      </c>
    </row>
    <row r="2949" spans="1:4">
      <c r="A2949" s="2">
        <f>+Get_Data!A2948</f>
        <v>43721</v>
      </c>
      <c r="B2949">
        <f>+ROUND(Get_Data!B2948,5)</f>
        <v>132.59225000000001</v>
      </c>
      <c r="C2949">
        <f>+ROUND(Get_Data!C2948,5)</f>
        <v>52.483960000000003</v>
      </c>
      <c r="D2949" s="4">
        <f t="shared" si="47"/>
        <v>2.5263385232364324</v>
      </c>
    </row>
    <row r="2950" spans="1:4">
      <c r="A2950" s="2">
        <f>+Get_Data!A2949</f>
        <v>43724</v>
      </c>
      <c r="B2950">
        <f>+ROUND(Get_Data!B2949,5)</f>
        <v>131.07623000000001</v>
      </c>
      <c r="C2950">
        <f>+ROUND(Get_Data!C2949,5)</f>
        <v>52.193779999999997</v>
      </c>
      <c r="D2950" s="4">
        <f t="shared" si="47"/>
        <v>2.5113381326280644</v>
      </c>
    </row>
    <row r="2951" spans="1:4">
      <c r="A2951" s="2">
        <f>+Get_Data!A2950</f>
        <v>43725</v>
      </c>
      <c r="B2951">
        <f>+ROUND(Get_Data!B2950,5)</f>
        <v>131.87311</v>
      </c>
      <c r="C2951">
        <f>+ROUND(Get_Data!C2950,5)</f>
        <v>52.46461</v>
      </c>
      <c r="D2951" s="4">
        <f t="shared" si="47"/>
        <v>2.5135631428500087</v>
      </c>
    </row>
    <row r="2952" spans="1:4">
      <c r="A2952" s="2">
        <f>+Get_Data!A2951</f>
        <v>43726</v>
      </c>
      <c r="B2952">
        <f>+ROUND(Get_Data!B2951,5)</f>
        <v>131.67874</v>
      </c>
      <c r="C2952">
        <f>+ROUND(Get_Data!C2951,5)</f>
        <v>52.454940000000001</v>
      </c>
      <c r="D2952" s="4">
        <f t="shared" si="47"/>
        <v>2.5103210488850052</v>
      </c>
    </row>
    <row r="2953" spans="1:4">
      <c r="A2953" s="2">
        <f>+Get_Data!A2952</f>
        <v>43727</v>
      </c>
      <c r="B2953">
        <f>+ROUND(Get_Data!B2952,5)</f>
        <v>131.65932000000001</v>
      </c>
      <c r="C2953">
        <f>+ROUND(Get_Data!C2952,5)</f>
        <v>52.735439999999997</v>
      </c>
      <c r="D2953" s="4">
        <f t="shared" si="47"/>
        <v>2.4966003886570403</v>
      </c>
    </row>
    <row r="2954" spans="1:4">
      <c r="A2954" s="2">
        <f>+Get_Data!A2953</f>
        <v>43728</v>
      </c>
      <c r="B2954">
        <f>+ROUND(Get_Data!B2953,5)</f>
        <v>130.91104000000001</v>
      </c>
      <c r="C2954">
        <f>+ROUND(Get_Data!C2953,5)</f>
        <v>52.145409999999998</v>
      </c>
      <c r="D2954" s="4">
        <f t="shared" si="47"/>
        <v>2.5104997736138235</v>
      </c>
    </row>
    <row r="2955" spans="1:4">
      <c r="A2955" s="2">
        <f>+Get_Data!A2954</f>
        <v>43731</v>
      </c>
      <c r="B2955">
        <f>+ROUND(Get_Data!B2954,5)</f>
        <v>131.62044</v>
      </c>
      <c r="C2955">
        <f>+ROUND(Get_Data!C2954,5)</f>
        <v>52.367890000000003</v>
      </c>
      <c r="D2955" s="4">
        <f t="shared" si="47"/>
        <v>2.513380623126118</v>
      </c>
    </row>
    <row r="2956" spans="1:4">
      <c r="A2956" s="2">
        <f>+Get_Data!A2955</f>
        <v>43732</v>
      </c>
      <c r="B2956">
        <f>+ROUND(Get_Data!B2955,5)</f>
        <v>131.54268999999999</v>
      </c>
      <c r="C2956">
        <f>+ROUND(Get_Data!C2955,5)</f>
        <v>52.522640000000003</v>
      </c>
      <c r="D2956" s="4">
        <f t="shared" si="47"/>
        <v>2.5044950139596942</v>
      </c>
    </row>
    <row r="2957" spans="1:4">
      <c r="A2957" s="2">
        <f>+Get_Data!A2956</f>
        <v>43733</v>
      </c>
      <c r="B2957">
        <f>+ROUND(Get_Data!B2956,5)</f>
        <v>131.28031999999999</v>
      </c>
      <c r="C2957">
        <f>+ROUND(Get_Data!C2956,5)</f>
        <v>52.396900000000002</v>
      </c>
      <c r="D2957" s="4">
        <f t="shared" si="47"/>
        <v>2.5054978443381191</v>
      </c>
    </row>
    <row r="2958" spans="1:4">
      <c r="A2958" s="2">
        <f>+Get_Data!A2957</f>
        <v>43734</v>
      </c>
      <c r="B2958">
        <f>+ROUND(Get_Data!B2957,5)</f>
        <v>131.89255</v>
      </c>
      <c r="C2958">
        <f>+ROUND(Get_Data!C2957,5)</f>
        <v>52.609699999999997</v>
      </c>
      <c r="D2958" s="4">
        <f t="shared" si="47"/>
        <v>2.5070006101536411</v>
      </c>
    </row>
    <row r="2959" spans="1:4">
      <c r="A2959" s="2">
        <f>+Get_Data!A2958</f>
        <v>43735</v>
      </c>
      <c r="B2959">
        <f>+ROUND(Get_Data!B2958,5)</f>
        <v>131.77593999999999</v>
      </c>
      <c r="C2959">
        <f>+ROUND(Get_Data!C2958,5)</f>
        <v>52.532319999999999</v>
      </c>
      <c r="D2959" s="4">
        <f t="shared" si="47"/>
        <v>2.5084736406082957</v>
      </c>
    </row>
    <row r="2960" spans="1:4">
      <c r="A2960" s="2">
        <f>+Get_Data!A2959</f>
        <v>43738</v>
      </c>
      <c r="B2960">
        <f>+ROUND(Get_Data!B2959,5)</f>
        <v>133.23363000000001</v>
      </c>
      <c r="C2960">
        <f>+ROUND(Get_Data!C2959,5)</f>
        <v>52.658070000000002</v>
      </c>
      <c r="D2960" s="4">
        <f t="shared" si="47"/>
        <v>2.5301654618181031</v>
      </c>
    </row>
    <row r="2961" spans="1:4">
      <c r="A2961" s="2">
        <f>+Get_Data!A2960</f>
        <v>43739</v>
      </c>
      <c r="B2961">
        <f>+ROUND(Get_Data!B2960,5)</f>
        <v>133.49600000000001</v>
      </c>
      <c r="C2961">
        <f>+ROUND(Get_Data!C2960,5)</f>
        <v>52.861190000000001</v>
      </c>
      <c r="D2961" s="4">
        <f t="shared" si="47"/>
        <v>2.5254066357567813</v>
      </c>
    </row>
    <row r="2962" spans="1:4">
      <c r="A2962" s="2">
        <f>+Get_Data!A2961</f>
        <v>43740</v>
      </c>
      <c r="B2962">
        <f>+ROUND(Get_Data!B2961,5)</f>
        <v>130.16274999999999</v>
      </c>
      <c r="C2962">
        <f>+ROUND(Get_Data!C2961,5)</f>
        <v>51.342579999999998</v>
      </c>
      <c r="D2962" s="4">
        <f t="shared" si="47"/>
        <v>2.5351813251301354</v>
      </c>
    </row>
    <row r="2963" spans="1:4">
      <c r="A2963" s="2">
        <f>+Get_Data!A2962</f>
        <v>43741</v>
      </c>
      <c r="B2963">
        <f>+ROUND(Get_Data!B2962,5)</f>
        <v>134.04021</v>
      </c>
      <c r="C2963">
        <f>+ROUND(Get_Data!C2962,5)</f>
        <v>52.077710000000003</v>
      </c>
      <c r="D2963" s="4">
        <f t="shared" si="47"/>
        <v>2.5738499254287484</v>
      </c>
    </row>
    <row r="2964" spans="1:4">
      <c r="A2964" s="2">
        <f>+Get_Data!A2963</f>
        <v>43742</v>
      </c>
      <c r="B2964">
        <f>+ROUND(Get_Data!B2963,5)</f>
        <v>136.32393999999999</v>
      </c>
      <c r="C2964">
        <f>+ROUND(Get_Data!C2963,5)</f>
        <v>52.754800000000003</v>
      </c>
      <c r="D2964" s="4">
        <f t="shared" si="47"/>
        <v>2.5841049534829055</v>
      </c>
    </row>
    <row r="2965" spans="1:4">
      <c r="A2965" s="2">
        <f>+Get_Data!A2964</f>
        <v>43745</v>
      </c>
      <c r="B2965">
        <f>+ROUND(Get_Data!B2964,5)</f>
        <v>134.43866</v>
      </c>
      <c r="C2965">
        <f>+ROUND(Get_Data!C2964,5)</f>
        <v>52.106720000000003</v>
      </c>
      <c r="D2965" s="4">
        <f t="shared" si="47"/>
        <v>2.5800637614495785</v>
      </c>
    </row>
    <row r="2966" spans="1:4">
      <c r="A2966" s="2">
        <f>+Get_Data!A2965</f>
        <v>43746</v>
      </c>
      <c r="B2966">
        <f>+ROUND(Get_Data!B2965,5)</f>
        <v>133.36968999999999</v>
      </c>
      <c r="C2966">
        <f>+ROUND(Get_Data!C2965,5)</f>
        <v>51.826219999999999</v>
      </c>
      <c r="D2966" s="4">
        <f t="shared" si="47"/>
        <v>2.5734018417704396</v>
      </c>
    </row>
    <row r="2967" spans="1:4">
      <c r="A2967" s="2">
        <f>+Get_Data!A2966</f>
        <v>43747</v>
      </c>
      <c r="B2967">
        <f>+ROUND(Get_Data!B2966,5)</f>
        <v>133.96248</v>
      </c>
      <c r="C2967">
        <f>+ROUND(Get_Data!C2966,5)</f>
        <v>52.068040000000003</v>
      </c>
      <c r="D2967" s="4">
        <f t="shared" si="47"/>
        <v>2.5728350827110065</v>
      </c>
    </row>
    <row r="2968" spans="1:4">
      <c r="A2968" s="2">
        <f>+Get_Data!A2967</f>
        <v>43748</v>
      </c>
      <c r="B2968">
        <f>+ROUND(Get_Data!B2967,5)</f>
        <v>134.00134</v>
      </c>
      <c r="C2968">
        <f>+ROUND(Get_Data!C2967,5)</f>
        <v>51.903590000000001</v>
      </c>
      <c r="D2968" s="4">
        <f t="shared" si="47"/>
        <v>2.581735483036915</v>
      </c>
    </row>
    <row r="2969" spans="1:4">
      <c r="A2969" s="2">
        <f>+Get_Data!A2968</f>
        <v>43749</v>
      </c>
      <c r="B2969">
        <f>+ROUND(Get_Data!B2968,5)</f>
        <v>133.75838999999999</v>
      </c>
      <c r="C2969">
        <f>+ROUND(Get_Data!C2968,5)</f>
        <v>51.55538</v>
      </c>
      <c r="D2969" s="4">
        <f t="shared" si="47"/>
        <v>2.5944603647572766</v>
      </c>
    </row>
    <row r="2970" spans="1:4">
      <c r="A2970" s="2">
        <f>+Get_Data!A2969</f>
        <v>43752</v>
      </c>
      <c r="B2970">
        <f>+ROUND(Get_Data!B2969,5)</f>
        <v>133.57375999999999</v>
      </c>
      <c r="C2970">
        <f>+ROUND(Get_Data!C2969,5)</f>
        <v>51.55538</v>
      </c>
      <c r="D2970" s="4">
        <f t="shared" si="47"/>
        <v>2.5908791672178539</v>
      </c>
    </row>
    <row r="2971" spans="1:4">
      <c r="A2971" s="2">
        <f>+Get_Data!A2970</f>
        <v>43753</v>
      </c>
      <c r="B2971">
        <f>+ROUND(Get_Data!B2970,5)</f>
        <v>132.48534000000001</v>
      </c>
      <c r="C2971">
        <f>+ROUND(Get_Data!C2970,5)</f>
        <v>51.758499999999998</v>
      </c>
      <c r="D2971" s="4">
        <f t="shared" si="47"/>
        <v>2.5596827574214864</v>
      </c>
    </row>
    <row r="2972" spans="1:4">
      <c r="A2972" s="2">
        <f>+Get_Data!A2971</f>
        <v>43754</v>
      </c>
      <c r="B2972">
        <f>+ROUND(Get_Data!B2971,5)</f>
        <v>132.57281</v>
      </c>
      <c r="C2972">
        <f>+ROUND(Get_Data!C2971,5)</f>
        <v>51.739159999999998</v>
      </c>
      <c r="D2972" s="4">
        <f t="shared" si="47"/>
        <v>2.5623301576600781</v>
      </c>
    </row>
    <row r="2973" spans="1:4">
      <c r="A2973" s="2">
        <f>+Get_Data!A2972</f>
        <v>43755</v>
      </c>
      <c r="B2973">
        <f>+ROUND(Get_Data!B2972,5)</f>
        <v>133.09757999999999</v>
      </c>
      <c r="C2973">
        <f>+ROUND(Get_Data!C2972,5)</f>
        <v>52.029339999999998</v>
      </c>
      <c r="D2973" s="4">
        <f t="shared" si="47"/>
        <v>2.5581254730503979</v>
      </c>
    </row>
    <row r="2974" spans="1:4">
      <c r="A2974" s="2">
        <f>+Get_Data!A2973</f>
        <v>43756</v>
      </c>
      <c r="B2974">
        <f>+ROUND(Get_Data!B2973,5)</f>
        <v>132.40761000000001</v>
      </c>
      <c r="C2974">
        <f>+ROUND(Get_Data!C2973,5)</f>
        <v>52.986930000000001</v>
      </c>
      <c r="D2974" s="4">
        <f t="shared" si="47"/>
        <v>2.4988730239702508</v>
      </c>
    </row>
    <row r="2975" spans="1:4">
      <c r="A2975" s="2">
        <f>+Get_Data!A2974</f>
        <v>43759</v>
      </c>
      <c r="B2975">
        <f>+ROUND(Get_Data!B2974,5)</f>
        <v>132.28127000000001</v>
      </c>
      <c r="C2975">
        <f>+ROUND(Get_Data!C2974,5)</f>
        <v>52.454940000000001</v>
      </c>
      <c r="D2975" s="4">
        <f t="shared" si="47"/>
        <v>2.5218076695922251</v>
      </c>
    </row>
    <row r="2976" spans="1:4">
      <c r="A2976" s="2">
        <f>+Get_Data!A2975</f>
        <v>43760</v>
      </c>
      <c r="B2976">
        <f>+ROUND(Get_Data!B2975,5)</f>
        <v>132.80602999999999</v>
      </c>
      <c r="C2976">
        <f>+ROUND(Get_Data!C2975,5)</f>
        <v>52.087380000000003</v>
      </c>
      <c r="D2976" s="4">
        <f t="shared" si="47"/>
        <v>2.5496776762432662</v>
      </c>
    </row>
    <row r="2977" spans="1:4">
      <c r="A2977" s="2">
        <f>+Get_Data!A2976</f>
        <v>43761</v>
      </c>
      <c r="B2977">
        <f>+ROUND(Get_Data!B2976,5)</f>
        <v>133.57375999999999</v>
      </c>
      <c r="C2977">
        <f>+ROUND(Get_Data!C2976,5)</f>
        <v>52.851520000000001</v>
      </c>
      <c r="D2977" s="4">
        <f t="shared" si="47"/>
        <v>2.5273399894648252</v>
      </c>
    </row>
    <row r="2978" spans="1:4">
      <c r="A2978" s="2">
        <f>+Get_Data!A2977</f>
        <v>43762</v>
      </c>
      <c r="B2978">
        <f>+ROUND(Get_Data!B2977,5)</f>
        <v>134.00134</v>
      </c>
      <c r="C2978">
        <f>+ROUND(Get_Data!C2977,5)</f>
        <v>52.822499999999998</v>
      </c>
      <c r="D2978" s="4">
        <f t="shared" si="47"/>
        <v>2.5368231340811209</v>
      </c>
    </row>
    <row r="2979" spans="1:4">
      <c r="A2979" s="2">
        <f>+Get_Data!A2978</f>
        <v>43763</v>
      </c>
      <c r="B2979">
        <f>+ROUND(Get_Data!B2978,5)</f>
        <v>132.78661</v>
      </c>
      <c r="C2979">
        <f>+ROUND(Get_Data!C2978,5)</f>
        <v>51.990650000000002</v>
      </c>
      <c r="D2979" s="4">
        <f t="shared" si="47"/>
        <v>2.5540478913035325</v>
      </c>
    </row>
    <row r="2980" spans="1:4">
      <c r="A2980" s="2">
        <f>+Get_Data!A2979</f>
        <v>43766</v>
      </c>
      <c r="B2980">
        <f>+ROUND(Get_Data!B2979,5)</f>
        <v>132.71858</v>
      </c>
      <c r="C2980">
        <f>+ROUND(Get_Data!C2979,5)</f>
        <v>51.816540000000003</v>
      </c>
      <c r="D2980" s="4">
        <f t="shared" si="47"/>
        <v>2.5613169076900926</v>
      </c>
    </row>
    <row r="2981" spans="1:4">
      <c r="A2981" s="2">
        <f>+Get_Data!A2980</f>
        <v>43767</v>
      </c>
      <c r="B2981">
        <f>+ROUND(Get_Data!B2980,5)</f>
        <v>132.2424</v>
      </c>
      <c r="C2981">
        <f>+ROUND(Get_Data!C2980,5)</f>
        <v>51.66178</v>
      </c>
      <c r="D2981" s="4">
        <f t="shared" si="47"/>
        <v>2.5597724275083049</v>
      </c>
    </row>
    <row r="2982" spans="1:4">
      <c r="A2982" s="2">
        <f>+Get_Data!A2981</f>
        <v>43768</v>
      </c>
      <c r="B2982">
        <f>+ROUND(Get_Data!B2981,5)</f>
        <v>133.03927999999999</v>
      </c>
      <c r="C2982">
        <f>+ROUND(Get_Data!C2981,5)</f>
        <v>52.174430000000001</v>
      </c>
      <c r="D2982" s="4">
        <f t="shared" si="47"/>
        <v>2.5498942681309598</v>
      </c>
    </row>
    <row r="2983" spans="1:4">
      <c r="A2983" s="2">
        <f>+Get_Data!A2982</f>
        <v>43769</v>
      </c>
      <c r="B2983">
        <f>+ROUND(Get_Data!B2982,5)</f>
        <v>133.30163999999999</v>
      </c>
      <c r="C2983">
        <f>+ROUND(Get_Data!C2982,5)</f>
        <v>52.648389999999999</v>
      </c>
      <c r="D2983" s="4">
        <f t="shared" si="47"/>
        <v>2.5319224386538695</v>
      </c>
    </row>
    <row r="2984" spans="1:4">
      <c r="A2984" s="2">
        <f>+Get_Data!A2983</f>
        <v>43770</v>
      </c>
      <c r="B2984">
        <f>+ROUND(Get_Data!B2983,5)</f>
        <v>133.06842</v>
      </c>
      <c r="C2984">
        <f>+ROUND(Get_Data!C2983,5)</f>
        <v>52.135739999999998</v>
      </c>
      <c r="D2984" s="4">
        <f t="shared" si="47"/>
        <v>2.5523454735657345</v>
      </c>
    </row>
    <row r="2985" spans="1:4">
      <c r="A2985" s="2">
        <f>+Get_Data!A2984</f>
        <v>43773</v>
      </c>
      <c r="B2985">
        <f>+ROUND(Get_Data!B2984,5)</f>
        <v>131.34834000000001</v>
      </c>
      <c r="C2985">
        <f>+ROUND(Get_Data!C2984,5)</f>
        <v>51.40061</v>
      </c>
      <c r="D2985" s="4">
        <f t="shared" si="47"/>
        <v>2.5553848485455717</v>
      </c>
    </row>
    <row r="2986" spans="1:4">
      <c r="A2986" s="2">
        <f>+Get_Data!A2985</f>
        <v>43774</v>
      </c>
      <c r="B2986">
        <f>+ROUND(Get_Data!B2985,5)</f>
        <v>130.23077000000001</v>
      </c>
      <c r="C2986">
        <f>+ROUND(Get_Data!C2985,5)</f>
        <v>50.704180000000001</v>
      </c>
      <c r="D2986" s="4">
        <f t="shared" si="47"/>
        <v>2.5684424834402213</v>
      </c>
    </row>
    <row r="2987" spans="1:4">
      <c r="A2987" s="2">
        <f>+Get_Data!A2986</f>
        <v>43775</v>
      </c>
      <c r="B2987">
        <f>+ROUND(Get_Data!B2986,5)</f>
        <v>130.64865</v>
      </c>
      <c r="C2987">
        <f>+ROUND(Get_Data!C2986,5)</f>
        <v>51.071739999999998</v>
      </c>
      <c r="D2987" s="4">
        <f t="shared" si="47"/>
        <v>2.5581397853294212</v>
      </c>
    </row>
    <row r="2988" spans="1:4">
      <c r="A2988" s="2">
        <f>+Get_Data!A2987</f>
        <v>43776</v>
      </c>
      <c r="B2988">
        <f>+ROUND(Get_Data!B2987,5)</f>
        <v>129.56022999999999</v>
      </c>
      <c r="C2988">
        <f>+ROUND(Get_Data!C2987,5)</f>
        <v>50.578440000000001</v>
      </c>
      <c r="D2988" s="4">
        <f t="shared" si="47"/>
        <v>2.5615703054503061</v>
      </c>
    </row>
    <row r="2989" spans="1:4">
      <c r="A2989" s="2">
        <f>+Get_Data!A2988</f>
        <v>43777</v>
      </c>
      <c r="B2989">
        <f>+ROUND(Get_Data!B2988,5)</f>
        <v>129.37558000000001</v>
      </c>
      <c r="C2989">
        <f>+ROUND(Get_Data!C2988,5)</f>
        <v>50.501060000000003</v>
      </c>
      <c r="D2989" s="4">
        <f t="shared" si="47"/>
        <v>2.561838900015168</v>
      </c>
    </row>
    <row r="2990" spans="1:4">
      <c r="A2990" s="2">
        <f>+Get_Data!A2989</f>
        <v>43780</v>
      </c>
      <c r="B2990">
        <f>+ROUND(Get_Data!B2989,5)</f>
        <v>128.65645000000001</v>
      </c>
      <c r="C2990">
        <f>+ROUND(Get_Data!C2989,5)</f>
        <v>50.143169999999998</v>
      </c>
      <c r="D2990" s="4">
        <f t="shared" si="47"/>
        <v>2.5657821394219793</v>
      </c>
    </row>
    <row r="2991" spans="1:4">
      <c r="A2991" s="2">
        <f>+Get_Data!A2990</f>
        <v>43781</v>
      </c>
      <c r="B2991">
        <f>+ROUND(Get_Data!B2990,5)</f>
        <v>128.25801000000001</v>
      </c>
      <c r="C2991">
        <f>+ROUND(Get_Data!C2990,5)</f>
        <v>50.017420000000001</v>
      </c>
      <c r="D2991" s="4">
        <f t="shared" si="47"/>
        <v>2.5642668094435899</v>
      </c>
    </row>
    <row r="2992" spans="1:4">
      <c r="A2992" s="2">
        <f>+Get_Data!A2991</f>
        <v>43782</v>
      </c>
      <c r="B2992">
        <f>+ROUND(Get_Data!B2991,5)</f>
        <v>129.53107</v>
      </c>
      <c r="C2992">
        <f>+ROUND(Get_Data!C2991,5)</f>
        <v>50.694510000000001</v>
      </c>
      <c r="D2992" s="4">
        <f t="shared" si="47"/>
        <v>2.5551301314481587</v>
      </c>
    </row>
    <row r="2993" spans="1:4">
      <c r="A2993" s="2">
        <f>+Get_Data!A2992</f>
        <v>43783</v>
      </c>
      <c r="B2993">
        <f>+ROUND(Get_Data!B2992,5)</f>
        <v>129.56995000000001</v>
      </c>
      <c r="C2993">
        <f>+ROUND(Get_Data!C2992,5)</f>
        <v>50.907310000000003</v>
      </c>
      <c r="D2993" s="4">
        <f t="shared" si="47"/>
        <v>2.5452130548638299</v>
      </c>
    </row>
    <row r="2994" spans="1:4">
      <c r="A2994" s="2">
        <f>+Get_Data!A2993</f>
        <v>43784</v>
      </c>
      <c r="B2994">
        <f>+ROUND(Get_Data!B2993,5)</f>
        <v>130.03640999999999</v>
      </c>
      <c r="C2994">
        <f>+ROUND(Get_Data!C2993,5)</f>
        <v>50.945999999999998</v>
      </c>
      <c r="D2994" s="4">
        <f t="shared" si="47"/>
        <v>2.5524361088211047</v>
      </c>
    </row>
    <row r="2995" spans="1:4">
      <c r="A2995" s="2">
        <f>+Get_Data!A2994</f>
        <v>43787</v>
      </c>
      <c r="B2995">
        <f>+ROUND(Get_Data!B2994,5)</f>
        <v>130.27933999999999</v>
      </c>
      <c r="C2995">
        <f>+ROUND(Get_Data!C2994,5)</f>
        <v>51.29421</v>
      </c>
      <c r="D2995" s="4">
        <f t="shared" si="47"/>
        <v>2.5398449454626553</v>
      </c>
    </row>
    <row r="2996" spans="1:4">
      <c r="A2996" s="2">
        <f>+Get_Data!A2995</f>
        <v>43788</v>
      </c>
      <c r="B2996">
        <f>+ROUND(Get_Data!B2995,5)</f>
        <v>130.77498</v>
      </c>
      <c r="C2996">
        <f>+ROUND(Get_Data!C2995,5)</f>
        <v>51.342579999999998</v>
      </c>
      <c r="D2996" s="4">
        <f t="shared" si="47"/>
        <v>2.5471057356291795</v>
      </c>
    </row>
    <row r="2997" spans="1:4">
      <c r="A2997" s="2">
        <f>+Get_Data!A2996</f>
        <v>43789</v>
      </c>
      <c r="B2997">
        <f>+ROUND(Get_Data!B2996,5)</f>
        <v>129.96838</v>
      </c>
      <c r="C2997">
        <f>+ROUND(Get_Data!C2996,5)</f>
        <v>51.478000000000002</v>
      </c>
      <c r="D2997" s="4">
        <f t="shared" si="47"/>
        <v>2.5247363922452308</v>
      </c>
    </row>
    <row r="2998" spans="1:4">
      <c r="A2998" s="2">
        <f>+Get_Data!A2997</f>
        <v>43790</v>
      </c>
      <c r="B2998">
        <f>+ROUND(Get_Data!B2997,5)</f>
        <v>130.13359</v>
      </c>
      <c r="C2998">
        <f>+ROUND(Get_Data!C2997,5)</f>
        <v>51.226509999999998</v>
      </c>
      <c r="D2998" s="4">
        <f t="shared" si="47"/>
        <v>2.5403563506473503</v>
      </c>
    </row>
    <row r="2999" spans="1:4">
      <c r="A2999" s="2">
        <f>+Get_Data!A2998</f>
        <v>43791</v>
      </c>
      <c r="B2999">
        <f>+ROUND(Get_Data!B2998,5)</f>
        <v>130.28908999999999</v>
      </c>
      <c r="C2999">
        <f>+ROUND(Get_Data!C2998,5)</f>
        <v>51.29421</v>
      </c>
      <c r="D2999" s="4">
        <f t="shared" si="47"/>
        <v>2.5400350253956536</v>
      </c>
    </row>
    <row r="3000" spans="1:4">
      <c r="A3000" s="2">
        <f>+Get_Data!A2999</f>
        <v>43794</v>
      </c>
      <c r="B3000">
        <f>+ROUND(Get_Data!B2999,5)</f>
        <v>130.05584999999999</v>
      </c>
      <c r="C3000">
        <f>+ROUND(Get_Data!C2999,5)</f>
        <v>51.478000000000002</v>
      </c>
      <c r="D3000" s="4">
        <f t="shared" si="47"/>
        <v>2.5264355647072532</v>
      </c>
    </row>
    <row r="3001" spans="1:4">
      <c r="A3001" s="2">
        <f>+Get_Data!A3000</f>
        <v>43795</v>
      </c>
      <c r="B3001">
        <f>+ROUND(Get_Data!B3000,5)</f>
        <v>131.87311</v>
      </c>
      <c r="C3001">
        <f>+ROUND(Get_Data!C3000,5)</f>
        <v>52.135739999999998</v>
      </c>
      <c r="D3001" s="4">
        <f t="shared" si="47"/>
        <v>2.5294185907786098</v>
      </c>
    </row>
    <row r="3002" spans="1:4">
      <c r="A3002" s="2">
        <f>+Get_Data!A3001</f>
        <v>43796</v>
      </c>
      <c r="B3002">
        <f>+ROUND(Get_Data!B3001,5)</f>
        <v>132.07719</v>
      </c>
      <c r="C3002">
        <f>+ROUND(Get_Data!C3001,5)</f>
        <v>52.184100000000001</v>
      </c>
      <c r="D3002" s="4">
        <f t="shared" si="47"/>
        <v>2.5309853001201517</v>
      </c>
    </row>
    <row r="3003" spans="1:4">
      <c r="A3003" s="2">
        <f>+Get_Data!A3002</f>
        <v>43798</v>
      </c>
      <c r="B3003">
        <f>+ROUND(Get_Data!B3002,5)</f>
        <v>131.99943999999999</v>
      </c>
      <c r="C3003">
        <f>+ROUND(Get_Data!C3002,5)</f>
        <v>52.037930000000003</v>
      </c>
      <c r="D3003" s="4">
        <f t="shared" si="47"/>
        <v>2.5366005142787191</v>
      </c>
    </row>
    <row r="3004" spans="1:4">
      <c r="A3004" s="2">
        <f>+Get_Data!A3003</f>
        <v>43801</v>
      </c>
      <c r="B3004">
        <f>+ROUND(Get_Data!B3003,5)</f>
        <v>132.04803000000001</v>
      </c>
      <c r="C3004">
        <f>+ROUND(Get_Data!C3003,5)</f>
        <v>52.378999999999998</v>
      </c>
      <c r="D3004" s="4">
        <f t="shared" si="47"/>
        <v>2.5210109013154129</v>
      </c>
    </row>
    <row r="3005" spans="1:4">
      <c r="A3005" s="2">
        <f>+Get_Data!A3004</f>
        <v>43802</v>
      </c>
      <c r="B3005">
        <f>+ROUND(Get_Data!B3004,5)</f>
        <v>131.63988000000001</v>
      </c>
      <c r="C3005">
        <f>+ROUND(Get_Data!C3004,5)</f>
        <v>52.427729999999997</v>
      </c>
      <c r="D3005" s="4">
        <f t="shared" si="47"/>
        <v>2.5108826950928451</v>
      </c>
    </row>
    <row r="3006" spans="1:4">
      <c r="A3006" s="2">
        <f>+Get_Data!A3005</f>
        <v>43803</v>
      </c>
      <c r="B3006">
        <f>+ROUND(Get_Data!B3005,5)</f>
        <v>133.42798999999999</v>
      </c>
      <c r="C3006">
        <f>+ROUND(Get_Data!C3005,5)</f>
        <v>52.905230000000003</v>
      </c>
      <c r="D3006" s="4">
        <f t="shared" si="47"/>
        <v>2.5220189005888449</v>
      </c>
    </row>
    <row r="3007" spans="1:4">
      <c r="A3007" s="2">
        <f>+Get_Data!A3006</f>
        <v>43804</v>
      </c>
      <c r="B3007">
        <f>+ROUND(Get_Data!B3006,5)</f>
        <v>133.42308</v>
      </c>
      <c r="C3007">
        <f>+ROUND(Get_Data!C3006,5)</f>
        <v>52.807780000000001</v>
      </c>
      <c r="D3007" s="4">
        <f t="shared" si="47"/>
        <v>2.5265799849946351</v>
      </c>
    </row>
    <row r="3008" spans="1:4">
      <c r="A3008" s="2">
        <f>+Get_Data!A3007</f>
        <v>43805</v>
      </c>
      <c r="B3008">
        <f>+ROUND(Get_Data!B3007,5)</f>
        <v>134.42128</v>
      </c>
      <c r="C3008">
        <f>+ROUND(Get_Data!C3007,5)</f>
        <v>53.031910000000003</v>
      </c>
      <c r="D3008" s="4">
        <f t="shared" si="47"/>
        <v>2.5347244706064704</v>
      </c>
    </row>
    <row r="3009" spans="1:4">
      <c r="A3009" s="2">
        <f>+Get_Data!A3008</f>
        <v>43808</v>
      </c>
      <c r="B3009">
        <f>+ROUND(Get_Data!B3008,5)</f>
        <v>134.22556</v>
      </c>
      <c r="C3009">
        <f>+ROUND(Get_Data!C3008,5)</f>
        <v>52.690840000000001</v>
      </c>
      <c r="D3009" s="4">
        <f t="shared" si="47"/>
        <v>2.5474173499606381</v>
      </c>
    </row>
    <row r="3010" spans="1:4">
      <c r="A3010" s="2">
        <f>+Get_Data!A3009</f>
        <v>43809</v>
      </c>
      <c r="B3010">
        <f>+ROUND(Get_Data!B3009,5)</f>
        <v>133.3546</v>
      </c>
      <c r="C3010">
        <f>+ROUND(Get_Data!C3009,5)</f>
        <v>52.398490000000002</v>
      </c>
      <c r="D3010" s="4">
        <f t="shared" si="47"/>
        <v>2.5450084534878772</v>
      </c>
    </row>
    <row r="3011" spans="1:4">
      <c r="A3011" s="2">
        <f>+Get_Data!A3010</f>
        <v>43810</v>
      </c>
      <c r="B3011">
        <f>+ROUND(Get_Data!B3010,5)</f>
        <v>134.16684000000001</v>
      </c>
      <c r="C3011">
        <f>+ROUND(Get_Data!C3010,5)</f>
        <v>52.573900000000002</v>
      </c>
      <c r="D3011" s="4">
        <f t="shared" si="47"/>
        <v>2.5519666602629822</v>
      </c>
    </row>
    <row r="3012" spans="1:4">
      <c r="A3012" s="2">
        <f>+Get_Data!A3011</f>
        <v>43811</v>
      </c>
      <c r="B3012">
        <f>+ROUND(Get_Data!B3011,5)</f>
        <v>134.24511999999999</v>
      </c>
      <c r="C3012">
        <f>+ROUND(Get_Data!C3011,5)</f>
        <v>52.759059999999998</v>
      </c>
      <c r="D3012" s="4">
        <f t="shared" ref="D3012:D3075" si="48">IFERROR(B3012/C3012,"")</f>
        <v>2.5444941589179182</v>
      </c>
    </row>
    <row r="3013" spans="1:4">
      <c r="A3013" s="2">
        <f>+Get_Data!A3012</f>
        <v>43812</v>
      </c>
      <c r="B3013">
        <f>+ROUND(Get_Data!B3012,5)</f>
        <v>134.98885999999999</v>
      </c>
      <c r="C3013">
        <f>+ROUND(Get_Data!C3012,5)</f>
        <v>53.031910000000003</v>
      </c>
      <c r="D3013" s="4">
        <f t="shared" si="48"/>
        <v>2.5454270834295802</v>
      </c>
    </row>
    <row r="3014" spans="1:4">
      <c r="A3014" s="2">
        <f>+Get_Data!A3013</f>
        <v>43815</v>
      </c>
      <c r="B3014">
        <f>+ROUND(Get_Data!B3013,5)</f>
        <v>134.12769</v>
      </c>
      <c r="C3014">
        <f>+ROUND(Get_Data!C3013,5)</f>
        <v>53.031910000000003</v>
      </c>
      <c r="D3014" s="4">
        <f t="shared" si="48"/>
        <v>2.529188369794714</v>
      </c>
    </row>
    <row r="3015" spans="1:4">
      <c r="A3015" s="2">
        <f>+Get_Data!A3014</f>
        <v>43816</v>
      </c>
      <c r="B3015">
        <f>+ROUND(Get_Data!B3014,5)</f>
        <v>133.25673</v>
      </c>
      <c r="C3015">
        <f>+ROUND(Get_Data!C3014,5)</f>
        <v>53.031910000000003</v>
      </c>
      <c r="D3015" s="4">
        <f t="shared" si="48"/>
        <v>2.5127650503253607</v>
      </c>
    </row>
    <row r="3016" spans="1:4">
      <c r="A3016" s="2">
        <f>+Get_Data!A3015</f>
        <v>43817</v>
      </c>
      <c r="B3016">
        <f>+ROUND(Get_Data!B3015,5)</f>
        <v>133.06100000000001</v>
      </c>
      <c r="C3016">
        <f>+ROUND(Get_Data!C3015,5)</f>
        <v>52.53492</v>
      </c>
      <c r="D3016" s="4">
        <f t="shared" si="48"/>
        <v>2.5328105572445909</v>
      </c>
    </row>
    <row r="3017" spans="1:4">
      <c r="A3017" s="2">
        <f>+Get_Data!A3016</f>
        <v>43818</v>
      </c>
      <c r="B3017">
        <f>+ROUND(Get_Data!B3016,5)</f>
        <v>133.55031</v>
      </c>
      <c r="C3017">
        <f>+ROUND(Get_Data!C3016,5)</f>
        <v>52.934460000000001</v>
      </c>
      <c r="D3017" s="4">
        <f t="shared" si="48"/>
        <v>2.5229370432795575</v>
      </c>
    </row>
    <row r="3018" spans="1:4">
      <c r="A3018" s="2">
        <f>+Get_Data!A3017</f>
        <v>43819</v>
      </c>
      <c r="B3018">
        <f>+ROUND(Get_Data!B3017,5)</f>
        <v>134.96928</v>
      </c>
      <c r="C3018">
        <f>+ROUND(Get_Data!C3017,5)</f>
        <v>53.567889999999998</v>
      </c>
      <c r="D3018" s="4">
        <f t="shared" si="48"/>
        <v>2.5195929875154688</v>
      </c>
    </row>
    <row r="3019" spans="1:4">
      <c r="A3019" s="2">
        <f>+Get_Data!A3018</f>
        <v>43822</v>
      </c>
      <c r="B3019">
        <f>+ROUND(Get_Data!B3018,5)</f>
        <v>134.10811000000001</v>
      </c>
      <c r="C3019">
        <f>+ROUND(Get_Data!C3018,5)</f>
        <v>53.509410000000003</v>
      </c>
      <c r="D3019" s="4">
        <f t="shared" si="48"/>
        <v>2.5062528254376195</v>
      </c>
    </row>
    <row r="3020" spans="1:4">
      <c r="A3020" s="2">
        <f>+Get_Data!A3019</f>
        <v>43823</v>
      </c>
      <c r="B3020">
        <f>+ROUND(Get_Data!B3019,5)</f>
        <v>133.96132</v>
      </c>
      <c r="C3020">
        <f>+ROUND(Get_Data!C3019,5)</f>
        <v>53.314509999999999</v>
      </c>
      <c r="D3020" s="4">
        <f t="shared" si="48"/>
        <v>2.5126615624902113</v>
      </c>
    </row>
    <row r="3021" spans="1:4">
      <c r="A3021" s="2">
        <f>+Get_Data!A3020</f>
        <v>43825</v>
      </c>
      <c r="B3021">
        <f>+ROUND(Get_Data!B3020,5)</f>
        <v>133.76562999999999</v>
      </c>
      <c r="C3021">
        <f>+ROUND(Get_Data!C3020,5)</f>
        <v>53.616610000000001</v>
      </c>
      <c r="D3021" s="4">
        <f t="shared" si="48"/>
        <v>2.4948542998149263</v>
      </c>
    </row>
    <row r="3022" spans="1:4">
      <c r="A3022" s="2">
        <f>+Get_Data!A3021</f>
        <v>43826</v>
      </c>
      <c r="B3022">
        <f>+ROUND(Get_Data!B3021,5)</f>
        <v>134.59743</v>
      </c>
      <c r="C3022">
        <f>+ROUND(Get_Data!C3021,5)</f>
        <v>53.938189999999999</v>
      </c>
      <c r="D3022" s="4">
        <f t="shared" si="48"/>
        <v>2.4954013102775603</v>
      </c>
    </row>
    <row r="3023" spans="1:4">
      <c r="A3023" s="2">
        <f>+Get_Data!A3022</f>
        <v>43829</v>
      </c>
      <c r="B3023">
        <f>+ROUND(Get_Data!B3022,5)</f>
        <v>133.88303999999999</v>
      </c>
      <c r="C3023">
        <f>+ROUND(Get_Data!C3022,5)</f>
        <v>53.860230000000001</v>
      </c>
      <c r="D3023" s="4">
        <f t="shared" si="48"/>
        <v>2.4857495038546995</v>
      </c>
    </row>
    <row r="3024" spans="1:4">
      <c r="A3024" s="2">
        <f>+Get_Data!A3023</f>
        <v>43830</v>
      </c>
      <c r="B3024">
        <f>+ROUND(Get_Data!B3023,5)</f>
        <v>133.74602999999999</v>
      </c>
      <c r="C3024">
        <f>+ROUND(Get_Data!C3023,5)</f>
        <v>53.938189999999999</v>
      </c>
      <c r="D3024" s="4">
        <f t="shared" si="48"/>
        <v>2.4796165759362707</v>
      </c>
    </row>
    <row r="3025" spans="1:4">
      <c r="A3025" s="2">
        <f>+Get_Data!A3024</f>
        <v>43832</v>
      </c>
      <c r="B3025">
        <f>+ROUND(Get_Data!B3024,5)</f>
        <v>132.91423</v>
      </c>
      <c r="C3025">
        <f>+ROUND(Get_Data!C3024,5)</f>
        <v>53.587380000000003</v>
      </c>
      <c r="D3025" s="4">
        <f t="shared" si="48"/>
        <v>2.4803270844739935</v>
      </c>
    </row>
    <row r="3026" spans="1:4">
      <c r="A3026" s="2">
        <f>+Get_Data!A3025</f>
        <v>43833</v>
      </c>
      <c r="B3026">
        <f>+ROUND(Get_Data!B3025,5)</f>
        <v>132.72829999999999</v>
      </c>
      <c r="C3026">
        <f>+ROUND(Get_Data!C3025,5)</f>
        <v>53.295020000000001</v>
      </c>
      <c r="D3026" s="4">
        <f t="shared" si="48"/>
        <v>2.4904446982100765</v>
      </c>
    </row>
    <row r="3027" spans="1:4">
      <c r="A3027" s="2">
        <f>+Get_Data!A3026</f>
        <v>43836</v>
      </c>
      <c r="B3027">
        <f>+ROUND(Get_Data!B3026,5)</f>
        <v>133.23715000000001</v>
      </c>
      <c r="C3027">
        <f>+ROUND(Get_Data!C3026,5)</f>
        <v>53.275539999999999</v>
      </c>
      <c r="D3027" s="4">
        <f t="shared" si="48"/>
        <v>2.5009066074224684</v>
      </c>
    </row>
    <row r="3028" spans="1:4">
      <c r="A3028" s="2">
        <f>+Get_Data!A3027</f>
        <v>43837</v>
      </c>
      <c r="B3028">
        <f>+ROUND(Get_Data!B3027,5)</f>
        <v>131.14294000000001</v>
      </c>
      <c r="C3028">
        <f>+ROUND(Get_Data!C3027,5)</f>
        <v>52.866250000000001</v>
      </c>
      <c r="D3028" s="4">
        <f t="shared" si="48"/>
        <v>2.4806552384555367</v>
      </c>
    </row>
    <row r="3029" spans="1:4">
      <c r="A3029" s="2">
        <f>+Get_Data!A3028</f>
        <v>43838</v>
      </c>
      <c r="B3029">
        <f>+ROUND(Get_Data!B3028,5)</f>
        <v>131.81818999999999</v>
      </c>
      <c r="C3029">
        <f>+ROUND(Get_Data!C3028,5)</f>
        <v>52.963700000000003</v>
      </c>
      <c r="D3029" s="4">
        <f t="shared" si="48"/>
        <v>2.4888402811737094</v>
      </c>
    </row>
    <row r="3030" spans="1:4">
      <c r="A3030" s="2">
        <f>+Get_Data!A3029</f>
        <v>43839</v>
      </c>
      <c r="B3030">
        <f>+ROUND(Get_Data!B3029,5)</f>
        <v>131.90627000000001</v>
      </c>
      <c r="C3030">
        <f>+ROUND(Get_Data!C3029,5)</f>
        <v>53.928440000000002</v>
      </c>
      <c r="D3030" s="4">
        <f t="shared" si="48"/>
        <v>2.4459500404610259</v>
      </c>
    </row>
    <row r="3031" spans="1:4">
      <c r="A3031" s="2">
        <f>+Get_Data!A3030</f>
        <v>43840</v>
      </c>
      <c r="B3031">
        <f>+ROUND(Get_Data!B3030,5)</f>
        <v>131.65181000000001</v>
      </c>
      <c r="C3031">
        <f>+ROUND(Get_Data!C3030,5)</f>
        <v>54.113599999999998</v>
      </c>
      <c r="D3031" s="4">
        <f t="shared" si="48"/>
        <v>2.4328784261257801</v>
      </c>
    </row>
    <row r="3032" spans="1:4">
      <c r="A3032" s="2">
        <f>+Get_Data!A3031</f>
        <v>43843</v>
      </c>
      <c r="B3032">
        <f>+ROUND(Get_Data!B3031,5)</f>
        <v>133.60901999999999</v>
      </c>
      <c r="C3032">
        <f>+ROUND(Get_Data!C3031,5)</f>
        <v>54.698300000000003</v>
      </c>
      <c r="D3032" s="4">
        <f t="shared" si="48"/>
        <v>2.4426539764489936</v>
      </c>
    </row>
    <row r="3033" spans="1:4">
      <c r="A3033" s="2">
        <f>+Get_Data!A3032</f>
        <v>43844</v>
      </c>
      <c r="B3033">
        <f>+ROUND(Get_Data!B3032,5)</f>
        <v>133.92218</v>
      </c>
      <c r="C3033">
        <f>+ROUND(Get_Data!C3032,5)</f>
        <v>54.57161</v>
      </c>
      <c r="D3033" s="4">
        <f t="shared" si="48"/>
        <v>2.4540632024600337</v>
      </c>
    </row>
    <row r="3034" spans="1:4">
      <c r="A3034" s="2">
        <f>+Get_Data!A3033</f>
        <v>43845</v>
      </c>
      <c r="B3034">
        <f>+ROUND(Get_Data!B3033,5)</f>
        <v>136.22191000000001</v>
      </c>
      <c r="C3034">
        <f>+ROUND(Get_Data!C3033,5)</f>
        <v>55.25376</v>
      </c>
      <c r="D3034" s="4">
        <f t="shared" si="48"/>
        <v>2.4653871519331898</v>
      </c>
    </row>
    <row r="3035" spans="1:4">
      <c r="A3035" s="2">
        <f>+Get_Data!A3034</f>
        <v>43846</v>
      </c>
      <c r="B3035">
        <f>+ROUND(Get_Data!B3034,5)</f>
        <v>136.62312</v>
      </c>
      <c r="C3035">
        <f>+ROUND(Get_Data!C3034,5)</f>
        <v>55.370690000000003</v>
      </c>
      <c r="D3035" s="4">
        <f t="shared" si="48"/>
        <v>2.4674267198042861</v>
      </c>
    </row>
    <row r="3036" spans="1:4">
      <c r="A3036" s="2">
        <f>+Get_Data!A3035</f>
        <v>43847</v>
      </c>
      <c r="B3036">
        <f>+ROUND(Get_Data!B3035,5)</f>
        <v>138.23782</v>
      </c>
      <c r="C3036">
        <f>+ROUND(Get_Data!C3035,5)</f>
        <v>55.487639999999999</v>
      </c>
      <c r="D3036" s="4">
        <f t="shared" si="48"/>
        <v>2.4913263566444708</v>
      </c>
    </row>
    <row r="3037" spans="1:4">
      <c r="A3037" s="2">
        <f>+Get_Data!A3036</f>
        <v>43851</v>
      </c>
      <c r="B3037">
        <f>+ROUND(Get_Data!B3036,5)</f>
        <v>138.82500999999999</v>
      </c>
      <c r="C3037">
        <f>+ROUND(Get_Data!C3036,5)</f>
        <v>55.711770000000001</v>
      </c>
      <c r="D3037" s="4">
        <f t="shared" si="48"/>
        <v>2.4918434650344081</v>
      </c>
    </row>
    <row r="3038" spans="1:4">
      <c r="A3038" s="2">
        <f>+Get_Data!A3037</f>
        <v>43852</v>
      </c>
      <c r="B3038">
        <f>+ROUND(Get_Data!B3037,5)</f>
        <v>140.31247999999999</v>
      </c>
      <c r="C3038">
        <f>+ROUND(Get_Data!C3037,5)</f>
        <v>56.140540000000001</v>
      </c>
      <c r="D3038" s="4">
        <f t="shared" si="48"/>
        <v>2.4993076304574195</v>
      </c>
    </row>
    <row r="3039" spans="1:4">
      <c r="A3039" s="2">
        <f>+Get_Data!A3038</f>
        <v>43853</v>
      </c>
      <c r="B3039">
        <f>+ROUND(Get_Data!B3038,5)</f>
        <v>140.57670999999999</v>
      </c>
      <c r="C3039">
        <f>+ROUND(Get_Data!C3038,5)</f>
        <v>56.354930000000003</v>
      </c>
      <c r="D3039" s="4">
        <f t="shared" si="48"/>
        <v>2.4944882373201418</v>
      </c>
    </row>
    <row r="3040" spans="1:4">
      <c r="A3040" s="2">
        <f>+Get_Data!A3039</f>
        <v>43854</v>
      </c>
      <c r="B3040">
        <f>+ROUND(Get_Data!B3039,5)</f>
        <v>139.86232000000001</v>
      </c>
      <c r="C3040">
        <f>+ROUND(Get_Data!C3039,5)</f>
        <v>56.208759999999998</v>
      </c>
      <c r="D3040" s="4">
        <f t="shared" si="48"/>
        <v>2.4882655301415655</v>
      </c>
    </row>
    <row r="3041" spans="1:4">
      <c r="A3041" s="2">
        <f>+Get_Data!A3040</f>
        <v>43857</v>
      </c>
      <c r="B3041">
        <f>+ROUND(Get_Data!B3040,5)</f>
        <v>139.09900999999999</v>
      </c>
      <c r="C3041">
        <f>+ROUND(Get_Data!C3040,5)</f>
        <v>56.013860000000001</v>
      </c>
      <c r="D3041" s="4">
        <f t="shared" si="48"/>
        <v>2.483296277028578</v>
      </c>
    </row>
    <row r="3042" spans="1:4">
      <c r="A3042" s="2">
        <f>+Get_Data!A3041</f>
        <v>43858</v>
      </c>
      <c r="B3042">
        <f>+ROUND(Get_Data!B3041,5)</f>
        <v>139.39259000000001</v>
      </c>
      <c r="C3042">
        <f>+ROUND(Get_Data!C3041,5)</f>
        <v>55.55585</v>
      </c>
      <c r="D3042" s="4">
        <f t="shared" si="48"/>
        <v>2.5090533220173934</v>
      </c>
    </row>
    <row r="3043" spans="1:4">
      <c r="A3043" s="2">
        <f>+Get_Data!A3042</f>
        <v>43859</v>
      </c>
      <c r="B3043">
        <f>+ROUND(Get_Data!B3042,5)</f>
        <v>138.69776999999999</v>
      </c>
      <c r="C3043">
        <f>+ROUND(Get_Data!C3042,5)</f>
        <v>55.55585</v>
      </c>
      <c r="D3043" s="4">
        <f t="shared" si="48"/>
        <v>2.4965466283028697</v>
      </c>
    </row>
    <row r="3044" spans="1:4">
      <c r="A3044" s="2">
        <f>+Get_Data!A3043</f>
        <v>43860</v>
      </c>
      <c r="B3044">
        <f>+ROUND(Get_Data!B3043,5)</f>
        <v>140.75285</v>
      </c>
      <c r="C3044">
        <f>+ROUND(Get_Data!C3043,5)</f>
        <v>57.35866</v>
      </c>
      <c r="D3044" s="4">
        <f t="shared" si="48"/>
        <v>2.4539075703651374</v>
      </c>
    </row>
    <row r="3045" spans="1:4">
      <c r="A3045" s="2">
        <f>+Get_Data!A3044</f>
        <v>43861</v>
      </c>
      <c r="B3045">
        <f>+ROUND(Get_Data!B3044,5)</f>
        <v>138.98158000000001</v>
      </c>
      <c r="C3045">
        <f>+ROUND(Get_Data!C3044,5)</f>
        <v>56.910400000000003</v>
      </c>
      <c r="D3045" s="4">
        <f t="shared" si="48"/>
        <v>2.4421121622761395</v>
      </c>
    </row>
    <row r="3046" spans="1:4">
      <c r="A3046" s="2">
        <f>+Get_Data!A3045</f>
        <v>43864</v>
      </c>
      <c r="B3046">
        <f>+ROUND(Get_Data!B3045,5)</f>
        <v>139.46107000000001</v>
      </c>
      <c r="C3046">
        <f>+ROUND(Get_Data!C3045,5)</f>
        <v>57.085799999999999</v>
      </c>
      <c r="D3046" s="4">
        <f t="shared" si="48"/>
        <v>2.4430080685564537</v>
      </c>
    </row>
    <row r="3047" spans="1:4">
      <c r="A3047" s="2">
        <f>+Get_Data!A3046</f>
        <v>43865</v>
      </c>
      <c r="B3047">
        <f>+ROUND(Get_Data!B3046,5)</f>
        <v>140.1559</v>
      </c>
      <c r="C3047">
        <f>+ROUND(Get_Data!C3046,5)</f>
        <v>57.339170000000003</v>
      </c>
      <c r="D3047" s="4">
        <f t="shared" si="48"/>
        <v>2.4443308126015775</v>
      </c>
    </row>
    <row r="3048" spans="1:4">
      <c r="A3048" s="2">
        <f>+Get_Data!A3047</f>
        <v>43866</v>
      </c>
      <c r="B3048">
        <f>+ROUND(Get_Data!B3047,5)</f>
        <v>141.21279999999999</v>
      </c>
      <c r="C3048">
        <f>+ROUND(Get_Data!C3047,5)</f>
        <v>57.34892</v>
      </c>
      <c r="D3048" s="4">
        <f t="shared" si="48"/>
        <v>2.4623445393566259</v>
      </c>
    </row>
    <row r="3049" spans="1:4">
      <c r="A3049" s="2">
        <f>+Get_Data!A3048</f>
        <v>43867</v>
      </c>
      <c r="B3049">
        <f>+ROUND(Get_Data!B3048,5)</f>
        <v>141.24216000000001</v>
      </c>
      <c r="C3049">
        <f>+ROUND(Get_Data!C3048,5)</f>
        <v>57.485349999999997</v>
      </c>
      <c r="D3049" s="4">
        <f t="shared" si="48"/>
        <v>2.4570113950771808</v>
      </c>
    </row>
    <row r="3050" spans="1:4">
      <c r="A3050" s="2">
        <f>+Get_Data!A3049</f>
        <v>43868</v>
      </c>
      <c r="B3050">
        <f>+ROUND(Get_Data!B3049,5)</f>
        <v>142.25989999999999</v>
      </c>
      <c r="C3050">
        <f>+ROUND(Get_Data!C3049,5)</f>
        <v>57.680239999999998</v>
      </c>
      <c r="D3050" s="4">
        <f t="shared" si="48"/>
        <v>2.4663541621879519</v>
      </c>
    </row>
    <row r="3051" spans="1:4">
      <c r="A3051" s="2">
        <f>+Get_Data!A3050</f>
        <v>43871</v>
      </c>
      <c r="B3051">
        <f>+ROUND(Get_Data!B3050,5)</f>
        <v>142.5437</v>
      </c>
      <c r="C3051">
        <f>+ROUND(Get_Data!C3050,5)</f>
        <v>58.225960000000001</v>
      </c>
      <c r="D3051" s="4">
        <f t="shared" si="48"/>
        <v>2.4481124914041779</v>
      </c>
    </row>
    <row r="3052" spans="1:4">
      <c r="A3052" s="2">
        <f>+Get_Data!A3051</f>
        <v>43872</v>
      </c>
      <c r="B3052">
        <f>+ROUND(Get_Data!B3051,5)</f>
        <v>142.95471000000001</v>
      </c>
      <c r="C3052">
        <f>+ROUND(Get_Data!C3051,5)</f>
        <v>58.070050000000002</v>
      </c>
      <c r="D3052" s="4">
        <f t="shared" si="48"/>
        <v>2.4617631636273778</v>
      </c>
    </row>
    <row r="3053" spans="1:4">
      <c r="A3053" s="2">
        <f>+Get_Data!A3052</f>
        <v>43873</v>
      </c>
      <c r="B3053">
        <f>+ROUND(Get_Data!B3052,5)</f>
        <v>142.95471000000001</v>
      </c>
      <c r="C3053">
        <f>+ROUND(Get_Data!C3052,5)</f>
        <v>57.894629999999999</v>
      </c>
      <c r="D3053" s="4">
        <f t="shared" si="48"/>
        <v>2.4692222750192894</v>
      </c>
    </row>
    <row r="3054" spans="1:4">
      <c r="A3054" s="2">
        <f>+Get_Data!A3053</f>
        <v>43874</v>
      </c>
      <c r="B3054">
        <f>+ROUND(Get_Data!B3053,5)</f>
        <v>143.33637999999999</v>
      </c>
      <c r="C3054">
        <f>+ROUND(Get_Data!C3053,5)</f>
        <v>58.089530000000003</v>
      </c>
      <c r="D3054" s="4">
        <f t="shared" si="48"/>
        <v>2.4675080001508012</v>
      </c>
    </row>
    <row r="3055" spans="1:4">
      <c r="A3055" s="2">
        <f>+Get_Data!A3054</f>
        <v>43875</v>
      </c>
      <c r="B3055">
        <f>+ROUND(Get_Data!B3054,5)</f>
        <v>143.84524999999999</v>
      </c>
      <c r="C3055">
        <f>+ROUND(Get_Data!C3054,5)</f>
        <v>58.420859999999998</v>
      </c>
      <c r="D3055" s="4">
        <f t="shared" si="48"/>
        <v>2.4622241096758932</v>
      </c>
    </row>
    <row r="3056" spans="1:4">
      <c r="A3056" s="2">
        <f>+Get_Data!A3055</f>
        <v>43879</v>
      </c>
      <c r="B3056">
        <f>+ROUND(Get_Data!B3055,5)</f>
        <v>142.48499000000001</v>
      </c>
      <c r="C3056">
        <f>+ROUND(Get_Data!C3055,5)</f>
        <v>58.011569999999999</v>
      </c>
      <c r="D3056" s="4">
        <f t="shared" si="48"/>
        <v>2.4561477994820691</v>
      </c>
    </row>
    <row r="3057" spans="1:4">
      <c r="A3057" s="2">
        <f>+Get_Data!A3056</f>
        <v>43880</v>
      </c>
      <c r="B3057">
        <f>+ROUND(Get_Data!B3056,5)</f>
        <v>142.41647</v>
      </c>
      <c r="C3057">
        <f>+ROUND(Get_Data!C3056,5)</f>
        <v>58.245449999999998</v>
      </c>
      <c r="D3057" s="4">
        <f t="shared" si="48"/>
        <v>2.4451089312555747</v>
      </c>
    </row>
    <row r="3058" spans="1:4">
      <c r="A3058" s="2">
        <f>+Get_Data!A3057</f>
        <v>43881</v>
      </c>
      <c r="B3058">
        <f>+ROUND(Get_Data!B3057,5)</f>
        <v>142.05440999999999</v>
      </c>
      <c r="C3058">
        <f>+ROUND(Get_Data!C3057,5)</f>
        <v>58.196730000000002</v>
      </c>
      <c r="D3058" s="4">
        <f t="shared" si="48"/>
        <v>2.4409345679731489</v>
      </c>
    </row>
    <row r="3059" spans="1:4">
      <c r="A3059" s="2">
        <f>+Get_Data!A3058</f>
        <v>43882</v>
      </c>
      <c r="B3059">
        <f>+ROUND(Get_Data!B3058,5)</f>
        <v>142.72963999999999</v>
      </c>
      <c r="C3059">
        <f>+ROUND(Get_Data!C3058,5)</f>
        <v>58.596269999999997</v>
      </c>
      <c r="D3059" s="4">
        <f t="shared" si="48"/>
        <v>2.4358144298263351</v>
      </c>
    </row>
    <row r="3060" spans="1:4">
      <c r="A3060" s="2">
        <f>+Get_Data!A3059</f>
        <v>43885</v>
      </c>
      <c r="B3060">
        <f>+ROUND(Get_Data!B3059,5)</f>
        <v>139.58832000000001</v>
      </c>
      <c r="C3060">
        <f>+ROUND(Get_Data!C3059,5)</f>
        <v>57.154020000000003</v>
      </c>
      <c r="D3060" s="4">
        <f t="shared" si="48"/>
        <v>2.4423184930823765</v>
      </c>
    </row>
    <row r="3061" spans="1:4">
      <c r="A3061" s="2">
        <f>+Get_Data!A3060</f>
        <v>43886</v>
      </c>
      <c r="B3061">
        <f>+ROUND(Get_Data!B3060,5)</f>
        <v>138.08126999999999</v>
      </c>
      <c r="C3061">
        <f>+ROUND(Get_Data!C3060,5)</f>
        <v>56.345190000000002</v>
      </c>
      <c r="D3061" s="4">
        <f t="shared" si="48"/>
        <v>2.4506310121591564</v>
      </c>
    </row>
    <row r="3062" spans="1:4">
      <c r="A3062" s="2">
        <f>+Get_Data!A3061</f>
        <v>43887</v>
      </c>
      <c r="B3062">
        <f>+ROUND(Get_Data!B3061,5)</f>
        <v>138.94241</v>
      </c>
      <c r="C3062">
        <f>+ROUND(Get_Data!C3061,5)</f>
        <v>56.130800000000001</v>
      </c>
      <c r="D3062" s="4">
        <f t="shared" si="48"/>
        <v>2.475332794116599</v>
      </c>
    </row>
    <row r="3063" spans="1:4">
      <c r="A3063" s="2">
        <f>+Get_Data!A3062</f>
        <v>43888</v>
      </c>
      <c r="B3063">
        <f>+ROUND(Get_Data!B3062,5)</f>
        <v>133.45244</v>
      </c>
      <c r="C3063">
        <f>+ROUND(Get_Data!C3062,5)</f>
        <v>53.5289</v>
      </c>
      <c r="D3063" s="4">
        <f t="shared" si="48"/>
        <v>2.4930913954891656</v>
      </c>
    </row>
    <row r="3064" spans="1:4">
      <c r="A3064" s="2">
        <f>+Get_Data!A3063</f>
        <v>43889</v>
      </c>
      <c r="B3064">
        <f>+ROUND(Get_Data!B3063,5)</f>
        <v>129.20531</v>
      </c>
      <c r="C3064">
        <f>+ROUND(Get_Data!C3063,5)</f>
        <v>52.125639999999997</v>
      </c>
      <c r="D3064" s="4">
        <f t="shared" si="48"/>
        <v>2.4787285105756016</v>
      </c>
    </row>
    <row r="3065" spans="1:4">
      <c r="A3065" s="2">
        <f>+Get_Data!A3064</f>
        <v>43892</v>
      </c>
      <c r="B3065">
        <f>+ROUND(Get_Data!B3064,5)</f>
        <v>134.63657000000001</v>
      </c>
      <c r="C3065">
        <f>+ROUND(Get_Data!C3064,5)</f>
        <v>54.493650000000002</v>
      </c>
      <c r="D3065" s="4">
        <f t="shared" si="48"/>
        <v>2.4706836484617933</v>
      </c>
    </row>
    <row r="3066" spans="1:4">
      <c r="A3066" s="2">
        <f>+Get_Data!A3065</f>
        <v>43893</v>
      </c>
      <c r="B3066">
        <f>+ROUND(Get_Data!B3065,5)</f>
        <v>132.67935</v>
      </c>
      <c r="C3066">
        <f>+ROUND(Get_Data!C3065,5)</f>
        <v>54.63008</v>
      </c>
      <c r="D3066" s="4">
        <f t="shared" si="48"/>
        <v>2.4286867235047067</v>
      </c>
    </row>
    <row r="3067" spans="1:4">
      <c r="A3067" s="2">
        <f>+Get_Data!A3066</f>
        <v>43894</v>
      </c>
      <c r="B3067">
        <f>+ROUND(Get_Data!B3066,5)</f>
        <v>139.34366</v>
      </c>
      <c r="C3067">
        <f>+ROUND(Get_Data!C3066,5)</f>
        <v>57.41713</v>
      </c>
      <c r="D3067" s="4">
        <f t="shared" si="48"/>
        <v>2.4268656409681224</v>
      </c>
    </row>
    <row r="3068" spans="1:4">
      <c r="A3068" s="2">
        <f>+Get_Data!A3067</f>
        <v>43895</v>
      </c>
      <c r="B3068">
        <f>+ROUND(Get_Data!B3067,5)</f>
        <v>136.05797999999999</v>
      </c>
      <c r="C3068">
        <f>+ROUND(Get_Data!C3067,5)</f>
        <v>55.292740000000002</v>
      </c>
      <c r="D3068" s="4">
        <f t="shared" si="48"/>
        <v>2.4606843502420026</v>
      </c>
    </row>
    <row r="3069" spans="1:4">
      <c r="A3069" s="2">
        <f>+Get_Data!A3068</f>
        <v>43896</v>
      </c>
      <c r="B3069">
        <f>+ROUND(Get_Data!B3068,5)</f>
        <v>135.23039</v>
      </c>
      <c r="C3069">
        <f>+ROUND(Get_Data!C3068,5)</f>
        <v>53.850490000000001</v>
      </c>
      <c r="D3069" s="4">
        <f t="shared" si="48"/>
        <v>2.5112193036683603</v>
      </c>
    </row>
    <row r="3070" spans="1:4">
      <c r="A3070" s="2">
        <f>+Get_Data!A3069</f>
        <v>43899</v>
      </c>
      <c r="B3070">
        <f>+ROUND(Get_Data!B3069,5)</f>
        <v>128.23537999999999</v>
      </c>
      <c r="C3070">
        <f>+ROUND(Get_Data!C3069,5)</f>
        <v>50.537210000000002</v>
      </c>
      <c r="D3070" s="4">
        <f t="shared" si="48"/>
        <v>2.5374447857331259</v>
      </c>
    </row>
    <row r="3071" spans="1:4">
      <c r="A3071" s="2">
        <f>+Get_Data!A3070</f>
        <v>43900</v>
      </c>
      <c r="B3071">
        <f>+ROUND(Get_Data!B3070,5)</f>
        <v>132.15654000000001</v>
      </c>
      <c r="C3071">
        <f>+ROUND(Get_Data!C3070,5)</f>
        <v>52.2913</v>
      </c>
      <c r="D3071" s="4">
        <f t="shared" si="48"/>
        <v>2.5273141038757885</v>
      </c>
    </row>
    <row r="3072" spans="1:4">
      <c r="A3072" s="2">
        <f>+Get_Data!A3071</f>
        <v>43901</v>
      </c>
      <c r="B3072">
        <f>+ROUND(Get_Data!B3071,5)</f>
        <v>127.83144</v>
      </c>
      <c r="C3072">
        <f>+ROUND(Get_Data!C3071,5)</f>
        <v>50.878279999999997</v>
      </c>
      <c r="D3072" s="4">
        <f t="shared" si="48"/>
        <v>2.5124953123415339</v>
      </c>
    </row>
    <row r="3073" spans="1:4">
      <c r="A3073" s="2">
        <f>+Get_Data!A3072</f>
        <v>43902</v>
      </c>
      <c r="B3073">
        <f>+ROUND(Get_Data!B3072,5)</f>
        <v>113.63451000000001</v>
      </c>
      <c r="C3073">
        <f>+ROUND(Get_Data!C3072,5)</f>
        <v>45.957090000000001</v>
      </c>
      <c r="D3073" s="4">
        <f t="shared" si="48"/>
        <v>2.4726219610510589</v>
      </c>
    </row>
    <row r="3074" spans="1:4">
      <c r="A3074" s="2">
        <f>+Get_Data!A3073</f>
        <v>43903</v>
      </c>
      <c r="B3074">
        <f>+ROUND(Get_Data!B3073,5)</f>
        <v>125.56545</v>
      </c>
      <c r="C3074">
        <f>+ROUND(Get_Data!C3073,5)</f>
        <v>47.647919999999999</v>
      </c>
      <c r="D3074" s="4">
        <f t="shared" si="48"/>
        <v>2.6352766290742595</v>
      </c>
    </row>
    <row r="3075" spans="1:4">
      <c r="A3075" s="2">
        <f>+Get_Data!A3074</f>
        <v>43906</v>
      </c>
      <c r="B3075">
        <f>+ROUND(Get_Data!B3074,5)</f>
        <v>111.41777999999999</v>
      </c>
      <c r="C3075">
        <f>+ROUND(Get_Data!C3074,5)</f>
        <v>44.492359999999998</v>
      </c>
      <c r="D3075" s="4">
        <f t="shared" si="48"/>
        <v>2.5042002716870941</v>
      </c>
    </row>
    <row r="3076" spans="1:4">
      <c r="A3076" s="2">
        <f>+Get_Data!A3075</f>
        <v>43907</v>
      </c>
      <c r="B3076">
        <f>+ROUND(Get_Data!B3075,5)</f>
        <v>125.83146000000001</v>
      </c>
      <c r="C3076">
        <f>+ROUND(Get_Data!C3075,5)</f>
        <v>46.379800000000003</v>
      </c>
      <c r="D3076" s="4">
        <f t="shared" ref="D3076:D3139" si="49">IFERROR(B3076/C3076,"")</f>
        <v>2.7130660330574949</v>
      </c>
    </row>
    <row r="3077" spans="1:4">
      <c r="A3077" s="2">
        <f>+Get_Data!A3076</f>
        <v>43908</v>
      </c>
      <c r="B3077">
        <f>+ROUND(Get_Data!B3076,5)</f>
        <v>119.13200000000001</v>
      </c>
      <c r="C3077">
        <f>+ROUND(Get_Data!C3076,5)</f>
        <v>44.089320000000001</v>
      </c>
      <c r="D3077" s="4">
        <f t="shared" si="49"/>
        <v>2.7020602721929032</v>
      </c>
    </row>
    <row r="3078" spans="1:4">
      <c r="A3078" s="2">
        <f>+Get_Data!A3077</f>
        <v>43909</v>
      </c>
      <c r="B3078">
        <f>+ROUND(Get_Data!B3077,5)</f>
        <v>115.60493</v>
      </c>
      <c r="C3078">
        <f>+ROUND(Get_Data!C3077,5)</f>
        <v>41.120539999999998</v>
      </c>
      <c r="D3078" s="4">
        <f t="shared" si="49"/>
        <v>2.8113670199856324</v>
      </c>
    </row>
    <row r="3079" spans="1:4">
      <c r="A3079" s="2">
        <f>+Get_Data!A3078</f>
        <v>43910</v>
      </c>
      <c r="B3079">
        <f>+ROUND(Get_Data!B3078,5)</f>
        <v>102.39323</v>
      </c>
      <c r="C3079">
        <f>+ROUND(Get_Data!C3078,5)</f>
        <v>37.650410000000001</v>
      </c>
      <c r="D3079" s="4">
        <f t="shared" si="49"/>
        <v>2.7195780869318553</v>
      </c>
    </row>
    <row r="3080" spans="1:4">
      <c r="A3080" s="2">
        <f>+Get_Data!A3079</f>
        <v>43913</v>
      </c>
      <c r="B3080">
        <f>+ROUND(Get_Data!B3079,5)</f>
        <v>103.62475000000001</v>
      </c>
      <c r="C3080">
        <f>+ROUND(Get_Data!C3079,5)</f>
        <v>36.922960000000003</v>
      </c>
      <c r="D3080" s="4">
        <f t="shared" si="49"/>
        <v>2.8065125331230214</v>
      </c>
    </row>
    <row r="3081" spans="1:4">
      <c r="A3081" s="2">
        <f>+Get_Data!A3080</f>
        <v>43914</v>
      </c>
      <c r="B3081">
        <f>+ROUND(Get_Data!B3080,5)</f>
        <v>112.1567</v>
      </c>
      <c r="C3081">
        <f>+ROUND(Get_Data!C3080,5)</f>
        <v>38.780909999999999</v>
      </c>
      <c r="D3081" s="4">
        <f t="shared" si="49"/>
        <v>2.8920595210375417</v>
      </c>
    </row>
    <row r="3082" spans="1:4">
      <c r="A3082" s="2">
        <f>+Get_Data!A3081</f>
        <v>43915</v>
      </c>
      <c r="B3082">
        <f>+ROUND(Get_Data!B3081,5)</f>
        <v>110.83651</v>
      </c>
      <c r="C3082">
        <f>+ROUND(Get_Data!C3081,5)</f>
        <v>40.904269999999997</v>
      </c>
      <c r="D3082" s="4">
        <f t="shared" si="49"/>
        <v>2.7096562290440587</v>
      </c>
    </row>
    <row r="3083" spans="1:4">
      <c r="A3083" s="2">
        <f>+Get_Data!A3082</f>
        <v>43916</v>
      </c>
      <c r="B3083">
        <f>+ROUND(Get_Data!B3082,5)</f>
        <v>118.48177</v>
      </c>
      <c r="C3083">
        <f>+ROUND(Get_Data!C3082,5)</f>
        <v>43.538820000000001</v>
      </c>
      <c r="D3083" s="4">
        <f t="shared" si="49"/>
        <v>2.7212903335460168</v>
      </c>
    </row>
    <row r="3084" spans="1:4">
      <c r="A3084" s="2">
        <f>+Get_Data!A3083</f>
        <v>43917</v>
      </c>
      <c r="B3084">
        <f>+ROUND(Get_Data!B3083,5)</f>
        <v>118.67881</v>
      </c>
      <c r="C3084">
        <f>+ROUND(Get_Data!C3083,5)</f>
        <v>42.083919999999999</v>
      </c>
      <c r="D3084" s="4">
        <f t="shared" si="49"/>
        <v>2.8200512214641602</v>
      </c>
    </row>
    <row r="3085" spans="1:4">
      <c r="A3085" s="2">
        <f>+Get_Data!A3084</f>
        <v>43920</v>
      </c>
      <c r="B3085">
        <f>+ROUND(Get_Data!B3084,5)</f>
        <v>123.62457999999999</v>
      </c>
      <c r="C3085">
        <f>+ROUND(Get_Data!C3084,5)</f>
        <v>44.23677</v>
      </c>
      <c r="D3085" s="4">
        <f t="shared" si="49"/>
        <v>2.7946113606395766</v>
      </c>
    </row>
    <row r="3086" spans="1:4">
      <c r="A3086" s="2">
        <f>+Get_Data!A3085</f>
        <v>43921</v>
      </c>
      <c r="B3086">
        <f>+ROUND(Get_Data!B3085,5)</f>
        <v>118.32413</v>
      </c>
      <c r="C3086">
        <f>+ROUND(Get_Data!C3085,5)</f>
        <v>43.499490000000002</v>
      </c>
      <c r="D3086" s="4">
        <f t="shared" si="49"/>
        <v>2.7201268336709234</v>
      </c>
    </row>
    <row r="3087" spans="1:4">
      <c r="A3087" s="2">
        <f>+Get_Data!A3086</f>
        <v>43922</v>
      </c>
      <c r="B3087">
        <f>+ROUND(Get_Data!B3086,5)</f>
        <v>116.37341000000001</v>
      </c>
      <c r="C3087">
        <f>+ROUND(Get_Data!C3086,5)</f>
        <v>41.405619999999999</v>
      </c>
      <c r="D3087" s="4">
        <f t="shared" si="49"/>
        <v>2.8105704008296462</v>
      </c>
    </row>
    <row r="3088" spans="1:4">
      <c r="A3088" s="2">
        <f>+Get_Data!A3087</f>
        <v>43923</v>
      </c>
      <c r="B3088">
        <f>+ROUND(Get_Data!B3087,5)</f>
        <v>122.02853</v>
      </c>
      <c r="C3088">
        <f>+ROUND(Get_Data!C3087,5)</f>
        <v>43.20458</v>
      </c>
      <c r="D3088" s="4">
        <f t="shared" si="49"/>
        <v>2.8244350483212659</v>
      </c>
    </row>
    <row r="3089" spans="1:4">
      <c r="A3089" s="2">
        <f>+Get_Data!A3088</f>
        <v>43924</v>
      </c>
      <c r="B3089">
        <f>+ROUND(Get_Data!B3088,5)</f>
        <v>122.74773999999999</v>
      </c>
      <c r="C3089">
        <f>+ROUND(Get_Data!C3088,5)</f>
        <v>43.086620000000003</v>
      </c>
      <c r="D3089" s="4">
        <f t="shared" si="49"/>
        <v>2.848859808450976</v>
      </c>
    </row>
    <row r="3090" spans="1:4">
      <c r="A3090" s="2">
        <f>+Get_Data!A3089</f>
        <v>43927</v>
      </c>
      <c r="B3090">
        <f>+ROUND(Get_Data!B3089,5)</f>
        <v>129.22059999999999</v>
      </c>
      <c r="C3090">
        <f>+ROUND(Get_Data!C3089,5)</f>
        <v>45.878450000000001</v>
      </c>
      <c r="D3090" s="4">
        <f t="shared" si="49"/>
        <v>2.8165860006168471</v>
      </c>
    </row>
    <row r="3091" spans="1:4">
      <c r="A3091" s="2">
        <f>+Get_Data!A3090</f>
        <v>43928</v>
      </c>
      <c r="B3091">
        <f>+ROUND(Get_Data!B3090,5)</f>
        <v>128.55063999999999</v>
      </c>
      <c r="C3091">
        <f>+ROUND(Get_Data!C3090,5)</f>
        <v>45.721159999999998</v>
      </c>
      <c r="D3091" s="4">
        <f t="shared" si="49"/>
        <v>2.8116224522737392</v>
      </c>
    </row>
    <row r="3092" spans="1:4">
      <c r="A3092" s="2">
        <f>+Get_Data!A3091</f>
        <v>43929</v>
      </c>
      <c r="B3092">
        <f>+ROUND(Get_Data!B3091,5)</f>
        <v>130.64914999999999</v>
      </c>
      <c r="C3092">
        <f>+ROUND(Get_Data!C3091,5)</f>
        <v>47.008949999999999</v>
      </c>
      <c r="D3092" s="4">
        <f t="shared" si="49"/>
        <v>2.7792399106978563</v>
      </c>
    </row>
    <row r="3093" spans="1:4">
      <c r="A3093" s="2">
        <f>+Get_Data!A3092</f>
        <v>43930</v>
      </c>
      <c r="B3093">
        <f>+ROUND(Get_Data!B3092,5)</f>
        <v>131.65406999999999</v>
      </c>
      <c r="C3093">
        <f>+ROUND(Get_Data!C3092,5)</f>
        <v>48.168930000000003</v>
      </c>
      <c r="D3093" s="4">
        <f t="shared" si="49"/>
        <v>2.7331740605406845</v>
      </c>
    </row>
    <row r="3094" spans="1:4">
      <c r="A3094" s="2">
        <f>+Get_Data!A3093</f>
        <v>43934</v>
      </c>
      <c r="B3094">
        <f>+ROUND(Get_Data!B3093,5)</f>
        <v>128.95456999999999</v>
      </c>
      <c r="C3094">
        <f>+ROUND(Get_Data!C3093,5)</f>
        <v>46.134039999999999</v>
      </c>
      <c r="D3094" s="4">
        <f t="shared" si="49"/>
        <v>2.795215203350931</v>
      </c>
    </row>
    <row r="3095" spans="1:4">
      <c r="A3095" s="2">
        <f>+Get_Data!A3094</f>
        <v>43935</v>
      </c>
      <c r="B3095">
        <f>+ROUND(Get_Data!B3094,5)</f>
        <v>136.35353000000001</v>
      </c>
      <c r="C3095">
        <f>+ROUND(Get_Data!C3094,5)</f>
        <v>48.090290000000003</v>
      </c>
      <c r="D3095" s="4">
        <f t="shared" si="49"/>
        <v>2.8353651017700248</v>
      </c>
    </row>
    <row r="3096" spans="1:4">
      <c r="A3096" s="2">
        <f>+Get_Data!A3095</f>
        <v>43936</v>
      </c>
      <c r="B3096">
        <f>+ROUND(Get_Data!B3095,5)</f>
        <v>133.03336999999999</v>
      </c>
      <c r="C3096">
        <f>+ROUND(Get_Data!C3095,5)</f>
        <v>46.802509999999998</v>
      </c>
      <c r="D3096" s="4">
        <f t="shared" si="49"/>
        <v>2.842440928915992</v>
      </c>
    </row>
    <row r="3097" spans="1:4">
      <c r="A3097" s="2">
        <f>+Get_Data!A3096</f>
        <v>43937</v>
      </c>
      <c r="B3097">
        <f>+ROUND(Get_Data!B3096,5)</f>
        <v>133.63435000000001</v>
      </c>
      <c r="C3097">
        <f>+ROUND(Get_Data!C3096,5)</f>
        <v>46.301160000000003</v>
      </c>
      <c r="D3097" s="4">
        <f t="shared" si="49"/>
        <v>2.8861987475043822</v>
      </c>
    </row>
    <row r="3098" spans="1:4">
      <c r="A3098" s="2">
        <f>+Get_Data!A3097</f>
        <v>43938</v>
      </c>
      <c r="B3098">
        <f>+ROUND(Get_Data!B3097,5)</f>
        <v>135.51611</v>
      </c>
      <c r="C3098">
        <f>+ROUND(Get_Data!C3097,5)</f>
        <v>47.244880000000002</v>
      </c>
      <c r="D3098" s="4">
        <f t="shared" si="49"/>
        <v>2.868376636791119</v>
      </c>
    </row>
    <row r="3099" spans="1:4">
      <c r="A3099" s="2">
        <f>+Get_Data!A3098</f>
        <v>43941</v>
      </c>
      <c r="B3099">
        <f>+ROUND(Get_Data!B3098,5)</f>
        <v>132.56047000000001</v>
      </c>
      <c r="C3099">
        <f>+ROUND(Get_Data!C3098,5)</f>
        <v>45.740819999999999</v>
      </c>
      <c r="D3099" s="4">
        <f t="shared" si="49"/>
        <v>2.8980781280265639</v>
      </c>
    </row>
    <row r="3100" spans="1:4">
      <c r="A3100" s="2">
        <f>+Get_Data!A3099</f>
        <v>43942</v>
      </c>
      <c r="B3100">
        <f>+ROUND(Get_Data!B3099,5)</f>
        <v>129.00385</v>
      </c>
      <c r="C3100">
        <f>+ROUND(Get_Data!C3099,5)</f>
        <v>44.610329999999998</v>
      </c>
      <c r="D3100" s="4">
        <f t="shared" si="49"/>
        <v>2.8917932236771171</v>
      </c>
    </row>
    <row r="3101" spans="1:4">
      <c r="A3101" s="2">
        <f>+Get_Data!A3100</f>
        <v>43943</v>
      </c>
      <c r="B3101">
        <f>+ROUND(Get_Data!B3100,5)</f>
        <v>130.65899999999999</v>
      </c>
      <c r="C3101">
        <f>+ROUND(Get_Data!C3100,5)</f>
        <v>44.905239999999999</v>
      </c>
      <c r="D3101" s="4">
        <f t="shared" si="49"/>
        <v>2.909660431611099</v>
      </c>
    </row>
    <row r="3102" spans="1:4">
      <c r="A3102" s="2">
        <f>+Get_Data!A3101</f>
        <v>43944</v>
      </c>
      <c r="B3102">
        <f>+ROUND(Get_Data!B3101,5)</f>
        <v>128.33389</v>
      </c>
      <c r="C3102">
        <f>+ROUND(Get_Data!C3101,5)</f>
        <v>44.305590000000002</v>
      </c>
      <c r="D3102" s="4">
        <f t="shared" si="49"/>
        <v>2.8965620365285734</v>
      </c>
    </row>
    <row r="3103" spans="1:4">
      <c r="A3103" s="2">
        <f>+Get_Data!A3102</f>
        <v>43945</v>
      </c>
      <c r="B3103">
        <f>+ROUND(Get_Data!B3102,5)</f>
        <v>132.37327999999999</v>
      </c>
      <c r="C3103">
        <f>+ROUND(Get_Data!C3102,5)</f>
        <v>44.659480000000002</v>
      </c>
      <c r="D3103" s="4">
        <f t="shared" si="49"/>
        <v>2.9640577991503707</v>
      </c>
    </row>
    <row r="3104" spans="1:4">
      <c r="A3104" s="2">
        <f>+Get_Data!A3103</f>
        <v>43948</v>
      </c>
      <c r="B3104">
        <f>+ROUND(Get_Data!B3103,5)</f>
        <v>132.4718</v>
      </c>
      <c r="C3104">
        <f>+ROUND(Get_Data!C3103,5)</f>
        <v>45.986579999999996</v>
      </c>
      <c r="D3104" s="4">
        <f t="shared" si="49"/>
        <v>2.8806621409985262</v>
      </c>
    </row>
    <row r="3105" spans="1:4">
      <c r="A3105" s="2">
        <f>+Get_Data!A3104</f>
        <v>43949</v>
      </c>
      <c r="B3105">
        <f>+ROUND(Get_Data!B3104,5)</f>
        <v>134.30430999999999</v>
      </c>
      <c r="C3105">
        <f>+ROUND(Get_Data!C3104,5)</f>
        <v>45.94726</v>
      </c>
      <c r="D3105" s="4">
        <f t="shared" si="49"/>
        <v>2.9230102077904099</v>
      </c>
    </row>
    <row r="3106" spans="1:4">
      <c r="A3106" s="2">
        <f>+Get_Data!A3105</f>
        <v>43950</v>
      </c>
      <c r="B3106">
        <f>+ROUND(Get_Data!B3105,5)</f>
        <v>131.38808</v>
      </c>
      <c r="C3106">
        <f>+ROUND(Get_Data!C3105,5)</f>
        <v>46.320819999999998</v>
      </c>
      <c r="D3106" s="4">
        <f t="shared" si="49"/>
        <v>2.836480010500678</v>
      </c>
    </row>
    <row r="3107" spans="1:4">
      <c r="A3107" s="2">
        <f>+Get_Data!A3106</f>
        <v>43951</v>
      </c>
      <c r="B3107">
        <f>+ROUND(Get_Data!B3106,5)</f>
        <v>130.33387999999999</v>
      </c>
      <c r="C3107">
        <f>+ROUND(Get_Data!C3106,5)</f>
        <v>45.11168</v>
      </c>
      <c r="D3107" s="4">
        <f t="shared" si="49"/>
        <v>2.8891382453502064</v>
      </c>
    </row>
    <row r="3108" spans="1:4">
      <c r="A3108" s="2">
        <f>+Get_Data!A3107</f>
        <v>43952</v>
      </c>
      <c r="B3108">
        <f>+ROUND(Get_Data!B3107,5)</f>
        <v>128.21566999999999</v>
      </c>
      <c r="C3108">
        <f>+ROUND(Get_Data!C3107,5)</f>
        <v>44.826599999999999</v>
      </c>
      <c r="D3108" s="4">
        <f t="shared" si="49"/>
        <v>2.8602586410747191</v>
      </c>
    </row>
    <row r="3109" spans="1:4">
      <c r="A3109" s="2">
        <f>+Get_Data!A3108</f>
        <v>43955</v>
      </c>
      <c r="B3109">
        <f>+ROUND(Get_Data!B3108,5)</f>
        <v>128.98412999999999</v>
      </c>
      <c r="C3109">
        <f>+ROUND(Get_Data!C3108,5)</f>
        <v>44.374400000000001</v>
      </c>
      <c r="D3109" s="4">
        <f t="shared" si="49"/>
        <v>2.9067239219009156</v>
      </c>
    </row>
    <row r="3110" spans="1:4">
      <c r="A3110" s="2">
        <f>+Get_Data!A3109</f>
        <v>43956</v>
      </c>
      <c r="B3110">
        <f>+ROUND(Get_Data!B3109,5)</f>
        <v>129.72305</v>
      </c>
      <c r="C3110">
        <f>+ROUND(Get_Data!C3109,5)</f>
        <v>44.629989999999999</v>
      </c>
      <c r="D3110" s="4">
        <f t="shared" si="49"/>
        <v>2.9066340817015646</v>
      </c>
    </row>
    <row r="3111" spans="1:4">
      <c r="A3111" s="2">
        <f>+Get_Data!A3110</f>
        <v>43957</v>
      </c>
      <c r="B3111">
        <f>+ROUND(Get_Data!B3110,5)</f>
        <v>128.84621999999999</v>
      </c>
      <c r="C3111">
        <f>+ROUND(Get_Data!C3110,5)</f>
        <v>43.991010000000003</v>
      </c>
      <c r="D3111" s="4">
        <f t="shared" si="49"/>
        <v>2.9289216137569922</v>
      </c>
    </row>
    <row r="3112" spans="1:4">
      <c r="A3112" s="2">
        <f>+Get_Data!A3111</f>
        <v>43958</v>
      </c>
      <c r="B3112">
        <f>+ROUND(Get_Data!B3111,5)</f>
        <v>129.60484</v>
      </c>
      <c r="C3112">
        <f>+ROUND(Get_Data!C3111,5)</f>
        <v>43.843559999999997</v>
      </c>
      <c r="D3112" s="4">
        <f t="shared" si="49"/>
        <v>2.9560747348071188</v>
      </c>
    </row>
    <row r="3113" spans="1:4">
      <c r="A3113" s="2">
        <f>+Get_Data!A3112</f>
        <v>43959</v>
      </c>
      <c r="B3113">
        <f>+ROUND(Get_Data!B3112,5)</f>
        <v>132.24520999999999</v>
      </c>
      <c r="C3113">
        <f>+ROUND(Get_Data!C3112,5)</f>
        <v>45.327950000000001</v>
      </c>
      <c r="D3113" s="4">
        <f t="shared" si="49"/>
        <v>2.9175202055244056</v>
      </c>
    </row>
    <row r="3114" spans="1:4">
      <c r="A3114" s="2">
        <f>+Get_Data!A3113</f>
        <v>43962</v>
      </c>
      <c r="B3114">
        <f>+ROUND(Get_Data!B3113,5)</f>
        <v>132.39296999999999</v>
      </c>
      <c r="C3114">
        <f>+ROUND(Get_Data!C3113,5)</f>
        <v>44.767620000000001</v>
      </c>
      <c r="D3114" s="4">
        <f t="shared" si="49"/>
        <v>2.9573376918406651</v>
      </c>
    </row>
    <row r="3115" spans="1:4">
      <c r="A3115" s="2">
        <f>+Get_Data!A3114</f>
        <v>43963</v>
      </c>
      <c r="B3115">
        <f>+ROUND(Get_Data!B3114,5)</f>
        <v>130.97426999999999</v>
      </c>
      <c r="C3115">
        <f>+ROUND(Get_Data!C3114,5)</f>
        <v>44.059829999999998</v>
      </c>
      <c r="D3115" s="4">
        <f t="shared" si="49"/>
        <v>2.9726458318155107</v>
      </c>
    </row>
    <row r="3116" spans="1:4">
      <c r="A3116" s="2">
        <f>+Get_Data!A3115</f>
        <v>43964</v>
      </c>
      <c r="B3116">
        <f>+ROUND(Get_Data!B3115,5)</f>
        <v>130.99399</v>
      </c>
      <c r="C3116">
        <f>+ROUND(Get_Data!C3115,5)</f>
        <v>43.194749999999999</v>
      </c>
      <c r="D3116" s="4">
        <f t="shared" si="49"/>
        <v>3.0326368366526024</v>
      </c>
    </row>
    <row r="3117" spans="1:4">
      <c r="A3117" s="2">
        <f>+Get_Data!A3116</f>
        <v>43965</v>
      </c>
      <c r="B3117">
        <f>+ROUND(Get_Data!B3116,5)</f>
        <v>131.11221</v>
      </c>
      <c r="C3117">
        <f>+ROUND(Get_Data!C3116,5)</f>
        <v>42.958820000000003</v>
      </c>
      <c r="D3117" s="4">
        <f t="shared" si="49"/>
        <v>3.0520440272800786</v>
      </c>
    </row>
    <row r="3118" spans="1:4">
      <c r="A3118" s="2">
        <f>+Get_Data!A3117</f>
        <v>43966</v>
      </c>
      <c r="B3118">
        <f>+ROUND(Get_Data!B3117,5)</f>
        <v>133.93977000000001</v>
      </c>
      <c r="C3118">
        <f>+ROUND(Get_Data!C3117,5)</f>
        <v>42.526290000000003</v>
      </c>
      <c r="D3118" s="4">
        <f t="shared" si="49"/>
        <v>3.1495757095199228</v>
      </c>
    </row>
    <row r="3119" spans="1:4">
      <c r="A3119" s="2">
        <f>+Get_Data!A3118</f>
        <v>43969</v>
      </c>
      <c r="B3119">
        <f>+ROUND(Get_Data!B3118,5)</f>
        <v>133.51613</v>
      </c>
      <c r="C3119">
        <f>+ROUND(Get_Data!C3118,5)</f>
        <v>44.207279999999997</v>
      </c>
      <c r="D3119" s="4">
        <f t="shared" si="49"/>
        <v>3.0202294735165793</v>
      </c>
    </row>
    <row r="3120" spans="1:4">
      <c r="A3120" s="2">
        <f>+Get_Data!A3119</f>
        <v>43970</v>
      </c>
      <c r="B3120">
        <f>+ROUND(Get_Data!B3119,5)</f>
        <v>129.78215</v>
      </c>
      <c r="C3120">
        <f>+ROUND(Get_Data!C3119,5)</f>
        <v>43.784579999999998</v>
      </c>
      <c r="D3120" s="4">
        <f t="shared" si="49"/>
        <v>2.9641063132271683</v>
      </c>
    </row>
    <row r="3121" spans="1:4">
      <c r="A3121" s="2">
        <f>+Get_Data!A3120</f>
        <v>43971</v>
      </c>
      <c r="B3121">
        <f>+ROUND(Get_Data!B3120,5)</f>
        <v>129.31910999999999</v>
      </c>
      <c r="C3121">
        <f>+ROUND(Get_Data!C3120,5)</f>
        <v>45.11168</v>
      </c>
      <c r="D3121" s="4">
        <f t="shared" si="49"/>
        <v>2.866643627548342</v>
      </c>
    </row>
    <row r="3122" spans="1:4">
      <c r="A3122" s="2">
        <f>+Get_Data!A3121</f>
        <v>43972</v>
      </c>
      <c r="B3122">
        <f>+ROUND(Get_Data!B3121,5)</f>
        <v>128.28464</v>
      </c>
      <c r="C3122">
        <f>+ROUND(Get_Data!C3121,5)</f>
        <v>44.403889999999997</v>
      </c>
      <c r="D3122" s="4">
        <f t="shared" si="49"/>
        <v>2.8890405773007726</v>
      </c>
    </row>
    <row r="3123" spans="1:4">
      <c r="A3123" s="2">
        <f>+Get_Data!A3122</f>
        <v>43973</v>
      </c>
      <c r="B3123">
        <f>+ROUND(Get_Data!B3122,5)</f>
        <v>128.55063999999999</v>
      </c>
      <c r="C3123">
        <f>+ROUND(Get_Data!C3122,5)</f>
        <v>44.266260000000003</v>
      </c>
      <c r="D3123" s="4">
        <f t="shared" si="49"/>
        <v>2.9040321002948968</v>
      </c>
    </row>
    <row r="3124" spans="1:4">
      <c r="A3124" s="2">
        <f>+Get_Data!A3123</f>
        <v>43977</v>
      </c>
      <c r="B3124">
        <f>+ROUND(Get_Data!B3123,5)</f>
        <v>127.83144</v>
      </c>
      <c r="C3124">
        <f>+ROUND(Get_Data!C3123,5)</f>
        <v>45.30829</v>
      </c>
      <c r="D3124" s="4">
        <f t="shared" si="49"/>
        <v>2.8213697758180678</v>
      </c>
    </row>
    <row r="3125" spans="1:4">
      <c r="A3125" s="2">
        <f>+Get_Data!A3124</f>
        <v>43978</v>
      </c>
      <c r="B3125">
        <f>+ROUND(Get_Data!B3124,5)</f>
        <v>128.87577999999999</v>
      </c>
      <c r="C3125">
        <f>+ROUND(Get_Data!C3124,5)</f>
        <v>45.937429999999999</v>
      </c>
      <c r="D3125" s="4">
        <f t="shared" si="49"/>
        <v>2.8054634314544806</v>
      </c>
    </row>
    <row r="3126" spans="1:4">
      <c r="A3126" s="2">
        <f>+Get_Data!A3125</f>
        <v>43979</v>
      </c>
      <c r="B3126">
        <f>+ROUND(Get_Data!B3125,5)</f>
        <v>130.33387999999999</v>
      </c>
      <c r="C3126">
        <f>+ROUND(Get_Data!C3125,5)</f>
        <v>46.291319999999999</v>
      </c>
      <c r="D3126" s="4">
        <f t="shared" si="49"/>
        <v>2.8155144420163434</v>
      </c>
    </row>
    <row r="3127" spans="1:4">
      <c r="A3127" s="2">
        <f>+Get_Data!A3126</f>
        <v>43980</v>
      </c>
      <c r="B3127">
        <f>+ROUND(Get_Data!B3126,5)</f>
        <v>129.60484</v>
      </c>
      <c r="C3127">
        <f>+ROUND(Get_Data!C3126,5)</f>
        <v>45.888280000000002</v>
      </c>
      <c r="D3127" s="4">
        <f t="shared" si="49"/>
        <v>2.8243560229322169</v>
      </c>
    </row>
    <row r="3128" spans="1:4">
      <c r="A3128" s="2">
        <f>+Get_Data!A3127</f>
        <v>43983</v>
      </c>
      <c r="B3128">
        <f>+ROUND(Get_Data!B3127,5)</f>
        <v>131.02354</v>
      </c>
      <c r="C3128">
        <f>+ROUND(Get_Data!C3127,5)</f>
        <v>46.193019999999997</v>
      </c>
      <c r="D3128" s="4">
        <f t="shared" si="49"/>
        <v>2.83643589442734</v>
      </c>
    </row>
    <row r="3129" spans="1:4">
      <c r="A3129" s="2">
        <f>+Get_Data!A3128</f>
        <v>43984</v>
      </c>
      <c r="B3129">
        <f>+ROUND(Get_Data!B3128,5)</f>
        <v>130.66884999999999</v>
      </c>
      <c r="C3129">
        <f>+ROUND(Get_Data!C3128,5)</f>
        <v>46.104550000000003</v>
      </c>
      <c r="D3129" s="4">
        <f t="shared" si="49"/>
        <v>2.8341855630301125</v>
      </c>
    </row>
    <row r="3130" spans="1:4">
      <c r="A3130" s="2">
        <f>+Get_Data!A3129</f>
        <v>43985</v>
      </c>
      <c r="B3130">
        <f>+ROUND(Get_Data!B3129,5)</f>
        <v>130.85605000000001</v>
      </c>
      <c r="C3130">
        <f>+ROUND(Get_Data!C3129,5)</f>
        <v>47.087589999999999</v>
      </c>
      <c r="D3130" s="4">
        <f t="shared" si="49"/>
        <v>2.7789922992448757</v>
      </c>
    </row>
    <row r="3131" spans="1:4">
      <c r="A3131" s="2">
        <f>+Get_Data!A3130</f>
        <v>43986</v>
      </c>
      <c r="B3131">
        <f>+ROUND(Get_Data!B3130,5)</f>
        <v>129.63782</v>
      </c>
      <c r="C3131">
        <f>+ROUND(Get_Data!C3130,5)</f>
        <v>47.107250000000001</v>
      </c>
      <c r="D3131" s="4">
        <f t="shared" si="49"/>
        <v>2.7519717240976709</v>
      </c>
    </row>
    <row r="3132" spans="1:4">
      <c r="A3132" s="2">
        <f>+Get_Data!A3131</f>
        <v>43987</v>
      </c>
      <c r="B3132">
        <f>+ROUND(Get_Data!B3131,5)</f>
        <v>131.49446</v>
      </c>
      <c r="C3132">
        <f>+ROUND(Get_Data!C3131,5)</f>
        <v>48.257399999999997</v>
      </c>
      <c r="D3132" s="4">
        <f t="shared" si="49"/>
        <v>2.7248558770261142</v>
      </c>
    </row>
    <row r="3133" spans="1:4">
      <c r="A3133" s="2">
        <f>+Get_Data!A3132</f>
        <v>43990</v>
      </c>
      <c r="B3133">
        <f>+ROUND(Get_Data!B3132,5)</f>
        <v>131.26611</v>
      </c>
      <c r="C3133">
        <f>+ROUND(Get_Data!C3132,5)</f>
        <v>49.004519999999999</v>
      </c>
      <c r="D3133" s="4">
        <f t="shared" si="49"/>
        <v>2.6786531119986483</v>
      </c>
    </row>
    <row r="3134" spans="1:4">
      <c r="A3134" s="2">
        <f>+Get_Data!A3133</f>
        <v>43991</v>
      </c>
      <c r="B3134">
        <f>+ROUND(Get_Data!B3133,5)</f>
        <v>132.02068</v>
      </c>
      <c r="C3134">
        <f>+ROUND(Get_Data!C3133,5)</f>
        <v>48.168930000000003</v>
      </c>
      <c r="D3134" s="4">
        <f t="shared" si="49"/>
        <v>2.740784983183143</v>
      </c>
    </row>
    <row r="3135" spans="1:4">
      <c r="A3135" s="2">
        <f>+Get_Data!A3134</f>
        <v>43992</v>
      </c>
      <c r="B3135">
        <f>+ROUND(Get_Data!B3134,5)</f>
        <v>133.17239000000001</v>
      </c>
      <c r="C3135">
        <f>+ROUND(Get_Data!C3134,5)</f>
        <v>47.795380000000002</v>
      </c>
      <c r="D3135" s="4">
        <f t="shared" si="49"/>
        <v>2.7863025673192681</v>
      </c>
    </row>
    <row r="3136" spans="1:4">
      <c r="A3136" s="2">
        <f>+Get_Data!A3135</f>
        <v>43993</v>
      </c>
      <c r="B3136">
        <f>+ROUND(Get_Data!B3135,5)</f>
        <v>126.9273</v>
      </c>
      <c r="C3136">
        <f>+ROUND(Get_Data!C3135,5)</f>
        <v>44.767620000000001</v>
      </c>
      <c r="D3136" s="4">
        <f t="shared" si="49"/>
        <v>2.8352478867538635</v>
      </c>
    </row>
    <row r="3137" spans="1:4">
      <c r="A3137" s="2">
        <f>+Get_Data!A3136</f>
        <v>43994</v>
      </c>
      <c r="B3137">
        <f>+ROUND(Get_Data!B3136,5)</f>
        <v>128.07902999999999</v>
      </c>
      <c r="C3137">
        <f>+ROUND(Get_Data!C3136,5)</f>
        <v>45.233840000000001</v>
      </c>
      <c r="D3137" s="4">
        <f t="shared" si="49"/>
        <v>2.8314870017668183</v>
      </c>
    </row>
    <row r="3138" spans="1:4">
      <c r="A3138" s="2">
        <f>+Get_Data!A3137</f>
        <v>43997</v>
      </c>
      <c r="B3138">
        <f>+ROUND(Get_Data!B3137,5)</f>
        <v>129.54845</v>
      </c>
      <c r="C3138">
        <f>+ROUND(Get_Data!C3137,5)</f>
        <v>45.928220000000003</v>
      </c>
      <c r="D3138" s="4">
        <f t="shared" si="49"/>
        <v>2.82067212707133</v>
      </c>
    </row>
    <row r="3139" spans="1:4">
      <c r="A3139" s="2">
        <f>+Get_Data!A3138</f>
        <v>43998</v>
      </c>
      <c r="B3139">
        <f>+ROUND(Get_Data!B3138,5)</f>
        <v>130.72995</v>
      </c>
      <c r="C3139">
        <f>+ROUND(Get_Data!C3138,5)</f>
        <v>46.394449999999999</v>
      </c>
      <c r="D3139" s="4">
        <f t="shared" si="49"/>
        <v>2.8177928609995377</v>
      </c>
    </row>
    <row r="3140" spans="1:4">
      <c r="A3140" s="2">
        <f>+Get_Data!A3139</f>
        <v>43999</v>
      </c>
      <c r="B3140">
        <f>+ROUND(Get_Data!B3139,5)</f>
        <v>130.81931</v>
      </c>
      <c r="C3140">
        <f>+ROUND(Get_Data!C3139,5)</f>
        <v>46.205970000000001</v>
      </c>
      <c r="D3140" s="4">
        <f t="shared" ref="D3140:D3203" si="50">IFERROR(B3140/C3140,"")</f>
        <v>2.8312209439602718</v>
      </c>
    </row>
    <row r="3141" spans="1:4">
      <c r="A3141" s="2">
        <f>+Get_Data!A3140</f>
        <v>44000</v>
      </c>
      <c r="B3141">
        <f>+ROUND(Get_Data!B3140,5)</f>
        <v>131.83203</v>
      </c>
      <c r="C3141">
        <f>+ROUND(Get_Data!C3140,5)</f>
        <v>46.612679999999997</v>
      </c>
      <c r="D3141" s="4">
        <f t="shared" si="50"/>
        <v>2.8282439456388264</v>
      </c>
    </row>
    <row r="3142" spans="1:4">
      <c r="A3142" s="2">
        <f>+Get_Data!A3141</f>
        <v>44001</v>
      </c>
      <c r="B3142">
        <f>+ROUND(Get_Data!B3141,5)</f>
        <v>130.34273999999999</v>
      </c>
      <c r="C3142">
        <f>+ROUND(Get_Data!C3141,5)</f>
        <v>45.650469999999999</v>
      </c>
      <c r="D3142" s="4">
        <f t="shared" si="50"/>
        <v>2.8552332538964</v>
      </c>
    </row>
    <row r="3143" spans="1:4">
      <c r="A3143" s="2">
        <f>+Get_Data!A3142</f>
        <v>44004</v>
      </c>
      <c r="B3143">
        <f>+ROUND(Get_Data!B3142,5)</f>
        <v>130.11438000000001</v>
      </c>
      <c r="C3143">
        <f>+ROUND(Get_Data!C3142,5)</f>
        <v>45.372720000000001</v>
      </c>
      <c r="D3143" s="4">
        <f t="shared" si="50"/>
        <v>2.8676786403812691</v>
      </c>
    </row>
    <row r="3144" spans="1:4">
      <c r="A3144" s="2">
        <f>+Get_Data!A3143</f>
        <v>44005</v>
      </c>
      <c r="B3144">
        <f>+ROUND(Get_Data!B3143,5)</f>
        <v>130.42215999999999</v>
      </c>
      <c r="C3144">
        <f>+ROUND(Get_Data!C3143,5)</f>
        <v>45.273519999999998</v>
      </c>
      <c r="D3144" s="4">
        <f t="shared" si="50"/>
        <v>2.8807603208232981</v>
      </c>
    </row>
    <row r="3145" spans="1:4">
      <c r="A3145" s="2">
        <f>+Get_Data!A3144</f>
        <v>44006</v>
      </c>
      <c r="B3145">
        <f>+ROUND(Get_Data!B3144,5)</f>
        <v>128.63503</v>
      </c>
      <c r="C3145">
        <f>+ROUND(Get_Data!C3144,5)</f>
        <v>44.291469999999997</v>
      </c>
      <c r="D3145" s="4">
        <f t="shared" si="50"/>
        <v>2.9042845044429551</v>
      </c>
    </row>
    <row r="3146" spans="1:4">
      <c r="A3146" s="2">
        <f>+Get_Data!A3145</f>
        <v>44007</v>
      </c>
      <c r="B3146">
        <f>+ROUND(Get_Data!B3145,5)</f>
        <v>130.47182000000001</v>
      </c>
      <c r="C3146">
        <f>+ROUND(Get_Data!C3145,5)</f>
        <v>44.569220000000001</v>
      </c>
      <c r="D3146" s="4">
        <f t="shared" si="50"/>
        <v>2.9273974280905075</v>
      </c>
    </row>
    <row r="3147" spans="1:4">
      <c r="A3147" s="2">
        <f>+Get_Data!A3146</f>
        <v>44008</v>
      </c>
      <c r="B3147">
        <f>+ROUND(Get_Data!B3146,5)</f>
        <v>128.00951000000001</v>
      </c>
      <c r="C3147">
        <f>+ROUND(Get_Data!C3146,5)</f>
        <v>43.220140000000001</v>
      </c>
      <c r="D3147" s="4">
        <f t="shared" si="50"/>
        <v>2.961802298650583</v>
      </c>
    </row>
    <row r="3148" spans="1:4">
      <c r="A3148" s="2">
        <f>+Get_Data!A3147</f>
        <v>44011</v>
      </c>
      <c r="B3148">
        <f>+ROUND(Get_Data!B3147,5)</f>
        <v>130.14417</v>
      </c>
      <c r="C3148">
        <f>+ROUND(Get_Data!C3147,5)</f>
        <v>44.003799999999998</v>
      </c>
      <c r="D3148" s="4">
        <f t="shared" si="50"/>
        <v>2.9575666192465198</v>
      </c>
    </row>
    <row r="3149" spans="1:4">
      <c r="A3149" s="2">
        <f>+Get_Data!A3148</f>
        <v>44012</v>
      </c>
      <c r="B3149">
        <f>+ROUND(Get_Data!B3148,5)</f>
        <v>131.31573</v>
      </c>
      <c r="C3149">
        <f>+ROUND(Get_Data!C3148,5)</f>
        <v>44.32123</v>
      </c>
      <c r="D3149" s="4">
        <f t="shared" si="50"/>
        <v>2.9628178189098091</v>
      </c>
    </row>
    <row r="3150" spans="1:4">
      <c r="A3150" s="2">
        <f>+Get_Data!A3149</f>
        <v>44013</v>
      </c>
      <c r="B3150">
        <f>+ROUND(Get_Data!B3149,5)</f>
        <v>131.41504</v>
      </c>
      <c r="C3150">
        <f>+ROUND(Get_Data!C3149,5)</f>
        <v>44.46011</v>
      </c>
      <c r="D3150" s="4">
        <f t="shared" si="50"/>
        <v>2.9557965556090617</v>
      </c>
    </row>
    <row r="3151" spans="1:4">
      <c r="A3151" s="2">
        <f>+Get_Data!A3150</f>
        <v>44014</v>
      </c>
      <c r="B3151">
        <f>+ROUND(Get_Data!B3150,5)</f>
        <v>131.90154000000001</v>
      </c>
      <c r="C3151">
        <f>+ROUND(Get_Data!C3150,5)</f>
        <v>44.519629999999999</v>
      </c>
      <c r="D3151" s="4">
        <f t="shared" si="50"/>
        <v>2.9627726016590885</v>
      </c>
    </row>
    <row r="3152" spans="1:4">
      <c r="A3152" s="2">
        <f>+Get_Data!A3151</f>
        <v>44018</v>
      </c>
      <c r="B3152">
        <f>+ROUND(Get_Data!B3151,5)</f>
        <v>132.34833</v>
      </c>
      <c r="C3152">
        <f>+ROUND(Get_Data!C3151,5)</f>
        <v>44.866810000000001</v>
      </c>
      <c r="D3152" s="4">
        <f t="shared" si="50"/>
        <v>2.9498047665969565</v>
      </c>
    </row>
    <row r="3153" spans="1:4">
      <c r="A3153" s="2">
        <f>+Get_Data!A3152</f>
        <v>44019</v>
      </c>
      <c r="B3153">
        <f>+ROUND(Get_Data!B3152,5)</f>
        <v>132.61639</v>
      </c>
      <c r="C3153">
        <f>+ROUND(Get_Data!C3152,5)</f>
        <v>44.846969999999999</v>
      </c>
      <c r="D3153" s="4">
        <f t="shared" si="50"/>
        <v>2.9570869559303561</v>
      </c>
    </row>
    <row r="3154" spans="1:4">
      <c r="A3154" s="2">
        <f>+Get_Data!A3153</f>
        <v>44020</v>
      </c>
      <c r="B3154">
        <f>+ROUND(Get_Data!B3153,5)</f>
        <v>133.26175000000001</v>
      </c>
      <c r="C3154">
        <f>+ROUND(Get_Data!C3153,5)</f>
        <v>44.708100000000002</v>
      </c>
      <c r="D3154" s="4">
        <f t="shared" si="50"/>
        <v>2.9807070754516518</v>
      </c>
    </row>
    <row r="3155" spans="1:4">
      <c r="A3155" s="2">
        <f>+Get_Data!A3154</f>
        <v>44021</v>
      </c>
      <c r="B3155">
        <f>+ROUND(Get_Data!B3154,5)</f>
        <v>131.76254</v>
      </c>
      <c r="C3155">
        <f>+ROUND(Get_Data!C3154,5)</f>
        <v>43.55742</v>
      </c>
      <c r="D3155" s="4">
        <f t="shared" si="50"/>
        <v>3.0250308673011395</v>
      </c>
    </row>
    <row r="3156" spans="1:4">
      <c r="A3156" s="2">
        <f>+Get_Data!A3155</f>
        <v>44022</v>
      </c>
      <c r="B3156">
        <f>+ROUND(Get_Data!B3155,5)</f>
        <v>133.50004999999999</v>
      </c>
      <c r="C3156">
        <f>+ROUND(Get_Data!C3155,5)</f>
        <v>44.787460000000003</v>
      </c>
      <c r="D3156" s="4">
        <f t="shared" si="50"/>
        <v>2.9807461731475726</v>
      </c>
    </row>
    <row r="3157" spans="1:4">
      <c r="A3157" s="2">
        <f>+Get_Data!A3156</f>
        <v>44025</v>
      </c>
      <c r="B3157">
        <f>+ROUND(Get_Data!B3156,5)</f>
        <v>133.94682</v>
      </c>
      <c r="C3157">
        <f>+ROUND(Get_Data!C3156,5)</f>
        <v>44.886650000000003</v>
      </c>
      <c r="D3157" s="4">
        <f t="shared" si="50"/>
        <v>2.9841126481927254</v>
      </c>
    </row>
    <row r="3158" spans="1:4">
      <c r="A3158" s="2">
        <f>+Get_Data!A3157</f>
        <v>44026</v>
      </c>
      <c r="B3158">
        <f>+ROUND(Get_Data!B3157,5)</f>
        <v>134.55247</v>
      </c>
      <c r="C3158">
        <f>+ROUND(Get_Data!C3157,5)</f>
        <v>45.501669999999997</v>
      </c>
      <c r="D3158" s="4">
        <f t="shared" si="50"/>
        <v>2.9570886079565875</v>
      </c>
    </row>
    <row r="3159" spans="1:4">
      <c r="A3159" s="2">
        <f>+Get_Data!A3158</f>
        <v>44027</v>
      </c>
      <c r="B3159">
        <f>+ROUND(Get_Data!B3158,5)</f>
        <v>132.73553000000001</v>
      </c>
      <c r="C3159">
        <f>+ROUND(Get_Data!C3158,5)</f>
        <v>46.027419999999999</v>
      </c>
      <c r="D3159" s="4">
        <f t="shared" si="50"/>
        <v>2.8838359829857945</v>
      </c>
    </row>
    <row r="3160" spans="1:4">
      <c r="A3160" s="2">
        <f>+Get_Data!A3159</f>
        <v>44028</v>
      </c>
      <c r="B3160">
        <f>+ROUND(Get_Data!B3159,5)</f>
        <v>132.92418000000001</v>
      </c>
      <c r="C3160">
        <f>+ROUND(Get_Data!C3159,5)</f>
        <v>45.779429999999998</v>
      </c>
      <c r="D3160" s="4">
        <f t="shared" si="50"/>
        <v>2.9035787470486203</v>
      </c>
    </row>
    <row r="3161" spans="1:4">
      <c r="A3161" s="2">
        <f>+Get_Data!A3160</f>
        <v>44029</v>
      </c>
      <c r="B3161">
        <f>+ROUND(Get_Data!B3160,5)</f>
        <v>133.69861</v>
      </c>
      <c r="C3161">
        <f>+ROUND(Get_Data!C3160,5)</f>
        <v>46.444049999999997</v>
      </c>
      <c r="D3161" s="4">
        <f t="shared" si="50"/>
        <v>2.8787026540536411</v>
      </c>
    </row>
    <row r="3162" spans="1:4">
      <c r="A3162" s="2">
        <f>+Get_Data!A3161</f>
        <v>44032</v>
      </c>
      <c r="B3162">
        <f>+ROUND(Get_Data!B3161,5)</f>
        <v>132.15968000000001</v>
      </c>
      <c r="C3162">
        <f>+ROUND(Get_Data!C3161,5)</f>
        <v>45.749670000000002</v>
      </c>
      <c r="D3162" s="4">
        <f t="shared" si="50"/>
        <v>2.888757011799211</v>
      </c>
    </row>
    <row r="3163" spans="1:4">
      <c r="A3163" s="2">
        <f>+Get_Data!A3162</f>
        <v>44033</v>
      </c>
      <c r="B3163">
        <f>+ROUND(Get_Data!B3162,5)</f>
        <v>133.47024999999999</v>
      </c>
      <c r="C3163">
        <f>+ROUND(Get_Data!C3162,5)</f>
        <v>46.820999999999998</v>
      </c>
      <c r="D3163" s="4">
        <f t="shared" si="50"/>
        <v>2.850649281305397</v>
      </c>
    </row>
    <row r="3164" spans="1:4">
      <c r="A3164" s="2">
        <f>+Get_Data!A3163</f>
        <v>44034</v>
      </c>
      <c r="B3164">
        <f>+ROUND(Get_Data!B3163,5)</f>
        <v>135.03897000000001</v>
      </c>
      <c r="C3164">
        <f>+ROUND(Get_Data!C3163,5)</f>
        <v>48.090719999999997</v>
      </c>
      <c r="D3164" s="4">
        <f t="shared" si="50"/>
        <v>2.8080047460300035</v>
      </c>
    </row>
    <row r="3165" spans="1:4">
      <c r="A3165" s="2">
        <f>+Get_Data!A3164</f>
        <v>44035</v>
      </c>
      <c r="B3165">
        <f>+ROUND(Get_Data!B3164,5)</f>
        <v>136.10132999999999</v>
      </c>
      <c r="C3165">
        <f>+ROUND(Get_Data!C3164,5)</f>
        <v>47.892319999999998</v>
      </c>
      <c r="D3165" s="4">
        <f t="shared" si="50"/>
        <v>2.8418195234643049</v>
      </c>
    </row>
    <row r="3166" spans="1:4">
      <c r="A3166" s="2">
        <f>+Get_Data!A3165</f>
        <v>44036</v>
      </c>
      <c r="B3166">
        <f>+ROUND(Get_Data!B3165,5)</f>
        <v>135.08860999999999</v>
      </c>
      <c r="C3166">
        <f>+ROUND(Get_Data!C3165,5)</f>
        <v>48.100639999999999</v>
      </c>
      <c r="D3166" s="4">
        <f t="shared" si="50"/>
        <v>2.8084576421436385</v>
      </c>
    </row>
    <row r="3167" spans="1:4">
      <c r="A3167" s="2">
        <f>+Get_Data!A3166</f>
        <v>44039</v>
      </c>
      <c r="B3167">
        <f>+ROUND(Get_Data!B3166,5)</f>
        <v>136.68711999999999</v>
      </c>
      <c r="C3167">
        <f>+ROUND(Get_Data!C3166,5)</f>
        <v>48.090719999999997</v>
      </c>
      <c r="D3167" s="4">
        <f t="shared" si="50"/>
        <v>2.8422764308789721</v>
      </c>
    </row>
    <row r="3168" spans="1:4">
      <c r="A3168" s="2">
        <f>+Get_Data!A3167</f>
        <v>44040</v>
      </c>
      <c r="B3168">
        <f>+ROUND(Get_Data!B3167,5)</f>
        <v>136.39920000000001</v>
      </c>
      <c r="C3168">
        <f>+ROUND(Get_Data!C3167,5)</f>
        <v>47.793129999999998</v>
      </c>
      <c r="D3168" s="4">
        <f t="shared" si="50"/>
        <v>2.8539499296237767</v>
      </c>
    </row>
    <row r="3169" spans="1:4">
      <c r="A3169" s="2">
        <f>+Get_Data!A3168</f>
        <v>44041</v>
      </c>
      <c r="B3169">
        <f>+ROUND(Get_Data!B3168,5)</f>
        <v>136.94524999999999</v>
      </c>
      <c r="C3169">
        <f>+ROUND(Get_Data!C3168,5)</f>
        <v>47.634410000000003</v>
      </c>
      <c r="D3169" s="4">
        <f t="shared" si="50"/>
        <v>2.874922771164794</v>
      </c>
    </row>
    <row r="3170" spans="1:4">
      <c r="A3170" s="2">
        <f>+Get_Data!A3169</f>
        <v>44042</v>
      </c>
      <c r="B3170">
        <f>+ROUND(Get_Data!B3169,5)</f>
        <v>136.70698999999999</v>
      </c>
      <c r="C3170">
        <f>+ROUND(Get_Data!C3169,5)</f>
        <v>47.30706</v>
      </c>
      <c r="D3170" s="4">
        <f t="shared" si="50"/>
        <v>2.8897798764074536</v>
      </c>
    </row>
    <row r="3171" spans="1:4">
      <c r="A3171" s="2">
        <f>+Get_Data!A3170</f>
        <v>44043</v>
      </c>
      <c r="B3171">
        <f>+ROUND(Get_Data!B3170,5)</f>
        <v>136.6772</v>
      </c>
      <c r="C3171">
        <f>+ROUND(Get_Data!C3170,5)</f>
        <v>46.860680000000002</v>
      </c>
      <c r="D3171" s="4">
        <f t="shared" si="50"/>
        <v>2.9166712903013785</v>
      </c>
    </row>
    <row r="3172" spans="1:4">
      <c r="A3172" s="2">
        <f>+Get_Data!A3171</f>
        <v>44046</v>
      </c>
      <c r="B3172">
        <f>+ROUND(Get_Data!B3171,5)</f>
        <v>135.72404</v>
      </c>
      <c r="C3172">
        <f>+ROUND(Get_Data!C3171,5)</f>
        <v>45.928220000000003</v>
      </c>
      <c r="D3172" s="4">
        <f t="shared" si="50"/>
        <v>2.9551339024242611</v>
      </c>
    </row>
    <row r="3173" spans="1:4">
      <c r="A3173" s="2">
        <f>+Get_Data!A3172</f>
        <v>44047</v>
      </c>
      <c r="B3173">
        <f>+ROUND(Get_Data!B3172,5)</f>
        <v>136.48856000000001</v>
      </c>
      <c r="C3173">
        <f>+ROUND(Get_Data!C3172,5)</f>
        <v>46.315089999999998</v>
      </c>
      <c r="D3173" s="4">
        <f t="shared" si="50"/>
        <v>2.9469565966513294</v>
      </c>
    </row>
    <row r="3174" spans="1:4">
      <c r="A3174" s="2">
        <f>+Get_Data!A3173</f>
        <v>44048</v>
      </c>
      <c r="B3174">
        <f>+ROUND(Get_Data!B3173,5)</f>
        <v>135.27725000000001</v>
      </c>
      <c r="C3174">
        <f>+ROUND(Get_Data!C3173,5)</f>
        <v>46.84084</v>
      </c>
      <c r="D3174" s="4">
        <f t="shared" si="50"/>
        <v>2.8880193011056168</v>
      </c>
    </row>
    <row r="3175" spans="1:4">
      <c r="A3175" s="2">
        <f>+Get_Data!A3174</f>
        <v>44049</v>
      </c>
      <c r="B3175">
        <f>+ROUND(Get_Data!B3174,5)</f>
        <v>134.89005</v>
      </c>
      <c r="C3175">
        <f>+ROUND(Get_Data!C3174,5)</f>
        <v>47.098750000000003</v>
      </c>
      <c r="D3175" s="4">
        <f t="shared" si="50"/>
        <v>2.8639836513707899</v>
      </c>
    </row>
    <row r="3176" spans="1:4">
      <c r="A3176" s="2">
        <f>+Get_Data!A3175</f>
        <v>44050</v>
      </c>
      <c r="B3176">
        <f>+ROUND(Get_Data!B3175,5)</f>
        <v>135.76375999999999</v>
      </c>
      <c r="C3176">
        <f>+ROUND(Get_Data!C3175,5)</f>
        <v>47.416179999999997</v>
      </c>
      <c r="D3176" s="4">
        <f t="shared" si="50"/>
        <v>2.8632369794445691</v>
      </c>
    </row>
    <row r="3177" spans="1:4">
      <c r="A3177" s="2">
        <f>+Get_Data!A3176</f>
        <v>44053</v>
      </c>
      <c r="B3177">
        <f>+ROUND(Get_Data!B3176,5)</f>
        <v>135.00918999999999</v>
      </c>
      <c r="C3177">
        <f>+ROUND(Get_Data!C3176,5)</f>
        <v>47.336820000000003</v>
      </c>
      <c r="D3177" s="4">
        <f t="shared" si="50"/>
        <v>2.8520967399162003</v>
      </c>
    </row>
    <row r="3178" spans="1:4">
      <c r="A3178" s="2">
        <f>+Get_Data!A3177</f>
        <v>44054</v>
      </c>
      <c r="B3178">
        <f>+ROUND(Get_Data!B3177,5)</f>
        <v>134.15531999999999</v>
      </c>
      <c r="C3178">
        <f>+ROUND(Get_Data!C3177,5)</f>
        <v>47.545140000000004</v>
      </c>
      <c r="D3178" s="4">
        <f t="shared" si="50"/>
        <v>2.8216410762488024</v>
      </c>
    </row>
    <row r="3179" spans="1:4">
      <c r="A3179" s="2">
        <f>+Get_Data!A3178</f>
        <v>44055</v>
      </c>
      <c r="B3179">
        <f>+ROUND(Get_Data!B3178,5)</f>
        <v>136.81619000000001</v>
      </c>
      <c r="C3179">
        <f>+ROUND(Get_Data!C3178,5)</f>
        <v>48.041119999999999</v>
      </c>
      <c r="D3179" s="4">
        <f t="shared" si="50"/>
        <v>2.8478975927288959</v>
      </c>
    </row>
    <row r="3180" spans="1:4">
      <c r="A3180" s="2">
        <f>+Get_Data!A3179</f>
        <v>44056</v>
      </c>
      <c r="B3180">
        <f>+ROUND(Get_Data!B3179,5)</f>
        <v>137.11405999999999</v>
      </c>
      <c r="C3180">
        <f>+ROUND(Get_Data!C3179,5)</f>
        <v>47.991520000000001</v>
      </c>
      <c r="D3180" s="4">
        <f t="shared" si="50"/>
        <v>2.8570476617535765</v>
      </c>
    </row>
    <row r="3181" spans="1:4">
      <c r="A3181" s="2">
        <f>+Get_Data!A3180</f>
        <v>44057</v>
      </c>
      <c r="B3181">
        <f>+ROUND(Get_Data!B3180,5)</f>
        <v>136.57791</v>
      </c>
      <c r="C3181">
        <f>+ROUND(Get_Data!C3180,5)</f>
        <v>48.060960000000001</v>
      </c>
      <c r="D3181" s="4">
        <f t="shared" si="50"/>
        <v>2.8417640846125423</v>
      </c>
    </row>
    <row r="3182" spans="1:4">
      <c r="A3182" s="2">
        <f>+Get_Data!A3181</f>
        <v>44060</v>
      </c>
      <c r="B3182">
        <f>+ROUND(Get_Data!B3181,5)</f>
        <v>136.93532999999999</v>
      </c>
      <c r="C3182">
        <f>+ROUND(Get_Data!C3181,5)</f>
        <v>47.822879999999998</v>
      </c>
      <c r="D3182" s="4">
        <f t="shared" si="50"/>
        <v>2.863385266633879</v>
      </c>
    </row>
    <row r="3183" spans="1:4">
      <c r="A3183" s="2">
        <f>+Get_Data!A3182</f>
        <v>44061</v>
      </c>
      <c r="B3183">
        <f>+ROUND(Get_Data!B3182,5)</f>
        <v>137.12397999999999</v>
      </c>
      <c r="C3183">
        <f>+ROUND(Get_Data!C3182,5)</f>
        <v>48.031199999999998</v>
      </c>
      <c r="D3183" s="4">
        <f t="shared" si="50"/>
        <v>2.85489390229684</v>
      </c>
    </row>
    <row r="3184" spans="1:4">
      <c r="A3184" s="2">
        <f>+Get_Data!A3183</f>
        <v>44062</v>
      </c>
      <c r="B3184">
        <f>+ROUND(Get_Data!B3183,5)</f>
        <v>135.47583</v>
      </c>
      <c r="C3184">
        <f>+ROUND(Get_Data!C3183,5)</f>
        <v>46.989629999999998</v>
      </c>
      <c r="D3184" s="4">
        <f t="shared" si="50"/>
        <v>2.8831005904919875</v>
      </c>
    </row>
    <row r="3185" spans="1:4">
      <c r="A3185" s="2">
        <f>+Get_Data!A3184</f>
        <v>44063</v>
      </c>
      <c r="B3185">
        <f>+ROUND(Get_Data!B3184,5)</f>
        <v>135.74391</v>
      </c>
      <c r="C3185">
        <f>+ROUND(Get_Data!C3184,5)</f>
        <v>46.969790000000003</v>
      </c>
      <c r="D3185" s="4">
        <f t="shared" si="50"/>
        <v>2.8900259081422335</v>
      </c>
    </row>
    <row r="3186" spans="1:4">
      <c r="A3186" s="2">
        <f>+Get_Data!A3185</f>
        <v>44064</v>
      </c>
      <c r="B3186">
        <f>+ROUND(Get_Data!B3185,5)</f>
        <v>135.48576</v>
      </c>
      <c r="C3186">
        <f>+ROUND(Get_Data!C3185,5)</f>
        <v>46.900350000000003</v>
      </c>
      <c r="D3186" s="4">
        <f t="shared" si="50"/>
        <v>2.8888006166265283</v>
      </c>
    </row>
    <row r="3187" spans="1:4">
      <c r="A3187" s="2">
        <f>+Get_Data!A3186</f>
        <v>44067</v>
      </c>
      <c r="B3187">
        <f>+ROUND(Get_Data!B3186,5)</f>
        <v>136.65733</v>
      </c>
      <c r="C3187">
        <f>+ROUND(Get_Data!C3186,5)</f>
        <v>47.584809999999997</v>
      </c>
      <c r="D3187" s="4">
        <f t="shared" si="50"/>
        <v>2.8718687749304874</v>
      </c>
    </row>
    <row r="3188" spans="1:4">
      <c r="A3188" s="2">
        <f>+Get_Data!A3187</f>
        <v>44068</v>
      </c>
      <c r="B3188">
        <f>+ROUND(Get_Data!B3187,5)</f>
        <v>136.31976</v>
      </c>
      <c r="C3188">
        <f>+ROUND(Get_Data!C3187,5)</f>
        <v>47.525300000000001</v>
      </c>
      <c r="D3188" s="4">
        <f t="shared" si="50"/>
        <v>2.8683619040805635</v>
      </c>
    </row>
    <row r="3189" spans="1:4">
      <c r="A3189" s="2">
        <f>+Get_Data!A3188</f>
        <v>44069</v>
      </c>
      <c r="B3189">
        <f>+ROUND(Get_Data!B3188,5)</f>
        <v>137.48141000000001</v>
      </c>
      <c r="C3189">
        <f>+ROUND(Get_Data!C3188,5)</f>
        <v>47.77328</v>
      </c>
      <c r="D3189" s="4">
        <f t="shared" si="50"/>
        <v>2.8777887974198131</v>
      </c>
    </row>
    <row r="3190" spans="1:4">
      <c r="A3190" s="2">
        <f>+Get_Data!A3189</f>
        <v>44070</v>
      </c>
      <c r="B3190">
        <f>+ROUND(Get_Data!B3189,5)</f>
        <v>137.4119</v>
      </c>
      <c r="C3190">
        <f>+ROUND(Get_Data!C3189,5)</f>
        <v>47.84272</v>
      </c>
      <c r="D3190" s="4">
        <f t="shared" si="50"/>
        <v>2.8721590244032948</v>
      </c>
    </row>
    <row r="3191" spans="1:4">
      <c r="A3191" s="2">
        <f>+Get_Data!A3190</f>
        <v>44071</v>
      </c>
      <c r="B3191">
        <f>+ROUND(Get_Data!B3190,5)</f>
        <v>138.94092000000001</v>
      </c>
      <c r="C3191">
        <f>+ROUND(Get_Data!C3190,5)</f>
        <v>49.429879999999997</v>
      </c>
      <c r="D3191" s="4">
        <f t="shared" si="50"/>
        <v>2.8108690532932714</v>
      </c>
    </row>
    <row r="3192" spans="1:4">
      <c r="A3192" s="2">
        <f>+Get_Data!A3191</f>
        <v>44074</v>
      </c>
      <c r="B3192">
        <f>+ROUND(Get_Data!B3191,5)</f>
        <v>139.06005999999999</v>
      </c>
      <c r="C3192">
        <f>+ROUND(Get_Data!C3191,5)</f>
        <v>49.132289999999998</v>
      </c>
      <c r="D3192" s="4">
        <f t="shared" si="50"/>
        <v>2.8303191241442236</v>
      </c>
    </row>
    <row r="3193" spans="1:4">
      <c r="A3193" s="2">
        <f>+Get_Data!A3192</f>
        <v>44075</v>
      </c>
      <c r="B3193">
        <f>+ROUND(Get_Data!B3192,5)</f>
        <v>138.19627</v>
      </c>
      <c r="C3193">
        <f>+ROUND(Get_Data!C3192,5)</f>
        <v>48.725580000000001</v>
      </c>
      <c r="D3193" s="4">
        <f t="shared" si="50"/>
        <v>2.8362160081008785</v>
      </c>
    </row>
    <row r="3194" spans="1:4">
      <c r="A3194" s="2">
        <f>+Get_Data!A3193</f>
        <v>44076</v>
      </c>
      <c r="B3194">
        <f>+ROUND(Get_Data!B3193,5)</f>
        <v>142.267</v>
      </c>
      <c r="C3194">
        <f>+ROUND(Get_Data!C3193,5)</f>
        <v>50.778950000000002</v>
      </c>
      <c r="D3194" s="4">
        <f t="shared" si="50"/>
        <v>2.801692433577299</v>
      </c>
    </row>
    <row r="3195" spans="1:4">
      <c r="A3195" s="2">
        <f>+Get_Data!A3194</f>
        <v>44077</v>
      </c>
      <c r="B3195">
        <f>+ROUND(Get_Data!B3194,5)</f>
        <v>139.37</v>
      </c>
      <c r="C3195">
        <f>+ROUND(Get_Data!C3194,5)</f>
        <v>50.074660000000002</v>
      </c>
      <c r="D3195" s="4">
        <f t="shared" si="50"/>
        <v>2.7832440599696535</v>
      </c>
    </row>
    <row r="3196" spans="1:4">
      <c r="A3196" s="2">
        <f>+Get_Data!A3195</f>
        <v>44078</v>
      </c>
      <c r="B3196">
        <f>+ROUND(Get_Data!B3195,5)</f>
        <v>138.75998999999999</v>
      </c>
      <c r="C3196">
        <f>+ROUND(Get_Data!C3195,5)</f>
        <v>50.630159999999997</v>
      </c>
      <c r="D3196" s="4">
        <f t="shared" si="50"/>
        <v>2.7406587298953826</v>
      </c>
    </row>
    <row r="3197" spans="1:4">
      <c r="A3197" s="2">
        <f>+Get_Data!A3196</f>
        <v>44082</v>
      </c>
      <c r="B3197">
        <f>+ROUND(Get_Data!B3196,5)</f>
        <v>135.55000000000001</v>
      </c>
      <c r="C3197">
        <f>+ROUND(Get_Data!C3196,5)</f>
        <v>49.410040000000002</v>
      </c>
      <c r="D3197" s="4">
        <f t="shared" si="50"/>
        <v>2.7433695661853341</v>
      </c>
    </row>
    <row r="3198" spans="1:4">
      <c r="A3198" s="2">
        <f>+Get_Data!A3197</f>
        <v>44083</v>
      </c>
      <c r="B3198">
        <f>+ROUND(Get_Data!B3197,5)</f>
        <v>137.11000000000001</v>
      </c>
      <c r="C3198">
        <f>+ROUND(Get_Data!C3197,5)</f>
        <v>49.78698</v>
      </c>
      <c r="D3198" s="4">
        <f t="shared" si="50"/>
        <v>2.7539328555377334</v>
      </c>
    </row>
    <row r="3199" spans="1:4">
      <c r="A3199" s="2">
        <f>+Get_Data!A3198</f>
        <v>44084</v>
      </c>
      <c r="B3199">
        <f>+ROUND(Get_Data!B3198,5)</f>
        <v>134.75998999999999</v>
      </c>
      <c r="C3199">
        <f>+ROUND(Get_Data!C3198,5)</f>
        <v>49.598509999999997</v>
      </c>
      <c r="D3199" s="4">
        <f t="shared" si="50"/>
        <v>2.7170169023222672</v>
      </c>
    </row>
    <row r="3200" spans="1:4">
      <c r="A3200" s="2">
        <f>+Get_Data!A3199</f>
        <v>44085</v>
      </c>
      <c r="B3200">
        <f>+ROUND(Get_Data!B3199,5)</f>
        <v>135.81</v>
      </c>
      <c r="C3200">
        <f>+ROUND(Get_Data!C3199,5)</f>
        <v>50.65</v>
      </c>
      <c r="D3200" s="4">
        <f t="shared" si="50"/>
        <v>2.6813425468904244</v>
      </c>
    </row>
    <row r="3201" spans="1:4">
      <c r="A3201" s="2">
        <f>+Get_Data!A3200</f>
        <v>44088</v>
      </c>
      <c r="B3201">
        <f>+ROUND(Get_Data!B3200,5)</f>
        <v>136.66999999999999</v>
      </c>
      <c r="C3201">
        <f>+ROUND(Get_Data!C3200,5)</f>
        <v>50.71</v>
      </c>
      <c r="D3201" s="4">
        <f t="shared" si="50"/>
        <v>2.6951291658450005</v>
      </c>
    </row>
    <row r="3202" spans="1:4">
      <c r="A3202" s="2">
        <f>+Get_Data!A3201</f>
        <v>44089</v>
      </c>
      <c r="B3202">
        <f>+ROUND(Get_Data!B3201,5)</f>
        <v>135.62</v>
      </c>
      <c r="C3202">
        <f>+ROUND(Get_Data!C3201,5)</f>
        <v>51.05</v>
      </c>
      <c r="D3202" s="4">
        <f t="shared" si="50"/>
        <v>2.6566111655239961</v>
      </c>
    </row>
    <row r="3203" spans="1:4">
      <c r="A3203" s="2">
        <f>+Get_Data!A3202</f>
        <v>44090</v>
      </c>
      <c r="B3203">
        <f>+ROUND(Get_Data!B3202,5)</f>
        <v>134.97999999999999</v>
      </c>
      <c r="C3203">
        <f>+ROUND(Get_Data!C3202,5)</f>
        <v>50.79</v>
      </c>
      <c r="D3203" s="4">
        <f t="shared" si="50"/>
        <v>2.6576097657019098</v>
      </c>
    </row>
    <row r="3204" spans="1:4">
      <c r="A3204" s="2">
        <f>+Get_Data!A3203</f>
        <v>44091</v>
      </c>
      <c r="B3204">
        <f>+ROUND(Get_Data!B3203,5)</f>
        <v>133.19999999999999</v>
      </c>
      <c r="C3204">
        <f>+ROUND(Get_Data!C3203,5)</f>
        <v>50.55</v>
      </c>
      <c r="D3204" s="4">
        <f t="shared" ref="D3204:D3224" si="51">IFERROR(B3204/C3204,"")</f>
        <v>2.6350148367952522</v>
      </c>
    </row>
    <row r="3205" spans="1:4">
      <c r="A3205" s="2">
        <f>+Get_Data!A3204</f>
        <v>44092</v>
      </c>
      <c r="B3205">
        <f>+ROUND(Get_Data!B3204,5)</f>
        <v>131.47</v>
      </c>
      <c r="C3205">
        <f>+ROUND(Get_Data!C3204,5)</f>
        <v>50.45</v>
      </c>
      <c r="D3205" s="4">
        <f t="shared" si="51"/>
        <v>2.6059464816650149</v>
      </c>
    </row>
    <row r="3206" spans="1:4">
      <c r="A3206" s="2">
        <f>+Get_Data!A3205</f>
        <v>44095</v>
      </c>
      <c r="B3206">
        <f>+ROUND(Get_Data!B3205,5)</f>
        <v>131.24001000000001</v>
      </c>
      <c r="C3206">
        <f>+ROUND(Get_Data!C3205,5)</f>
        <v>49.09</v>
      </c>
      <c r="D3206" s="4">
        <f t="shared" si="51"/>
        <v>2.6734571195762884</v>
      </c>
    </row>
    <row r="3207" spans="1:4">
      <c r="A3207" s="2">
        <f>+Get_Data!A3206</f>
        <v>44096</v>
      </c>
      <c r="B3207">
        <f>+ROUND(Get_Data!B3206,5)</f>
        <v>132.14999</v>
      </c>
      <c r="C3207">
        <f>+ROUND(Get_Data!C3206,5)</f>
        <v>49.66</v>
      </c>
      <c r="D3207" s="4">
        <f t="shared" si="51"/>
        <v>2.6610952476842531</v>
      </c>
    </row>
    <row r="3208" spans="1:4">
      <c r="A3208" s="2">
        <f>+Get_Data!A3207</f>
        <v>44097</v>
      </c>
      <c r="B3208">
        <f>+ROUND(Get_Data!B3207,5)</f>
        <v>131</v>
      </c>
      <c r="C3208">
        <f>+ROUND(Get_Data!C3207,5)</f>
        <v>48.21</v>
      </c>
      <c r="D3208" s="4">
        <f t="shared" si="51"/>
        <v>2.7172785729101845</v>
      </c>
    </row>
    <row r="3209" spans="1:4">
      <c r="A3209" s="2">
        <f>+Get_Data!A3208</f>
        <v>44098</v>
      </c>
      <c r="B3209">
        <f>+ROUND(Get_Data!B3208,5)</f>
        <v>131.58000000000001</v>
      </c>
      <c r="C3209">
        <f>+ROUND(Get_Data!C3208,5)</f>
        <v>48.7</v>
      </c>
      <c r="D3209" s="4">
        <f t="shared" si="51"/>
        <v>2.7018480492813142</v>
      </c>
    </row>
    <row r="3210" spans="1:4">
      <c r="A3210" s="2">
        <f>+Get_Data!A3209</f>
        <v>44099</v>
      </c>
      <c r="B3210">
        <f>+ROUND(Get_Data!B3209,5)</f>
        <v>133.55000000000001</v>
      </c>
      <c r="C3210">
        <f>+ROUND(Get_Data!C3209,5)</f>
        <v>48.72</v>
      </c>
      <c r="D3210" s="4">
        <f t="shared" si="51"/>
        <v>2.7411740558292284</v>
      </c>
    </row>
    <row r="3211" spans="1:4">
      <c r="A3211" s="2">
        <f>+Get_Data!A3210</f>
        <v>44102</v>
      </c>
      <c r="B3211">
        <f>+ROUND(Get_Data!B3210,5)</f>
        <v>137.97</v>
      </c>
      <c r="C3211">
        <f>+ROUND(Get_Data!C3210,5)</f>
        <v>49.28</v>
      </c>
      <c r="D3211" s="4">
        <f t="shared" si="51"/>
        <v>2.7997159090909092</v>
      </c>
    </row>
    <row r="3212" spans="1:4">
      <c r="A3212" s="2">
        <f>+Get_Data!A3211</f>
        <v>44103</v>
      </c>
      <c r="B3212">
        <f>+ROUND(Get_Data!B3211,5)</f>
        <v>137.16</v>
      </c>
      <c r="C3212">
        <f>+ROUND(Get_Data!C3211,5)</f>
        <v>48.92</v>
      </c>
      <c r="D3212" s="4">
        <f t="shared" si="51"/>
        <v>2.8037612428454617</v>
      </c>
    </row>
    <row r="3213" spans="1:4">
      <c r="A3213" s="2">
        <f>+Get_Data!A3212</f>
        <v>44104</v>
      </c>
      <c r="B3213">
        <f>+ROUND(Get_Data!B3212,5)</f>
        <v>138.60001</v>
      </c>
      <c r="C3213">
        <f>+ROUND(Get_Data!C3212,5)</f>
        <v>49.37</v>
      </c>
      <c r="D3213" s="4">
        <f t="shared" si="51"/>
        <v>2.8073731010735266</v>
      </c>
    </row>
    <row r="3214" spans="1:4">
      <c r="A3214" s="2">
        <f>+Get_Data!A3213</f>
        <v>44105</v>
      </c>
      <c r="B3214">
        <f>+ROUND(Get_Data!B3213,5)</f>
        <v>140.80000000000001</v>
      </c>
      <c r="C3214">
        <f>+ROUND(Get_Data!C3213,5)</f>
        <v>49.18</v>
      </c>
      <c r="D3214" s="4">
        <f t="shared" si="51"/>
        <v>2.8629524196827982</v>
      </c>
    </row>
    <row r="3215" spans="1:4">
      <c r="A3215" s="2">
        <f>+Get_Data!A3214</f>
        <v>44106</v>
      </c>
      <c r="B3215">
        <f>+ROUND(Get_Data!B3214,5)</f>
        <v>138.06</v>
      </c>
      <c r="C3215">
        <f>+ROUND(Get_Data!C3214,5)</f>
        <v>49.36</v>
      </c>
      <c r="D3215" s="4">
        <f t="shared" si="51"/>
        <v>2.7970016207455428</v>
      </c>
    </row>
    <row r="3216" spans="1:4">
      <c r="A3216" s="2">
        <f>+Get_Data!A3215</f>
        <v>44109</v>
      </c>
      <c r="B3216">
        <f>+ROUND(Get_Data!B3215,5)</f>
        <v>137.92999</v>
      </c>
      <c r="C3216">
        <f>+ROUND(Get_Data!C3215,5)</f>
        <v>49.38</v>
      </c>
      <c r="D3216" s="4">
        <f t="shared" si="51"/>
        <v>2.7932359254759009</v>
      </c>
    </row>
    <row r="3217" spans="1:4">
      <c r="A3217" s="2">
        <f>+Get_Data!A3216</f>
        <v>44110</v>
      </c>
      <c r="B3217">
        <f>+ROUND(Get_Data!B3216,5)</f>
        <v>135.69999999999999</v>
      </c>
      <c r="C3217">
        <f>+ROUND(Get_Data!C3216,5)</f>
        <v>48.94</v>
      </c>
      <c r="D3217" s="4">
        <f t="shared" si="51"/>
        <v>2.7727829995913362</v>
      </c>
    </row>
    <row r="3218" spans="1:4">
      <c r="A3218" s="2">
        <f>+Get_Data!A3217</f>
        <v>44111</v>
      </c>
      <c r="B3218">
        <f>+ROUND(Get_Data!B3217,5)</f>
        <v>137.00998999999999</v>
      </c>
      <c r="C3218">
        <f>+ROUND(Get_Data!C3217,5)</f>
        <v>49.56</v>
      </c>
      <c r="D3218" s="4">
        <f t="shared" si="51"/>
        <v>2.7645276432606938</v>
      </c>
    </row>
    <row r="3219" spans="1:4">
      <c r="A3219" s="2">
        <f>+Get_Data!A3218</f>
        <v>44112</v>
      </c>
      <c r="B3219">
        <f>+ROUND(Get_Data!B3218,5)</f>
        <v>137.85001</v>
      </c>
      <c r="C3219">
        <f>+ROUND(Get_Data!C3218,5)</f>
        <v>50.46</v>
      </c>
      <c r="D3219" s="4">
        <f t="shared" si="51"/>
        <v>2.7318670233848592</v>
      </c>
    </row>
    <row r="3220" spans="1:4">
      <c r="A3220" s="2">
        <f>+Get_Data!A3219</f>
        <v>44113</v>
      </c>
      <c r="B3220">
        <f>+ROUND(Get_Data!B3219,5)</f>
        <v>138.44</v>
      </c>
      <c r="C3220">
        <f>+ROUND(Get_Data!C3219,5)</f>
        <v>50.81</v>
      </c>
      <c r="D3220" s="4">
        <f t="shared" si="51"/>
        <v>2.724660499901594</v>
      </c>
    </row>
    <row r="3221" spans="1:4">
      <c r="A3221" s="2">
        <f>+Get_Data!A3220</f>
        <v>44116</v>
      </c>
      <c r="B3221">
        <f>+ROUND(Get_Data!B3220,5)</f>
        <v>142.13</v>
      </c>
      <c r="C3221">
        <f>+ROUND(Get_Data!C3220,5)</f>
        <v>51.09</v>
      </c>
      <c r="D3221" s="4">
        <f t="shared" si="51"/>
        <v>2.7819534155412016</v>
      </c>
    </row>
    <row r="3222" spans="1:4">
      <c r="A3222" s="2">
        <f>+Get_Data!A3221</f>
        <v>44117</v>
      </c>
      <c r="B3222">
        <f>+ROUND(Get_Data!B3221,5)</f>
        <v>143.53998999999999</v>
      </c>
      <c r="C3222">
        <f>+ROUND(Get_Data!C3221,5)</f>
        <v>50.22</v>
      </c>
      <c r="D3222" s="4">
        <f t="shared" si="51"/>
        <v>2.8582236160892074</v>
      </c>
    </row>
    <row r="3223" spans="1:4">
      <c r="A3223" s="2">
        <f>+Get_Data!A3222</f>
        <v>44118</v>
      </c>
      <c r="B3223">
        <f>+ROUND(Get_Data!B3222,5)</f>
        <v>142.52000000000001</v>
      </c>
      <c r="C3223">
        <f>+ROUND(Get_Data!C3222,5)</f>
        <v>50.12</v>
      </c>
      <c r="D3223" s="4">
        <f t="shared" si="51"/>
        <v>2.8435754189944138</v>
      </c>
    </row>
    <row r="3224" spans="1:4">
      <c r="A3224" s="2">
        <f>+Get_Data!A3223</f>
        <v>44119</v>
      </c>
      <c r="B3224">
        <f>+ROUND(Get_Data!B3223,5)</f>
        <v>140.88</v>
      </c>
      <c r="C3224">
        <f>+ROUND(Get_Data!C3223,5)</f>
        <v>49.91</v>
      </c>
      <c r="D3224" s="4">
        <f t="shared" si="51"/>
        <v>2.8226808254858748</v>
      </c>
    </row>
    <row r="3225" spans="1:4">
      <c r="A3225" s="2"/>
      <c r="D3225" s="4"/>
    </row>
    <row r="3226" spans="1:4">
      <c r="A3226" s="2"/>
      <c r="D3226" s="4"/>
    </row>
    <row r="3227" spans="1:4">
      <c r="A3227" s="2"/>
      <c r="D3227" s="4"/>
    </row>
    <row r="3228" spans="1:4">
      <c r="A3228" s="2"/>
      <c r="D3228" s="4"/>
    </row>
    <row r="3229" spans="1:4">
      <c r="A3229" s="2"/>
      <c r="D3229" s="4"/>
    </row>
    <row r="3230" spans="1:4">
      <c r="A3230" s="2"/>
      <c r="D3230" s="4"/>
    </row>
    <row r="3231" spans="1:4">
      <c r="A3231" s="2"/>
      <c r="D3231" s="4"/>
    </row>
    <row r="3232" spans="1:4">
      <c r="A3232" s="2"/>
      <c r="D3232" s="4"/>
    </row>
    <row r="3233" spans="1:4">
      <c r="A3233" s="2"/>
      <c r="D3233" s="4"/>
    </row>
    <row r="3234" spans="1:4">
      <c r="A3234" s="2"/>
      <c r="D3234" s="4"/>
    </row>
    <row r="3235" spans="1:4">
      <c r="A3235" s="2"/>
      <c r="D3235" s="4"/>
    </row>
    <row r="3236" spans="1:4">
      <c r="A3236" s="2"/>
      <c r="D3236" s="4"/>
    </row>
    <row r="3237" spans="1:4">
      <c r="A3237" s="2"/>
      <c r="D3237" s="4"/>
    </row>
    <row r="3238" spans="1:4">
      <c r="A3238" s="2"/>
      <c r="D3238" s="4"/>
    </row>
    <row r="3239" spans="1:4">
      <c r="A3239" s="2"/>
      <c r="D3239" s="4"/>
    </row>
    <row r="3240" spans="1:4">
      <c r="A3240" s="2"/>
      <c r="D3240" s="4"/>
    </row>
    <row r="3241" spans="1:4">
      <c r="A3241" s="2"/>
      <c r="D3241" s="4"/>
    </row>
    <row r="3242" spans="1:4">
      <c r="A3242" s="2"/>
      <c r="D3242" s="4"/>
    </row>
    <row r="3243" spans="1:4">
      <c r="A3243" s="2"/>
      <c r="D3243" s="4"/>
    </row>
    <row r="3244" spans="1:4">
      <c r="A3244" s="2"/>
      <c r="D3244" s="4"/>
    </row>
    <row r="3245" spans="1:4">
      <c r="A3245" s="2"/>
      <c r="D3245" s="4"/>
    </row>
    <row r="3246" spans="1:4">
      <c r="A3246" s="2"/>
      <c r="D3246" s="4"/>
    </row>
    <row r="3247" spans="1:4">
      <c r="A3247" s="2"/>
      <c r="D3247" s="4"/>
    </row>
    <row r="3248" spans="1:4">
      <c r="A3248" s="2"/>
      <c r="D3248" s="4"/>
    </row>
    <row r="3249" spans="1:4">
      <c r="A3249" s="2"/>
      <c r="D3249" s="4"/>
    </row>
    <row r="3250" spans="1:4">
      <c r="A3250" s="2"/>
      <c r="D3250" s="4"/>
    </row>
    <row r="3251" spans="1:4">
      <c r="A3251" s="2"/>
      <c r="D3251" s="4"/>
    </row>
    <row r="3252" spans="1:4">
      <c r="A3252" s="2"/>
      <c r="D3252" s="4"/>
    </row>
    <row r="3253" spans="1:4">
      <c r="A3253" s="2"/>
      <c r="D3253" s="4"/>
    </row>
    <row r="3254" spans="1:4">
      <c r="A3254" s="2"/>
      <c r="D3254" s="4"/>
    </row>
    <row r="3255" spans="1:4">
      <c r="A3255" s="2"/>
      <c r="D3255" s="4"/>
    </row>
    <row r="3256" spans="1:4">
      <c r="A3256" s="2"/>
      <c r="D3256" s="4"/>
    </row>
    <row r="3257" spans="1:4">
      <c r="A3257" s="2"/>
      <c r="D3257" s="4"/>
    </row>
    <row r="3258" spans="1:4">
      <c r="A3258" s="2"/>
      <c r="D3258" s="4"/>
    </row>
    <row r="3259" spans="1:4">
      <c r="A3259" s="2"/>
      <c r="D3259" s="4"/>
    </row>
    <row r="3260" spans="1:4">
      <c r="A3260" s="2"/>
      <c r="D3260" s="4"/>
    </row>
    <row r="3261" spans="1:4">
      <c r="A3261" s="2"/>
      <c r="D3261" s="4"/>
    </row>
    <row r="3262" spans="1:4">
      <c r="A3262" s="2"/>
      <c r="D3262" s="4"/>
    </row>
    <row r="3263" spans="1:4">
      <c r="A3263" s="2"/>
      <c r="D3263" s="4"/>
    </row>
    <row r="3264" spans="1:4">
      <c r="A3264" s="2"/>
      <c r="D3264" s="4"/>
    </row>
    <row r="3265" spans="1:4">
      <c r="A3265" s="2"/>
      <c r="D3265" s="4"/>
    </row>
    <row r="3266" spans="1:4">
      <c r="A3266" s="2"/>
      <c r="D3266" s="4"/>
    </row>
    <row r="3267" spans="1:4">
      <c r="A3267" s="2"/>
      <c r="D3267" s="4"/>
    </row>
    <row r="3268" spans="1:4">
      <c r="A3268" s="2"/>
      <c r="D3268" s="4"/>
    </row>
    <row r="3269" spans="1:4">
      <c r="A3269" s="2"/>
      <c r="D3269" s="4"/>
    </row>
    <row r="3270" spans="1:4">
      <c r="A3270" s="2"/>
      <c r="D3270" s="4"/>
    </row>
    <row r="3271" spans="1:4">
      <c r="A3271" s="2"/>
      <c r="D3271" s="4"/>
    </row>
    <row r="3272" spans="1:4">
      <c r="A3272" s="2"/>
      <c r="D3272" s="4"/>
    </row>
    <row r="3273" spans="1:4">
      <c r="A3273" s="2"/>
      <c r="D3273" s="4"/>
    </row>
    <row r="3274" spans="1:4">
      <c r="A3274" s="2"/>
      <c r="D3274" s="4"/>
    </row>
    <row r="3275" spans="1:4">
      <c r="A3275" s="2"/>
      <c r="D3275" s="4"/>
    </row>
    <row r="3276" spans="1:4">
      <c r="A3276" s="2"/>
      <c r="D3276" s="4"/>
    </row>
    <row r="3277" spans="1:4">
      <c r="A3277" s="2"/>
      <c r="D3277" s="4"/>
    </row>
    <row r="3278" spans="1:4">
      <c r="A3278" s="2"/>
      <c r="D3278" s="4"/>
    </row>
    <row r="3279" spans="1:4">
      <c r="A3279" s="2"/>
      <c r="D3279" s="4"/>
    </row>
    <row r="3280" spans="1:4">
      <c r="A3280" s="2"/>
      <c r="D3280" s="4"/>
    </row>
    <row r="3281" spans="1:4">
      <c r="A3281" s="2"/>
      <c r="D3281" s="4"/>
    </row>
    <row r="3282" spans="1:4">
      <c r="A3282" s="2"/>
      <c r="D3282" s="4"/>
    </row>
    <row r="3283" spans="1:4">
      <c r="A3283" s="2"/>
      <c r="D3283" s="4"/>
    </row>
    <row r="3284" spans="1:4">
      <c r="A3284" s="2"/>
      <c r="D3284" s="4"/>
    </row>
    <row r="3285" spans="1:4">
      <c r="A3285" s="2"/>
      <c r="D3285" s="4"/>
    </row>
    <row r="3286" spans="1:4">
      <c r="A3286" s="2"/>
      <c r="D3286" s="4"/>
    </row>
    <row r="3287" spans="1:4">
      <c r="A3287" s="2"/>
      <c r="D3287" s="4"/>
    </row>
    <row r="3288" spans="1:4">
      <c r="A3288" s="2"/>
      <c r="D3288" s="4"/>
    </row>
    <row r="3289" spans="1:4">
      <c r="A3289" s="2"/>
      <c r="D3289" s="4"/>
    </row>
    <row r="3290" spans="1:4">
      <c r="A3290" s="2"/>
      <c r="D3290" s="4"/>
    </row>
    <row r="3291" spans="1:4">
      <c r="A3291" s="2"/>
      <c r="D3291" s="4"/>
    </row>
    <row r="3292" spans="1:4">
      <c r="A3292" s="2"/>
      <c r="D3292" s="4"/>
    </row>
    <row r="3293" spans="1:4">
      <c r="A3293" s="2"/>
      <c r="D3293" s="4"/>
    </row>
    <row r="3294" spans="1:4">
      <c r="A3294" s="2"/>
      <c r="D3294" s="4"/>
    </row>
    <row r="3295" spans="1:4">
      <c r="A3295" s="2"/>
      <c r="D3295" s="4"/>
    </row>
    <row r="3296" spans="1:4">
      <c r="A3296" s="2"/>
      <c r="D3296" s="4"/>
    </row>
    <row r="3297" spans="1:4">
      <c r="A3297" s="2"/>
      <c r="D3297" s="4"/>
    </row>
    <row r="3298" spans="1:4">
      <c r="A3298" s="2"/>
      <c r="D3298" s="4"/>
    </row>
    <row r="3299" spans="1:4">
      <c r="A3299" s="2"/>
      <c r="D3299" s="4"/>
    </row>
    <row r="3300" spans="1:4">
      <c r="A3300" s="2"/>
      <c r="D3300" s="4"/>
    </row>
    <row r="3301" spans="1:4">
      <c r="A3301" s="2"/>
      <c r="D3301" s="4"/>
    </row>
    <row r="3302" spans="1:4">
      <c r="A3302" s="2"/>
      <c r="D3302" s="4"/>
    </row>
    <row r="3303" spans="1:4">
      <c r="A3303" s="2"/>
      <c r="D3303" s="4"/>
    </row>
    <row r="3304" spans="1:4">
      <c r="A3304" s="2"/>
      <c r="D3304" s="4"/>
    </row>
    <row r="3305" spans="1:4">
      <c r="A3305" s="2"/>
      <c r="D3305" s="4"/>
    </row>
    <row r="3306" spans="1:4">
      <c r="A3306" s="2"/>
      <c r="D3306" s="4"/>
    </row>
    <row r="3307" spans="1:4">
      <c r="A3307" s="2"/>
      <c r="D3307" s="4"/>
    </row>
    <row r="3308" spans="1:4">
      <c r="A3308" s="2"/>
      <c r="D3308" s="4"/>
    </row>
    <row r="3309" spans="1:4">
      <c r="A3309" s="2"/>
      <c r="D3309" s="4"/>
    </row>
    <row r="3310" spans="1:4">
      <c r="A3310" s="2"/>
      <c r="D3310" s="4"/>
    </row>
    <row r="3311" spans="1:4">
      <c r="A3311" s="2"/>
      <c r="D3311" s="4"/>
    </row>
    <row r="3312" spans="1:4">
      <c r="A3312" s="2"/>
      <c r="D3312" s="4"/>
    </row>
    <row r="3313" spans="1:4">
      <c r="A3313" s="2"/>
      <c r="D3313" s="4"/>
    </row>
    <row r="3314" spans="1:4">
      <c r="A3314" s="2"/>
      <c r="D3314" s="4"/>
    </row>
    <row r="3315" spans="1:4">
      <c r="A3315" s="2"/>
      <c r="D3315" s="4"/>
    </row>
    <row r="3316" spans="1:4">
      <c r="A3316" s="2"/>
      <c r="D3316" s="4"/>
    </row>
    <row r="3317" spans="1:4">
      <c r="A3317" s="2"/>
      <c r="D3317" s="4"/>
    </row>
    <row r="3318" spans="1:4">
      <c r="A3318" s="2"/>
      <c r="D3318" s="4"/>
    </row>
    <row r="3319" spans="1:4">
      <c r="A3319" s="2"/>
      <c r="D3319" s="4"/>
    </row>
    <row r="3320" spans="1:4">
      <c r="A3320" s="2"/>
      <c r="D3320" s="4"/>
    </row>
    <row r="3321" spans="1:4">
      <c r="A3321" s="2"/>
      <c r="D3321" s="4"/>
    </row>
    <row r="3322" spans="1:4">
      <c r="A3322" s="2"/>
      <c r="D3322" s="4"/>
    </row>
    <row r="3323" spans="1:4">
      <c r="A3323" s="2"/>
      <c r="D3323" s="4"/>
    </row>
    <row r="3324" spans="1:4">
      <c r="A3324" s="2"/>
      <c r="D3324" s="4"/>
    </row>
    <row r="3325" spans="1:4">
      <c r="A3325" s="2"/>
      <c r="D3325" s="4"/>
    </row>
    <row r="3326" spans="1:4">
      <c r="A3326" s="2"/>
      <c r="D3326" s="4"/>
    </row>
    <row r="3327" spans="1:4">
      <c r="A3327" s="2"/>
      <c r="D3327" s="4"/>
    </row>
    <row r="3328" spans="1:4">
      <c r="A3328" s="2"/>
      <c r="D3328" s="4"/>
    </row>
    <row r="3329" spans="1:4">
      <c r="A3329" s="2"/>
      <c r="D3329" s="4"/>
    </row>
    <row r="3330" spans="1:4">
      <c r="A3330" s="2"/>
      <c r="D3330" s="4"/>
    </row>
    <row r="3331" spans="1:4">
      <c r="A3331" s="2"/>
      <c r="D3331" s="4"/>
    </row>
    <row r="3332" spans="1:4">
      <c r="A3332" s="2"/>
      <c r="D3332" s="4"/>
    </row>
    <row r="3333" spans="1:4">
      <c r="A3333" s="2"/>
      <c r="D3333" s="4"/>
    </row>
    <row r="3334" spans="1:4">
      <c r="A3334" s="2"/>
      <c r="D3334" s="4"/>
    </row>
    <row r="3335" spans="1:4">
      <c r="A3335" s="2"/>
      <c r="D3335" s="4"/>
    </row>
    <row r="3336" spans="1:4">
      <c r="A3336" s="2"/>
      <c r="D3336" s="4"/>
    </row>
    <row r="3337" spans="1:4">
      <c r="A3337" s="2"/>
      <c r="D3337" s="4"/>
    </row>
    <row r="3338" spans="1:4">
      <c r="A3338" s="2"/>
      <c r="D3338" s="4"/>
    </row>
    <row r="3339" spans="1:4">
      <c r="A3339" s="2"/>
      <c r="D3339" s="4"/>
    </row>
    <row r="3340" spans="1:4">
      <c r="A3340" s="2"/>
      <c r="D3340" s="4"/>
    </row>
    <row r="3341" spans="1:4">
      <c r="A3341" s="2"/>
      <c r="D3341" s="4"/>
    </row>
    <row r="3342" spans="1:4">
      <c r="A3342" s="2"/>
      <c r="D3342" s="4"/>
    </row>
    <row r="3343" spans="1:4">
      <c r="A3343" s="2"/>
      <c r="D3343" s="4"/>
    </row>
    <row r="3344" spans="1:4">
      <c r="A3344" s="2"/>
      <c r="D3344" s="4"/>
    </row>
    <row r="3345" spans="1:4">
      <c r="A3345" s="2"/>
      <c r="D3345" s="4"/>
    </row>
    <row r="3346" spans="1:4">
      <c r="A3346" s="2"/>
      <c r="D3346" s="4"/>
    </row>
    <row r="3347" spans="1:4">
      <c r="A3347" s="2"/>
      <c r="D3347" s="4"/>
    </row>
    <row r="3348" spans="1:4">
      <c r="A3348" s="2"/>
      <c r="D3348" s="4"/>
    </row>
    <row r="3349" spans="1:4">
      <c r="A3349" s="2"/>
      <c r="D3349" s="4"/>
    </row>
    <row r="3350" spans="1:4">
      <c r="A3350" s="2"/>
      <c r="D3350" s="4"/>
    </row>
    <row r="3351" spans="1:4">
      <c r="A3351" s="2"/>
      <c r="D3351" s="4"/>
    </row>
    <row r="3352" spans="1:4">
      <c r="A3352" s="2"/>
      <c r="D3352" s="4"/>
    </row>
    <row r="3353" spans="1:4">
      <c r="A3353" s="2"/>
      <c r="D3353" s="4"/>
    </row>
    <row r="3354" spans="1:4">
      <c r="A3354" s="2"/>
      <c r="D3354" s="4"/>
    </row>
    <row r="3355" spans="1:4">
      <c r="A3355" s="2"/>
      <c r="D3355" s="4"/>
    </row>
    <row r="3356" spans="1:4">
      <c r="A3356" s="2"/>
      <c r="D3356" s="4"/>
    </row>
    <row r="3357" spans="1:4">
      <c r="A3357" s="2"/>
      <c r="D3357" s="4"/>
    </row>
    <row r="3358" spans="1:4">
      <c r="A3358" s="2"/>
      <c r="D3358" s="4"/>
    </row>
    <row r="3359" spans="1:4">
      <c r="A3359" s="2"/>
      <c r="D3359" s="4"/>
    </row>
    <row r="3360" spans="1:4">
      <c r="A3360" s="2"/>
      <c r="D3360" s="4"/>
    </row>
    <row r="3361" spans="1:4">
      <c r="A3361" s="2"/>
      <c r="D3361" s="4"/>
    </row>
    <row r="3362" spans="1:4">
      <c r="A3362" s="2"/>
      <c r="D3362" s="4"/>
    </row>
    <row r="3363" spans="1:4">
      <c r="A3363" s="2"/>
      <c r="D3363" s="4"/>
    </row>
    <row r="3364" spans="1:4">
      <c r="A3364" s="2"/>
      <c r="D3364" s="4"/>
    </row>
    <row r="3365" spans="1:4">
      <c r="A3365" s="2"/>
      <c r="D3365" s="4"/>
    </row>
    <row r="3366" spans="1:4">
      <c r="A3366" s="2"/>
      <c r="D3366" s="4"/>
    </row>
    <row r="3367" spans="1:4">
      <c r="A3367" s="2"/>
      <c r="D3367" s="4"/>
    </row>
    <row r="3368" spans="1:4">
      <c r="A3368" s="2"/>
      <c r="D3368" s="4"/>
    </row>
    <row r="3369" spans="1:4">
      <c r="A3369" s="2"/>
      <c r="D3369" s="4"/>
    </row>
    <row r="3370" spans="1:4">
      <c r="A3370" s="2"/>
      <c r="D3370" s="4"/>
    </row>
    <row r="3371" spans="1:4">
      <c r="A3371" s="2"/>
      <c r="D3371" s="4"/>
    </row>
    <row r="3372" spans="1:4">
      <c r="A3372" s="2"/>
      <c r="D3372" s="4"/>
    </row>
    <row r="3373" spans="1:4">
      <c r="A3373" s="2"/>
      <c r="D3373" s="4"/>
    </row>
    <row r="3374" spans="1:4">
      <c r="A3374" s="2"/>
      <c r="D3374" s="4"/>
    </row>
    <row r="3375" spans="1:4">
      <c r="A3375" s="2"/>
      <c r="D3375" s="4"/>
    </row>
    <row r="3376" spans="1:4">
      <c r="A3376" s="2"/>
      <c r="D3376" s="4"/>
    </row>
    <row r="3377" spans="1:4">
      <c r="A3377" s="2"/>
      <c r="D3377" s="4"/>
    </row>
    <row r="3378" spans="1:4">
      <c r="A3378" s="2"/>
      <c r="D3378" s="4"/>
    </row>
    <row r="3379" spans="1:4">
      <c r="A3379" s="2"/>
      <c r="D3379" s="4"/>
    </row>
    <row r="3380" spans="1:4">
      <c r="A3380" s="2"/>
      <c r="D3380" s="4"/>
    </row>
    <row r="3381" spans="1:4">
      <c r="A3381" s="2"/>
      <c r="D3381" s="4"/>
    </row>
    <row r="3382" spans="1:4">
      <c r="A3382" s="2"/>
      <c r="D3382" s="4"/>
    </row>
    <row r="3383" spans="1:4">
      <c r="A3383" s="2"/>
      <c r="D3383" s="4"/>
    </row>
    <row r="3384" spans="1:4">
      <c r="A3384" s="2"/>
      <c r="D3384" s="4"/>
    </row>
    <row r="3385" spans="1:4">
      <c r="A3385" s="2"/>
      <c r="D3385" s="4"/>
    </row>
    <row r="3386" spans="1:4">
      <c r="A3386" s="2"/>
      <c r="D3386" s="4"/>
    </row>
    <row r="3387" spans="1:4">
      <c r="A3387" s="2"/>
      <c r="D3387" s="4"/>
    </row>
    <row r="3388" spans="1:4">
      <c r="A3388" s="2"/>
      <c r="D3388" s="4"/>
    </row>
    <row r="3389" spans="1:4">
      <c r="A3389" s="2"/>
      <c r="D3389" s="4"/>
    </row>
    <row r="3390" spans="1:4">
      <c r="A3390" s="2"/>
      <c r="D3390" s="4"/>
    </row>
    <row r="3391" spans="1:4">
      <c r="A3391" s="2"/>
      <c r="D3391" s="4"/>
    </row>
    <row r="3392" spans="1:4">
      <c r="A3392" s="2"/>
      <c r="D3392" s="4"/>
    </row>
    <row r="3393" spans="1:4">
      <c r="A3393" s="2"/>
      <c r="D3393" s="4"/>
    </row>
    <row r="3394" spans="1:4">
      <c r="A3394" s="2"/>
      <c r="D3394" s="4"/>
    </row>
    <row r="3395" spans="1:4">
      <c r="A3395" s="2"/>
      <c r="D3395" s="4"/>
    </row>
    <row r="3396" spans="1:4">
      <c r="A3396" s="2"/>
      <c r="D3396" s="4"/>
    </row>
    <row r="3397" spans="1:4">
      <c r="A3397" s="2"/>
      <c r="D3397" s="4"/>
    </row>
    <row r="3398" spans="1:4">
      <c r="A3398" s="2"/>
      <c r="D3398" s="4"/>
    </row>
    <row r="3399" spans="1:4">
      <c r="A3399" s="2"/>
      <c r="D3399" s="4"/>
    </row>
    <row r="3400" spans="1:4">
      <c r="A3400" s="2"/>
      <c r="D3400" s="4"/>
    </row>
    <row r="3401" spans="1:4">
      <c r="A3401" s="2"/>
      <c r="D3401" s="4"/>
    </row>
    <row r="3402" spans="1:4">
      <c r="A3402" s="2"/>
      <c r="D3402" s="4"/>
    </row>
    <row r="3403" spans="1:4">
      <c r="A3403" s="2"/>
      <c r="D3403" s="4"/>
    </row>
    <row r="3404" spans="1:4">
      <c r="A3404" s="2"/>
      <c r="D3404" s="4"/>
    </row>
    <row r="3405" spans="1:4">
      <c r="A3405" s="2"/>
      <c r="D3405" s="4"/>
    </row>
    <row r="3406" spans="1:4">
      <c r="A3406" s="2"/>
      <c r="D3406" s="4"/>
    </row>
    <row r="3407" spans="1:4">
      <c r="A3407" s="2"/>
      <c r="D3407" s="4"/>
    </row>
    <row r="3408" spans="1:4">
      <c r="A3408" s="2"/>
      <c r="D3408" s="4"/>
    </row>
    <row r="3409" spans="1:4">
      <c r="A3409" s="2"/>
      <c r="D3409" s="4"/>
    </row>
    <row r="3410" spans="1:4">
      <c r="A3410" s="2"/>
      <c r="D3410" s="4"/>
    </row>
    <row r="3411" spans="1:4">
      <c r="A3411" s="2"/>
      <c r="D3411" s="4"/>
    </row>
    <row r="3412" spans="1:4">
      <c r="A3412" s="2"/>
      <c r="D3412" s="4"/>
    </row>
    <row r="3413" spans="1:4">
      <c r="A3413" s="2"/>
      <c r="D3413" s="4"/>
    </row>
    <row r="3414" spans="1:4">
      <c r="A3414" s="2"/>
      <c r="D3414" s="4"/>
    </row>
    <row r="3415" spans="1:4">
      <c r="A3415" s="2"/>
      <c r="D3415" s="4"/>
    </row>
    <row r="3416" spans="1:4">
      <c r="A3416" s="2"/>
      <c r="D3416" s="4"/>
    </row>
    <row r="3417" spans="1:4">
      <c r="A3417" s="2"/>
      <c r="D3417" s="4"/>
    </row>
    <row r="3418" spans="1:4">
      <c r="A3418" s="2"/>
      <c r="D3418" s="4"/>
    </row>
    <row r="3419" spans="1:4">
      <c r="A3419" s="2"/>
      <c r="D3419" s="4"/>
    </row>
    <row r="3420" spans="1:4">
      <c r="A3420" s="2"/>
      <c r="D3420" s="4"/>
    </row>
    <row r="3421" spans="1:4">
      <c r="A3421" s="2"/>
      <c r="D3421" s="4"/>
    </row>
    <row r="3422" spans="1:4">
      <c r="A3422" s="2"/>
      <c r="D3422" s="4"/>
    </row>
    <row r="3423" spans="1:4">
      <c r="A3423" s="2"/>
      <c r="D3423" s="4"/>
    </row>
    <row r="3424" spans="1:4">
      <c r="A3424" s="2"/>
      <c r="D3424" s="4"/>
    </row>
    <row r="3425" spans="1:4">
      <c r="A3425" s="2"/>
      <c r="D3425" s="4"/>
    </row>
    <row r="3426" spans="1:4">
      <c r="A3426" s="2"/>
      <c r="D3426" s="4"/>
    </row>
    <row r="3427" spans="1:4">
      <c r="A3427" s="2"/>
      <c r="D3427" s="4"/>
    </row>
    <row r="3428" spans="1:4">
      <c r="A3428" s="2"/>
      <c r="D3428" s="4"/>
    </row>
    <row r="3429" spans="1:4">
      <c r="A3429" s="2"/>
      <c r="D3429" s="4"/>
    </row>
    <row r="3430" spans="1:4">
      <c r="A3430" s="2"/>
      <c r="D3430" s="4"/>
    </row>
    <row r="3431" spans="1:4">
      <c r="A3431" s="2"/>
      <c r="D3431" s="4"/>
    </row>
    <row r="3432" spans="1:4">
      <c r="A3432" s="2"/>
      <c r="D3432" s="4"/>
    </row>
    <row r="3433" spans="1:4">
      <c r="A3433" s="2"/>
      <c r="D3433" s="4"/>
    </row>
    <row r="3434" spans="1:4">
      <c r="A3434" s="2"/>
      <c r="D3434" s="4"/>
    </row>
    <row r="3435" spans="1:4">
      <c r="A3435" s="2"/>
      <c r="D3435" s="4"/>
    </row>
    <row r="3436" spans="1:4">
      <c r="A3436" s="2"/>
      <c r="D3436" s="4"/>
    </row>
    <row r="3437" spans="1:4">
      <c r="A3437" s="2"/>
      <c r="D3437" s="4"/>
    </row>
    <row r="3438" spans="1:4">
      <c r="A3438" s="2"/>
      <c r="D3438" s="4"/>
    </row>
    <row r="3439" spans="1:4">
      <c r="A3439" s="2"/>
      <c r="D3439" s="4"/>
    </row>
    <row r="3440" spans="1:4">
      <c r="A3440" s="2"/>
      <c r="D3440" s="4"/>
    </row>
    <row r="3441" spans="1:4">
      <c r="A3441" s="2"/>
      <c r="D3441" s="4"/>
    </row>
    <row r="3442" spans="1:4">
      <c r="A3442" s="2"/>
      <c r="D3442" s="4"/>
    </row>
    <row r="3443" spans="1:4">
      <c r="A3443" s="2"/>
      <c r="D3443" s="4"/>
    </row>
    <row r="3444" spans="1:4">
      <c r="A3444" s="2"/>
      <c r="D3444" s="4"/>
    </row>
    <row r="3445" spans="1:4">
      <c r="A3445" s="2"/>
      <c r="D3445" s="4"/>
    </row>
    <row r="3446" spans="1:4">
      <c r="A3446" s="2"/>
      <c r="D3446" s="4"/>
    </row>
    <row r="3447" spans="1:4">
      <c r="A3447" s="2"/>
      <c r="D3447" s="4"/>
    </row>
    <row r="3448" spans="1:4">
      <c r="A3448" s="2"/>
      <c r="D3448" s="4"/>
    </row>
    <row r="3449" spans="1:4">
      <c r="A3449" s="2"/>
      <c r="D3449" s="4"/>
    </row>
    <row r="3450" spans="1:4">
      <c r="A3450" s="2"/>
      <c r="D3450" s="4"/>
    </row>
    <row r="3451" spans="1:4">
      <c r="A3451" s="2"/>
      <c r="D3451" s="4"/>
    </row>
    <row r="3452" spans="1:4">
      <c r="A3452" s="2"/>
      <c r="D3452" s="4"/>
    </row>
    <row r="3453" spans="1:4">
      <c r="A3453" s="2"/>
      <c r="D3453" s="4"/>
    </row>
    <row r="3454" spans="1:4">
      <c r="A3454" s="2"/>
      <c r="D3454" s="4"/>
    </row>
    <row r="3455" spans="1:4">
      <c r="A3455" s="2"/>
      <c r="D3455" s="4"/>
    </row>
    <row r="3456" spans="1:4">
      <c r="A3456" s="2"/>
      <c r="D3456" s="4"/>
    </row>
    <row r="3457" spans="1:4">
      <c r="A3457" s="2"/>
      <c r="D3457" s="4"/>
    </row>
    <row r="3458" spans="1:4">
      <c r="A3458" s="2"/>
      <c r="D3458" s="4"/>
    </row>
    <row r="3459" spans="1:4">
      <c r="A3459" s="2"/>
      <c r="D3459" s="4"/>
    </row>
    <row r="3460" spans="1:4">
      <c r="A3460" s="2"/>
      <c r="D3460" s="4"/>
    </row>
    <row r="3461" spans="1:4">
      <c r="A3461" s="2"/>
      <c r="D3461" s="4"/>
    </row>
    <row r="3462" spans="1:4">
      <c r="A3462" s="2"/>
      <c r="D3462" s="4"/>
    </row>
    <row r="3463" spans="1:4">
      <c r="A3463" s="2"/>
      <c r="D3463" s="4"/>
    </row>
    <row r="3464" spans="1:4">
      <c r="A3464" s="2"/>
      <c r="D3464" s="4"/>
    </row>
    <row r="3465" spans="1:4">
      <c r="A3465" s="2"/>
      <c r="D3465" s="4"/>
    </row>
    <row r="3466" spans="1:4">
      <c r="A3466" s="2"/>
      <c r="D3466" s="4"/>
    </row>
    <row r="3467" spans="1:4">
      <c r="A3467" s="2"/>
      <c r="D3467" s="4"/>
    </row>
    <row r="3468" spans="1:4">
      <c r="A3468" s="2"/>
      <c r="D3468" s="4"/>
    </row>
    <row r="3469" spans="1:4">
      <c r="A3469" s="2"/>
      <c r="D3469" s="4"/>
    </row>
    <row r="3470" spans="1:4">
      <c r="A3470" s="2"/>
      <c r="D3470" s="4"/>
    </row>
    <row r="3471" spans="1:4">
      <c r="A3471" s="2"/>
      <c r="D3471" s="4"/>
    </row>
    <row r="3472" spans="1:4">
      <c r="A3472" s="2"/>
      <c r="D3472" s="4"/>
    </row>
    <row r="3473" spans="1:4">
      <c r="A3473" s="2"/>
      <c r="D3473" s="4"/>
    </row>
    <row r="3474" spans="1:4">
      <c r="A3474" s="2"/>
      <c r="D3474" s="4"/>
    </row>
    <row r="3475" spans="1:4">
      <c r="A3475" s="2"/>
      <c r="D3475" s="4"/>
    </row>
    <row r="3476" spans="1:4">
      <c r="A3476" s="2"/>
      <c r="D3476" s="4"/>
    </row>
    <row r="3477" spans="1:4">
      <c r="A3477" s="2"/>
      <c r="D3477" s="4"/>
    </row>
    <row r="3478" spans="1:4">
      <c r="A3478" s="2"/>
      <c r="D3478" s="4"/>
    </row>
    <row r="3479" spans="1:4">
      <c r="A3479" s="2"/>
      <c r="D3479" s="4"/>
    </row>
    <row r="3480" spans="1:4">
      <c r="A3480" s="2"/>
      <c r="D3480" s="4"/>
    </row>
    <row r="3481" spans="1:4">
      <c r="A3481" s="2"/>
      <c r="D3481" s="4"/>
    </row>
    <row r="3482" spans="1:4">
      <c r="A3482" s="2"/>
      <c r="D3482" s="4"/>
    </row>
    <row r="3483" spans="1:4">
      <c r="A3483" s="2"/>
      <c r="D3483" s="4"/>
    </row>
    <row r="3484" spans="1:4">
      <c r="A3484" s="2"/>
      <c r="D3484" s="4"/>
    </row>
    <row r="3485" spans="1:4">
      <c r="A3485" s="2"/>
      <c r="D3485" s="4"/>
    </row>
    <row r="3486" spans="1:4">
      <c r="A3486" s="2"/>
      <c r="D3486" s="4"/>
    </row>
    <row r="3487" spans="1:4">
      <c r="A3487" s="2"/>
      <c r="D3487" s="4"/>
    </row>
    <row r="3488" spans="1:4">
      <c r="A3488" s="2"/>
      <c r="D3488" s="4"/>
    </row>
    <row r="3489" spans="1:4">
      <c r="A3489" s="2"/>
      <c r="D3489" s="4"/>
    </row>
    <row r="3490" spans="1:4">
      <c r="A3490" s="2"/>
      <c r="D3490" s="4"/>
    </row>
    <row r="3491" spans="1:4">
      <c r="A3491" s="2"/>
      <c r="D3491" s="4"/>
    </row>
    <row r="3492" spans="1:4">
      <c r="A3492" s="2"/>
      <c r="D3492" s="4"/>
    </row>
    <row r="3493" spans="1:4">
      <c r="A3493" s="2"/>
      <c r="D3493" s="4"/>
    </row>
    <row r="3494" spans="1:4">
      <c r="A3494" s="2"/>
      <c r="D3494" s="4"/>
    </row>
    <row r="3495" spans="1:4">
      <c r="A3495" s="2"/>
      <c r="D3495" s="4"/>
    </row>
    <row r="3496" spans="1:4">
      <c r="A3496" s="2"/>
      <c r="D3496" s="4"/>
    </row>
    <row r="3497" spans="1:4">
      <c r="A3497" s="2"/>
      <c r="D3497" s="4"/>
    </row>
    <row r="3498" spans="1:4">
      <c r="A3498" s="2"/>
      <c r="D3498" s="4"/>
    </row>
    <row r="3499" spans="1:4">
      <c r="A3499" s="2"/>
      <c r="D3499" s="4"/>
    </row>
    <row r="3500" spans="1:4">
      <c r="A3500" s="2"/>
      <c r="D3500" s="4"/>
    </row>
    <row r="3501" spans="1:4">
      <c r="A3501" s="2"/>
      <c r="D3501" s="4"/>
    </row>
    <row r="3502" spans="1:4">
      <c r="A3502" s="2"/>
      <c r="D3502" s="4"/>
    </row>
    <row r="3503" spans="1:4">
      <c r="A3503" s="2"/>
      <c r="D3503" s="4"/>
    </row>
    <row r="3504" spans="1:4">
      <c r="A3504" s="2"/>
      <c r="D3504" s="4"/>
    </row>
    <row r="3505" spans="1:4">
      <c r="A3505" s="2"/>
      <c r="D3505" s="4"/>
    </row>
    <row r="3506" spans="1:4">
      <c r="A3506" s="2"/>
      <c r="D3506" s="4"/>
    </row>
    <row r="3507" spans="1:4">
      <c r="A3507" s="2"/>
      <c r="D3507" s="4"/>
    </row>
    <row r="3508" spans="1:4">
      <c r="A3508" s="2"/>
      <c r="D3508" s="4"/>
    </row>
    <row r="3509" spans="1:4">
      <c r="A3509" s="2"/>
      <c r="D3509" s="4"/>
    </row>
    <row r="3510" spans="1:4">
      <c r="A3510" s="2"/>
      <c r="D3510" s="4"/>
    </row>
    <row r="3511" spans="1:4">
      <c r="A3511" s="2"/>
      <c r="D3511" s="4"/>
    </row>
    <row r="3512" spans="1:4">
      <c r="A3512" s="2"/>
      <c r="D3512" s="4"/>
    </row>
    <row r="3513" spans="1:4">
      <c r="A3513" s="2"/>
      <c r="D3513" s="4"/>
    </row>
    <row r="3514" spans="1:4">
      <c r="A3514" s="2"/>
      <c r="D3514" s="4"/>
    </row>
    <row r="3515" spans="1:4">
      <c r="A3515" s="2"/>
      <c r="D3515" s="4"/>
    </row>
    <row r="3516" spans="1:4">
      <c r="A3516" s="2"/>
      <c r="D3516" s="4"/>
    </row>
    <row r="3517" spans="1:4">
      <c r="A3517" s="2"/>
      <c r="D3517" s="4"/>
    </row>
    <row r="3518" spans="1:4">
      <c r="A3518" s="2"/>
      <c r="D3518" s="4"/>
    </row>
    <row r="3519" spans="1:4">
      <c r="A3519" s="2"/>
      <c r="D3519" s="4"/>
    </row>
    <row r="3520" spans="1:4">
      <c r="A3520" s="2"/>
      <c r="D3520" s="4"/>
    </row>
    <row r="3521" spans="1:4">
      <c r="A3521" s="2"/>
      <c r="D3521" s="4"/>
    </row>
    <row r="3522" spans="1:4">
      <c r="A3522" s="2"/>
      <c r="D3522" s="4"/>
    </row>
    <row r="3523" spans="1:4">
      <c r="A3523" s="2"/>
      <c r="D3523" s="4"/>
    </row>
    <row r="3524" spans="1:4">
      <c r="A3524" s="2"/>
      <c r="D3524" s="4"/>
    </row>
    <row r="3525" spans="1:4">
      <c r="A3525" s="2"/>
      <c r="D3525" s="4"/>
    </row>
    <row r="3526" spans="1:4">
      <c r="A3526" s="2"/>
      <c r="D3526" s="4"/>
    </row>
    <row r="3527" spans="1:4">
      <c r="A3527" s="2"/>
      <c r="D3527" s="4"/>
    </row>
    <row r="3528" spans="1:4">
      <c r="A3528" s="2"/>
      <c r="D3528" s="4"/>
    </row>
    <row r="3529" spans="1:4">
      <c r="A3529" s="2"/>
      <c r="D3529" s="4"/>
    </row>
    <row r="3530" spans="1:4">
      <c r="A3530" s="2"/>
      <c r="D3530" s="4"/>
    </row>
    <row r="3531" spans="1:4">
      <c r="A3531" s="2"/>
      <c r="D3531" s="4"/>
    </row>
    <row r="3532" spans="1:4">
      <c r="A3532" s="2"/>
      <c r="D3532" s="4"/>
    </row>
    <row r="3533" spans="1:4">
      <c r="A3533" s="2"/>
      <c r="D3533" s="4"/>
    </row>
    <row r="3534" spans="1:4">
      <c r="A3534" s="2"/>
      <c r="D3534" s="4"/>
    </row>
    <row r="3535" spans="1:4">
      <c r="A3535" s="2"/>
      <c r="D3535" s="4"/>
    </row>
    <row r="3536" spans="1:4">
      <c r="A3536" s="2"/>
      <c r="D3536" s="4"/>
    </row>
    <row r="3537" spans="1:4">
      <c r="A3537" s="2"/>
      <c r="D3537" s="4"/>
    </row>
    <row r="3538" spans="1:4">
      <c r="A3538" s="2"/>
      <c r="D3538" s="4"/>
    </row>
    <row r="3539" spans="1:4">
      <c r="A3539" s="2"/>
      <c r="D3539" s="4"/>
    </row>
    <row r="3540" spans="1:4">
      <c r="A3540" s="2"/>
      <c r="D3540" s="4"/>
    </row>
    <row r="3541" spans="1:4">
      <c r="A3541" s="2"/>
      <c r="D3541" s="4"/>
    </row>
    <row r="3542" spans="1:4">
      <c r="A3542" s="2"/>
      <c r="D3542" s="4"/>
    </row>
    <row r="3543" spans="1:4">
      <c r="A3543" s="2"/>
      <c r="D3543" s="4"/>
    </row>
    <row r="3544" spans="1:4">
      <c r="A3544" s="2"/>
      <c r="D3544" s="4"/>
    </row>
    <row r="3545" spans="1:4">
      <c r="A3545" s="2"/>
      <c r="D3545" s="4"/>
    </row>
    <row r="3546" spans="1:4">
      <c r="A3546" s="2"/>
      <c r="D3546" s="4"/>
    </row>
    <row r="3547" spans="1:4">
      <c r="A3547" s="2"/>
      <c r="D3547" s="4"/>
    </row>
    <row r="3548" spans="1:4">
      <c r="A3548" s="2"/>
      <c r="D3548" s="4"/>
    </row>
    <row r="3549" spans="1:4">
      <c r="A3549" s="2"/>
      <c r="D3549" s="4"/>
    </row>
    <row r="3550" spans="1:4">
      <c r="A3550" s="2"/>
      <c r="D3550" s="4"/>
    </row>
    <row r="3551" spans="1:4">
      <c r="A3551" s="2"/>
      <c r="D3551" s="4"/>
    </row>
    <row r="3552" spans="1:4">
      <c r="A3552" s="2"/>
      <c r="D3552" s="4"/>
    </row>
    <row r="3553" spans="1:4">
      <c r="A3553" s="2"/>
      <c r="D3553" s="4"/>
    </row>
    <row r="3554" spans="1:4">
      <c r="A3554" s="2"/>
      <c r="D3554" s="4"/>
    </row>
    <row r="3555" spans="1:4">
      <c r="A3555" s="2"/>
      <c r="D3555" s="4"/>
    </row>
    <row r="3556" spans="1:4">
      <c r="A3556" s="2"/>
      <c r="D3556" s="4"/>
    </row>
    <row r="3557" spans="1:4">
      <c r="A3557" s="2"/>
      <c r="D3557" s="4"/>
    </row>
    <row r="3558" spans="1:4">
      <c r="A3558" s="2"/>
      <c r="D3558" s="4"/>
    </row>
    <row r="3559" spans="1:4">
      <c r="A3559" s="2"/>
      <c r="D3559" s="4"/>
    </row>
    <row r="3560" spans="1:4">
      <c r="A3560" s="2"/>
      <c r="D3560" s="4"/>
    </row>
    <row r="3561" spans="1:4">
      <c r="A3561" s="2"/>
      <c r="D3561" s="4"/>
    </row>
    <row r="3562" spans="1:4">
      <c r="A3562" s="2"/>
      <c r="D3562" s="4"/>
    </row>
    <row r="3563" spans="1:4">
      <c r="A3563" s="2"/>
      <c r="D3563" s="4"/>
    </row>
    <row r="3564" spans="1:4">
      <c r="A3564" s="2"/>
      <c r="D3564" s="4"/>
    </row>
    <row r="3565" spans="1:4">
      <c r="A3565" s="2"/>
      <c r="D3565" s="4"/>
    </row>
    <row r="3566" spans="1:4">
      <c r="A3566" s="2"/>
      <c r="D3566" s="4"/>
    </row>
    <row r="3567" spans="1:4">
      <c r="A3567" s="2"/>
      <c r="D3567" s="4"/>
    </row>
    <row r="3568" spans="1:4">
      <c r="A3568" s="2"/>
      <c r="D3568" s="4"/>
    </row>
    <row r="3569" spans="1:4">
      <c r="A3569" s="2"/>
      <c r="D3569" s="4"/>
    </row>
    <row r="3570" spans="1:4">
      <c r="A3570" s="2"/>
      <c r="D3570" s="4"/>
    </row>
    <row r="3571" spans="1:4">
      <c r="A3571" s="2"/>
      <c r="D3571" s="4"/>
    </row>
    <row r="3572" spans="1:4">
      <c r="A3572" s="2"/>
      <c r="D3572" s="4"/>
    </row>
    <row r="3573" spans="1:4">
      <c r="A3573" s="2"/>
      <c r="D3573" s="4"/>
    </row>
    <row r="3574" spans="1:4">
      <c r="A3574" s="2"/>
      <c r="D3574" s="4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ABEE4F-79DE-3048-A956-5CB6FF9BCDD8}">
  <sheetPr codeName="Sheet3"/>
  <dimension ref="A1:AA3577"/>
  <sheetViews>
    <sheetView showGridLines="0" tabSelected="1" topLeftCell="D2363" zoomScale="56" workbookViewId="0">
      <selection activeCell="M2395" sqref="M2395"/>
    </sheetView>
  </sheetViews>
  <sheetFormatPr baseColWidth="10" defaultRowHeight="16" outlineLevelRow="1"/>
  <cols>
    <col min="1" max="1" width="11.6640625" bestFit="1" customWidth="1"/>
    <col min="5" max="5" width="10.83203125" style="10"/>
    <col min="6" max="6" width="10.83203125" style="12"/>
    <col min="7" max="7" width="12" style="10" customWidth="1"/>
    <col min="8" max="8" width="10.83203125" style="12"/>
    <col min="9" max="10" width="12.6640625" style="11" customWidth="1"/>
    <col min="11" max="11" width="10.83203125" style="10"/>
    <col min="12" max="13" width="10.83203125" style="11"/>
    <col min="14" max="14" width="8.83203125" style="11" customWidth="1"/>
    <col min="15" max="15" width="9.83203125" style="11" customWidth="1"/>
    <col min="16" max="16" width="12.1640625" style="12" customWidth="1"/>
    <col min="17" max="19" width="10.83203125" style="11"/>
    <col min="22" max="22" width="10.83203125" style="10"/>
    <col min="23" max="24" width="10.83203125" style="11"/>
    <col min="25" max="25" width="10.83203125" style="63"/>
  </cols>
  <sheetData>
    <row r="1" spans="1:25">
      <c r="A1" s="3"/>
      <c r="B1" s="3" t="s">
        <v>2</v>
      </c>
      <c r="C1" s="3" t="s">
        <v>3</v>
      </c>
      <c r="D1" s="3" t="s">
        <v>4</v>
      </c>
      <c r="E1" s="7"/>
      <c r="F1" s="19" t="s">
        <v>11</v>
      </c>
      <c r="G1" s="17">
        <v>42370</v>
      </c>
      <c r="H1" s="9"/>
      <c r="I1" s="8"/>
      <c r="J1" s="8"/>
      <c r="K1" s="7"/>
      <c r="L1" s="8"/>
      <c r="M1" s="8"/>
      <c r="N1" s="8"/>
      <c r="O1" s="8"/>
      <c r="P1" s="9"/>
      <c r="V1" s="7"/>
      <c r="W1" s="8"/>
      <c r="X1" s="8"/>
      <c r="Y1" s="62"/>
    </row>
    <row r="2" spans="1:25">
      <c r="A2" s="3" t="str">
        <f>+Get_Data!A1</f>
        <v>Date</v>
      </c>
      <c r="B2" s="3" t="str">
        <f>+Get_Data!B1</f>
        <v>PEP</v>
      </c>
      <c r="C2" s="3" t="str">
        <f>+Get_Data!C1</f>
        <v>KO</v>
      </c>
      <c r="D2" s="3" t="s">
        <v>1</v>
      </c>
      <c r="F2" s="20" t="s">
        <v>22</v>
      </c>
      <c r="G2" s="10">
        <v>25</v>
      </c>
    </row>
    <row r="3" spans="1:25" ht="17" hidden="1" customHeight="1" outlineLevel="1">
      <c r="A3" s="2">
        <f>+Get_Data!A2</f>
        <v>39447</v>
      </c>
      <c r="B3">
        <f>+ROUND(Get_Data!B2,5)</f>
        <v>51.800109999999997</v>
      </c>
      <c r="C3">
        <f>+ROUND(Get_Data!C2,5)</f>
        <v>17.98762</v>
      </c>
      <c r="D3" s="4">
        <f>IFERROR(B3/C3,"")</f>
        <v>2.8797645269357477</v>
      </c>
    </row>
    <row r="4" spans="1:25" ht="17" hidden="1" customHeight="1" outlineLevel="1" thickBot="1">
      <c r="A4" s="2">
        <f>+Get_Data!A3</f>
        <v>39449</v>
      </c>
      <c r="B4">
        <f>+ROUND(Get_Data!B3,5)</f>
        <v>51.383789999999998</v>
      </c>
      <c r="C4">
        <f>+ROUND(Get_Data!C3,5)</f>
        <v>17.905550000000002</v>
      </c>
      <c r="D4" s="4">
        <f t="shared" ref="D4:D67" si="0">IFERROR(B4/C4,"")</f>
        <v>2.8697130219401243</v>
      </c>
    </row>
    <row r="5" spans="1:25" ht="17" hidden="1" customHeight="1" outlineLevel="1" thickBot="1">
      <c r="A5" s="2">
        <f>+Get_Data!A4</f>
        <v>39450</v>
      </c>
      <c r="B5">
        <f>+ROUND(Get_Data!B4,5)</f>
        <v>51.71819</v>
      </c>
      <c r="C5">
        <f>+ROUND(Get_Data!C4,5)</f>
        <v>18.093129999999999</v>
      </c>
      <c r="D5" s="4">
        <f t="shared" si="0"/>
        <v>2.8584435086687603</v>
      </c>
      <c r="G5" s="18"/>
    </row>
    <row r="6" spans="1:25" ht="17" hidden="1" customHeight="1" outlineLevel="1" thickBot="1">
      <c r="A6" s="2">
        <f>+Get_Data!A5</f>
        <v>39451</v>
      </c>
      <c r="B6">
        <f>+ROUND(Get_Data!B5,5)</f>
        <v>51.561219999999999</v>
      </c>
      <c r="C6">
        <f>+ROUND(Get_Data!C5,5)</f>
        <v>18.128309999999999</v>
      </c>
      <c r="D6" s="4">
        <f t="shared" si="0"/>
        <v>2.8442375488945193</v>
      </c>
      <c r="G6" s="18"/>
    </row>
    <row r="7" spans="1:25" ht="17" hidden="1" customHeight="1" outlineLevel="1" thickBot="1">
      <c r="A7" s="2">
        <f>+Get_Data!A6</f>
        <v>39454</v>
      </c>
      <c r="B7">
        <f>+ROUND(Get_Data!B6,5)</f>
        <v>52.769240000000003</v>
      </c>
      <c r="C7">
        <f>+ROUND(Get_Data!C6,5)</f>
        <v>18.556239999999999</v>
      </c>
      <c r="D7" s="4">
        <f t="shared" si="0"/>
        <v>2.8437463624096266</v>
      </c>
      <c r="G7" s="18"/>
    </row>
    <row r="8" spans="1:25" ht="17" hidden="1" customHeight="1" outlineLevel="1" thickBot="1">
      <c r="A8" s="2">
        <f>+Get_Data!A7</f>
        <v>39455</v>
      </c>
      <c r="B8">
        <f>+ROUND(Get_Data!B7,5)</f>
        <v>53.192349999999998</v>
      </c>
      <c r="C8">
        <f>+ROUND(Get_Data!C7,5)</f>
        <v>18.632449999999999</v>
      </c>
      <c r="D8" s="4">
        <f t="shared" si="0"/>
        <v>2.8548231714025798</v>
      </c>
      <c r="G8" s="18"/>
    </row>
    <row r="9" spans="1:25" ht="17" hidden="1" customHeight="1" outlineLevel="1" thickBot="1">
      <c r="A9" s="2">
        <f>+Get_Data!A8</f>
        <v>39456</v>
      </c>
      <c r="B9">
        <f>+ROUND(Get_Data!B8,5)</f>
        <v>53.738329999999998</v>
      </c>
      <c r="C9">
        <f>+ROUND(Get_Data!C8,5)</f>
        <v>19.130710000000001</v>
      </c>
      <c r="D9" s="4">
        <f t="shared" si="0"/>
        <v>2.809008656761824</v>
      </c>
      <c r="G9" s="18"/>
    </row>
    <row r="10" spans="1:25" ht="17" hidden="1" customHeight="1" outlineLevel="1" thickBot="1">
      <c r="A10" s="2">
        <f>+Get_Data!A9</f>
        <v>39457</v>
      </c>
      <c r="B10">
        <f>+ROUND(Get_Data!B9,5)</f>
        <v>54.304789999999997</v>
      </c>
      <c r="C10">
        <f>+ROUND(Get_Data!C9,5)</f>
        <v>19.215710000000001</v>
      </c>
      <c r="D10" s="4">
        <f t="shared" si="0"/>
        <v>2.826062112719228</v>
      </c>
    </row>
    <row r="11" spans="1:25" ht="17" hidden="1" customHeight="1" outlineLevel="1" thickBot="1">
      <c r="A11" s="2">
        <f>+Get_Data!A10</f>
        <v>39458</v>
      </c>
      <c r="B11">
        <f>+ROUND(Get_Data!B10,5)</f>
        <v>53.083150000000003</v>
      </c>
      <c r="C11">
        <f>+ROUND(Get_Data!C10,5)</f>
        <v>18.69107</v>
      </c>
      <c r="D11" s="4">
        <f t="shared" si="0"/>
        <v>2.8400273499590982</v>
      </c>
    </row>
    <row r="12" spans="1:25" ht="17" hidden="1" customHeight="1" outlineLevel="1" thickBot="1">
      <c r="A12" s="2">
        <f>+Get_Data!A11</f>
        <v>39461</v>
      </c>
      <c r="B12">
        <f>+ROUND(Get_Data!B11,5)</f>
        <v>52.496220000000001</v>
      </c>
      <c r="C12">
        <f>+ROUND(Get_Data!C11,5)</f>
        <v>18.846409999999999</v>
      </c>
      <c r="D12" s="4">
        <f t="shared" si="0"/>
        <v>2.7854758545526712</v>
      </c>
      <c r="F12" s="21"/>
    </row>
    <row r="13" spans="1:25" ht="17" hidden="1" customHeight="1" outlineLevel="1" thickBot="1">
      <c r="A13" s="2">
        <f>+Get_Data!A12</f>
        <v>39462</v>
      </c>
      <c r="B13">
        <f>+ROUND(Get_Data!B12,5)</f>
        <v>51.069839999999999</v>
      </c>
      <c r="C13">
        <f>+ROUND(Get_Data!C12,5)</f>
        <v>18.644159999999999</v>
      </c>
      <c r="D13" s="4">
        <f t="shared" si="0"/>
        <v>2.7391869625662943</v>
      </c>
    </row>
    <row r="14" spans="1:25" ht="17" hidden="1" customHeight="1" outlineLevel="1" thickBot="1">
      <c r="A14" s="2">
        <f>+Get_Data!A13</f>
        <v>39463</v>
      </c>
      <c r="B14">
        <f>+ROUND(Get_Data!B13,5)</f>
        <v>50.18947</v>
      </c>
      <c r="C14">
        <f>+ROUND(Get_Data!C13,5)</f>
        <v>18.36279</v>
      </c>
      <c r="D14" s="4">
        <f t="shared" si="0"/>
        <v>2.7332159219813548</v>
      </c>
    </row>
    <row r="15" spans="1:25" ht="17" hidden="1" customHeight="1" outlineLevel="1" thickBot="1">
      <c r="A15" s="2">
        <f>+Get_Data!A14</f>
        <v>39464</v>
      </c>
      <c r="B15">
        <f>+ROUND(Get_Data!B14,5)</f>
        <v>49.206699999999998</v>
      </c>
      <c r="C15">
        <f>+ROUND(Get_Data!C14,5)</f>
        <v>18.184000000000001</v>
      </c>
      <c r="D15" s="4">
        <f t="shared" si="0"/>
        <v>2.7060437747470303</v>
      </c>
    </row>
    <row r="16" spans="1:25" ht="17" hidden="1" customHeight="1" outlineLevel="1" thickBot="1">
      <c r="A16" s="2">
        <f>+Get_Data!A15</f>
        <v>39465</v>
      </c>
      <c r="B16">
        <f>+ROUND(Get_Data!B15,5)</f>
        <v>48.769889999999997</v>
      </c>
      <c r="C16">
        <f>+ROUND(Get_Data!C15,5)</f>
        <v>17.802969999999998</v>
      </c>
      <c r="D16" s="4">
        <f t="shared" si="0"/>
        <v>2.7394243769438469</v>
      </c>
    </row>
    <row r="17" spans="1:4" ht="17" hidden="1" customHeight="1" outlineLevel="1" thickBot="1">
      <c r="A17" s="2">
        <f>+Get_Data!A16</f>
        <v>39469</v>
      </c>
      <c r="B17">
        <f>+ROUND(Get_Data!B16,5)</f>
        <v>47.391300000000001</v>
      </c>
      <c r="C17">
        <f>+ROUND(Get_Data!C16,5)</f>
        <v>17.23142</v>
      </c>
      <c r="D17" s="4">
        <f t="shared" si="0"/>
        <v>2.7502840740925589</v>
      </c>
    </row>
    <row r="18" spans="1:4" ht="17" hidden="1" customHeight="1" outlineLevel="1" thickBot="1">
      <c r="A18" s="2">
        <f>+Get_Data!A17</f>
        <v>39470</v>
      </c>
      <c r="B18">
        <f>+ROUND(Get_Data!B17,5)</f>
        <v>48.114719999999998</v>
      </c>
      <c r="C18">
        <f>+ROUND(Get_Data!C17,5)</f>
        <v>17.254860000000001</v>
      </c>
      <c r="D18" s="4">
        <f t="shared" si="0"/>
        <v>2.7884735083333041</v>
      </c>
    </row>
    <row r="19" spans="1:4" ht="17" hidden="1" customHeight="1" outlineLevel="1" thickBot="1">
      <c r="A19" s="2">
        <f>+Get_Data!A18</f>
        <v>39471</v>
      </c>
      <c r="B19">
        <f>+ROUND(Get_Data!B18,5)</f>
        <v>47.589230000000001</v>
      </c>
      <c r="C19">
        <f>+ROUND(Get_Data!C18,5)</f>
        <v>17.550899999999999</v>
      </c>
      <c r="D19" s="4">
        <f t="shared" si="0"/>
        <v>2.7114979858582755</v>
      </c>
    </row>
    <row r="20" spans="1:4" ht="17" hidden="1" customHeight="1" outlineLevel="1" thickBot="1">
      <c r="A20" s="2">
        <f>+Get_Data!A19</f>
        <v>39472</v>
      </c>
      <c r="B20">
        <f>+ROUND(Get_Data!B19,5)</f>
        <v>47.036409999999997</v>
      </c>
      <c r="C20">
        <f>+ROUND(Get_Data!C19,5)</f>
        <v>17.120039999999999</v>
      </c>
      <c r="D20" s="4">
        <f t="shared" si="0"/>
        <v>2.7474474358704768</v>
      </c>
    </row>
    <row r="21" spans="1:4" ht="17" hidden="1" customHeight="1" outlineLevel="1" thickBot="1">
      <c r="A21" s="2">
        <f>+Get_Data!A20</f>
        <v>39475</v>
      </c>
      <c r="B21">
        <f>+ROUND(Get_Data!B20,5)</f>
        <v>47.957749999999997</v>
      </c>
      <c r="C21">
        <f>+ROUND(Get_Data!C20,5)</f>
        <v>17.413139999999999</v>
      </c>
      <c r="D21" s="4">
        <f t="shared" si="0"/>
        <v>2.7541126988010203</v>
      </c>
    </row>
    <row r="22" spans="1:4" ht="17" hidden="1" customHeight="1" outlineLevel="1" thickBot="1">
      <c r="A22" s="2">
        <f>+Get_Data!A21</f>
        <v>39476</v>
      </c>
      <c r="B22">
        <f>+ROUND(Get_Data!B21,5)</f>
        <v>46.83849</v>
      </c>
      <c r="C22">
        <f>+ROUND(Get_Data!C21,5)</f>
        <v>17.161079999999998</v>
      </c>
      <c r="D22" s="4">
        <f t="shared" si="0"/>
        <v>2.7293439573733123</v>
      </c>
    </row>
    <row r="23" spans="1:4" ht="17" hidden="1" customHeight="1" outlineLevel="1" thickBot="1">
      <c r="A23" s="2">
        <f>+Get_Data!A22</f>
        <v>39477</v>
      </c>
      <c r="B23">
        <f>+ROUND(Get_Data!B22,5)</f>
        <v>45.992199999999997</v>
      </c>
      <c r="C23">
        <f>+ROUND(Get_Data!C22,5)</f>
        <v>16.932449999999999</v>
      </c>
      <c r="D23" s="4">
        <f t="shared" si="0"/>
        <v>2.7162164955455355</v>
      </c>
    </row>
    <row r="24" spans="1:4" ht="17" hidden="1" customHeight="1" outlineLevel="1" thickBot="1">
      <c r="A24" s="2">
        <f>+Get_Data!A23</f>
        <v>39478</v>
      </c>
      <c r="B24">
        <f>+ROUND(Get_Data!B23,5)</f>
        <v>46.44267</v>
      </c>
      <c r="C24">
        <f>+ROUND(Get_Data!C23,5)</f>
        <v>17.292960000000001</v>
      </c>
      <c r="D24" s="4">
        <f t="shared" si="0"/>
        <v>2.6856402836761317</v>
      </c>
    </row>
    <row r="25" spans="1:4" ht="17" hidden="1" customHeight="1" outlineLevel="1" thickBot="1">
      <c r="A25" s="2">
        <f>+Get_Data!A24</f>
        <v>39479</v>
      </c>
      <c r="B25">
        <f>+ROUND(Get_Data!B24,5)</f>
        <v>46.974989999999998</v>
      </c>
      <c r="C25">
        <f>+ROUND(Get_Data!C24,5)</f>
        <v>17.36918</v>
      </c>
      <c r="D25" s="4">
        <f t="shared" si="0"/>
        <v>2.7045024578016923</v>
      </c>
    </row>
    <row r="26" spans="1:4" ht="17" hidden="1" customHeight="1" outlineLevel="1" thickBot="1">
      <c r="A26" s="2">
        <f>+Get_Data!A25</f>
        <v>39482</v>
      </c>
      <c r="B26">
        <f>+ROUND(Get_Data!B25,5)</f>
        <v>47.241160000000001</v>
      </c>
      <c r="C26">
        <f>+ROUND(Get_Data!C25,5)</f>
        <v>17.184519999999999</v>
      </c>
      <c r="D26" s="4">
        <f t="shared" si="0"/>
        <v>2.7490532176633389</v>
      </c>
    </row>
    <row r="27" spans="1:4" ht="17" hidden="1" customHeight="1" outlineLevel="1" thickBot="1">
      <c r="A27" s="2">
        <f>+Get_Data!A26</f>
        <v>39483</v>
      </c>
      <c r="B27">
        <f>+ROUND(Get_Data!B26,5)</f>
        <v>46.374380000000002</v>
      </c>
      <c r="C27">
        <f>+ROUND(Get_Data!C26,5)</f>
        <v>16.824010000000001</v>
      </c>
      <c r="D27" s="4">
        <f t="shared" si="0"/>
        <v>2.7564403492389746</v>
      </c>
    </row>
    <row r="28" spans="1:4" ht="17" hidden="1" customHeight="1" outlineLevel="1" thickBot="1">
      <c r="A28" s="2">
        <f>+Get_Data!A27</f>
        <v>39484</v>
      </c>
      <c r="B28">
        <f>+ROUND(Get_Data!B27,5)</f>
        <v>45.54177</v>
      </c>
      <c r="C28">
        <f>+ROUND(Get_Data!C27,5)</f>
        <v>16.914870000000001</v>
      </c>
      <c r="D28" s="4">
        <f t="shared" si="0"/>
        <v>2.6924102875162506</v>
      </c>
    </row>
    <row r="29" spans="1:4" ht="17" hidden="1" customHeight="1" outlineLevel="1" thickBot="1">
      <c r="A29" s="2">
        <f>+Get_Data!A28</f>
        <v>39485</v>
      </c>
      <c r="B29">
        <f>+ROUND(Get_Data!B28,5)</f>
        <v>48.0533</v>
      </c>
      <c r="C29">
        <f>+ROUND(Get_Data!C28,5)</f>
        <v>17.13176</v>
      </c>
      <c r="D29" s="4">
        <f t="shared" si="0"/>
        <v>2.8049248880441939</v>
      </c>
    </row>
    <row r="30" spans="1:4" ht="17" hidden="1" customHeight="1" outlineLevel="1" thickBot="1">
      <c r="A30" s="2">
        <f>+Get_Data!A29</f>
        <v>39486</v>
      </c>
      <c r="B30">
        <f>+ROUND(Get_Data!B29,5)</f>
        <v>47.643810000000002</v>
      </c>
      <c r="C30">
        <f>+ROUND(Get_Data!C29,5)</f>
        <v>17.366250000000001</v>
      </c>
      <c r="D30" s="4">
        <f t="shared" si="0"/>
        <v>2.743471388469013</v>
      </c>
    </row>
    <row r="31" spans="1:4" ht="17" hidden="1" customHeight="1" outlineLevel="1" thickBot="1">
      <c r="A31" s="2">
        <f>+Get_Data!A30</f>
        <v>39489</v>
      </c>
      <c r="B31">
        <f>+ROUND(Get_Data!B30,5)</f>
        <v>48.428660000000001</v>
      </c>
      <c r="C31">
        <f>+ROUND(Get_Data!C30,5)</f>
        <v>17.439520000000002</v>
      </c>
      <c r="D31" s="4">
        <f t="shared" si="0"/>
        <v>2.7769491362147578</v>
      </c>
    </row>
    <row r="32" spans="1:4" ht="17" hidden="1" customHeight="1" outlineLevel="1" thickBot="1">
      <c r="A32" s="2">
        <f>+Get_Data!A31</f>
        <v>39490</v>
      </c>
      <c r="B32">
        <f>+ROUND(Get_Data!B31,5)</f>
        <v>49.111139999999999</v>
      </c>
      <c r="C32">
        <f>+ROUND(Get_Data!C31,5)</f>
        <v>17.562619999999999</v>
      </c>
      <c r="D32" s="4">
        <f t="shared" si="0"/>
        <v>2.7963447367192367</v>
      </c>
    </row>
    <row r="33" spans="1:4" ht="17" hidden="1" customHeight="1" outlineLevel="1" thickBot="1">
      <c r="A33" s="2">
        <f>+Get_Data!A32</f>
        <v>39491</v>
      </c>
      <c r="B33">
        <f>+ROUND(Get_Data!B32,5)</f>
        <v>48.885919999999999</v>
      </c>
      <c r="C33">
        <f>+ROUND(Get_Data!C32,5)</f>
        <v>17.40728</v>
      </c>
      <c r="D33" s="4">
        <f t="shared" si="0"/>
        <v>2.8083606399161729</v>
      </c>
    </row>
    <row r="34" spans="1:4" ht="17" hidden="1" customHeight="1" outlineLevel="1" thickBot="1">
      <c r="A34" s="2">
        <f>+Get_Data!A33</f>
        <v>39492</v>
      </c>
      <c r="B34">
        <f>+ROUND(Get_Data!B33,5)</f>
        <v>48.844990000000003</v>
      </c>
      <c r="C34">
        <f>+ROUND(Get_Data!C33,5)</f>
        <v>17.161079999999998</v>
      </c>
      <c r="D34" s="4">
        <f t="shared" si="0"/>
        <v>2.8462655031035347</v>
      </c>
    </row>
    <row r="35" spans="1:4" ht="17" hidden="1" customHeight="1" outlineLevel="1" thickBot="1">
      <c r="A35" s="2">
        <f>+Get_Data!A34</f>
        <v>39493</v>
      </c>
      <c r="B35">
        <f>+ROUND(Get_Data!B34,5)</f>
        <v>48.954169999999998</v>
      </c>
      <c r="C35">
        <f>+ROUND(Get_Data!C34,5)</f>
        <v>17.222619999999999</v>
      </c>
      <c r="D35" s="4">
        <f t="shared" si="0"/>
        <v>2.8424345424795994</v>
      </c>
    </row>
    <row r="36" spans="1:4" ht="17" hidden="1" customHeight="1" outlineLevel="1" thickBot="1">
      <c r="A36" s="2">
        <f>+Get_Data!A35</f>
        <v>39497</v>
      </c>
      <c r="B36">
        <f>+ROUND(Get_Data!B35,5)</f>
        <v>48.551499999999997</v>
      </c>
      <c r="C36">
        <f>+ROUND(Get_Data!C35,5)</f>
        <v>17.02918</v>
      </c>
      <c r="D36" s="4">
        <f t="shared" si="0"/>
        <v>2.8510767987654129</v>
      </c>
    </row>
    <row r="37" spans="1:4" ht="17" hidden="1" customHeight="1" outlineLevel="1" thickBot="1">
      <c r="A37" s="2">
        <f>+Get_Data!A36</f>
        <v>39498</v>
      </c>
      <c r="B37">
        <f>+ROUND(Get_Data!B36,5)</f>
        <v>48.537849999999999</v>
      </c>
      <c r="C37">
        <f>+ROUND(Get_Data!C36,5)</f>
        <v>17.06728</v>
      </c>
      <c r="D37" s="4">
        <f t="shared" si="0"/>
        <v>2.8439124453339959</v>
      </c>
    </row>
    <row r="38" spans="1:4" ht="17" hidden="1" customHeight="1" outlineLevel="1" thickBot="1">
      <c r="A38" s="2">
        <f>+Get_Data!A37</f>
        <v>39499</v>
      </c>
      <c r="B38">
        <f>+ROUND(Get_Data!B37,5)</f>
        <v>48.510559999999998</v>
      </c>
      <c r="C38">
        <f>+ROUND(Get_Data!C37,5)</f>
        <v>16.996939999999999</v>
      </c>
      <c r="D38" s="4">
        <f t="shared" si="0"/>
        <v>2.8540760866367711</v>
      </c>
    </row>
    <row r="39" spans="1:4" ht="17" hidden="1" customHeight="1" outlineLevel="1" thickBot="1">
      <c r="A39" s="2">
        <f>+Get_Data!A38</f>
        <v>39500</v>
      </c>
      <c r="B39">
        <f>+ROUND(Get_Data!B38,5)</f>
        <v>48.715290000000003</v>
      </c>
      <c r="C39">
        <f>+ROUND(Get_Data!C38,5)</f>
        <v>17.076080000000001</v>
      </c>
      <c r="D39" s="4">
        <f t="shared" si="0"/>
        <v>2.8528380049753808</v>
      </c>
    </row>
    <row r="40" spans="1:4" ht="17" hidden="1" customHeight="1" outlineLevel="1" thickBot="1">
      <c r="A40" s="2">
        <f>+Get_Data!A39</f>
        <v>39503</v>
      </c>
      <c r="B40">
        <f>+ROUND(Get_Data!B39,5)</f>
        <v>48.858620000000002</v>
      </c>
      <c r="C40">
        <f>+ROUND(Get_Data!C39,5)</f>
        <v>17.225560000000002</v>
      </c>
      <c r="D40" s="4">
        <f t="shared" si="0"/>
        <v>2.8364024159446775</v>
      </c>
    </row>
    <row r="41" spans="1:4" ht="17" hidden="1" customHeight="1" outlineLevel="1" thickBot="1">
      <c r="A41" s="2">
        <f>+Get_Data!A40</f>
        <v>39504</v>
      </c>
      <c r="B41">
        <f>+ROUND(Get_Data!B40,5)</f>
        <v>48.681179999999998</v>
      </c>
      <c r="C41">
        <f>+ROUND(Get_Data!C40,5)</f>
        <v>17.44538</v>
      </c>
      <c r="D41" s="4">
        <f t="shared" si="0"/>
        <v>2.7904912360751095</v>
      </c>
    </row>
    <row r="42" spans="1:4" ht="17" hidden="1" customHeight="1" outlineLevel="1" thickBot="1">
      <c r="A42" s="2">
        <f>+Get_Data!A41</f>
        <v>39505</v>
      </c>
      <c r="B42">
        <f>+ROUND(Get_Data!B41,5)</f>
        <v>48.592460000000003</v>
      </c>
      <c r="C42">
        <f>+ROUND(Get_Data!C41,5)</f>
        <v>17.600729999999999</v>
      </c>
      <c r="D42" s="4">
        <f t="shared" si="0"/>
        <v>2.7608207159589409</v>
      </c>
    </row>
    <row r="43" spans="1:4" ht="17" hidden="1" customHeight="1" outlineLevel="1" thickBot="1">
      <c r="A43" s="2">
        <f>+Get_Data!A42</f>
        <v>39506</v>
      </c>
      <c r="B43">
        <f>+ROUND(Get_Data!B42,5)</f>
        <v>48.49689</v>
      </c>
      <c r="C43">
        <f>+ROUND(Get_Data!C42,5)</f>
        <v>17.427800000000001</v>
      </c>
      <c r="D43" s="4">
        <f t="shared" si="0"/>
        <v>2.7827316127107262</v>
      </c>
    </row>
    <row r="44" spans="1:4" ht="17" hidden="1" customHeight="1" outlineLevel="1" thickBot="1">
      <c r="A44" s="2">
        <f>+Get_Data!A43</f>
        <v>39507</v>
      </c>
      <c r="B44">
        <f>+ROUND(Get_Data!B43,5)</f>
        <v>47.473179999999999</v>
      </c>
      <c r="C44">
        <f>+ROUND(Get_Data!C43,5)</f>
        <v>17.134689999999999</v>
      </c>
      <c r="D44" s="4">
        <f t="shared" si="0"/>
        <v>2.7705887880084203</v>
      </c>
    </row>
    <row r="45" spans="1:4" ht="17" hidden="1" customHeight="1" outlineLevel="1" thickBot="1">
      <c r="A45" s="2">
        <f>+Get_Data!A44</f>
        <v>39510</v>
      </c>
      <c r="B45">
        <f>+ROUND(Get_Data!B44,5)</f>
        <v>47.889490000000002</v>
      </c>
      <c r="C45">
        <f>+ROUND(Get_Data!C44,5)</f>
        <v>17.298829999999999</v>
      </c>
      <c r="D45" s="4">
        <f t="shared" si="0"/>
        <v>2.7683658374583717</v>
      </c>
    </row>
    <row r="46" spans="1:4" ht="17" hidden="1" customHeight="1" outlineLevel="1" thickBot="1">
      <c r="A46" s="2">
        <f>+Get_Data!A45</f>
        <v>39511</v>
      </c>
      <c r="B46">
        <f>+ROUND(Get_Data!B45,5)</f>
        <v>47.800780000000003</v>
      </c>
      <c r="C46">
        <f>+ROUND(Get_Data!C45,5)</f>
        <v>17.401420000000002</v>
      </c>
      <c r="D46" s="4">
        <f t="shared" si="0"/>
        <v>2.7469470882261331</v>
      </c>
    </row>
    <row r="47" spans="1:4" ht="17" hidden="1" customHeight="1" outlineLevel="1" thickBot="1">
      <c r="A47" s="2">
        <f>+Get_Data!A46</f>
        <v>39512</v>
      </c>
      <c r="B47">
        <f>+ROUND(Get_Data!B46,5)</f>
        <v>48.222769999999997</v>
      </c>
      <c r="C47">
        <f>+ROUND(Get_Data!C46,5)</f>
        <v>17.492280000000001</v>
      </c>
      <c r="D47" s="4">
        <f t="shared" si="0"/>
        <v>2.7568030010953399</v>
      </c>
    </row>
    <row r="48" spans="1:4" ht="17" hidden="1" customHeight="1" outlineLevel="1" thickBot="1">
      <c r="A48" s="2">
        <f>+Get_Data!A47</f>
        <v>39513</v>
      </c>
      <c r="B48">
        <f>+ROUND(Get_Data!B47,5)</f>
        <v>48.112969999999997</v>
      </c>
      <c r="C48">
        <f>+ROUND(Get_Data!C47,5)</f>
        <v>17.322279999999999</v>
      </c>
      <c r="D48" s="4">
        <f t="shared" si="0"/>
        <v>2.7775194720325498</v>
      </c>
    </row>
    <row r="49" spans="1:4" ht="17" hidden="1" customHeight="1" outlineLevel="1" thickBot="1">
      <c r="A49" s="2">
        <f>+Get_Data!A48</f>
        <v>39514</v>
      </c>
      <c r="B49">
        <f>+ROUND(Get_Data!B48,5)</f>
        <v>47.749310000000001</v>
      </c>
      <c r="C49">
        <f>+ROUND(Get_Data!C48,5)</f>
        <v>17.248999999999999</v>
      </c>
      <c r="D49" s="4">
        <f t="shared" si="0"/>
        <v>2.7682364195025801</v>
      </c>
    </row>
    <row r="50" spans="1:4" ht="17" hidden="1" customHeight="1" outlineLevel="1" thickBot="1">
      <c r="A50" s="2">
        <f>+Get_Data!A49</f>
        <v>39517</v>
      </c>
      <c r="B50">
        <f>+ROUND(Get_Data!B49,5)</f>
        <v>47.35821</v>
      </c>
      <c r="C50">
        <f>+ROUND(Get_Data!C49,5)</f>
        <v>17.19331</v>
      </c>
      <c r="D50" s="4">
        <f t="shared" si="0"/>
        <v>2.7544556574621173</v>
      </c>
    </row>
    <row r="51" spans="1:4" ht="17" hidden="1" customHeight="1" outlineLevel="1" thickBot="1">
      <c r="A51" s="2">
        <f>+Get_Data!A50</f>
        <v>39518</v>
      </c>
      <c r="B51">
        <f>+ROUND(Get_Data!B50,5)</f>
        <v>47.996339999999996</v>
      </c>
      <c r="C51">
        <f>+ROUND(Get_Data!C50,5)</f>
        <v>17.430730000000001</v>
      </c>
      <c r="D51" s="4">
        <f t="shared" si="0"/>
        <v>2.7535473270482647</v>
      </c>
    </row>
    <row r="52" spans="1:4" ht="17" hidden="1" customHeight="1" outlineLevel="1" thickBot="1">
      <c r="A52" s="2">
        <f>+Get_Data!A51</f>
        <v>39519</v>
      </c>
      <c r="B52">
        <f>+ROUND(Get_Data!B51,5)</f>
        <v>47.728729999999999</v>
      </c>
      <c r="C52">
        <f>+ROUND(Get_Data!C51,5)</f>
        <v>17.573239999999998</v>
      </c>
      <c r="D52" s="4">
        <f t="shared" si="0"/>
        <v>2.7159891972112145</v>
      </c>
    </row>
    <row r="53" spans="1:4" ht="17" hidden="1" customHeight="1" outlineLevel="1" thickBot="1">
      <c r="A53" s="2">
        <f>+Get_Data!A52</f>
        <v>39520</v>
      </c>
      <c r="B53">
        <f>+ROUND(Get_Data!B52,5)</f>
        <v>47.509169999999997</v>
      </c>
      <c r="C53">
        <f>+ROUND(Get_Data!C52,5)</f>
        <v>17.496040000000001</v>
      </c>
      <c r="D53" s="4">
        <f t="shared" si="0"/>
        <v>2.7154241759849653</v>
      </c>
    </row>
    <row r="54" spans="1:4" ht="17" hidden="1" customHeight="1" outlineLevel="1" thickBot="1">
      <c r="A54" s="2">
        <f>+Get_Data!A53</f>
        <v>39521</v>
      </c>
      <c r="B54">
        <f>+ROUND(Get_Data!B53,5)</f>
        <v>46.967109999999998</v>
      </c>
      <c r="C54">
        <f>+ROUND(Get_Data!C53,5)</f>
        <v>17.080390000000001</v>
      </c>
      <c r="D54" s="4">
        <f t="shared" si="0"/>
        <v>2.7497680088101029</v>
      </c>
    </row>
    <row r="55" spans="1:4" ht="17" hidden="1" customHeight="1" outlineLevel="1" thickBot="1">
      <c r="A55" s="2">
        <f>+Get_Data!A54</f>
        <v>39524</v>
      </c>
      <c r="B55">
        <f>+ROUND(Get_Data!B54,5)</f>
        <v>47.447420000000001</v>
      </c>
      <c r="C55">
        <f>+ROUND(Get_Data!C54,5)</f>
        <v>17.127890000000001</v>
      </c>
      <c r="D55" s="4">
        <f t="shared" si="0"/>
        <v>2.7701847688185759</v>
      </c>
    </row>
    <row r="56" spans="1:4" ht="17" hidden="1" customHeight="1" outlineLevel="1" thickBot="1">
      <c r="A56" s="2">
        <f>+Get_Data!A55</f>
        <v>39525</v>
      </c>
      <c r="B56">
        <f>+ROUND(Get_Data!B55,5)</f>
        <v>48.044350000000001</v>
      </c>
      <c r="C56">
        <f>+ROUND(Get_Data!C55,5)</f>
        <v>17.638549999999999</v>
      </c>
      <c r="D56" s="4">
        <f t="shared" si="0"/>
        <v>2.7238265050131676</v>
      </c>
    </row>
    <row r="57" spans="1:4" ht="17" hidden="1" customHeight="1" outlineLevel="1" thickBot="1">
      <c r="A57" s="2">
        <f>+Get_Data!A56</f>
        <v>39526</v>
      </c>
      <c r="B57">
        <f>+ROUND(Get_Data!B56,5)</f>
        <v>48.154130000000002</v>
      </c>
      <c r="C57">
        <f>+ROUND(Get_Data!C56,5)</f>
        <v>17.801850000000002</v>
      </c>
      <c r="D57" s="4">
        <f t="shared" si="0"/>
        <v>2.7050070638725749</v>
      </c>
    </row>
    <row r="58" spans="1:4" ht="17" hidden="1" customHeight="1" outlineLevel="1" thickBot="1">
      <c r="A58" s="2">
        <f>+Get_Data!A57</f>
        <v>39527</v>
      </c>
      <c r="B58">
        <f>+ROUND(Get_Data!B57,5)</f>
        <v>48.847160000000002</v>
      </c>
      <c r="C58">
        <f>+ROUND(Get_Data!C57,5)</f>
        <v>18.122489999999999</v>
      </c>
      <c r="D58" s="4">
        <f t="shared" si="0"/>
        <v>2.6953889890406897</v>
      </c>
    </row>
    <row r="59" spans="1:4" ht="17" hidden="1" customHeight="1" outlineLevel="1" thickBot="1">
      <c r="A59" s="2">
        <f>+Get_Data!A58</f>
        <v>39531</v>
      </c>
      <c r="B59">
        <f>+ROUND(Get_Data!B58,5)</f>
        <v>49.025550000000003</v>
      </c>
      <c r="C59">
        <f>+ROUND(Get_Data!C58,5)</f>
        <v>18.16405</v>
      </c>
      <c r="D59" s="4">
        <f t="shared" si="0"/>
        <v>2.6990428896639242</v>
      </c>
    </row>
    <row r="60" spans="1:4" ht="17" hidden="1" customHeight="1" outlineLevel="1" thickBot="1">
      <c r="A60" s="2">
        <f>+Get_Data!A59</f>
        <v>39532</v>
      </c>
      <c r="B60">
        <f>+ROUND(Get_Data!B59,5)</f>
        <v>49.087319999999998</v>
      </c>
      <c r="C60">
        <f>+ROUND(Get_Data!C59,5)</f>
        <v>18.23235</v>
      </c>
      <c r="D60" s="4">
        <f t="shared" si="0"/>
        <v>2.692319969724144</v>
      </c>
    </row>
    <row r="61" spans="1:4" ht="17" hidden="1" customHeight="1" outlineLevel="1" thickBot="1">
      <c r="A61" s="2">
        <f>+Get_Data!A60</f>
        <v>39533</v>
      </c>
      <c r="B61">
        <f>+ROUND(Get_Data!B60,5)</f>
        <v>48.82658</v>
      </c>
      <c r="C61">
        <f>+ROUND(Get_Data!C60,5)</f>
        <v>18.155149999999999</v>
      </c>
      <c r="D61" s="4">
        <f t="shared" si="0"/>
        <v>2.6894065871116459</v>
      </c>
    </row>
    <row r="62" spans="1:4" ht="17" hidden="1" customHeight="1" outlineLevel="1" thickBot="1">
      <c r="A62" s="2">
        <f>+Get_Data!A61</f>
        <v>39534</v>
      </c>
      <c r="B62">
        <f>+ROUND(Get_Data!B61,5)</f>
        <v>48.847160000000002</v>
      </c>
      <c r="C62">
        <f>+ROUND(Get_Data!C61,5)</f>
        <v>18.202649999999998</v>
      </c>
      <c r="D62" s="4">
        <f t="shared" si="0"/>
        <v>2.6835191579248079</v>
      </c>
    </row>
    <row r="63" spans="1:4" ht="17" hidden="1" customHeight="1" outlineLevel="1" thickBot="1">
      <c r="A63" s="2">
        <f>+Get_Data!A62</f>
        <v>39535</v>
      </c>
      <c r="B63">
        <f>+ROUND(Get_Data!B62,5)</f>
        <v>49.101039999999998</v>
      </c>
      <c r="C63">
        <f>+ROUND(Get_Data!C62,5)</f>
        <v>18.0928</v>
      </c>
      <c r="D63" s="4">
        <f t="shared" si="0"/>
        <v>2.7138441811107179</v>
      </c>
    </row>
    <row r="64" spans="1:4" ht="17" hidden="1" customHeight="1" outlineLevel="1" thickBot="1">
      <c r="A64" s="2">
        <f>+Get_Data!A63</f>
        <v>39538</v>
      </c>
      <c r="B64">
        <f>+ROUND(Get_Data!B63,5)</f>
        <v>49.540170000000003</v>
      </c>
      <c r="C64">
        <f>+ROUND(Get_Data!C63,5)</f>
        <v>18.072019999999998</v>
      </c>
      <c r="D64" s="4">
        <f t="shared" si="0"/>
        <v>2.7412635665520515</v>
      </c>
    </row>
    <row r="65" spans="1:4" ht="17" hidden="1" customHeight="1" outlineLevel="1" thickBot="1">
      <c r="A65" s="2">
        <f>+Get_Data!A64</f>
        <v>39539</v>
      </c>
      <c r="B65">
        <f>+ROUND(Get_Data!B64,5)</f>
        <v>49.492139999999999</v>
      </c>
      <c r="C65">
        <f>+ROUND(Get_Data!C64,5)</f>
        <v>18.241250000000001</v>
      </c>
      <c r="D65" s="4">
        <f t="shared" si="0"/>
        <v>2.7131989309943121</v>
      </c>
    </row>
    <row r="66" spans="1:4" ht="17" hidden="1" customHeight="1" outlineLevel="1" thickBot="1">
      <c r="A66" s="2">
        <f>+Get_Data!A65</f>
        <v>39540</v>
      </c>
      <c r="B66">
        <f>+ROUND(Get_Data!B65,5)</f>
        <v>49.004980000000003</v>
      </c>
      <c r="C66">
        <f>+ROUND(Get_Data!C65,5)</f>
        <v>17.950289999999999</v>
      </c>
      <c r="D66" s="4">
        <f t="shared" si="0"/>
        <v>2.7300383447844023</v>
      </c>
    </row>
    <row r="67" spans="1:4" ht="17" hidden="1" customHeight="1" outlineLevel="1" thickBot="1">
      <c r="A67" s="2">
        <f>+Get_Data!A66</f>
        <v>39541</v>
      </c>
      <c r="B67">
        <f>+ROUND(Get_Data!B66,5)</f>
        <v>48.991259999999997</v>
      </c>
      <c r="C67">
        <f>+ROUND(Get_Data!C66,5)</f>
        <v>17.979980000000001</v>
      </c>
      <c r="D67" s="4">
        <f t="shared" si="0"/>
        <v>2.724767213311694</v>
      </c>
    </row>
    <row r="68" spans="1:4" ht="17" hidden="1" customHeight="1" outlineLevel="1" thickBot="1">
      <c r="A68" s="2">
        <f>+Get_Data!A67</f>
        <v>39542</v>
      </c>
      <c r="B68">
        <f>+ROUND(Get_Data!B67,5)</f>
        <v>49.08043</v>
      </c>
      <c r="C68">
        <f>+ROUND(Get_Data!C67,5)</f>
        <v>17.88795</v>
      </c>
      <c r="D68" s="4">
        <f t="shared" ref="D68:D131" si="1">IFERROR(B68/C68,"")</f>
        <v>2.7437705270866699</v>
      </c>
    </row>
    <row r="69" spans="1:4" ht="17" hidden="1" customHeight="1" outlineLevel="1" thickBot="1">
      <c r="A69" s="2">
        <f>+Get_Data!A68</f>
        <v>39545</v>
      </c>
      <c r="B69">
        <f>+ROUND(Get_Data!B68,5)</f>
        <v>49.30688</v>
      </c>
      <c r="C69">
        <f>+ROUND(Get_Data!C68,5)</f>
        <v>17.923580000000001</v>
      </c>
      <c r="D69" s="4">
        <f t="shared" si="1"/>
        <v>2.7509504239666405</v>
      </c>
    </row>
    <row r="70" spans="1:4" ht="17" hidden="1" customHeight="1" outlineLevel="1" thickBot="1">
      <c r="A70" s="2">
        <f>+Get_Data!A69</f>
        <v>39546</v>
      </c>
      <c r="B70">
        <f>+ROUND(Get_Data!B69,5)</f>
        <v>48.908909999999999</v>
      </c>
      <c r="C70">
        <f>+ROUND(Get_Data!C69,5)</f>
        <v>17.965140000000002</v>
      </c>
      <c r="D70" s="4">
        <f t="shared" si="1"/>
        <v>2.7224341140675774</v>
      </c>
    </row>
    <row r="71" spans="1:4" ht="17" hidden="1" customHeight="1" outlineLevel="1" thickBot="1">
      <c r="A71" s="2">
        <f>+Get_Data!A70</f>
        <v>39547</v>
      </c>
      <c r="B71">
        <f>+ROUND(Get_Data!B70,5)</f>
        <v>48.696210000000001</v>
      </c>
      <c r="C71">
        <f>+ROUND(Get_Data!C70,5)</f>
        <v>18.045300000000001</v>
      </c>
      <c r="D71" s="4">
        <f t="shared" si="1"/>
        <v>2.6985536400059846</v>
      </c>
    </row>
    <row r="72" spans="1:4" ht="17" hidden="1" customHeight="1" outlineLevel="1" thickBot="1">
      <c r="A72" s="2">
        <f>+Get_Data!A71</f>
        <v>39548</v>
      </c>
      <c r="B72">
        <f>+ROUND(Get_Data!B71,5)</f>
        <v>49.197110000000002</v>
      </c>
      <c r="C72">
        <f>+ROUND(Get_Data!C71,5)</f>
        <v>18.208590000000001</v>
      </c>
      <c r="D72" s="4">
        <f t="shared" si="1"/>
        <v>2.7018626922787541</v>
      </c>
    </row>
    <row r="73" spans="1:4" ht="17" hidden="1" customHeight="1" outlineLevel="1" thickBot="1">
      <c r="A73" s="2">
        <f>+Get_Data!A72</f>
        <v>39549</v>
      </c>
      <c r="B73">
        <f>+ROUND(Get_Data!B72,5)</f>
        <v>48.991259999999997</v>
      </c>
      <c r="C73">
        <f>+ROUND(Get_Data!C72,5)</f>
        <v>17.899819999999998</v>
      </c>
      <c r="D73" s="4">
        <f t="shared" si="1"/>
        <v>2.7369694220388809</v>
      </c>
    </row>
    <row r="74" spans="1:4" ht="17" hidden="1" customHeight="1" outlineLevel="1" thickBot="1">
      <c r="A74" s="2">
        <f>+Get_Data!A73</f>
        <v>39552</v>
      </c>
      <c r="B74">
        <f>+ROUND(Get_Data!B73,5)</f>
        <v>48.682479999999998</v>
      </c>
      <c r="C74">
        <f>+ROUND(Get_Data!C73,5)</f>
        <v>18.110610000000001</v>
      </c>
      <c r="D74" s="4">
        <f t="shared" si="1"/>
        <v>2.6880640685211592</v>
      </c>
    </row>
    <row r="75" spans="1:4" ht="17" hidden="1" customHeight="1" outlineLevel="1" thickBot="1">
      <c r="A75" s="2">
        <f>+Get_Data!A74</f>
        <v>39553</v>
      </c>
      <c r="B75">
        <f>+ROUND(Get_Data!B74,5)</f>
        <v>48.867730000000002</v>
      </c>
      <c r="C75">
        <f>+ROUND(Get_Data!C74,5)</f>
        <v>18.0928</v>
      </c>
      <c r="D75" s="4">
        <f t="shared" si="1"/>
        <v>2.7009489962858155</v>
      </c>
    </row>
    <row r="76" spans="1:4" ht="17" hidden="1" customHeight="1" outlineLevel="1" thickBot="1">
      <c r="A76" s="2">
        <f>+Get_Data!A75</f>
        <v>39554</v>
      </c>
      <c r="B76">
        <f>+ROUND(Get_Data!B75,5)</f>
        <v>48.792279999999998</v>
      </c>
      <c r="C76">
        <f>+ROUND(Get_Data!C75,5)</f>
        <v>18.155149999999999</v>
      </c>
      <c r="D76" s="4">
        <f t="shared" si="1"/>
        <v>2.687517316023277</v>
      </c>
    </row>
    <row r="77" spans="1:4" ht="17" hidden="1" customHeight="1" outlineLevel="1" thickBot="1">
      <c r="A77" s="2">
        <f>+Get_Data!A76</f>
        <v>39555</v>
      </c>
      <c r="B77">
        <f>+ROUND(Get_Data!B76,5)</f>
        <v>48.558970000000002</v>
      </c>
      <c r="C77">
        <f>+ROUND(Get_Data!C76,5)</f>
        <v>18.015609999999999</v>
      </c>
      <c r="D77" s="4">
        <f t="shared" si="1"/>
        <v>2.6953830594689832</v>
      </c>
    </row>
    <row r="78" spans="1:4" ht="17" hidden="1" customHeight="1" outlineLevel="1" thickBot="1">
      <c r="A78" s="2">
        <f>+Get_Data!A77</f>
        <v>39556</v>
      </c>
      <c r="B78">
        <f>+ROUND(Get_Data!B77,5)</f>
        <v>48.442329999999998</v>
      </c>
      <c r="C78">
        <f>+ROUND(Get_Data!C77,5)</f>
        <v>17.84638</v>
      </c>
      <c r="D78" s="4">
        <f t="shared" si="1"/>
        <v>2.714406507089953</v>
      </c>
    </row>
    <row r="79" spans="1:4" ht="17" hidden="1" customHeight="1" outlineLevel="1" thickBot="1">
      <c r="A79" s="2">
        <f>+Get_Data!A78</f>
        <v>39559</v>
      </c>
      <c r="B79">
        <f>+ROUND(Get_Data!B78,5)</f>
        <v>47.962029999999999</v>
      </c>
      <c r="C79">
        <f>+ROUND(Get_Data!C78,5)</f>
        <v>17.917629999999999</v>
      </c>
      <c r="D79" s="4">
        <f t="shared" si="1"/>
        <v>2.6768065865853909</v>
      </c>
    </row>
    <row r="80" spans="1:4" ht="17" hidden="1" customHeight="1" outlineLevel="1" thickBot="1">
      <c r="A80" s="2">
        <f>+Get_Data!A79</f>
        <v>39560</v>
      </c>
      <c r="B80">
        <f>+ROUND(Get_Data!B79,5)</f>
        <v>47.413110000000003</v>
      </c>
      <c r="C80">
        <f>+ROUND(Get_Data!C79,5)</f>
        <v>17.78106</v>
      </c>
      <c r="D80" s="4">
        <f t="shared" si="1"/>
        <v>2.6664951358355466</v>
      </c>
    </row>
    <row r="81" spans="1:4" ht="17" hidden="1" customHeight="1" outlineLevel="1" thickBot="1">
      <c r="A81" s="2">
        <f>+Get_Data!A80</f>
        <v>39561</v>
      </c>
      <c r="B81">
        <f>+ROUND(Get_Data!B80,5)</f>
        <v>47.47486</v>
      </c>
      <c r="C81">
        <f>+ROUND(Get_Data!C80,5)</f>
        <v>17.908729999999998</v>
      </c>
      <c r="D81" s="4">
        <f t="shared" si="1"/>
        <v>2.6509339299883354</v>
      </c>
    </row>
    <row r="82" spans="1:4" ht="17" hidden="1" customHeight="1" outlineLevel="1" thickBot="1">
      <c r="A82" s="2">
        <f>+Get_Data!A81</f>
        <v>39562</v>
      </c>
      <c r="B82">
        <f>+ROUND(Get_Data!B81,5)</f>
        <v>46.658340000000003</v>
      </c>
      <c r="C82">
        <f>+ROUND(Get_Data!C81,5)</f>
        <v>17.88795</v>
      </c>
      <c r="D82" s="4">
        <f t="shared" si="1"/>
        <v>2.6083670851047773</v>
      </c>
    </row>
    <row r="83" spans="1:4" ht="17" hidden="1" customHeight="1" outlineLevel="1" thickBot="1">
      <c r="A83" s="2">
        <f>+Get_Data!A82</f>
        <v>39563</v>
      </c>
      <c r="B83">
        <f>+ROUND(Get_Data!B82,5)</f>
        <v>46.39761</v>
      </c>
      <c r="C83">
        <f>+ROUND(Get_Data!C82,5)</f>
        <v>17.614809999999999</v>
      </c>
      <c r="D83" s="4">
        <f t="shared" si="1"/>
        <v>2.6340113801965508</v>
      </c>
    </row>
    <row r="84" spans="1:4" ht="17" hidden="1" customHeight="1" outlineLevel="1" thickBot="1">
      <c r="A84" s="2">
        <f>+Get_Data!A83</f>
        <v>39566</v>
      </c>
      <c r="B84">
        <f>+ROUND(Get_Data!B83,5)</f>
        <v>46.768120000000003</v>
      </c>
      <c r="C84">
        <f>+ROUND(Get_Data!C83,5)</f>
        <v>17.51089</v>
      </c>
      <c r="D84" s="4">
        <f t="shared" si="1"/>
        <v>2.6708019980709148</v>
      </c>
    </row>
    <row r="85" spans="1:4" ht="17" hidden="1" customHeight="1" outlineLevel="1" thickBot="1">
      <c r="A85" s="2">
        <f>+Get_Data!A84</f>
        <v>39567</v>
      </c>
      <c r="B85">
        <f>+ROUND(Get_Data!B84,5)</f>
        <v>46.795569999999998</v>
      </c>
      <c r="C85">
        <f>+ROUND(Get_Data!C84,5)</f>
        <v>17.433700000000002</v>
      </c>
      <c r="D85" s="4">
        <f t="shared" si="1"/>
        <v>2.6842018619111259</v>
      </c>
    </row>
    <row r="86" spans="1:4" ht="17" hidden="1" customHeight="1" outlineLevel="1" thickBot="1">
      <c r="A86" s="2">
        <f>+Get_Data!A85</f>
        <v>39568</v>
      </c>
      <c r="B86">
        <f>+ROUND(Get_Data!B85,5)</f>
        <v>47.021999999999998</v>
      </c>
      <c r="C86">
        <f>+ROUND(Get_Data!C85,5)</f>
        <v>17.47822</v>
      </c>
      <c r="D86" s="4">
        <f t="shared" si="1"/>
        <v>2.6903197236331846</v>
      </c>
    </row>
    <row r="87" spans="1:4" ht="17" hidden="1" customHeight="1" outlineLevel="1" thickBot="1">
      <c r="A87" s="2">
        <f>+Get_Data!A86</f>
        <v>39569</v>
      </c>
      <c r="B87">
        <f>+ROUND(Get_Data!B86,5)</f>
        <v>47.00141</v>
      </c>
      <c r="C87">
        <f>+ROUND(Get_Data!C86,5)</f>
        <v>17.54355</v>
      </c>
      <c r="D87" s="4">
        <f t="shared" si="1"/>
        <v>2.6791276566031392</v>
      </c>
    </row>
    <row r="88" spans="1:4" ht="17" hidden="1" customHeight="1" outlineLevel="1" thickBot="1">
      <c r="A88" s="2">
        <f>+Get_Data!A87</f>
        <v>39570</v>
      </c>
      <c r="B88">
        <f>+ROUND(Get_Data!B87,5)</f>
        <v>47.413110000000003</v>
      </c>
      <c r="C88">
        <f>+ROUND(Get_Data!C87,5)</f>
        <v>17.448540000000001</v>
      </c>
      <c r="D88" s="4">
        <f t="shared" si="1"/>
        <v>2.7173110185723277</v>
      </c>
    </row>
    <row r="89" spans="1:4" ht="17" hidden="1" customHeight="1" outlineLevel="1" thickBot="1">
      <c r="A89" s="2">
        <f>+Get_Data!A88</f>
        <v>39573</v>
      </c>
      <c r="B89">
        <f>+ROUND(Get_Data!B88,5)</f>
        <v>47.04945</v>
      </c>
      <c r="C89">
        <f>+ROUND(Get_Data!C88,5)</f>
        <v>17.332750000000001</v>
      </c>
      <c r="D89" s="4">
        <f t="shared" si="1"/>
        <v>2.7144826989369832</v>
      </c>
    </row>
    <row r="90" spans="1:4" ht="17" hidden="1" customHeight="1" outlineLevel="1" thickBot="1">
      <c r="A90" s="2">
        <f>+Get_Data!A89</f>
        <v>39574</v>
      </c>
      <c r="B90">
        <f>+ROUND(Get_Data!B89,5)</f>
        <v>47.04945</v>
      </c>
      <c r="C90">
        <f>+ROUND(Get_Data!C89,5)</f>
        <v>17.3001</v>
      </c>
      <c r="D90" s="4">
        <f t="shared" si="1"/>
        <v>2.7196056670192656</v>
      </c>
    </row>
    <row r="91" spans="1:4" ht="17" hidden="1" customHeight="1" outlineLevel="1" thickBot="1">
      <c r="A91" s="2">
        <f>+Get_Data!A90</f>
        <v>39575</v>
      </c>
      <c r="B91">
        <f>+ROUND(Get_Data!B90,5)</f>
        <v>46.665210000000002</v>
      </c>
      <c r="C91">
        <f>+ROUND(Get_Data!C90,5)</f>
        <v>16.931940000000001</v>
      </c>
      <c r="D91" s="4">
        <f t="shared" si="1"/>
        <v>2.7560462652241857</v>
      </c>
    </row>
    <row r="92" spans="1:4" ht="17" hidden="1" customHeight="1" outlineLevel="1" thickBot="1">
      <c r="A92" s="2">
        <f>+Get_Data!A91</f>
        <v>39576</v>
      </c>
      <c r="B92">
        <f>+ROUND(Get_Data!B91,5)</f>
        <v>46.342709999999997</v>
      </c>
      <c r="C92">
        <f>+ROUND(Get_Data!C91,5)</f>
        <v>16.712240000000001</v>
      </c>
      <c r="D92" s="4">
        <f t="shared" si="1"/>
        <v>2.7729801630421771</v>
      </c>
    </row>
    <row r="93" spans="1:4" ht="17" hidden="1" customHeight="1" outlineLevel="1" thickBot="1">
      <c r="A93" s="2">
        <f>+Get_Data!A92</f>
        <v>39577</v>
      </c>
      <c r="B93">
        <f>+ROUND(Get_Data!B92,5)</f>
        <v>46.322119999999998</v>
      </c>
      <c r="C93">
        <f>+ROUND(Get_Data!C92,5)</f>
        <v>16.670680000000001</v>
      </c>
      <c r="D93" s="4">
        <f t="shared" si="1"/>
        <v>2.7786580991297294</v>
      </c>
    </row>
    <row r="94" spans="1:4" ht="17" hidden="1" customHeight="1" outlineLevel="1" thickBot="1">
      <c r="A94" s="2">
        <f>+Get_Data!A93</f>
        <v>39580</v>
      </c>
      <c r="B94">
        <f>+ROUND(Get_Data!B93,5)</f>
        <v>46.212350000000001</v>
      </c>
      <c r="C94">
        <f>+ROUND(Get_Data!C93,5)</f>
        <v>16.744900000000001</v>
      </c>
      <c r="D94" s="4">
        <f t="shared" si="1"/>
        <v>2.759786561878542</v>
      </c>
    </row>
    <row r="95" spans="1:4" ht="17" hidden="1" customHeight="1" outlineLevel="1" thickBot="1">
      <c r="A95" s="2">
        <f>+Get_Data!A94</f>
        <v>39581</v>
      </c>
      <c r="B95">
        <f>+ROUND(Get_Data!B94,5)</f>
        <v>46.143729999999998</v>
      </c>
      <c r="C95">
        <f>+ROUND(Get_Data!C94,5)</f>
        <v>16.77459</v>
      </c>
      <c r="D95" s="4">
        <f t="shared" si="1"/>
        <v>2.7508111971738205</v>
      </c>
    </row>
    <row r="96" spans="1:4" ht="17" hidden="1" customHeight="1" outlineLevel="1" thickBot="1">
      <c r="A96" s="2">
        <f>+Get_Data!A95</f>
        <v>39582</v>
      </c>
      <c r="B96">
        <f>+ROUND(Get_Data!B95,5)</f>
        <v>46.040799999999997</v>
      </c>
      <c r="C96">
        <f>+ROUND(Get_Data!C95,5)</f>
        <v>16.786460000000002</v>
      </c>
      <c r="D96" s="4">
        <f t="shared" si="1"/>
        <v>2.7427343227815748</v>
      </c>
    </row>
    <row r="97" spans="1:4" ht="17" hidden="1" customHeight="1" outlineLevel="1" thickBot="1">
      <c r="A97" s="2">
        <f>+Get_Data!A96</f>
        <v>39583</v>
      </c>
      <c r="B97">
        <f>+ROUND(Get_Data!B96,5)</f>
        <v>46.70637</v>
      </c>
      <c r="C97">
        <f>+ROUND(Get_Data!C96,5)</f>
        <v>16.926010000000002</v>
      </c>
      <c r="D97" s="4">
        <f t="shared" si="1"/>
        <v>2.7594436018884543</v>
      </c>
    </row>
    <row r="98" spans="1:4" ht="17" hidden="1" customHeight="1" outlineLevel="1" thickBot="1">
      <c r="A98" s="2">
        <f>+Get_Data!A97</f>
        <v>39584</v>
      </c>
      <c r="B98">
        <f>+ROUND(Get_Data!B97,5)</f>
        <v>46.56915</v>
      </c>
      <c r="C98">
        <f>+ROUND(Get_Data!C97,5)</f>
        <v>16.943819999999999</v>
      </c>
      <c r="D98" s="4">
        <f t="shared" si="1"/>
        <v>2.7484445656292387</v>
      </c>
    </row>
    <row r="99" spans="1:4" ht="17" hidden="1" customHeight="1" outlineLevel="1" thickBot="1">
      <c r="A99" s="2">
        <f>+Get_Data!A98</f>
        <v>39587</v>
      </c>
      <c r="B99">
        <f>+ROUND(Get_Data!B98,5)</f>
        <v>46.678919999999998</v>
      </c>
      <c r="C99">
        <f>+ROUND(Get_Data!C98,5)</f>
        <v>17.07742</v>
      </c>
      <c r="D99" s="4">
        <f t="shared" si="1"/>
        <v>2.7333707316444755</v>
      </c>
    </row>
    <row r="100" spans="1:4" ht="17" hidden="1" customHeight="1" outlineLevel="1" thickBot="1">
      <c r="A100" s="2">
        <f>+Get_Data!A99</f>
        <v>39588</v>
      </c>
      <c r="B100">
        <f>+ROUND(Get_Data!B99,5)</f>
        <v>46.287799999999997</v>
      </c>
      <c r="C100">
        <f>+ROUND(Get_Data!C99,5)</f>
        <v>16.949760000000001</v>
      </c>
      <c r="D100" s="4">
        <f t="shared" si="1"/>
        <v>2.7308823251774652</v>
      </c>
    </row>
    <row r="101" spans="1:4" ht="17" hidden="1" customHeight="1" outlineLevel="1" thickBot="1">
      <c r="A101" s="2">
        <f>+Get_Data!A100</f>
        <v>39589</v>
      </c>
      <c r="B101">
        <f>+ROUND(Get_Data!B100,5)</f>
        <v>46.157449999999997</v>
      </c>
      <c r="C101">
        <f>+ROUND(Get_Data!C100,5)</f>
        <v>16.819130000000001</v>
      </c>
      <c r="D101" s="4">
        <f t="shared" si="1"/>
        <v>2.74434230545813</v>
      </c>
    </row>
    <row r="102" spans="1:4" ht="17" hidden="1" customHeight="1" outlineLevel="1" thickBot="1">
      <c r="A102" s="2">
        <f>+Get_Data!A101</f>
        <v>39590</v>
      </c>
      <c r="B102">
        <f>+ROUND(Get_Data!B101,5)</f>
        <v>46.919080000000001</v>
      </c>
      <c r="C102">
        <f>+ROUND(Get_Data!C101,5)</f>
        <v>17.3001</v>
      </c>
      <c r="D102" s="4">
        <f t="shared" si="1"/>
        <v>2.7120698724284829</v>
      </c>
    </row>
    <row r="103" spans="1:4" ht="17" hidden="1" customHeight="1" outlineLevel="1" thickBot="1">
      <c r="A103" s="2">
        <f>+Get_Data!A102</f>
        <v>39591</v>
      </c>
      <c r="B103">
        <f>+ROUND(Get_Data!B102,5)</f>
        <v>46.836730000000003</v>
      </c>
      <c r="C103">
        <f>+ROUND(Get_Data!C102,5)</f>
        <v>17.406980000000001</v>
      </c>
      <c r="D103" s="4">
        <f t="shared" si="1"/>
        <v>2.690686724520853</v>
      </c>
    </row>
    <row r="104" spans="1:4" ht="17" hidden="1" customHeight="1" outlineLevel="1" thickBot="1">
      <c r="A104" s="2">
        <f>+Get_Data!A103</f>
        <v>39595</v>
      </c>
      <c r="B104">
        <f>+ROUND(Get_Data!B103,5)</f>
        <v>47.351349999999996</v>
      </c>
      <c r="C104">
        <f>+ROUND(Get_Data!C103,5)</f>
        <v>17.395109999999999</v>
      </c>
      <c r="D104" s="4">
        <f t="shared" si="1"/>
        <v>2.7221069599444903</v>
      </c>
    </row>
    <row r="105" spans="1:4" ht="17" hidden="1" customHeight="1" outlineLevel="1" thickBot="1">
      <c r="A105" s="2">
        <f>+Get_Data!A104</f>
        <v>39596</v>
      </c>
      <c r="B105">
        <f>+ROUND(Get_Data!B104,5)</f>
        <v>46.610309999999998</v>
      </c>
      <c r="C105">
        <f>+ROUND(Get_Data!C104,5)</f>
        <v>17.05367</v>
      </c>
      <c r="D105" s="4">
        <f t="shared" si="1"/>
        <v>2.7331542125536612</v>
      </c>
    </row>
    <row r="106" spans="1:4" ht="17" hidden="1" customHeight="1" outlineLevel="1" thickBot="1">
      <c r="A106" s="2">
        <f>+Get_Data!A105</f>
        <v>39597</v>
      </c>
      <c r="B106">
        <f>+ROUND(Get_Data!B105,5)</f>
        <v>47.22786</v>
      </c>
      <c r="C106">
        <f>+ROUND(Get_Data!C105,5)</f>
        <v>17.181329999999999</v>
      </c>
      <c r="D106" s="4">
        <f t="shared" si="1"/>
        <v>2.748789529099319</v>
      </c>
    </row>
    <row r="107" spans="1:4" ht="17" hidden="1" customHeight="1" outlineLevel="1" thickBot="1">
      <c r="A107" s="2">
        <f>+Get_Data!A106</f>
        <v>39598</v>
      </c>
      <c r="B107">
        <f>+ROUND(Get_Data!B106,5)</f>
        <v>46.864190000000001</v>
      </c>
      <c r="C107">
        <f>+ROUND(Get_Data!C106,5)</f>
        <v>17.000229999999998</v>
      </c>
      <c r="D107" s="4">
        <f t="shared" si="1"/>
        <v>2.7566797625679187</v>
      </c>
    </row>
    <row r="108" spans="1:4" ht="17" hidden="1" customHeight="1" outlineLevel="1" thickBot="1">
      <c r="A108" s="2">
        <f>+Get_Data!A107</f>
        <v>39601</v>
      </c>
      <c r="B108">
        <f>+ROUND(Get_Data!B107,5)</f>
        <v>46.349559999999997</v>
      </c>
      <c r="C108">
        <f>+ROUND(Get_Data!C107,5)</f>
        <v>16.92304</v>
      </c>
      <c r="D108" s="4">
        <f t="shared" si="1"/>
        <v>2.7388436120224262</v>
      </c>
    </row>
    <row r="109" spans="1:4" ht="17" hidden="1" customHeight="1" outlineLevel="1" thickBot="1">
      <c r="A109" s="2">
        <f>+Get_Data!A108</f>
        <v>39602</v>
      </c>
      <c r="B109">
        <f>+ROUND(Get_Data!B108,5)</f>
        <v>46.006500000000003</v>
      </c>
      <c r="C109">
        <f>+ROUND(Get_Data!C108,5)</f>
        <v>16.744900000000001</v>
      </c>
      <c r="D109" s="4">
        <f t="shared" si="1"/>
        <v>2.7474932666065488</v>
      </c>
    </row>
    <row r="110" spans="1:4" ht="17" hidden="1" customHeight="1" outlineLevel="1" thickBot="1">
      <c r="A110" s="2">
        <f>+Get_Data!A109</f>
        <v>39603</v>
      </c>
      <c r="B110">
        <f>+ROUND(Get_Data!B109,5)</f>
        <v>46.037559999999999</v>
      </c>
      <c r="C110">
        <f>+ROUND(Get_Data!C109,5)</f>
        <v>16.833960000000001</v>
      </c>
      <c r="D110" s="4">
        <f t="shared" si="1"/>
        <v>2.7348027439770557</v>
      </c>
    </row>
    <row r="111" spans="1:4" ht="17" hidden="1" customHeight="1" outlineLevel="1" thickBot="1">
      <c r="A111" s="2">
        <f>+Get_Data!A110</f>
        <v>39604</v>
      </c>
      <c r="B111">
        <f>+ROUND(Get_Data!B110,5)</f>
        <v>46.465690000000002</v>
      </c>
      <c r="C111">
        <f>+ROUND(Get_Data!C110,5)</f>
        <v>16.97945</v>
      </c>
      <c r="D111" s="4">
        <f t="shared" si="1"/>
        <v>2.7365839293970065</v>
      </c>
    </row>
    <row r="112" spans="1:4" ht="17" hidden="1" customHeight="1" outlineLevel="1" thickBot="1">
      <c r="A112" s="2">
        <f>+Get_Data!A111</f>
        <v>39605</v>
      </c>
      <c r="B112">
        <f>+ROUND(Get_Data!B111,5)</f>
        <v>45.243459999999999</v>
      </c>
      <c r="C112">
        <f>+ROUND(Get_Data!C111,5)</f>
        <v>16.566759999999999</v>
      </c>
      <c r="D112" s="4">
        <f t="shared" si="1"/>
        <v>2.7309781755756708</v>
      </c>
    </row>
    <row r="113" spans="1:4" ht="17" hidden="1" customHeight="1" outlineLevel="1" thickBot="1">
      <c r="A113" s="2">
        <f>+Get_Data!A112</f>
        <v>39608</v>
      </c>
      <c r="B113">
        <f>+ROUND(Get_Data!B112,5)</f>
        <v>45.139870000000002</v>
      </c>
      <c r="C113">
        <f>+ROUND(Get_Data!C112,5)</f>
        <v>16.584569999999999</v>
      </c>
      <c r="D113" s="4">
        <f t="shared" si="1"/>
        <v>2.7217992386899392</v>
      </c>
    </row>
    <row r="114" spans="1:4" ht="17" hidden="1" customHeight="1" outlineLevel="1" thickBot="1">
      <c r="A114" s="2">
        <f>+Get_Data!A113</f>
        <v>39609</v>
      </c>
      <c r="B114">
        <f>+ROUND(Get_Data!B113,5)</f>
        <v>46.665950000000002</v>
      </c>
      <c r="C114">
        <f>+ROUND(Get_Data!C113,5)</f>
        <v>17.222899999999999</v>
      </c>
      <c r="D114" s="4">
        <f t="shared" si="1"/>
        <v>2.7095291733680162</v>
      </c>
    </row>
    <row r="115" spans="1:4" ht="17" hidden="1" customHeight="1" outlineLevel="1" thickBot="1">
      <c r="A115" s="2">
        <f>+Get_Data!A114</f>
        <v>39610</v>
      </c>
      <c r="B115">
        <f>+ROUND(Get_Data!B114,5)</f>
        <v>46.603789999999996</v>
      </c>
      <c r="C115">
        <f>+ROUND(Get_Data!C114,5)</f>
        <v>17.189810000000001</v>
      </c>
      <c r="D115" s="4">
        <f t="shared" si="1"/>
        <v>2.7111288606447652</v>
      </c>
    </row>
    <row r="116" spans="1:4" ht="17" hidden="1" customHeight="1" outlineLevel="1" thickBot="1">
      <c r="A116" s="2">
        <f>+Get_Data!A115</f>
        <v>39611</v>
      </c>
      <c r="B116">
        <f>+ROUND(Get_Data!B115,5)</f>
        <v>46.921430000000001</v>
      </c>
      <c r="C116">
        <f>+ROUND(Get_Data!C115,5)</f>
        <v>17.189810000000001</v>
      </c>
      <c r="D116" s="4">
        <f t="shared" si="1"/>
        <v>2.7296072498765254</v>
      </c>
    </row>
    <row r="117" spans="1:4" ht="17" hidden="1" customHeight="1" outlineLevel="1" thickBot="1">
      <c r="A117" s="2">
        <f>+Get_Data!A116</f>
        <v>39612</v>
      </c>
      <c r="B117">
        <f>+ROUND(Get_Data!B116,5)</f>
        <v>46.638330000000003</v>
      </c>
      <c r="C117">
        <f>+ROUND(Get_Data!C116,5)</f>
        <v>16.672370000000001</v>
      </c>
      <c r="D117" s="4">
        <f t="shared" si="1"/>
        <v>2.7973425493796023</v>
      </c>
    </row>
    <row r="118" spans="1:4" ht="17" hidden="1" customHeight="1" outlineLevel="1" thickBot="1">
      <c r="A118" s="2">
        <f>+Get_Data!A117</f>
        <v>39615</v>
      </c>
      <c r="B118">
        <f>+ROUND(Get_Data!B117,5)</f>
        <v>45.602519999999998</v>
      </c>
      <c r="C118">
        <f>+ROUND(Get_Data!C117,5)</f>
        <v>16.299330000000001</v>
      </c>
      <c r="D118" s="4">
        <f t="shared" si="1"/>
        <v>2.797815615733898</v>
      </c>
    </row>
    <row r="119" spans="1:4" ht="17" hidden="1" customHeight="1" outlineLevel="1" thickBot="1">
      <c r="A119" s="2">
        <f>+Get_Data!A118</f>
        <v>39616</v>
      </c>
      <c r="B119">
        <f>+ROUND(Get_Data!B118,5)</f>
        <v>45.485149999999997</v>
      </c>
      <c r="C119">
        <f>+ROUND(Get_Data!C118,5)</f>
        <v>16.233139999999999</v>
      </c>
      <c r="D119" s="4">
        <f t="shared" si="1"/>
        <v>2.8019933296946862</v>
      </c>
    </row>
    <row r="120" spans="1:4" ht="17" hidden="1" customHeight="1" outlineLevel="1" thickBot="1">
      <c r="A120" s="2">
        <f>+Get_Data!A119</f>
        <v>39617</v>
      </c>
      <c r="B120">
        <f>+ROUND(Get_Data!B119,5)</f>
        <v>44.925809999999998</v>
      </c>
      <c r="C120">
        <f>+ROUND(Get_Data!C119,5)</f>
        <v>15.992470000000001</v>
      </c>
      <c r="D120" s="4">
        <f t="shared" si="1"/>
        <v>2.8091851977837066</v>
      </c>
    </row>
    <row r="121" spans="1:4" ht="17" hidden="1" customHeight="1" outlineLevel="1" thickBot="1">
      <c r="A121" s="2">
        <f>+Get_Data!A120</f>
        <v>39618</v>
      </c>
      <c r="B121">
        <f>+ROUND(Get_Data!B120,5)</f>
        <v>45.498950000000001</v>
      </c>
      <c r="C121">
        <f>+ROUND(Get_Data!C120,5)</f>
        <v>16.05265</v>
      </c>
      <c r="D121" s="4">
        <f t="shared" si="1"/>
        <v>2.8343575671306609</v>
      </c>
    </row>
    <row r="122" spans="1:4" ht="17" hidden="1" customHeight="1" outlineLevel="1" thickBot="1">
      <c r="A122" s="2">
        <f>+Get_Data!A121</f>
        <v>39619</v>
      </c>
      <c r="B122">
        <f>+ROUND(Get_Data!B121,5)</f>
        <v>44.939630000000001</v>
      </c>
      <c r="C122">
        <f>+ROUND(Get_Data!C121,5)</f>
        <v>16.142900000000001</v>
      </c>
      <c r="D122" s="4">
        <f t="shared" si="1"/>
        <v>2.7838634941677145</v>
      </c>
    </row>
    <row r="123" spans="1:4" ht="17" hidden="1" customHeight="1" outlineLevel="1" thickBot="1">
      <c r="A123" s="2">
        <f>+Get_Data!A122</f>
        <v>39622</v>
      </c>
      <c r="B123">
        <f>+ROUND(Get_Data!B122,5)</f>
        <v>44.628869999999999</v>
      </c>
      <c r="C123">
        <f>+ROUND(Get_Data!C122,5)</f>
        <v>16.022559999999999</v>
      </c>
      <c r="D123" s="4">
        <f t="shared" si="1"/>
        <v>2.7853769934392507</v>
      </c>
    </row>
    <row r="124" spans="1:4" ht="17" hidden="1" customHeight="1" outlineLevel="1" thickBot="1">
      <c r="A124" s="2">
        <f>+Get_Data!A123</f>
        <v>39623</v>
      </c>
      <c r="B124">
        <f>+ROUND(Get_Data!B123,5)</f>
        <v>44.207659999999997</v>
      </c>
      <c r="C124">
        <f>+ROUND(Get_Data!C123,5)</f>
        <v>16.05564</v>
      </c>
      <c r="D124" s="4">
        <f t="shared" si="1"/>
        <v>2.7534037883260956</v>
      </c>
    </row>
    <row r="125" spans="1:4" ht="17" hidden="1" customHeight="1" outlineLevel="1" thickBot="1">
      <c r="A125" s="2">
        <f>+Get_Data!A124</f>
        <v>39624</v>
      </c>
      <c r="B125">
        <f>+ROUND(Get_Data!B124,5)</f>
        <v>45.243459999999999</v>
      </c>
      <c r="C125">
        <f>+ROUND(Get_Data!C124,5)</f>
        <v>16.275269999999999</v>
      </c>
      <c r="D125" s="4">
        <f t="shared" si="1"/>
        <v>2.7798899803198349</v>
      </c>
    </row>
    <row r="126" spans="1:4" ht="17" hidden="1" customHeight="1" outlineLevel="1" thickBot="1">
      <c r="A126" s="2">
        <f>+Get_Data!A125</f>
        <v>39625</v>
      </c>
      <c r="B126">
        <f>+ROUND(Get_Data!B125,5)</f>
        <v>44.725569999999998</v>
      </c>
      <c r="C126">
        <f>+ROUND(Get_Data!C125,5)</f>
        <v>16.010529999999999</v>
      </c>
      <c r="D126" s="4">
        <f t="shared" si="1"/>
        <v>2.7935096464639209</v>
      </c>
    </row>
    <row r="127" spans="1:4" ht="17" hidden="1" customHeight="1" outlineLevel="1" thickBot="1">
      <c r="A127" s="2">
        <f>+Get_Data!A126</f>
        <v>39626</v>
      </c>
      <c r="B127">
        <f>+ROUND(Get_Data!B126,5)</f>
        <v>44.145499999999998</v>
      </c>
      <c r="C127">
        <f>+ROUND(Get_Data!C126,5)</f>
        <v>15.59538</v>
      </c>
      <c r="D127" s="4">
        <f t="shared" si="1"/>
        <v>2.8306780597843719</v>
      </c>
    </row>
    <row r="128" spans="1:4" ht="17" hidden="1" customHeight="1" outlineLevel="1" thickBot="1">
      <c r="A128" s="2">
        <f>+Get_Data!A127</f>
        <v>39629</v>
      </c>
      <c r="B128">
        <f>+ROUND(Get_Data!B127,5)</f>
        <v>43.910730000000001</v>
      </c>
      <c r="C128">
        <f>+ROUND(Get_Data!C127,5)</f>
        <v>15.63749</v>
      </c>
      <c r="D128" s="4">
        <f t="shared" si="1"/>
        <v>2.8080420834801494</v>
      </c>
    </row>
    <row r="129" spans="1:4" ht="17" hidden="1" customHeight="1" outlineLevel="1" thickBot="1">
      <c r="A129" s="2">
        <f>+Get_Data!A128</f>
        <v>39630</v>
      </c>
      <c r="B129">
        <f>+ROUND(Get_Data!B128,5)</f>
        <v>44.47007</v>
      </c>
      <c r="C129">
        <f>+ROUND(Get_Data!C128,5)</f>
        <v>15.34267</v>
      </c>
      <c r="D129" s="4">
        <f t="shared" si="1"/>
        <v>2.8984570482191172</v>
      </c>
    </row>
    <row r="130" spans="1:4" ht="17" hidden="1" customHeight="1" outlineLevel="1" thickBot="1">
      <c r="A130" s="2">
        <f>+Get_Data!A129</f>
        <v>39631</v>
      </c>
      <c r="B130">
        <f>+ROUND(Get_Data!B129,5)</f>
        <v>45.409170000000003</v>
      </c>
      <c r="C130">
        <f>+ROUND(Get_Data!C129,5)</f>
        <v>15.45398</v>
      </c>
      <c r="D130" s="4">
        <f t="shared" si="1"/>
        <v>2.938347920729806</v>
      </c>
    </row>
    <row r="131" spans="1:4" ht="17" hidden="1" customHeight="1" outlineLevel="1" thickBot="1">
      <c r="A131" s="2">
        <f>+Get_Data!A130</f>
        <v>39632</v>
      </c>
      <c r="B131">
        <f>+ROUND(Get_Data!B130,5)</f>
        <v>46.106610000000003</v>
      </c>
      <c r="C131">
        <f>+ROUND(Get_Data!C130,5)</f>
        <v>15.487069999999999</v>
      </c>
      <c r="D131" s="4">
        <f t="shared" si="1"/>
        <v>2.9771034805163277</v>
      </c>
    </row>
    <row r="132" spans="1:4" ht="17" hidden="1" customHeight="1" outlineLevel="1" thickBot="1">
      <c r="A132" s="2">
        <f>+Get_Data!A131</f>
        <v>39636</v>
      </c>
      <c r="B132">
        <f>+ROUND(Get_Data!B131,5)</f>
        <v>46.003039999999999</v>
      </c>
      <c r="C132">
        <f>+ROUND(Get_Data!C131,5)</f>
        <v>15.42991</v>
      </c>
      <c r="D132" s="4">
        <f t="shared" ref="D132:D195" si="2">IFERROR(B132/C132,"")</f>
        <v>2.981419852740554</v>
      </c>
    </row>
    <row r="133" spans="1:4" ht="17" hidden="1" customHeight="1" outlineLevel="1" thickBot="1">
      <c r="A133" s="2">
        <f>+Get_Data!A132</f>
        <v>39637</v>
      </c>
      <c r="B133">
        <f>+ROUND(Get_Data!B132,5)</f>
        <v>45.457529999999998</v>
      </c>
      <c r="C133">
        <f>+ROUND(Get_Data!C132,5)</f>
        <v>15.484059999999999</v>
      </c>
      <c r="D133" s="4">
        <f t="shared" si="2"/>
        <v>2.9357629717270535</v>
      </c>
    </row>
    <row r="134" spans="1:4" ht="17" hidden="1" customHeight="1" outlineLevel="1" thickBot="1">
      <c r="A134" s="2">
        <f>+Get_Data!A133</f>
        <v>39638</v>
      </c>
      <c r="B134">
        <f>+ROUND(Get_Data!B133,5)</f>
        <v>45.126060000000003</v>
      </c>
      <c r="C134">
        <f>+ROUND(Get_Data!C133,5)</f>
        <v>15.30958</v>
      </c>
      <c r="D134" s="4">
        <f t="shared" si="2"/>
        <v>2.9475700835685892</v>
      </c>
    </row>
    <row r="135" spans="1:4" ht="17" hidden="1" customHeight="1" outlineLevel="1" thickBot="1">
      <c r="A135" s="2">
        <f>+Get_Data!A134</f>
        <v>39639</v>
      </c>
      <c r="B135">
        <f>+ROUND(Get_Data!B134,5)</f>
        <v>45.29177</v>
      </c>
      <c r="C135">
        <f>+ROUND(Get_Data!C134,5)</f>
        <v>15.05387</v>
      </c>
      <c r="D135" s="4">
        <f t="shared" si="2"/>
        <v>3.0086462816538204</v>
      </c>
    </row>
    <row r="136" spans="1:4" ht="17" hidden="1" customHeight="1" outlineLevel="1" thickBot="1">
      <c r="A136" s="2">
        <f>+Get_Data!A135</f>
        <v>39640</v>
      </c>
      <c r="B136">
        <f>+ROUND(Get_Data!B135,5)</f>
        <v>44.649590000000003</v>
      </c>
      <c r="C136">
        <f>+ROUND(Get_Data!C135,5)</f>
        <v>15.123060000000001</v>
      </c>
      <c r="D136" s="4">
        <f t="shared" si="2"/>
        <v>2.952417698534556</v>
      </c>
    </row>
    <row r="137" spans="1:4" ht="17" hidden="1" customHeight="1" outlineLevel="1" thickBot="1">
      <c r="A137" s="2">
        <f>+Get_Data!A136</f>
        <v>39643</v>
      </c>
      <c r="B137">
        <f>+ROUND(Get_Data!B136,5)</f>
        <v>44.822240000000001</v>
      </c>
      <c r="C137">
        <f>+ROUND(Get_Data!C136,5)</f>
        <v>15.330640000000001</v>
      </c>
      <c r="D137" s="4">
        <f t="shared" si="2"/>
        <v>2.9237031200263002</v>
      </c>
    </row>
    <row r="138" spans="1:4" ht="17" hidden="1" customHeight="1" outlineLevel="1" thickBot="1">
      <c r="A138" s="2">
        <f>+Get_Data!A137</f>
        <v>39644</v>
      </c>
      <c r="B138">
        <f>+ROUND(Get_Data!B137,5)</f>
        <v>45.277999999999999</v>
      </c>
      <c r="C138">
        <f>+ROUND(Get_Data!C137,5)</f>
        <v>15.58033</v>
      </c>
      <c r="D138" s="4">
        <f t="shared" si="2"/>
        <v>2.9061001917160931</v>
      </c>
    </row>
    <row r="139" spans="1:4" ht="17" hidden="1" customHeight="1" outlineLevel="1" thickBot="1">
      <c r="A139" s="2">
        <f>+Get_Data!A138</f>
        <v>39645</v>
      </c>
      <c r="B139">
        <f>+ROUND(Get_Data!B138,5)</f>
        <v>45.637050000000002</v>
      </c>
      <c r="C139">
        <f>+ROUND(Get_Data!C138,5)</f>
        <v>15.74579</v>
      </c>
      <c r="D139" s="4">
        <f t="shared" si="2"/>
        <v>2.8983652138127081</v>
      </c>
    </row>
    <row r="140" spans="1:4" ht="17" hidden="1" customHeight="1" outlineLevel="1" thickBot="1">
      <c r="A140" s="2">
        <f>+Get_Data!A139</f>
        <v>39646</v>
      </c>
      <c r="B140">
        <f>+ROUND(Get_Data!B139,5)</f>
        <v>45.250369999999997</v>
      </c>
      <c r="C140">
        <f>+ROUND(Get_Data!C139,5)</f>
        <v>15.144119999999999</v>
      </c>
      <c r="D140" s="4">
        <f t="shared" si="2"/>
        <v>2.9879827946424089</v>
      </c>
    </row>
    <row r="141" spans="1:4" ht="17" hidden="1" customHeight="1" outlineLevel="1" thickBot="1">
      <c r="A141" s="2">
        <f>+Get_Data!A140</f>
        <v>39647</v>
      </c>
      <c r="B141">
        <f>+ROUND(Get_Data!B140,5)</f>
        <v>45.167499999999997</v>
      </c>
      <c r="C141">
        <f>+ROUND(Get_Data!C140,5)</f>
        <v>15.05086</v>
      </c>
      <c r="D141" s="4">
        <f t="shared" si="2"/>
        <v>3.000991305480218</v>
      </c>
    </row>
    <row r="142" spans="1:4" ht="17" hidden="1" customHeight="1" outlineLevel="1" thickBot="1">
      <c r="A142" s="2">
        <f>+Get_Data!A141</f>
        <v>39650</v>
      </c>
      <c r="B142">
        <f>+ROUND(Get_Data!B141,5)</f>
        <v>44.50459</v>
      </c>
      <c r="C142">
        <f>+ROUND(Get_Data!C141,5)</f>
        <v>14.9215</v>
      </c>
      <c r="D142" s="4">
        <f t="shared" si="2"/>
        <v>2.9825815099018196</v>
      </c>
    </row>
    <row r="143" spans="1:4" ht="17" hidden="1" customHeight="1" outlineLevel="1" thickBot="1">
      <c r="A143" s="2">
        <f>+Get_Data!A142</f>
        <v>39651</v>
      </c>
      <c r="B143">
        <f>+ROUND(Get_Data!B142,5)</f>
        <v>45.706110000000002</v>
      </c>
      <c r="C143">
        <f>+ROUND(Get_Data!C142,5)</f>
        <v>15.44797</v>
      </c>
      <c r="D143" s="4">
        <f t="shared" si="2"/>
        <v>2.9587130218404103</v>
      </c>
    </row>
    <row r="144" spans="1:4" ht="17" hidden="1" customHeight="1" outlineLevel="1" thickBot="1">
      <c r="A144" s="2">
        <f>+Get_Data!A143</f>
        <v>39652</v>
      </c>
      <c r="B144">
        <f>+ROUND(Get_Data!B143,5)</f>
        <v>46.762619999999998</v>
      </c>
      <c r="C144">
        <f>+ROUND(Get_Data!C143,5)</f>
        <v>15.79393</v>
      </c>
      <c r="D144" s="4">
        <f t="shared" si="2"/>
        <v>2.9607969644034133</v>
      </c>
    </row>
    <row r="145" spans="1:4" ht="17" hidden="1" customHeight="1" outlineLevel="1" thickBot="1">
      <c r="A145" s="2">
        <f>+Get_Data!A144</f>
        <v>39653</v>
      </c>
      <c r="B145">
        <f>+ROUND(Get_Data!B144,5)</f>
        <v>46.541640000000001</v>
      </c>
      <c r="C145">
        <f>+ROUND(Get_Data!C144,5)</f>
        <v>15.60139</v>
      </c>
      <c r="D145" s="4">
        <f t="shared" si="2"/>
        <v>2.9831726532059002</v>
      </c>
    </row>
    <row r="146" spans="1:4" ht="17" hidden="1" customHeight="1" outlineLevel="1" thickBot="1">
      <c r="A146" s="2">
        <f>+Get_Data!A145</f>
        <v>39654</v>
      </c>
      <c r="B146">
        <f>+ROUND(Get_Data!B145,5)</f>
        <v>46.417349999999999</v>
      </c>
      <c r="C146">
        <f>+ROUND(Get_Data!C145,5)</f>
        <v>15.66156</v>
      </c>
      <c r="D146" s="4">
        <f t="shared" si="2"/>
        <v>2.9637756392083547</v>
      </c>
    </row>
    <row r="147" spans="1:4" ht="17" hidden="1" customHeight="1" outlineLevel="1" thickBot="1">
      <c r="A147" s="2">
        <f>+Get_Data!A146</f>
        <v>39657</v>
      </c>
      <c r="B147">
        <f>+ROUND(Get_Data!B146,5)</f>
        <v>46.065179999999998</v>
      </c>
      <c r="C147">
        <f>+ROUND(Get_Data!C146,5)</f>
        <v>15.3878</v>
      </c>
      <c r="D147" s="4">
        <f t="shared" si="2"/>
        <v>2.9936170212765956</v>
      </c>
    </row>
    <row r="148" spans="1:4" ht="17" hidden="1" customHeight="1" outlineLevel="1" thickBot="1">
      <c r="A148" s="2">
        <f>+Get_Data!A147</f>
        <v>39658</v>
      </c>
      <c r="B148">
        <f>+ROUND(Get_Data!B147,5)</f>
        <v>46.251640000000002</v>
      </c>
      <c r="C148">
        <f>+ROUND(Get_Data!C147,5)</f>
        <v>15.514150000000001</v>
      </c>
      <c r="D148" s="4">
        <f t="shared" si="2"/>
        <v>2.9812551767257633</v>
      </c>
    </row>
    <row r="149" spans="1:4" ht="17" hidden="1" customHeight="1" outlineLevel="1" thickBot="1">
      <c r="A149" s="2">
        <f>+Get_Data!A148</f>
        <v>39659</v>
      </c>
      <c r="B149">
        <f>+ROUND(Get_Data!B148,5)</f>
        <v>46.203299999999999</v>
      </c>
      <c r="C149">
        <f>+ROUND(Get_Data!C148,5)</f>
        <v>15.435930000000001</v>
      </c>
      <c r="D149" s="4">
        <f t="shared" si="2"/>
        <v>2.9932307285664028</v>
      </c>
    </row>
    <row r="150" spans="1:4" ht="17" hidden="1" customHeight="1" outlineLevel="1" thickBot="1">
      <c r="A150" s="2">
        <f>+Get_Data!A149</f>
        <v>39660</v>
      </c>
      <c r="B150">
        <f>+ROUND(Get_Data!B149,5)</f>
        <v>45.961599999999997</v>
      </c>
      <c r="C150">
        <f>+ROUND(Get_Data!C149,5)</f>
        <v>15.493080000000001</v>
      </c>
      <c r="D150" s="4">
        <f t="shared" si="2"/>
        <v>2.9665889545526127</v>
      </c>
    </row>
    <row r="151" spans="1:4" ht="17" hidden="1" customHeight="1" outlineLevel="1" thickBot="1">
      <c r="A151" s="2">
        <f>+Get_Data!A150</f>
        <v>39661</v>
      </c>
      <c r="B151">
        <f>+ROUND(Get_Data!B150,5)</f>
        <v>46.00994</v>
      </c>
      <c r="C151">
        <f>+ROUND(Get_Data!C150,5)</f>
        <v>15.986459999999999</v>
      </c>
      <c r="D151" s="4">
        <f t="shared" si="2"/>
        <v>2.8780568055717151</v>
      </c>
    </row>
    <row r="152" spans="1:4" ht="17" hidden="1" customHeight="1" outlineLevel="1" thickBot="1">
      <c r="A152" s="2">
        <f>+Get_Data!A151</f>
        <v>39664</v>
      </c>
      <c r="B152">
        <f>+ROUND(Get_Data!B151,5)</f>
        <v>46.728090000000002</v>
      </c>
      <c r="C152">
        <f>+ROUND(Get_Data!C151,5)</f>
        <v>16.2151</v>
      </c>
      <c r="D152" s="4">
        <f t="shared" si="2"/>
        <v>2.8817639114159026</v>
      </c>
    </row>
    <row r="153" spans="1:4" ht="17" hidden="1" customHeight="1" outlineLevel="1" thickBot="1">
      <c r="A153" s="2">
        <f>+Get_Data!A152</f>
        <v>39665</v>
      </c>
      <c r="B153">
        <f>+ROUND(Get_Data!B152,5)</f>
        <v>47.315060000000003</v>
      </c>
      <c r="C153">
        <f>+ROUND(Get_Data!C152,5)</f>
        <v>16.518940000000001</v>
      </c>
      <c r="D153" s="4">
        <f t="shared" si="2"/>
        <v>2.8642915344447042</v>
      </c>
    </row>
    <row r="154" spans="1:4" ht="17" hidden="1" customHeight="1" outlineLevel="1" thickBot="1">
      <c r="A154" s="2">
        <f>+Get_Data!A153</f>
        <v>39666</v>
      </c>
      <c r="B154">
        <f>+ROUND(Get_Data!B153,5)</f>
        <v>47.328870000000002</v>
      </c>
      <c r="C154">
        <f>+ROUND(Get_Data!C153,5)</f>
        <v>16.654319999999998</v>
      </c>
      <c r="D154" s="4">
        <f t="shared" si="2"/>
        <v>2.8418374331704932</v>
      </c>
    </row>
    <row r="155" spans="1:4" ht="17" hidden="1" customHeight="1" outlineLevel="1" thickBot="1">
      <c r="A155" s="2">
        <f>+Get_Data!A154</f>
        <v>39667</v>
      </c>
      <c r="B155">
        <f>+ROUND(Get_Data!B154,5)</f>
        <v>46.921430000000001</v>
      </c>
      <c r="C155">
        <f>+ROUND(Get_Data!C154,5)</f>
        <v>16.248190000000001</v>
      </c>
      <c r="D155" s="4">
        <f t="shared" si="2"/>
        <v>2.8877942712388269</v>
      </c>
    </row>
    <row r="156" spans="1:4" ht="17" hidden="1" customHeight="1" outlineLevel="1" thickBot="1">
      <c r="A156" s="2">
        <f>+Get_Data!A155</f>
        <v>39668</v>
      </c>
      <c r="B156">
        <f>+ROUND(Get_Data!B155,5)</f>
        <v>47.888179999999998</v>
      </c>
      <c r="C156">
        <f>+ROUND(Get_Data!C155,5)</f>
        <v>16.669360000000001</v>
      </c>
      <c r="D156" s="4">
        <f t="shared" si="2"/>
        <v>2.8728265512293212</v>
      </c>
    </row>
    <row r="157" spans="1:4" ht="17" hidden="1" customHeight="1" outlineLevel="1" thickBot="1">
      <c r="A157" s="2">
        <f>+Get_Data!A156</f>
        <v>39671</v>
      </c>
      <c r="B157">
        <f>+ROUND(Get_Data!B156,5)</f>
        <v>47.832949999999997</v>
      </c>
      <c r="C157">
        <f>+ROUND(Get_Data!C156,5)</f>
        <v>16.651309999999999</v>
      </c>
      <c r="D157" s="4">
        <f t="shared" si="2"/>
        <v>2.8726238356021239</v>
      </c>
    </row>
    <row r="158" spans="1:4" ht="17" hidden="1" customHeight="1" outlineLevel="1" thickBot="1">
      <c r="A158" s="2">
        <f>+Get_Data!A157</f>
        <v>39672</v>
      </c>
      <c r="B158">
        <f>+ROUND(Get_Data!B157,5)</f>
        <v>48.07461</v>
      </c>
      <c r="C158">
        <f>+ROUND(Get_Data!C157,5)</f>
        <v>16.482839999999999</v>
      </c>
      <c r="D158" s="4">
        <f t="shared" si="2"/>
        <v>2.9166460391534468</v>
      </c>
    </row>
    <row r="159" spans="1:4" ht="17" hidden="1" customHeight="1" outlineLevel="1" thickBot="1">
      <c r="A159" s="2">
        <f>+Get_Data!A158</f>
        <v>39673</v>
      </c>
      <c r="B159">
        <f>+ROUND(Get_Data!B158,5)</f>
        <v>48.157499999999999</v>
      </c>
      <c r="C159">
        <f>+ROUND(Get_Data!C158,5)</f>
        <v>16.609190000000002</v>
      </c>
      <c r="D159" s="4">
        <f t="shared" si="2"/>
        <v>2.8994490399592028</v>
      </c>
    </row>
    <row r="160" spans="1:4" ht="17" hidden="1" customHeight="1" outlineLevel="1" thickBot="1">
      <c r="A160" s="2">
        <f>+Get_Data!A159</f>
        <v>39674</v>
      </c>
      <c r="B160">
        <f>+ROUND(Get_Data!B159,5)</f>
        <v>48.295589999999997</v>
      </c>
      <c r="C160">
        <f>+ROUND(Get_Data!C159,5)</f>
        <v>16.552029999999998</v>
      </c>
      <c r="D160" s="4">
        <f t="shared" si="2"/>
        <v>2.9178046439016847</v>
      </c>
    </row>
    <row r="161" spans="1:4" ht="17" hidden="1" customHeight="1" outlineLevel="1" thickBot="1">
      <c r="A161" s="2">
        <f>+Get_Data!A160</f>
        <v>39675</v>
      </c>
      <c r="B161">
        <f>+ROUND(Get_Data!B160,5)</f>
        <v>48.475140000000003</v>
      </c>
      <c r="C161">
        <f>+ROUND(Get_Data!C160,5)</f>
        <v>16.564070000000001</v>
      </c>
      <c r="D161" s="4">
        <f t="shared" si="2"/>
        <v>2.9265234933201802</v>
      </c>
    </row>
    <row r="162" spans="1:4" ht="17" hidden="1" customHeight="1" outlineLevel="1" thickBot="1">
      <c r="A162" s="2">
        <f>+Get_Data!A161</f>
        <v>39678</v>
      </c>
      <c r="B162">
        <f>+ROUND(Get_Data!B161,5)</f>
        <v>48.205840000000002</v>
      </c>
      <c r="C162">
        <f>+ROUND(Get_Data!C161,5)</f>
        <v>16.344460000000002</v>
      </c>
      <c r="D162" s="4">
        <f t="shared" si="2"/>
        <v>2.9493687769433801</v>
      </c>
    </row>
    <row r="163" spans="1:4" ht="17" hidden="1" customHeight="1" outlineLevel="1" thickBot="1">
      <c r="A163" s="2">
        <f>+Get_Data!A162</f>
        <v>39679</v>
      </c>
      <c r="B163">
        <f>+ROUND(Get_Data!B162,5)</f>
        <v>48.40607</v>
      </c>
      <c r="C163">
        <f>+ROUND(Get_Data!C162,5)</f>
        <v>16.344460000000002</v>
      </c>
      <c r="D163" s="4">
        <f t="shared" si="2"/>
        <v>2.9616194111032113</v>
      </c>
    </row>
    <row r="164" spans="1:4" ht="17" hidden="1" customHeight="1" outlineLevel="1" thickBot="1">
      <c r="A164" s="2">
        <f>+Get_Data!A163</f>
        <v>39680</v>
      </c>
      <c r="B164">
        <f>+ROUND(Get_Data!B163,5)</f>
        <v>48.233460000000001</v>
      </c>
      <c r="C164">
        <f>+ROUND(Get_Data!C163,5)</f>
        <v>16.350470000000001</v>
      </c>
      <c r="D164" s="4">
        <f t="shared" si="2"/>
        <v>2.9499739151229289</v>
      </c>
    </row>
    <row r="165" spans="1:4" ht="17" hidden="1" customHeight="1" outlineLevel="1" thickBot="1">
      <c r="A165" s="2">
        <f>+Get_Data!A164</f>
        <v>39681</v>
      </c>
      <c r="B165">
        <f>+ROUND(Get_Data!B164,5)</f>
        <v>47.915799999999997</v>
      </c>
      <c r="C165">
        <f>+ROUND(Get_Data!C164,5)</f>
        <v>16.097770000000001</v>
      </c>
      <c r="D165" s="4">
        <f t="shared" si="2"/>
        <v>2.9765489257207673</v>
      </c>
    </row>
    <row r="166" spans="1:4" ht="17" hidden="1" customHeight="1" outlineLevel="1" thickBot="1">
      <c r="A166" s="2">
        <f>+Get_Data!A165</f>
        <v>39682</v>
      </c>
      <c r="B166">
        <f>+ROUND(Get_Data!B165,5)</f>
        <v>48.267980000000001</v>
      </c>
      <c r="C166">
        <f>+ROUND(Get_Data!C165,5)</f>
        <v>16.356490000000001</v>
      </c>
      <c r="D166" s="4">
        <f t="shared" si="2"/>
        <v>2.9509986555795282</v>
      </c>
    </row>
    <row r="167" spans="1:4" ht="17" hidden="1" customHeight="1" outlineLevel="1" thickBot="1">
      <c r="A167" s="2">
        <f>+Get_Data!A166</f>
        <v>39685</v>
      </c>
      <c r="B167">
        <f>+ROUND(Get_Data!B166,5)</f>
        <v>47.68103</v>
      </c>
      <c r="C167">
        <f>+ROUND(Get_Data!C166,5)</f>
        <v>16.115829999999999</v>
      </c>
      <c r="D167" s="4">
        <f t="shared" si="2"/>
        <v>2.9586456297938115</v>
      </c>
    </row>
    <row r="168" spans="1:4" ht="17" hidden="1" customHeight="1" outlineLevel="1" thickBot="1">
      <c r="A168" s="2">
        <f>+Get_Data!A167</f>
        <v>39686</v>
      </c>
      <c r="B168">
        <f>+ROUND(Get_Data!B167,5)</f>
        <v>47.439329999999998</v>
      </c>
      <c r="C168">
        <f>+ROUND(Get_Data!C167,5)</f>
        <v>16.10078</v>
      </c>
      <c r="D168" s="4">
        <f t="shared" si="2"/>
        <v>2.9463994912047737</v>
      </c>
    </row>
    <row r="169" spans="1:4" ht="17" hidden="1" customHeight="1" outlineLevel="1" thickBot="1">
      <c r="A169" s="2">
        <f>+Get_Data!A168</f>
        <v>39687</v>
      </c>
      <c r="B169">
        <f>+ROUND(Get_Data!B168,5)</f>
        <v>47.784610000000001</v>
      </c>
      <c r="C169">
        <f>+ROUND(Get_Data!C168,5)</f>
        <v>16.182009999999998</v>
      </c>
      <c r="D169" s="4">
        <f t="shared" si="2"/>
        <v>2.9529465128250449</v>
      </c>
    </row>
    <row r="170" spans="1:4" ht="17" hidden="1" customHeight="1" outlineLevel="1" thickBot="1">
      <c r="A170" s="2">
        <f>+Get_Data!A169</f>
        <v>39688</v>
      </c>
      <c r="B170">
        <f>+ROUND(Get_Data!B169,5)</f>
        <v>47.777700000000003</v>
      </c>
      <c r="C170">
        <f>+ROUND(Get_Data!C169,5)</f>
        <v>15.98044</v>
      </c>
      <c r="D170" s="4">
        <f t="shared" si="2"/>
        <v>2.9897612331074743</v>
      </c>
    </row>
    <row r="171" spans="1:4" ht="17" hidden="1" customHeight="1" outlineLevel="1" thickBot="1">
      <c r="A171" s="2">
        <f>+Get_Data!A170</f>
        <v>39689</v>
      </c>
      <c r="B171">
        <f>+ROUND(Get_Data!B170,5)</f>
        <v>47.287439999999997</v>
      </c>
      <c r="C171">
        <f>+ROUND(Get_Data!C170,5)</f>
        <v>15.66456</v>
      </c>
      <c r="D171" s="4">
        <f t="shared" si="2"/>
        <v>3.0187531599993869</v>
      </c>
    </row>
    <row r="172" spans="1:4" ht="17" hidden="1" customHeight="1" outlineLevel="1" thickBot="1">
      <c r="A172" s="2">
        <f>+Get_Data!A171</f>
        <v>39693</v>
      </c>
      <c r="B172">
        <f>+ROUND(Get_Data!B171,5)</f>
        <v>47.964149999999997</v>
      </c>
      <c r="C172">
        <f>+ROUND(Get_Data!C171,5)</f>
        <v>15.63148</v>
      </c>
      <c r="D172" s="4">
        <f t="shared" si="2"/>
        <v>3.0684330594415883</v>
      </c>
    </row>
    <row r="173" spans="1:4" ht="17" hidden="1" customHeight="1" outlineLevel="1" thickBot="1">
      <c r="A173" s="2">
        <f>+Get_Data!A172</f>
        <v>39694</v>
      </c>
      <c r="B173">
        <f>+ROUND(Get_Data!B172,5)</f>
        <v>48.071829999999999</v>
      </c>
      <c r="C173">
        <f>+ROUND(Get_Data!C172,5)</f>
        <v>15.541230000000001</v>
      </c>
      <c r="D173" s="4">
        <f t="shared" si="2"/>
        <v>3.0931805268952326</v>
      </c>
    </row>
    <row r="174" spans="1:4" ht="17" hidden="1" customHeight="1" outlineLevel="1" thickBot="1">
      <c r="A174" s="2">
        <f>+Get_Data!A173</f>
        <v>39695</v>
      </c>
      <c r="B174">
        <f>+ROUND(Get_Data!B173,5)</f>
        <v>47.516019999999997</v>
      </c>
      <c r="C174">
        <f>+ROUND(Get_Data!C173,5)</f>
        <v>15.55626</v>
      </c>
      <c r="D174" s="4">
        <f t="shared" si="2"/>
        <v>3.0544629621772841</v>
      </c>
    </row>
    <row r="175" spans="1:4" ht="17" hidden="1" customHeight="1" outlineLevel="1" thickBot="1">
      <c r="A175" s="2">
        <f>+Get_Data!A174</f>
        <v>39696</v>
      </c>
      <c r="B175">
        <f>+ROUND(Get_Data!B174,5)</f>
        <v>47.884239999999998</v>
      </c>
      <c r="C175">
        <f>+ROUND(Get_Data!C174,5)</f>
        <v>15.622450000000001</v>
      </c>
      <c r="D175" s="4">
        <f t="shared" si="2"/>
        <v>3.0650915829463368</v>
      </c>
    </row>
    <row r="176" spans="1:4" ht="17" hidden="1" customHeight="1" outlineLevel="1" thickBot="1">
      <c r="A176" s="2">
        <f>+Get_Data!A175</f>
        <v>39699</v>
      </c>
      <c r="B176">
        <f>+ROUND(Get_Data!B175,5)</f>
        <v>48.870829999999998</v>
      </c>
      <c r="C176">
        <f>+ROUND(Get_Data!C175,5)</f>
        <v>16.058669999999999</v>
      </c>
      <c r="D176" s="4">
        <f t="shared" si="2"/>
        <v>3.0432675931443889</v>
      </c>
    </row>
    <row r="177" spans="1:4" ht="17" hidden="1" customHeight="1" outlineLevel="1" thickBot="1">
      <c r="A177" s="2">
        <f>+Get_Data!A176</f>
        <v>39700</v>
      </c>
      <c r="B177">
        <f>+ROUND(Get_Data!B176,5)</f>
        <v>49.329369999999997</v>
      </c>
      <c r="C177">
        <f>+ROUND(Get_Data!C176,5)</f>
        <v>16.20908</v>
      </c>
      <c r="D177" s="4">
        <f t="shared" si="2"/>
        <v>3.0433170790692623</v>
      </c>
    </row>
    <row r="178" spans="1:4" ht="17" hidden="1" customHeight="1" outlineLevel="1" thickBot="1">
      <c r="A178" s="2">
        <f>+Get_Data!A177</f>
        <v>39701</v>
      </c>
      <c r="B178">
        <f>+ROUND(Get_Data!B177,5)</f>
        <v>49.90605</v>
      </c>
      <c r="C178">
        <f>+ROUND(Get_Data!C177,5)</f>
        <v>16.188020000000002</v>
      </c>
      <c r="D178" s="4">
        <f t="shared" si="2"/>
        <v>3.0829001940941509</v>
      </c>
    </row>
    <row r="179" spans="1:4" ht="17" hidden="1" customHeight="1" outlineLevel="1" thickBot="1">
      <c r="A179" s="2">
        <f>+Get_Data!A178</f>
        <v>39702</v>
      </c>
      <c r="B179">
        <f>+ROUND(Get_Data!B178,5)</f>
        <v>50.454909999999998</v>
      </c>
      <c r="C179">
        <f>+ROUND(Get_Data!C178,5)</f>
        <v>16.523679999999999</v>
      </c>
      <c r="D179" s="4">
        <f t="shared" si="2"/>
        <v>3.0534911109389675</v>
      </c>
    </row>
    <row r="180" spans="1:4" ht="17" hidden="1" customHeight="1" outlineLevel="1" thickBot="1">
      <c r="A180" s="2">
        <f>+Get_Data!A179</f>
        <v>39703</v>
      </c>
      <c r="B180">
        <f>+ROUND(Get_Data!B179,5)</f>
        <v>50.823140000000002</v>
      </c>
      <c r="C180">
        <f>+ROUND(Get_Data!C179,5)</f>
        <v>16.630479999999999</v>
      </c>
      <c r="D180" s="4">
        <f t="shared" si="2"/>
        <v>3.0560236385239636</v>
      </c>
    </row>
    <row r="181" spans="1:4" ht="17" hidden="1" customHeight="1" outlineLevel="1" thickBot="1">
      <c r="A181" s="2">
        <f>+Get_Data!A180</f>
        <v>39706</v>
      </c>
      <c r="B181">
        <f>+ROUND(Get_Data!B180,5)</f>
        <v>50.26735</v>
      </c>
      <c r="C181">
        <f>+ROUND(Get_Data!C180,5)</f>
        <v>16.706769999999999</v>
      </c>
      <c r="D181" s="4">
        <f t="shared" si="2"/>
        <v>3.0088012224984246</v>
      </c>
    </row>
    <row r="182" spans="1:4" ht="17" hidden="1" customHeight="1" outlineLevel="1" thickBot="1">
      <c r="A182" s="2">
        <f>+Get_Data!A181</f>
        <v>39707</v>
      </c>
      <c r="B182">
        <f>+ROUND(Get_Data!B181,5)</f>
        <v>50.705039999999997</v>
      </c>
      <c r="C182">
        <f>+ROUND(Get_Data!C181,5)</f>
        <v>16.737279999999998</v>
      </c>
      <c r="D182" s="4">
        <f t="shared" si="2"/>
        <v>3.0294671535637812</v>
      </c>
    </row>
    <row r="183" spans="1:4" ht="17" hidden="1" customHeight="1" outlineLevel="1" thickBot="1">
      <c r="A183" s="2">
        <f>+Get_Data!A182</f>
        <v>39708</v>
      </c>
      <c r="B183">
        <f>+ROUND(Get_Data!B182,5)</f>
        <v>49.801819999999999</v>
      </c>
      <c r="C183">
        <f>+ROUND(Get_Data!C182,5)</f>
        <v>16.069019999999998</v>
      </c>
      <c r="D183" s="4">
        <f t="shared" si="2"/>
        <v>3.0992443845362074</v>
      </c>
    </row>
    <row r="184" spans="1:4" ht="17" hidden="1" customHeight="1" outlineLevel="1" thickBot="1">
      <c r="A184" s="2">
        <f>+Get_Data!A183</f>
        <v>39709</v>
      </c>
      <c r="B184">
        <f>+ROUND(Get_Data!B183,5)</f>
        <v>50.878749999999997</v>
      </c>
      <c r="C184">
        <f>+ROUND(Get_Data!C183,5)</f>
        <v>16.29177</v>
      </c>
      <c r="D184" s="4">
        <f t="shared" si="2"/>
        <v>3.1229725192535862</v>
      </c>
    </row>
    <row r="185" spans="1:4" ht="17" hidden="1" customHeight="1" outlineLevel="1" thickBot="1">
      <c r="A185" s="2">
        <f>+Get_Data!A184</f>
        <v>39710</v>
      </c>
      <c r="B185">
        <f>+ROUND(Get_Data!B184,5)</f>
        <v>50.850940000000001</v>
      </c>
      <c r="C185">
        <f>+ROUND(Get_Data!C184,5)</f>
        <v>16.087319999999998</v>
      </c>
      <c r="D185" s="4">
        <f t="shared" si="2"/>
        <v>3.1609329583796435</v>
      </c>
    </row>
    <row r="186" spans="1:4" ht="17" hidden="1" customHeight="1" outlineLevel="1" thickBot="1">
      <c r="A186" s="2">
        <f>+Get_Data!A185</f>
        <v>39713</v>
      </c>
      <c r="B186">
        <f>+ROUND(Get_Data!B185,5)</f>
        <v>49.384979999999999</v>
      </c>
      <c r="C186">
        <f>+ROUND(Get_Data!C185,5)</f>
        <v>15.678430000000001</v>
      </c>
      <c r="D186" s="4">
        <f t="shared" si="2"/>
        <v>3.1498676844556499</v>
      </c>
    </row>
    <row r="187" spans="1:4" ht="17" hidden="1" customHeight="1" outlineLevel="1" thickBot="1">
      <c r="A187" s="2">
        <f>+Get_Data!A186</f>
        <v>39714</v>
      </c>
      <c r="B187">
        <f>+ROUND(Get_Data!B186,5)</f>
        <v>49.15569</v>
      </c>
      <c r="C187">
        <f>+ROUND(Get_Data!C186,5)</f>
        <v>15.464829999999999</v>
      </c>
      <c r="D187" s="4">
        <f t="shared" si="2"/>
        <v>3.1785470645328791</v>
      </c>
    </row>
    <row r="188" spans="1:4" ht="17" hidden="1" customHeight="1" outlineLevel="1" thickBot="1">
      <c r="A188" s="2">
        <f>+Get_Data!A187</f>
        <v>39715</v>
      </c>
      <c r="B188">
        <f>+ROUND(Get_Data!B187,5)</f>
        <v>48.704070000000002</v>
      </c>
      <c r="C188">
        <f>+ROUND(Get_Data!C187,5)</f>
        <v>15.315300000000001</v>
      </c>
      <c r="D188" s="4">
        <f t="shared" si="2"/>
        <v>3.1800924565630448</v>
      </c>
    </row>
    <row r="189" spans="1:4" ht="17" hidden="1" customHeight="1" outlineLevel="1" thickBot="1">
      <c r="A189" s="2">
        <f>+Get_Data!A188</f>
        <v>39716</v>
      </c>
      <c r="B189">
        <f>+ROUND(Get_Data!B188,5)</f>
        <v>49.537799999999997</v>
      </c>
      <c r="C189">
        <f>+ROUND(Get_Data!C188,5)</f>
        <v>15.70284</v>
      </c>
      <c r="D189" s="4">
        <f t="shared" si="2"/>
        <v>3.154703225658543</v>
      </c>
    </row>
    <row r="190" spans="1:4" ht="17" hidden="1" customHeight="1" outlineLevel="1" thickBot="1">
      <c r="A190" s="2">
        <f>+Get_Data!A189</f>
        <v>39717</v>
      </c>
      <c r="B190">
        <f>+ROUND(Get_Data!B189,5)</f>
        <v>49.822670000000002</v>
      </c>
      <c r="C190">
        <f>+ROUND(Get_Data!C189,5)</f>
        <v>16.014089999999999</v>
      </c>
      <c r="D190" s="4">
        <f t="shared" si="2"/>
        <v>3.1111770946710058</v>
      </c>
    </row>
    <row r="191" spans="1:4" ht="17" hidden="1" customHeight="1" outlineLevel="1" thickBot="1">
      <c r="A191" s="2">
        <f>+Get_Data!A190</f>
        <v>39720</v>
      </c>
      <c r="B191">
        <f>+ROUND(Get_Data!B190,5)</f>
        <v>48.398380000000003</v>
      </c>
      <c r="C191">
        <f>+ROUND(Get_Data!C190,5)</f>
        <v>15.571630000000001</v>
      </c>
      <c r="D191" s="4">
        <f t="shared" si="2"/>
        <v>3.1081126381759647</v>
      </c>
    </row>
    <row r="192" spans="1:4" ht="17" hidden="1" customHeight="1" outlineLevel="1" thickBot="1">
      <c r="A192" s="2">
        <f>+Get_Data!A191</f>
        <v>39721</v>
      </c>
      <c r="B192">
        <f>+ROUND(Get_Data!B191,5)</f>
        <v>49.516979999999997</v>
      </c>
      <c r="C192">
        <f>+ROUND(Get_Data!C191,5)</f>
        <v>16.136150000000001</v>
      </c>
      <c r="D192" s="4">
        <f t="shared" si="2"/>
        <v>3.0686985433328271</v>
      </c>
    </row>
    <row r="193" spans="1:4" ht="17" hidden="1" customHeight="1" outlineLevel="1" thickBot="1">
      <c r="A193" s="2">
        <f>+Get_Data!A192</f>
        <v>39722</v>
      </c>
      <c r="B193">
        <f>+ROUND(Get_Data!B192,5)</f>
        <v>49.774050000000003</v>
      </c>
      <c r="C193">
        <f>+ROUND(Get_Data!C192,5)</f>
        <v>16.526730000000001</v>
      </c>
      <c r="D193" s="4">
        <f t="shared" si="2"/>
        <v>3.0117300881662614</v>
      </c>
    </row>
    <row r="194" spans="1:4" ht="17" hidden="1" customHeight="1" outlineLevel="1" thickBot="1">
      <c r="A194" s="2">
        <f>+Get_Data!A193</f>
        <v>39723</v>
      </c>
      <c r="B194">
        <f>+ROUND(Get_Data!B193,5)</f>
        <v>49.266849999999998</v>
      </c>
      <c r="C194">
        <f>+ROUND(Get_Data!C193,5)</f>
        <v>16.35585</v>
      </c>
      <c r="D194" s="4">
        <f t="shared" si="2"/>
        <v>3.0121852425890427</v>
      </c>
    </row>
    <row r="195" spans="1:4" ht="17" hidden="1" customHeight="1" outlineLevel="1" thickBot="1">
      <c r="A195" s="2">
        <f>+Get_Data!A194</f>
        <v>39724</v>
      </c>
      <c r="B195">
        <f>+ROUND(Get_Data!B194,5)</f>
        <v>47.939830000000001</v>
      </c>
      <c r="C195">
        <f>+ROUND(Get_Data!C194,5)</f>
        <v>16.04156</v>
      </c>
      <c r="D195" s="4">
        <f t="shared" si="2"/>
        <v>2.9884768064951288</v>
      </c>
    </row>
    <row r="196" spans="1:4" ht="17" hidden="1" customHeight="1" outlineLevel="1" thickBot="1">
      <c r="A196" s="2">
        <f>+Get_Data!A195</f>
        <v>39727</v>
      </c>
      <c r="B196">
        <f>+ROUND(Get_Data!B195,5)</f>
        <v>46.300159999999998</v>
      </c>
      <c r="C196">
        <f>+ROUND(Get_Data!C195,5)</f>
        <v>15.53806</v>
      </c>
      <c r="D196" s="4">
        <f t="shared" ref="D196:D259" si="3">IFERROR(B196/C196,"")</f>
        <v>2.979790269827765</v>
      </c>
    </row>
    <row r="197" spans="1:4" ht="17" hidden="1" customHeight="1" outlineLevel="1" thickBot="1">
      <c r="A197" s="2">
        <f>+Get_Data!A196</f>
        <v>39728</v>
      </c>
      <c r="B197">
        <f>+ROUND(Get_Data!B196,5)</f>
        <v>45.244070000000001</v>
      </c>
      <c r="C197">
        <f>+ROUND(Get_Data!C196,5)</f>
        <v>15.04372</v>
      </c>
      <c r="D197" s="4">
        <f t="shared" si="3"/>
        <v>3.0075054574267535</v>
      </c>
    </row>
    <row r="198" spans="1:4" ht="17" hidden="1" customHeight="1" outlineLevel="1" thickBot="1">
      <c r="A198" s="2">
        <f>+Get_Data!A197</f>
        <v>39729</v>
      </c>
      <c r="B198">
        <f>+ROUND(Get_Data!B197,5)</f>
        <v>44.194949999999999</v>
      </c>
      <c r="C198">
        <f>+ROUND(Get_Data!C197,5)</f>
        <v>14.466989999999999</v>
      </c>
      <c r="D198" s="4">
        <f t="shared" si="3"/>
        <v>3.054882183508802</v>
      </c>
    </row>
    <row r="199" spans="1:4" ht="17" hidden="1" customHeight="1" outlineLevel="1" thickBot="1">
      <c r="A199" s="2">
        <f>+Get_Data!A198</f>
        <v>39730</v>
      </c>
      <c r="B199">
        <f>+ROUND(Get_Data!B198,5)</f>
        <v>41.35331</v>
      </c>
      <c r="C199">
        <f>+ROUND(Get_Data!C198,5)</f>
        <v>13.21284</v>
      </c>
      <c r="D199" s="4">
        <f t="shared" si="3"/>
        <v>3.1297820907541452</v>
      </c>
    </row>
    <row r="200" spans="1:4" ht="17" hidden="1" customHeight="1" outlineLevel="1" thickBot="1">
      <c r="A200" s="2">
        <f>+Get_Data!A199</f>
        <v>39731</v>
      </c>
      <c r="B200">
        <f>+ROUND(Get_Data!B199,5)</f>
        <v>40.158290000000001</v>
      </c>
      <c r="C200">
        <f>+ROUND(Get_Data!C199,5)</f>
        <v>12.66358</v>
      </c>
      <c r="D200" s="4">
        <f t="shared" si="3"/>
        <v>3.1711640784043693</v>
      </c>
    </row>
    <row r="201" spans="1:4" ht="17" hidden="1" customHeight="1" outlineLevel="1" thickBot="1">
      <c r="A201" s="2">
        <f>+Get_Data!A200</f>
        <v>39734</v>
      </c>
      <c r="B201">
        <f>+ROUND(Get_Data!B200,5)</f>
        <v>42.916559999999997</v>
      </c>
      <c r="C201">
        <f>+ROUND(Get_Data!C200,5)</f>
        <v>14.42122</v>
      </c>
      <c r="D201" s="4">
        <f t="shared" si="3"/>
        <v>2.9759313012352631</v>
      </c>
    </row>
    <row r="202" spans="1:4" ht="17" hidden="1" customHeight="1" outlineLevel="1" thickBot="1">
      <c r="A202" s="2">
        <f>+Get_Data!A201</f>
        <v>39735</v>
      </c>
      <c r="B202">
        <f>+ROUND(Get_Data!B201,5)</f>
        <v>37.796030000000002</v>
      </c>
      <c r="C202">
        <f>+ROUND(Get_Data!C201,5)</f>
        <v>13.344060000000001</v>
      </c>
      <c r="D202" s="4">
        <f t="shared" si="3"/>
        <v>2.8324235652417631</v>
      </c>
    </row>
    <row r="203" spans="1:4" ht="17" hidden="1" customHeight="1" outlineLevel="1" thickBot="1">
      <c r="A203" s="2">
        <f>+Get_Data!A202</f>
        <v>39736</v>
      </c>
      <c r="B203">
        <f>+ROUND(Get_Data!B202,5)</f>
        <v>35.607489999999999</v>
      </c>
      <c r="C203">
        <f>+ROUND(Get_Data!C202,5)</f>
        <v>13.49053</v>
      </c>
      <c r="D203" s="4">
        <f t="shared" si="3"/>
        <v>2.6394433724990791</v>
      </c>
    </row>
    <row r="204" spans="1:4" ht="17" hidden="1" customHeight="1" outlineLevel="1" thickBot="1">
      <c r="A204" s="2">
        <f>+Get_Data!A203</f>
        <v>39737</v>
      </c>
      <c r="B204">
        <f>+ROUND(Get_Data!B203,5)</f>
        <v>36.878929999999997</v>
      </c>
      <c r="C204">
        <f>+ROUND(Get_Data!C203,5)</f>
        <v>13.969609999999999</v>
      </c>
      <c r="D204" s="4">
        <f t="shared" si="3"/>
        <v>2.6399398408402237</v>
      </c>
    </row>
    <row r="205" spans="1:4" ht="17" hidden="1" customHeight="1" outlineLevel="1" thickBot="1">
      <c r="A205" s="2">
        <f>+Get_Data!A204</f>
        <v>39738</v>
      </c>
      <c r="B205">
        <f>+ROUND(Get_Data!B204,5)</f>
        <v>37.434750000000001</v>
      </c>
      <c r="C205">
        <f>+ROUND(Get_Data!C204,5)</f>
        <v>13.48747</v>
      </c>
      <c r="D205" s="4">
        <f t="shared" si="3"/>
        <v>2.7755205386925792</v>
      </c>
    </row>
    <row r="206" spans="1:4" ht="17" hidden="1" customHeight="1" outlineLevel="1" thickBot="1">
      <c r="A206" s="2">
        <f>+Get_Data!A205</f>
        <v>39741</v>
      </c>
      <c r="B206">
        <f>+ROUND(Get_Data!B205,5)</f>
        <v>39.43571</v>
      </c>
      <c r="C206">
        <f>+ROUND(Get_Data!C205,5)</f>
        <v>14.177110000000001</v>
      </c>
      <c r="D206" s="4">
        <f t="shared" si="3"/>
        <v>2.7816466120387018</v>
      </c>
    </row>
    <row r="207" spans="1:4" ht="17" hidden="1" customHeight="1" outlineLevel="1" thickBot="1">
      <c r="A207" s="2">
        <f>+Get_Data!A206</f>
        <v>39742</v>
      </c>
      <c r="B207">
        <f>+ROUND(Get_Data!B206,5)</f>
        <v>38.212910000000001</v>
      </c>
      <c r="C207">
        <f>+ROUND(Get_Data!C206,5)</f>
        <v>14.04589</v>
      </c>
      <c r="D207" s="4">
        <f t="shared" si="3"/>
        <v>2.7205759122419439</v>
      </c>
    </row>
    <row r="208" spans="1:4" ht="17" hidden="1" customHeight="1" outlineLevel="1" thickBot="1">
      <c r="A208" s="2">
        <f>+Get_Data!A207</f>
        <v>39743</v>
      </c>
      <c r="B208">
        <f>+ROUND(Get_Data!B207,5)</f>
        <v>37.268009999999997</v>
      </c>
      <c r="C208">
        <f>+ROUND(Get_Data!C207,5)</f>
        <v>13.84755</v>
      </c>
      <c r="D208" s="4">
        <f t="shared" si="3"/>
        <v>2.6913071265314077</v>
      </c>
    </row>
    <row r="209" spans="1:4" ht="17" hidden="1" customHeight="1" outlineLevel="1" thickBot="1">
      <c r="A209" s="2">
        <f>+Get_Data!A208</f>
        <v>39744</v>
      </c>
      <c r="B209">
        <f>+ROUND(Get_Data!B208,5)</f>
        <v>37.156840000000003</v>
      </c>
      <c r="C209">
        <f>+ROUND(Get_Data!C208,5)</f>
        <v>13.139609999999999</v>
      </c>
      <c r="D209" s="4">
        <f t="shared" si="3"/>
        <v>2.827849532824795</v>
      </c>
    </row>
    <row r="210" spans="1:4" ht="17" hidden="1" customHeight="1" outlineLevel="1" thickBot="1">
      <c r="A210" s="2">
        <f>+Get_Data!A209</f>
        <v>39745</v>
      </c>
      <c r="B210">
        <f>+ROUND(Get_Data!B209,5)</f>
        <v>35.96181</v>
      </c>
      <c r="C210">
        <f>+ROUND(Get_Data!C209,5)</f>
        <v>12.697139999999999</v>
      </c>
      <c r="D210" s="4">
        <f t="shared" si="3"/>
        <v>2.8322764024024307</v>
      </c>
    </row>
    <row r="211" spans="1:4" ht="17" hidden="1" customHeight="1" outlineLevel="1" thickBot="1">
      <c r="A211" s="2">
        <f>+Get_Data!A210</f>
        <v>39748</v>
      </c>
      <c r="B211">
        <f>+ROUND(Get_Data!B210,5)</f>
        <v>35.774230000000003</v>
      </c>
      <c r="C211">
        <f>+ROUND(Get_Data!C210,5)</f>
        <v>12.514060000000001</v>
      </c>
      <c r="D211" s="4">
        <f t="shared" si="3"/>
        <v>2.8587229084725503</v>
      </c>
    </row>
    <row r="212" spans="1:4" ht="17" hidden="1" customHeight="1" outlineLevel="1" thickBot="1">
      <c r="A212" s="2">
        <f>+Get_Data!A211</f>
        <v>39749</v>
      </c>
      <c r="B212">
        <f>+ROUND(Get_Data!B211,5)</f>
        <v>38.789569999999998</v>
      </c>
      <c r="C212">
        <f>+ROUND(Get_Data!C211,5)</f>
        <v>13.807880000000001</v>
      </c>
      <c r="D212" s="4">
        <f t="shared" si="3"/>
        <v>2.8092342923026559</v>
      </c>
    </row>
    <row r="213" spans="1:4" ht="17" hidden="1" customHeight="1" outlineLevel="1" thickBot="1">
      <c r="A213" s="2">
        <f>+Get_Data!A212</f>
        <v>39750</v>
      </c>
      <c r="B213">
        <f>+ROUND(Get_Data!B212,5)</f>
        <v>38.212910000000001</v>
      </c>
      <c r="C213">
        <f>+ROUND(Get_Data!C212,5)</f>
        <v>13.38068</v>
      </c>
      <c r="D213" s="4">
        <f t="shared" si="3"/>
        <v>2.8558272075858628</v>
      </c>
    </row>
    <row r="214" spans="1:4" ht="17" hidden="1" customHeight="1" outlineLevel="1" thickBot="1">
      <c r="A214" s="2">
        <f>+Get_Data!A213</f>
        <v>39751</v>
      </c>
      <c r="B214">
        <f>+ROUND(Get_Data!B213,5)</f>
        <v>39.658050000000003</v>
      </c>
      <c r="C214">
        <f>+ROUND(Get_Data!C213,5)</f>
        <v>13.627840000000001</v>
      </c>
      <c r="D214" s="4">
        <f t="shared" si="3"/>
        <v>2.9100759914997534</v>
      </c>
    </row>
    <row r="215" spans="1:4" ht="17" hidden="1" customHeight="1" outlineLevel="1" thickBot="1">
      <c r="A215" s="2">
        <f>+Get_Data!A214</f>
        <v>39752</v>
      </c>
      <c r="B215">
        <f>+ROUND(Get_Data!B214,5)</f>
        <v>39.609409999999997</v>
      </c>
      <c r="C215">
        <f>+ROUND(Get_Data!C214,5)</f>
        <v>13.44476</v>
      </c>
      <c r="D215" s="4">
        <f t="shared" si="3"/>
        <v>2.9460853150223576</v>
      </c>
    </row>
    <row r="216" spans="1:4" ht="17" hidden="1" customHeight="1" outlineLevel="1" thickBot="1">
      <c r="A216" s="2">
        <f>+Get_Data!A215</f>
        <v>39755</v>
      </c>
      <c r="B216">
        <f>+ROUND(Get_Data!B215,5)</f>
        <v>39.929009999999998</v>
      </c>
      <c r="C216">
        <f>+ROUND(Get_Data!C215,5)</f>
        <v>13.86891</v>
      </c>
      <c r="D216" s="4">
        <f t="shared" si="3"/>
        <v>2.8790301472862683</v>
      </c>
    </row>
    <row r="217" spans="1:4" ht="17" hidden="1" customHeight="1" outlineLevel="1" thickBot="1">
      <c r="A217" s="2">
        <f>+Get_Data!A216</f>
        <v>39756</v>
      </c>
      <c r="B217">
        <f>+ROUND(Get_Data!B216,5)</f>
        <v>40.533470000000001</v>
      </c>
      <c r="C217">
        <f>+ROUND(Get_Data!C216,5)</f>
        <v>14.04589</v>
      </c>
      <c r="D217" s="4">
        <f t="shared" si="3"/>
        <v>2.8857886541899447</v>
      </c>
    </row>
    <row r="218" spans="1:4" ht="17" hidden="1" customHeight="1" outlineLevel="1" thickBot="1">
      <c r="A218" s="2">
        <f>+Get_Data!A217</f>
        <v>39757</v>
      </c>
      <c r="B218">
        <f>+ROUND(Get_Data!B217,5)</f>
        <v>39.609409999999997</v>
      </c>
      <c r="C218">
        <f>+ROUND(Get_Data!C217,5)</f>
        <v>13.6492</v>
      </c>
      <c r="D218" s="4">
        <f t="shared" si="3"/>
        <v>2.9019583565337159</v>
      </c>
    </row>
    <row r="219" spans="1:4" ht="17" hidden="1" customHeight="1" outlineLevel="1" thickBot="1">
      <c r="A219" s="2">
        <f>+Get_Data!A218</f>
        <v>39758</v>
      </c>
      <c r="B219">
        <f>+ROUND(Get_Data!B218,5)</f>
        <v>38.108669999999996</v>
      </c>
      <c r="C219">
        <f>+ROUND(Get_Data!C218,5)</f>
        <v>13.57596</v>
      </c>
      <c r="D219" s="4">
        <f t="shared" si="3"/>
        <v>2.8070699972598621</v>
      </c>
    </row>
    <row r="220" spans="1:4" ht="17" hidden="1" customHeight="1" outlineLevel="1" thickBot="1">
      <c r="A220" s="2">
        <f>+Get_Data!A219</f>
        <v>39759</v>
      </c>
      <c r="B220">
        <f>+ROUND(Get_Data!B219,5)</f>
        <v>38.46302</v>
      </c>
      <c r="C220">
        <f>+ROUND(Get_Data!C219,5)</f>
        <v>14.113020000000001</v>
      </c>
      <c r="D220" s="4">
        <f t="shared" si="3"/>
        <v>2.7253571524733897</v>
      </c>
    </row>
    <row r="221" spans="1:4" ht="17" hidden="1" customHeight="1" outlineLevel="1" thickBot="1">
      <c r="A221" s="2">
        <f>+Get_Data!A220</f>
        <v>39762</v>
      </c>
      <c r="B221">
        <f>+ROUND(Get_Data!B220,5)</f>
        <v>37.941929999999999</v>
      </c>
      <c r="C221">
        <f>+ROUND(Get_Data!C220,5)</f>
        <v>14.00623</v>
      </c>
      <c r="D221" s="4">
        <f t="shared" si="3"/>
        <v>2.7089323822327636</v>
      </c>
    </row>
    <row r="222" spans="1:4" ht="17" hidden="1" customHeight="1" outlineLevel="1" thickBot="1">
      <c r="A222" s="2">
        <f>+Get_Data!A221</f>
        <v>39763</v>
      </c>
      <c r="B222">
        <f>+ROUND(Get_Data!B221,5)</f>
        <v>38.268479999999997</v>
      </c>
      <c r="C222">
        <f>+ROUND(Get_Data!C221,5)</f>
        <v>13.56071</v>
      </c>
      <c r="D222" s="4">
        <f t="shared" si="3"/>
        <v>2.8220115318445713</v>
      </c>
    </row>
    <row r="223" spans="1:4" ht="17" hidden="1" customHeight="1" outlineLevel="1" thickBot="1">
      <c r="A223" s="2">
        <f>+Get_Data!A222</f>
        <v>39764</v>
      </c>
      <c r="B223">
        <f>+ROUND(Get_Data!B222,5)</f>
        <v>36.89282</v>
      </c>
      <c r="C223">
        <f>+ROUND(Get_Data!C222,5)</f>
        <v>13.37457</v>
      </c>
      <c r="D223" s="4">
        <f t="shared" si="3"/>
        <v>2.7584303644902231</v>
      </c>
    </row>
    <row r="224" spans="1:4" ht="17" hidden="1" customHeight="1" outlineLevel="1" thickBot="1">
      <c r="A224" s="2">
        <f>+Get_Data!A223</f>
        <v>39765</v>
      </c>
      <c r="B224">
        <f>+ROUND(Get_Data!B223,5)</f>
        <v>38.622839999999997</v>
      </c>
      <c r="C224">
        <f>+ROUND(Get_Data!C223,5)</f>
        <v>14.12218</v>
      </c>
      <c r="D224" s="4">
        <f t="shared" si="3"/>
        <v>2.7349063671472815</v>
      </c>
    </row>
    <row r="225" spans="1:4" ht="17" hidden="1" customHeight="1" outlineLevel="1" thickBot="1">
      <c r="A225" s="2">
        <f>+Get_Data!A224</f>
        <v>39766</v>
      </c>
      <c r="B225">
        <f>+ROUND(Get_Data!B224,5)</f>
        <v>37.184629999999999</v>
      </c>
      <c r="C225">
        <f>+ROUND(Get_Data!C224,5)</f>
        <v>13.737690000000001</v>
      </c>
      <c r="D225" s="4">
        <f t="shared" si="3"/>
        <v>2.7067600156940501</v>
      </c>
    </row>
    <row r="226" spans="1:4" ht="17" hidden="1" customHeight="1" outlineLevel="1" thickBot="1">
      <c r="A226" s="2">
        <f>+Get_Data!A225</f>
        <v>39769</v>
      </c>
      <c r="B226">
        <f>+ROUND(Get_Data!B225,5)</f>
        <v>36.802500000000002</v>
      </c>
      <c r="C226">
        <f>+ROUND(Get_Data!C225,5)</f>
        <v>13.417289999999999</v>
      </c>
      <c r="D226" s="4">
        <f t="shared" si="3"/>
        <v>2.7429160434036981</v>
      </c>
    </row>
    <row r="227" spans="1:4" ht="17" hidden="1" customHeight="1" outlineLevel="1" thickBot="1">
      <c r="A227" s="2">
        <f>+Get_Data!A226</f>
        <v>39770</v>
      </c>
      <c r="B227">
        <f>+ROUND(Get_Data!B226,5)</f>
        <v>36.920610000000003</v>
      </c>
      <c r="C227">
        <f>+ROUND(Get_Data!C226,5)</f>
        <v>13.270820000000001</v>
      </c>
      <c r="D227" s="4">
        <f t="shared" si="3"/>
        <v>2.7820895769816789</v>
      </c>
    </row>
    <row r="228" spans="1:4" ht="17" hidden="1" customHeight="1" outlineLevel="1" thickBot="1">
      <c r="A228" s="2">
        <f>+Get_Data!A227</f>
        <v>39771</v>
      </c>
      <c r="B228">
        <f>+ROUND(Get_Data!B227,5)</f>
        <v>36.198050000000002</v>
      </c>
      <c r="C228">
        <f>+ROUND(Get_Data!C227,5)</f>
        <v>12.89855</v>
      </c>
      <c r="D228" s="4">
        <f t="shared" si="3"/>
        <v>2.8063658318183053</v>
      </c>
    </row>
    <row r="229" spans="1:4" ht="17" hidden="1" customHeight="1" outlineLevel="1" thickBot="1">
      <c r="A229" s="2">
        <f>+Get_Data!A228</f>
        <v>39772</v>
      </c>
      <c r="B229">
        <f>+ROUND(Get_Data!B228,5)</f>
        <v>34.940489999999997</v>
      </c>
      <c r="C229">
        <f>+ROUND(Get_Data!C228,5)</f>
        <v>12.53237</v>
      </c>
      <c r="D229" s="4">
        <f t="shared" si="3"/>
        <v>2.7880193451039186</v>
      </c>
    </row>
    <row r="230" spans="1:4" ht="17" hidden="1" customHeight="1" outlineLevel="1" thickBot="1">
      <c r="A230" s="2">
        <f>+Get_Data!A229</f>
        <v>39773</v>
      </c>
      <c r="B230">
        <f>+ROUND(Get_Data!B229,5)</f>
        <v>37.928040000000003</v>
      </c>
      <c r="C230">
        <f>+ROUND(Get_Data!C229,5)</f>
        <v>13.426450000000001</v>
      </c>
      <c r="D230" s="4">
        <f t="shared" si="3"/>
        <v>2.8248747807499375</v>
      </c>
    </row>
    <row r="231" spans="1:4" ht="17" hidden="1" customHeight="1" outlineLevel="1" thickBot="1">
      <c r="A231" s="2">
        <f>+Get_Data!A230</f>
        <v>39776</v>
      </c>
      <c r="B231">
        <f>+ROUND(Get_Data!B230,5)</f>
        <v>38.671460000000003</v>
      </c>
      <c r="C231">
        <f>+ROUND(Get_Data!C230,5)</f>
        <v>13.801780000000001</v>
      </c>
      <c r="D231" s="4">
        <f t="shared" si="3"/>
        <v>2.8019183032913149</v>
      </c>
    </row>
    <row r="232" spans="1:4" ht="17" hidden="1" customHeight="1" outlineLevel="1" thickBot="1">
      <c r="A232" s="2">
        <f>+Get_Data!A231</f>
        <v>39777</v>
      </c>
      <c r="B232">
        <f>+ROUND(Get_Data!B231,5)</f>
        <v>37.518129999999999</v>
      </c>
      <c r="C232">
        <f>+ROUND(Get_Data!C231,5)</f>
        <v>13.75296</v>
      </c>
      <c r="D232" s="4">
        <f t="shared" si="3"/>
        <v>2.7280040078644889</v>
      </c>
    </row>
    <row r="233" spans="1:4" ht="17" hidden="1" customHeight="1" outlineLevel="1" thickBot="1">
      <c r="A233" s="2">
        <f>+Get_Data!A232</f>
        <v>39778</v>
      </c>
      <c r="B233">
        <f>+ROUND(Get_Data!B232,5)</f>
        <v>38.164259999999999</v>
      </c>
      <c r="C233">
        <f>+ROUND(Get_Data!C232,5)</f>
        <v>14.08506</v>
      </c>
      <c r="D233" s="4">
        <f t="shared" si="3"/>
        <v>2.7095560828281879</v>
      </c>
    </row>
    <row r="234" spans="1:4" ht="17" hidden="1" customHeight="1" outlineLevel="1" thickBot="1">
      <c r="A234" s="2">
        <f>+Get_Data!A233</f>
        <v>39780</v>
      </c>
      <c r="B234">
        <f>+ROUND(Get_Data!B233,5)</f>
        <v>39.394030000000001</v>
      </c>
      <c r="C234">
        <f>+ROUND(Get_Data!C233,5)</f>
        <v>14.54753</v>
      </c>
      <c r="D234" s="4">
        <f t="shared" si="3"/>
        <v>2.7079531714318512</v>
      </c>
    </row>
    <row r="235" spans="1:4" ht="17" hidden="1" customHeight="1" outlineLevel="1" thickBot="1">
      <c r="A235" s="2">
        <f>+Get_Data!A234</f>
        <v>39783</v>
      </c>
      <c r="B235">
        <f>+ROUND(Get_Data!B234,5)</f>
        <v>37.268009999999997</v>
      </c>
      <c r="C235">
        <f>+ROUND(Get_Data!C234,5)</f>
        <v>13.75916</v>
      </c>
      <c r="D235" s="4">
        <f t="shared" si="3"/>
        <v>2.7085963096584385</v>
      </c>
    </row>
    <row r="236" spans="1:4" ht="17" hidden="1" customHeight="1" outlineLevel="1" thickBot="1">
      <c r="A236" s="2">
        <f>+Get_Data!A235</f>
        <v>39784</v>
      </c>
      <c r="B236">
        <f>+ROUND(Get_Data!B235,5)</f>
        <v>37.830770000000001</v>
      </c>
      <c r="C236">
        <f>+ROUND(Get_Data!C235,5)</f>
        <v>13.635009999999999</v>
      </c>
      <c r="D236" s="4">
        <f t="shared" si="3"/>
        <v>2.774531885198471</v>
      </c>
    </row>
    <row r="237" spans="1:4" ht="17" hidden="1" customHeight="1" outlineLevel="1" thickBot="1">
      <c r="A237" s="2">
        <f>+Get_Data!A236</f>
        <v>39785</v>
      </c>
      <c r="B237">
        <f>+ROUND(Get_Data!B236,5)</f>
        <v>37.869289999999999</v>
      </c>
      <c r="C237">
        <f>+ROUND(Get_Data!C236,5)</f>
        <v>14.32095</v>
      </c>
      <c r="D237" s="4">
        <f t="shared" si="3"/>
        <v>2.6443280648281013</v>
      </c>
    </row>
    <row r="238" spans="1:4" ht="17" hidden="1" customHeight="1" outlineLevel="1" thickBot="1">
      <c r="A238" s="2">
        <f>+Get_Data!A237</f>
        <v>39786</v>
      </c>
      <c r="B238">
        <f>+ROUND(Get_Data!B237,5)</f>
        <v>36.643859999999997</v>
      </c>
      <c r="C238">
        <f>+ROUND(Get_Data!C237,5)</f>
        <v>13.889519999999999</v>
      </c>
      <c r="D238" s="4">
        <f t="shared" si="3"/>
        <v>2.6382380384635322</v>
      </c>
    </row>
    <row r="239" spans="1:4" ht="17" hidden="1" customHeight="1" outlineLevel="1" thickBot="1">
      <c r="A239" s="2">
        <f>+Get_Data!A238</f>
        <v>39787</v>
      </c>
      <c r="B239">
        <f>+ROUND(Get_Data!B238,5)</f>
        <v>37.372109999999999</v>
      </c>
      <c r="C239">
        <f>+ROUND(Get_Data!C238,5)</f>
        <v>14.27129</v>
      </c>
      <c r="D239" s="4">
        <f t="shared" si="3"/>
        <v>2.6186917931034963</v>
      </c>
    </row>
    <row r="240" spans="1:4" ht="17" hidden="1" customHeight="1" outlineLevel="1" thickBot="1">
      <c r="A240" s="2">
        <f>+Get_Data!A239</f>
        <v>39790</v>
      </c>
      <c r="B240">
        <f>+ROUND(Get_Data!B239,5)</f>
        <v>37.533169999999998</v>
      </c>
      <c r="C240">
        <f>+ROUND(Get_Data!C239,5)</f>
        <v>14.27129</v>
      </c>
      <c r="D240" s="4">
        <f t="shared" si="3"/>
        <v>2.6299773881688338</v>
      </c>
    </row>
    <row r="241" spans="1:4" ht="17" hidden="1" customHeight="1" outlineLevel="1" thickBot="1">
      <c r="A241" s="2">
        <f>+Get_Data!A240</f>
        <v>39791</v>
      </c>
      <c r="B241">
        <f>+ROUND(Get_Data!B240,5)</f>
        <v>36.601840000000003</v>
      </c>
      <c r="C241">
        <f>+ROUND(Get_Data!C240,5)</f>
        <v>13.914350000000001</v>
      </c>
      <c r="D241" s="4">
        <f t="shared" si="3"/>
        <v>2.6305102286488409</v>
      </c>
    </row>
    <row r="242" spans="1:4" ht="17" hidden="1" customHeight="1" outlineLevel="1" thickBot="1">
      <c r="A242" s="2">
        <f>+Get_Data!A241</f>
        <v>39792</v>
      </c>
      <c r="B242">
        <f>+ROUND(Get_Data!B241,5)</f>
        <v>37.12003</v>
      </c>
      <c r="C242">
        <f>+ROUND(Get_Data!C241,5)</f>
        <v>14.063330000000001</v>
      </c>
      <c r="D242" s="4">
        <f t="shared" si="3"/>
        <v>2.6394907891658659</v>
      </c>
    </row>
    <row r="243" spans="1:4" ht="17" hidden="1" customHeight="1" outlineLevel="1" thickBot="1">
      <c r="A243" s="2">
        <f>+Get_Data!A242</f>
        <v>39793</v>
      </c>
      <c r="B243">
        <f>+ROUND(Get_Data!B242,5)</f>
        <v>36.909950000000002</v>
      </c>
      <c r="C243">
        <f>+ROUND(Get_Data!C242,5)</f>
        <v>13.725020000000001</v>
      </c>
      <c r="D243" s="4">
        <f t="shared" si="3"/>
        <v>2.6892456258715836</v>
      </c>
    </row>
    <row r="244" spans="1:4" ht="17" hidden="1" customHeight="1" outlineLevel="1" thickBot="1">
      <c r="A244" s="2">
        <f>+Get_Data!A243</f>
        <v>39794</v>
      </c>
      <c r="B244">
        <f>+ROUND(Get_Data!B243,5)</f>
        <v>36.433779999999999</v>
      </c>
      <c r="C244">
        <f>+ROUND(Get_Data!C243,5)</f>
        <v>13.83366</v>
      </c>
      <c r="D244" s="4">
        <f t="shared" si="3"/>
        <v>2.633705035399164</v>
      </c>
    </row>
    <row r="245" spans="1:4" ht="17" hidden="1" customHeight="1" outlineLevel="1" thickBot="1">
      <c r="A245" s="2">
        <f>+Get_Data!A244</f>
        <v>39797</v>
      </c>
      <c r="B245">
        <f>+ROUND(Get_Data!B244,5)</f>
        <v>36.706870000000002</v>
      </c>
      <c r="C245">
        <f>+ROUND(Get_Data!C244,5)</f>
        <v>13.957800000000001</v>
      </c>
      <c r="D245" s="4">
        <f t="shared" si="3"/>
        <v>2.6298463941308801</v>
      </c>
    </row>
    <row r="246" spans="1:4" ht="17" hidden="1" customHeight="1" outlineLevel="1" thickBot="1">
      <c r="A246" s="2">
        <f>+Get_Data!A245</f>
        <v>39798</v>
      </c>
      <c r="B246">
        <f>+ROUND(Get_Data!B245,5)</f>
        <v>37.960329999999999</v>
      </c>
      <c r="C246">
        <f>+ROUND(Get_Data!C245,5)</f>
        <v>14.42027</v>
      </c>
      <c r="D246" s="4">
        <f t="shared" si="3"/>
        <v>2.6324285190221817</v>
      </c>
    </row>
    <row r="247" spans="1:4" ht="17" hidden="1" customHeight="1" outlineLevel="1" thickBot="1">
      <c r="A247" s="2">
        <f>+Get_Data!A246</f>
        <v>39799</v>
      </c>
      <c r="B247">
        <f>+ROUND(Get_Data!B246,5)</f>
        <v>38.044350000000001</v>
      </c>
      <c r="C247">
        <f>+ROUND(Get_Data!C246,5)</f>
        <v>14.116099999999999</v>
      </c>
      <c r="D247" s="4">
        <f t="shared" si="3"/>
        <v>2.6951034634212001</v>
      </c>
    </row>
    <row r="248" spans="1:4" ht="17" hidden="1" customHeight="1" outlineLevel="1" thickBot="1">
      <c r="A248" s="2">
        <f>+Get_Data!A247</f>
        <v>39800</v>
      </c>
      <c r="B248">
        <f>+ROUND(Get_Data!B247,5)</f>
        <v>38.31044</v>
      </c>
      <c r="C248">
        <f>+ROUND(Get_Data!C247,5)</f>
        <v>14.02299</v>
      </c>
      <c r="D248" s="4">
        <f t="shared" si="3"/>
        <v>2.7319737088880474</v>
      </c>
    </row>
    <row r="249" spans="1:4" ht="17" hidden="1" customHeight="1" outlineLevel="1" thickBot="1">
      <c r="A249" s="2">
        <f>+Get_Data!A248</f>
        <v>39801</v>
      </c>
      <c r="B249">
        <f>+ROUND(Get_Data!B248,5)</f>
        <v>37.876300000000001</v>
      </c>
      <c r="C249">
        <f>+ROUND(Get_Data!C248,5)</f>
        <v>13.7902</v>
      </c>
      <c r="D249" s="4">
        <f t="shared" si="3"/>
        <v>2.7466099113863467</v>
      </c>
    </row>
    <row r="250" spans="1:4" ht="17" hidden="1" customHeight="1" outlineLevel="1" thickBot="1">
      <c r="A250" s="2">
        <f>+Get_Data!A249</f>
        <v>39804</v>
      </c>
      <c r="B250">
        <f>+ROUND(Get_Data!B249,5)</f>
        <v>37.638199999999998</v>
      </c>
      <c r="C250">
        <f>+ROUND(Get_Data!C249,5)</f>
        <v>13.86159</v>
      </c>
      <c r="D250" s="4">
        <f t="shared" si="3"/>
        <v>2.7152873515953075</v>
      </c>
    </row>
    <row r="251" spans="1:4" ht="17" hidden="1" customHeight="1" outlineLevel="1" thickBot="1">
      <c r="A251" s="2">
        <f>+Get_Data!A250</f>
        <v>39805</v>
      </c>
      <c r="B251">
        <f>+ROUND(Get_Data!B250,5)</f>
        <v>37.932310000000001</v>
      </c>
      <c r="C251">
        <f>+ROUND(Get_Data!C250,5)</f>
        <v>13.64742</v>
      </c>
      <c r="D251" s="4">
        <f t="shared" si="3"/>
        <v>2.7794491559576828</v>
      </c>
    </row>
    <row r="252" spans="1:4" ht="17" hidden="1" customHeight="1" outlineLevel="1" thickBot="1">
      <c r="A252" s="2">
        <f>+Get_Data!A251</f>
        <v>39806</v>
      </c>
      <c r="B252">
        <f>+ROUND(Get_Data!B251,5)</f>
        <v>38.191400000000002</v>
      </c>
      <c r="C252">
        <f>+ROUND(Get_Data!C251,5)</f>
        <v>13.68777</v>
      </c>
      <c r="D252" s="4">
        <f t="shared" si="3"/>
        <v>2.7901842301558251</v>
      </c>
    </row>
    <row r="253" spans="1:4" ht="17" hidden="1" customHeight="1" outlineLevel="1" thickBot="1">
      <c r="A253" s="2">
        <f>+Get_Data!A252</f>
        <v>39808</v>
      </c>
      <c r="B253">
        <f>+ROUND(Get_Data!B252,5)</f>
        <v>38.205399999999997</v>
      </c>
      <c r="C253">
        <f>+ROUND(Get_Data!C252,5)</f>
        <v>13.83676</v>
      </c>
      <c r="D253" s="4">
        <f t="shared" si="3"/>
        <v>2.7611521772438055</v>
      </c>
    </row>
    <row r="254" spans="1:4" ht="17" hidden="1" customHeight="1" outlineLevel="1" thickBot="1">
      <c r="A254" s="2">
        <f>+Get_Data!A253</f>
        <v>39811</v>
      </c>
      <c r="B254">
        <f>+ROUND(Get_Data!B253,5)</f>
        <v>37.862290000000002</v>
      </c>
      <c r="C254">
        <f>+ROUND(Get_Data!C253,5)</f>
        <v>13.783989999999999</v>
      </c>
      <c r="D254" s="4">
        <f t="shared" si="3"/>
        <v>2.7468309248628304</v>
      </c>
    </row>
    <row r="255" spans="1:4" ht="17" hidden="1" customHeight="1" outlineLevel="1" thickBot="1">
      <c r="A255" s="2">
        <f>+Get_Data!A254</f>
        <v>39812</v>
      </c>
      <c r="B255">
        <f>+ROUND(Get_Data!B254,5)</f>
        <v>38.429470000000002</v>
      </c>
      <c r="C255">
        <f>+ROUND(Get_Data!C254,5)</f>
        <v>13.94539</v>
      </c>
      <c r="D255" s="4">
        <f t="shared" si="3"/>
        <v>2.7557113856263613</v>
      </c>
    </row>
    <row r="256" spans="1:4" ht="17" hidden="1" customHeight="1" outlineLevel="1" thickBot="1">
      <c r="A256" s="2">
        <f>+Get_Data!A255</f>
        <v>39813</v>
      </c>
      <c r="B256">
        <f>+ROUND(Get_Data!B255,5)</f>
        <v>38.352449999999997</v>
      </c>
      <c r="C256">
        <f>+ROUND(Get_Data!C255,5)</f>
        <v>14.05092</v>
      </c>
      <c r="D256" s="4">
        <f t="shared" si="3"/>
        <v>2.7295330127849278</v>
      </c>
    </row>
    <row r="257" spans="1:4" ht="17" hidden="1" customHeight="1" outlineLevel="1" thickBot="1">
      <c r="A257" s="2">
        <f>+Get_Data!A256</f>
        <v>39815</v>
      </c>
      <c r="B257">
        <f>+ROUND(Get_Data!B256,5)</f>
        <v>39.19276</v>
      </c>
      <c r="C257">
        <f>+ROUND(Get_Data!C256,5)</f>
        <v>14.246460000000001</v>
      </c>
      <c r="D257" s="4">
        <f t="shared" si="3"/>
        <v>2.7510525421753895</v>
      </c>
    </row>
    <row r="258" spans="1:4" ht="17" hidden="1" customHeight="1" outlineLevel="1" thickBot="1">
      <c r="A258" s="2">
        <f>+Get_Data!A257</f>
        <v>39818</v>
      </c>
      <c r="B258">
        <f>+ROUND(Get_Data!B257,5)</f>
        <v>38.933669999999999</v>
      </c>
      <c r="C258">
        <f>+ROUND(Get_Data!C257,5)</f>
        <v>14.103680000000001</v>
      </c>
      <c r="D258" s="4">
        <f t="shared" si="3"/>
        <v>2.760532712029768</v>
      </c>
    </row>
    <row r="259" spans="1:4" ht="17" hidden="1" customHeight="1" outlineLevel="1" thickBot="1">
      <c r="A259" s="2">
        <f>+Get_Data!A258</f>
        <v>39819</v>
      </c>
      <c r="B259">
        <f>+ROUND(Get_Data!B258,5)</f>
        <v>39.003680000000003</v>
      </c>
      <c r="C259">
        <f>+ROUND(Get_Data!C258,5)</f>
        <v>13.87711</v>
      </c>
      <c r="D259" s="4">
        <f t="shared" si="3"/>
        <v>2.8106486148773056</v>
      </c>
    </row>
    <row r="260" spans="1:4" ht="17" hidden="1" customHeight="1" outlineLevel="1" thickBot="1">
      <c r="A260" s="2">
        <f>+Get_Data!A259</f>
        <v>39820</v>
      </c>
      <c r="B260">
        <f>+ROUND(Get_Data!B259,5)</f>
        <v>37.736229999999999</v>
      </c>
      <c r="C260">
        <f>+ROUND(Get_Data!C259,5)</f>
        <v>13.94539</v>
      </c>
      <c r="D260" s="4">
        <f t="shared" ref="D260:D323" si="4">IFERROR(B260/C260,"")</f>
        <v>2.706000334160608</v>
      </c>
    </row>
    <row r="261" spans="1:4" ht="17" hidden="1" customHeight="1" outlineLevel="1" thickBot="1">
      <c r="A261" s="2">
        <f>+Get_Data!A260</f>
        <v>39821</v>
      </c>
      <c r="B261">
        <f>+ROUND(Get_Data!B260,5)</f>
        <v>37.288080000000001</v>
      </c>
      <c r="C261">
        <f>+ROUND(Get_Data!C260,5)</f>
        <v>14.041600000000001</v>
      </c>
      <c r="D261" s="4">
        <f t="shared" si="4"/>
        <v>2.6555435278030992</v>
      </c>
    </row>
    <row r="262" spans="1:4" ht="17" hidden="1" customHeight="1" outlineLevel="1" thickBot="1">
      <c r="A262" s="2">
        <f>+Get_Data!A261</f>
        <v>39822</v>
      </c>
      <c r="B262">
        <f>+ROUND(Get_Data!B261,5)</f>
        <v>36.811920000000001</v>
      </c>
      <c r="C262">
        <f>+ROUND(Get_Data!C261,5)</f>
        <v>13.84296</v>
      </c>
      <c r="D262" s="4">
        <f t="shared" si="4"/>
        <v>2.6592520674768982</v>
      </c>
    </row>
    <row r="263" spans="1:4" ht="17" hidden="1" customHeight="1" outlineLevel="1" thickBot="1">
      <c r="A263" s="2">
        <f>+Get_Data!A262</f>
        <v>39825</v>
      </c>
      <c r="B263">
        <f>+ROUND(Get_Data!B262,5)</f>
        <v>35.985619999999997</v>
      </c>
      <c r="C263">
        <f>+ROUND(Get_Data!C262,5)</f>
        <v>13.572929999999999</v>
      </c>
      <c r="D263" s="4">
        <f t="shared" si="4"/>
        <v>2.6512786848528651</v>
      </c>
    </row>
    <row r="264" spans="1:4" ht="17" hidden="1" customHeight="1" outlineLevel="1" thickBot="1">
      <c r="A264" s="2">
        <f>+Get_Data!A263</f>
        <v>39826</v>
      </c>
      <c r="B264">
        <f>+ROUND(Get_Data!B263,5)</f>
        <v>36.573830000000001</v>
      </c>
      <c r="C264">
        <f>+ROUND(Get_Data!C263,5)</f>
        <v>13.662940000000001</v>
      </c>
      <c r="D264" s="4">
        <f t="shared" si="4"/>
        <v>2.6768638375049587</v>
      </c>
    </row>
    <row r="265" spans="1:4" ht="17" hidden="1" customHeight="1" outlineLevel="1" thickBot="1">
      <c r="A265" s="2">
        <f>+Get_Data!A264</f>
        <v>39827</v>
      </c>
      <c r="B265">
        <f>+ROUND(Get_Data!B264,5)</f>
        <v>35.782550000000001</v>
      </c>
      <c r="C265">
        <f>+ROUND(Get_Data!C264,5)</f>
        <v>13.22841</v>
      </c>
      <c r="D265" s="4">
        <f t="shared" si="4"/>
        <v>2.7049773933526402</v>
      </c>
    </row>
    <row r="266" spans="1:4" ht="17" hidden="1" customHeight="1" outlineLevel="1" thickBot="1">
      <c r="A266" s="2">
        <f>+Get_Data!A265</f>
        <v>39828</v>
      </c>
      <c r="B266">
        <f>+ROUND(Get_Data!B265,5)</f>
        <v>35.383420000000001</v>
      </c>
      <c r="C266">
        <f>+ROUND(Get_Data!C265,5)</f>
        <v>13.45809</v>
      </c>
      <c r="D266" s="4">
        <f t="shared" si="4"/>
        <v>2.629156143256584</v>
      </c>
    </row>
    <row r="267" spans="1:4" ht="17" hidden="1" customHeight="1" outlineLevel="1" thickBot="1">
      <c r="A267" s="2">
        <f>+Get_Data!A266</f>
        <v>39829</v>
      </c>
      <c r="B267">
        <f>+ROUND(Get_Data!B266,5)</f>
        <v>35.971609999999998</v>
      </c>
      <c r="C267">
        <f>+ROUND(Get_Data!C266,5)</f>
        <v>13.60708</v>
      </c>
      <c r="D267" s="4">
        <f t="shared" si="4"/>
        <v>2.6435950990219794</v>
      </c>
    </row>
    <row r="268" spans="1:4" ht="17" hidden="1" customHeight="1" outlineLevel="1" thickBot="1">
      <c r="A268" s="2">
        <f>+Get_Data!A267</f>
        <v>39833</v>
      </c>
      <c r="B268">
        <f>+ROUND(Get_Data!B267,5)</f>
        <v>35.313389999999998</v>
      </c>
      <c r="C268">
        <f>+ROUND(Get_Data!C267,5)</f>
        <v>13.30911</v>
      </c>
      <c r="D268" s="4">
        <f t="shared" si="4"/>
        <v>2.6533246776080444</v>
      </c>
    </row>
    <row r="269" spans="1:4" ht="17" hidden="1" customHeight="1" outlineLevel="1" thickBot="1">
      <c r="A269" s="2">
        <f>+Get_Data!A268</f>
        <v>39834</v>
      </c>
      <c r="B269">
        <f>+ROUND(Get_Data!B268,5)</f>
        <v>35.320399999999999</v>
      </c>
      <c r="C269">
        <f>+ROUND(Get_Data!C268,5)</f>
        <v>13.43637</v>
      </c>
      <c r="D269" s="4">
        <f t="shared" si="4"/>
        <v>2.6287159403916385</v>
      </c>
    </row>
    <row r="270" spans="1:4" ht="17" hidden="1" customHeight="1" outlineLevel="1" thickBot="1">
      <c r="A270" s="2">
        <f>+Get_Data!A269</f>
        <v>39835</v>
      </c>
      <c r="B270">
        <f>+ROUND(Get_Data!B269,5)</f>
        <v>35.257370000000002</v>
      </c>
      <c r="C270">
        <f>+ROUND(Get_Data!C269,5)</f>
        <v>13.383599999999999</v>
      </c>
      <c r="D270" s="4">
        <f t="shared" si="4"/>
        <v>2.6343711706865123</v>
      </c>
    </row>
    <row r="271" spans="1:4" ht="17" hidden="1" customHeight="1" outlineLevel="1" thickBot="1">
      <c r="A271" s="2">
        <f>+Get_Data!A270</f>
        <v>39836</v>
      </c>
      <c r="B271">
        <f>+ROUND(Get_Data!B270,5)</f>
        <v>35.446440000000003</v>
      </c>
      <c r="C271">
        <f>+ROUND(Get_Data!C270,5)</f>
        <v>13.098050000000001</v>
      </c>
      <c r="D271" s="4">
        <f t="shared" si="4"/>
        <v>2.7062379514507886</v>
      </c>
    </row>
    <row r="272" spans="1:4" ht="17" hidden="1" customHeight="1" outlineLevel="1" thickBot="1">
      <c r="A272" s="2">
        <f>+Get_Data!A271</f>
        <v>39839</v>
      </c>
      <c r="B272">
        <f>+ROUND(Get_Data!B271,5)</f>
        <v>36.00665</v>
      </c>
      <c r="C272">
        <f>+ROUND(Get_Data!C271,5)</f>
        <v>13.35566</v>
      </c>
      <c r="D272" s="4">
        <f t="shared" si="4"/>
        <v>2.6959843242490451</v>
      </c>
    </row>
    <row r="273" spans="1:4" ht="17" hidden="1" customHeight="1" outlineLevel="1" thickBot="1">
      <c r="A273" s="2">
        <f>+Get_Data!A272</f>
        <v>39840</v>
      </c>
      <c r="B273">
        <f>+ROUND(Get_Data!B272,5)</f>
        <v>36.160690000000002</v>
      </c>
      <c r="C273">
        <f>+ROUND(Get_Data!C272,5)</f>
        <v>13.448779999999999</v>
      </c>
      <c r="D273" s="4">
        <f t="shared" si="4"/>
        <v>2.6887710260707665</v>
      </c>
    </row>
    <row r="274" spans="1:4" ht="17" hidden="1" customHeight="1" outlineLevel="1" thickBot="1">
      <c r="A274" s="2">
        <f>+Get_Data!A273</f>
        <v>39841</v>
      </c>
      <c r="B274">
        <f>+ROUND(Get_Data!B273,5)</f>
        <v>36.440800000000003</v>
      </c>
      <c r="C274">
        <f>+ROUND(Get_Data!C273,5)</f>
        <v>13.61328</v>
      </c>
      <c r="D274" s="4">
        <f t="shared" si="4"/>
        <v>2.6768567163828263</v>
      </c>
    </row>
    <row r="275" spans="1:4" ht="17" hidden="1" customHeight="1" outlineLevel="1" thickBot="1">
      <c r="A275" s="2">
        <f>+Get_Data!A274</f>
        <v>39842</v>
      </c>
      <c r="B275">
        <f>+ROUND(Get_Data!B274,5)</f>
        <v>36.188690000000001</v>
      </c>
      <c r="C275">
        <f>+ROUND(Get_Data!C274,5)</f>
        <v>13.51707</v>
      </c>
      <c r="D275" s="4">
        <f t="shared" si="4"/>
        <v>2.677258459118729</v>
      </c>
    </row>
    <row r="276" spans="1:4" ht="17" hidden="1" customHeight="1" outlineLevel="1" thickBot="1">
      <c r="A276" s="2">
        <f>+Get_Data!A275</f>
        <v>39843</v>
      </c>
      <c r="B276">
        <f>+ROUND(Get_Data!B275,5)</f>
        <v>35.173360000000002</v>
      </c>
      <c r="C276">
        <f>+ROUND(Get_Data!C275,5)</f>
        <v>13.259449999999999</v>
      </c>
      <c r="D276" s="4">
        <f t="shared" si="4"/>
        <v>2.6527012809731931</v>
      </c>
    </row>
    <row r="277" spans="1:4" ht="17" hidden="1" customHeight="1" outlineLevel="1" thickBot="1">
      <c r="A277" s="2">
        <f>+Get_Data!A276</f>
        <v>39846</v>
      </c>
      <c r="B277">
        <f>+ROUND(Get_Data!B276,5)</f>
        <v>35.103319999999997</v>
      </c>
      <c r="C277">
        <f>+ROUND(Get_Data!C276,5)</f>
        <v>13.11046</v>
      </c>
      <c r="D277" s="4">
        <f t="shared" si="4"/>
        <v>2.6775048320196237</v>
      </c>
    </row>
    <row r="278" spans="1:4" ht="17" hidden="1" customHeight="1" outlineLevel="1" thickBot="1">
      <c r="A278" s="2">
        <f>+Get_Data!A277</f>
        <v>39847</v>
      </c>
      <c r="B278">
        <f>+ROUND(Get_Data!B277,5)</f>
        <v>36.076659999999997</v>
      </c>
      <c r="C278">
        <f>+ROUND(Get_Data!C277,5)</f>
        <v>13.44567</v>
      </c>
      <c r="D278" s="4">
        <f t="shared" si="4"/>
        <v>2.6831433465197345</v>
      </c>
    </row>
    <row r="279" spans="1:4" ht="17" hidden="1" customHeight="1" outlineLevel="1" thickBot="1">
      <c r="A279" s="2">
        <f>+Get_Data!A278</f>
        <v>39848</v>
      </c>
      <c r="B279">
        <f>+ROUND(Get_Data!B278,5)</f>
        <v>36.055660000000003</v>
      </c>
      <c r="C279">
        <f>+ROUND(Get_Data!C278,5)</f>
        <v>13.160130000000001</v>
      </c>
      <c r="D279" s="4">
        <f t="shared" si="4"/>
        <v>2.7397647287678772</v>
      </c>
    </row>
    <row r="280" spans="1:4" ht="17" hidden="1" customHeight="1" outlineLevel="1" thickBot="1">
      <c r="A280" s="2">
        <f>+Get_Data!A279</f>
        <v>39849</v>
      </c>
      <c r="B280">
        <f>+ROUND(Get_Data!B279,5)</f>
        <v>36.657859999999999</v>
      </c>
      <c r="C280">
        <f>+ROUND(Get_Data!C279,5)</f>
        <v>13.25013</v>
      </c>
      <c r="D280" s="4">
        <f t="shared" si="4"/>
        <v>2.7666037993589496</v>
      </c>
    </row>
    <row r="281" spans="1:4" ht="17" hidden="1" customHeight="1" outlineLevel="1" thickBot="1">
      <c r="A281" s="2">
        <f>+Get_Data!A280</f>
        <v>39850</v>
      </c>
      <c r="B281">
        <f>+ROUND(Get_Data!B280,5)</f>
        <v>37.48415</v>
      </c>
      <c r="C281">
        <f>+ROUND(Get_Data!C280,5)</f>
        <v>13.51707</v>
      </c>
      <c r="D281" s="4">
        <f t="shared" si="4"/>
        <v>2.773097276258834</v>
      </c>
    </row>
    <row r="282" spans="1:4" ht="17" hidden="1" customHeight="1" outlineLevel="1" thickBot="1">
      <c r="A282" s="2">
        <f>+Get_Data!A281</f>
        <v>39853</v>
      </c>
      <c r="B282">
        <f>+ROUND(Get_Data!B281,5)</f>
        <v>36.013640000000002</v>
      </c>
      <c r="C282">
        <f>+ROUND(Get_Data!C281,5)</f>
        <v>13.13219</v>
      </c>
      <c r="D282" s="4">
        <f t="shared" si="4"/>
        <v>2.7423940713620505</v>
      </c>
    </row>
    <row r="283" spans="1:4" ht="17" hidden="1" customHeight="1" outlineLevel="1" thickBot="1">
      <c r="A283" s="2">
        <f>+Get_Data!A282</f>
        <v>39854</v>
      </c>
      <c r="B283">
        <f>+ROUND(Get_Data!B282,5)</f>
        <v>34.683169999999997</v>
      </c>
      <c r="C283">
        <f>+ROUND(Get_Data!C282,5)</f>
        <v>12.62317</v>
      </c>
      <c r="D283" s="4">
        <f t="shared" si="4"/>
        <v>2.7475800452659671</v>
      </c>
    </row>
    <row r="284" spans="1:4" ht="17" hidden="1" customHeight="1" outlineLevel="1" thickBot="1">
      <c r="A284" s="2">
        <f>+Get_Data!A283</f>
        <v>39855</v>
      </c>
      <c r="B284">
        <f>+ROUND(Get_Data!B283,5)</f>
        <v>35.439430000000002</v>
      </c>
      <c r="C284">
        <f>+ROUND(Get_Data!C283,5)</f>
        <v>12.8094</v>
      </c>
      <c r="D284" s="4">
        <f t="shared" si="4"/>
        <v>2.7666736927568816</v>
      </c>
    </row>
    <row r="285" spans="1:4" ht="17" hidden="1" customHeight="1" outlineLevel="1" thickBot="1">
      <c r="A285" s="2">
        <f>+Get_Data!A284</f>
        <v>39856</v>
      </c>
      <c r="B285">
        <f>+ROUND(Get_Data!B284,5)</f>
        <v>36.412779999999998</v>
      </c>
      <c r="C285">
        <f>+ROUND(Get_Data!C284,5)</f>
        <v>13.77778</v>
      </c>
      <c r="D285" s="4">
        <f t="shared" si="4"/>
        <v>2.6428626382479616</v>
      </c>
    </row>
    <row r="286" spans="1:4" ht="17" hidden="1" customHeight="1" outlineLevel="1" thickBot="1">
      <c r="A286" s="2">
        <f>+Get_Data!A285</f>
        <v>39857</v>
      </c>
      <c r="B286">
        <f>+ROUND(Get_Data!B285,5)</f>
        <v>36.811920000000001</v>
      </c>
      <c r="C286">
        <f>+ROUND(Get_Data!C285,5)</f>
        <v>13.61018</v>
      </c>
      <c r="D286" s="4">
        <f t="shared" si="4"/>
        <v>2.704734250391986</v>
      </c>
    </row>
    <row r="287" spans="1:4" ht="17" hidden="1" customHeight="1" outlineLevel="1" thickBot="1">
      <c r="A287" s="2">
        <f>+Get_Data!A286</f>
        <v>39861</v>
      </c>
      <c r="B287">
        <f>+ROUND(Get_Data!B286,5)</f>
        <v>36.286729999999999</v>
      </c>
      <c r="C287">
        <f>+ROUND(Get_Data!C286,5)</f>
        <v>13.22221</v>
      </c>
      <c r="D287" s="4">
        <f t="shared" si="4"/>
        <v>2.7443770746342704</v>
      </c>
    </row>
    <row r="288" spans="1:4" ht="17" hidden="1" customHeight="1" outlineLevel="1" thickBot="1">
      <c r="A288" s="2">
        <f>+Get_Data!A287</f>
        <v>39862</v>
      </c>
      <c r="B288">
        <f>+ROUND(Get_Data!B287,5)</f>
        <v>36.083649999999999</v>
      </c>
      <c r="C288">
        <f>+ROUND(Get_Data!C287,5)</f>
        <v>13.24704</v>
      </c>
      <c r="D288" s="4">
        <f t="shared" si="4"/>
        <v>2.7239028492402828</v>
      </c>
    </row>
    <row r="289" spans="1:4" ht="17" hidden="1" customHeight="1" outlineLevel="1" thickBot="1">
      <c r="A289" s="2">
        <f>+Get_Data!A288</f>
        <v>39863</v>
      </c>
      <c r="B289">
        <f>+ROUND(Get_Data!B288,5)</f>
        <v>36.552819999999997</v>
      </c>
      <c r="C289">
        <f>+ROUND(Get_Data!C288,5)</f>
        <v>13.43947</v>
      </c>
      <c r="D289" s="4">
        <f t="shared" si="4"/>
        <v>2.719811123504126</v>
      </c>
    </row>
    <row r="290" spans="1:4" ht="17" hidden="1" customHeight="1" outlineLevel="1" thickBot="1">
      <c r="A290" s="2">
        <f>+Get_Data!A289</f>
        <v>39864</v>
      </c>
      <c r="B290">
        <f>+ROUND(Get_Data!B289,5)</f>
        <v>36.027650000000001</v>
      </c>
      <c r="C290">
        <f>+ROUND(Get_Data!C289,5)</f>
        <v>13.29669</v>
      </c>
      <c r="D290" s="4">
        <f t="shared" si="4"/>
        <v>2.7095201888590319</v>
      </c>
    </row>
    <row r="291" spans="1:4" ht="17" hidden="1" customHeight="1" outlineLevel="1" thickBot="1">
      <c r="A291" s="2">
        <f>+Get_Data!A290</f>
        <v>39867</v>
      </c>
      <c r="B291">
        <f>+ROUND(Get_Data!B290,5)</f>
        <v>35.124310000000001</v>
      </c>
      <c r="C291">
        <f>+ROUND(Get_Data!C290,5)</f>
        <v>13.06391</v>
      </c>
      <c r="D291" s="4">
        <f t="shared" si="4"/>
        <v>2.6886521722822647</v>
      </c>
    </row>
    <row r="292" spans="1:4" ht="17" hidden="1" customHeight="1" outlineLevel="1" thickBot="1">
      <c r="A292" s="2">
        <f>+Get_Data!A291</f>
        <v>39868</v>
      </c>
      <c r="B292">
        <f>+ROUND(Get_Data!B291,5)</f>
        <v>36.188690000000001</v>
      </c>
      <c r="C292">
        <f>+ROUND(Get_Data!C291,5)</f>
        <v>13.364979999999999</v>
      </c>
      <c r="D292" s="4">
        <f t="shared" si="4"/>
        <v>2.7077249647960566</v>
      </c>
    </row>
    <row r="293" spans="1:4" ht="17" hidden="1" customHeight="1" outlineLevel="1" thickBot="1">
      <c r="A293" s="2">
        <f>+Get_Data!A292</f>
        <v>39869</v>
      </c>
      <c r="B293">
        <f>+ROUND(Get_Data!B292,5)</f>
        <v>35.516460000000002</v>
      </c>
      <c r="C293">
        <f>+ROUND(Get_Data!C292,5)</f>
        <v>13.15082</v>
      </c>
      <c r="D293" s="4">
        <f t="shared" si="4"/>
        <v>2.7007030740288442</v>
      </c>
    </row>
    <row r="294" spans="1:4" ht="17" hidden="1" customHeight="1" outlineLevel="1" thickBot="1">
      <c r="A294" s="2">
        <f>+Get_Data!A293</f>
        <v>39870</v>
      </c>
      <c r="B294">
        <f>+ROUND(Get_Data!B293,5)</f>
        <v>34.606140000000003</v>
      </c>
      <c r="C294">
        <f>+ROUND(Get_Data!C293,5)</f>
        <v>12.74732</v>
      </c>
      <c r="D294" s="4">
        <f t="shared" si="4"/>
        <v>2.7147776944487156</v>
      </c>
    </row>
    <row r="295" spans="1:4" ht="17" hidden="1" customHeight="1" outlineLevel="1" thickBot="1">
      <c r="A295" s="2">
        <f>+Get_Data!A294</f>
        <v>39871</v>
      </c>
      <c r="B295">
        <f>+ROUND(Get_Data!B294,5)</f>
        <v>33.709820000000001</v>
      </c>
      <c r="C295">
        <f>+ROUND(Get_Data!C294,5)</f>
        <v>12.679029999999999</v>
      </c>
      <c r="D295" s="4">
        <f t="shared" si="4"/>
        <v>2.6587065414310089</v>
      </c>
    </row>
    <row r="296" spans="1:4" ht="17" hidden="1" customHeight="1" outlineLevel="1" thickBot="1">
      <c r="A296" s="2">
        <f>+Get_Data!A295</f>
        <v>39874</v>
      </c>
      <c r="B296">
        <f>+ROUND(Get_Data!B295,5)</f>
        <v>32.806510000000003</v>
      </c>
      <c r="C296">
        <f>+ROUND(Get_Data!C295,5)</f>
        <v>12.318989999999999</v>
      </c>
      <c r="D296" s="4">
        <f t="shared" si="4"/>
        <v>2.6630843924704868</v>
      </c>
    </row>
    <row r="297" spans="1:4" ht="17" hidden="1" customHeight="1" outlineLevel="1" thickBot="1">
      <c r="A297" s="2">
        <f>+Get_Data!A296</f>
        <v>39875</v>
      </c>
      <c r="B297">
        <f>+ROUND(Get_Data!B296,5)</f>
        <v>33.940919999999998</v>
      </c>
      <c r="C297">
        <f>+ROUND(Get_Data!C296,5)</f>
        <v>12.052070000000001</v>
      </c>
      <c r="D297" s="4">
        <f t="shared" si="4"/>
        <v>2.8161900818697534</v>
      </c>
    </row>
    <row r="298" spans="1:4" ht="17" hidden="1" customHeight="1" outlineLevel="1" thickBot="1">
      <c r="A298" s="2">
        <f>+Get_Data!A297</f>
        <v>39876</v>
      </c>
      <c r="B298">
        <f>+ROUND(Get_Data!B297,5)</f>
        <v>33.626550000000002</v>
      </c>
      <c r="C298">
        <f>+ROUND(Get_Data!C297,5)</f>
        <v>12.33141</v>
      </c>
      <c r="D298" s="4">
        <f t="shared" si="4"/>
        <v>2.7269022763820199</v>
      </c>
    </row>
    <row r="299" spans="1:4" ht="17" hidden="1" customHeight="1" outlineLevel="1" thickBot="1">
      <c r="A299" s="2">
        <f>+Get_Data!A298</f>
        <v>39877</v>
      </c>
      <c r="B299">
        <f>+ROUND(Get_Data!B298,5)</f>
        <v>32.475050000000003</v>
      </c>
      <c r="C299">
        <f>+ROUND(Get_Data!C298,5)</f>
        <v>11.74789</v>
      </c>
      <c r="D299" s="4">
        <f t="shared" si="4"/>
        <v>2.7643304457225937</v>
      </c>
    </row>
    <row r="300" spans="1:4" ht="17" hidden="1" customHeight="1" outlineLevel="1" thickBot="1">
      <c r="A300" s="2">
        <f>+Get_Data!A299</f>
        <v>39878</v>
      </c>
      <c r="B300">
        <f>+ROUND(Get_Data!B299,5)</f>
        <v>33.273319999999998</v>
      </c>
      <c r="C300">
        <f>+ROUND(Get_Data!C299,5)</f>
        <v>12.135870000000001</v>
      </c>
      <c r="D300" s="4">
        <f t="shared" si="4"/>
        <v>2.741733390354379</v>
      </c>
    </row>
    <row r="301" spans="1:4" ht="17" hidden="1" customHeight="1" outlineLevel="1" thickBot="1">
      <c r="A301" s="2">
        <f>+Get_Data!A300</f>
        <v>39881</v>
      </c>
      <c r="B301">
        <f>+ROUND(Get_Data!B300,5)</f>
        <v>32.362020000000001</v>
      </c>
      <c r="C301">
        <f>+ROUND(Get_Data!C300,5)</f>
        <v>12.027240000000001</v>
      </c>
      <c r="D301" s="4">
        <f t="shared" si="4"/>
        <v>2.6907270495974136</v>
      </c>
    </row>
    <row r="302" spans="1:4" ht="17" hidden="1" customHeight="1" outlineLevel="1" thickBot="1">
      <c r="A302" s="2">
        <f>+Get_Data!A301</f>
        <v>39882</v>
      </c>
      <c r="B302">
        <f>+ROUND(Get_Data!B301,5)</f>
        <v>32.920090000000002</v>
      </c>
      <c r="C302">
        <f>+ROUND(Get_Data!C301,5)</f>
        <v>12.154489999999999</v>
      </c>
      <c r="D302" s="4">
        <f t="shared" si="4"/>
        <v>2.708471519578362</v>
      </c>
    </row>
    <row r="303" spans="1:4" ht="17" hidden="1" customHeight="1" outlineLevel="1" thickBot="1">
      <c r="A303" s="2">
        <f>+Get_Data!A302</f>
        <v>39883</v>
      </c>
      <c r="B303">
        <f>+ROUND(Get_Data!B302,5)</f>
        <v>33.499369999999999</v>
      </c>
      <c r="C303">
        <f>+ROUND(Get_Data!C302,5)</f>
        <v>12.54443</v>
      </c>
      <c r="D303" s="4">
        <f t="shared" si="4"/>
        <v>2.6704577250620392</v>
      </c>
    </row>
    <row r="304" spans="1:4" ht="17" hidden="1" customHeight="1" outlineLevel="1" thickBot="1">
      <c r="A304" s="2">
        <f>+Get_Data!A303</f>
        <v>39884</v>
      </c>
      <c r="B304">
        <f>+ROUND(Get_Data!B303,5)</f>
        <v>34.113990000000001</v>
      </c>
      <c r="C304">
        <f>+ROUND(Get_Data!C303,5)</f>
        <v>12.947039999999999</v>
      </c>
      <c r="D304" s="4">
        <f t="shared" si="4"/>
        <v>2.6348872020168317</v>
      </c>
    </row>
    <row r="305" spans="1:4" ht="17" hidden="1" customHeight="1" outlineLevel="1" thickBot="1">
      <c r="A305" s="2">
        <f>+Get_Data!A304</f>
        <v>39885</v>
      </c>
      <c r="B305">
        <f>+ROUND(Get_Data!B304,5)</f>
        <v>34.347110000000001</v>
      </c>
      <c r="C305">
        <f>+ROUND(Get_Data!C304,5)</f>
        <v>13.06751</v>
      </c>
      <c r="D305" s="4">
        <f t="shared" si="4"/>
        <v>2.6284357157561002</v>
      </c>
    </row>
    <row r="306" spans="1:4" ht="17" hidden="1" customHeight="1" outlineLevel="1" thickBot="1">
      <c r="A306" s="2">
        <f>+Get_Data!A305</f>
        <v>39888</v>
      </c>
      <c r="B306">
        <f>+ROUND(Get_Data!B305,5)</f>
        <v>34.424819999999997</v>
      </c>
      <c r="C306">
        <f>+ROUND(Get_Data!C305,5)</f>
        <v>13.083360000000001</v>
      </c>
      <c r="D306" s="4">
        <f t="shared" si="4"/>
        <v>2.6311910701838057</v>
      </c>
    </row>
    <row r="307" spans="1:4" ht="17" hidden="1" customHeight="1" outlineLevel="1" thickBot="1">
      <c r="A307" s="2">
        <f>+Get_Data!A306</f>
        <v>39889</v>
      </c>
      <c r="B307">
        <f>+ROUND(Get_Data!B306,5)</f>
        <v>34.792180000000002</v>
      </c>
      <c r="C307">
        <f>+ROUND(Get_Data!C306,5)</f>
        <v>13.140420000000001</v>
      </c>
      <c r="D307" s="4">
        <f t="shared" si="4"/>
        <v>2.6477220667223729</v>
      </c>
    </row>
    <row r="308" spans="1:4" ht="17" hidden="1" customHeight="1" outlineLevel="1" thickBot="1">
      <c r="A308" s="2">
        <f>+Get_Data!A307</f>
        <v>39890</v>
      </c>
      <c r="B308">
        <f>+ROUND(Get_Data!B307,5)</f>
        <v>34.947589999999998</v>
      </c>
      <c r="C308">
        <f>+ROUND(Get_Data!C307,5)</f>
        <v>13.20383</v>
      </c>
      <c r="D308" s="4">
        <f t="shared" si="4"/>
        <v>2.6467767306910193</v>
      </c>
    </row>
    <row r="309" spans="1:4" ht="17" hidden="1" customHeight="1" outlineLevel="1" thickBot="1">
      <c r="A309" s="2">
        <f>+Get_Data!A308</f>
        <v>39891</v>
      </c>
      <c r="B309">
        <f>+ROUND(Get_Data!B308,5)</f>
        <v>34.608490000000003</v>
      </c>
      <c r="C309">
        <f>+ROUND(Get_Data!C308,5)</f>
        <v>13.371840000000001</v>
      </c>
      <c r="D309" s="4">
        <f t="shared" si="4"/>
        <v>2.5881621377461892</v>
      </c>
    </row>
    <row r="310" spans="1:4" ht="17" hidden="1" customHeight="1" outlineLevel="1" thickBot="1">
      <c r="A310" s="2">
        <f>+Get_Data!A309</f>
        <v>39892</v>
      </c>
      <c r="B310">
        <f>+ROUND(Get_Data!B309,5)</f>
        <v>35.33614</v>
      </c>
      <c r="C310">
        <f>+ROUND(Get_Data!C309,5)</f>
        <v>13.51768</v>
      </c>
      <c r="D310" s="4">
        <f t="shared" si="4"/>
        <v>2.6140683904338613</v>
      </c>
    </row>
    <row r="311" spans="1:4" ht="17" hidden="1" customHeight="1" outlineLevel="1" thickBot="1">
      <c r="A311" s="2">
        <f>+Get_Data!A310</f>
        <v>39895</v>
      </c>
      <c r="B311">
        <f>+ROUND(Get_Data!B310,5)</f>
        <v>36.473500000000001</v>
      </c>
      <c r="C311">
        <f>+ROUND(Get_Data!C310,5)</f>
        <v>13.9932</v>
      </c>
      <c r="D311" s="4">
        <f t="shared" si="4"/>
        <v>2.6065160220678618</v>
      </c>
    </row>
    <row r="312" spans="1:4" ht="17" hidden="1" customHeight="1" outlineLevel="1" thickBot="1">
      <c r="A312" s="2">
        <f>+Get_Data!A311</f>
        <v>39896</v>
      </c>
      <c r="B312">
        <f>+ROUND(Get_Data!B311,5)</f>
        <v>36.402839999999998</v>
      </c>
      <c r="C312">
        <f>+ROUND(Get_Data!C311,5)</f>
        <v>13.955159999999999</v>
      </c>
      <c r="D312" s="4">
        <f t="shared" si="4"/>
        <v>2.6085576947881641</v>
      </c>
    </row>
    <row r="313" spans="1:4" ht="17" hidden="1" customHeight="1" outlineLevel="1" thickBot="1">
      <c r="A313" s="2">
        <f>+Get_Data!A312</f>
        <v>39897</v>
      </c>
      <c r="B313">
        <f>+ROUND(Get_Data!B312,5)</f>
        <v>37.06691</v>
      </c>
      <c r="C313">
        <f>+ROUND(Get_Data!C312,5)</f>
        <v>14.186579999999999</v>
      </c>
      <c r="D313" s="4">
        <f t="shared" si="4"/>
        <v>2.6128150688890486</v>
      </c>
    </row>
    <row r="314" spans="1:4" ht="17" hidden="1" customHeight="1" outlineLevel="1" thickBot="1">
      <c r="A314" s="2">
        <f>+Get_Data!A313</f>
        <v>39898</v>
      </c>
      <c r="B314">
        <f>+ROUND(Get_Data!B313,5)</f>
        <v>37.554340000000003</v>
      </c>
      <c r="C314">
        <f>+ROUND(Get_Data!C313,5)</f>
        <v>14.21829</v>
      </c>
      <c r="D314" s="4">
        <f t="shared" si="4"/>
        <v>2.6412698010801585</v>
      </c>
    </row>
    <row r="315" spans="1:4" ht="17" hidden="1" customHeight="1" outlineLevel="1" thickBot="1">
      <c r="A315" s="2">
        <f>+Get_Data!A314</f>
        <v>39899</v>
      </c>
      <c r="B315">
        <f>+ROUND(Get_Data!B314,5)</f>
        <v>37.010390000000001</v>
      </c>
      <c r="C315">
        <f>+ROUND(Get_Data!C314,5)</f>
        <v>14.29754</v>
      </c>
      <c r="D315" s="4">
        <f t="shared" si="4"/>
        <v>2.5885844697759195</v>
      </c>
    </row>
    <row r="316" spans="1:4" ht="17" hidden="1" customHeight="1" outlineLevel="1" thickBot="1">
      <c r="A316" s="2">
        <f>+Get_Data!A315</f>
        <v>39902</v>
      </c>
      <c r="B316">
        <f>+ROUND(Get_Data!B315,5)</f>
        <v>36.58652</v>
      </c>
      <c r="C316">
        <f>+ROUND(Get_Data!C315,5)</f>
        <v>13.92346</v>
      </c>
      <c r="D316" s="4">
        <f t="shared" si="4"/>
        <v>2.6276888072361322</v>
      </c>
    </row>
    <row r="317" spans="1:4" ht="17" hidden="1" customHeight="1" outlineLevel="1" thickBot="1">
      <c r="A317" s="2">
        <f>+Get_Data!A316</f>
        <v>39903</v>
      </c>
      <c r="B317">
        <f>+ROUND(Get_Data!B316,5)</f>
        <v>36.367539999999998</v>
      </c>
      <c r="C317">
        <f>+ROUND(Get_Data!C316,5)</f>
        <v>13.932969999999999</v>
      </c>
      <c r="D317" s="4">
        <f t="shared" si="4"/>
        <v>2.6101785907814343</v>
      </c>
    </row>
    <row r="318" spans="1:4" ht="17" hidden="1" customHeight="1" outlineLevel="1" thickBot="1">
      <c r="A318" s="2">
        <f>+Get_Data!A317</f>
        <v>39904</v>
      </c>
      <c r="B318">
        <f>+ROUND(Get_Data!B317,5)</f>
        <v>36.890300000000003</v>
      </c>
      <c r="C318">
        <f>+ROUND(Get_Data!C317,5)</f>
        <v>14.22146</v>
      </c>
      <c r="D318" s="4">
        <f t="shared" si="4"/>
        <v>2.5939882403072541</v>
      </c>
    </row>
    <row r="319" spans="1:4" ht="17" hidden="1" customHeight="1" outlineLevel="1" thickBot="1">
      <c r="A319" s="2">
        <f>+Get_Data!A318</f>
        <v>39905</v>
      </c>
      <c r="B319">
        <f>+ROUND(Get_Data!B318,5)</f>
        <v>37.342410000000001</v>
      </c>
      <c r="C319">
        <f>+ROUND(Get_Data!C318,5)</f>
        <v>14.373620000000001</v>
      </c>
      <c r="D319" s="4">
        <f t="shared" si="4"/>
        <v>2.5979822758637003</v>
      </c>
    </row>
    <row r="320" spans="1:4" ht="17" hidden="1" customHeight="1" outlineLevel="1" thickBot="1">
      <c r="A320" s="2">
        <f>+Get_Data!A319</f>
        <v>39906</v>
      </c>
      <c r="B320">
        <f>+ROUND(Get_Data!B319,5)</f>
        <v>37.222320000000003</v>
      </c>
      <c r="C320">
        <f>+ROUND(Get_Data!C319,5)</f>
        <v>14.25633</v>
      </c>
      <c r="D320" s="4">
        <f t="shared" si="4"/>
        <v>2.610932827733365</v>
      </c>
    </row>
    <row r="321" spans="1:4" ht="17" hidden="1" customHeight="1" outlineLevel="1" thickBot="1">
      <c r="A321" s="2">
        <f>+Get_Data!A320</f>
        <v>39909</v>
      </c>
      <c r="B321">
        <f>+ROUND(Get_Data!B320,5)</f>
        <v>37.208190000000002</v>
      </c>
      <c r="C321">
        <f>+ROUND(Get_Data!C320,5)</f>
        <v>14.26267</v>
      </c>
      <c r="D321" s="4">
        <f t="shared" si="4"/>
        <v>2.6087815254787499</v>
      </c>
    </row>
    <row r="322" spans="1:4" ht="17" hidden="1" customHeight="1" outlineLevel="1" thickBot="1">
      <c r="A322" s="2">
        <f>+Get_Data!A321</f>
        <v>39910</v>
      </c>
      <c r="B322">
        <f>+ROUND(Get_Data!B321,5)</f>
        <v>36.911490000000001</v>
      </c>
      <c r="C322">
        <f>+ROUND(Get_Data!C321,5)</f>
        <v>14.14537</v>
      </c>
      <c r="D322" s="4">
        <f t="shared" si="4"/>
        <v>2.6094396965226077</v>
      </c>
    </row>
    <row r="323" spans="1:4" ht="17" hidden="1" customHeight="1" outlineLevel="1" thickBot="1">
      <c r="A323" s="2">
        <f>+Get_Data!A322</f>
        <v>39911</v>
      </c>
      <c r="B323">
        <f>+ROUND(Get_Data!B322,5)</f>
        <v>36.932679999999998</v>
      </c>
      <c r="C323">
        <f>+ROUND(Get_Data!C322,5)</f>
        <v>14.26267</v>
      </c>
      <c r="D323" s="4">
        <f t="shared" si="4"/>
        <v>2.5894646654518403</v>
      </c>
    </row>
    <row r="324" spans="1:4" ht="17" hidden="1" customHeight="1" outlineLevel="1" thickBot="1">
      <c r="A324" s="2">
        <f>+Get_Data!A323</f>
        <v>39912</v>
      </c>
      <c r="B324">
        <f>+ROUND(Get_Data!B323,5)</f>
        <v>36.805529999999997</v>
      </c>
      <c r="C324">
        <f>+ROUND(Get_Data!C323,5)</f>
        <v>14.26267</v>
      </c>
      <c r="D324" s="4">
        <f t="shared" ref="D324:D387" si="5">IFERROR(B324/C324,"")</f>
        <v>2.5805497848579542</v>
      </c>
    </row>
    <row r="325" spans="1:4" ht="17" hidden="1" customHeight="1" outlineLevel="1" thickBot="1">
      <c r="A325" s="2">
        <f>+Get_Data!A324</f>
        <v>39916</v>
      </c>
      <c r="B325">
        <f>+ROUND(Get_Data!B324,5)</f>
        <v>36.374600000000001</v>
      </c>
      <c r="C325">
        <f>+ROUND(Get_Data!C324,5)</f>
        <v>14.18024</v>
      </c>
      <c r="D325" s="4">
        <f t="shared" si="5"/>
        <v>2.5651610974144305</v>
      </c>
    </row>
    <row r="326" spans="1:4" ht="17" hidden="1" customHeight="1" outlineLevel="1" thickBot="1">
      <c r="A326" s="2">
        <f>+Get_Data!A325</f>
        <v>39917</v>
      </c>
      <c r="B326">
        <f>+ROUND(Get_Data!B325,5)</f>
        <v>35.717610000000001</v>
      </c>
      <c r="C326">
        <f>+ROUND(Get_Data!C325,5)</f>
        <v>14.01539</v>
      </c>
      <c r="D326" s="4">
        <f t="shared" si="5"/>
        <v>2.5484563754558383</v>
      </c>
    </row>
    <row r="327" spans="1:4" ht="17" hidden="1" customHeight="1" outlineLevel="1" thickBot="1">
      <c r="A327" s="2">
        <f>+Get_Data!A326</f>
        <v>39918</v>
      </c>
      <c r="B327">
        <f>+ROUND(Get_Data!B326,5)</f>
        <v>36.763150000000003</v>
      </c>
      <c r="C327">
        <f>+ROUND(Get_Data!C326,5)</f>
        <v>14.27535</v>
      </c>
      <c r="D327" s="4">
        <f t="shared" si="5"/>
        <v>2.5752888720766918</v>
      </c>
    </row>
    <row r="328" spans="1:4" ht="17" hidden="1" customHeight="1" outlineLevel="1" thickBot="1">
      <c r="A328" s="2">
        <f>+Get_Data!A327</f>
        <v>39919</v>
      </c>
      <c r="B328">
        <f>+ROUND(Get_Data!B327,5)</f>
        <v>36.706629999999997</v>
      </c>
      <c r="C328">
        <f>+ROUND(Get_Data!C327,5)</f>
        <v>14.29754</v>
      </c>
      <c r="D328" s="4">
        <f t="shared" si="5"/>
        <v>2.5673388568942626</v>
      </c>
    </row>
    <row r="329" spans="1:4" ht="17" hidden="1" customHeight="1" outlineLevel="1" thickBot="1">
      <c r="A329" s="2">
        <f>+Get_Data!A328</f>
        <v>39920</v>
      </c>
      <c r="B329">
        <f>+ROUND(Get_Data!B328,5)</f>
        <v>36.826729999999998</v>
      </c>
      <c r="C329">
        <f>+ROUND(Get_Data!C328,5)</f>
        <v>14.272169999999999</v>
      </c>
      <c r="D329" s="4">
        <f t="shared" si="5"/>
        <v>2.5803174990208215</v>
      </c>
    </row>
    <row r="330" spans="1:4" ht="17" hidden="1" customHeight="1" outlineLevel="1" thickBot="1">
      <c r="A330" s="2">
        <f>+Get_Data!A329</f>
        <v>39923</v>
      </c>
      <c r="B330">
        <f>+ROUND(Get_Data!B329,5)</f>
        <v>35.223100000000002</v>
      </c>
      <c r="C330">
        <f>+ROUND(Get_Data!C329,5)</f>
        <v>14.053430000000001</v>
      </c>
      <c r="D330" s="4">
        <f t="shared" si="5"/>
        <v>2.5063703309441183</v>
      </c>
    </row>
    <row r="331" spans="1:4" ht="17" hidden="1" customHeight="1" outlineLevel="1" thickBot="1">
      <c r="A331" s="2">
        <f>+Get_Data!A330</f>
        <v>39924</v>
      </c>
      <c r="B331">
        <f>+ROUND(Get_Data!B330,5)</f>
        <v>34.862819999999999</v>
      </c>
      <c r="C331">
        <f>+ROUND(Get_Data!C330,5)</f>
        <v>13.66033</v>
      </c>
      <c r="D331" s="4">
        <f t="shared" si="5"/>
        <v>2.5521213616362122</v>
      </c>
    </row>
    <row r="332" spans="1:4" ht="17" hidden="1" customHeight="1" outlineLevel="1" thickBot="1">
      <c r="A332" s="2">
        <f>+Get_Data!A331</f>
        <v>39925</v>
      </c>
      <c r="B332">
        <f>+ROUND(Get_Data!B331,5)</f>
        <v>33.895009999999999</v>
      </c>
      <c r="C332">
        <f>+ROUND(Get_Data!C331,5)</f>
        <v>13.60961</v>
      </c>
      <c r="D332" s="4">
        <f t="shared" si="5"/>
        <v>2.4905203014634512</v>
      </c>
    </row>
    <row r="333" spans="1:4" ht="17" hidden="1" customHeight="1" outlineLevel="1" thickBot="1">
      <c r="A333" s="2">
        <f>+Get_Data!A332</f>
        <v>39926</v>
      </c>
      <c r="B333">
        <f>+ROUND(Get_Data!B332,5)</f>
        <v>33.831409999999998</v>
      </c>
      <c r="C333">
        <f>+ROUND(Get_Data!C332,5)</f>
        <v>13.606439999999999</v>
      </c>
      <c r="D333" s="4">
        <f t="shared" si="5"/>
        <v>2.4864262804965884</v>
      </c>
    </row>
    <row r="334" spans="1:4" ht="17" hidden="1" customHeight="1" outlineLevel="1" thickBot="1">
      <c r="A334" s="2">
        <f>+Get_Data!A333</f>
        <v>39927</v>
      </c>
      <c r="B334">
        <f>+ROUND(Get_Data!B333,5)</f>
        <v>34.27646</v>
      </c>
      <c r="C334">
        <f>+ROUND(Get_Data!C333,5)</f>
        <v>13.56523</v>
      </c>
      <c r="D334" s="4">
        <f t="shared" si="5"/>
        <v>2.5267879718957955</v>
      </c>
    </row>
    <row r="335" spans="1:4" ht="17" hidden="1" customHeight="1" outlineLevel="1" thickBot="1">
      <c r="A335" s="2">
        <f>+Get_Data!A334</f>
        <v>39930</v>
      </c>
      <c r="B335">
        <f>+ROUND(Get_Data!B334,5)</f>
        <v>34.693269999999998</v>
      </c>
      <c r="C335">
        <f>+ROUND(Get_Data!C334,5)</f>
        <v>13.39087</v>
      </c>
      <c r="D335" s="4">
        <f t="shared" si="5"/>
        <v>2.5908152345590691</v>
      </c>
    </row>
    <row r="336" spans="1:4" ht="17" hidden="1" customHeight="1" outlineLevel="1" thickBot="1">
      <c r="A336" s="2">
        <f>+Get_Data!A335</f>
        <v>39931</v>
      </c>
      <c r="B336">
        <f>+ROUND(Get_Data!B335,5)</f>
        <v>35.350259999999999</v>
      </c>
      <c r="C336">
        <f>+ROUND(Get_Data!C335,5)</f>
        <v>13.403549999999999</v>
      </c>
      <c r="D336" s="4">
        <f t="shared" si="5"/>
        <v>2.6373803954922392</v>
      </c>
    </row>
    <row r="337" spans="1:4" ht="17" hidden="1" customHeight="1" outlineLevel="1" thickBot="1">
      <c r="A337" s="2">
        <f>+Get_Data!A336</f>
        <v>39932</v>
      </c>
      <c r="B337">
        <f>+ROUND(Get_Data!B336,5)</f>
        <v>35.63991</v>
      </c>
      <c r="C337">
        <f>+ROUND(Get_Data!C336,5)</f>
        <v>13.539859999999999</v>
      </c>
      <c r="D337" s="4">
        <f t="shared" si="5"/>
        <v>2.6322214557609902</v>
      </c>
    </row>
    <row r="338" spans="1:4" ht="17" hidden="1" customHeight="1" outlineLevel="1" thickBot="1">
      <c r="A338" s="2">
        <f>+Get_Data!A337</f>
        <v>39933</v>
      </c>
      <c r="B338">
        <f>+ROUND(Get_Data!B337,5)</f>
        <v>35.152450000000002</v>
      </c>
      <c r="C338">
        <f>+ROUND(Get_Data!C337,5)</f>
        <v>13.647650000000001</v>
      </c>
      <c r="D338" s="4">
        <f t="shared" si="5"/>
        <v>2.5757145002985862</v>
      </c>
    </row>
    <row r="339" spans="1:4" ht="17" hidden="1" customHeight="1" outlineLevel="1" thickBot="1">
      <c r="A339" s="2">
        <f>+Get_Data!A338</f>
        <v>39934</v>
      </c>
      <c r="B339">
        <f>+ROUND(Get_Data!B338,5)</f>
        <v>35.173639999999999</v>
      </c>
      <c r="C339">
        <f>+ROUND(Get_Data!C338,5)</f>
        <v>13.46378</v>
      </c>
      <c r="D339" s="4">
        <f t="shared" si="5"/>
        <v>2.6124639588585077</v>
      </c>
    </row>
    <row r="340" spans="1:4" ht="17" hidden="1" customHeight="1" outlineLevel="1" thickBot="1">
      <c r="A340" s="2">
        <f>+Get_Data!A339</f>
        <v>39937</v>
      </c>
      <c r="B340">
        <f>+ROUND(Get_Data!B339,5)</f>
        <v>34.686210000000003</v>
      </c>
      <c r="C340">
        <f>+ROUND(Get_Data!C339,5)</f>
        <v>13.685689999999999</v>
      </c>
      <c r="D340" s="4">
        <f t="shared" si="5"/>
        <v>2.5344874829109827</v>
      </c>
    </row>
    <row r="341" spans="1:4" ht="17" hidden="1" customHeight="1" outlineLevel="1" thickBot="1">
      <c r="A341" s="2">
        <f>+Get_Data!A340</f>
        <v>39938</v>
      </c>
      <c r="B341">
        <f>+ROUND(Get_Data!B340,5)</f>
        <v>35.131259999999997</v>
      </c>
      <c r="C341">
        <f>+ROUND(Get_Data!C340,5)</f>
        <v>13.67618</v>
      </c>
      <c r="D341" s="4">
        <f t="shared" si="5"/>
        <v>2.5687918702444685</v>
      </c>
    </row>
    <row r="342" spans="1:4" ht="17" hidden="1" customHeight="1" outlineLevel="1" thickBot="1">
      <c r="A342" s="2">
        <f>+Get_Data!A341</f>
        <v>39939</v>
      </c>
      <c r="B342">
        <f>+ROUND(Get_Data!B341,5)</f>
        <v>35.124200000000002</v>
      </c>
      <c r="C342">
        <f>+ROUND(Get_Data!C341,5)</f>
        <v>13.612780000000001</v>
      </c>
      <c r="D342" s="4">
        <f t="shared" si="5"/>
        <v>2.5802371007244664</v>
      </c>
    </row>
    <row r="343" spans="1:4" ht="17" hidden="1" customHeight="1" outlineLevel="1" thickBot="1">
      <c r="A343" s="2">
        <f>+Get_Data!A342</f>
        <v>39940</v>
      </c>
      <c r="B343">
        <f>+ROUND(Get_Data!B342,5)</f>
        <v>34.96172</v>
      </c>
      <c r="C343">
        <f>+ROUND(Get_Data!C342,5)</f>
        <v>13.5684</v>
      </c>
      <c r="D343" s="4">
        <f t="shared" si="5"/>
        <v>2.5767017481795937</v>
      </c>
    </row>
    <row r="344" spans="1:4" ht="17" hidden="1" customHeight="1" outlineLevel="1" thickBot="1">
      <c r="A344" s="2">
        <f>+Get_Data!A343</f>
        <v>39941</v>
      </c>
      <c r="B344">
        <f>+ROUND(Get_Data!B343,5)</f>
        <v>35.145400000000002</v>
      </c>
      <c r="C344">
        <f>+ROUND(Get_Data!C343,5)</f>
        <v>13.606439999999999</v>
      </c>
      <c r="D344" s="4">
        <f t="shared" si="5"/>
        <v>2.5829974629660666</v>
      </c>
    </row>
    <row r="345" spans="1:4" ht="17" hidden="1" customHeight="1" outlineLevel="1" thickBot="1">
      <c r="A345" s="2">
        <f>+Get_Data!A344</f>
        <v>39944</v>
      </c>
      <c r="B345">
        <f>+ROUND(Get_Data!B344,5)</f>
        <v>35.025300000000001</v>
      </c>
      <c r="C345">
        <f>+ROUND(Get_Data!C344,5)</f>
        <v>13.55255</v>
      </c>
      <c r="D345" s="4">
        <f t="shared" si="5"/>
        <v>2.5844066245835657</v>
      </c>
    </row>
    <row r="346" spans="1:4" ht="17" hidden="1" customHeight="1" outlineLevel="1" thickBot="1">
      <c r="A346" s="2">
        <f>+Get_Data!A345</f>
        <v>39945</v>
      </c>
      <c r="B346">
        <f>+ROUND(Get_Data!B345,5)</f>
        <v>34.8063</v>
      </c>
      <c r="C346">
        <f>+ROUND(Get_Data!C345,5)</f>
        <v>14.07563</v>
      </c>
      <c r="D346" s="4">
        <f t="shared" si="5"/>
        <v>2.472805835333836</v>
      </c>
    </row>
    <row r="347" spans="1:4" ht="17" hidden="1" customHeight="1" outlineLevel="1" thickBot="1">
      <c r="A347" s="2">
        <f>+Get_Data!A346</f>
        <v>39946</v>
      </c>
      <c r="B347">
        <f>+ROUND(Get_Data!B346,5)</f>
        <v>35.081809999999997</v>
      </c>
      <c r="C347">
        <f>+ROUND(Get_Data!C346,5)</f>
        <v>13.831519999999999</v>
      </c>
      <c r="D347" s="4">
        <f t="shared" si="5"/>
        <v>2.5363669358103809</v>
      </c>
    </row>
    <row r="348" spans="1:4" ht="17" hidden="1" customHeight="1" outlineLevel="1" thickBot="1">
      <c r="A348" s="2">
        <f>+Get_Data!A347</f>
        <v>39947</v>
      </c>
      <c r="B348">
        <f>+ROUND(Get_Data!B347,5)</f>
        <v>35.936599999999999</v>
      </c>
      <c r="C348">
        <f>+ROUND(Get_Data!C347,5)</f>
        <v>14.23413</v>
      </c>
      <c r="D348" s="4">
        <f t="shared" si="5"/>
        <v>2.5246783610940744</v>
      </c>
    </row>
    <row r="349" spans="1:4" ht="17" hidden="1" customHeight="1" outlineLevel="1" thickBot="1">
      <c r="A349" s="2">
        <f>+Get_Data!A348</f>
        <v>39948</v>
      </c>
      <c r="B349">
        <f>+ROUND(Get_Data!B348,5)</f>
        <v>35.548050000000003</v>
      </c>
      <c r="C349">
        <f>+ROUND(Get_Data!C348,5)</f>
        <v>14.253159999999999</v>
      </c>
      <c r="D349" s="4">
        <f t="shared" si="5"/>
        <v>2.4940469341535496</v>
      </c>
    </row>
    <row r="350" spans="1:4" ht="17" hidden="1" customHeight="1" outlineLevel="1" thickBot="1">
      <c r="A350" s="2">
        <f>+Get_Data!A349</f>
        <v>39951</v>
      </c>
      <c r="B350">
        <f>+ROUND(Get_Data!B349,5)</f>
        <v>36.148539999999997</v>
      </c>
      <c r="C350">
        <f>+ROUND(Get_Data!C349,5)</f>
        <v>14.60505</v>
      </c>
      <c r="D350" s="4">
        <f t="shared" si="5"/>
        <v>2.475071293833297</v>
      </c>
    </row>
    <row r="351" spans="1:4" ht="17" hidden="1" customHeight="1" outlineLevel="1" thickBot="1">
      <c r="A351" s="2">
        <f>+Get_Data!A350</f>
        <v>39952</v>
      </c>
      <c r="B351">
        <f>+ROUND(Get_Data!B350,5)</f>
        <v>36.45937</v>
      </c>
      <c r="C351">
        <f>+ROUND(Get_Data!C350,5)</f>
        <v>14.78575</v>
      </c>
      <c r="D351" s="4">
        <f t="shared" si="5"/>
        <v>2.465845154963394</v>
      </c>
    </row>
    <row r="352" spans="1:4" ht="17" hidden="1" customHeight="1" outlineLevel="1" thickBot="1">
      <c r="A352" s="2">
        <f>+Get_Data!A351</f>
        <v>39953</v>
      </c>
      <c r="B352">
        <f>+ROUND(Get_Data!B351,5)</f>
        <v>36.777279999999998</v>
      </c>
      <c r="C352">
        <f>+ROUND(Get_Data!C351,5)</f>
        <v>14.89987</v>
      </c>
      <c r="D352" s="4">
        <f t="shared" si="5"/>
        <v>2.4682953609662364</v>
      </c>
    </row>
    <row r="353" spans="1:4" ht="17" hidden="1" customHeight="1" outlineLevel="1" thickBot="1">
      <c r="A353" s="2">
        <f>+Get_Data!A352</f>
        <v>39954</v>
      </c>
      <c r="B353">
        <f>+ROUND(Get_Data!B352,5)</f>
        <v>36.374600000000001</v>
      </c>
      <c r="C353">
        <f>+ROUND(Get_Data!C352,5)</f>
        <v>14.79843</v>
      </c>
      <c r="D353" s="4">
        <f t="shared" si="5"/>
        <v>2.4580039909639062</v>
      </c>
    </row>
    <row r="354" spans="1:4" ht="17" hidden="1" customHeight="1" outlineLevel="1" thickBot="1">
      <c r="A354" s="2">
        <f>+Get_Data!A353</f>
        <v>39955</v>
      </c>
      <c r="B354">
        <f>+ROUND(Get_Data!B353,5)</f>
        <v>36.431100000000001</v>
      </c>
      <c r="C354">
        <f>+ROUND(Get_Data!C353,5)</f>
        <v>14.99498</v>
      </c>
      <c r="D354" s="4">
        <f t="shared" si="5"/>
        <v>2.4295530904342653</v>
      </c>
    </row>
    <row r="355" spans="1:4" ht="17" hidden="1" customHeight="1" outlineLevel="1" thickBot="1">
      <c r="A355" s="2">
        <f>+Get_Data!A354</f>
        <v>39959</v>
      </c>
      <c r="B355">
        <f>+ROUND(Get_Data!B354,5)</f>
        <v>36.22625</v>
      </c>
      <c r="C355">
        <f>+ROUND(Get_Data!C354,5)</f>
        <v>14.96645</v>
      </c>
      <c r="D355" s="4">
        <f t="shared" si="5"/>
        <v>2.4204971786896694</v>
      </c>
    </row>
    <row r="356" spans="1:4" ht="17" hidden="1" customHeight="1" outlineLevel="1" thickBot="1">
      <c r="A356" s="2">
        <f>+Get_Data!A355</f>
        <v>39960</v>
      </c>
      <c r="B356">
        <f>+ROUND(Get_Data!B355,5)</f>
        <v>35.329079999999998</v>
      </c>
      <c r="C356">
        <f>+ROUND(Get_Data!C355,5)</f>
        <v>14.78257</v>
      </c>
      <c r="D356" s="4">
        <f t="shared" si="5"/>
        <v>2.3899146088941232</v>
      </c>
    </row>
    <row r="357" spans="1:4" ht="17" hidden="1" customHeight="1" outlineLevel="1" thickBot="1">
      <c r="A357" s="2">
        <f>+Get_Data!A356</f>
        <v>39961</v>
      </c>
      <c r="B357">
        <f>+ROUND(Get_Data!B356,5)</f>
        <v>36.042569999999998</v>
      </c>
      <c r="C357">
        <f>+ROUND(Get_Data!C356,5)</f>
        <v>14.868180000000001</v>
      </c>
      <c r="D357" s="4">
        <f t="shared" si="5"/>
        <v>2.4241413542208932</v>
      </c>
    </row>
    <row r="358" spans="1:4" ht="17" hidden="1" customHeight="1" outlineLevel="1" thickBot="1">
      <c r="A358" s="2">
        <f>+Get_Data!A357</f>
        <v>39962</v>
      </c>
      <c r="B358">
        <f>+ROUND(Get_Data!B357,5)</f>
        <v>36.770209999999999</v>
      </c>
      <c r="C358">
        <f>+ROUND(Get_Data!C357,5)</f>
        <v>15.584630000000001</v>
      </c>
      <c r="D358" s="4">
        <f t="shared" si="5"/>
        <v>2.359389347068233</v>
      </c>
    </row>
    <row r="359" spans="1:4" ht="17" hidden="1" customHeight="1" outlineLevel="1" thickBot="1">
      <c r="A359" s="2">
        <f>+Get_Data!A358</f>
        <v>39965</v>
      </c>
      <c r="B359">
        <f>+ROUND(Get_Data!B358,5)</f>
        <v>37.533149999999999</v>
      </c>
      <c r="C359">
        <f>+ROUND(Get_Data!C358,5)</f>
        <v>15.54025</v>
      </c>
      <c r="D359" s="4">
        <f t="shared" si="5"/>
        <v>2.4152217628416528</v>
      </c>
    </row>
    <row r="360" spans="1:4" ht="17" hidden="1" customHeight="1" outlineLevel="1" thickBot="1">
      <c r="A360" s="2">
        <f>+Get_Data!A359</f>
        <v>39966</v>
      </c>
      <c r="B360">
        <f>+ROUND(Get_Data!B359,5)</f>
        <v>39.115580000000001</v>
      </c>
      <c r="C360">
        <f>+ROUND(Get_Data!C359,5)</f>
        <v>15.74315</v>
      </c>
      <c r="D360" s="4">
        <f t="shared" si="5"/>
        <v>2.4846094968287797</v>
      </c>
    </row>
    <row r="361" spans="1:4" ht="17" hidden="1" customHeight="1" outlineLevel="1" thickBot="1">
      <c r="A361" s="2">
        <f>+Get_Data!A360</f>
        <v>39967</v>
      </c>
      <c r="B361">
        <f>+ROUND(Get_Data!B360,5)</f>
        <v>38.652630000000002</v>
      </c>
      <c r="C361">
        <f>+ROUND(Get_Data!C360,5)</f>
        <v>15.56245</v>
      </c>
      <c r="D361" s="4">
        <f t="shared" si="5"/>
        <v>2.4837111123248592</v>
      </c>
    </row>
    <row r="362" spans="1:4" ht="17" hidden="1" customHeight="1" outlineLevel="1" thickBot="1">
      <c r="A362" s="2">
        <f>+Get_Data!A361</f>
        <v>39968</v>
      </c>
      <c r="B362">
        <f>+ROUND(Get_Data!B361,5)</f>
        <v>39.044359999999998</v>
      </c>
      <c r="C362">
        <f>+ROUND(Get_Data!C361,5)</f>
        <v>15.774850000000001</v>
      </c>
      <c r="D362" s="4">
        <f t="shared" si="5"/>
        <v>2.4751018234721722</v>
      </c>
    </row>
    <row r="363" spans="1:4" ht="17" hidden="1" customHeight="1" outlineLevel="1" thickBot="1">
      <c r="A363" s="2">
        <f>+Get_Data!A362</f>
        <v>39969</v>
      </c>
      <c r="B363">
        <f>+ROUND(Get_Data!B362,5)</f>
        <v>39.0871</v>
      </c>
      <c r="C363">
        <f>+ROUND(Get_Data!C362,5)</f>
        <v>15.673400000000001</v>
      </c>
      <c r="D363" s="4">
        <f t="shared" si="5"/>
        <v>2.4938494519376775</v>
      </c>
    </row>
    <row r="364" spans="1:4" ht="17" hidden="1" customHeight="1" outlineLevel="1" thickBot="1">
      <c r="A364" s="2">
        <f>+Get_Data!A363</f>
        <v>39972</v>
      </c>
      <c r="B364">
        <f>+ROUND(Get_Data!B363,5)</f>
        <v>38.567169999999997</v>
      </c>
      <c r="C364">
        <f>+ROUND(Get_Data!C363,5)</f>
        <v>15.65438</v>
      </c>
      <c r="D364" s="4">
        <f t="shared" si="5"/>
        <v>2.463666398797014</v>
      </c>
    </row>
    <row r="365" spans="1:4" ht="17" hidden="1" customHeight="1" outlineLevel="1" thickBot="1">
      <c r="A365" s="2">
        <f>+Get_Data!A364</f>
        <v>39973</v>
      </c>
      <c r="B365">
        <f>+ROUND(Get_Data!B364,5)</f>
        <v>38.089970000000001</v>
      </c>
      <c r="C365">
        <f>+ROUND(Get_Data!C364,5)</f>
        <v>15.56245</v>
      </c>
      <c r="D365" s="4">
        <f t="shared" si="5"/>
        <v>2.4475561367265439</v>
      </c>
    </row>
    <row r="366" spans="1:4" ht="17" hidden="1" customHeight="1" outlineLevel="1" thickBot="1">
      <c r="A366" s="2">
        <f>+Get_Data!A365</f>
        <v>39974</v>
      </c>
      <c r="B366">
        <f>+ROUND(Get_Data!B365,5)</f>
        <v>38.0045</v>
      </c>
      <c r="C366">
        <f>+ROUND(Get_Data!C365,5)</f>
        <v>15.346869999999999</v>
      </c>
      <c r="D366" s="4">
        <f t="shared" si="5"/>
        <v>2.4763681454263966</v>
      </c>
    </row>
    <row r="367" spans="1:4" ht="17" hidden="1" customHeight="1" outlineLevel="1" thickBot="1">
      <c r="A367" s="2">
        <f>+Get_Data!A366</f>
        <v>39975</v>
      </c>
      <c r="B367">
        <f>+ROUND(Get_Data!B366,5)</f>
        <v>37.726739999999999</v>
      </c>
      <c r="C367">
        <f>+ROUND(Get_Data!C366,5)</f>
        <v>15.666119999999999</v>
      </c>
      <c r="D367" s="4">
        <f t="shared" si="5"/>
        <v>2.408173817128938</v>
      </c>
    </row>
    <row r="368" spans="1:4" ht="17" hidden="1" customHeight="1" outlineLevel="1" thickBot="1">
      <c r="A368" s="2">
        <f>+Get_Data!A367</f>
        <v>39976</v>
      </c>
      <c r="B368">
        <f>+ROUND(Get_Data!B367,5)</f>
        <v>38.211060000000003</v>
      </c>
      <c r="C368">
        <f>+ROUND(Get_Data!C367,5)</f>
        <v>15.7661</v>
      </c>
      <c r="D368" s="4">
        <f t="shared" si="5"/>
        <v>2.4236215677941915</v>
      </c>
    </row>
    <row r="369" spans="1:4" ht="17" hidden="1" customHeight="1" outlineLevel="1" thickBot="1">
      <c r="A369" s="2">
        <f>+Get_Data!A368</f>
        <v>39979</v>
      </c>
      <c r="B369">
        <f>+ROUND(Get_Data!B368,5)</f>
        <v>37.662640000000003</v>
      </c>
      <c r="C369">
        <f>+ROUND(Get_Data!C368,5)</f>
        <v>15.514559999999999</v>
      </c>
      <c r="D369" s="4">
        <f t="shared" si="5"/>
        <v>2.4275673947569252</v>
      </c>
    </row>
    <row r="370" spans="1:4" ht="17" hidden="1" customHeight="1" outlineLevel="1" thickBot="1">
      <c r="A370" s="2">
        <f>+Get_Data!A369</f>
        <v>39980</v>
      </c>
      <c r="B370">
        <f>+ROUND(Get_Data!B369,5)</f>
        <v>37.278030000000001</v>
      </c>
      <c r="C370">
        <f>+ROUND(Get_Data!C369,5)</f>
        <v>15.42427</v>
      </c>
      <c r="D370" s="4">
        <f t="shared" si="5"/>
        <v>2.4168424178259329</v>
      </c>
    </row>
    <row r="371" spans="1:4" ht="17" hidden="1" customHeight="1" outlineLevel="1" thickBot="1">
      <c r="A371" s="2">
        <f>+Get_Data!A370</f>
        <v>39981</v>
      </c>
      <c r="B371">
        <f>+ROUND(Get_Data!B370,5)</f>
        <v>37.726739999999999</v>
      </c>
      <c r="C371">
        <f>+ROUND(Get_Data!C370,5)</f>
        <v>15.45651</v>
      </c>
      <c r="D371" s="4">
        <f t="shared" si="5"/>
        <v>2.4408317272139701</v>
      </c>
    </row>
    <row r="372" spans="1:4" ht="17" hidden="1" customHeight="1" outlineLevel="1" thickBot="1">
      <c r="A372" s="2">
        <f>+Get_Data!A371</f>
        <v>39982</v>
      </c>
      <c r="B372">
        <f>+ROUND(Get_Data!B371,5)</f>
        <v>38.80932</v>
      </c>
      <c r="C372">
        <f>+ROUND(Get_Data!C371,5)</f>
        <v>15.97894</v>
      </c>
      <c r="D372" s="4">
        <f t="shared" si="5"/>
        <v>2.4287793808600573</v>
      </c>
    </row>
    <row r="373" spans="1:4" ht="17" hidden="1" customHeight="1" outlineLevel="1" thickBot="1">
      <c r="A373" s="2">
        <f>+Get_Data!A372</f>
        <v>39983</v>
      </c>
      <c r="B373">
        <f>+ROUND(Get_Data!B372,5)</f>
        <v>38.396239999999999</v>
      </c>
      <c r="C373">
        <f>+ROUND(Get_Data!C372,5)</f>
        <v>15.7403</v>
      </c>
      <c r="D373" s="4">
        <f t="shared" si="5"/>
        <v>2.4393588432240807</v>
      </c>
    </row>
    <row r="374" spans="1:4" ht="17" hidden="1" customHeight="1" outlineLevel="1" thickBot="1">
      <c r="A374" s="2">
        <f>+Get_Data!A373</f>
        <v>39986</v>
      </c>
      <c r="B374">
        <f>+ROUND(Get_Data!B373,5)</f>
        <v>38.097099999999998</v>
      </c>
      <c r="C374">
        <f>+ROUND(Get_Data!C373,5)</f>
        <v>15.475860000000001</v>
      </c>
      <c r="D374" s="4">
        <f t="shared" si="5"/>
        <v>2.461711336235918</v>
      </c>
    </row>
    <row r="375" spans="1:4" ht="17" hidden="1" customHeight="1" outlineLevel="1" thickBot="1">
      <c r="A375" s="2">
        <f>+Get_Data!A374</f>
        <v>39987</v>
      </c>
      <c r="B375">
        <f>+ROUND(Get_Data!B374,5)</f>
        <v>37.755229999999997</v>
      </c>
      <c r="C375">
        <f>+ROUND(Get_Data!C374,5)</f>
        <v>15.41459</v>
      </c>
      <c r="D375" s="4">
        <f t="shared" si="5"/>
        <v>2.449317821622242</v>
      </c>
    </row>
    <row r="376" spans="1:4" ht="17" hidden="1" customHeight="1" outlineLevel="1" thickBot="1">
      <c r="A376" s="2">
        <f>+Get_Data!A375</f>
        <v>39988</v>
      </c>
      <c r="B376">
        <f>+ROUND(Get_Data!B375,5)</f>
        <v>37.783709999999999</v>
      </c>
      <c r="C376">
        <f>+ROUND(Get_Data!C375,5)</f>
        <v>15.31785</v>
      </c>
      <c r="D376" s="4">
        <f t="shared" si="5"/>
        <v>2.4666457760064238</v>
      </c>
    </row>
    <row r="377" spans="1:4" ht="17" hidden="1" customHeight="1" outlineLevel="1" thickBot="1">
      <c r="A377" s="2">
        <f>+Get_Data!A376</f>
        <v>39989</v>
      </c>
      <c r="B377">
        <f>+ROUND(Get_Data!B376,5)</f>
        <v>38.453229999999998</v>
      </c>
      <c r="C377">
        <f>+ROUND(Get_Data!C376,5)</f>
        <v>15.430709999999999</v>
      </c>
      <c r="D377" s="4">
        <f t="shared" si="5"/>
        <v>2.491993563484765</v>
      </c>
    </row>
    <row r="378" spans="1:4" ht="17" hidden="1" customHeight="1" outlineLevel="1" thickBot="1">
      <c r="A378" s="2">
        <f>+Get_Data!A377</f>
        <v>39990</v>
      </c>
      <c r="B378">
        <f>+ROUND(Get_Data!B377,5)</f>
        <v>38.958889999999997</v>
      </c>
      <c r="C378">
        <f>+ROUND(Get_Data!C377,5)</f>
        <v>15.52101</v>
      </c>
      <c r="D378" s="4">
        <f t="shared" si="5"/>
        <v>2.5100744088174674</v>
      </c>
    </row>
    <row r="379" spans="1:4" ht="17" hidden="1" customHeight="1" outlineLevel="1" thickBot="1">
      <c r="A379" s="2">
        <f>+Get_Data!A378</f>
        <v>39993</v>
      </c>
      <c r="B379">
        <f>+ROUND(Get_Data!B378,5)</f>
        <v>39.058599999999998</v>
      </c>
      <c r="C379">
        <f>+ROUND(Get_Data!C378,5)</f>
        <v>15.572609999999999</v>
      </c>
      <c r="D379" s="4">
        <f t="shared" si="5"/>
        <v>2.5081601606923951</v>
      </c>
    </row>
    <row r="380" spans="1:4" ht="17" hidden="1" customHeight="1" outlineLevel="1" thickBot="1">
      <c r="A380" s="2">
        <f>+Get_Data!A379</f>
        <v>39994</v>
      </c>
      <c r="B380">
        <f>+ROUND(Get_Data!B379,5)</f>
        <v>39.144069999999999</v>
      </c>
      <c r="C380">
        <f>+ROUND(Get_Data!C379,5)</f>
        <v>15.475860000000001</v>
      </c>
      <c r="D380" s="4">
        <f t="shared" si="5"/>
        <v>2.5293631500931126</v>
      </c>
    </row>
    <row r="381" spans="1:4" ht="17" hidden="1" customHeight="1" outlineLevel="1" thickBot="1">
      <c r="A381" s="2">
        <f>+Get_Data!A380</f>
        <v>39995</v>
      </c>
      <c r="B381">
        <f>+ROUND(Get_Data!B380,5)</f>
        <v>40.25515</v>
      </c>
      <c r="C381">
        <f>+ROUND(Get_Data!C380,5)</f>
        <v>15.85962</v>
      </c>
      <c r="D381" s="4">
        <f t="shared" si="5"/>
        <v>2.5382165524772979</v>
      </c>
    </row>
    <row r="382" spans="1:4" ht="17" hidden="1" customHeight="1" outlineLevel="1" thickBot="1">
      <c r="A382" s="2">
        <f>+Get_Data!A381</f>
        <v>39996</v>
      </c>
      <c r="B382">
        <f>+ROUND(Get_Data!B381,5)</f>
        <v>40.134059999999998</v>
      </c>
      <c r="C382">
        <f>+ROUND(Get_Data!C381,5)</f>
        <v>15.762869999999999</v>
      </c>
      <c r="D382" s="4">
        <f t="shared" si="5"/>
        <v>2.5461137470524084</v>
      </c>
    </row>
    <row r="383" spans="1:4" ht="17" hidden="1" customHeight="1" outlineLevel="1" thickBot="1">
      <c r="A383" s="2">
        <f>+Get_Data!A382</f>
        <v>40000</v>
      </c>
      <c r="B383">
        <f>+ROUND(Get_Data!B382,5)</f>
        <v>40.689610000000002</v>
      </c>
      <c r="C383">
        <f>+ROUND(Get_Data!C382,5)</f>
        <v>15.80157</v>
      </c>
      <c r="D383" s="4">
        <f t="shared" si="5"/>
        <v>2.5750358983316217</v>
      </c>
    </row>
    <row r="384" spans="1:4" ht="17" hidden="1" customHeight="1" outlineLevel="1" thickBot="1">
      <c r="A384" s="2">
        <f>+Get_Data!A383</f>
        <v>40001</v>
      </c>
      <c r="B384">
        <f>+ROUND(Get_Data!B383,5)</f>
        <v>39.884790000000002</v>
      </c>
      <c r="C384">
        <f>+ROUND(Get_Data!C383,5)</f>
        <v>15.68548</v>
      </c>
      <c r="D384" s="4">
        <f t="shared" si="5"/>
        <v>2.5427841545174266</v>
      </c>
    </row>
    <row r="385" spans="1:4" ht="17" hidden="1" customHeight="1" outlineLevel="1" thickBot="1">
      <c r="A385" s="2">
        <f>+Get_Data!A384</f>
        <v>40002</v>
      </c>
      <c r="B385">
        <f>+ROUND(Get_Data!B384,5)</f>
        <v>39.065719999999999</v>
      </c>
      <c r="C385">
        <f>+ROUND(Get_Data!C384,5)</f>
        <v>15.643549999999999</v>
      </c>
      <c r="D385" s="4">
        <f t="shared" si="5"/>
        <v>2.4972413550632688</v>
      </c>
    </row>
    <row r="386" spans="1:4" ht="17" hidden="1" customHeight="1" outlineLevel="1" thickBot="1">
      <c r="A386" s="2">
        <f>+Get_Data!A385</f>
        <v>40003</v>
      </c>
      <c r="B386">
        <f>+ROUND(Get_Data!B385,5)</f>
        <v>38.944650000000003</v>
      </c>
      <c r="C386">
        <f>+ROUND(Get_Data!C385,5)</f>
        <v>15.70805</v>
      </c>
      <c r="D386" s="4">
        <f t="shared" si="5"/>
        <v>2.4792797323665257</v>
      </c>
    </row>
    <row r="387" spans="1:4" ht="17" hidden="1" customHeight="1" outlineLevel="1" thickBot="1">
      <c r="A387" s="2">
        <f>+Get_Data!A386</f>
        <v>40004</v>
      </c>
      <c r="B387">
        <f>+ROUND(Get_Data!B386,5)</f>
        <v>38.966009999999997</v>
      </c>
      <c r="C387">
        <f>+ROUND(Get_Data!C386,5)</f>
        <v>15.57906</v>
      </c>
      <c r="D387" s="4">
        <f t="shared" si="5"/>
        <v>2.5011785049932409</v>
      </c>
    </row>
    <row r="388" spans="1:4" ht="17" hidden="1" customHeight="1" outlineLevel="1" thickBot="1">
      <c r="A388" s="2">
        <f>+Get_Data!A387</f>
        <v>40007</v>
      </c>
      <c r="B388">
        <f>+ROUND(Get_Data!B387,5)</f>
        <v>39.649749999999997</v>
      </c>
      <c r="C388">
        <f>+ROUND(Get_Data!C387,5)</f>
        <v>15.817690000000001</v>
      </c>
      <c r="D388" s="4">
        <f t="shared" ref="D388:D451" si="6">IFERROR(B388/C388,"")</f>
        <v>2.5066713281142818</v>
      </c>
    </row>
    <row r="389" spans="1:4" ht="17" hidden="1" customHeight="1" outlineLevel="1" thickBot="1">
      <c r="A389" s="2">
        <f>+Get_Data!A388</f>
        <v>40008</v>
      </c>
      <c r="B389">
        <f>+ROUND(Get_Data!B388,5)</f>
        <v>39.948889999999999</v>
      </c>
      <c r="C389">
        <f>+ROUND(Get_Data!C388,5)</f>
        <v>15.89509</v>
      </c>
      <c r="D389" s="4">
        <f t="shared" si="6"/>
        <v>2.5132849200602196</v>
      </c>
    </row>
    <row r="390" spans="1:4" ht="17" hidden="1" customHeight="1" outlineLevel="1" thickBot="1">
      <c r="A390" s="2">
        <f>+Get_Data!A389</f>
        <v>40009</v>
      </c>
      <c r="B390">
        <f>+ROUND(Get_Data!B389,5)</f>
        <v>40.796439999999997</v>
      </c>
      <c r="C390">
        <f>+ROUND(Get_Data!C389,5)</f>
        <v>16.294969999999999</v>
      </c>
      <c r="D390" s="4">
        <f t="shared" si="6"/>
        <v>2.5036216697545317</v>
      </c>
    </row>
    <row r="391" spans="1:4" ht="17" hidden="1" customHeight="1" outlineLevel="1" thickBot="1">
      <c r="A391" s="2">
        <f>+Get_Data!A390</f>
        <v>40010</v>
      </c>
      <c r="B391">
        <f>+ROUND(Get_Data!B390,5)</f>
        <v>40.782200000000003</v>
      </c>
      <c r="C391">
        <f>+ROUND(Get_Data!C390,5)</f>
        <v>16.378810000000001</v>
      </c>
      <c r="D391" s="4">
        <f t="shared" si="6"/>
        <v>2.4899366925924409</v>
      </c>
    </row>
    <row r="392" spans="1:4" ht="17" hidden="1" customHeight="1" outlineLevel="1" thickBot="1">
      <c r="A392" s="2">
        <f>+Get_Data!A391</f>
        <v>40011</v>
      </c>
      <c r="B392">
        <f>+ROUND(Get_Data!B391,5)</f>
        <v>40.354860000000002</v>
      </c>
      <c r="C392">
        <f>+ROUND(Get_Data!C391,5)</f>
        <v>16.227250000000002</v>
      </c>
      <c r="D392" s="4">
        <f t="shared" si="6"/>
        <v>2.4868576006408971</v>
      </c>
    </row>
    <row r="393" spans="1:4" ht="17" hidden="1" customHeight="1" outlineLevel="1" thickBot="1">
      <c r="A393" s="2">
        <f>+Get_Data!A392</f>
        <v>40014</v>
      </c>
      <c r="B393">
        <f>+ROUND(Get_Data!B392,5)</f>
        <v>39.941760000000002</v>
      </c>
      <c r="C393">
        <f>+ROUND(Get_Data!C392,5)</f>
        <v>16.456199999999999</v>
      </c>
      <c r="D393" s="4">
        <f t="shared" si="6"/>
        <v>2.4271557224632665</v>
      </c>
    </row>
    <row r="394" spans="1:4" ht="17" hidden="1" customHeight="1" outlineLevel="1" thickBot="1">
      <c r="A394" s="2">
        <f>+Get_Data!A393</f>
        <v>40015</v>
      </c>
      <c r="B394">
        <f>+ROUND(Get_Data!B393,5)</f>
        <v>40.169690000000003</v>
      </c>
      <c r="C394">
        <f>+ROUND(Get_Data!C393,5)</f>
        <v>16.236920000000001</v>
      </c>
      <c r="D394" s="4">
        <f t="shared" si="6"/>
        <v>2.4739722804571311</v>
      </c>
    </row>
    <row r="395" spans="1:4" ht="17" hidden="1" customHeight="1" outlineLevel="1" thickBot="1">
      <c r="A395" s="2">
        <f>+Get_Data!A394</f>
        <v>40016</v>
      </c>
      <c r="B395">
        <f>+ROUND(Get_Data!B394,5)</f>
        <v>39.806449999999998</v>
      </c>
      <c r="C395">
        <f>+ROUND(Get_Data!C394,5)</f>
        <v>15.843489999999999</v>
      </c>
      <c r="D395" s="4">
        <f t="shared" si="6"/>
        <v>2.512479889216328</v>
      </c>
    </row>
    <row r="396" spans="1:4" ht="17" hidden="1" customHeight="1" outlineLevel="1" thickBot="1">
      <c r="A396" s="2">
        <f>+Get_Data!A395</f>
        <v>40017</v>
      </c>
      <c r="B396">
        <f>+ROUND(Get_Data!B395,5)</f>
        <v>40.240900000000003</v>
      </c>
      <c r="C396">
        <f>+ROUND(Get_Data!C395,5)</f>
        <v>15.85962</v>
      </c>
      <c r="D396" s="4">
        <f t="shared" si="6"/>
        <v>2.5373180441902141</v>
      </c>
    </row>
    <row r="397" spans="1:4" ht="17" hidden="1" customHeight="1" outlineLevel="1" thickBot="1">
      <c r="A397" s="2">
        <f>+Get_Data!A396</f>
        <v>40018</v>
      </c>
      <c r="B397">
        <f>+ROUND(Get_Data!B396,5)</f>
        <v>40.176819999999999</v>
      </c>
      <c r="C397">
        <f>+ROUND(Get_Data!C396,5)</f>
        <v>15.91766</v>
      </c>
      <c r="D397" s="4">
        <f t="shared" si="6"/>
        <v>2.5240405939063906</v>
      </c>
    </row>
    <row r="398" spans="1:4" ht="17" hidden="1" customHeight="1" outlineLevel="1" thickBot="1">
      <c r="A398" s="2">
        <f>+Get_Data!A397</f>
        <v>40021</v>
      </c>
      <c r="B398">
        <f>+ROUND(Get_Data!B397,5)</f>
        <v>40.126959999999997</v>
      </c>
      <c r="C398">
        <f>+ROUND(Get_Data!C397,5)</f>
        <v>15.96926</v>
      </c>
      <c r="D398" s="4">
        <f t="shared" si="6"/>
        <v>2.5127626452321521</v>
      </c>
    </row>
    <row r="399" spans="1:4" ht="17" hidden="1" customHeight="1" outlineLevel="1" thickBot="1">
      <c r="A399" s="2">
        <f>+Get_Data!A398</f>
        <v>40022</v>
      </c>
      <c r="B399">
        <f>+ROUND(Get_Data!B398,5)</f>
        <v>39.863410000000002</v>
      </c>
      <c r="C399">
        <f>+ROUND(Get_Data!C398,5)</f>
        <v>15.927339999999999</v>
      </c>
      <c r="D399" s="4">
        <f t="shared" si="6"/>
        <v>2.5028290976396566</v>
      </c>
    </row>
    <row r="400" spans="1:4" ht="17" hidden="1" customHeight="1" outlineLevel="1" thickBot="1">
      <c r="A400" s="2">
        <f>+Get_Data!A399</f>
        <v>40023</v>
      </c>
      <c r="B400">
        <f>+ROUND(Get_Data!B399,5)</f>
        <v>40.11983</v>
      </c>
      <c r="C400">
        <f>+ROUND(Get_Data!C399,5)</f>
        <v>15.891859999999999</v>
      </c>
      <c r="D400" s="4">
        <f t="shared" si="6"/>
        <v>2.524552192128549</v>
      </c>
    </row>
    <row r="401" spans="1:4" ht="17" hidden="1" customHeight="1" outlineLevel="1" thickBot="1">
      <c r="A401" s="2">
        <f>+Get_Data!A400</f>
        <v>40024</v>
      </c>
      <c r="B401">
        <f>+ROUND(Get_Data!B400,5)</f>
        <v>40.312130000000003</v>
      </c>
      <c r="C401">
        <f>+ROUND(Get_Data!C400,5)</f>
        <v>16.01763</v>
      </c>
      <c r="D401" s="4">
        <f t="shared" si="6"/>
        <v>2.5167349976244928</v>
      </c>
    </row>
    <row r="402" spans="1:4" ht="17" hidden="1" customHeight="1" outlineLevel="1" thickBot="1">
      <c r="A402" s="2">
        <f>+Get_Data!A401</f>
        <v>40025</v>
      </c>
      <c r="B402">
        <f>+ROUND(Get_Data!B401,5)</f>
        <v>40.418970000000002</v>
      </c>
      <c r="C402">
        <f>+ROUND(Get_Data!C401,5)</f>
        <v>16.07246</v>
      </c>
      <c r="D402" s="4">
        <f t="shared" si="6"/>
        <v>2.5147967392670445</v>
      </c>
    </row>
    <row r="403" spans="1:4" ht="17" hidden="1" customHeight="1" outlineLevel="1" thickBot="1">
      <c r="A403" s="2">
        <f>+Get_Data!A402</f>
        <v>40028</v>
      </c>
      <c r="B403">
        <f>+ROUND(Get_Data!B402,5)</f>
        <v>40.027230000000003</v>
      </c>
      <c r="C403">
        <f>+ROUND(Get_Data!C402,5)</f>
        <v>15.99506</v>
      </c>
      <c r="D403" s="4">
        <f t="shared" si="6"/>
        <v>2.5024745140061997</v>
      </c>
    </row>
    <row r="404" spans="1:4" ht="17" hidden="1" customHeight="1" outlineLevel="1" thickBot="1">
      <c r="A404" s="2">
        <f>+Get_Data!A403</f>
        <v>40029</v>
      </c>
      <c r="B404">
        <f>+ROUND(Get_Data!B403,5)</f>
        <v>42.064210000000003</v>
      </c>
      <c r="C404">
        <f>+ROUND(Get_Data!C403,5)</f>
        <v>15.962809999999999</v>
      </c>
      <c r="D404" s="4">
        <f t="shared" si="6"/>
        <v>2.6351381742938744</v>
      </c>
    </row>
    <row r="405" spans="1:4" ht="17" hidden="1" customHeight="1" outlineLevel="1" thickBot="1">
      <c r="A405" s="2">
        <f>+Get_Data!A404</f>
        <v>40030</v>
      </c>
      <c r="B405">
        <f>+ROUND(Get_Data!B404,5)</f>
        <v>41.587020000000003</v>
      </c>
      <c r="C405">
        <f>+ROUND(Get_Data!C404,5)</f>
        <v>15.856389999999999</v>
      </c>
      <c r="D405" s="4">
        <f t="shared" si="6"/>
        <v>2.6227293854401919</v>
      </c>
    </row>
    <row r="406" spans="1:4" ht="17" hidden="1" customHeight="1" outlineLevel="1" thickBot="1">
      <c r="A406" s="2">
        <f>+Get_Data!A405</f>
        <v>40031</v>
      </c>
      <c r="B406">
        <f>+ROUND(Get_Data!B405,5)</f>
        <v>41.188180000000003</v>
      </c>
      <c r="C406">
        <f>+ROUND(Get_Data!C405,5)</f>
        <v>15.927339999999999</v>
      </c>
      <c r="D406" s="4">
        <f t="shared" si="6"/>
        <v>2.586004944956283</v>
      </c>
    </row>
    <row r="407" spans="1:4" ht="17" hidden="1" customHeight="1" outlineLevel="1" thickBot="1">
      <c r="A407" s="2">
        <f>+Get_Data!A406</f>
        <v>40032</v>
      </c>
      <c r="B407">
        <f>+ROUND(Get_Data!B406,5)</f>
        <v>41.124070000000003</v>
      </c>
      <c r="C407">
        <f>+ROUND(Get_Data!C406,5)</f>
        <v>15.911210000000001</v>
      </c>
      <c r="D407" s="4">
        <f t="shared" si="6"/>
        <v>2.5845972745001795</v>
      </c>
    </row>
    <row r="408" spans="1:4" ht="17" hidden="1" customHeight="1" outlineLevel="1" thickBot="1">
      <c r="A408" s="2">
        <f>+Get_Data!A407</f>
        <v>40035</v>
      </c>
      <c r="B408">
        <f>+ROUND(Get_Data!B407,5)</f>
        <v>40.889029999999998</v>
      </c>
      <c r="C408">
        <f>+ROUND(Get_Data!C407,5)</f>
        <v>15.94346</v>
      </c>
      <c r="D408" s="4">
        <f t="shared" si="6"/>
        <v>2.5646271261068803</v>
      </c>
    </row>
    <row r="409" spans="1:4" ht="17" hidden="1" customHeight="1" outlineLevel="1" thickBot="1">
      <c r="A409" s="2">
        <f>+Get_Data!A408</f>
        <v>40036</v>
      </c>
      <c r="B409">
        <f>+ROUND(Get_Data!B408,5)</f>
        <v>40.532919999999997</v>
      </c>
      <c r="C409">
        <f>+ROUND(Get_Data!C408,5)</f>
        <v>15.81447</v>
      </c>
      <c r="D409" s="4">
        <f t="shared" si="6"/>
        <v>2.5630274046490333</v>
      </c>
    </row>
    <row r="410" spans="1:4" ht="17" hidden="1" customHeight="1" outlineLevel="1" thickBot="1">
      <c r="A410" s="2">
        <f>+Get_Data!A409</f>
        <v>40037</v>
      </c>
      <c r="B410">
        <f>+ROUND(Get_Data!B409,5)</f>
        <v>40.369109999999999</v>
      </c>
      <c r="C410">
        <f>+ROUND(Get_Data!C409,5)</f>
        <v>15.62743</v>
      </c>
      <c r="D410" s="4">
        <f t="shared" si="6"/>
        <v>2.5832212974238247</v>
      </c>
    </row>
    <row r="411" spans="1:4" ht="17" hidden="1" customHeight="1" outlineLevel="1" thickBot="1">
      <c r="A411" s="2">
        <f>+Get_Data!A410</f>
        <v>40038</v>
      </c>
      <c r="B411">
        <f>+ROUND(Get_Data!B410,5)</f>
        <v>40.23377</v>
      </c>
      <c r="C411">
        <f>+ROUND(Get_Data!C410,5)</f>
        <v>15.51778</v>
      </c>
      <c r="D411" s="4">
        <f t="shared" si="6"/>
        <v>2.5927529582195392</v>
      </c>
    </row>
    <row r="412" spans="1:4" ht="17" hidden="1" customHeight="1" outlineLevel="1" thickBot="1">
      <c r="A412" s="2">
        <f>+Get_Data!A411</f>
        <v>40039</v>
      </c>
      <c r="B412">
        <f>+ROUND(Get_Data!B411,5)</f>
        <v>40.283630000000002</v>
      </c>
      <c r="C412">
        <f>+ROUND(Get_Data!C411,5)</f>
        <v>15.630660000000001</v>
      </c>
      <c r="D412" s="4">
        <f t="shared" si="6"/>
        <v>2.577218748280623</v>
      </c>
    </row>
    <row r="413" spans="1:4" ht="17" hidden="1" customHeight="1" outlineLevel="1" thickBot="1">
      <c r="A413" s="2">
        <f>+Get_Data!A412</f>
        <v>40042</v>
      </c>
      <c r="B413">
        <f>+ROUND(Get_Data!B412,5)</f>
        <v>40.012999999999998</v>
      </c>
      <c r="C413">
        <f>+ROUND(Get_Data!C412,5)</f>
        <v>15.704829999999999</v>
      </c>
      <c r="D413" s="4">
        <f t="shared" si="6"/>
        <v>2.5478149078977612</v>
      </c>
    </row>
    <row r="414" spans="1:4" ht="17" hidden="1" customHeight="1" outlineLevel="1" thickBot="1">
      <c r="A414" s="2">
        <f>+Get_Data!A413</f>
        <v>40043</v>
      </c>
      <c r="B414">
        <f>+ROUND(Get_Data!B413,5)</f>
        <v>40.055729999999997</v>
      </c>
      <c r="C414">
        <f>+ROUND(Get_Data!C413,5)</f>
        <v>15.675800000000001</v>
      </c>
      <c r="D414" s="4">
        <f t="shared" si="6"/>
        <v>2.5552590617384756</v>
      </c>
    </row>
    <row r="415" spans="1:4" ht="17" hidden="1" customHeight="1" outlineLevel="1" thickBot="1">
      <c r="A415" s="2">
        <f>+Get_Data!A414</f>
        <v>40044</v>
      </c>
      <c r="B415">
        <f>+ROUND(Get_Data!B414,5)</f>
        <v>40.205300000000001</v>
      </c>
      <c r="C415">
        <f>+ROUND(Get_Data!C414,5)</f>
        <v>15.91766</v>
      </c>
      <c r="D415" s="4">
        <f t="shared" si="6"/>
        <v>2.5258298016165694</v>
      </c>
    </row>
    <row r="416" spans="1:4" ht="17" hidden="1" customHeight="1" outlineLevel="1" thickBot="1">
      <c r="A416" s="2">
        <f>+Get_Data!A415</f>
        <v>40045</v>
      </c>
      <c r="B416">
        <f>+ROUND(Get_Data!B415,5)</f>
        <v>40.483060000000002</v>
      </c>
      <c r="C416">
        <f>+ROUND(Get_Data!C415,5)</f>
        <v>15.93702</v>
      </c>
      <c r="D416" s="4">
        <f t="shared" si="6"/>
        <v>2.5401900731755371</v>
      </c>
    </row>
    <row r="417" spans="1:4" ht="17" hidden="1" customHeight="1" outlineLevel="1" thickBot="1">
      <c r="A417" s="2">
        <f>+Get_Data!A416</f>
        <v>40046</v>
      </c>
      <c r="B417">
        <f>+ROUND(Get_Data!B416,5)</f>
        <v>40.946019999999997</v>
      </c>
      <c r="C417">
        <f>+ROUND(Get_Data!C416,5)</f>
        <v>16.095030000000001</v>
      </c>
      <c r="D417" s="4">
        <f t="shared" si="6"/>
        <v>2.5440163826970186</v>
      </c>
    </row>
    <row r="418" spans="1:4" ht="17" hidden="1" customHeight="1" outlineLevel="1" thickBot="1">
      <c r="A418" s="2">
        <f>+Get_Data!A417</f>
        <v>40049</v>
      </c>
      <c r="B418">
        <f>+ROUND(Get_Data!B417,5)</f>
        <v>40.917520000000003</v>
      </c>
      <c r="C418">
        <f>+ROUND(Get_Data!C417,5)</f>
        <v>15.820919999999999</v>
      </c>
      <c r="D418" s="4">
        <f t="shared" si="6"/>
        <v>2.5862920740386781</v>
      </c>
    </row>
    <row r="419" spans="1:4" ht="17" hidden="1" customHeight="1" outlineLevel="1" thickBot="1">
      <c r="A419" s="2">
        <f>+Get_Data!A418</f>
        <v>40050</v>
      </c>
      <c r="B419">
        <f>+ROUND(Get_Data!B418,5)</f>
        <v>40.803559999999997</v>
      </c>
      <c r="C419">
        <f>+ROUND(Get_Data!C418,5)</f>
        <v>15.71772</v>
      </c>
      <c r="D419" s="4">
        <f t="shared" si="6"/>
        <v>2.5960228328281709</v>
      </c>
    </row>
    <row r="420" spans="1:4" ht="17" hidden="1" customHeight="1" outlineLevel="1" thickBot="1">
      <c r="A420" s="2">
        <f>+Get_Data!A419</f>
        <v>40051</v>
      </c>
      <c r="B420">
        <f>+ROUND(Get_Data!B419,5)</f>
        <v>41.223770000000002</v>
      </c>
      <c r="C420">
        <f>+ROUND(Get_Data!C419,5)</f>
        <v>15.85962</v>
      </c>
      <c r="D420" s="4">
        <f t="shared" si="6"/>
        <v>2.5992911557780074</v>
      </c>
    </row>
    <row r="421" spans="1:4" ht="17" hidden="1" customHeight="1" outlineLevel="1" thickBot="1">
      <c r="A421" s="2">
        <f>+Get_Data!A420</f>
        <v>40052</v>
      </c>
      <c r="B421">
        <f>+ROUND(Get_Data!B420,5)</f>
        <v>41.138309999999997</v>
      </c>
      <c r="C421">
        <f>+ROUND(Get_Data!C420,5)</f>
        <v>15.94346</v>
      </c>
      <c r="D421" s="4">
        <f t="shared" si="6"/>
        <v>2.5802623771753432</v>
      </c>
    </row>
    <row r="422" spans="1:4" ht="17" hidden="1" customHeight="1" outlineLevel="1" thickBot="1">
      <c r="A422" s="2">
        <f>+Get_Data!A421</f>
        <v>40053</v>
      </c>
      <c r="B422">
        <f>+ROUND(Get_Data!B421,5)</f>
        <v>40.426079999999999</v>
      </c>
      <c r="C422">
        <f>+ROUND(Get_Data!C421,5)</f>
        <v>15.820919999999999</v>
      </c>
      <c r="D422" s="4">
        <f t="shared" si="6"/>
        <v>2.5552294051167697</v>
      </c>
    </row>
    <row r="423" spans="1:4" ht="17" hidden="1" customHeight="1" outlineLevel="1" thickBot="1">
      <c r="A423" s="2">
        <f>+Get_Data!A422</f>
        <v>40056</v>
      </c>
      <c r="B423">
        <f>+ROUND(Get_Data!B422,5)</f>
        <v>40.361980000000003</v>
      </c>
      <c r="C423">
        <f>+ROUND(Get_Data!C422,5)</f>
        <v>15.727399999999999</v>
      </c>
      <c r="D423" s="4">
        <f t="shared" si="6"/>
        <v>2.5663479023869176</v>
      </c>
    </row>
    <row r="424" spans="1:4" ht="17" hidden="1" customHeight="1" outlineLevel="1" thickBot="1">
      <c r="A424" s="2">
        <f>+Get_Data!A423</f>
        <v>40057</v>
      </c>
      <c r="B424">
        <f>+ROUND(Get_Data!B423,5)</f>
        <v>40.062849999999997</v>
      </c>
      <c r="C424">
        <f>+ROUND(Get_Data!C423,5)</f>
        <v>15.65</v>
      </c>
      <c r="D424" s="4">
        <f t="shared" si="6"/>
        <v>2.5599265175718848</v>
      </c>
    </row>
    <row r="425" spans="1:4" ht="17" hidden="1" customHeight="1" outlineLevel="1" thickBot="1">
      <c r="A425" s="2">
        <f>+Get_Data!A424</f>
        <v>40058</v>
      </c>
      <c r="B425">
        <f>+ROUND(Get_Data!B424,5)</f>
        <v>40.457740000000001</v>
      </c>
      <c r="C425">
        <f>+ROUND(Get_Data!C424,5)</f>
        <v>16.059560000000001</v>
      </c>
      <c r="D425" s="4">
        <f t="shared" si="6"/>
        <v>2.5192309129266306</v>
      </c>
    </row>
    <row r="426" spans="1:4" ht="17" hidden="1" customHeight="1" outlineLevel="1" thickBot="1">
      <c r="A426" s="2">
        <f>+Get_Data!A425</f>
        <v>40059</v>
      </c>
      <c r="B426">
        <f>+ROUND(Get_Data!B425,5)</f>
        <v>40.665939999999999</v>
      </c>
      <c r="C426">
        <f>+ROUND(Get_Data!C425,5)</f>
        <v>15.98861</v>
      </c>
      <c r="D426" s="4">
        <f t="shared" si="6"/>
        <v>2.5434318555521713</v>
      </c>
    </row>
    <row r="427" spans="1:4" ht="17" hidden="1" customHeight="1" outlineLevel="1" thickBot="1">
      <c r="A427" s="2">
        <f>+Get_Data!A426</f>
        <v>40060</v>
      </c>
      <c r="B427">
        <f>+ROUND(Get_Data!B426,5)</f>
        <v>41.312130000000003</v>
      </c>
      <c r="C427">
        <f>+ROUND(Get_Data!C426,5)</f>
        <v>16.10793</v>
      </c>
      <c r="D427" s="4">
        <f t="shared" si="6"/>
        <v>2.5647075695014818</v>
      </c>
    </row>
    <row r="428" spans="1:4" ht="17" hidden="1" customHeight="1" outlineLevel="1" thickBot="1">
      <c r="A428" s="2">
        <f>+Get_Data!A427</f>
        <v>40064</v>
      </c>
      <c r="B428">
        <f>+ROUND(Get_Data!B427,5)</f>
        <v>41.843409999999999</v>
      </c>
      <c r="C428">
        <f>+ROUND(Get_Data!C427,5)</f>
        <v>16.256260000000001</v>
      </c>
      <c r="D428" s="4">
        <f t="shared" si="6"/>
        <v>2.5739874977393322</v>
      </c>
    </row>
    <row r="429" spans="1:4" ht="17" hidden="1" customHeight="1" outlineLevel="1" thickBot="1">
      <c r="A429" s="2">
        <f>+Get_Data!A428</f>
        <v>40065</v>
      </c>
      <c r="B429">
        <f>+ROUND(Get_Data!B428,5)</f>
        <v>41.671109999999999</v>
      </c>
      <c r="C429">
        <f>+ROUND(Get_Data!C428,5)</f>
        <v>16.327210000000001</v>
      </c>
      <c r="D429" s="4">
        <f t="shared" si="6"/>
        <v>2.5522492820267515</v>
      </c>
    </row>
    <row r="430" spans="1:4" ht="17" hidden="1" customHeight="1" outlineLevel="1" thickBot="1">
      <c r="A430" s="2">
        <f>+Get_Data!A429</f>
        <v>40066</v>
      </c>
      <c r="B430">
        <f>+ROUND(Get_Data!B429,5)</f>
        <v>41.541870000000003</v>
      </c>
      <c r="C430">
        <f>+ROUND(Get_Data!C429,5)</f>
        <v>16.31109</v>
      </c>
      <c r="D430" s="4">
        <f t="shared" si="6"/>
        <v>2.5468481873375723</v>
      </c>
    </row>
    <row r="431" spans="1:4" ht="17" hidden="1" customHeight="1" outlineLevel="1" thickBot="1">
      <c r="A431" s="2">
        <f>+Get_Data!A430</f>
        <v>40067</v>
      </c>
      <c r="B431">
        <f>+ROUND(Get_Data!B430,5)</f>
        <v>42.223950000000002</v>
      </c>
      <c r="C431">
        <f>+ROUND(Get_Data!C430,5)</f>
        <v>16.884730000000001</v>
      </c>
      <c r="D431" s="4">
        <f t="shared" si="6"/>
        <v>2.5007181044648035</v>
      </c>
    </row>
    <row r="432" spans="1:4" ht="17" hidden="1" customHeight="1" outlineLevel="1" thickBot="1">
      <c r="A432" s="2">
        <f>+Get_Data!A431</f>
        <v>40070</v>
      </c>
      <c r="B432">
        <f>+ROUND(Get_Data!B431,5)</f>
        <v>42.144970000000001</v>
      </c>
      <c r="C432">
        <f>+ROUND(Get_Data!C431,5)</f>
        <v>17.097799999999999</v>
      </c>
      <c r="D432" s="4">
        <f t="shared" si="6"/>
        <v>2.4649352548281067</v>
      </c>
    </row>
    <row r="433" spans="1:4" ht="17" hidden="1" customHeight="1" outlineLevel="1" thickBot="1">
      <c r="A433" s="2">
        <f>+Get_Data!A432</f>
        <v>40071</v>
      </c>
      <c r="B433">
        <f>+ROUND(Get_Data!B432,5)</f>
        <v>41.8506</v>
      </c>
      <c r="C433">
        <f>+ROUND(Get_Data!C432,5)</f>
        <v>17.19286</v>
      </c>
      <c r="D433" s="4">
        <f t="shared" si="6"/>
        <v>2.4341848883780828</v>
      </c>
    </row>
    <row r="434" spans="1:4" ht="17" hidden="1" customHeight="1" outlineLevel="1" thickBot="1">
      <c r="A434" s="2">
        <f>+Get_Data!A433</f>
        <v>40072</v>
      </c>
      <c r="B434">
        <f>+ROUND(Get_Data!B433,5)</f>
        <v>41.886490000000002</v>
      </c>
      <c r="C434">
        <f>+ROUND(Get_Data!C433,5)</f>
        <v>17.264970000000002</v>
      </c>
      <c r="D434" s="4">
        <f t="shared" si="6"/>
        <v>2.4260968886711067</v>
      </c>
    </row>
    <row r="435" spans="1:4" ht="17" hidden="1" customHeight="1" outlineLevel="1" thickBot="1">
      <c r="A435" s="2">
        <f>+Get_Data!A434</f>
        <v>40073</v>
      </c>
      <c r="B435">
        <f>+ROUND(Get_Data!B434,5)</f>
        <v>42.216769999999997</v>
      </c>
      <c r="C435">
        <f>+ROUND(Get_Data!C434,5)</f>
        <v>17.510819999999999</v>
      </c>
      <c r="D435" s="4">
        <f t="shared" si="6"/>
        <v>2.4108962344424762</v>
      </c>
    </row>
    <row r="436" spans="1:4" ht="17" hidden="1" customHeight="1" outlineLevel="1" thickBot="1">
      <c r="A436" s="2">
        <f>+Get_Data!A435</f>
        <v>40074</v>
      </c>
      <c r="B436">
        <f>+ROUND(Get_Data!B435,5)</f>
        <v>42.977820000000001</v>
      </c>
      <c r="C436">
        <f>+ROUND(Get_Data!C435,5)</f>
        <v>17.62227</v>
      </c>
      <c r="D436" s="4">
        <f t="shared" si="6"/>
        <v>2.4388356324128502</v>
      </c>
    </row>
    <row r="437" spans="1:4" ht="17" hidden="1" customHeight="1" outlineLevel="1" thickBot="1">
      <c r="A437" s="2">
        <f>+Get_Data!A436</f>
        <v>40077</v>
      </c>
      <c r="B437">
        <f>+ROUND(Get_Data!B436,5)</f>
        <v>42.37473</v>
      </c>
      <c r="C437">
        <f>+ROUND(Get_Data!C436,5)</f>
        <v>17.373139999999999</v>
      </c>
      <c r="D437" s="4">
        <f t="shared" si="6"/>
        <v>2.4390944872371949</v>
      </c>
    </row>
    <row r="438" spans="1:4" ht="17" hidden="1" customHeight="1" outlineLevel="1" thickBot="1">
      <c r="A438" s="2">
        <f>+Get_Data!A437</f>
        <v>40078</v>
      </c>
      <c r="B438">
        <f>+ROUND(Get_Data!B437,5)</f>
        <v>42.058810000000001</v>
      </c>
      <c r="C438">
        <f>+ROUND(Get_Data!C437,5)</f>
        <v>17.323979999999999</v>
      </c>
      <c r="D438" s="4">
        <f t="shared" si="6"/>
        <v>2.4277798750633517</v>
      </c>
    </row>
    <row r="439" spans="1:4" ht="17" hidden="1" customHeight="1" outlineLevel="1" thickBot="1">
      <c r="A439" s="2">
        <f>+Get_Data!A438</f>
        <v>40079</v>
      </c>
      <c r="B439">
        <f>+ROUND(Get_Data!B438,5)</f>
        <v>41.979840000000003</v>
      </c>
      <c r="C439">
        <f>+ROUND(Get_Data!C438,5)</f>
        <v>17.235469999999999</v>
      </c>
      <c r="D439" s="4">
        <f t="shared" si="6"/>
        <v>2.4356655200003252</v>
      </c>
    </row>
    <row r="440" spans="1:4" ht="17" hidden="1" customHeight="1" outlineLevel="1" thickBot="1">
      <c r="A440" s="2">
        <f>+Get_Data!A439</f>
        <v>40080</v>
      </c>
      <c r="B440">
        <f>+ROUND(Get_Data!B439,5)</f>
        <v>42.030099999999997</v>
      </c>
      <c r="C440">
        <f>+ROUND(Get_Data!C439,5)</f>
        <v>17.1568</v>
      </c>
      <c r="D440" s="4">
        <f t="shared" si="6"/>
        <v>2.4497633591345704</v>
      </c>
    </row>
    <row r="441" spans="1:4" ht="17" hidden="1" customHeight="1" outlineLevel="1" thickBot="1">
      <c r="A441" s="2">
        <f>+Get_Data!A440</f>
        <v>40081</v>
      </c>
      <c r="B441">
        <f>+ROUND(Get_Data!B440,5)</f>
        <v>42.130600000000001</v>
      </c>
      <c r="C441">
        <f>+ROUND(Get_Data!C440,5)</f>
        <v>17.363309999999998</v>
      </c>
      <c r="D441" s="4">
        <f t="shared" si="6"/>
        <v>2.426415239951369</v>
      </c>
    </row>
    <row r="442" spans="1:4" ht="17" hidden="1" customHeight="1" outlineLevel="1" thickBot="1">
      <c r="A442" s="2">
        <f>+Get_Data!A441</f>
        <v>40084</v>
      </c>
      <c r="B442">
        <f>+ROUND(Get_Data!B441,5)</f>
        <v>42.381889999999999</v>
      </c>
      <c r="C442">
        <f>+ROUND(Get_Data!C441,5)</f>
        <v>17.415759999999999</v>
      </c>
      <c r="D442" s="4">
        <f t="shared" si="6"/>
        <v>2.4335366357827626</v>
      </c>
    </row>
    <row r="443" spans="1:4" ht="17" hidden="1" customHeight="1" outlineLevel="1" thickBot="1">
      <c r="A443" s="2">
        <f>+Get_Data!A442</f>
        <v>40085</v>
      </c>
      <c r="B443">
        <f>+ROUND(Get_Data!B442,5)</f>
        <v>42.008560000000003</v>
      </c>
      <c r="C443">
        <f>+ROUND(Get_Data!C442,5)</f>
        <v>17.474769999999999</v>
      </c>
      <c r="D443" s="4">
        <f t="shared" si="6"/>
        <v>2.4039549590638392</v>
      </c>
    </row>
    <row r="444" spans="1:4" ht="17" hidden="1" customHeight="1" outlineLevel="1" thickBot="1">
      <c r="A444" s="2">
        <f>+Get_Data!A443</f>
        <v>40086</v>
      </c>
      <c r="B444">
        <f>+ROUND(Get_Data!B443,5)</f>
        <v>42.116250000000001</v>
      </c>
      <c r="C444">
        <f>+ROUND(Get_Data!C443,5)</f>
        <v>17.602599999999999</v>
      </c>
      <c r="D444" s="4">
        <f t="shared" si="6"/>
        <v>2.3926152954677153</v>
      </c>
    </row>
    <row r="445" spans="1:4" ht="17" hidden="1" customHeight="1" outlineLevel="1" thickBot="1">
      <c r="A445" s="2">
        <f>+Get_Data!A444</f>
        <v>40087</v>
      </c>
      <c r="B445">
        <f>+ROUND(Get_Data!B444,5)</f>
        <v>41.972650000000002</v>
      </c>
      <c r="C445">
        <f>+ROUND(Get_Data!C444,5)</f>
        <v>17.412479999999999</v>
      </c>
      <c r="D445" s="4">
        <f t="shared" si="6"/>
        <v>2.4104923595030692</v>
      </c>
    </row>
    <row r="446" spans="1:4" ht="17" hidden="1" customHeight="1" outlineLevel="1" thickBot="1">
      <c r="A446" s="2">
        <f>+Get_Data!A445</f>
        <v>40088</v>
      </c>
      <c r="B446">
        <f>+ROUND(Get_Data!B445,5)</f>
        <v>43.724510000000002</v>
      </c>
      <c r="C446">
        <f>+ROUND(Get_Data!C445,5)</f>
        <v>17.65832</v>
      </c>
      <c r="D446" s="4">
        <f t="shared" si="6"/>
        <v>2.4761421245056154</v>
      </c>
    </row>
    <row r="447" spans="1:4" ht="17" hidden="1" customHeight="1" outlineLevel="1" thickBot="1">
      <c r="A447" s="2">
        <f>+Get_Data!A446</f>
        <v>40091</v>
      </c>
      <c r="B447">
        <f>+ROUND(Get_Data!B446,5)</f>
        <v>43.688609999999997</v>
      </c>
      <c r="C447">
        <f>+ROUND(Get_Data!C446,5)</f>
        <v>17.635380000000001</v>
      </c>
      <c r="D447" s="4">
        <f t="shared" si="6"/>
        <v>2.4773273952701893</v>
      </c>
    </row>
    <row r="448" spans="1:4" ht="17" hidden="1" customHeight="1" outlineLevel="1" thickBot="1">
      <c r="A448" s="2">
        <f>+Get_Data!A447</f>
        <v>40092</v>
      </c>
      <c r="B448">
        <f>+ROUND(Get_Data!B447,5)</f>
        <v>43.702979999999997</v>
      </c>
      <c r="C448">
        <f>+ROUND(Get_Data!C447,5)</f>
        <v>17.80583</v>
      </c>
      <c r="D448" s="4">
        <f t="shared" si="6"/>
        <v>2.4544197041081488</v>
      </c>
    </row>
    <row r="449" spans="1:4" ht="17" hidden="1" customHeight="1" outlineLevel="1" thickBot="1">
      <c r="A449" s="2">
        <f>+Get_Data!A448</f>
        <v>40093</v>
      </c>
      <c r="B449">
        <f>+ROUND(Get_Data!B448,5)</f>
        <v>43.918370000000003</v>
      </c>
      <c r="C449">
        <f>+ROUND(Get_Data!C448,5)</f>
        <v>17.966460000000001</v>
      </c>
      <c r="D449" s="4">
        <f t="shared" si="6"/>
        <v>2.44446429624979</v>
      </c>
    </row>
    <row r="450" spans="1:4" ht="17" hidden="1" customHeight="1" outlineLevel="1" thickBot="1">
      <c r="A450" s="2">
        <f>+Get_Data!A449</f>
        <v>40094</v>
      </c>
      <c r="B450">
        <f>+ROUND(Get_Data!B449,5)</f>
        <v>43.358350000000002</v>
      </c>
      <c r="C450">
        <f>+ROUND(Get_Data!C449,5)</f>
        <v>17.89434</v>
      </c>
      <c r="D450" s="4">
        <f t="shared" si="6"/>
        <v>2.4230203516866227</v>
      </c>
    </row>
    <row r="451" spans="1:4" ht="17" hidden="1" customHeight="1" outlineLevel="1" thickBot="1">
      <c r="A451" s="2">
        <f>+Get_Data!A450</f>
        <v>40095</v>
      </c>
      <c r="B451">
        <f>+ROUND(Get_Data!B450,5)</f>
        <v>43.501939999999998</v>
      </c>
      <c r="C451">
        <f>+ROUND(Get_Data!C450,5)</f>
        <v>17.914010000000001</v>
      </c>
      <c r="D451" s="4">
        <f t="shared" si="6"/>
        <v>2.428375333049384</v>
      </c>
    </row>
    <row r="452" spans="1:4" ht="17" hidden="1" customHeight="1" outlineLevel="1" thickBot="1">
      <c r="A452" s="2">
        <f>+Get_Data!A451</f>
        <v>40098</v>
      </c>
      <c r="B452">
        <f>+ROUND(Get_Data!B451,5)</f>
        <v>43.738869999999999</v>
      </c>
      <c r="C452">
        <f>+ROUND(Get_Data!C451,5)</f>
        <v>17.959900000000001</v>
      </c>
      <c r="D452" s="4">
        <f t="shared" ref="D452:D515" si="7">IFERROR(B452/C452,"")</f>
        <v>2.4353626690571772</v>
      </c>
    </row>
    <row r="453" spans="1:4" ht="17" hidden="1" customHeight="1" outlineLevel="1" thickBot="1">
      <c r="A453" s="2">
        <f>+Get_Data!A452</f>
        <v>40099</v>
      </c>
      <c r="B453">
        <f>+ROUND(Get_Data!B452,5)</f>
        <v>43.50911</v>
      </c>
      <c r="C453">
        <f>+ROUND(Get_Data!C452,5)</f>
        <v>17.963180000000001</v>
      </c>
      <c r="D453" s="4">
        <f t="shared" si="7"/>
        <v>2.4221273738836886</v>
      </c>
    </row>
    <row r="454" spans="1:4" ht="17" hidden="1" customHeight="1" outlineLevel="1" thickBot="1">
      <c r="A454" s="2">
        <f>+Get_Data!A453</f>
        <v>40100</v>
      </c>
      <c r="B454">
        <f>+ROUND(Get_Data!B453,5)</f>
        <v>44.241439999999997</v>
      </c>
      <c r="C454">
        <f>+ROUND(Get_Data!C453,5)</f>
        <v>17.976289999999999</v>
      </c>
      <c r="D454" s="4">
        <f t="shared" si="7"/>
        <v>2.4610995928525852</v>
      </c>
    </row>
    <row r="455" spans="1:4" ht="17" hidden="1" customHeight="1" outlineLevel="1" thickBot="1">
      <c r="A455" s="2">
        <f>+Get_Data!A454</f>
        <v>40101</v>
      </c>
      <c r="B455">
        <f>+ROUND(Get_Data!B454,5)</f>
        <v>45.002510000000001</v>
      </c>
      <c r="C455">
        <f>+ROUND(Get_Data!C454,5)</f>
        <v>18.002510000000001</v>
      </c>
      <c r="D455" s="4">
        <f t="shared" si="7"/>
        <v>2.4997908624963965</v>
      </c>
    </row>
    <row r="456" spans="1:4" ht="17" hidden="1" customHeight="1" outlineLevel="1" thickBot="1">
      <c r="A456" s="2">
        <f>+Get_Data!A455</f>
        <v>40102</v>
      </c>
      <c r="B456">
        <f>+ROUND(Get_Data!B455,5)</f>
        <v>44.722479999999997</v>
      </c>
      <c r="C456">
        <f>+ROUND(Get_Data!C455,5)</f>
        <v>18.03201</v>
      </c>
      <c r="D456" s="4">
        <f t="shared" si="7"/>
        <v>2.480171650304098</v>
      </c>
    </row>
    <row r="457" spans="1:4" ht="17" hidden="1" customHeight="1" outlineLevel="1" thickBot="1">
      <c r="A457" s="2">
        <f>+Get_Data!A456</f>
        <v>40105</v>
      </c>
      <c r="B457">
        <f>+ROUND(Get_Data!B456,5)</f>
        <v>44.550170000000001</v>
      </c>
      <c r="C457">
        <f>+ROUND(Get_Data!C456,5)</f>
        <v>17.959900000000001</v>
      </c>
      <c r="D457" s="4">
        <f t="shared" si="7"/>
        <v>2.4805355263670732</v>
      </c>
    </row>
    <row r="458" spans="1:4" ht="17" hidden="1" customHeight="1" outlineLevel="1" thickBot="1">
      <c r="A458" s="2">
        <f>+Get_Data!A457</f>
        <v>40106</v>
      </c>
      <c r="B458">
        <f>+ROUND(Get_Data!B457,5)</f>
        <v>44.212739999999997</v>
      </c>
      <c r="C458">
        <f>+ROUND(Get_Data!C457,5)</f>
        <v>17.723890000000001</v>
      </c>
      <c r="D458" s="4">
        <f t="shared" si="7"/>
        <v>2.494528007113562</v>
      </c>
    </row>
    <row r="459" spans="1:4" ht="17" hidden="1" customHeight="1" outlineLevel="1" thickBot="1">
      <c r="A459" s="2">
        <f>+Get_Data!A458</f>
        <v>40107</v>
      </c>
      <c r="B459">
        <f>+ROUND(Get_Data!B458,5)</f>
        <v>44.399389999999997</v>
      </c>
      <c r="C459">
        <f>+ROUND(Get_Data!C458,5)</f>
        <v>17.723890000000001</v>
      </c>
      <c r="D459" s="4">
        <f t="shared" si="7"/>
        <v>2.5050589910002823</v>
      </c>
    </row>
    <row r="460" spans="1:4" ht="17" hidden="1" customHeight="1" outlineLevel="1" thickBot="1">
      <c r="A460" s="2">
        <f>+Get_Data!A459</f>
        <v>40108</v>
      </c>
      <c r="B460">
        <f>+ROUND(Get_Data!B459,5)</f>
        <v>44.155279999999998</v>
      </c>
      <c r="C460">
        <f>+ROUND(Get_Data!C459,5)</f>
        <v>17.750109999999999</v>
      </c>
      <c r="D460" s="4">
        <f t="shared" si="7"/>
        <v>2.4876059923008929</v>
      </c>
    </row>
    <row r="461" spans="1:4" ht="17" hidden="1" customHeight="1" outlineLevel="1" thickBot="1">
      <c r="A461" s="2">
        <f>+Get_Data!A460</f>
        <v>40109</v>
      </c>
      <c r="B461">
        <f>+ROUND(Get_Data!B460,5)</f>
        <v>43.817839999999997</v>
      </c>
      <c r="C461">
        <f>+ROUND(Get_Data!C460,5)</f>
        <v>17.451809999999998</v>
      </c>
      <c r="D461" s="4">
        <f t="shared" si="7"/>
        <v>2.5107905712931782</v>
      </c>
    </row>
    <row r="462" spans="1:4" ht="17" hidden="1" customHeight="1" outlineLevel="1" thickBot="1">
      <c r="A462" s="2">
        <f>+Get_Data!A461</f>
        <v>40112</v>
      </c>
      <c r="B462">
        <f>+ROUND(Get_Data!B461,5)</f>
        <v>43.415759999999999</v>
      </c>
      <c r="C462">
        <f>+ROUND(Get_Data!C461,5)</f>
        <v>17.448540000000001</v>
      </c>
      <c r="D462" s="4">
        <f t="shared" si="7"/>
        <v>2.4882173522827697</v>
      </c>
    </row>
    <row r="463" spans="1:4" ht="17" hidden="1" customHeight="1" outlineLevel="1" thickBot="1">
      <c r="A463" s="2">
        <f>+Get_Data!A462</f>
        <v>40113</v>
      </c>
      <c r="B463">
        <f>+ROUND(Get_Data!B462,5)</f>
        <v>43.796289999999999</v>
      </c>
      <c r="C463">
        <f>+ROUND(Get_Data!C462,5)</f>
        <v>17.52393</v>
      </c>
      <c r="D463" s="4">
        <f t="shared" si="7"/>
        <v>2.4992276275926688</v>
      </c>
    </row>
    <row r="464" spans="1:4" ht="17" hidden="1" customHeight="1" outlineLevel="1" thickBot="1">
      <c r="A464" s="2">
        <f>+Get_Data!A463</f>
        <v>40114</v>
      </c>
      <c r="B464">
        <f>+ROUND(Get_Data!B463,5)</f>
        <v>43.789119999999997</v>
      </c>
      <c r="C464">
        <f>+ROUND(Get_Data!C463,5)</f>
        <v>17.540320000000001</v>
      </c>
      <c r="D464" s="4">
        <f t="shared" si="7"/>
        <v>2.4964835305171169</v>
      </c>
    </row>
    <row r="465" spans="1:4" ht="17" hidden="1" customHeight="1" outlineLevel="1" thickBot="1">
      <c r="A465" s="2">
        <f>+Get_Data!A464</f>
        <v>40115</v>
      </c>
      <c r="B465">
        <f>+ROUND(Get_Data!B464,5)</f>
        <v>44.076320000000003</v>
      </c>
      <c r="C465">
        <f>+ROUND(Get_Data!C464,5)</f>
        <v>17.730440000000002</v>
      </c>
      <c r="D465" s="4">
        <f t="shared" si="7"/>
        <v>2.4859123631449642</v>
      </c>
    </row>
    <row r="466" spans="1:4" ht="17" hidden="1" customHeight="1" outlineLevel="1" thickBot="1">
      <c r="A466" s="2">
        <f>+Get_Data!A465</f>
        <v>40116</v>
      </c>
      <c r="B466">
        <f>+ROUND(Get_Data!B465,5)</f>
        <v>43.473210000000002</v>
      </c>
      <c r="C466">
        <f>+ROUND(Get_Data!C465,5)</f>
        <v>17.474769999999999</v>
      </c>
      <c r="D466" s="4">
        <f t="shared" si="7"/>
        <v>2.4877700822385647</v>
      </c>
    </row>
    <row r="467" spans="1:4" ht="17" hidden="1" customHeight="1" outlineLevel="1" thickBot="1">
      <c r="A467" s="2">
        <f>+Get_Data!A466</f>
        <v>40119</v>
      </c>
      <c r="B467">
        <f>+ROUND(Get_Data!B466,5)</f>
        <v>43.50911</v>
      </c>
      <c r="C467">
        <f>+ROUND(Get_Data!C466,5)</f>
        <v>17.609159999999999</v>
      </c>
      <c r="D467" s="4">
        <f t="shared" si="7"/>
        <v>2.4708225718887218</v>
      </c>
    </row>
    <row r="468" spans="1:4" ht="17" hidden="1" customHeight="1" outlineLevel="1" thickBot="1">
      <c r="A468" s="2">
        <f>+Get_Data!A467</f>
        <v>40120</v>
      </c>
      <c r="B468">
        <f>+ROUND(Get_Data!B467,5)</f>
        <v>43.121400000000001</v>
      </c>
      <c r="C468">
        <f>+ROUND(Get_Data!C467,5)</f>
        <v>17.412479999999999</v>
      </c>
      <c r="D468" s="4">
        <f t="shared" si="7"/>
        <v>2.4764651560260229</v>
      </c>
    </row>
    <row r="469" spans="1:4" ht="17" hidden="1" customHeight="1" outlineLevel="1" thickBot="1">
      <c r="A469" s="2">
        <f>+Get_Data!A468</f>
        <v>40121</v>
      </c>
      <c r="B469">
        <f>+ROUND(Get_Data!B468,5)</f>
        <v>43.351170000000003</v>
      </c>
      <c r="C469">
        <f>+ROUND(Get_Data!C468,5)</f>
        <v>17.533760000000001</v>
      </c>
      <c r="D469" s="4">
        <f t="shared" si="7"/>
        <v>2.4724400242731734</v>
      </c>
    </row>
    <row r="470" spans="1:4" ht="17" hidden="1" customHeight="1" outlineLevel="1" thickBot="1">
      <c r="A470" s="2">
        <f>+Get_Data!A469</f>
        <v>40122</v>
      </c>
      <c r="B470">
        <f>+ROUND(Get_Data!B469,5)</f>
        <v>43.96143</v>
      </c>
      <c r="C470">
        <f>+ROUND(Get_Data!C469,5)</f>
        <v>17.832059999999998</v>
      </c>
      <c r="D470" s="4">
        <f t="shared" si="7"/>
        <v>2.4653029431260327</v>
      </c>
    </row>
    <row r="471" spans="1:4" ht="17" hidden="1" customHeight="1" outlineLevel="1" thickBot="1">
      <c r="A471" s="2">
        <f>+Get_Data!A470</f>
        <v>40123</v>
      </c>
      <c r="B471">
        <f>+ROUND(Get_Data!B470,5)</f>
        <v>44.341970000000003</v>
      </c>
      <c r="C471">
        <f>+ROUND(Get_Data!C470,5)</f>
        <v>17.861560000000001</v>
      </c>
      <c r="D471" s="4">
        <f t="shared" si="7"/>
        <v>2.4825362398357145</v>
      </c>
    </row>
    <row r="472" spans="1:4" ht="17" hidden="1" customHeight="1" outlineLevel="1" thickBot="1">
      <c r="A472" s="2">
        <f>+Get_Data!A471</f>
        <v>40126</v>
      </c>
      <c r="B472">
        <f>+ROUND(Get_Data!B471,5)</f>
        <v>44.715290000000003</v>
      </c>
      <c r="C472">
        <f>+ROUND(Get_Data!C471,5)</f>
        <v>18.18608</v>
      </c>
      <c r="D472" s="4">
        <f t="shared" si="7"/>
        <v>2.4587646155741094</v>
      </c>
    </row>
    <row r="473" spans="1:4" ht="17" hidden="1" customHeight="1" outlineLevel="1" thickBot="1">
      <c r="A473" s="2">
        <f>+Get_Data!A472</f>
        <v>40127</v>
      </c>
      <c r="B473">
        <f>+ROUND(Get_Data!B472,5)</f>
        <v>44.571719999999999</v>
      </c>
      <c r="C473">
        <f>+ROUND(Get_Data!C472,5)</f>
        <v>18.294250000000002</v>
      </c>
      <c r="D473" s="4">
        <f t="shared" si="7"/>
        <v>2.4363786435628678</v>
      </c>
    </row>
    <row r="474" spans="1:4" ht="17" hidden="1" customHeight="1" outlineLevel="1" thickBot="1">
      <c r="A474" s="2">
        <f>+Get_Data!A473</f>
        <v>40128</v>
      </c>
      <c r="B474">
        <f>+ROUND(Get_Data!B473,5)</f>
        <v>44.945050000000002</v>
      </c>
      <c r="C474">
        <f>+ROUND(Get_Data!C473,5)</f>
        <v>18.399139999999999</v>
      </c>
      <c r="D474" s="4">
        <f t="shared" si="7"/>
        <v>2.4427799342795371</v>
      </c>
    </row>
    <row r="475" spans="1:4" ht="17" hidden="1" customHeight="1" outlineLevel="1" thickBot="1">
      <c r="A475" s="2">
        <f>+Get_Data!A474</f>
        <v>40129</v>
      </c>
      <c r="B475">
        <f>+ROUND(Get_Data!B474,5)</f>
        <v>43.990160000000003</v>
      </c>
      <c r="C475">
        <f>+ROUND(Get_Data!C474,5)</f>
        <v>18.336860000000001</v>
      </c>
      <c r="D475" s="4">
        <f t="shared" si="7"/>
        <v>2.3990017920189173</v>
      </c>
    </row>
    <row r="476" spans="1:4" ht="17" hidden="1" customHeight="1" outlineLevel="1" thickBot="1">
      <c r="A476" s="2">
        <f>+Get_Data!A475</f>
        <v>40130</v>
      </c>
      <c r="B476">
        <f>+ROUND(Get_Data!B475,5)</f>
        <v>44.47119</v>
      </c>
      <c r="C476">
        <f>+ROUND(Get_Data!C475,5)</f>
        <v>18.50731</v>
      </c>
      <c r="D476" s="4">
        <f t="shared" si="7"/>
        <v>2.402898638429896</v>
      </c>
    </row>
    <row r="477" spans="1:4" ht="17" hidden="1" customHeight="1" outlineLevel="1" thickBot="1">
      <c r="A477" s="2">
        <f>+Get_Data!A476</f>
        <v>40133</v>
      </c>
      <c r="B477">
        <f>+ROUND(Get_Data!B476,5)</f>
        <v>44.822989999999997</v>
      </c>
      <c r="C477">
        <f>+ROUND(Get_Data!C476,5)</f>
        <v>18.5991</v>
      </c>
      <c r="D477" s="4">
        <f t="shared" si="7"/>
        <v>2.4099547827583052</v>
      </c>
    </row>
    <row r="478" spans="1:4" ht="17" hidden="1" customHeight="1" outlineLevel="1" thickBot="1">
      <c r="A478" s="2">
        <f>+Get_Data!A477</f>
        <v>40134</v>
      </c>
      <c r="B478">
        <f>+ROUND(Get_Data!B477,5)</f>
        <v>44.945050000000002</v>
      </c>
      <c r="C478">
        <f>+ROUND(Get_Data!C477,5)</f>
        <v>18.64171</v>
      </c>
      <c r="D478" s="4">
        <f t="shared" si="7"/>
        <v>2.4109939485165257</v>
      </c>
    </row>
    <row r="479" spans="1:4" ht="17" hidden="1" customHeight="1" outlineLevel="1" thickBot="1">
      <c r="A479" s="2">
        <f>+Get_Data!A478</f>
        <v>40135</v>
      </c>
      <c r="B479">
        <f>+ROUND(Get_Data!B478,5)</f>
        <v>44.729660000000003</v>
      </c>
      <c r="C479">
        <f>+ROUND(Get_Data!C478,5)</f>
        <v>18.546659999999999</v>
      </c>
      <c r="D479" s="4">
        <f t="shared" si="7"/>
        <v>2.4117366684890973</v>
      </c>
    </row>
    <row r="480" spans="1:4" ht="17" hidden="1" customHeight="1" outlineLevel="1" thickBot="1">
      <c r="A480" s="2">
        <f>+Get_Data!A479</f>
        <v>40136</v>
      </c>
      <c r="B480">
        <f>+ROUND(Get_Data!B479,5)</f>
        <v>44.42812</v>
      </c>
      <c r="C480">
        <f>+ROUND(Get_Data!C479,5)</f>
        <v>18.64499</v>
      </c>
      <c r="D480" s="4">
        <f t="shared" si="7"/>
        <v>2.3828449358245836</v>
      </c>
    </row>
    <row r="481" spans="1:4" ht="17" hidden="1" customHeight="1" outlineLevel="1" thickBot="1">
      <c r="A481" s="2">
        <f>+Get_Data!A480</f>
        <v>40137</v>
      </c>
      <c r="B481">
        <f>+ROUND(Get_Data!B480,5)</f>
        <v>44.571719999999999</v>
      </c>
      <c r="C481">
        <f>+ROUND(Get_Data!C480,5)</f>
        <v>18.841660000000001</v>
      </c>
      <c r="D481" s="4">
        <f t="shared" si="7"/>
        <v>2.365594114319014</v>
      </c>
    </row>
    <row r="482" spans="1:4" ht="17" hidden="1" customHeight="1" outlineLevel="1" thickBot="1">
      <c r="A482" s="2">
        <f>+Get_Data!A481</f>
        <v>40140</v>
      </c>
      <c r="B482">
        <f>+ROUND(Get_Data!B481,5)</f>
        <v>44.86609</v>
      </c>
      <c r="C482">
        <f>+ROUND(Get_Data!C481,5)</f>
        <v>19.090779999999999</v>
      </c>
      <c r="D482" s="4">
        <f t="shared" si="7"/>
        <v>2.3501444152622368</v>
      </c>
    </row>
    <row r="483" spans="1:4" ht="17" hidden="1" customHeight="1" outlineLevel="1" thickBot="1">
      <c r="A483" s="2">
        <f>+Get_Data!A482</f>
        <v>40141</v>
      </c>
      <c r="B483">
        <f>+ROUND(Get_Data!B482,5)</f>
        <v>44.873260000000002</v>
      </c>
      <c r="C483">
        <f>+ROUND(Get_Data!C482,5)</f>
        <v>19.074400000000001</v>
      </c>
      <c r="D483" s="4">
        <f t="shared" si="7"/>
        <v>2.3525384808958605</v>
      </c>
    </row>
    <row r="484" spans="1:4" ht="17" hidden="1" customHeight="1" outlineLevel="1" thickBot="1">
      <c r="A484" s="2">
        <f>+Get_Data!A483</f>
        <v>40142</v>
      </c>
      <c r="B484">
        <f>+ROUND(Get_Data!B483,5)</f>
        <v>45.368659999999998</v>
      </c>
      <c r="C484">
        <f>+ROUND(Get_Data!C483,5)</f>
        <v>19.048179999999999</v>
      </c>
      <c r="D484" s="4">
        <f t="shared" si="7"/>
        <v>2.3817845064462855</v>
      </c>
    </row>
    <row r="485" spans="1:4" ht="17" hidden="1" customHeight="1" outlineLevel="1" thickBot="1">
      <c r="A485" s="2">
        <f>+Get_Data!A484</f>
        <v>40144</v>
      </c>
      <c r="B485">
        <f>+ROUND(Get_Data!B484,5)</f>
        <v>44.729660000000003</v>
      </c>
      <c r="C485">
        <f>+ROUND(Get_Data!C484,5)</f>
        <v>19.011600000000001</v>
      </c>
      <c r="D485" s="4">
        <f t="shared" si="7"/>
        <v>2.3527562119968861</v>
      </c>
    </row>
    <row r="486" spans="1:4" ht="17" hidden="1" customHeight="1" outlineLevel="1" thickBot="1">
      <c r="A486" s="2">
        <f>+Get_Data!A485</f>
        <v>40147</v>
      </c>
      <c r="B486">
        <f>+ROUND(Get_Data!B485,5)</f>
        <v>44.672220000000003</v>
      </c>
      <c r="C486">
        <f>+ROUND(Get_Data!C485,5)</f>
        <v>19.018260000000001</v>
      </c>
      <c r="D486" s="4">
        <f t="shared" si="7"/>
        <v>2.3489120455814572</v>
      </c>
    </row>
    <row r="487" spans="1:4" ht="17" hidden="1" customHeight="1" outlineLevel="1" thickBot="1">
      <c r="A487" s="2">
        <f>+Get_Data!A486</f>
        <v>40148</v>
      </c>
      <c r="B487">
        <f>+ROUND(Get_Data!B486,5)</f>
        <v>45.85689</v>
      </c>
      <c r="C487">
        <f>+ROUND(Get_Data!C486,5)</f>
        <v>19.310839999999999</v>
      </c>
      <c r="D487" s="4">
        <f t="shared" si="7"/>
        <v>2.3746709102245167</v>
      </c>
    </row>
    <row r="488" spans="1:4" ht="17" hidden="1" customHeight="1" outlineLevel="1" thickBot="1">
      <c r="A488" s="2">
        <f>+Get_Data!A487</f>
        <v>40149</v>
      </c>
      <c r="B488">
        <f>+ROUND(Get_Data!B487,5)</f>
        <v>46.023200000000003</v>
      </c>
      <c r="C488">
        <f>+ROUND(Get_Data!C487,5)</f>
        <v>19.270949999999999</v>
      </c>
      <c r="D488" s="4">
        <f t="shared" si="7"/>
        <v>2.3882164605273744</v>
      </c>
    </row>
    <row r="489" spans="1:4" ht="17" hidden="1" customHeight="1" outlineLevel="1" thickBot="1">
      <c r="A489" s="2">
        <f>+Get_Data!A488</f>
        <v>40150</v>
      </c>
      <c r="B489">
        <f>+ROUND(Get_Data!B488,5)</f>
        <v>45.379649999999998</v>
      </c>
      <c r="C489">
        <f>+ROUND(Get_Data!C488,5)</f>
        <v>19.041530000000002</v>
      </c>
      <c r="D489" s="4">
        <f t="shared" si="7"/>
        <v>2.3831934723732808</v>
      </c>
    </row>
    <row r="490" spans="1:4" ht="17" hidden="1" customHeight="1" outlineLevel="1" thickBot="1">
      <c r="A490" s="2">
        <f>+Get_Data!A489</f>
        <v>40151</v>
      </c>
      <c r="B490">
        <f>+ROUND(Get_Data!B489,5)</f>
        <v>46.167810000000003</v>
      </c>
      <c r="C490">
        <f>+ROUND(Get_Data!C489,5)</f>
        <v>19.11467</v>
      </c>
      <c r="D490" s="4">
        <f t="shared" si="7"/>
        <v>2.4153077191497423</v>
      </c>
    </row>
    <row r="491" spans="1:4" ht="17" hidden="1" customHeight="1" outlineLevel="1" thickBot="1">
      <c r="A491" s="2">
        <f>+Get_Data!A490</f>
        <v>40154</v>
      </c>
      <c r="B491">
        <f>+ROUND(Get_Data!B490,5)</f>
        <v>46.44258</v>
      </c>
      <c r="C491">
        <f>+ROUND(Get_Data!C490,5)</f>
        <v>19.241019999999999</v>
      </c>
      <c r="D491" s="4">
        <f t="shared" si="7"/>
        <v>2.413727546668524</v>
      </c>
    </row>
    <row r="492" spans="1:4" ht="17" hidden="1" customHeight="1" outlineLevel="1" thickBot="1">
      <c r="A492" s="2">
        <f>+Get_Data!A491</f>
        <v>40155</v>
      </c>
      <c r="B492">
        <f>+ROUND(Get_Data!B491,5)</f>
        <v>45.900260000000003</v>
      </c>
      <c r="C492">
        <f>+ROUND(Get_Data!C491,5)</f>
        <v>19.177849999999999</v>
      </c>
      <c r="D492" s="4">
        <f t="shared" si="7"/>
        <v>2.3933996772318067</v>
      </c>
    </row>
    <row r="493" spans="1:4" ht="17" hidden="1" customHeight="1" outlineLevel="1" thickBot="1">
      <c r="A493" s="2">
        <f>+Get_Data!A492</f>
        <v>40156</v>
      </c>
      <c r="B493">
        <f>+ROUND(Get_Data!B492,5)</f>
        <v>44.685510000000001</v>
      </c>
      <c r="C493">
        <f>+ROUND(Get_Data!C492,5)</f>
        <v>19.227730000000001</v>
      </c>
      <c r="D493" s="4">
        <f t="shared" si="7"/>
        <v>2.3240138071420806</v>
      </c>
    </row>
    <row r="494" spans="1:4" ht="17" hidden="1" customHeight="1" outlineLevel="1" thickBot="1">
      <c r="A494" s="2">
        <f>+Get_Data!A493</f>
        <v>40157</v>
      </c>
      <c r="B494">
        <f>+ROUND(Get_Data!B493,5)</f>
        <v>44.71443</v>
      </c>
      <c r="C494">
        <f>+ROUND(Get_Data!C493,5)</f>
        <v>19.47709</v>
      </c>
      <c r="D494" s="4">
        <f t="shared" si="7"/>
        <v>2.2957448982368516</v>
      </c>
    </row>
    <row r="495" spans="1:4" ht="17" hidden="1" customHeight="1" outlineLevel="1" thickBot="1">
      <c r="A495" s="2">
        <f>+Get_Data!A494</f>
        <v>40158</v>
      </c>
      <c r="B495">
        <f>+ROUND(Get_Data!B494,5)</f>
        <v>44.302300000000002</v>
      </c>
      <c r="C495">
        <f>+ROUND(Get_Data!C494,5)</f>
        <v>19.653300000000002</v>
      </c>
      <c r="D495" s="4">
        <f t="shared" si="7"/>
        <v>2.2541914080586976</v>
      </c>
    </row>
    <row r="496" spans="1:4" ht="17" hidden="1" customHeight="1" outlineLevel="1" thickBot="1">
      <c r="A496" s="2">
        <f>+Get_Data!A495</f>
        <v>40161</v>
      </c>
      <c r="B496">
        <f>+ROUND(Get_Data!B495,5)</f>
        <v>44.092599999999997</v>
      </c>
      <c r="C496">
        <f>+ROUND(Get_Data!C495,5)</f>
        <v>19.630019999999998</v>
      </c>
      <c r="D496" s="4">
        <f t="shared" si="7"/>
        <v>2.2461821230951369</v>
      </c>
    </row>
    <row r="497" spans="1:4" ht="17" hidden="1" customHeight="1" outlineLevel="1" thickBot="1">
      <c r="A497" s="2">
        <f>+Get_Data!A496</f>
        <v>40162</v>
      </c>
      <c r="B497">
        <f>+ROUND(Get_Data!B496,5)</f>
        <v>44.099829999999997</v>
      </c>
      <c r="C497">
        <f>+ROUND(Get_Data!C496,5)</f>
        <v>19.636669999999999</v>
      </c>
      <c r="D497" s="4">
        <f t="shared" si="7"/>
        <v>2.2457896374487119</v>
      </c>
    </row>
    <row r="498" spans="1:4" ht="17" hidden="1" customHeight="1" outlineLevel="1" thickBot="1">
      <c r="A498" s="2">
        <f>+Get_Data!A497</f>
        <v>40163</v>
      </c>
      <c r="B498">
        <f>+ROUND(Get_Data!B497,5)</f>
        <v>43.875680000000003</v>
      </c>
      <c r="C498">
        <f>+ROUND(Get_Data!C497,5)</f>
        <v>19.42388</v>
      </c>
      <c r="D498" s="4">
        <f t="shared" si="7"/>
        <v>2.258852505266713</v>
      </c>
    </row>
    <row r="499" spans="1:4" ht="17" hidden="1" customHeight="1" outlineLevel="1" thickBot="1">
      <c r="A499" s="2">
        <f>+Get_Data!A498</f>
        <v>40164</v>
      </c>
      <c r="B499">
        <f>+ROUND(Get_Data!B498,5)</f>
        <v>43.412909999999997</v>
      </c>
      <c r="C499">
        <f>+ROUND(Get_Data!C498,5)</f>
        <v>18.9451</v>
      </c>
      <c r="D499" s="4">
        <f t="shared" si="7"/>
        <v>2.2915112614871389</v>
      </c>
    </row>
    <row r="500" spans="1:4" ht="17" hidden="1" customHeight="1" outlineLevel="1" thickBot="1">
      <c r="A500" s="2">
        <f>+Get_Data!A499</f>
        <v>40165</v>
      </c>
      <c r="B500">
        <f>+ROUND(Get_Data!B499,5)</f>
        <v>43.008009999999999</v>
      </c>
      <c r="C500">
        <f>+ROUND(Get_Data!C499,5)</f>
        <v>18.925160000000002</v>
      </c>
      <c r="D500" s="4">
        <f t="shared" si="7"/>
        <v>2.2725308531077144</v>
      </c>
    </row>
    <row r="501" spans="1:4" ht="17" hidden="1" customHeight="1" outlineLevel="1" thickBot="1">
      <c r="A501" s="2">
        <f>+Get_Data!A500</f>
        <v>40168</v>
      </c>
      <c r="B501">
        <f>+ROUND(Get_Data!B500,5)</f>
        <v>43.731079999999999</v>
      </c>
      <c r="C501">
        <f>+ROUND(Get_Data!C500,5)</f>
        <v>19.011600000000001</v>
      </c>
      <c r="D501" s="4">
        <f t="shared" si="7"/>
        <v>2.3002314376485931</v>
      </c>
    </row>
    <row r="502" spans="1:4" ht="17" hidden="1" customHeight="1" outlineLevel="1" thickBot="1">
      <c r="A502" s="2">
        <f>+Get_Data!A501</f>
        <v>40169</v>
      </c>
      <c r="B502">
        <f>+ROUND(Get_Data!B501,5)</f>
        <v>43.83952</v>
      </c>
      <c r="C502">
        <f>+ROUND(Get_Data!C501,5)</f>
        <v>19.041530000000002</v>
      </c>
      <c r="D502" s="4">
        <f t="shared" si="7"/>
        <v>2.3023107912021774</v>
      </c>
    </row>
    <row r="503" spans="1:4" ht="17" hidden="1" customHeight="1" outlineLevel="1" thickBot="1">
      <c r="A503" s="2">
        <f>+Get_Data!A502</f>
        <v>40170</v>
      </c>
      <c r="B503">
        <f>+ROUND(Get_Data!B502,5)</f>
        <v>43.875680000000003</v>
      </c>
      <c r="C503">
        <f>+ROUND(Get_Data!C502,5)</f>
        <v>19.048179999999999</v>
      </c>
      <c r="D503" s="4">
        <f t="shared" si="7"/>
        <v>2.3034053647120096</v>
      </c>
    </row>
    <row r="504" spans="1:4" ht="17" hidden="1" customHeight="1" outlineLevel="1" thickBot="1">
      <c r="A504" s="2">
        <f>+Get_Data!A503</f>
        <v>40171</v>
      </c>
      <c r="B504">
        <f>+ROUND(Get_Data!B503,5)</f>
        <v>44.078139999999998</v>
      </c>
      <c r="C504">
        <f>+ROUND(Get_Data!C503,5)</f>
        <v>19.098050000000001</v>
      </c>
      <c r="D504" s="4">
        <f t="shared" si="7"/>
        <v>2.3079916535981422</v>
      </c>
    </row>
    <row r="505" spans="1:4" ht="17" hidden="1" customHeight="1" outlineLevel="1" thickBot="1">
      <c r="A505" s="2">
        <f>+Get_Data!A504</f>
        <v>40175</v>
      </c>
      <c r="B505">
        <f>+ROUND(Get_Data!B504,5)</f>
        <v>44.222760000000001</v>
      </c>
      <c r="C505">
        <f>+ROUND(Get_Data!C504,5)</f>
        <v>19.098050000000001</v>
      </c>
      <c r="D505" s="4">
        <f t="shared" si="7"/>
        <v>2.3155641544555596</v>
      </c>
    </row>
    <row r="506" spans="1:4" ht="17" hidden="1" customHeight="1" outlineLevel="1" thickBot="1">
      <c r="A506" s="2">
        <f>+Get_Data!A505</f>
        <v>40176</v>
      </c>
      <c r="B506">
        <f>+ROUND(Get_Data!B505,5)</f>
        <v>44.179360000000003</v>
      </c>
      <c r="C506">
        <f>+ROUND(Get_Data!C505,5)</f>
        <v>19.197800000000001</v>
      </c>
      <c r="D506" s="4">
        <f t="shared" si="7"/>
        <v>2.301272020752378</v>
      </c>
    </row>
    <row r="507" spans="1:4" ht="17" hidden="1" customHeight="1" outlineLevel="1" thickBot="1">
      <c r="A507" s="2">
        <f>+Get_Data!A506</f>
        <v>40177</v>
      </c>
      <c r="B507">
        <f>+ROUND(Get_Data!B506,5)</f>
        <v>44.331220000000002</v>
      </c>
      <c r="C507">
        <f>+ROUND(Get_Data!C506,5)</f>
        <v>19.177849999999999</v>
      </c>
      <c r="D507" s="4">
        <f t="shared" si="7"/>
        <v>2.3115844581118323</v>
      </c>
    </row>
    <row r="508" spans="1:4" ht="17" hidden="1" customHeight="1" outlineLevel="1" thickBot="1">
      <c r="A508" s="2">
        <f>+Get_Data!A507</f>
        <v>40178</v>
      </c>
      <c r="B508">
        <f>+ROUND(Get_Data!B507,5)</f>
        <v>43.962449999999997</v>
      </c>
      <c r="C508">
        <f>+ROUND(Get_Data!C507,5)</f>
        <v>18.95176</v>
      </c>
      <c r="D508" s="4">
        <f t="shared" si="7"/>
        <v>2.31970276111559</v>
      </c>
    </row>
    <row r="509" spans="1:4" ht="17" hidden="1" customHeight="1" outlineLevel="1" thickBot="1">
      <c r="A509" s="2">
        <f>+Get_Data!A508</f>
        <v>40182</v>
      </c>
      <c r="B509">
        <f>+ROUND(Get_Data!B508,5)</f>
        <v>44.2806</v>
      </c>
      <c r="C509">
        <f>+ROUND(Get_Data!C508,5)</f>
        <v>18.965060000000001</v>
      </c>
      <c r="D509" s="4">
        <f t="shared" si="7"/>
        <v>2.3348515638758851</v>
      </c>
    </row>
    <row r="510" spans="1:4" ht="17" hidden="1" customHeight="1" outlineLevel="1" thickBot="1">
      <c r="A510" s="2">
        <f>+Get_Data!A509</f>
        <v>40183</v>
      </c>
      <c r="B510">
        <f>+ROUND(Get_Data!B509,5)</f>
        <v>44.815660000000001</v>
      </c>
      <c r="C510">
        <f>+ROUND(Get_Data!C509,5)</f>
        <v>18.73564</v>
      </c>
      <c r="D510" s="4">
        <f t="shared" si="7"/>
        <v>2.3920004867728033</v>
      </c>
    </row>
    <row r="511" spans="1:4" ht="17" hidden="1" customHeight="1" outlineLevel="1" thickBot="1">
      <c r="A511" s="2">
        <f>+Get_Data!A510</f>
        <v>40184</v>
      </c>
      <c r="B511">
        <f>+ROUND(Get_Data!B510,5)</f>
        <v>44.367370000000001</v>
      </c>
      <c r="C511">
        <f>+ROUND(Get_Data!C510,5)</f>
        <v>18.72899</v>
      </c>
      <c r="D511" s="4">
        <f t="shared" si="7"/>
        <v>2.3689141806365428</v>
      </c>
    </row>
    <row r="512" spans="1:4" ht="17" hidden="1" customHeight="1" outlineLevel="1" thickBot="1">
      <c r="A512" s="2">
        <f>+Get_Data!A511</f>
        <v>40185</v>
      </c>
      <c r="B512">
        <f>+ROUND(Get_Data!B511,5)</f>
        <v>44.085369999999998</v>
      </c>
      <c r="C512">
        <f>+ROUND(Get_Data!C511,5)</f>
        <v>18.68244</v>
      </c>
      <c r="D512" s="4">
        <f t="shared" si="7"/>
        <v>2.3597222846694543</v>
      </c>
    </row>
    <row r="513" spans="1:4" ht="17" hidden="1" customHeight="1" outlineLevel="1" thickBot="1">
      <c r="A513" s="2">
        <f>+Get_Data!A512</f>
        <v>40186</v>
      </c>
      <c r="B513">
        <f>+ROUND(Get_Data!B512,5)</f>
        <v>43.940759999999997</v>
      </c>
      <c r="C513">
        <f>+ROUND(Get_Data!C512,5)</f>
        <v>18.336659999999998</v>
      </c>
      <c r="D513" s="4">
        <f t="shared" si="7"/>
        <v>2.3963339015938563</v>
      </c>
    </row>
    <row r="514" spans="1:4" ht="17" hidden="1" customHeight="1" outlineLevel="1" thickBot="1">
      <c r="A514" s="2">
        <f>+Get_Data!A513</f>
        <v>40189</v>
      </c>
      <c r="B514">
        <f>+ROUND(Get_Data!B513,5)</f>
        <v>43.890149999999998</v>
      </c>
      <c r="C514">
        <f>+ROUND(Get_Data!C513,5)</f>
        <v>18.709040000000002</v>
      </c>
      <c r="D514" s="4">
        <f t="shared" si="7"/>
        <v>2.3459327683301758</v>
      </c>
    </row>
    <row r="515" spans="1:4" ht="17" hidden="1" customHeight="1" outlineLevel="1" thickBot="1">
      <c r="A515" s="2">
        <f>+Get_Data!A514</f>
        <v>40190</v>
      </c>
      <c r="B515">
        <f>+ROUND(Get_Data!B514,5)</f>
        <v>44.504750000000001</v>
      </c>
      <c r="C515">
        <f>+ROUND(Get_Data!C514,5)</f>
        <v>18.911860000000001</v>
      </c>
      <c r="D515" s="4">
        <f t="shared" si="7"/>
        <v>2.3532719679608456</v>
      </c>
    </row>
    <row r="516" spans="1:4" ht="17" hidden="1" customHeight="1" outlineLevel="1" thickBot="1">
      <c r="A516" s="2">
        <f>+Get_Data!A515</f>
        <v>40191</v>
      </c>
      <c r="B516">
        <f>+ROUND(Get_Data!B515,5)</f>
        <v>44.866289999999999</v>
      </c>
      <c r="C516">
        <f>+ROUND(Get_Data!C515,5)</f>
        <v>18.961729999999999</v>
      </c>
      <c r="D516" s="4">
        <f t="shared" ref="D516:D579" si="8">IFERROR(B516/C516,"")</f>
        <v>2.3661496076571074</v>
      </c>
    </row>
    <row r="517" spans="1:4" ht="17" hidden="1" customHeight="1" outlineLevel="1" thickBot="1">
      <c r="A517" s="2">
        <f>+Get_Data!A516</f>
        <v>40192</v>
      </c>
      <c r="B517">
        <f>+ROUND(Get_Data!B516,5)</f>
        <v>45.408580000000001</v>
      </c>
      <c r="C517">
        <f>+ROUND(Get_Data!C516,5)</f>
        <v>18.994990000000001</v>
      </c>
      <c r="D517" s="4">
        <f t="shared" si="8"/>
        <v>2.3905556149279361</v>
      </c>
    </row>
    <row r="518" spans="1:4" ht="17" hidden="1" customHeight="1" outlineLevel="1" thickBot="1">
      <c r="A518" s="2">
        <f>+Get_Data!A517</f>
        <v>40193</v>
      </c>
      <c r="B518">
        <f>+ROUND(Get_Data!B517,5)</f>
        <v>45.039810000000003</v>
      </c>
      <c r="C518">
        <f>+ROUND(Get_Data!C517,5)</f>
        <v>18.715689999999999</v>
      </c>
      <c r="D518" s="4">
        <f t="shared" si="8"/>
        <v>2.4065268232162431</v>
      </c>
    </row>
    <row r="519" spans="1:4" ht="17" hidden="1" customHeight="1" outlineLevel="1" thickBot="1">
      <c r="A519" s="2">
        <f>+Get_Data!A518</f>
        <v>40197</v>
      </c>
      <c r="B519">
        <f>+ROUND(Get_Data!B518,5)</f>
        <v>45.068739999999998</v>
      </c>
      <c r="C519">
        <f>+ROUND(Get_Data!C518,5)</f>
        <v>18.75891</v>
      </c>
      <c r="D519" s="4">
        <f t="shared" si="8"/>
        <v>2.4025244537129287</v>
      </c>
    </row>
    <row r="520" spans="1:4" ht="17" hidden="1" customHeight="1" outlineLevel="1" thickBot="1">
      <c r="A520" s="2">
        <f>+Get_Data!A519</f>
        <v>40198</v>
      </c>
      <c r="B520">
        <f>+ROUND(Get_Data!B519,5)</f>
        <v>44.793970000000002</v>
      </c>
      <c r="C520">
        <f>+ROUND(Get_Data!C519,5)</f>
        <v>18.453029999999998</v>
      </c>
      <c r="D520" s="4">
        <f t="shared" si="8"/>
        <v>2.4274587967396144</v>
      </c>
    </row>
    <row r="521" spans="1:4" ht="17" hidden="1" customHeight="1" outlineLevel="1" thickBot="1">
      <c r="A521" s="2">
        <f>+Get_Data!A520</f>
        <v>40199</v>
      </c>
      <c r="B521">
        <f>+ROUND(Get_Data!B520,5)</f>
        <v>44.063670000000002</v>
      </c>
      <c r="C521">
        <f>+ROUND(Get_Data!C520,5)</f>
        <v>18.07732</v>
      </c>
      <c r="D521" s="4">
        <f t="shared" si="8"/>
        <v>2.4375112018816951</v>
      </c>
    </row>
    <row r="522" spans="1:4" ht="17" hidden="1" customHeight="1" outlineLevel="1" thickBot="1">
      <c r="A522" s="2">
        <f>+Get_Data!A521</f>
        <v>40200</v>
      </c>
      <c r="B522">
        <f>+ROUND(Get_Data!B521,5)</f>
        <v>43.665990000000001</v>
      </c>
      <c r="C522">
        <f>+ROUND(Get_Data!C521,5)</f>
        <v>18.034089999999999</v>
      </c>
      <c r="D522" s="4">
        <f t="shared" si="8"/>
        <v>2.4213026551381303</v>
      </c>
    </row>
    <row r="523" spans="1:4" ht="17" hidden="1" customHeight="1" outlineLevel="1" thickBot="1">
      <c r="A523" s="2">
        <f>+Get_Data!A522</f>
        <v>40203</v>
      </c>
      <c r="B523">
        <f>+ROUND(Get_Data!B522,5)</f>
        <v>43.5503</v>
      </c>
      <c r="C523">
        <f>+ROUND(Get_Data!C522,5)</f>
        <v>18.07067</v>
      </c>
      <c r="D523" s="4">
        <f t="shared" si="8"/>
        <v>2.4099991865271182</v>
      </c>
    </row>
    <row r="524" spans="1:4" ht="17" hidden="1" customHeight="1" outlineLevel="1" thickBot="1">
      <c r="A524" s="2">
        <f>+Get_Data!A523</f>
        <v>40204</v>
      </c>
      <c r="B524">
        <f>+ROUND(Get_Data!B523,5)</f>
        <v>43.564770000000003</v>
      </c>
      <c r="C524">
        <f>+ROUND(Get_Data!C523,5)</f>
        <v>18.00084</v>
      </c>
      <c r="D524" s="4">
        <f t="shared" si="8"/>
        <v>2.4201520595705537</v>
      </c>
    </row>
    <row r="525" spans="1:4" ht="17" hidden="1" customHeight="1" outlineLevel="1" thickBot="1">
      <c r="A525" s="2">
        <f>+Get_Data!A524</f>
        <v>40205</v>
      </c>
      <c r="B525">
        <f>+ROUND(Get_Data!B524,5)</f>
        <v>43.593690000000002</v>
      </c>
      <c r="C525">
        <f>+ROUND(Get_Data!C524,5)</f>
        <v>18.123860000000001</v>
      </c>
      <c r="D525" s="4">
        <f t="shared" si="8"/>
        <v>2.4053203898065867</v>
      </c>
    </row>
    <row r="526" spans="1:4" ht="17" hidden="1" customHeight="1" outlineLevel="1" thickBot="1">
      <c r="A526" s="2">
        <f>+Get_Data!A525</f>
        <v>40206</v>
      </c>
      <c r="B526">
        <f>+ROUND(Get_Data!B525,5)</f>
        <v>43.195990000000002</v>
      </c>
      <c r="C526">
        <f>+ROUND(Get_Data!C525,5)</f>
        <v>18.014140000000001</v>
      </c>
      <c r="D526" s="4">
        <f t="shared" si="8"/>
        <v>2.3978935436273949</v>
      </c>
    </row>
    <row r="527" spans="1:4" ht="17" hidden="1" customHeight="1" outlineLevel="1" thickBot="1">
      <c r="A527" s="2">
        <f>+Get_Data!A526</f>
        <v>40207</v>
      </c>
      <c r="B527">
        <f>+ROUND(Get_Data!B526,5)</f>
        <v>43.109229999999997</v>
      </c>
      <c r="C527">
        <f>+ROUND(Get_Data!C526,5)</f>
        <v>18.037420000000001</v>
      </c>
      <c r="D527" s="4">
        <f t="shared" si="8"/>
        <v>2.389988701266589</v>
      </c>
    </row>
    <row r="528" spans="1:4" ht="17" hidden="1" customHeight="1" outlineLevel="1" thickBot="1">
      <c r="A528" s="2">
        <f>+Get_Data!A527</f>
        <v>40210</v>
      </c>
      <c r="B528">
        <f>+ROUND(Get_Data!B527,5)</f>
        <v>43.890149999999998</v>
      </c>
      <c r="C528">
        <f>+ROUND(Get_Data!C527,5)</f>
        <v>18.080639999999999</v>
      </c>
      <c r="D528" s="4">
        <f t="shared" si="8"/>
        <v>2.4274666162259741</v>
      </c>
    </row>
    <row r="529" spans="1:4" ht="17" hidden="1" customHeight="1" outlineLevel="1" thickBot="1">
      <c r="A529" s="2">
        <f>+Get_Data!A528</f>
        <v>40211</v>
      </c>
      <c r="B529">
        <f>+ROUND(Get_Data!B528,5)</f>
        <v>44.215530000000001</v>
      </c>
      <c r="C529">
        <f>+ROUND(Get_Data!C528,5)</f>
        <v>18.3034</v>
      </c>
      <c r="D529" s="4">
        <f t="shared" si="8"/>
        <v>2.4157003616814361</v>
      </c>
    </row>
    <row r="530" spans="1:4" ht="17" hidden="1" customHeight="1" outlineLevel="1" thickBot="1">
      <c r="A530" s="2">
        <f>+Get_Data!A529</f>
        <v>40212</v>
      </c>
      <c r="B530">
        <f>+ROUND(Get_Data!B529,5)</f>
        <v>44.316749999999999</v>
      </c>
      <c r="C530">
        <f>+ROUND(Get_Data!C529,5)</f>
        <v>18.243559999999999</v>
      </c>
      <c r="D530" s="4">
        <f t="shared" si="8"/>
        <v>2.4291722668163453</v>
      </c>
    </row>
    <row r="531" spans="1:4" ht="17" hidden="1" customHeight="1" outlineLevel="1" thickBot="1">
      <c r="A531" s="2">
        <f>+Get_Data!A530</f>
        <v>40213</v>
      </c>
      <c r="B531">
        <f>+ROUND(Get_Data!B530,5)</f>
        <v>43.123690000000003</v>
      </c>
      <c r="C531">
        <f>+ROUND(Get_Data!C530,5)</f>
        <v>17.764779999999998</v>
      </c>
      <c r="D531" s="4">
        <f t="shared" si="8"/>
        <v>2.4274823555371925</v>
      </c>
    </row>
    <row r="532" spans="1:4" ht="17" hidden="1" customHeight="1" outlineLevel="1" thickBot="1">
      <c r="A532" s="2">
        <f>+Get_Data!A531</f>
        <v>40214</v>
      </c>
      <c r="B532">
        <f>+ROUND(Get_Data!B531,5)</f>
        <v>43.029690000000002</v>
      </c>
      <c r="C532">
        <f>+ROUND(Get_Data!C531,5)</f>
        <v>17.65174</v>
      </c>
      <c r="D532" s="4">
        <f t="shared" si="8"/>
        <v>2.4377024587944307</v>
      </c>
    </row>
    <row r="533" spans="1:4" ht="17" hidden="1" customHeight="1" outlineLevel="1" thickBot="1">
      <c r="A533" s="2">
        <f>+Get_Data!A532</f>
        <v>40217</v>
      </c>
      <c r="B533">
        <f>+ROUND(Get_Data!B532,5)</f>
        <v>42.631999999999998</v>
      </c>
      <c r="C533">
        <f>+ROUND(Get_Data!C532,5)</f>
        <v>17.50544</v>
      </c>
      <c r="D533" s="4">
        <f t="shared" si="8"/>
        <v>2.4353572375215933</v>
      </c>
    </row>
    <row r="534" spans="1:4" ht="17" hidden="1" customHeight="1" outlineLevel="1" thickBot="1">
      <c r="A534" s="2">
        <f>+Get_Data!A533</f>
        <v>40218</v>
      </c>
      <c r="B534">
        <f>+ROUND(Get_Data!B533,5)</f>
        <v>43.42015</v>
      </c>
      <c r="C534">
        <f>+ROUND(Get_Data!C533,5)</f>
        <v>17.957619999999999</v>
      </c>
      <c r="D534" s="4">
        <f t="shared" si="8"/>
        <v>2.4179234219233954</v>
      </c>
    </row>
    <row r="535" spans="1:4" ht="17" hidden="1" customHeight="1" outlineLevel="1" thickBot="1">
      <c r="A535" s="2">
        <f>+Get_Data!A534</f>
        <v>40219</v>
      </c>
      <c r="B535">
        <f>+ROUND(Get_Data!B534,5)</f>
        <v>43.658769999999997</v>
      </c>
      <c r="C535">
        <f>+ROUND(Get_Data!C534,5)</f>
        <v>17.88447</v>
      </c>
      <c r="D535" s="4">
        <f t="shared" si="8"/>
        <v>2.4411553711124792</v>
      </c>
    </row>
    <row r="536" spans="1:4" ht="17" hidden="1" customHeight="1" outlineLevel="1" thickBot="1">
      <c r="A536" s="2">
        <f>+Get_Data!A535</f>
        <v>40220</v>
      </c>
      <c r="B536">
        <f>+ROUND(Get_Data!B535,5)</f>
        <v>44.244450000000001</v>
      </c>
      <c r="C536">
        <f>+ROUND(Get_Data!C535,5)</f>
        <v>18.027439999999999</v>
      </c>
      <c r="D536" s="4">
        <f t="shared" si="8"/>
        <v>2.454283581029808</v>
      </c>
    </row>
    <row r="537" spans="1:4" ht="17" hidden="1" customHeight="1" outlineLevel="1" thickBot="1">
      <c r="A537" s="2">
        <f>+Get_Data!A536</f>
        <v>40221</v>
      </c>
      <c r="B537">
        <f>+ROUND(Get_Data!B536,5)</f>
        <v>44.049219999999998</v>
      </c>
      <c r="C537">
        <f>+ROUND(Get_Data!C536,5)</f>
        <v>17.947649999999999</v>
      </c>
      <c r="D537" s="4">
        <f t="shared" si="8"/>
        <v>2.4543168604246239</v>
      </c>
    </row>
    <row r="538" spans="1:4" ht="17" hidden="1" customHeight="1" outlineLevel="1" thickBot="1">
      <c r="A538" s="2">
        <f>+Get_Data!A537</f>
        <v>40225</v>
      </c>
      <c r="B538">
        <f>+ROUND(Get_Data!B537,5)</f>
        <v>44.331220000000002</v>
      </c>
      <c r="C538">
        <f>+ROUND(Get_Data!C537,5)</f>
        <v>18.226939999999999</v>
      </c>
      <c r="D538" s="4">
        <f t="shared" si="8"/>
        <v>2.4321811560250928</v>
      </c>
    </row>
    <row r="539" spans="1:4" ht="17" hidden="1" customHeight="1" outlineLevel="1" thickBot="1">
      <c r="A539" s="2">
        <f>+Get_Data!A538</f>
        <v>40226</v>
      </c>
      <c r="B539">
        <f>+ROUND(Get_Data!B538,5)</f>
        <v>44.909660000000002</v>
      </c>
      <c r="C539">
        <f>+ROUND(Get_Data!C538,5)</f>
        <v>18.396509999999999</v>
      </c>
      <c r="D539" s="4">
        <f t="shared" si="8"/>
        <v>2.4412054242897159</v>
      </c>
    </row>
    <row r="540" spans="1:4" ht="17" hidden="1" customHeight="1" outlineLevel="1" thickBot="1">
      <c r="A540" s="2">
        <f>+Get_Data!A539</f>
        <v>40227</v>
      </c>
      <c r="B540">
        <f>+ROUND(Get_Data!B539,5)</f>
        <v>45.213340000000002</v>
      </c>
      <c r="C540">
        <f>+ROUND(Get_Data!C539,5)</f>
        <v>18.58934</v>
      </c>
      <c r="D540" s="4">
        <f t="shared" si="8"/>
        <v>2.4322186801683117</v>
      </c>
    </row>
    <row r="541" spans="1:4" ht="17" hidden="1" customHeight="1" outlineLevel="1" thickBot="1">
      <c r="A541" s="2">
        <f>+Get_Data!A540</f>
        <v>40228</v>
      </c>
      <c r="B541">
        <f>+ROUND(Get_Data!B540,5)</f>
        <v>45.307360000000003</v>
      </c>
      <c r="C541">
        <f>+ROUND(Get_Data!C540,5)</f>
        <v>18.52617</v>
      </c>
      <c r="D541" s="4">
        <f t="shared" si="8"/>
        <v>2.4455869723747541</v>
      </c>
    </row>
    <row r="542" spans="1:4" ht="17" hidden="1" customHeight="1" outlineLevel="1" thickBot="1">
      <c r="A542" s="2">
        <f>+Get_Data!A541</f>
        <v>40231</v>
      </c>
      <c r="B542">
        <f>+ROUND(Get_Data!B541,5)</f>
        <v>45.126579999999997</v>
      </c>
      <c r="C542">
        <f>+ROUND(Get_Data!C541,5)</f>
        <v>18.413129999999999</v>
      </c>
      <c r="D542" s="4">
        <f t="shared" si="8"/>
        <v>2.4507826751888464</v>
      </c>
    </row>
    <row r="543" spans="1:4" ht="17" hidden="1" customHeight="1" outlineLevel="1" thickBot="1">
      <c r="A543" s="2">
        <f>+Get_Data!A542</f>
        <v>40232</v>
      </c>
      <c r="B543">
        <f>+ROUND(Get_Data!B542,5)</f>
        <v>44.671059999999997</v>
      </c>
      <c r="C543">
        <f>+ROUND(Get_Data!C542,5)</f>
        <v>18.230260000000001</v>
      </c>
      <c r="D543" s="4">
        <f t="shared" si="8"/>
        <v>2.4503797532234866</v>
      </c>
    </row>
    <row r="544" spans="1:4" ht="17" hidden="1" customHeight="1" outlineLevel="1" thickBot="1">
      <c r="A544" s="2">
        <f>+Get_Data!A543</f>
        <v>40233</v>
      </c>
      <c r="B544">
        <f>+ROUND(Get_Data!B543,5)</f>
        <v>44.887970000000003</v>
      </c>
      <c r="C544">
        <f>+ROUND(Get_Data!C543,5)</f>
        <v>18.339980000000001</v>
      </c>
      <c r="D544" s="4">
        <f t="shared" si="8"/>
        <v>2.4475473800952892</v>
      </c>
    </row>
    <row r="545" spans="1:4" ht="17" hidden="1" customHeight="1" outlineLevel="1" thickBot="1">
      <c r="A545" s="2">
        <f>+Get_Data!A544</f>
        <v>40234</v>
      </c>
      <c r="B545">
        <f>+ROUND(Get_Data!B544,5)</f>
        <v>45.047040000000003</v>
      </c>
      <c r="C545">
        <f>+ROUND(Get_Data!C544,5)</f>
        <v>17.661709999999999</v>
      </c>
      <c r="D545" s="4">
        <f t="shared" si="8"/>
        <v>2.5505480499906299</v>
      </c>
    </row>
    <row r="546" spans="1:4" ht="17" hidden="1" customHeight="1" outlineLevel="1" thickBot="1">
      <c r="A546" s="2">
        <f>+Get_Data!A545</f>
        <v>40235</v>
      </c>
      <c r="B546">
        <f>+ROUND(Get_Data!B545,5)</f>
        <v>45.169969999999999</v>
      </c>
      <c r="C546">
        <f>+ROUND(Get_Data!C545,5)</f>
        <v>17.52871</v>
      </c>
      <c r="D546" s="4">
        <f t="shared" si="8"/>
        <v>2.5769135321424108</v>
      </c>
    </row>
    <row r="547" spans="1:4" ht="17" hidden="1" customHeight="1" outlineLevel="1" thickBot="1">
      <c r="A547" s="2">
        <f>+Get_Data!A546</f>
        <v>40238</v>
      </c>
      <c r="B547">
        <f>+ROUND(Get_Data!B546,5)</f>
        <v>45.86412</v>
      </c>
      <c r="C547">
        <f>+ROUND(Get_Data!C546,5)</f>
        <v>17.711580000000001</v>
      </c>
      <c r="D547" s="4">
        <f t="shared" si="8"/>
        <v>2.5894990734875147</v>
      </c>
    </row>
    <row r="548" spans="1:4" ht="17" hidden="1" customHeight="1" outlineLevel="1" thickBot="1">
      <c r="A548" s="2">
        <f>+Get_Data!A547</f>
        <v>40239</v>
      </c>
      <c r="B548">
        <f>+ROUND(Get_Data!B547,5)</f>
        <v>46.131659999999997</v>
      </c>
      <c r="C548">
        <f>+ROUND(Get_Data!C547,5)</f>
        <v>17.72156</v>
      </c>
      <c r="D548" s="4">
        <f t="shared" si="8"/>
        <v>2.6031376470243024</v>
      </c>
    </row>
    <row r="549" spans="1:4" ht="17" hidden="1" customHeight="1" outlineLevel="1" thickBot="1">
      <c r="A549" s="2">
        <f>+Get_Data!A548</f>
        <v>40240</v>
      </c>
      <c r="B549">
        <f>+ROUND(Get_Data!B548,5)</f>
        <v>46.590429999999998</v>
      </c>
      <c r="C549">
        <f>+ROUND(Get_Data!C548,5)</f>
        <v>17.93102</v>
      </c>
      <c r="D549" s="4">
        <f t="shared" si="8"/>
        <v>2.5983145409463599</v>
      </c>
    </row>
    <row r="550" spans="1:4" ht="17" hidden="1" customHeight="1" outlineLevel="1" thickBot="1">
      <c r="A550" s="2">
        <f>+Get_Data!A549</f>
        <v>40241</v>
      </c>
      <c r="B550">
        <f>+ROUND(Get_Data!B549,5)</f>
        <v>46.685090000000002</v>
      </c>
      <c r="C550">
        <f>+ROUND(Get_Data!C549,5)</f>
        <v>18.11056</v>
      </c>
      <c r="D550" s="4">
        <f t="shared" si="8"/>
        <v>2.5777827963353981</v>
      </c>
    </row>
    <row r="551" spans="1:4" ht="17" hidden="1" customHeight="1" outlineLevel="1" thickBot="1">
      <c r="A551" s="2">
        <f>+Get_Data!A550</f>
        <v>40242</v>
      </c>
      <c r="B551">
        <f>+ROUND(Get_Data!B550,5)</f>
        <v>46.874429999999997</v>
      </c>
      <c r="C551">
        <f>+ROUND(Get_Data!C550,5)</f>
        <v>18.18704</v>
      </c>
      <c r="D551" s="4">
        <f t="shared" si="8"/>
        <v>2.5773534340937281</v>
      </c>
    </row>
    <row r="552" spans="1:4" ht="17" hidden="1" customHeight="1" outlineLevel="1" thickBot="1">
      <c r="A552" s="2">
        <f>+Get_Data!A551</f>
        <v>40245</v>
      </c>
      <c r="B552">
        <f>+ROUND(Get_Data!B551,5)</f>
        <v>46.714210000000001</v>
      </c>
      <c r="C552">
        <f>+ROUND(Get_Data!C551,5)</f>
        <v>18.107240000000001</v>
      </c>
      <c r="D552" s="4">
        <f t="shared" si="8"/>
        <v>2.5798636346566344</v>
      </c>
    </row>
    <row r="553" spans="1:4" ht="17" hidden="1" customHeight="1" outlineLevel="1" thickBot="1">
      <c r="A553" s="2">
        <f>+Get_Data!A552</f>
        <v>40246</v>
      </c>
      <c r="B553">
        <f>+ROUND(Get_Data!B552,5)</f>
        <v>46.867130000000003</v>
      </c>
      <c r="C553">
        <f>+ROUND(Get_Data!C552,5)</f>
        <v>18.014140000000001</v>
      </c>
      <c r="D553" s="4">
        <f t="shared" si="8"/>
        <v>2.601685675808004</v>
      </c>
    </row>
    <row r="554" spans="1:4" ht="17" hidden="1" customHeight="1" outlineLevel="1" thickBot="1">
      <c r="A554" s="2">
        <f>+Get_Data!A553</f>
        <v>40247</v>
      </c>
      <c r="B554">
        <f>+ROUND(Get_Data!B553,5)</f>
        <v>46.918109999999999</v>
      </c>
      <c r="C554">
        <f>+ROUND(Get_Data!C553,5)</f>
        <v>18.020790000000002</v>
      </c>
      <c r="D554" s="4">
        <f t="shared" si="8"/>
        <v>2.60355456114854</v>
      </c>
    </row>
    <row r="555" spans="1:4" ht="17" hidden="1" customHeight="1" outlineLevel="1" thickBot="1">
      <c r="A555" s="2">
        <f>+Get_Data!A554</f>
        <v>40248</v>
      </c>
      <c r="B555">
        <f>+ROUND(Get_Data!B554,5)</f>
        <v>47.311329999999998</v>
      </c>
      <c r="C555">
        <f>+ROUND(Get_Data!C554,5)</f>
        <v>18.11543</v>
      </c>
      <c r="D555" s="4">
        <f t="shared" si="8"/>
        <v>2.6116592319365313</v>
      </c>
    </row>
    <row r="556" spans="1:4" ht="17" hidden="1" customHeight="1" outlineLevel="1" thickBot="1">
      <c r="A556" s="2">
        <f>+Get_Data!A555</f>
        <v>40249</v>
      </c>
      <c r="B556">
        <f>+ROUND(Get_Data!B555,5)</f>
        <v>47.405999999999999</v>
      </c>
      <c r="C556">
        <f>+ROUND(Get_Data!C555,5)</f>
        <v>18.030940000000001</v>
      </c>
      <c r="D556" s="4">
        <f t="shared" si="8"/>
        <v>2.6291474543201852</v>
      </c>
    </row>
    <row r="557" spans="1:4" ht="17" hidden="1" customHeight="1" outlineLevel="1" thickBot="1">
      <c r="A557" s="2">
        <f>+Get_Data!A556</f>
        <v>40252</v>
      </c>
      <c r="B557">
        <f>+ROUND(Get_Data!B556,5)</f>
        <v>48.170630000000003</v>
      </c>
      <c r="C557">
        <f>+ROUND(Get_Data!C556,5)</f>
        <v>18.13232</v>
      </c>
      <c r="D557" s="4">
        <f t="shared" si="8"/>
        <v>2.6566170241866458</v>
      </c>
    </row>
    <row r="558" spans="1:4" ht="17" hidden="1" customHeight="1" outlineLevel="1" thickBot="1">
      <c r="A558" s="2">
        <f>+Get_Data!A557</f>
        <v>40253</v>
      </c>
      <c r="B558">
        <f>+ROUND(Get_Data!B557,5)</f>
        <v>48.112349999999999</v>
      </c>
      <c r="C558">
        <f>+ROUND(Get_Data!C557,5)</f>
        <v>18.149229999999999</v>
      </c>
      <c r="D558" s="4">
        <f t="shared" si="8"/>
        <v>2.6509306455425383</v>
      </c>
    </row>
    <row r="559" spans="1:4" ht="17" hidden="1" customHeight="1" outlineLevel="1" thickBot="1">
      <c r="A559" s="2">
        <f>+Get_Data!A558</f>
        <v>40254</v>
      </c>
      <c r="B559">
        <f>+ROUND(Get_Data!B558,5)</f>
        <v>48.476460000000003</v>
      </c>
      <c r="C559">
        <f>+ROUND(Get_Data!C558,5)</f>
        <v>18.196539999999999</v>
      </c>
      <c r="D559" s="4">
        <f t="shared" si="8"/>
        <v>2.6640482201561397</v>
      </c>
    </row>
    <row r="560" spans="1:4" ht="17" hidden="1" customHeight="1" outlineLevel="1" thickBot="1">
      <c r="A560" s="2">
        <f>+Get_Data!A559</f>
        <v>40255</v>
      </c>
      <c r="B560">
        <f>+ROUND(Get_Data!B559,5)</f>
        <v>48.440040000000003</v>
      </c>
      <c r="C560">
        <f>+ROUND(Get_Data!C559,5)</f>
        <v>18.233720000000002</v>
      </c>
      <c r="D560" s="4">
        <f t="shared" si="8"/>
        <v>2.6566186164973464</v>
      </c>
    </row>
    <row r="561" spans="1:4" ht="17" hidden="1" customHeight="1" outlineLevel="1" thickBot="1">
      <c r="A561" s="2">
        <f>+Get_Data!A560</f>
        <v>40256</v>
      </c>
      <c r="B561">
        <f>+ROUND(Get_Data!B560,5)</f>
        <v>48.469180000000001</v>
      </c>
      <c r="C561">
        <f>+ROUND(Get_Data!C560,5)</f>
        <v>18.504100000000001</v>
      </c>
      <c r="D561" s="4">
        <f t="shared" si="8"/>
        <v>2.6193751655038611</v>
      </c>
    </row>
    <row r="562" spans="1:4" ht="17" hidden="1" customHeight="1" outlineLevel="1" thickBot="1">
      <c r="A562" s="2">
        <f>+Get_Data!A561</f>
        <v>40259</v>
      </c>
      <c r="B562">
        <f>+ROUND(Get_Data!B561,5)</f>
        <v>48.287120000000002</v>
      </c>
      <c r="C562">
        <f>+ROUND(Get_Data!C561,5)</f>
        <v>18.433119999999999</v>
      </c>
      <c r="D562" s="4">
        <f t="shared" si="8"/>
        <v>2.6195847474545819</v>
      </c>
    </row>
    <row r="563" spans="1:4" ht="17" hidden="1" customHeight="1" outlineLevel="1" thickBot="1">
      <c r="A563" s="2">
        <f>+Get_Data!A562</f>
        <v>40260</v>
      </c>
      <c r="B563">
        <f>+ROUND(Get_Data!B562,5)</f>
        <v>48.687640000000002</v>
      </c>
      <c r="C563">
        <f>+ROUND(Get_Data!C562,5)</f>
        <v>18.689979999999998</v>
      </c>
      <c r="D563" s="4">
        <f t="shared" si="8"/>
        <v>2.6050129534649051</v>
      </c>
    </row>
    <row r="564" spans="1:4" ht="17" hidden="1" customHeight="1" outlineLevel="1" thickBot="1">
      <c r="A564" s="2">
        <f>+Get_Data!A563</f>
        <v>40261</v>
      </c>
      <c r="B564">
        <f>+ROUND(Get_Data!B563,5)</f>
        <v>48.250720000000001</v>
      </c>
      <c r="C564">
        <f>+ROUND(Get_Data!C563,5)</f>
        <v>18.460159999999998</v>
      </c>
      <c r="D564" s="4">
        <f t="shared" si="8"/>
        <v>2.6137758285952022</v>
      </c>
    </row>
    <row r="565" spans="1:4" ht="17" hidden="1" customHeight="1" outlineLevel="1" thickBot="1">
      <c r="A565" s="2">
        <f>+Get_Data!A564</f>
        <v>40262</v>
      </c>
      <c r="B565">
        <f>+ROUND(Get_Data!B564,5)</f>
        <v>48.461910000000003</v>
      </c>
      <c r="C565">
        <f>+ROUND(Get_Data!C564,5)</f>
        <v>18.521000000000001</v>
      </c>
      <c r="D565" s="4">
        <f t="shared" si="8"/>
        <v>2.6165925166027755</v>
      </c>
    </row>
    <row r="566" spans="1:4" ht="17" hidden="1" customHeight="1" outlineLevel="1" thickBot="1">
      <c r="A566" s="2">
        <f>+Get_Data!A565</f>
        <v>40263</v>
      </c>
      <c r="B566">
        <f>+ROUND(Get_Data!B565,5)</f>
        <v>48.491019999999999</v>
      </c>
      <c r="C566">
        <f>+ROUND(Get_Data!C565,5)</f>
        <v>18.470300000000002</v>
      </c>
      <c r="D566" s="4">
        <f t="shared" si="8"/>
        <v>2.6253509688526981</v>
      </c>
    </row>
    <row r="567" spans="1:4" ht="17" hidden="1" customHeight="1" outlineLevel="1" thickBot="1">
      <c r="A567" s="2">
        <f>+Get_Data!A566</f>
        <v>40266</v>
      </c>
      <c r="B567">
        <f>+ROUND(Get_Data!B566,5)</f>
        <v>48.461910000000003</v>
      </c>
      <c r="C567">
        <f>+ROUND(Get_Data!C566,5)</f>
        <v>18.510860000000001</v>
      </c>
      <c r="D567" s="4">
        <f t="shared" si="8"/>
        <v>2.6180258507708447</v>
      </c>
    </row>
    <row r="568" spans="1:4" ht="17" hidden="1" customHeight="1" outlineLevel="1" thickBot="1">
      <c r="A568" s="2">
        <f>+Get_Data!A567</f>
        <v>40267</v>
      </c>
      <c r="B568">
        <f>+ROUND(Get_Data!B567,5)</f>
        <v>48.622100000000003</v>
      </c>
      <c r="C568">
        <f>+ROUND(Get_Data!C567,5)</f>
        <v>18.544650000000001</v>
      </c>
      <c r="D568" s="4">
        <f t="shared" si="8"/>
        <v>2.621893645876304</v>
      </c>
    </row>
    <row r="569" spans="1:4" ht="17" hidden="1" customHeight="1" outlineLevel="1" thickBot="1">
      <c r="A569" s="2">
        <f>+Get_Data!A568</f>
        <v>40268</v>
      </c>
      <c r="B569">
        <f>+ROUND(Get_Data!B568,5)</f>
        <v>48.177909999999997</v>
      </c>
      <c r="C569">
        <f>+ROUND(Get_Data!C568,5)</f>
        <v>18.58859</v>
      </c>
      <c r="D569" s="4">
        <f t="shared" si="8"/>
        <v>2.5918001311557251</v>
      </c>
    </row>
    <row r="570" spans="1:4" ht="17" hidden="1" customHeight="1" outlineLevel="1" thickBot="1">
      <c r="A570" s="2">
        <f>+Get_Data!A569</f>
        <v>40269</v>
      </c>
      <c r="B570">
        <f>+ROUND(Get_Data!B569,5)</f>
        <v>48.556579999999997</v>
      </c>
      <c r="C570">
        <f>+ROUND(Get_Data!C569,5)</f>
        <v>18.689979999999998</v>
      </c>
      <c r="D570" s="4">
        <f t="shared" si="8"/>
        <v>2.5980006399150777</v>
      </c>
    </row>
    <row r="571" spans="1:4" ht="17" hidden="1" customHeight="1" outlineLevel="1" thickBot="1">
      <c r="A571" s="2">
        <f>+Get_Data!A570</f>
        <v>40273</v>
      </c>
      <c r="B571">
        <f>+ROUND(Get_Data!B570,5)</f>
        <v>48.04683</v>
      </c>
      <c r="C571">
        <f>+ROUND(Get_Data!C570,5)</f>
        <v>18.54128</v>
      </c>
      <c r="D571" s="4">
        <f t="shared" si="8"/>
        <v>2.5913437475729832</v>
      </c>
    </row>
    <row r="572" spans="1:4" ht="17" hidden="1" customHeight="1" outlineLevel="1" thickBot="1">
      <c r="A572" s="2">
        <f>+Get_Data!A571</f>
        <v>40274</v>
      </c>
      <c r="B572">
        <f>+ROUND(Get_Data!B571,5)</f>
        <v>48.345390000000002</v>
      </c>
      <c r="C572">
        <f>+ROUND(Get_Data!C571,5)</f>
        <v>18.34863</v>
      </c>
      <c r="D572" s="4">
        <f t="shared" si="8"/>
        <v>2.6348228723343379</v>
      </c>
    </row>
    <row r="573" spans="1:4" ht="17" hidden="1" customHeight="1" outlineLevel="1" thickBot="1">
      <c r="A573" s="2">
        <f>+Get_Data!A572</f>
        <v>40275</v>
      </c>
      <c r="B573">
        <f>+ROUND(Get_Data!B572,5)</f>
        <v>48.054099999999998</v>
      </c>
      <c r="C573">
        <f>+ROUND(Get_Data!C572,5)</f>
        <v>18.189779999999999</v>
      </c>
      <c r="D573" s="4">
        <f t="shared" si="8"/>
        <v>2.6418186476142096</v>
      </c>
    </row>
    <row r="574" spans="1:4" ht="17" hidden="1" customHeight="1" outlineLevel="1" thickBot="1">
      <c r="A574" s="2">
        <f>+Get_Data!A573</f>
        <v>40276</v>
      </c>
      <c r="B574">
        <f>+ROUND(Get_Data!B573,5)</f>
        <v>48.039540000000002</v>
      </c>
      <c r="C574">
        <f>+ROUND(Get_Data!C573,5)</f>
        <v>18.169499999999999</v>
      </c>
      <c r="D574" s="4">
        <f t="shared" si="8"/>
        <v>2.6439659869561631</v>
      </c>
    </row>
    <row r="575" spans="1:4" ht="17" hidden="1" customHeight="1" outlineLevel="1" thickBot="1">
      <c r="A575" s="2">
        <f>+Get_Data!A574</f>
        <v>40277</v>
      </c>
      <c r="B575">
        <f>+ROUND(Get_Data!B574,5)</f>
        <v>48.323540000000001</v>
      </c>
      <c r="C575">
        <f>+ROUND(Get_Data!C574,5)</f>
        <v>18.450030000000002</v>
      </c>
      <c r="D575" s="4">
        <f t="shared" si="8"/>
        <v>2.6191578008274239</v>
      </c>
    </row>
    <row r="576" spans="1:4" ht="17" hidden="1" customHeight="1" outlineLevel="1" thickBot="1">
      <c r="A576" s="2">
        <f>+Get_Data!A575</f>
        <v>40280</v>
      </c>
      <c r="B576">
        <f>+ROUND(Get_Data!B575,5)</f>
        <v>48.294409999999999</v>
      </c>
      <c r="C576">
        <f>+ROUND(Get_Data!C575,5)</f>
        <v>18.507470000000001</v>
      </c>
      <c r="D576" s="4">
        <f t="shared" si="8"/>
        <v>2.609454993037946</v>
      </c>
    </row>
    <row r="577" spans="1:4" ht="17" hidden="1" customHeight="1" outlineLevel="1" thickBot="1">
      <c r="A577" s="2">
        <f>+Get_Data!A576</f>
        <v>40281</v>
      </c>
      <c r="B577">
        <f>+ROUND(Get_Data!B576,5)</f>
        <v>48.345390000000002</v>
      </c>
      <c r="C577">
        <f>+ROUND(Get_Data!C576,5)</f>
        <v>18.59535</v>
      </c>
      <c r="D577" s="4">
        <f t="shared" si="8"/>
        <v>2.5998644822495947</v>
      </c>
    </row>
    <row r="578" spans="1:4" ht="17" hidden="1" customHeight="1" outlineLevel="1" thickBot="1">
      <c r="A578" s="2">
        <f>+Get_Data!A577</f>
        <v>40282</v>
      </c>
      <c r="B578">
        <f>+ROUND(Get_Data!B577,5)</f>
        <v>48.272570000000002</v>
      </c>
      <c r="C578">
        <f>+ROUND(Get_Data!C577,5)</f>
        <v>18.57169</v>
      </c>
      <c r="D578" s="4">
        <f t="shared" si="8"/>
        <v>2.5992556412475118</v>
      </c>
    </row>
    <row r="579" spans="1:4" ht="17" hidden="1" customHeight="1" outlineLevel="1" thickBot="1">
      <c r="A579" s="2">
        <f>+Get_Data!A578</f>
        <v>40283</v>
      </c>
      <c r="B579">
        <f>+ROUND(Get_Data!B578,5)</f>
        <v>48.258000000000003</v>
      </c>
      <c r="C579">
        <f>+ROUND(Get_Data!C578,5)</f>
        <v>18.33849</v>
      </c>
      <c r="D579" s="4">
        <f t="shared" si="8"/>
        <v>2.6315143722302108</v>
      </c>
    </row>
    <row r="580" spans="1:4" ht="17" hidden="1" customHeight="1" outlineLevel="1" thickBot="1">
      <c r="A580" s="2">
        <f>+Get_Data!A579</f>
        <v>40284</v>
      </c>
      <c r="B580">
        <f>+ROUND(Get_Data!B579,5)</f>
        <v>48.163339999999998</v>
      </c>
      <c r="C580">
        <f>+ROUND(Get_Data!C579,5)</f>
        <v>18.57845</v>
      </c>
      <c r="D580" s="4">
        <f t="shared" ref="D580:D643" si="9">IFERROR(B580/C580,"")</f>
        <v>2.592430477246487</v>
      </c>
    </row>
    <row r="581" spans="1:4" ht="17" hidden="1" customHeight="1" outlineLevel="1" thickBot="1">
      <c r="A581" s="2">
        <f>+Get_Data!A580</f>
        <v>40287</v>
      </c>
      <c r="B581">
        <f>+ROUND(Get_Data!B580,5)</f>
        <v>48.148769999999999</v>
      </c>
      <c r="C581">
        <f>+ROUND(Get_Data!C580,5)</f>
        <v>18.696750000000002</v>
      </c>
      <c r="D581" s="4">
        <f t="shared" si="9"/>
        <v>2.5752481046171125</v>
      </c>
    </row>
    <row r="582" spans="1:4" ht="17" hidden="1" customHeight="1" outlineLevel="1" thickBot="1">
      <c r="A582" s="2">
        <f>+Get_Data!A581</f>
        <v>40288</v>
      </c>
      <c r="B582">
        <f>+ROUND(Get_Data!B581,5)</f>
        <v>47.988570000000003</v>
      </c>
      <c r="C582">
        <f>+ROUND(Get_Data!C581,5)</f>
        <v>18.409459999999999</v>
      </c>
      <c r="D582" s="4">
        <f t="shared" si="9"/>
        <v>2.606734255105799</v>
      </c>
    </row>
    <row r="583" spans="1:4" ht="17" hidden="1" customHeight="1" outlineLevel="1" thickBot="1">
      <c r="A583" s="2">
        <f>+Get_Data!A582</f>
        <v>40289</v>
      </c>
      <c r="B583">
        <f>+ROUND(Get_Data!B582,5)</f>
        <v>48.04683</v>
      </c>
      <c r="C583">
        <f>+ROUND(Get_Data!C582,5)</f>
        <v>18.314830000000001</v>
      </c>
      <c r="D583" s="4">
        <f t="shared" si="9"/>
        <v>2.6233838916331735</v>
      </c>
    </row>
    <row r="584" spans="1:4" ht="17" hidden="1" customHeight="1" outlineLevel="1" thickBot="1">
      <c r="A584" s="2">
        <f>+Get_Data!A583</f>
        <v>40290</v>
      </c>
      <c r="B584">
        <f>+ROUND(Get_Data!B583,5)</f>
        <v>47.15842</v>
      </c>
      <c r="C584">
        <f>+ROUND(Get_Data!C583,5)</f>
        <v>18.35539</v>
      </c>
      <c r="D584" s="4">
        <f t="shared" si="9"/>
        <v>2.5691864896360141</v>
      </c>
    </row>
    <row r="585" spans="1:4" ht="17" hidden="1" customHeight="1" outlineLevel="1" thickBot="1">
      <c r="A585" s="2">
        <f>+Get_Data!A584</f>
        <v>40291</v>
      </c>
      <c r="B585">
        <f>+ROUND(Get_Data!B584,5)</f>
        <v>47.122</v>
      </c>
      <c r="C585">
        <f>+ROUND(Get_Data!C584,5)</f>
        <v>18.210059999999999</v>
      </c>
      <c r="D585" s="4">
        <f t="shared" si="9"/>
        <v>2.5876905402837775</v>
      </c>
    </row>
    <row r="586" spans="1:4" ht="17" hidden="1" customHeight="1" outlineLevel="1" thickBot="1">
      <c r="A586" s="2">
        <f>+Get_Data!A585</f>
        <v>40294</v>
      </c>
      <c r="B586">
        <f>+ROUND(Get_Data!B585,5)</f>
        <v>47.347769999999997</v>
      </c>
      <c r="C586">
        <f>+ROUND(Get_Data!C585,5)</f>
        <v>18.159369999999999</v>
      </c>
      <c r="D586" s="4">
        <f t="shared" si="9"/>
        <v>2.6073465103690272</v>
      </c>
    </row>
    <row r="587" spans="1:4" ht="17" hidden="1" customHeight="1" outlineLevel="1" thickBot="1">
      <c r="A587" s="2">
        <f>+Get_Data!A586</f>
        <v>40295</v>
      </c>
      <c r="B587">
        <f>+ROUND(Get_Data!B586,5)</f>
        <v>46.772480000000002</v>
      </c>
      <c r="C587">
        <f>+ROUND(Get_Data!C586,5)</f>
        <v>17.86871</v>
      </c>
      <c r="D587" s="4">
        <f t="shared" si="9"/>
        <v>2.6175633271791865</v>
      </c>
    </row>
    <row r="588" spans="1:4" ht="17" hidden="1" customHeight="1" outlineLevel="1" thickBot="1">
      <c r="A588" s="2">
        <f>+Get_Data!A587</f>
        <v>40296</v>
      </c>
      <c r="B588">
        <f>+ROUND(Get_Data!B587,5)</f>
        <v>47.151130000000002</v>
      </c>
      <c r="C588">
        <f>+ROUND(Get_Data!C587,5)</f>
        <v>18.034310000000001</v>
      </c>
      <c r="D588" s="4">
        <f t="shared" si="9"/>
        <v>2.6145236496433739</v>
      </c>
    </row>
    <row r="589" spans="1:4" ht="17" hidden="1" customHeight="1" outlineLevel="1" thickBot="1">
      <c r="A589" s="2">
        <f>+Get_Data!A588</f>
        <v>40297</v>
      </c>
      <c r="B589">
        <f>+ROUND(Get_Data!B588,5)</f>
        <v>47.478830000000002</v>
      </c>
      <c r="C589">
        <f>+ROUND(Get_Data!C588,5)</f>
        <v>18.162739999999999</v>
      </c>
      <c r="D589" s="4">
        <f t="shared" si="9"/>
        <v>2.61407860267779</v>
      </c>
    </row>
    <row r="590" spans="1:4" ht="17" hidden="1" customHeight="1" outlineLevel="1" thickBot="1">
      <c r="A590" s="2">
        <f>+Get_Data!A589</f>
        <v>40298</v>
      </c>
      <c r="B590">
        <f>+ROUND(Get_Data!B589,5)</f>
        <v>47.493400000000001</v>
      </c>
      <c r="C590">
        <f>+ROUND(Get_Data!C589,5)</f>
        <v>18.064730000000001</v>
      </c>
      <c r="D590" s="4">
        <f t="shared" si="9"/>
        <v>2.629067802286555</v>
      </c>
    </row>
    <row r="591" spans="1:4" ht="17" hidden="1" customHeight="1" outlineLevel="1" thickBot="1">
      <c r="A591" s="2">
        <f>+Get_Data!A590</f>
        <v>40301</v>
      </c>
      <c r="B591">
        <f>+ROUND(Get_Data!B590,5)</f>
        <v>47.835650000000001</v>
      </c>
      <c r="C591">
        <f>+ROUND(Get_Data!C590,5)</f>
        <v>18.169499999999999</v>
      </c>
      <c r="D591" s="4">
        <f t="shared" si="9"/>
        <v>2.632744434354275</v>
      </c>
    </row>
    <row r="592" spans="1:4" ht="17" hidden="1" customHeight="1" outlineLevel="1" thickBot="1">
      <c r="A592" s="2">
        <f>+Get_Data!A591</f>
        <v>40302</v>
      </c>
      <c r="B592">
        <f>+ROUND(Get_Data!B591,5)</f>
        <v>47.646320000000003</v>
      </c>
      <c r="C592">
        <f>+ROUND(Get_Data!C591,5)</f>
        <v>17.973469999999999</v>
      </c>
      <c r="D592" s="4">
        <f t="shared" si="9"/>
        <v>2.6509249466018527</v>
      </c>
    </row>
    <row r="593" spans="1:4" ht="17" hidden="1" customHeight="1" outlineLevel="1" thickBot="1">
      <c r="A593" s="2">
        <f>+Get_Data!A592</f>
        <v>40303</v>
      </c>
      <c r="B593">
        <f>+ROUND(Get_Data!B592,5)</f>
        <v>47.478830000000002</v>
      </c>
      <c r="C593">
        <f>+ROUND(Get_Data!C592,5)</f>
        <v>18.1357</v>
      </c>
      <c r="D593" s="4">
        <f t="shared" si="9"/>
        <v>2.617976146495586</v>
      </c>
    </row>
    <row r="594" spans="1:4" ht="17" hidden="1" customHeight="1" outlineLevel="1" thickBot="1">
      <c r="A594" s="2">
        <f>+Get_Data!A593</f>
        <v>40304</v>
      </c>
      <c r="B594">
        <f>+ROUND(Get_Data!B593,5)</f>
        <v>47.114719999999998</v>
      </c>
      <c r="C594">
        <f>+ROUND(Get_Data!C593,5)</f>
        <v>17.67606</v>
      </c>
      <c r="D594" s="4">
        <f t="shared" si="9"/>
        <v>2.6654537266789093</v>
      </c>
    </row>
    <row r="595" spans="1:4" ht="17" hidden="1" customHeight="1" outlineLevel="1" thickBot="1">
      <c r="A595" s="2">
        <f>+Get_Data!A594</f>
        <v>40305</v>
      </c>
      <c r="B595">
        <f>+ROUND(Get_Data!B594,5)</f>
        <v>47.020060000000001</v>
      </c>
      <c r="C595">
        <f>+ROUND(Get_Data!C594,5)</f>
        <v>17.801110000000001</v>
      </c>
      <c r="D595" s="4">
        <f t="shared" si="9"/>
        <v>2.6414116872487163</v>
      </c>
    </row>
    <row r="596" spans="1:4" ht="17" hidden="1" customHeight="1" outlineLevel="1" thickBot="1">
      <c r="A596" s="2">
        <f>+Get_Data!A595</f>
        <v>40308</v>
      </c>
      <c r="B596">
        <f>+ROUND(Get_Data!B595,5)</f>
        <v>48.359949999999998</v>
      </c>
      <c r="C596">
        <f>+ROUND(Get_Data!C595,5)</f>
        <v>18.264130000000002</v>
      </c>
      <c r="D596" s="4">
        <f t="shared" si="9"/>
        <v>2.6478102159807224</v>
      </c>
    </row>
    <row r="597" spans="1:4" ht="17" hidden="1" customHeight="1" outlineLevel="1" thickBot="1">
      <c r="A597" s="2">
        <f>+Get_Data!A596</f>
        <v>40309</v>
      </c>
      <c r="B597">
        <f>+ROUND(Get_Data!B596,5)</f>
        <v>48.461910000000003</v>
      </c>
      <c r="C597">
        <f>+ROUND(Get_Data!C596,5)</f>
        <v>18.11881</v>
      </c>
      <c r="D597" s="4">
        <f t="shared" si="9"/>
        <v>2.6746739990098689</v>
      </c>
    </row>
    <row r="598" spans="1:4" ht="17" hidden="1" customHeight="1" outlineLevel="1" thickBot="1">
      <c r="A598" s="2">
        <f>+Get_Data!A597</f>
        <v>40310</v>
      </c>
      <c r="B598">
        <f>+ROUND(Get_Data!B597,5)</f>
        <v>48.74588</v>
      </c>
      <c r="C598">
        <f>+ROUND(Get_Data!C597,5)</f>
        <v>18.257380000000001</v>
      </c>
      <c r="D598" s="4">
        <f t="shared" si="9"/>
        <v>2.669927448516709</v>
      </c>
    </row>
    <row r="599" spans="1:4" ht="17" hidden="1" customHeight="1" outlineLevel="1" thickBot="1">
      <c r="A599" s="2">
        <f>+Get_Data!A598</f>
        <v>40311</v>
      </c>
      <c r="B599">
        <f>+ROUND(Get_Data!B598,5)</f>
        <v>48.41093</v>
      </c>
      <c r="C599">
        <f>+ROUND(Get_Data!C598,5)</f>
        <v>18.078250000000001</v>
      </c>
      <c r="D599" s="4">
        <f t="shared" si="9"/>
        <v>2.6778548808651279</v>
      </c>
    </row>
    <row r="600" spans="1:4" ht="17" hidden="1" customHeight="1" outlineLevel="1" thickBot="1">
      <c r="A600" s="2">
        <f>+Get_Data!A599</f>
        <v>40312</v>
      </c>
      <c r="B600">
        <f>+ROUND(Get_Data!B599,5)</f>
        <v>48.112349999999999</v>
      </c>
      <c r="C600">
        <f>+ROUND(Get_Data!C599,5)</f>
        <v>18.027550000000002</v>
      </c>
      <c r="D600" s="4">
        <f t="shared" si="9"/>
        <v>2.6688235506211324</v>
      </c>
    </row>
    <row r="601" spans="1:4" ht="17" hidden="1" customHeight="1" outlineLevel="1" thickBot="1">
      <c r="A601" s="2">
        <f>+Get_Data!A600</f>
        <v>40315</v>
      </c>
      <c r="B601">
        <f>+ROUND(Get_Data!B600,5)</f>
        <v>48.60754</v>
      </c>
      <c r="C601">
        <f>+ROUND(Get_Data!C600,5)</f>
        <v>18.051210000000001</v>
      </c>
      <c r="D601" s="4">
        <f t="shared" si="9"/>
        <v>2.6927579924005092</v>
      </c>
    </row>
    <row r="602" spans="1:4" ht="17" hidden="1" customHeight="1" outlineLevel="1" thickBot="1">
      <c r="A602" s="2">
        <f>+Get_Data!A601</f>
        <v>40316</v>
      </c>
      <c r="B602">
        <f>+ROUND(Get_Data!B601,5)</f>
        <v>48.447330000000001</v>
      </c>
      <c r="C602">
        <f>+ROUND(Get_Data!C601,5)</f>
        <v>17.946439999999999</v>
      </c>
      <c r="D602" s="4">
        <f t="shared" si="9"/>
        <v>2.6995509973008578</v>
      </c>
    </row>
    <row r="603" spans="1:4" ht="17" hidden="1" customHeight="1" outlineLevel="1" thickBot="1">
      <c r="A603" s="2">
        <f>+Get_Data!A602</f>
        <v>40317</v>
      </c>
      <c r="B603">
        <f>+ROUND(Get_Data!B602,5)</f>
        <v>48.090490000000003</v>
      </c>
      <c r="C603">
        <f>+ROUND(Get_Data!C602,5)</f>
        <v>17.953199999999999</v>
      </c>
      <c r="D603" s="4">
        <f t="shared" si="9"/>
        <v>2.6786584007307894</v>
      </c>
    </row>
    <row r="604" spans="1:4" ht="17" hidden="1" customHeight="1" outlineLevel="1" thickBot="1">
      <c r="A604" s="2">
        <f>+Get_Data!A603</f>
        <v>40318</v>
      </c>
      <c r="B604">
        <f>+ROUND(Get_Data!B603,5)</f>
        <v>46.503019999999999</v>
      </c>
      <c r="C604">
        <f>+ROUND(Get_Data!C603,5)</f>
        <v>17.4192</v>
      </c>
      <c r="D604" s="4">
        <f t="shared" si="9"/>
        <v>2.6696415449618809</v>
      </c>
    </row>
    <row r="605" spans="1:4" ht="17" hidden="1" customHeight="1" outlineLevel="1" thickBot="1">
      <c r="A605" s="2">
        <f>+Get_Data!A604</f>
        <v>40319</v>
      </c>
      <c r="B605">
        <f>+ROUND(Get_Data!B604,5)</f>
        <v>46.299140000000001</v>
      </c>
      <c r="C605">
        <f>+ROUND(Get_Data!C604,5)</f>
        <v>17.4361</v>
      </c>
      <c r="D605" s="4">
        <f t="shared" si="9"/>
        <v>2.6553610038942197</v>
      </c>
    </row>
    <row r="606" spans="1:4" ht="17" hidden="1" customHeight="1" outlineLevel="1" thickBot="1">
      <c r="A606" s="2">
        <f>+Get_Data!A605</f>
        <v>40322</v>
      </c>
      <c r="B606">
        <f>+ROUND(Get_Data!B605,5)</f>
        <v>46.109819999999999</v>
      </c>
      <c r="C606">
        <f>+ROUND(Get_Data!C605,5)</f>
        <v>17.392160000000001</v>
      </c>
      <c r="D606" s="4">
        <f t="shared" si="9"/>
        <v>2.6511842117367825</v>
      </c>
    </row>
    <row r="607" spans="1:4" ht="17" hidden="1" customHeight="1" outlineLevel="1" thickBot="1">
      <c r="A607" s="2">
        <f>+Get_Data!A606</f>
        <v>40323</v>
      </c>
      <c r="B607">
        <f>+ROUND(Get_Data!B606,5)</f>
        <v>45.796669999999999</v>
      </c>
      <c r="C607">
        <f>+ROUND(Get_Data!C606,5)</f>
        <v>17.108260000000001</v>
      </c>
      <c r="D607" s="4">
        <f t="shared" si="9"/>
        <v>2.6768747961510986</v>
      </c>
    </row>
    <row r="608" spans="1:4" ht="17" hidden="1" customHeight="1" outlineLevel="1" thickBot="1">
      <c r="A608" s="2">
        <f>+Get_Data!A607</f>
        <v>40324</v>
      </c>
      <c r="B608">
        <f>+ROUND(Get_Data!B607,5)</f>
        <v>44.587850000000003</v>
      </c>
      <c r="C608">
        <f>+ROUND(Get_Data!C607,5)</f>
        <v>16.92576</v>
      </c>
      <c r="D608" s="4">
        <f t="shared" si="9"/>
        <v>2.6343189316166602</v>
      </c>
    </row>
    <row r="609" spans="1:4" ht="17" hidden="1" customHeight="1" outlineLevel="1" thickBot="1">
      <c r="A609" s="2">
        <f>+Get_Data!A608</f>
        <v>40325</v>
      </c>
      <c r="B609">
        <f>+ROUND(Get_Data!B608,5)</f>
        <v>45.803959999999996</v>
      </c>
      <c r="C609">
        <f>+ROUND(Get_Data!C608,5)</f>
        <v>17.314430000000002</v>
      </c>
      <c r="D609" s="4">
        <f t="shared" si="9"/>
        <v>2.6454211891468558</v>
      </c>
    </row>
    <row r="610" spans="1:4" ht="17" hidden="1" customHeight="1" outlineLevel="1" thickBot="1">
      <c r="A610" s="2">
        <f>+Get_Data!A609</f>
        <v>40326</v>
      </c>
      <c r="B610">
        <f>+ROUND(Get_Data!B609,5)</f>
        <v>45.796669999999999</v>
      </c>
      <c r="C610">
        <f>+ROUND(Get_Data!C609,5)</f>
        <v>17.371880000000001</v>
      </c>
      <c r="D610" s="4">
        <f t="shared" si="9"/>
        <v>2.6362529559264742</v>
      </c>
    </row>
    <row r="611" spans="1:4" ht="17" hidden="1" customHeight="1" outlineLevel="1" thickBot="1">
      <c r="A611" s="2">
        <f>+Get_Data!A610</f>
        <v>40330</v>
      </c>
      <c r="B611">
        <f>+ROUND(Get_Data!B610,5)</f>
        <v>45.701999999999998</v>
      </c>
      <c r="C611">
        <f>+ROUND(Get_Data!C610,5)</f>
        <v>17.334700000000002</v>
      </c>
      <c r="D611" s="4">
        <f t="shared" si="9"/>
        <v>2.6364459725290885</v>
      </c>
    </row>
    <row r="612" spans="1:4" ht="17" hidden="1" customHeight="1" outlineLevel="1" thickBot="1">
      <c r="A612" s="2">
        <f>+Get_Data!A611</f>
        <v>40331</v>
      </c>
      <c r="B612">
        <f>+ROUND(Get_Data!B611,5)</f>
        <v>46.567920000000001</v>
      </c>
      <c r="C612">
        <f>+ROUND(Get_Data!C611,5)</f>
        <v>17.713229999999999</v>
      </c>
      <c r="D612" s="4">
        <f t="shared" si="9"/>
        <v>2.6289908729237976</v>
      </c>
    </row>
    <row r="613" spans="1:4" ht="17" hidden="1" customHeight="1" outlineLevel="1" thickBot="1">
      <c r="A613" s="2">
        <f>+Get_Data!A612</f>
        <v>40332</v>
      </c>
      <c r="B613">
        <f>+ROUND(Get_Data!B612,5)</f>
        <v>46.501869999999997</v>
      </c>
      <c r="C613">
        <f>+ROUND(Get_Data!C612,5)</f>
        <v>17.828150000000001</v>
      </c>
      <c r="D613" s="4">
        <f t="shared" si="9"/>
        <v>2.6083396202073685</v>
      </c>
    </row>
    <row r="614" spans="1:4" ht="17" hidden="1" customHeight="1" outlineLevel="1" thickBot="1">
      <c r="A614" s="2">
        <f>+Get_Data!A613</f>
        <v>40333</v>
      </c>
      <c r="B614">
        <f>+ROUND(Get_Data!B613,5)</f>
        <v>45.085599999999999</v>
      </c>
      <c r="C614">
        <f>+ROUND(Get_Data!C613,5)</f>
        <v>17.327950000000001</v>
      </c>
      <c r="D614" s="4">
        <f t="shared" si="9"/>
        <v>2.6019003979120434</v>
      </c>
    </row>
    <row r="615" spans="1:4" ht="17" hidden="1" customHeight="1" outlineLevel="1" thickBot="1">
      <c r="A615" s="2">
        <f>+Get_Data!A614</f>
        <v>40336</v>
      </c>
      <c r="B615">
        <f>+ROUND(Get_Data!B614,5)</f>
        <v>45.298400000000001</v>
      </c>
      <c r="C615">
        <f>+ROUND(Get_Data!C614,5)</f>
        <v>17.1691</v>
      </c>
      <c r="D615" s="4">
        <f t="shared" si="9"/>
        <v>2.6383677653458832</v>
      </c>
    </row>
    <row r="616" spans="1:4" ht="17" hidden="1" customHeight="1" outlineLevel="1" thickBot="1">
      <c r="A616" s="2">
        <f>+Get_Data!A615</f>
        <v>40337</v>
      </c>
      <c r="B616">
        <f>+ROUND(Get_Data!B615,5)</f>
        <v>45.973529999999997</v>
      </c>
      <c r="C616">
        <f>+ROUND(Get_Data!C615,5)</f>
        <v>17.42596</v>
      </c>
      <c r="D616" s="4">
        <f t="shared" si="9"/>
        <v>2.6382207924269307</v>
      </c>
    </row>
    <row r="617" spans="1:4" ht="17" hidden="1" customHeight="1" outlineLevel="1" thickBot="1">
      <c r="A617" s="2">
        <f>+Get_Data!A616</f>
        <v>40338</v>
      </c>
      <c r="B617">
        <f>+ROUND(Get_Data!B616,5)</f>
        <v>45.856119999999997</v>
      </c>
      <c r="C617">
        <f>+ROUND(Get_Data!C616,5)</f>
        <v>17.354980000000001</v>
      </c>
      <c r="D617" s="4">
        <f t="shared" si="9"/>
        <v>2.6422456263274285</v>
      </c>
    </row>
    <row r="618" spans="1:4" ht="17" hidden="1" customHeight="1" outlineLevel="1" thickBot="1">
      <c r="A618" s="2">
        <f>+Get_Data!A617</f>
        <v>40339</v>
      </c>
      <c r="B618">
        <f>+ROUND(Get_Data!B617,5)</f>
        <v>46.846739999999997</v>
      </c>
      <c r="C618">
        <f>+ROUND(Get_Data!C617,5)</f>
        <v>17.726759999999999</v>
      </c>
      <c r="D618" s="4">
        <f t="shared" si="9"/>
        <v>2.6427130507774685</v>
      </c>
    </row>
    <row r="619" spans="1:4" ht="17" hidden="1" customHeight="1" outlineLevel="1" thickBot="1">
      <c r="A619" s="2">
        <f>+Get_Data!A618</f>
        <v>40340</v>
      </c>
      <c r="B619">
        <f>+ROUND(Get_Data!B618,5)</f>
        <v>46.641289999999998</v>
      </c>
      <c r="C619">
        <f>+ROUND(Get_Data!C618,5)</f>
        <v>17.754259999999999</v>
      </c>
      <c r="D619" s="4">
        <f t="shared" si="9"/>
        <v>2.627047818382743</v>
      </c>
    </row>
    <row r="620" spans="1:4" ht="17" hidden="1" customHeight="1" outlineLevel="1" thickBot="1">
      <c r="A620" s="2">
        <f>+Get_Data!A619</f>
        <v>40343</v>
      </c>
      <c r="B620">
        <f>+ROUND(Get_Data!B619,5)</f>
        <v>46.854109999999999</v>
      </c>
      <c r="C620">
        <f>+ROUND(Get_Data!C619,5)</f>
        <v>17.706130000000002</v>
      </c>
      <c r="D620" s="4">
        <f t="shared" si="9"/>
        <v>2.6462084035303026</v>
      </c>
    </row>
    <row r="621" spans="1:4" ht="17" hidden="1" customHeight="1" outlineLevel="1" thickBot="1">
      <c r="A621" s="2">
        <f>+Get_Data!A620</f>
        <v>40344</v>
      </c>
      <c r="B621">
        <f>+ROUND(Get_Data!B620,5)</f>
        <v>47.140279999999997</v>
      </c>
      <c r="C621">
        <f>+ROUND(Get_Data!C620,5)</f>
        <v>17.936430000000001</v>
      </c>
      <c r="D621" s="4">
        <f t="shared" si="9"/>
        <v>2.6281863224733124</v>
      </c>
    </row>
    <row r="622" spans="1:4" ht="17" hidden="1" customHeight="1" outlineLevel="1" thickBot="1">
      <c r="A622" s="2">
        <f>+Get_Data!A621</f>
        <v>40345</v>
      </c>
      <c r="B622">
        <f>+ROUND(Get_Data!B621,5)</f>
        <v>46.898130000000002</v>
      </c>
      <c r="C622">
        <f>+ROUND(Get_Data!C621,5)</f>
        <v>18.012060000000002</v>
      </c>
      <c r="D622" s="4">
        <f t="shared" si="9"/>
        <v>2.603707182854154</v>
      </c>
    </row>
    <row r="623" spans="1:4" ht="17" hidden="1" customHeight="1" outlineLevel="1" thickBot="1">
      <c r="A623" s="2">
        <f>+Get_Data!A622</f>
        <v>40346</v>
      </c>
      <c r="B623">
        <f>+ROUND(Get_Data!B622,5)</f>
        <v>47.323729999999998</v>
      </c>
      <c r="C623">
        <f>+ROUND(Get_Data!C622,5)</f>
        <v>17.99831</v>
      </c>
      <c r="D623" s="4">
        <f t="shared" si="9"/>
        <v>2.6293429772017483</v>
      </c>
    </row>
    <row r="624" spans="1:4" ht="17" hidden="1" customHeight="1" outlineLevel="1" thickBot="1">
      <c r="A624" s="2">
        <f>+Get_Data!A623</f>
        <v>40347</v>
      </c>
      <c r="B624">
        <f>+ROUND(Get_Data!B623,5)</f>
        <v>47.022880000000001</v>
      </c>
      <c r="C624">
        <f>+ROUND(Get_Data!C623,5)</f>
        <v>17.981120000000001</v>
      </c>
      <c r="D624" s="4">
        <f t="shared" si="9"/>
        <v>2.6151251979854426</v>
      </c>
    </row>
    <row r="625" spans="1:4" ht="17" hidden="1" customHeight="1" outlineLevel="1" thickBot="1">
      <c r="A625" s="2">
        <f>+Get_Data!A624</f>
        <v>40350</v>
      </c>
      <c r="B625">
        <f>+ROUND(Get_Data!B624,5)</f>
        <v>46.978850000000001</v>
      </c>
      <c r="C625">
        <f>+ROUND(Get_Data!C624,5)</f>
        <v>18.039560000000002</v>
      </c>
      <c r="D625" s="4">
        <f t="shared" si="9"/>
        <v>2.6042126304632705</v>
      </c>
    </row>
    <row r="626" spans="1:4" ht="17" hidden="1" customHeight="1" outlineLevel="1" thickBot="1">
      <c r="A626" s="2">
        <f>+Get_Data!A625</f>
        <v>40351</v>
      </c>
      <c r="B626">
        <f>+ROUND(Get_Data!B625,5)</f>
        <v>46.450490000000002</v>
      </c>
      <c r="C626">
        <f>+ROUND(Get_Data!C625,5)</f>
        <v>18.032679999999999</v>
      </c>
      <c r="D626" s="4">
        <f t="shared" si="9"/>
        <v>2.5759060771887485</v>
      </c>
    </row>
    <row r="627" spans="1:4" ht="17" hidden="1" customHeight="1" outlineLevel="1" thickBot="1">
      <c r="A627" s="2">
        <f>+Get_Data!A626</f>
        <v>40352</v>
      </c>
      <c r="B627">
        <f>+ROUND(Get_Data!B626,5)</f>
        <v>46.032229999999998</v>
      </c>
      <c r="C627">
        <f>+ROUND(Get_Data!C626,5)</f>
        <v>17.957070000000002</v>
      </c>
      <c r="D627" s="4">
        <f t="shared" si="9"/>
        <v>2.5634599631231594</v>
      </c>
    </row>
    <row r="628" spans="1:4" ht="17" hidden="1" customHeight="1" outlineLevel="1" thickBot="1">
      <c r="A628" s="2">
        <f>+Get_Data!A627</f>
        <v>40353</v>
      </c>
      <c r="B628">
        <f>+ROUND(Get_Data!B627,5)</f>
        <v>45.79007</v>
      </c>
      <c r="C628">
        <f>+ROUND(Get_Data!C627,5)</f>
        <v>17.805820000000001</v>
      </c>
      <c r="D628" s="4">
        <f t="shared" si="9"/>
        <v>2.5716350047344068</v>
      </c>
    </row>
    <row r="629" spans="1:4" ht="17" hidden="1" customHeight="1" outlineLevel="1" thickBot="1">
      <c r="A629" s="2">
        <f>+Get_Data!A628</f>
        <v>40354</v>
      </c>
      <c r="B629">
        <f>+ROUND(Get_Data!B628,5)</f>
        <v>44.59395</v>
      </c>
      <c r="C629">
        <f>+ROUND(Get_Data!C628,5)</f>
        <v>17.276450000000001</v>
      </c>
      <c r="D629" s="4">
        <f t="shared" si="9"/>
        <v>2.5811986837573691</v>
      </c>
    </row>
    <row r="630" spans="1:4" ht="17" hidden="1" customHeight="1" outlineLevel="1" thickBot="1">
      <c r="A630" s="2">
        <f>+Get_Data!A629</f>
        <v>40357</v>
      </c>
      <c r="B630">
        <f>+ROUND(Get_Data!B629,5)</f>
        <v>45.467179999999999</v>
      </c>
      <c r="C630">
        <f>+ROUND(Get_Data!C629,5)</f>
        <v>17.558330000000002</v>
      </c>
      <c r="D630" s="4">
        <f t="shared" si="9"/>
        <v>2.5894934199323054</v>
      </c>
    </row>
    <row r="631" spans="1:4" ht="17" hidden="1" customHeight="1" outlineLevel="1" thickBot="1">
      <c r="A631" s="2">
        <f>+Get_Data!A630</f>
        <v>40358</v>
      </c>
      <c r="B631">
        <f>+ROUND(Get_Data!B630,5)</f>
        <v>44.9315</v>
      </c>
      <c r="C631">
        <f>+ROUND(Get_Data!C630,5)</f>
        <v>17.300519999999999</v>
      </c>
      <c r="D631" s="4">
        <f t="shared" si="9"/>
        <v>2.5971184681154096</v>
      </c>
    </row>
    <row r="632" spans="1:4" ht="17" hidden="1" customHeight="1" outlineLevel="1" thickBot="1">
      <c r="A632" s="2">
        <f>+Get_Data!A631</f>
        <v>40359</v>
      </c>
      <c r="B632">
        <f>+ROUND(Get_Data!B631,5)</f>
        <v>44.726030000000002</v>
      </c>
      <c r="C632">
        <f>+ROUND(Get_Data!C631,5)</f>
        <v>17.22833</v>
      </c>
      <c r="D632" s="4">
        <f t="shared" si="9"/>
        <v>2.5960746050255596</v>
      </c>
    </row>
    <row r="633" spans="1:4" ht="17" hidden="1" customHeight="1" outlineLevel="1" thickBot="1">
      <c r="A633" s="2">
        <f>+Get_Data!A632</f>
        <v>40360</v>
      </c>
      <c r="B633">
        <f>+ROUND(Get_Data!B632,5)</f>
        <v>45.144309999999997</v>
      </c>
      <c r="C633">
        <f>+ROUND(Get_Data!C632,5)</f>
        <v>17.197399999999998</v>
      </c>
      <c r="D633" s="4">
        <f t="shared" si="9"/>
        <v>2.6250659983485876</v>
      </c>
    </row>
    <row r="634" spans="1:4" ht="17" hidden="1" customHeight="1" outlineLevel="1" thickBot="1">
      <c r="A634" s="2">
        <f>+Get_Data!A633</f>
        <v>40361</v>
      </c>
      <c r="B634">
        <f>+ROUND(Get_Data!B633,5)</f>
        <v>45.151649999999997</v>
      </c>
      <c r="C634">
        <f>+ROUND(Get_Data!C633,5)</f>
        <v>17.204270000000001</v>
      </c>
      <c r="D634" s="4">
        <f t="shared" si="9"/>
        <v>2.6244443966526911</v>
      </c>
    </row>
    <row r="635" spans="1:4" ht="17" hidden="1" customHeight="1" outlineLevel="1" thickBot="1">
      <c r="A635" s="2">
        <f>+Get_Data!A634</f>
        <v>40365</v>
      </c>
      <c r="B635">
        <f>+ROUND(Get_Data!B634,5)</f>
        <v>45.232349999999997</v>
      </c>
      <c r="C635">
        <f>+ROUND(Get_Data!C634,5)</f>
        <v>17.334890000000001</v>
      </c>
      <c r="D635" s="4">
        <f t="shared" si="9"/>
        <v>2.6093243164508104</v>
      </c>
    </row>
    <row r="636" spans="1:4" ht="17" hidden="1" customHeight="1" outlineLevel="1" thickBot="1">
      <c r="A636" s="2">
        <f>+Get_Data!A635</f>
        <v>40366</v>
      </c>
      <c r="B636">
        <f>+ROUND(Get_Data!B635,5)</f>
        <v>46.179000000000002</v>
      </c>
      <c r="C636">
        <f>+ROUND(Get_Data!C635,5)</f>
        <v>17.69238</v>
      </c>
      <c r="D636" s="4">
        <f t="shared" si="9"/>
        <v>2.6101067239116502</v>
      </c>
    </row>
    <row r="637" spans="1:4" ht="17" hidden="1" customHeight="1" outlineLevel="1" thickBot="1">
      <c r="A637" s="2">
        <f>+Get_Data!A636</f>
        <v>40367</v>
      </c>
      <c r="B637">
        <f>+ROUND(Get_Data!B636,5)</f>
        <v>46.964170000000003</v>
      </c>
      <c r="C637">
        <f>+ROUND(Get_Data!C636,5)</f>
        <v>18.018940000000001</v>
      </c>
      <c r="D637" s="4">
        <f t="shared" si="9"/>
        <v>2.6063780666343304</v>
      </c>
    </row>
    <row r="638" spans="1:4" ht="17" hidden="1" customHeight="1" outlineLevel="1" thickBot="1">
      <c r="A638" s="2">
        <f>+Get_Data!A637</f>
        <v>40368</v>
      </c>
      <c r="B638">
        <f>+ROUND(Get_Data!B637,5)</f>
        <v>46.597279999999998</v>
      </c>
      <c r="C638">
        <f>+ROUND(Get_Data!C637,5)</f>
        <v>18.012060000000002</v>
      </c>
      <c r="D638" s="4">
        <f t="shared" si="9"/>
        <v>2.5870044847729794</v>
      </c>
    </row>
    <row r="639" spans="1:4" ht="17" hidden="1" customHeight="1" outlineLevel="1" thickBot="1">
      <c r="A639" s="2">
        <f>+Get_Data!A638</f>
        <v>40371</v>
      </c>
      <c r="B639">
        <f>+ROUND(Get_Data!B638,5)</f>
        <v>46.773380000000003</v>
      </c>
      <c r="C639">
        <f>+ROUND(Get_Data!C638,5)</f>
        <v>18.029250000000001</v>
      </c>
      <c r="D639" s="4">
        <f t="shared" si="9"/>
        <v>2.5943053648931595</v>
      </c>
    </row>
    <row r="640" spans="1:4" ht="17" hidden="1" customHeight="1" outlineLevel="1" thickBot="1">
      <c r="A640" s="2">
        <f>+Get_Data!A639</f>
        <v>40372</v>
      </c>
      <c r="B640">
        <f>+ROUND(Get_Data!B639,5)</f>
        <v>46.545909999999999</v>
      </c>
      <c r="C640">
        <f>+ROUND(Get_Data!C639,5)</f>
        <v>18.122060000000001</v>
      </c>
      <c r="D640" s="4">
        <f t="shared" si="9"/>
        <v>2.5684668299299305</v>
      </c>
    </row>
    <row r="641" spans="1:4" ht="17" hidden="1" customHeight="1" outlineLevel="1" thickBot="1">
      <c r="A641" s="2">
        <f>+Get_Data!A640</f>
        <v>40373</v>
      </c>
      <c r="B641">
        <f>+ROUND(Get_Data!B640,5)</f>
        <v>46.641289999999998</v>
      </c>
      <c r="C641">
        <f>+ROUND(Get_Data!C640,5)</f>
        <v>18.15643</v>
      </c>
      <c r="D641" s="4">
        <f t="shared" si="9"/>
        <v>2.5688579748331581</v>
      </c>
    </row>
    <row r="642" spans="1:4" ht="17" hidden="1" customHeight="1" outlineLevel="1" thickBot="1">
      <c r="A642" s="2">
        <f>+Get_Data!A641</f>
        <v>40374</v>
      </c>
      <c r="B642">
        <f>+ROUND(Get_Data!B641,5)</f>
        <v>46.347760000000001</v>
      </c>
      <c r="C642">
        <f>+ROUND(Get_Data!C641,5)</f>
        <v>18.16675</v>
      </c>
      <c r="D642" s="4">
        <f t="shared" si="9"/>
        <v>2.5512411410956832</v>
      </c>
    </row>
    <row r="643" spans="1:4" ht="17" hidden="1" customHeight="1" outlineLevel="1" thickBot="1">
      <c r="A643" s="2">
        <f>+Get_Data!A642</f>
        <v>40375</v>
      </c>
      <c r="B643">
        <f>+ROUND(Get_Data!B642,5)</f>
        <v>45.82676</v>
      </c>
      <c r="C643">
        <f>+ROUND(Get_Data!C642,5)</f>
        <v>18.001750000000001</v>
      </c>
      <c r="D643" s="4">
        <f t="shared" si="9"/>
        <v>2.5456836140930741</v>
      </c>
    </row>
    <row r="644" spans="1:4" ht="17" hidden="1" customHeight="1" outlineLevel="1" thickBot="1">
      <c r="A644" s="2">
        <f>+Get_Data!A643</f>
        <v>40378</v>
      </c>
      <c r="B644">
        <f>+ROUND(Get_Data!B643,5)</f>
        <v>45.533230000000003</v>
      </c>
      <c r="C644">
        <f>+ROUND(Get_Data!C643,5)</f>
        <v>17.967369999999999</v>
      </c>
      <c r="D644" s="4">
        <f t="shared" ref="D644:D707" si="10">IFERROR(B644/C644,"")</f>
        <v>2.5342178627144656</v>
      </c>
    </row>
    <row r="645" spans="1:4" ht="17" hidden="1" customHeight="1" outlineLevel="1" thickBot="1">
      <c r="A645" s="2">
        <f>+Get_Data!A644</f>
        <v>40379</v>
      </c>
      <c r="B645">
        <f>+ROUND(Get_Data!B644,5)</f>
        <v>47.499870000000001</v>
      </c>
      <c r="C645">
        <f>+ROUND(Get_Data!C644,5)</f>
        <v>18.300809999999998</v>
      </c>
      <c r="D645" s="4">
        <f t="shared" si="10"/>
        <v>2.595506428403989</v>
      </c>
    </row>
    <row r="646" spans="1:4" ht="17" hidden="1" customHeight="1" outlineLevel="1" thickBot="1">
      <c r="A646" s="2">
        <f>+Get_Data!A645</f>
        <v>40380</v>
      </c>
      <c r="B646">
        <f>+ROUND(Get_Data!B645,5)</f>
        <v>46.927489999999999</v>
      </c>
      <c r="C646">
        <f>+ROUND(Get_Data!C645,5)</f>
        <v>18.58954</v>
      </c>
      <c r="D646" s="4">
        <f t="shared" si="10"/>
        <v>2.5244029707028792</v>
      </c>
    </row>
    <row r="647" spans="1:4" ht="17" hidden="1" customHeight="1" outlineLevel="1" thickBot="1">
      <c r="A647" s="2">
        <f>+Get_Data!A646</f>
        <v>40381</v>
      </c>
      <c r="B647">
        <f>+ROUND(Get_Data!B646,5)</f>
        <v>47.118270000000003</v>
      </c>
      <c r="C647">
        <f>+ROUND(Get_Data!C646,5)</f>
        <v>18.651420000000002</v>
      </c>
      <c r="D647" s="4">
        <f t="shared" si="10"/>
        <v>2.5262564458899108</v>
      </c>
    </row>
    <row r="648" spans="1:4" ht="17" hidden="1" customHeight="1" outlineLevel="1" thickBot="1">
      <c r="A648" s="2">
        <f>+Get_Data!A647</f>
        <v>40382</v>
      </c>
      <c r="B648">
        <f>+ROUND(Get_Data!B647,5)</f>
        <v>47.294400000000003</v>
      </c>
      <c r="C648">
        <f>+ROUND(Get_Data!C647,5)</f>
        <v>18.819849999999999</v>
      </c>
      <c r="D648" s="4">
        <f t="shared" si="10"/>
        <v>2.5130062141834291</v>
      </c>
    </row>
    <row r="649" spans="1:4" ht="17" hidden="1" customHeight="1" outlineLevel="1" thickBot="1">
      <c r="A649" s="2">
        <f>+Get_Data!A648</f>
        <v>40385</v>
      </c>
      <c r="B649">
        <f>+ROUND(Get_Data!B648,5)</f>
        <v>47.683320000000002</v>
      </c>
      <c r="C649">
        <f>+ROUND(Get_Data!C648,5)</f>
        <v>18.885159999999999</v>
      </c>
      <c r="D649" s="4">
        <f t="shared" si="10"/>
        <v>2.5249095056647657</v>
      </c>
    </row>
    <row r="650" spans="1:4" ht="17" hidden="1" customHeight="1" outlineLevel="1" thickBot="1">
      <c r="A650" s="2">
        <f>+Get_Data!A649</f>
        <v>40386</v>
      </c>
      <c r="B650">
        <f>+ROUND(Get_Data!B649,5)</f>
        <v>48.204329999999999</v>
      </c>
      <c r="C650">
        <f>+ROUND(Get_Data!C649,5)</f>
        <v>18.922969999999999</v>
      </c>
      <c r="D650" s="4">
        <f t="shared" si="10"/>
        <v>2.5473976865153833</v>
      </c>
    </row>
    <row r="651" spans="1:4" ht="17" hidden="1" customHeight="1" outlineLevel="1" thickBot="1">
      <c r="A651" s="2">
        <f>+Get_Data!A650</f>
        <v>40387</v>
      </c>
      <c r="B651">
        <f>+ROUND(Get_Data!B650,5)</f>
        <v>47.844749999999998</v>
      </c>
      <c r="C651">
        <f>+ROUND(Get_Data!C650,5)</f>
        <v>18.864540000000002</v>
      </c>
      <c r="D651" s="4">
        <f t="shared" si="10"/>
        <v>2.5362266983451489</v>
      </c>
    </row>
    <row r="652" spans="1:4" ht="17" hidden="1" customHeight="1" outlineLevel="1" thickBot="1">
      <c r="A652" s="2">
        <f>+Get_Data!A651</f>
        <v>40388</v>
      </c>
      <c r="B652">
        <f>+ROUND(Get_Data!B651,5)</f>
        <v>47.617260000000002</v>
      </c>
      <c r="C652">
        <f>+ROUND(Get_Data!C651,5)</f>
        <v>18.902349999999998</v>
      </c>
      <c r="D652" s="4">
        <f t="shared" si="10"/>
        <v>2.5191185223001376</v>
      </c>
    </row>
    <row r="653" spans="1:4" ht="17" hidden="1" customHeight="1" outlineLevel="1" thickBot="1">
      <c r="A653" s="2">
        <f>+Get_Data!A652</f>
        <v>40389</v>
      </c>
      <c r="B653">
        <f>+ROUND(Get_Data!B652,5)</f>
        <v>47.63194</v>
      </c>
      <c r="C653">
        <f>+ROUND(Get_Data!C652,5)</f>
        <v>18.9436</v>
      </c>
      <c r="D653" s="4">
        <f t="shared" si="10"/>
        <v>2.5144080322641948</v>
      </c>
    </row>
    <row r="654" spans="1:4" ht="17" hidden="1" customHeight="1" outlineLevel="1" thickBot="1">
      <c r="A654" s="2">
        <f>+Get_Data!A653</f>
        <v>40392</v>
      </c>
      <c r="B654">
        <f>+ROUND(Get_Data!B653,5)</f>
        <v>47.89611</v>
      </c>
      <c r="C654">
        <f>+ROUND(Get_Data!C653,5)</f>
        <v>19.390470000000001</v>
      </c>
      <c r="D654" s="4">
        <f t="shared" si="10"/>
        <v>2.4700850469328488</v>
      </c>
    </row>
    <row r="655" spans="1:4" ht="17" hidden="1" customHeight="1" outlineLevel="1" thickBot="1">
      <c r="A655" s="2">
        <f>+Get_Data!A654</f>
        <v>40393</v>
      </c>
      <c r="B655">
        <f>+ROUND(Get_Data!B654,5)</f>
        <v>48.263019999999997</v>
      </c>
      <c r="C655">
        <f>+ROUND(Get_Data!C654,5)</f>
        <v>19.38016</v>
      </c>
      <c r="D655" s="4">
        <f t="shared" si="10"/>
        <v>2.4903313491735877</v>
      </c>
    </row>
    <row r="656" spans="1:4" ht="17" hidden="1" customHeight="1" outlineLevel="1" thickBot="1">
      <c r="A656" s="2">
        <f>+Get_Data!A655</f>
        <v>40394</v>
      </c>
      <c r="B656">
        <f>+ROUND(Get_Data!B655,5)</f>
        <v>48.556550000000001</v>
      </c>
      <c r="C656">
        <f>+ROUND(Get_Data!C655,5)</f>
        <v>19.438590000000001</v>
      </c>
      <c r="D656" s="4">
        <f t="shared" si="10"/>
        <v>2.4979460958845263</v>
      </c>
    </row>
    <row r="657" spans="1:4" ht="17" hidden="1" customHeight="1" outlineLevel="1" thickBot="1">
      <c r="A657" s="2">
        <f>+Get_Data!A656</f>
        <v>40395</v>
      </c>
      <c r="B657">
        <f>+ROUND(Get_Data!B656,5)</f>
        <v>48.123609999999999</v>
      </c>
      <c r="C657">
        <f>+ROUND(Get_Data!C656,5)</f>
        <v>19.376719999999999</v>
      </c>
      <c r="D657" s="4">
        <f t="shared" si="10"/>
        <v>2.4835787481059746</v>
      </c>
    </row>
    <row r="658" spans="1:4" ht="17" hidden="1" customHeight="1" outlineLevel="1" thickBot="1">
      <c r="A658" s="2">
        <f>+Get_Data!A657</f>
        <v>40396</v>
      </c>
      <c r="B658">
        <f>+ROUND(Get_Data!B657,5)</f>
        <v>48.358429999999998</v>
      </c>
      <c r="C658">
        <f>+ROUND(Get_Data!C657,5)</f>
        <v>19.507339999999999</v>
      </c>
      <c r="D658" s="4">
        <f t="shared" si="10"/>
        <v>2.4789863712838347</v>
      </c>
    </row>
    <row r="659" spans="1:4" ht="17" hidden="1" customHeight="1" outlineLevel="1" thickBot="1">
      <c r="A659" s="2">
        <f>+Get_Data!A658</f>
        <v>40399</v>
      </c>
      <c r="B659">
        <f>+ROUND(Get_Data!B658,5)</f>
        <v>48.740009999999998</v>
      </c>
      <c r="C659">
        <f>+ROUND(Get_Data!C658,5)</f>
        <v>19.63109</v>
      </c>
      <c r="D659" s="4">
        <f t="shared" si="10"/>
        <v>2.4827969307868285</v>
      </c>
    </row>
    <row r="660" spans="1:4" ht="17" hidden="1" customHeight="1" outlineLevel="1" thickBot="1">
      <c r="A660" s="2">
        <f>+Get_Data!A659</f>
        <v>40400</v>
      </c>
      <c r="B660">
        <f>+ROUND(Get_Data!B659,5)</f>
        <v>48.820720000000001</v>
      </c>
      <c r="C660">
        <f>+ROUND(Get_Data!C659,5)</f>
        <v>19.586400000000001</v>
      </c>
      <c r="D660" s="4">
        <f t="shared" si="10"/>
        <v>2.4925826083404812</v>
      </c>
    </row>
    <row r="661" spans="1:4" ht="17" hidden="1" customHeight="1" outlineLevel="1" thickBot="1">
      <c r="A661" s="2">
        <f>+Get_Data!A660</f>
        <v>40401</v>
      </c>
      <c r="B661">
        <f>+ROUND(Get_Data!B660,5)</f>
        <v>48.028210000000001</v>
      </c>
      <c r="C661">
        <f>+ROUND(Get_Data!C660,5)</f>
        <v>19.263280000000002</v>
      </c>
      <c r="D661" s="4">
        <f t="shared" si="10"/>
        <v>2.4932519280205656</v>
      </c>
    </row>
    <row r="662" spans="1:4" ht="17" hidden="1" customHeight="1" outlineLevel="1" thickBot="1">
      <c r="A662" s="2">
        <f>+Get_Data!A661</f>
        <v>40402</v>
      </c>
      <c r="B662">
        <f>+ROUND(Get_Data!B661,5)</f>
        <v>47.830060000000003</v>
      </c>
      <c r="C662">
        <f>+ROUND(Get_Data!C661,5)</f>
        <v>19.142969999999998</v>
      </c>
      <c r="D662" s="4">
        <f t="shared" si="10"/>
        <v>2.498570493502315</v>
      </c>
    </row>
    <row r="663" spans="1:4" ht="17" hidden="1" customHeight="1" outlineLevel="1" thickBot="1">
      <c r="A663" s="2">
        <f>+Get_Data!A662</f>
        <v>40403</v>
      </c>
      <c r="B663">
        <f>+ROUND(Get_Data!B662,5)</f>
        <v>48.108919999999998</v>
      </c>
      <c r="C663">
        <f>+ROUND(Get_Data!C662,5)</f>
        <v>19.15672</v>
      </c>
      <c r="D663" s="4">
        <f t="shared" si="10"/>
        <v>2.5113338817918724</v>
      </c>
    </row>
    <row r="664" spans="1:4" ht="17" hidden="1" customHeight="1" outlineLevel="1" thickBot="1">
      <c r="A664" s="2">
        <f>+Get_Data!A663</f>
        <v>40406</v>
      </c>
      <c r="B664">
        <f>+ROUND(Get_Data!B663,5)</f>
        <v>48.013530000000003</v>
      </c>
      <c r="C664">
        <f>+ROUND(Get_Data!C663,5)</f>
        <v>19.208279999999998</v>
      </c>
      <c r="D664" s="4">
        <f t="shared" si="10"/>
        <v>2.4996267234755014</v>
      </c>
    </row>
    <row r="665" spans="1:4" ht="17" hidden="1" customHeight="1" outlineLevel="1" thickBot="1">
      <c r="A665" s="2">
        <f>+Get_Data!A664</f>
        <v>40407</v>
      </c>
      <c r="B665">
        <f>+ROUND(Get_Data!B664,5)</f>
        <v>48.101590000000002</v>
      </c>
      <c r="C665">
        <f>+ROUND(Get_Data!C664,5)</f>
        <v>19.290780000000002</v>
      </c>
      <c r="D665" s="4">
        <f t="shared" si="10"/>
        <v>2.4935015587757468</v>
      </c>
    </row>
    <row r="666" spans="1:4" ht="17" hidden="1" customHeight="1" outlineLevel="1" thickBot="1">
      <c r="A666" s="2">
        <f>+Get_Data!A665</f>
        <v>40408</v>
      </c>
      <c r="B666">
        <f>+ROUND(Get_Data!B665,5)</f>
        <v>48.07958</v>
      </c>
      <c r="C666">
        <f>+ROUND(Get_Data!C665,5)</f>
        <v>19.19454</v>
      </c>
      <c r="D666" s="4">
        <f t="shared" si="10"/>
        <v>2.5048571104074386</v>
      </c>
    </row>
    <row r="667" spans="1:4" ht="17" hidden="1" customHeight="1" outlineLevel="1" thickBot="1">
      <c r="A667" s="2">
        <f>+Get_Data!A666</f>
        <v>40409</v>
      </c>
      <c r="B667">
        <f>+ROUND(Get_Data!B666,5)</f>
        <v>47.448500000000003</v>
      </c>
      <c r="C667">
        <f>+ROUND(Get_Data!C666,5)</f>
        <v>19.002040000000001</v>
      </c>
      <c r="D667" s="4">
        <f t="shared" si="10"/>
        <v>2.4970213724421169</v>
      </c>
    </row>
    <row r="668" spans="1:4" ht="17" hidden="1" customHeight="1" outlineLevel="1" thickBot="1">
      <c r="A668" s="2">
        <f>+Get_Data!A667</f>
        <v>40410</v>
      </c>
      <c r="B668">
        <f>+ROUND(Get_Data!B667,5)</f>
        <v>47.55124</v>
      </c>
      <c r="C668">
        <f>+ROUND(Get_Data!C667,5)</f>
        <v>19.00891</v>
      </c>
      <c r="D668" s="4">
        <f t="shared" si="10"/>
        <v>2.5015237591213806</v>
      </c>
    </row>
    <row r="669" spans="1:4" ht="17" hidden="1" customHeight="1" outlineLevel="1" thickBot="1">
      <c r="A669" s="2">
        <f>+Get_Data!A668</f>
        <v>40413</v>
      </c>
      <c r="B669">
        <f>+ROUND(Get_Data!B668,5)</f>
        <v>47.565899999999999</v>
      </c>
      <c r="C669">
        <f>+ROUND(Get_Data!C668,5)</f>
        <v>19.11204</v>
      </c>
      <c r="D669" s="4">
        <f t="shared" si="10"/>
        <v>2.4887924052063517</v>
      </c>
    </row>
    <row r="670" spans="1:4" ht="17" hidden="1" customHeight="1" outlineLevel="1" thickBot="1">
      <c r="A670" s="2">
        <f>+Get_Data!A669</f>
        <v>40414</v>
      </c>
      <c r="B670">
        <f>+ROUND(Get_Data!B669,5)</f>
        <v>47.536549999999998</v>
      </c>
      <c r="C670">
        <f>+ROUND(Get_Data!C669,5)</f>
        <v>19.132670000000001</v>
      </c>
      <c r="D670" s="4">
        <f t="shared" si="10"/>
        <v>2.4845748136564314</v>
      </c>
    </row>
    <row r="671" spans="1:4" ht="17" hidden="1" customHeight="1" outlineLevel="1" thickBot="1">
      <c r="A671" s="2">
        <f>+Get_Data!A670</f>
        <v>40415</v>
      </c>
      <c r="B671">
        <f>+ROUND(Get_Data!B670,5)</f>
        <v>47.382449999999999</v>
      </c>
      <c r="C671">
        <f>+ROUND(Get_Data!C670,5)</f>
        <v>19.039850000000001</v>
      </c>
      <c r="D671" s="4">
        <f t="shared" si="10"/>
        <v>2.488593660139129</v>
      </c>
    </row>
    <row r="672" spans="1:4" ht="17" hidden="1" customHeight="1" outlineLevel="1" thickBot="1">
      <c r="A672" s="2">
        <f>+Get_Data!A671</f>
        <v>40416</v>
      </c>
      <c r="B672">
        <f>+ROUND(Get_Data!B671,5)</f>
        <v>47.059570000000001</v>
      </c>
      <c r="C672">
        <f>+ROUND(Get_Data!C671,5)</f>
        <v>18.960789999999999</v>
      </c>
      <c r="D672" s="4">
        <f t="shared" si="10"/>
        <v>2.4819414169979206</v>
      </c>
    </row>
    <row r="673" spans="1:4" ht="17" hidden="1" customHeight="1" outlineLevel="1" thickBot="1">
      <c r="A673" s="2">
        <f>+Get_Data!A672</f>
        <v>40417</v>
      </c>
      <c r="B673">
        <f>+ROUND(Get_Data!B672,5)</f>
        <v>47.052230000000002</v>
      </c>
      <c r="C673">
        <f>+ROUND(Get_Data!C672,5)</f>
        <v>19.30453</v>
      </c>
      <c r="D673" s="4">
        <f t="shared" si="10"/>
        <v>2.4373672915113707</v>
      </c>
    </row>
    <row r="674" spans="1:4" ht="17" hidden="1" customHeight="1" outlineLevel="1" thickBot="1">
      <c r="A674" s="2">
        <f>+Get_Data!A673</f>
        <v>40420</v>
      </c>
      <c r="B674">
        <f>+ROUND(Get_Data!B673,5)</f>
        <v>46.670639999999999</v>
      </c>
      <c r="C674">
        <f>+ROUND(Get_Data!C673,5)</f>
        <v>19.094840000000001</v>
      </c>
      <c r="D674" s="4">
        <f t="shared" si="10"/>
        <v>2.4441493094469497</v>
      </c>
    </row>
    <row r="675" spans="1:4" ht="17" hidden="1" customHeight="1" outlineLevel="1" thickBot="1">
      <c r="A675" s="2">
        <f>+Get_Data!A674</f>
        <v>40421</v>
      </c>
      <c r="B675">
        <f>+ROUND(Get_Data!B674,5)</f>
        <v>47.096260000000001</v>
      </c>
      <c r="C675">
        <f>+ROUND(Get_Data!C674,5)</f>
        <v>19.208279999999998</v>
      </c>
      <c r="D675" s="4">
        <f t="shared" si="10"/>
        <v>2.4518728381718717</v>
      </c>
    </row>
    <row r="676" spans="1:4" ht="17" hidden="1" customHeight="1" outlineLevel="1" thickBot="1">
      <c r="A676" s="2">
        <f>+Get_Data!A675</f>
        <v>40422</v>
      </c>
      <c r="B676">
        <f>+ROUND(Get_Data!B675,5)</f>
        <v>47.97607</v>
      </c>
      <c r="C676">
        <f>+ROUND(Get_Data!C675,5)</f>
        <v>19.699839999999998</v>
      </c>
      <c r="D676" s="4">
        <f t="shared" si="10"/>
        <v>2.4353532820571133</v>
      </c>
    </row>
    <row r="677" spans="1:4" ht="17" hidden="1" customHeight="1" outlineLevel="1" thickBot="1">
      <c r="A677" s="2">
        <f>+Get_Data!A676</f>
        <v>40423</v>
      </c>
      <c r="B677">
        <f>+ROUND(Get_Data!B676,5)</f>
        <v>48.035220000000002</v>
      </c>
      <c r="C677">
        <f>+ROUND(Get_Data!C676,5)</f>
        <v>19.7239</v>
      </c>
      <c r="D677" s="4">
        <f t="shared" si="10"/>
        <v>2.4353814407901075</v>
      </c>
    </row>
    <row r="678" spans="1:4" ht="17" hidden="1" customHeight="1" outlineLevel="1" thickBot="1">
      <c r="A678" s="2">
        <f>+Get_Data!A677</f>
        <v>40424</v>
      </c>
      <c r="B678">
        <f>+ROUND(Get_Data!B677,5)</f>
        <v>48.478830000000002</v>
      </c>
      <c r="C678">
        <f>+ROUND(Get_Data!C677,5)</f>
        <v>19.78576</v>
      </c>
      <c r="D678" s="4">
        <f t="shared" si="10"/>
        <v>2.450187912923234</v>
      </c>
    </row>
    <row r="679" spans="1:4" ht="17" hidden="1" customHeight="1" outlineLevel="1" thickBot="1">
      <c r="A679" s="2">
        <f>+Get_Data!A678</f>
        <v>40428</v>
      </c>
      <c r="B679">
        <f>+ROUND(Get_Data!B678,5)</f>
        <v>48.412300000000002</v>
      </c>
      <c r="C679">
        <f>+ROUND(Get_Data!C678,5)</f>
        <v>19.809830000000002</v>
      </c>
      <c r="D679" s="4">
        <f t="shared" si="10"/>
        <v>2.443852370262642</v>
      </c>
    </row>
    <row r="680" spans="1:4" ht="17" hidden="1" customHeight="1" outlineLevel="1" thickBot="1">
      <c r="A680" s="2">
        <f>+Get_Data!A679</f>
        <v>40429</v>
      </c>
      <c r="B680">
        <f>+ROUND(Get_Data!B679,5)</f>
        <v>48.375329999999998</v>
      </c>
      <c r="C680">
        <f>+ROUND(Get_Data!C679,5)</f>
        <v>19.878579999999999</v>
      </c>
      <c r="D680" s="4">
        <f t="shared" si="10"/>
        <v>2.4335405245243877</v>
      </c>
    </row>
    <row r="681" spans="1:4" ht="17" hidden="1" customHeight="1" outlineLevel="1" thickBot="1">
      <c r="A681" s="2">
        <f>+Get_Data!A680</f>
        <v>40430</v>
      </c>
      <c r="B681">
        <f>+ROUND(Get_Data!B680,5)</f>
        <v>49.231859999999998</v>
      </c>
      <c r="C681">
        <f>+ROUND(Get_Data!C680,5)</f>
        <v>20.0367</v>
      </c>
      <c r="D681" s="4">
        <f t="shared" si="10"/>
        <v>2.457084250400515</v>
      </c>
    </row>
    <row r="682" spans="1:4" ht="17" hidden="1" customHeight="1" outlineLevel="1" thickBot="1">
      <c r="A682" s="2">
        <f>+Get_Data!A681</f>
        <v>40431</v>
      </c>
      <c r="B682">
        <f>+ROUND(Get_Data!B681,5)</f>
        <v>49.46275</v>
      </c>
      <c r="C682">
        <f>+ROUND(Get_Data!C681,5)</f>
        <v>20.115760000000002</v>
      </c>
      <c r="D682" s="4">
        <f t="shared" si="10"/>
        <v>2.458905355800626</v>
      </c>
    </row>
    <row r="683" spans="1:4" ht="17" hidden="1" customHeight="1" outlineLevel="1" thickBot="1">
      <c r="A683" s="2">
        <f>+Get_Data!A682</f>
        <v>40434</v>
      </c>
      <c r="B683">
        <f>+ROUND(Get_Data!B682,5)</f>
        <v>49.34357</v>
      </c>
      <c r="C683">
        <f>+ROUND(Get_Data!C682,5)</f>
        <v>20.25187</v>
      </c>
      <c r="D683" s="4">
        <f t="shared" si="10"/>
        <v>2.4364945064332328</v>
      </c>
    </row>
    <row r="684" spans="1:4" ht="17" hidden="1" customHeight="1" outlineLevel="1" thickBot="1">
      <c r="A684" s="2">
        <f>+Get_Data!A683</f>
        <v>40435</v>
      </c>
      <c r="B684">
        <f>+ROUND(Get_Data!B683,5)</f>
        <v>49.142490000000002</v>
      </c>
      <c r="C684">
        <f>+ROUND(Get_Data!C683,5)</f>
        <v>20.098310000000001</v>
      </c>
      <c r="D684" s="4">
        <f t="shared" si="10"/>
        <v>2.4451055835042848</v>
      </c>
    </row>
    <row r="685" spans="1:4" ht="17" hidden="1" customHeight="1" outlineLevel="1" thickBot="1">
      <c r="A685" s="2">
        <f>+Get_Data!A684</f>
        <v>40436</v>
      </c>
      <c r="B685">
        <f>+ROUND(Get_Data!B684,5)</f>
        <v>49.529780000000002</v>
      </c>
      <c r="C685">
        <f>+ROUND(Get_Data!C684,5)</f>
        <v>20.038979999999999</v>
      </c>
      <c r="D685" s="4">
        <f t="shared" si="10"/>
        <v>2.4716717118336367</v>
      </c>
    </row>
    <row r="686" spans="1:4" ht="17" hidden="1" customHeight="1" outlineLevel="1" thickBot="1">
      <c r="A686" s="2">
        <f>+Get_Data!A685</f>
        <v>40437</v>
      </c>
      <c r="B686">
        <f>+ROUND(Get_Data!B685,5)</f>
        <v>49.611710000000002</v>
      </c>
      <c r="C686">
        <f>+ROUND(Get_Data!C685,5)</f>
        <v>20.07039</v>
      </c>
      <c r="D686" s="4">
        <f t="shared" si="10"/>
        <v>2.4718856982848867</v>
      </c>
    </row>
    <row r="687" spans="1:4" ht="17" hidden="1" customHeight="1" outlineLevel="1" thickBot="1">
      <c r="A687" s="2">
        <f>+Get_Data!A686</f>
        <v>40438</v>
      </c>
      <c r="B687">
        <f>+ROUND(Get_Data!B686,5)</f>
        <v>49.246749999999999</v>
      </c>
      <c r="C687">
        <f>+ROUND(Get_Data!C686,5)</f>
        <v>20.08784</v>
      </c>
      <c r="D687" s="4">
        <f t="shared" si="10"/>
        <v>2.4515702036655012</v>
      </c>
    </row>
    <row r="688" spans="1:4" ht="17" hidden="1" customHeight="1" outlineLevel="1" thickBot="1">
      <c r="A688" s="2">
        <f>+Get_Data!A687</f>
        <v>40441</v>
      </c>
      <c r="B688">
        <f>+ROUND(Get_Data!B687,5)</f>
        <v>49.820250000000001</v>
      </c>
      <c r="C688">
        <f>+ROUND(Get_Data!C687,5)</f>
        <v>20.230920000000001</v>
      </c>
      <c r="D688" s="4">
        <f t="shared" si="10"/>
        <v>2.4625795564413284</v>
      </c>
    </row>
    <row r="689" spans="1:4" ht="17" hidden="1" customHeight="1" outlineLevel="1" thickBot="1">
      <c r="A689" s="2">
        <f>+Get_Data!A688</f>
        <v>40442</v>
      </c>
      <c r="B689">
        <f>+ROUND(Get_Data!B688,5)</f>
        <v>49.499989999999997</v>
      </c>
      <c r="C689">
        <f>+ROUND(Get_Data!C688,5)</f>
        <v>20.279789999999998</v>
      </c>
      <c r="D689" s="4">
        <f t="shared" si="10"/>
        <v>2.4408531843771559</v>
      </c>
    </row>
    <row r="690" spans="1:4" ht="17" hidden="1" customHeight="1" outlineLevel="1" thickBot="1">
      <c r="A690" s="2">
        <f>+Get_Data!A689</f>
        <v>40443</v>
      </c>
      <c r="B690">
        <f>+ROUND(Get_Data!B689,5)</f>
        <v>49.648949999999999</v>
      </c>
      <c r="C690">
        <f>+ROUND(Get_Data!C689,5)</f>
        <v>20.321670000000001</v>
      </c>
      <c r="D690" s="4">
        <f t="shared" si="10"/>
        <v>2.4431530479532437</v>
      </c>
    </row>
    <row r="691" spans="1:4" ht="17" hidden="1" customHeight="1" outlineLevel="1" thickBot="1">
      <c r="A691" s="2">
        <f>+Get_Data!A690</f>
        <v>40444</v>
      </c>
      <c r="B691">
        <f>+ROUND(Get_Data!B690,5)</f>
        <v>49.000970000000002</v>
      </c>
      <c r="C691">
        <f>+ROUND(Get_Data!C690,5)</f>
        <v>20.19603</v>
      </c>
      <c r="D691" s="4">
        <f t="shared" si="10"/>
        <v>2.4262674396898798</v>
      </c>
    </row>
    <row r="692" spans="1:4" ht="17" hidden="1" customHeight="1" outlineLevel="1" thickBot="1">
      <c r="A692" s="2">
        <f>+Get_Data!A691</f>
        <v>40445</v>
      </c>
      <c r="B692">
        <f>+ROUND(Get_Data!B691,5)</f>
        <v>49.254199999999997</v>
      </c>
      <c r="C692">
        <f>+ROUND(Get_Data!C691,5)</f>
        <v>20.45777</v>
      </c>
      <c r="D692" s="4">
        <f t="shared" si="10"/>
        <v>2.4076035657845405</v>
      </c>
    </row>
    <row r="693" spans="1:4" ht="17" hidden="1" customHeight="1" outlineLevel="1" thickBot="1">
      <c r="A693" s="2">
        <f>+Get_Data!A692</f>
        <v>40448</v>
      </c>
      <c r="B693">
        <f>+ROUND(Get_Data!B692,5)</f>
        <v>49.432949999999998</v>
      </c>
      <c r="C693">
        <f>+ROUND(Get_Data!C692,5)</f>
        <v>20.450790000000001</v>
      </c>
      <c r="D693" s="4">
        <f t="shared" si="10"/>
        <v>2.4171657916393445</v>
      </c>
    </row>
    <row r="694" spans="1:4" ht="17" hidden="1" customHeight="1" outlineLevel="1" thickBot="1">
      <c r="A694" s="2">
        <f>+Get_Data!A693</f>
        <v>40449</v>
      </c>
      <c r="B694">
        <f>+ROUND(Get_Data!B693,5)</f>
        <v>49.738320000000002</v>
      </c>
      <c r="C694">
        <f>+ROUND(Get_Data!C693,5)</f>
        <v>20.62529</v>
      </c>
      <c r="D694" s="4">
        <f t="shared" si="10"/>
        <v>2.4115210016440982</v>
      </c>
    </row>
    <row r="695" spans="1:4" ht="17" hidden="1" customHeight="1" outlineLevel="1" thickBot="1">
      <c r="A695" s="2">
        <f>+Get_Data!A694</f>
        <v>40450</v>
      </c>
      <c r="B695">
        <f>+ROUND(Get_Data!B694,5)</f>
        <v>49.715980000000002</v>
      </c>
      <c r="C695">
        <f>+ROUND(Get_Data!C694,5)</f>
        <v>20.506630000000001</v>
      </c>
      <c r="D695" s="4">
        <f t="shared" si="10"/>
        <v>2.4243856742916803</v>
      </c>
    </row>
    <row r="696" spans="1:4" ht="17" hidden="1" customHeight="1" outlineLevel="1" thickBot="1">
      <c r="A696" s="2">
        <f>+Get_Data!A695</f>
        <v>40451</v>
      </c>
      <c r="B696">
        <f>+ROUND(Get_Data!B695,5)</f>
        <v>49.48509</v>
      </c>
      <c r="C696">
        <f>+ROUND(Get_Data!C695,5)</f>
        <v>20.42287</v>
      </c>
      <c r="D696" s="4">
        <f t="shared" si="10"/>
        <v>2.4230233067144824</v>
      </c>
    </row>
    <row r="697" spans="1:4" ht="17" hidden="1" customHeight="1" outlineLevel="1" thickBot="1">
      <c r="A697" s="2">
        <f>+Get_Data!A696</f>
        <v>40452</v>
      </c>
      <c r="B697">
        <f>+ROUND(Get_Data!B696,5)</f>
        <v>49.902180000000001</v>
      </c>
      <c r="C697">
        <f>+ROUND(Get_Data!C696,5)</f>
        <v>20.632269999999998</v>
      </c>
      <c r="D697" s="4">
        <f t="shared" si="10"/>
        <v>2.4186470999070875</v>
      </c>
    </row>
    <row r="698" spans="1:4" ht="17" hidden="1" customHeight="1" outlineLevel="1" thickBot="1">
      <c r="A698" s="2">
        <f>+Get_Data!A697</f>
        <v>40455</v>
      </c>
      <c r="B698">
        <f>+ROUND(Get_Data!B697,5)</f>
        <v>49.805370000000003</v>
      </c>
      <c r="C698">
        <f>+ROUND(Get_Data!C697,5)</f>
        <v>20.54851</v>
      </c>
      <c r="D698" s="4">
        <f t="shared" si="10"/>
        <v>2.4237947179625192</v>
      </c>
    </row>
    <row r="699" spans="1:4" ht="17" hidden="1" customHeight="1" outlineLevel="1" thickBot="1">
      <c r="A699" s="2">
        <f>+Get_Data!A698</f>
        <v>40456</v>
      </c>
      <c r="B699">
        <f>+ROUND(Get_Data!B698,5)</f>
        <v>50.468229999999998</v>
      </c>
      <c r="C699">
        <f>+ROUND(Get_Data!C698,5)</f>
        <v>20.820720000000001</v>
      </c>
      <c r="D699" s="4">
        <f t="shared" si="10"/>
        <v>2.4239425918027808</v>
      </c>
    </row>
    <row r="700" spans="1:4" ht="17" hidden="1" customHeight="1" outlineLevel="1" thickBot="1">
      <c r="A700" s="2">
        <f>+Get_Data!A699</f>
        <v>40457</v>
      </c>
      <c r="B700">
        <f>+ROUND(Get_Data!B699,5)</f>
        <v>50.728909999999999</v>
      </c>
      <c r="C700">
        <f>+ROUND(Get_Data!C699,5)</f>
        <v>20.869579999999999</v>
      </c>
      <c r="D700" s="4">
        <f t="shared" si="10"/>
        <v>2.4307585490460277</v>
      </c>
    </row>
    <row r="701" spans="1:4" ht="17" hidden="1" customHeight="1" outlineLevel="1" thickBot="1">
      <c r="A701" s="2">
        <f>+Get_Data!A700</f>
        <v>40458</v>
      </c>
      <c r="B701">
        <f>+ROUND(Get_Data!B700,5)</f>
        <v>49.231859999999998</v>
      </c>
      <c r="C701">
        <f>+ROUND(Get_Data!C700,5)</f>
        <v>20.743939999999998</v>
      </c>
      <c r="D701" s="4">
        <f t="shared" si="10"/>
        <v>2.373312880773855</v>
      </c>
    </row>
    <row r="702" spans="1:4" ht="17" hidden="1" customHeight="1" outlineLevel="1" thickBot="1">
      <c r="A702" s="2">
        <f>+Get_Data!A701</f>
        <v>40459</v>
      </c>
      <c r="B702">
        <f>+ROUND(Get_Data!B701,5)</f>
        <v>48.971159999999998</v>
      </c>
      <c r="C702">
        <f>+ROUND(Get_Data!C701,5)</f>
        <v>20.733470000000001</v>
      </c>
      <c r="D702" s="4">
        <f t="shared" si="10"/>
        <v>2.3619374856210755</v>
      </c>
    </row>
    <row r="703" spans="1:4" ht="17" hidden="1" customHeight="1" outlineLevel="1" thickBot="1">
      <c r="A703" s="2">
        <f>+Get_Data!A702</f>
        <v>40462</v>
      </c>
      <c r="B703">
        <f>+ROUND(Get_Data!B702,5)</f>
        <v>48.799860000000002</v>
      </c>
      <c r="C703">
        <f>+ROUND(Get_Data!C702,5)</f>
        <v>20.785820000000001</v>
      </c>
      <c r="D703" s="4">
        <f t="shared" si="10"/>
        <v>2.3477476471940966</v>
      </c>
    </row>
    <row r="704" spans="1:4" ht="17" hidden="1" customHeight="1" outlineLevel="1" thickBot="1">
      <c r="A704" s="2">
        <f>+Get_Data!A703</f>
        <v>40463</v>
      </c>
      <c r="B704">
        <f>+ROUND(Get_Data!B703,5)</f>
        <v>49.216949999999997</v>
      </c>
      <c r="C704">
        <f>+ROUND(Get_Data!C703,5)</f>
        <v>20.799779999999998</v>
      </c>
      <c r="D704" s="4">
        <f t="shared" si="10"/>
        <v>2.3662245466057814</v>
      </c>
    </row>
    <row r="705" spans="1:4" ht="17" hidden="1" customHeight="1" outlineLevel="1" thickBot="1">
      <c r="A705" s="2">
        <f>+Get_Data!A704</f>
        <v>40464</v>
      </c>
      <c r="B705">
        <f>+ROUND(Get_Data!B704,5)</f>
        <v>49.455300000000001</v>
      </c>
      <c r="C705">
        <f>+ROUND(Get_Data!C704,5)</f>
        <v>20.91844</v>
      </c>
      <c r="D705" s="4">
        <f t="shared" si="10"/>
        <v>2.3641963741082033</v>
      </c>
    </row>
    <row r="706" spans="1:4" ht="17" hidden="1" customHeight="1" outlineLevel="1" thickBot="1">
      <c r="A706" s="2">
        <f>+Get_Data!A705</f>
        <v>40465</v>
      </c>
      <c r="B706">
        <f>+ROUND(Get_Data!B705,5)</f>
        <v>49.634050000000002</v>
      </c>
      <c r="C706">
        <f>+ROUND(Get_Data!C705,5)</f>
        <v>20.907959999999999</v>
      </c>
      <c r="D706" s="4">
        <f t="shared" si="10"/>
        <v>2.373930789995772</v>
      </c>
    </row>
    <row r="707" spans="1:4" ht="17" hidden="1" customHeight="1" outlineLevel="1" thickBot="1">
      <c r="A707" s="2">
        <f>+Get_Data!A706</f>
        <v>40466</v>
      </c>
      <c r="B707">
        <f>+ROUND(Get_Data!B706,5)</f>
        <v>49.66386</v>
      </c>
      <c r="C707">
        <f>+ROUND(Get_Data!C706,5)</f>
        <v>20.91844</v>
      </c>
      <c r="D707" s="4">
        <f t="shared" si="10"/>
        <v>2.3741665248460211</v>
      </c>
    </row>
    <row r="708" spans="1:4" ht="17" hidden="1" customHeight="1" outlineLevel="1" thickBot="1">
      <c r="A708" s="2">
        <f>+Get_Data!A707</f>
        <v>40469</v>
      </c>
      <c r="B708">
        <f>+ROUND(Get_Data!B707,5)</f>
        <v>49.529780000000002</v>
      </c>
      <c r="C708">
        <f>+ROUND(Get_Data!C707,5)</f>
        <v>20.93937</v>
      </c>
      <c r="D708" s="4">
        <f t="shared" ref="D708:D771" si="11">IFERROR(B708/C708,"")</f>
        <v>2.3653901717195884</v>
      </c>
    </row>
    <row r="709" spans="1:4" ht="17" hidden="1" customHeight="1" outlineLevel="1" thickBot="1">
      <c r="A709" s="2">
        <f>+Get_Data!A708</f>
        <v>40470</v>
      </c>
      <c r="B709">
        <f>+ROUND(Get_Data!B708,5)</f>
        <v>48.717930000000003</v>
      </c>
      <c r="C709">
        <f>+ROUND(Get_Data!C708,5)</f>
        <v>21.058029999999999</v>
      </c>
      <c r="D709" s="4">
        <f t="shared" si="11"/>
        <v>2.3135084335999143</v>
      </c>
    </row>
    <row r="710" spans="1:4" ht="17" hidden="1" customHeight="1" outlineLevel="1" thickBot="1">
      <c r="A710" s="2">
        <f>+Get_Data!A709</f>
        <v>40471</v>
      </c>
      <c r="B710">
        <f>+ROUND(Get_Data!B709,5)</f>
        <v>48.390219999999999</v>
      </c>
      <c r="C710">
        <f>+ROUND(Get_Data!C709,5)</f>
        <v>21.340720000000001</v>
      </c>
      <c r="D710" s="4">
        <f t="shared" si="11"/>
        <v>2.2675064383957055</v>
      </c>
    </row>
    <row r="711" spans="1:4" ht="17" hidden="1" customHeight="1" outlineLevel="1" thickBot="1">
      <c r="A711" s="2">
        <f>+Get_Data!A710</f>
        <v>40472</v>
      </c>
      <c r="B711">
        <f>+ROUND(Get_Data!B710,5)</f>
        <v>48.546619999999997</v>
      </c>
      <c r="C711">
        <f>+ROUND(Get_Data!C710,5)</f>
        <v>21.452390000000001</v>
      </c>
      <c r="D711" s="4">
        <f t="shared" si="11"/>
        <v>2.2629935405798607</v>
      </c>
    </row>
    <row r="712" spans="1:4" ht="17" hidden="1" customHeight="1" outlineLevel="1" thickBot="1">
      <c r="A712" s="2">
        <f>+Get_Data!A711</f>
        <v>40473</v>
      </c>
      <c r="B712">
        <f>+ROUND(Get_Data!B711,5)</f>
        <v>48.420009999999998</v>
      </c>
      <c r="C712">
        <f>+ROUND(Get_Data!C711,5)</f>
        <v>21.501249999999999</v>
      </c>
      <c r="D712" s="4">
        <f t="shared" si="11"/>
        <v>2.2519625603162607</v>
      </c>
    </row>
    <row r="713" spans="1:4" ht="17" hidden="1" customHeight="1" outlineLevel="1" thickBot="1">
      <c r="A713" s="2">
        <f>+Get_Data!A712</f>
        <v>40476</v>
      </c>
      <c r="B713">
        <f>+ROUND(Get_Data!B712,5)</f>
        <v>48.449809999999999</v>
      </c>
      <c r="C713">
        <f>+ROUND(Get_Data!C712,5)</f>
        <v>21.29185</v>
      </c>
      <c r="D713" s="4">
        <f t="shared" si="11"/>
        <v>2.2755096433611923</v>
      </c>
    </row>
    <row r="714" spans="1:4" ht="17" hidden="1" customHeight="1" outlineLevel="1" thickBot="1">
      <c r="A714" s="2">
        <f>+Get_Data!A713</f>
        <v>40477</v>
      </c>
      <c r="B714">
        <f>+ROUND(Get_Data!B713,5)</f>
        <v>48.256169999999997</v>
      </c>
      <c r="C714">
        <f>+ROUND(Get_Data!C713,5)</f>
        <v>21.372119999999999</v>
      </c>
      <c r="D714" s="4">
        <f t="shared" si="11"/>
        <v>2.257902819186866</v>
      </c>
    </row>
    <row r="715" spans="1:4" ht="17" hidden="1" customHeight="1" outlineLevel="1" thickBot="1">
      <c r="A715" s="2">
        <f>+Get_Data!A714</f>
        <v>40478</v>
      </c>
      <c r="B715">
        <f>+ROUND(Get_Data!B714,5)</f>
        <v>47.868839999999999</v>
      </c>
      <c r="C715">
        <f>+ROUND(Get_Data!C714,5)</f>
        <v>21.354669999999999</v>
      </c>
      <c r="D715" s="4">
        <f t="shared" si="11"/>
        <v>2.2416099148336173</v>
      </c>
    </row>
    <row r="716" spans="1:4" ht="17" hidden="1" customHeight="1" outlineLevel="1" thickBot="1">
      <c r="A716" s="2">
        <f>+Get_Data!A715</f>
        <v>40479</v>
      </c>
      <c r="B716">
        <f>+ROUND(Get_Data!B715,5)</f>
        <v>48.420009999999998</v>
      </c>
      <c r="C716">
        <f>+ROUND(Get_Data!C715,5)</f>
        <v>21.361650000000001</v>
      </c>
      <c r="D716" s="4">
        <f t="shared" si="11"/>
        <v>2.266679306139741</v>
      </c>
    </row>
    <row r="717" spans="1:4" ht="17" hidden="1" customHeight="1" outlineLevel="1" thickBot="1">
      <c r="A717" s="2">
        <f>+Get_Data!A716</f>
        <v>40480</v>
      </c>
      <c r="B717">
        <f>+ROUND(Get_Data!B716,5)</f>
        <v>48.636000000000003</v>
      </c>
      <c r="C717">
        <f>+ROUND(Get_Data!C716,5)</f>
        <v>21.400040000000001</v>
      </c>
      <c r="D717" s="4">
        <f t="shared" si="11"/>
        <v>2.2727060323251731</v>
      </c>
    </row>
    <row r="718" spans="1:4" ht="17" hidden="1" customHeight="1" outlineLevel="1" thickBot="1">
      <c r="A718" s="2">
        <f>+Get_Data!A717</f>
        <v>40483</v>
      </c>
      <c r="B718">
        <f>+ROUND(Get_Data!B717,5)</f>
        <v>48.822209999999998</v>
      </c>
      <c r="C718">
        <f>+ROUND(Get_Data!C717,5)</f>
        <v>21.536149999999999</v>
      </c>
      <c r="D718" s="4">
        <f t="shared" si="11"/>
        <v>2.2669887607580743</v>
      </c>
    </row>
    <row r="719" spans="1:4" ht="17" hidden="1" customHeight="1" outlineLevel="1" thickBot="1">
      <c r="A719" s="2">
        <f>+Get_Data!A718</f>
        <v>40484</v>
      </c>
      <c r="B719">
        <f>+ROUND(Get_Data!B718,5)</f>
        <v>49.008420000000001</v>
      </c>
      <c r="C719">
        <f>+ROUND(Get_Data!C718,5)</f>
        <v>21.58849</v>
      </c>
      <c r="D719" s="4">
        <f t="shared" si="11"/>
        <v>2.2701180119591506</v>
      </c>
    </row>
    <row r="720" spans="1:4" ht="17" hidden="1" customHeight="1" outlineLevel="1" thickBot="1">
      <c r="A720" s="2">
        <f>+Get_Data!A719</f>
        <v>40485</v>
      </c>
      <c r="B720">
        <f>+ROUND(Get_Data!B719,5)</f>
        <v>48.561520000000002</v>
      </c>
      <c r="C720">
        <f>+ROUND(Get_Data!C719,5)</f>
        <v>21.619900000000001</v>
      </c>
      <c r="D720" s="4">
        <f t="shared" si="11"/>
        <v>2.2461491496260391</v>
      </c>
    </row>
    <row r="721" spans="1:4" ht="17" hidden="1" customHeight="1" outlineLevel="1" thickBot="1">
      <c r="A721" s="2">
        <f>+Get_Data!A720</f>
        <v>40486</v>
      </c>
      <c r="B721">
        <f>+ROUND(Get_Data!B720,5)</f>
        <v>48.673250000000003</v>
      </c>
      <c r="C721">
        <f>+ROUND(Get_Data!C720,5)</f>
        <v>21.7944</v>
      </c>
      <c r="D721" s="4">
        <f t="shared" si="11"/>
        <v>2.2332915794883093</v>
      </c>
    </row>
    <row r="722" spans="1:4" ht="17" hidden="1" customHeight="1" outlineLevel="1" thickBot="1">
      <c r="A722" s="2">
        <f>+Get_Data!A721</f>
        <v>40487</v>
      </c>
      <c r="B722">
        <f>+ROUND(Get_Data!B721,5)</f>
        <v>48.472160000000002</v>
      </c>
      <c r="C722">
        <f>+ROUND(Get_Data!C721,5)</f>
        <v>21.839770000000001</v>
      </c>
      <c r="D722" s="4">
        <f t="shared" si="11"/>
        <v>2.2194446186933288</v>
      </c>
    </row>
    <row r="723" spans="1:4" ht="17" hidden="1" customHeight="1" outlineLevel="1" thickBot="1">
      <c r="A723" s="2">
        <f>+Get_Data!A722</f>
        <v>40490</v>
      </c>
      <c r="B723">
        <f>+ROUND(Get_Data!B722,5)</f>
        <v>48.494500000000002</v>
      </c>
      <c r="C723">
        <f>+ROUND(Get_Data!C722,5)</f>
        <v>21.797889999999999</v>
      </c>
      <c r="D723" s="4">
        <f t="shared" si="11"/>
        <v>2.2247336783514369</v>
      </c>
    </row>
    <row r="724" spans="1:4" ht="17" hidden="1" customHeight="1" outlineLevel="1" thickBot="1">
      <c r="A724" s="2">
        <f>+Get_Data!A723</f>
        <v>40491</v>
      </c>
      <c r="B724">
        <f>+ROUND(Get_Data!B723,5)</f>
        <v>48.636000000000003</v>
      </c>
      <c r="C724">
        <f>+ROUND(Get_Data!C723,5)</f>
        <v>21.860700000000001</v>
      </c>
      <c r="D724" s="4">
        <f t="shared" si="11"/>
        <v>2.2248143929517354</v>
      </c>
    </row>
    <row r="725" spans="1:4" ht="17" hidden="1" customHeight="1" outlineLevel="1" thickBot="1">
      <c r="A725" s="2">
        <f>+Get_Data!A724</f>
        <v>40492</v>
      </c>
      <c r="B725">
        <f>+ROUND(Get_Data!B724,5)</f>
        <v>48.598770000000002</v>
      </c>
      <c r="C725">
        <f>+ROUND(Get_Data!C724,5)</f>
        <v>21.8293</v>
      </c>
      <c r="D725" s="4">
        <f t="shared" si="11"/>
        <v>2.2263091349699717</v>
      </c>
    </row>
    <row r="726" spans="1:4" ht="17" hidden="1" customHeight="1" outlineLevel="1" thickBot="1">
      <c r="A726" s="2">
        <f>+Get_Data!A725</f>
        <v>40493</v>
      </c>
      <c r="B726">
        <f>+ROUND(Get_Data!B725,5)</f>
        <v>48.338070000000002</v>
      </c>
      <c r="C726">
        <f>+ROUND(Get_Data!C725,5)</f>
        <v>21.916550000000001</v>
      </c>
      <c r="D726" s="4">
        <f t="shared" si="11"/>
        <v>2.205551056165318</v>
      </c>
    </row>
    <row r="727" spans="1:4" ht="17" hidden="1" customHeight="1" outlineLevel="1" thickBot="1">
      <c r="A727" s="2">
        <f>+Get_Data!A726</f>
        <v>40494</v>
      </c>
      <c r="B727">
        <f>+ROUND(Get_Data!B726,5)</f>
        <v>48.14443</v>
      </c>
      <c r="C727">
        <f>+ROUND(Get_Data!C726,5)</f>
        <v>21.95843</v>
      </c>
      <c r="D727" s="4">
        <f t="shared" si="11"/>
        <v>2.1925260594678218</v>
      </c>
    </row>
    <row r="728" spans="1:4" ht="17" hidden="1" customHeight="1" outlineLevel="1" thickBot="1">
      <c r="A728" s="2">
        <f>+Get_Data!A727</f>
        <v>40497</v>
      </c>
      <c r="B728">
        <f>+ROUND(Get_Data!B727,5)</f>
        <v>47.980580000000003</v>
      </c>
      <c r="C728">
        <f>+ROUND(Get_Data!C727,5)</f>
        <v>21.972390000000001</v>
      </c>
      <c r="D728" s="4">
        <f t="shared" si="11"/>
        <v>2.1836759678851503</v>
      </c>
    </row>
    <row r="729" spans="1:4" ht="17" hidden="1" customHeight="1" outlineLevel="1" thickBot="1">
      <c r="A729" s="2">
        <f>+Get_Data!A728</f>
        <v>40498</v>
      </c>
      <c r="B729">
        <f>+ROUND(Get_Data!B728,5)</f>
        <v>47.69755</v>
      </c>
      <c r="C729">
        <f>+ROUND(Get_Data!C728,5)</f>
        <v>21.66527</v>
      </c>
      <c r="D729" s="4">
        <f t="shared" si="11"/>
        <v>2.2015673010306358</v>
      </c>
    </row>
    <row r="730" spans="1:4" ht="17" hidden="1" customHeight="1" outlineLevel="1" thickBot="1">
      <c r="A730" s="2">
        <f>+Get_Data!A729</f>
        <v>40499</v>
      </c>
      <c r="B730">
        <f>+ROUND(Get_Data!B729,5)</f>
        <v>47.623069999999998</v>
      </c>
      <c r="C730">
        <f>+ROUND(Get_Data!C729,5)</f>
        <v>21.818829999999998</v>
      </c>
      <c r="D730" s="4">
        <f t="shared" si="11"/>
        <v>2.1826591984996448</v>
      </c>
    </row>
    <row r="731" spans="1:4" ht="17" hidden="1" customHeight="1" outlineLevel="1" thickBot="1">
      <c r="A731" s="2">
        <f>+Get_Data!A730</f>
        <v>40500</v>
      </c>
      <c r="B731">
        <f>+ROUND(Get_Data!B730,5)</f>
        <v>48.241259999999997</v>
      </c>
      <c r="C731">
        <f>+ROUND(Get_Data!C730,5)</f>
        <v>22.279499999999999</v>
      </c>
      <c r="D731" s="4">
        <f t="shared" si="11"/>
        <v>2.1652757018784086</v>
      </c>
    </row>
    <row r="732" spans="1:4" ht="17" hidden="1" customHeight="1" outlineLevel="1" thickBot="1">
      <c r="A732" s="2">
        <f>+Get_Data!A731</f>
        <v>40501</v>
      </c>
      <c r="B732">
        <f>+ROUND(Get_Data!B731,5)</f>
        <v>48.196579999999997</v>
      </c>
      <c r="C732">
        <f>+ROUND(Get_Data!C731,5)</f>
        <v>22.447009999999999</v>
      </c>
      <c r="D732" s="4">
        <f t="shared" si="11"/>
        <v>2.1471269447467614</v>
      </c>
    </row>
    <row r="733" spans="1:4" ht="17" hidden="1" customHeight="1" outlineLevel="1" thickBot="1">
      <c r="A733" s="2">
        <f>+Get_Data!A732</f>
        <v>40504</v>
      </c>
      <c r="B733">
        <f>+ROUND(Get_Data!B732,5)</f>
        <v>48.189129999999999</v>
      </c>
      <c r="C733">
        <f>+ROUND(Get_Data!C732,5)</f>
        <v>22.429559999999999</v>
      </c>
      <c r="D733" s="4">
        <f t="shared" si="11"/>
        <v>2.1484652396212858</v>
      </c>
    </row>
    <row r="734" spans="1:4" ht="17" hidden="1" customHeight="1" outlineLevel="1" thickBot="1">
      <c r="A734" s="2">
        <f>+Get_Data!A733</f>
        <v>40505</v>
      </c>
      <c r="B734">
        <f>+ROUND(Get_Data!B733,5)</f>
        <v>47.585830000000001</v>
      </c>
      <c r="C734">
        <f>+ROUND(Get_Data!C733,5)</f>
        <v>22.20271</v>
      </c>
      <c r="D734" s="4">
        <f t="shared" si="11"/>
        <v>2.1432442255922814</v>
      </c>
    </row>
    <row r="735" spans="1:4" ht="17" hidden="1" customHeight="1" outlineLevel="1" thickBot="1">
      <c r="A735" s="2">
        <f>+Get_Data!A734</f>
        <v>40506</v>
      </c>
      <c r="B735">
        <f>+ROUND(Get_Data!B734,5)</f>
        <v>47.913550000000001</v>
      </c>
      <c r="C735">
        <f>+ROUND(Get_Data!C734,5)</f>
        <v>22.548220000000001</v>
      </c>
      <c r="D735" s="4">
        <f t="shared" si="11"/>
        <v>2.1249371347272645</v>
      </c>
    </row>
    <row r="736" spans="1:4" ht="17" hidden="1" customHeight="1" outlineLevel="1" thickBot="1">
      <c r="A736" s="2">
        <f>+Get_Data!A735</f>
        <v>40508</v>
      </c>
      <c r="B736">
        <f>+ROUND(Get_Data!B735,5)</f>
        <v>47.59328</v>
      </c>
      <c r="C736">
        <f>+ROUND(Get_Data!C735,5)</f>
        <v>22.373719999999999</v>
      </c>
      <c r="D736" s="4">
        <f t="shared" si="11"/>
        <v>2.1271956563325189</v>
      </c>
    </row>
    <row r="737" spans="1:4" ht="17" hidden="1" customHeight="1" outlineLevel="1" thickBot="1">
      <c r="A737" s="2">
        <f>+Get_Data!A736</f>
        <v>40511</v>
      </c>
      <c r="B737">
        <f>+ROUND(Get_Data!B736,5)</f>
        <v>47.67521</v>
      </c>
      <c r="C737">
        <f>+ROUND(Get_Data!C736,5)</f>
        <v>22.430330000000001</v>
      </c>
      <c r="D737" s="4">
        <f t="shared" si="11"/>
        <v>2.1254796518820722</v>
      </c>
    </row>
    <row r="738" spans="1:4" ht="17" hidden="1" customHeight="1" outlineLevel="1" thickBot="1">
      <c r="A738" s="2">
        <f>+Get_Data!A737</f>
        <v>40512</v>
      </c>
      <c r="B738">
        <f>+ROUND(Get_Data!B737,5)</f>
        <v>48.136980000000001</v>
      </c>
      <c r="C738">
        <f>+ROUND(Get_Data!C737,5)</f>
        <v>22.35249</v>
      </c>
      <c r="D738" s="4">
        <f t="shared" si="11"/>
        <v>2.1535399411877605</v>
      </c>
    </row>
    <row r="739" spans="1:4" ht="17" hidden="1" customHeight="1" outlineLevel="1" thickBot="1">
      <c r="A739" s="2">
        <f>+Get_Data!A738</f>
        <v>40513</v>
      </c>
      <c r="B739">
        <f>+ROUND(Get_Data!B738,5)</f>
        <v>49.247549999999997</v>
      </c>
      <c r="C739">
        <f>+ROUND(Get_Data!C738,5)</f>
        <v>22.893879999999999</v>
      </c>
      <c r="D739" s="4">
        <f t="shared" si="11"/>
        <v>2.1511229201865301</v>
      </c>
    </row>
    <row r="740" spans="1:4" ht="17" hidden="1" customHeight="1" outlineLevel="1" thickBot="1">
      <c r="A740" s="2">
        <f>+Get_Data!A739</f>
        <v>40514</v>
      </c>
      <c r="B740">
        <f>+ROUND(Get_Data!B739,5)</f>
        <v>48.924889999999998</v>
      </c>
      <c r="C740">
        <f>+ROUND(Get_Data!C739,5)</f>
        <v>22.964649999999999</v>
      </c>
      <c r="D740" s="4">
        <f t="shared" si="11"/>
        <v>2.1304435295116626</v>
      </c>
    </row>
    <row r="741" spans="1:4" ht="17" hidden="1" customHeight="1" outlineLevel="1" thickBot="1">
      <c r="A741" s="2">
        <f>+Get_Data!A740</f>
        <v>40515</v>
      </c>
      <c r="B741">
        <f>+ROUND(Get_Data!B740,5)</f>
        <v>48.902369999999998</v>
      </c>
      <c r="C741">
        <f>+ROUND(Get_Data!C740,5)</f>
        <v>22.82311</v>
      </c>
      <c r="D741" s="4">
        <f t="shared" si="11"/>
        <v>2.1426689877058824</v>
      </c>
    </row>
    <row r="742" spans="1:4" ht="17" hidden="1" customHeight="1" outlineLevel="1" thickBot="1">
      <c r="A742" s="2">
        <f>+Get_Data!A741</f>
        <v>40518</v>
      </c>
      <c r="B742">
        <f>+ROUND(Get_Data!B741,5)</f>
        <v>48.572220000000002</v>
      </c>
      <c r="C742">
        <f>+ROUND(Get_Data!C741,5)</f>
        <v>22.64265</v>
      </c>
      <c r="D742" s="4">
        <f t="shared" si="11"/>
        <v>2.1451649873137644</v>
      </c>
    </row>
    <row r="743" spans="1:4" ht="17" hidden="1" customHeight="1" outlineLevel="1" thickBot="1">
      <c r="A743" s="2">
        <f>+Get_Data!A742</f>
        <v>40519</v>
      </c>
      <c r="B743">
        <f>+ROUND(Get_Data!B742,5)</f>
        <v>48.534689999999998</v>
      </c>
      <c r="C743">
        <f>+ROUND(Get_Data!C742,5)</f>
        <v>22.695720000000001</v>
      </c>
      <c r="D743" s="4">
        <f t="shared" si="11"/>
        <v>2.1384952757612448</v>
      </c>
    </row>
    <row r="744" spans="1:4" ht="17" hidden="1" customHeight="1" outlineLevel="1" thickBot="1">
      <c r="A744" s="2">
        <f>+Get_Data!A743</f>
        <v>40520</v>
      </c>
      <c r="B744">
        <f>+ROUND(Get_Data!B743,5)</f>
        <v>48.497169999999997</v>
      </c>
      <c r="C744">
        <f>+ROUND(Get_Data!C743,5)</f>
        <v>22.784179999999999</v>
      </c>
      <c r="D744" s="4">
        <f t="shared" si="11"/>
        <v>2.1285457716713965</v>
      </c>
    </row>
    <row r="745" spans="1:4" ht="17" hidden="1" customHeight="1" outlineLevel="1" thickBot="1">
      <c r="A745" s="2">
        <f>+Get_Data!A744</f>
        <v>40521</v>
      </c>
      <c r="B745">
        <f>+ROUND(Get_Data!B744,5)</f>
        <v>48.564700000000002</v>
      </c>
      <c r="C745">
        <f>+ROUND(Get_Data!C744,5)</f>
        <v>22.939869999999999</v>
      </c>
      <c r="D745" s="4">
        <f t="shared" si="11"/>
        <v>2.1170433834193481</v>
      </c>
    </row>
    <row r="746" spans="1:4" ht="17" hidden="1" customHeight="1" outlineLevel="1" thickBot="1">
      <c r="A746" s="2">
        <f>+Get_Data!A745</f>
        <v>40522</v>
      </c>
      <c r="B746">
        <f>+ROUND(Get_Data!B745,5)</f>
        <v>48.699759999999998</v>
      </c>
      <c r="C746">
        <f>+ROUND(Get_Data!C745,5)</f>
        <v>22.876180000000002</v>
      </c>
      <c r="D746" s="4">
        <f t="shared" si="11"/>
        <v>2.1288414411846732</v>
      </c>
    </row>
    <row r="747" spans="1:4" ht="17" hidden="1" customHeight="1" outlineLevel="1" thickBot="1">
      <c r="A747" s="2">
        <f>+Get_Data!A746</f>
        <v>40525</v>
      </c>
      <c r="B747">
        <f>+ROUND(Get_Data!B746,5)</f>
        <v>49.172510000000003</v>
      </c>
      <c r="C747">
        <f>+ROUND(Get_Data!C746,5)</f>
        <v>22.946950000000001</v>
      </c>
      <c r="D747" s="4">
        <f t="shared" si="11"/>
        <v>2.1428778116481713</v>
      </c>
    </row>
    <row r="748" spans="1:4" ht="17" hidden="1" customHeight="1" outlineLevel="1" thickBot="1">
      <c r="A748" s="2">
        <f>+Get_Data!A747</f>
        <v>40526</v>
      </c>
      <c r="B748">
        <f>+ROUND(Get_Data!B747,5)</f>
        <v>49.217529999999996</v>
      </c>
      <c r="C748">
        <f>+ROUND(Get_Data!C747,5)</f>
        <v>22.610800000000001</v>
      </c>
      <c r="D748" s="4">
        <f t="shared" si="11"/>
        <v>2.1767266085233601</v>
      </c>
    </row>
    <row r="749" spans="1:4" ht="17" hidden="1" customHeight="1" outlineLevel="1" thickBot="1">
      <c r="A749" s="2">
        <f>+Get_Data!A748</f>
        <v>40527</v>
      </c>
      <c r="B749">
        <f>+ROUND(Get_Data!B748,5)</f>
        <v>48.954900000000002</v>
      </c>
      <c r="C749">
        <f>+ROUND(Get_Data!C748,5)</f>
        <v>22.90803</v>
      </c>
      <c r="D749" s="4">
        <f t="shared" si="11"/>
        <v>2.1370192024368748</v>
      </c>
    </row>
    <row r="750" spans="1:4" ht="17" hidden="1" customHeight="1" outlineLevel="1" thickBot="1">
      <c r="A750" s="2">
        <f>+Get_Data!A749</f>
        <v>40528</v>
      </c>
      <c r="B750">
        <f>+ROUND(Get_Data!B749,5)</f>
        <v>49.337589999999999</v>
      </c>
      <c r="C750">
        <f>+ROUND(Get_Data!C749,5)</f>
        <v>23.120329999999999</v>
      </c>
      <c r="D750" s="4">
        <f t="shared" si="11"/>
        <v>2.1339483476230661</v>
      </c>
    </row>
    <row r="751" spans="1:4" ht="17" hidden="1" customHeight="1" outlineLevel="1" thickBot="1">
      <c r="A751" s="2">
        <f>+Get_Data!A750</f>
        <v>40529</v>
      </c>
      <c r="B751">
        <f>+ROUND(Get_Data!B750,5)</f>
        <v>49.502690000000001</v>
      </c>
      <c r="C751">
        <f>+ROUND(Get_Data!C750,5)</f>
        <v>23.247720000000001</v>
      </c>
      <c r="D751" s="4">
        <f t="shared" si="11"/>
        <v>2.129356771330694</v>
      </c>
    </row>
    <row r="752" spans="1:4" ht="17" hidden="1" customHeight="1" outlineLevel="1" thickBot="1">
      <c r="A752" s="2">
        <f>+Get_Data!A751</f>
        <v>40532</v>
      </c>
      <c r="B752">
        <f>+ROUND(Get_Data!B751,5)</f>
        <v>49.757800000000003</v>
      </c>
      <c r="C752">
        <f>+ROUND(Get_Data!C751,5)</f>
        <v>23.109719999999999</v>
      </c>
      <c r="D752" s="4">
        <f t="shared" si="11"/>
        <v>2.1531113315089931</v>
      </c>
    </row>
    <row r="753" spans="1:4" ht="17" hidden="1" customHeight="1" outlineLevel="1" thickBot="1">
      <c r="A753" s="2">
        <f>+Get_Data!A752</f>
        <v>40533</v>
      </c>
      <c r="B753">
        <f>+ROUND(Get_Data!B752,5)</f>
        <v>49.07497</v>
      </c>
      <c r="C753">
        <f>+ROUND(Get_Data!C752,5)</f>
        <v>23.17342</v>
      </c>
      <c r="D753" s="4">
        <f t="shared" si="11"/>
        <v>2.1177266885940877</v>
      </c>
    </row>
    <row r="754" spans="1:4" ht="17" hidden="1" customHeight="1" outlineLevel="1" thickBot="1">
      <c r="A754" s="2">
        <f>+Get_Data!A753</f>
        <v>40534</v>
      </c>
      <c r="B754">
        <f>+ROUND(Get_Data!B753,5)</f>
        <v>49.285060000000001</v>
      </c>
      <c r="C754">
        <f>+ROUND(Get_Data!C753,5)</f>
        <v>23.2088</v>
      </c>
      <c r="D754" s="4">
        <f t="shared" si="11"/>
        <v>2.1235505497914584</v>
      </c>
    </row>
    <row r="755" spans="1:4" ht="17" hidden="1" customHeight="1" outlineLevel="1" thickBot="1">
      <c r="A755" s="2">
        <f>+Get_Data!A754</f>
        <v>40535</v>
      </c>
      <c r="B755">
        <f>+ROUND(Get_Data!B754,5)</f>
        <v>49.292580000000001</v>
      </c>
      <c r="C755">
        <f>+ROUND(Get_Data!C754,5)</f>
        <v>23.205259999999999</v>
      </c>
      <c r="D755" s="4">
        <f t="shared" si="11"/>
        <v>2.1241985653252757</v>
      </c>
    </row>
    <row r="756" spans="1:4" ht="17" hidden="1" customHeight="1" outlineLevel="1" thickBot="1">
      <c r="A756" s="2">
        <f>+Get_Data!A755</f>
        <v>40539</v>
      </c>
      <c r="B756">
        <f>+ROUND(Get_Data!B755,5)</f>
        <v>49.089970000000001</v>
      </c>
      <c r="C756">
        <f>+ROUND(Get_Data!C755,5)</f>
        <v>23.024799999999999</v>
      </c>
      <c r="D756" s="4">
        <f t="shared" si="11"/>
        <v>2.132047618220354</v>
      </c>
    </row>
    <row r="757" spans="1:4" ht="17" hidden="1" customHeight="1" outlineLevel="1" thickBot="1">
      <c r="A757" s="2">
        <f>+Get_Data!A756</f>
        <v>40540</v>
      </c>
      <c r="B757">
        <f>+ROUND(Get_Data!B756,5)</f>
        <v>48.984929999999999</v>
      </c>
      <c r="C757">
        <f>+ROUND(Get_Data!C756,5)</f>
        <v>23.12743</v>
      </c>
      <c r="D757" s="4">
        <f t="shared" si="11"/>
        <v>2.1180446768188248</v>
      </c>
    </row>
    <row r="758" spans="1:4" ht="17" hidden="1" customHeight="1" outlineLevel="1" thickBot="1">
      <c r="A758" s="2">
        <f>+Get_Data!A757</f>
        <v>40541</v>
      </c>
      <c r="B758">
        <f>+ROUND(Get_Data!B757,5)</f>
        <v>49.022440000000003</v>
      </c>
      <c r="C758">
        <f>+ROUND(Get_Data!C757,5)</f>
        <v>23.15926</v>
      </c>
      <c r="D758" s="4">
        <f t="shared" si="11"/>
        <v>2.116753298680528</v>
      </c>
    </row>
    <row r="759" spans="1:4" ht="17" hidden="1" customHeight="1" outlineLevel="1" thickBot="1">
      <c r="A759" s="2">
        <f>+Get_Data!A758</f>
        <v>40542</v>
      </c>
      <c r="B759">
        <f>+ROUND(Get_Data!B758,5)</f>
        <v>48.86486</v>
      </c>
      <c r="C759">
        <f>+ROUND(Get_Data!C758,5)</f>
        <v>23.176960000000001</v>
      </c>
      <c r="D759" s="4">
        <f t="shared" si="11"/>
        <v>2.1083377630198266</v>
      </c>
    </row>
    <row r="760" spans="1:4" ht="17" hidden="1" customHeight="1" outlineLevel="1" thickBot="1">
      <c r="A760" s="2">
        <f>+Get_Data!A759</f>
        <v>40543</v>
      </c>
      <c r="B760">
        <f>+ROUND(Get_Data!B759,5)</f>
        <v>49.022440000000003</v>
      </c>
      <c r="C760">
        <f>+ROUND(Get_Data!C759,5)</f>
        <v>23.272500000000001</v>
      </c>
      <c r="D760" s="4">
        <f t="shared" si="11"/>
        <v>2.1064535395853476</v>
      </c>
    </row>
    <row r="761" spans="1:4" ht="17" hidden="1" customHeight="1" outlineLevel="1" thickBot="1">
      <c r="A761" s="2">
        <f>+Get_Data!A760</f>
        <v>40546</v>
      </c>
      <c r="B761">
        <f>+ROUND(Get_Data!B760,5)</f>
        <v>49.337589999999999</v>
      </c>
      <c r="C761">
        <f>+ROUND(Get_Data!C760,5)</f>
        <v>23.07788</v>
      </c>
      <c r="D761" s="4">
        <f t="shared" si="11"/>
        <v>2.1378735828420981</v>
      </c>
    </row>
    <row r="762" spans="1:4" ht="17" hidden="1" customHeight="1" outlineLevel="1" thickBot="1">
      <c r="A762" s="2">
        <f>+Get_Data!A761</f>
        <v>40547</v>
      </c>
      <c r="B762">
        <f>+ROUND(Get_Data!B761,5)</f>
        <v>49.082470000000001</v>
      </c>
      <c r="C762">
        <f>+ROUND(Get_Data!C761,5)</f>
        <v>22.600180000000002</v>
      </c>
      <c r="D762" s="4">
        <f t="shared" si="11"/>
        <v>2.1717734106542514</v>
      </c>
    </row>
    <row r="763" spans="1:4" ht="17" hidden="1" customHeight="1" outlineLevel="1" thickBot="1">
      <c r="A763" s="2">
        <f>+Get_Data!A762</f>
        <v>40548</v>
      </c>
      <c r="B763">
        <f>+ROUND(Get_Data!B762,5)</f>
        <v>49.967930000000003</v>
      </c>
      <c r="C763">
        <f>+ROUND(Get_Data!C762,5)</f>
        <v>22.465720000000001</v>
      </c>
      <c r="D763" s="4">
        <f t="shared" si="11"/>
        <v>2.2241855591541246</v>
      </c>
    </row>
    <row r="764" spans="1:4" ht="17" hidden="1" customHeight="1" outlineLevel="1" thickBot="1">
      <c r="A764" s="2">
        <f>+Get_Data!A763</f>
        <v>40549</v>
      </c>
      <c r="B764">
        <f>+ROUND(Get_Data!B763,5)</f>
        <v>50.15551</v>
      </c>
      <c r="C764">
        <f>+ROUND(Get_Data!C763,5)</f>
        <v>22.302949999999999</v>
      </c>
      <c r="D764" s="4">
        <f t="shared" si="11"/>
        <v>2.248828518200507</v>
      </c>
    </row>
    <row r="765" spans="1:4" ht="17" hidden="1" customHeight="1" outlineLevel="1" thickBot="1">
      <c r="A765" s="2">
        <f>+Get_Data!A764</f>
        <v>40550</v>
      </c>
      <c r="B765">
        <f>+ROUND(Get_Data!B764,5)</f>
        <v>49.817839999999997</v>
      </c>
      <c r="C765">
        <f>+ROUND(Get_Data!C764,5)</f>
        <v>22.264030000000002</v>
      </c>
      <c r="D765" s="4">
        <f t="shared" si="11"/>
        <v>2.2375931042133876</v>
      </c>
    </row>
    <row r="766" spans="1:4" ht="17" hidden="1" customHeight="1" outlineLevel="1" thickBot="1">
      <c r="A766" s="2">
        <f>+Get_Data!A765</f>
        <v>40553</v>
      </c>
      <c r="B766">
        <f>+ROUND(Get_Data!B765,5)</f>
        <v>49.562710000000003</v>
      </c>
      <c r="C766">
        <f>+ROUND(Get_Data!C765,5)</f>
        <v>22.313569999999999</v>
      </c>
      <c r="D766" s="4">
        <f t="shared" si="11"/>
        <v>2.2211914095324059</v>
      </c>
    </row>
    <row r="767" spans="1:4" ht="17" hidden="1" customHeight="1" outlineLevel="1" thickBot="1">
      <c r="A767" s="2">
        <f>+Get_Data!A766</f>
        <v>40554</v>
      </c>
      <c r="B767">
        <f>+ROUND(Get_Data!B766,5)</f>
        <v>49.77281</v>
      </c>
      <c r="C767">
        <f>+ROUND(Get_Data!C766,5)</f>
        <v>22.182639999999999</v>
      </c>
      <c r="D767" s="4">
        <f t="shared" si="11"/>
        <v>2.2437730585719282</v>
      </c>
    </row>
    <row r="768" spans="1:4" ht="17" hidden="1" customHeight="1" outlineLevel="1" thickBot="1">
      <c r="A768" s="2">
        <f>+Get_Data!A767</f>
        <v>40555</v>
      </c>
      <c r="B768">
        <f>+ROUND(Get_Data!B767,5)</f>
        <v>50.072969999999998</v>
      </c>
      <c r="C768">
        <f>+ROUND(Get_Data!C767,5)</f>
        <v>22.30649</v>
      </c>
      <c r="D768" s="4">
        <f t="shared" si="11"/>
        <v>2.2447713647463137</v>
      </c>
    </row>
    <row r="769" spans="1:4" ht="17" hidden="1" customHeight="1" outlineLevel="1" thickBot="1">
      <c r="A769" s="2">
        <f>+Get_Data!A768</f>
        <v>40556</v>
      </c>
      <c r="B769">
        <f>+ROUND(Get_Data!B768,5)</f>
        <v>50.20805</v>
      </c>
      <c r="C769">
        <f>+ROUND(Get_Data!C768,5)</f>
        <v>22.433879999999998</v>
      </c>
      <c r="D769" s="4">
        <f t="shared" si="11"/>
        <v>2.238045759360396</v>
      </c>
    </row>
    <row r="770" spans="1:4" ht="17" hidden="1" customHeight="1" outlineLevel="1" thickBot="1">
      <c r="A770" s="2">
        <f>+Get_Data!A769</f>
        <v>40557</v>
      </c>
      <c r="B770">
        <f>+ROUND(Get_Data!B769,5)</f>
        <v>50.110500000000002</v>
      </c>
      <c r="C770">
        <f>+ROUND(Get_Data!C769,5)</f>
        <v>22.338339999999999</v>
      </c>
      <c r="D770" s="4">
        <f t="shared" si="11"/>
        <v>2.2432508413785448</v>
      </c>
    </row>
    <row r="771" spans="1:4" ht="17" hidden="1" customHeight="1" outlineLevel="1" thickBot="1">
      <c r="A771" s="2">
        <f>+Get_Data!A770</f>
        <v>40561</v>
      </c>
      <c r="B771">
        <f>+ROUND(Get_Data!B770,5)</f>
        <v>49.952919999999999</v>
      </c>
      <c r="C771">
        <f>+ROUND(Get_Data!C770,5)</f>
        <v>22.46218</v>
      </c>
      <c r="D771" s="4">
        <f t="shared" si="11"/>
        <v>2.2238678525414719</v>
      </c>
    </row>
    <row r="772" spans="1:4" ht="17" hidden="1" customHeight="1" outlineLevel="1" thickBot="1">
      <c r="A772" s="2">
        <f>+Get_Data!A771</f>
        <v>40562</v>
      </c>
      <c r="B772">
        <f>+ROUND(Get_Data!B771,5)</f>
        <v>49.450159999999997</v>
      </c>
      <c r="C772">
        <f>+ROUND(Get_Data!C771,5)</f>
        <v>22.440950000000001</v>
      </c>
      <c r="D772" s="4">
        <f t="shared" ref="D772:D835" si="12">IFERROR(B772/C772,"")</f>
        <v>2.2035680307651857</v>
      </c>
    </row>
    <row r="773" spans="1:4" ht="17" hidden="1" customHeight="1" outlineLevel="1" thickBot="1">
      <c r="A773" s="2">
        <f>+Get_Data!A772</f>
        <v>40563</v>
      </c>
      <c r="B773">
        <f>+ROUND(Get_Data!B772,5)</f>
        <v>49.450159999999997</v>
      </c>
      <c r="C773">
        <f>+ROUND(Get_Data!C772,5)</f>
        <v>22.267569999999999</v>
      </c>
      <c r="D773" s="4">
        <f t="shared" si="12"/>
        <v>2.2207254765562654</v>
      </c>
    </row>
    <row r="774" spans="1:4" ht="17" hidden="1" customHeight="1" outlineLevel="1" thickBot="1">
      <c r="A774" s="2">
        <f>+Get_Data!A773</f>
        <v>40564</v>
      </c>
      <c r="B774">
        <f>+ROUND(Get_Data!B773,5)</f>
        <v>49.427639999999997</v>
      </c>
      <c r="C774">
        <f>+ROUND(Get_Data!C773,5)</f>
        <v>22.21096</v>
      </c>
      <c r="D774" s="4">
        <f t="shared" si="12"/>
        <v>2.2253716183361725</v>
      </c>
    </row>
    <row r="775" spans="1:4" ht="17" hidden="1" customHeight="1" outlineLevel="1" thickBot="1">
      <c r="A775" s="2">
        <f>+Get_Data!A774</f>
        <v>40567</v>
      </c>
      <c r="B775">
        <f>+ROUND(Get_Data!B774,5)</f>
        <v>49.660269999999997</v>
      </c>
      <c r="C775">
        <f>+ROUND(Get_Data!C774,5)</f>
        <v>22.380800000000001</v>
      </c>
      <c r="D775" s="4">
        <f t="shared" si="12"/>
        <v>2.2188782349156417</v>
      </c>
    </row>
    <row r="776" spans="1:4" ht="17" hidden="1" customHeight="1" outlineLevel="1" thickBot="1">
      <c r="A776" s="2">
        <f>+Get_Data!A775</f>
        <v>40568</v>
      </c>
      <c r="B776">
        <f>+ROUND(Get_Data!B775,5)</f>
        <v>49.352600000000002</v>
      </c>
      <c r="C776">
        <f>+ROUND(Get_Data!C775,5)</f>
        <v>22.278179999999999</v>
      </c>
      <c r="D776" s="4">
        <f t="shared" si="12"/>
        <v>2.2152886815709363</v>
      </c>
    </row>
    <row r="777" spans="1:4" ht="17" hidden="1" customHeight="1" outlineLevel="1" thickBot="1">
      <c r="A777" s="2">
        <f>+Get_Data!A776</f>
        <v>40569</v>
      </c>
      <c r="B777">
        <f>+ROUND(Get_Data!B776,5)</f>
        <v>49.420140000000004</v>
      </c>
      <c r="C777">
        <f>+ROUND(Get_Data!C776,5)</f>
        <v>22.278179999999999</v>
      </c>
      <c r="D777" s="4">
        <f t="shared" si="12"/>
        <v>2.2183203475328779</v>
      </c>
    </row>
    <row r="778" spans="1:4" ht="17" hidden="1" customHeight="1" outlineLevel="1" thickBot="1">
      <c r="A778" s="2">
        <f>+Get_Data!A777</f>
        <v>40570</v>
      </c>
      <c r="B778">
        <f>+ROUND(Get_Data!B777,5)</f>
        <v>49.19502</v>
      </c>
      <c r="C778">
        <f>+ROUND(Get_Data!C777,5)</f>
        <v>22.18618</v>
      </c>
      <c r="D778" s="4">
        <f t="shared" si="12"/>
        <v>2.2173722560621072</v>
      </c>
    </row>
    <row r="779" spans="1:4" ht="17" hidden="1" customHeight="1" outlineLevel="1" thickBot="1">
      <c r="A779" s="2">
        <f>+Get_Data!A778</f>
        <v>40571</v>
      </c>
      <c r="B779">
        <f>+ROUND(Get_Data!B778,5)</f>
        <v>48.324579999999997</v>
      </c>
      <c r="C779">
        <f>+ROUND(Get_Data!C778,5)</f>
        <v>22.012799999999999</v>
      </c>
      <c r="D779" s="4">
        <f t="shared" si="12"/>
        <v>2.1952945558947521</v>
      </c>
    </row>
    <row r="780" spans="1:4" ht="17" hidden="1" customHeight="1" outlineLevel="1" thickBot="1">
      <c r="A780" s="2">
        <f>+Get_Data!A779</f>
        <v>40574</v>
      </c>
      <c r="B780">
        <f>+ROUND(Get_Data!B779,5)</f>
        <v>48.25705</v>
      </c>
      <c r="C780">
        <f>+ROUND(Get_Data!C779,5)</f>
        <v>22.239260000000002</v>
      </c>
      <c r="D780" s="4">
        <f t="shared" si="12"/>
        <v>2.1699035849214408</v>
      </c>
    </row>
    <row r="781" spans="1:4" ht="17" hidden="1" customHeight="1" outlineLevel="1" thickBot="1">
      <c r="A781" s="2">
        <f>+Get_Data!A780</f>
        <v>40575</v>
      </c>
      <c r="B781">
        <f>+ROUND(Get_Data!B780,5)</f>
        <v>48.812339999999999</v>
      </c>
      <c r="C781">
        <f>+ROUND(Get_Data!C780,5)</f>
        <v>22.310030000000001</v>
      </c>
      <c r="D781" s="4">
        <f t="shared" si="12"/>
        <v>2.1879101014207509</v>
      </c>
    </row>
    <row r="782" spans="1:4" ht="17" hidden="1" customHeight="1" outlineLevel="1" thickBot="1">
      <c r="A782" s="2">
        <f>+Get_Data!A781</f>
        <v>40576</v>
      </c>
      <c r="B782">
        <f>+ROUND(Get_Data!B781,5)</f>
        <v>48.512180000000001</v>
      </c>
      <c r="C782">
        <f>+ROUND(Get_Data!C781,5)</f>
        <v>22.242809999999999</v>
      </c>
      <c r="D782" s="4">
        <f t="shared" si="12"/>
        <v>2.1810274870845907</v>
      </c>
    </row>
    <row r="783" spans="1:4" ht="17" hidden="1" customHeight="1" outlineLevel="1" thickBot="1">
      <c r="A783" s="2">
        <f>+Get_Data!A782</f>
        <v>40577</v>
      </c>
      <c r="B783">
        <f>+ROUND(Get_Data!B782,5)</f>
        <v>48.159500000000001</v>
      </c>
      <c r="C783">
        <f>+ROUND(Get_Data!C782,5)</f>
        <v>22.140180000000001</v>
      </c>
      <c r="D783" s="4">
        <f t="shared" si="12"/>
        <v>2.1752081509725758</v>
      </c>
    </row>
    <row r="784" spans="1:4" ht="17" hidden="1" customHeight="1" outlineLevel="1" thickBot="1">
      <c r="A784" s="2">
        <f>+Get_Data!A783</f>
        <v>40578</v>
      </c>
      <c r="B784">
        <f>+ROUND(Get_Data!B783,5)</f>
        <v>47.904350000000001</v>
      </c>
      <c r="C784">
        <f>+ROUND(Get_Data!C783,5)</f>
        <v>22.136649999999999</v>
      </c>
      <c r="D784" s="4">
        <f t="shared" si="12"/>
        <v>2.164028884225933</v>
      </c>
    </row>
    <row r="785" spans="1:4" ht="17" hidden="1" customHeight="1" outlineLevel="1" thickBot="1">
      <c r="A785" s="2">
        <f>+Get_Data!A784</f>
        <v>40581</v>
      </c>
      <c r="B785">
        <f>+ROUND(Get_Data!B784,5)</f>
        <v>47.784320000000001</v>
      </c>
      <c r="C785">
        <f>+ROUND(Get_Data!C784,5)</f>
        <v>22.122489999999999</v>
      </c>
      <c r="D785" s="4">
        <f t="shared" si="12"/>
        <v>2.1599883195788538</v>
      </c>
    </row>
    <row r="786" spans="1:4" ht="17" hidden="1" customHeight="1" outlineLevel="1" thickBot="1">
      <c r="A786" s="2">
        <f>+Get_Data!A785</f>
        <v>40582</v>
      </c>
      <c r="B786">
        <f>+ROUND(Get_Data!B785,5)</f>
        <v>48.151989999999998</v>
      </c>
      <c r="C786">
        <f>+ROUND(Get_Data!C785,5)</f>
        <v>22.24634</v>
      </c>
      <c r="D786" s="4">
        <f t="shared" si="12"/>
        <v>2.1644904285379076</v>
      </c>
    </row>
    <row r="787" spans="1:4" ht="17" hidden="1" customHeight="1" outlineLevel="1" thickBot="1">
      <c r="A787" s="2">
        <f>+Get_Data!A786</f>
        <v>40583</v>
      </c>
      <c r="B787">
        <f>+ROUND(Get_Data!B786,5)</f>
        <v>48.339599999999997</v>
      </c>
      <c r="C787">
        <f>+ROUND(Get_Data!C786,5)</f>
        <v>22.345410000000001</v>
      </c>
      <c r="D787" s="4">
        <f t="shared" si="12"/>
        <v>2.1632899105453869</v>
      </c>
    </row>
    <row r="788" spans="1:4" ht="17" hidden="1" customHeight="1" outlineLevel="1" thickBot="1">
      <c r="A788" s="2">
        <f>+Get_Data!A787</f>
        <v>40584</v>
      </c>
      <c r="B788">
        <f>+ROUND(Get_Data!B787,5)</f>
        <v>47.54419</v>
      </c>
      <c r="C788">
        <f>+ROUND(Get_Data!C787,5)</f>
        <v>22.483409999999999</v>
      </c>
      <c r="D788" s="4">
        <f t="shared" si="12"/>
        <v>2.1146343014693945</v>
      </c>
    </row>
    <row r="789" spans="1:4" ht="17" hidden="1" customHeight="1" outlineLevel="1" thickBot="1">
      <c r="A789" s="2">
        <f>+Get_Data!A788</f>
        <v>40585</v>
      </c>
      <c r="B789">
        <f>+ROUND(Get_Data!B788,5)</f>
        <v>47.926879999999997</v>
      </c>
      <c r="C789">
        <f>+ROUND(Get_Data!C788,5)</f>
        <v>22.494029999999999</v>
      </c>
      <c r="D789" s="4">
        <f t="shared" si="12"/>
        <v>2.1306488877270993</v>
      </c>
    </row>
    <row r="790" spans="1:4" ht="17" hidden="1" customHeight="1" outlineLevel="1" thickBot="1">
      <c r="A790" s="2">
        <f>+Get_Data!A789</f>
        <v>40588</v>
      </c>
      <c r="B790">
        <f>+ROUND(Get_Data!B789,5)</f>
        <v>47.529179999999997</v>
      </c>
      <c r="C790">
        <f>+ROUND(Get_Data!C789,5)</f>
        <v>22.34188</v>
      </c>
      <c r="D790" s="4">
        <f t="shared" si="12"/>
        <v>2.1273581274270561</v>
      </c>
    </row>
    <row r="791" spans="1:4" ht="17" hidden="1" customHeight="1" outlineLevel="1" thickBot="1">
      <c r="A791" s="2">
        <f>+Get_Data!A790</f>
        <v>40589</v>
      </c>
      <c r="B791">
        <f>+ROUND(Get_Data!B790,5)</f>
        <v>48.287059999999997</v>
      </c>
      <c r="C791">
        <f>+ROUND(Get_Data!C790,5)</f>
        <v>22.359570000000001</v>
      </c>
      <c r="D791" s="4">
        <f t="shared" si="12"/>
        <v>2.1595701527354949</v>
      </c>
    </row>
    <row r="792" spans="1:4" ht="17" hidden="1" customHeight="1" outlineLevel="1" thickBot="1">
      <c r="A792" s="2">
        <f>+Get_Data!A791</f>
        <v>40590</v>
      </c>
      <c r="B792">
        <f>+ROUND(Get_Data!B791,5)</f>
        <v>47.994410000000002</v>
      </c>
      <c r="C792">
        <f>+ROUND(Get_Data!C791,5)</f>
        <v>22.433879999999998</v>
      </c>
      <c r="D792" s="4">
        <f t="shared" si="12"/>
        <v>2.1393717894541653</v>
      </c>
    </row>
    <row r="793" spans="1:4" ht="17" hidden="1" customHeight="1" outlineLevel="1" thickBot="1">
      <c r="A793" s="2">
        <f>+Get_Data!A792</f>
        <v>40591</v>
      </c>
      <c r="B793">
        <f>+ROUND(Get_Data!B792,5)</f>
        <v>48.549709999999997</v>
      </c>
      <c r="C793">
        <f>+ROUND(Get_Data!C792,5)</f>
        <v>22.840800000000002</v>
      </c>
      <c r="D793" s="4">
        <f t="shared" si="12"/>
        <v>2.1255695947602535</v>
      </c>
    </row>
    <row r="794" spans="1:4" ht="17" hidden="1" customHeight="1" outlineLevel="1" thickBot="1">
      <c r="A794" s="2">
        <f>+Get_Data!A793</f>
        <v>40592</v>
      </c>
      <c r="B794">
        <f>+ROUND(Get_Data!B793,5)</f>
        <v>47.581710000000001</v>
      </c>
      <c r="C794">
        <f>+ROUND(Get_Data!C793,5)</f>
        <v>22.840800000000002</v>
      </c>
      <c r="D794" s="4">
        <f t="shared" si="12"/>
        <v>2.0831892928443838</v>
      </c>
    </row>
    <row r="795" spans="1:4" ht="17" hidden="1" customHeight="1" outlineLevel="1" thickBot="1">
      <c r="A795" s="2">
        <f>+Get_Data!A794</f>
        <v>40596</v>
      </c>
      <c r="B795">
        <f>+ROUND(Get_Data!B794,5)</f>
        <v>47.386600000000001</v>
      </c>
      <c r="C795">
        <f>+ROUND(Get_Data!C794,5)</f>
        <v>22.561260000000001</v>
      </c>
      <c r="D795" s="4">
        <f t="shared" si="12"/>
        <v>2.1003525512316243</v>
      </c>
    </row>
    <row r="796" spans="1:4" ht="17" hidden="1" customHeight="1" outlineLevel="1" thickBot="1">
      <c r="A796" s="2">
        <f>+Get_Data!A795</f>
        <v>40597</v>
      </c>
      <c r="B796">
        <f>+ROUND(Get_Data!B795,5)</f>
        <v>47.221519999999998</v>
      </c>
      <c r="C796">
        <f>+ROUND(Get_Data!C795,5)</f>
        <v>22.614339999999999</v>
      </c>
      <c r="D796" s="4">
        <f t="shared" si="12"/>
        <v>2.0881228459464216</v>
      </c>
    </row>
    <row r="797" spans="1:4" ht="17" hidden="1" customHeight="1" outlineLevel="1" thickBot="1">
      <c r="A797" s="2">
        <f>+Get_Data!A796</f>
        <v>40598</v>
      </c>
      <c r="B797">
        <f>+ROUND(Get_Data!B796,5)</f>
        <v>47.296570000000003</v>
      </c>
      <c r="C797">
        <f>+ROUND(Get_Data!C796,5)</f>
        <v>22.603729999999999</v>
      </c>
      <c r="D797" s="4">
        <f t="shared" si="12"/>
        <v>2.0924232416508253</v>
      </c>
    </row>
    <row r="798" spans="1:4" ht="17" hidden="1" customHeight="1" outlineLevel="1" thickBot="1">
      <c r="A798" s="2">
        <f>+Get_Data!A797</f>
        <v>40599</v>
      </c>
      <c r="B798">
        <f>+ROUND(Get_Data!B797,5)</f>
        <v>47.724269999999997</v>
      </c>
      <c r="C798">
        <f>+ROUND(Get_Data!C797,5)</f>
        <v>22.755880000000001</v>
      </c>
      <c r="D798" s="4">
        <f t="shared" si="12"/>
        <v>2.0972280570999668</v>
      </c>
    </row>
    <row r="799" spans="1:4" ht="17" hidden="1" customHeight="1" outlineLevel="1" thickBot="1">
      <c r="A799" s="2">
        <f>+Get_Data!A798</f>
        <v>40602</v>
      </c>
      <c r="B799">
        <f>+ROUND(Get_Data!B798,5)</f>
        <v>47.589199999999998</v>
      </c>
      <c r="C799">
        <f>+ROUND(Get_Data!C798,5)</f>
        <v>22.61788</v>
      </c>
      <c r="D799" s="4">
        <f t="shared" si="12"/>
        <v>2.1040521923363285</v>
      </c>
    </row>
    <row r="800" spans="1:4" ht="17" hidden="1" customHeight="1" outlineLevel="1" thickBot="1">
      <c r="A800" s="2">
        <f>+Get_Data!A799</f>
        <v>40603</v>
      </c>
      <c r="B800">
        <f>+ROUND(Get_Data!B799,5)</f>
        <v>47.431609999999999</v>
      </c>
      <c r="C800">
        <f>+ROUND(Get_Data!C799,5)</f>
        <v>22.96819</v>
      </c>
      <c r="D800" s="4">
        <f t="shared" si="12"/>
        <v>2.0651000361804739</v>
      </c>
    </row>
    <row r="801" spans="1:4" ht="17" hidden="1" customHeight="1" outlineLevel="1" thickBot="1">
      <c r="A801" s="2">
        <f>+Get_Data!A800</f>
        <v>40604</v>
      </c>
      <c r="B801">
        <f>+ROUND(Get_Data!B800,5)</f>
        <v>47.590420000000002</v>
      </c>
      <c r="C801">
        <f>+ROUND(Get_Data!C800,5)</f>
        <v>22.79834</v>
      </c>
      <c r="D801" s="4">
        <f t="shared" si="12"/>
        <v>2.0874511038961612</v>
      </c>
    </row>
    <row r="802" spans="1:4" ht="17" hidden="1" customHeight="1" outlineLevel="1" thickBot="1">
      <c r="A802" s="2">
        <f>+Get_Data!A801</f>
        <v>40605</v>
      </c>
      <c r="B802">
        <f>+ROUND(Get_Data!B801,5)</f>
        <v>48.202869999999997</v>
      </c>
      <c r="C802">
        <f>+ROUND(Get_Data!C801,5)</f>
        <v>23.201720000000002</v>
      </c>
      <c r="D802" s="4">
        <f t="shared" si="12"/>
        <v>2.077555888097951</v>
      </c>
    </row>
    <row r="803" spans="1:4" ht="17" hidden="1" customHeight="1" outlineLevel="1" thickBot="1">
      <c r="A803" s="2">
        <f>+Get_Data!A802</f>
        <v>40606</v>
      </c>
      <c r="B803">
        <f>+ROUND(Get_Data!B802,5)</f>
        <v>47.93824</v>
      </c>
      <c r="C803">
        <f>+ROUND(Get_Data!C802,5)</f>
        <v>23.07433</v>
      </c>
      <c r="D803" s="4">
        <f t="shared" si="12"/>
        <v>2.0775571815086287</v>
      </c>
    </row>
    <row r="804" spans="1:4" ht="17" hidden="1" customHeight="1" outlineLevel="1" thickBot="1">
      <c r="A804" s="2">
        <f>+Get_Data!A803</f>
        <v>40609</v>
      </c>
      <c r="B804">
        <f>+ROUND(Get_Data!B803,5)</f>
        <v>47.991169999999997</v>
      </c>
      <c r="C804">
        <f>+ROUND(Get_Data!C803,5)</f>
        <v>23.07788</v>
      </c>
      <c r="D804" s="4">
        <f t="shared" si="12"/>
        <v>2.0795311354422501</v>
      </c>
    </row>
    <row r="805" spans="1:4" ht="17" hidden="1" customHeight="1" outlineLevel="1" thickBot="1">
      <c r="A805" s="2">
        <f>+Get_Data!A804</f>
        <v>40610</v>
      </c>
      <c r="B805">
        <f>+ROUND(Get_Data!B804,5)</f>
        <v>48.23312</v>
      </c>
      <c r="C805">
        <f>+ROUND(Get_Data!C804,5)</f>
        <v>23.226489999999998</v>
      </c>
      <c r="D805" s="4">
        <f t="shared" si="12"/>
        <v>2.0766426610305735</v>
      </c>
    </row>
    <row r="806" spans="1:4" ht="17" hidden="1" customHeight="1" outlineLevel="1" thickBot="1">
      <c r="A806" s="2">
        <f>+Get_Data!A805</f>
        <v>40611</v>
      </c>
      <c r="B806">
        <f>+ROUND(Get_Data!B805,5)</f>
        <v>48.883389999999999</v>
      </c>
      <c r="C806">
        <f>+ROUND(Get_Data!C805,5)</f>
        <v>23.21942</v>
      </c>
      <c r="D806" s="4">
        <f t="shared" si="12"/>
        <v>2.1052804075209459</v>
      </c>
    </row>
    <row r="807" spans="1:4" ht="17" hidden="1" customHeight="1" outlineLevel="1" thickBot="1">
      <c r="A807" s="2">
        <f>+Get_Data!A806</f>
        <v>40612</v>
      </c>
      <c r="B807">
        <f>+ROUND(Get_Data!B806,5)</f>
        <v>48.717030000000001</v>
      </c>
      <c r="C807">
        <f>+ROUND(Get_Data!C806,5)</f>
        <v>23.102650000000001</v>
      </c>
      <c r="D807" s="4">
        <f t="shared" si="12"/>
        <v>2.1087204281759884</v>
      </c>
    </row>
    <row r="808" spans="1:4" ht="17" hidden="1" customHeight="1" outlineLevel="1" thickBot="1">
      <c r="A808" s="2">
        <f>+Get_Data!A807</f>
        <v>40613</v>
      </c>
      <c r="B808">
        <f>+ROUND(Get_Data!B807,5)</f>
        <v>48.883389999999999</v>
      </c>
      <c r="C808">
        <f>+ROUND(Get_Data!C807,5)</f>
        <v>23.267800000000001</v>
      </c>
      <c r="D808" s="4">
        <f t="shared" si="12"/>
        <v>2.1009029646120387</v>
      </c>
    </row>
    <row r="809" spans="1:4" ht="17" hidden="1" customHeight="1" outlineLevel="1" thickBot="1">
      <c r="A809" s="2">
        <f>+Get_Data!A808</f>
        <v>40616</v>
      </c>
      <c r="B809">
        <f>+ROUND(Get_Data!B808,5)</f>
        <v>48.497779999999999</v>
      </c>
      <c r="C809">
        <f>+ROUND(Get_Data!C808,5)</f>
        <v>22.955459999999999</v>
      </c>
      <c r="D809" s="4">
        <f t="shared" si="12"/>
        <v>2.112690401325001</v>
      </c>
    </row>
    <row r="810" spans="1:4" ht="17" hidden="1" customHeight="1" outlineLevel="1" thickBot="1">
      <c r="A810" s="2">
        <f>+Get_Data!A809</f>
        <v>40617</v>
      </c>
      <c r="B810">
        <f>+ROUND(Get_Data!B809,5)</f>
        <v>47.643329999999999</v>
      </c>
      <c r="C810">
        <f>+ROUND(Get_Data!C809,5)</f>
        <v>22.62875</v>
      </c>
      <c r="D810" s="4">
        <f t="shared" si="12"/>
        <v>2.1054335745456552</v>
      </c>
    </row>
    <row r="811" spans="1:4" ht="17" hidden="1" customHeight="1" outlineLevel="1" thickBot="1">
      <c r="A811" s="2">
        <f>+Get_Data!A810</f>
        <v>40618</v>
      </c>
      <c r="B811">
        <f>+ROUND(Get_Data!B810,5)</f>
        <v>47.114060000000002</v>
      </c>
      <c r="C811">
        <f>+ROUND(Get_Data!C810,5)</f>
        <v>22.115349999999999</v>
      </c>
      <c r="D811" s="4">
        <f t="shared" si="12"/>
        <v>2.1303782214615641</v>
      </c>
    </row>
    <row r="812" spans="1:4" ht="17" hidden="1" customHeight="1" outlineLevel="1" thickBot="1">
      <c r="A812" s="2">
        <f>+Get_Data!A811</f>
        <v>40619</v>
      </c>
      <c r="B812">
        <f>+ROUND(Get_Data!B811,5)</f>
        <v>47.696269999999998</v>
      </c>
      <c r="C812">
        <f>+ROUND(Get_Data!C811,5)</f>
        <v>22.359490000000001</v>
      </c>
      <c r="D812" s="4">
        <f t="shared" si="12"/>
        <v>2.1331555415619943</v>
      </c>
    </row>
    <row r="813" spans="1:4" ht="17" hidden="1" customHeight="1" outlineLevel="1" thickBot="1">
      <c r="A813" s="2">
        <f>+Get_Data!A812</f>
        <v>40620</v>
      </c>
      <c r="B813">
        <f>+ROUND(Get_Data!B812,5)</f>
        <v>47.817259999999997</v>
      </c>
      <c r="C813">
        <f>+ROUND(Get_Data!C812,5)</f>
        <v>22.510269999999998</v>
      </c>
      <c r="D813" s="4">
        <f t="shared" si="12"/>
        <v>2.1242419571155744</v>
      </c>
    </row>
    <row r="814" spans="1:4" ht="17" hidden="1" customHeight="1" outlineLevel="1" thickBot="1">
      <c r="A814" s="2">
        <f>+Get_Data!A813</f>
        <v>40623</v>
      </c>
      <c r="B814">
        <f>+ROUND(Get_Data!B813,5)</f>
        <v>48.46752</v>
      </c>
      <c r="C814">
        <f>+ROUND(Get_Data!C813,5)</f>
        <v>22.822620000000001</v>
      </c>
      <c r="D814" s="4">
        <f t="shared" si="12"/>
        <v>2.1236615252762392</v>
      </c>
    </row>
    <row r="815" spans="1:4" ht="17" hidden="1" customHeight="1" outlineLevel="1" thickBot="1">
      <c r="A815" s="2">
        <f>+Get_Data!A814</f>
        <v>40624</v>
      </c>
      <c r="B815">
        <f>+ROUND(Get_Data!B814,5)</f>
        <v>48.346530000000001</v>
      </c>
      <c r="C815">
        <f>+ROUND(Get_Data!C814,5)</f>
        <v>22.801069999999999</v>
      </c>
      <c r="D815" s="4">
        <f t="shared" si="12"/>
        <v>2.1203623338729281</v>
      </c>
    </row>
    <row r="816" spans="1:4" ht="17" hidden="1" customHeight="1" outlineLevel="1" thickBot="1">
      <c r="A816" s="2">
        <f>+Get_Data!A815</f>
        <v>40625</v>
      </c>
      <c r="B816">
        <f>+ROUND(Get_Data!B815,5)</f>
        <v>48.543129999999998</v>
      </c>
      <c r="C816">
        <f>+ROUND(Get_Data!C815,5)</f>
        <v>23.073930000000001</v>
      </c>
      <c r="D816" s="4">
        <f t="shared" si="12"/>
        <v>2.1038084972954323</v>
      </c>
    </row>
    <row r="817" spans="1:4" ht="17" hidden="1" customHeight="1" outlineLevel="1" thickBot="1">
      <c r="A817" s="2">
        <f>+Get_Data!A816</f>
        <v>40626</v>
      </c>
      <c r="B817">
        <f>+ROUND(Get_Data!B816,5)</f>
        <v>48.543129999999998</v>
      </c>
      <c r="C817">
        <f>+ROUND(Get_Data!C816,5)</f>
        <v>23.224710000000002</v>
      </c>
      <c r="D817" s="4">
        <f t="shared" si="12"/>
        <v>2.0901501030583374</v>
      </c>
    </row>
    <row r="818" spans="1:4" ht="17" hidden="1" customHeight="1" outlineLevel="1" thickBot="1">
      <c r="A818" s="2">
        <f>+Get_Data!A817</f>
        <v>40627</v>
      </c>
      <c r="B818">
        <f>+ROUND(Get_Data!B817,5)</f>
        <v>48.37679</v>
      </c>
      <c r="C818">
        <f>+ROUND(Get_Data!C817,5)</f>
        <v>23.414999999999999</v>
      </c>
      <c r="D818" s="4">
        <f t="shared" si="12"/>
        <v>2.0660597907324365</v>
      </c>
    </row>
    <row r="819" spans="1:4" ht="17" hidden="1" customHeight="1" outlineLevel="1" thickBot="1">
      <c r="A819" s="2">
        <f>+Get_Data!A818</f>
        <v>40630</v>
      </c>
      <c r="B819">
        <f>+ROUND(Get_Data!B818,5)</f>
        <v>48.648989999999998</v>
      </c>
      <c r="C819">
        <f>+ROUND(Get_Data!C818,5)</f>
        <v>23.346769999999999</v>
      </c>
      <c r="D819" s="4">
        <f t="shared" si="12"/>
        <v>2.0837567680668458</v>
      </c>
    </row>
    <row r="820" spans="1:4" ht="17" hidden="1" customHeight="1" outlineLevel="1" thickBot="1">
      <c r="A820" s="2">
        <f>+Get_Data!A819</f>
        <v>40631</v>
      </c>
      <c r="B820">
        <f>+ROUND(Get_Data!B819,5)</f>
        <v>48.512900000000002</v>
      </c>
      <c r="C820">
        <f>+ROUND(Get_Data!C819,5)</f>
        <v>23.5945</v>
      </c>
      <c r="D820" s="4">
        <f t="shared" si="12"/>
        <v>2.0561105342346733</v>
      </c>
    </row>
    <row r="821" spans="1:4" ht="17" hidden="1" customHeight="1" outlineLevel="1" thickBot="1">
      <c r="A821" s="2">
        <f>+Get_Data!A820</f>
        <v>40632</v>
      </c>
      <c r="B821">
        <f>+ROUND(Get_Data!B820,5)</f>
        <v>49.185839999999999</v>
      </c>
      <c r="C821">
        <f>+ROUND(Get_Data!C820,5)</f>
        <v>23.709379999999999</v>
      </c>
      <c r="D821" s="4">
        <f t="shared" si="12"/>
        <v>2.0745308396929825</v>
      </c>
    </row>
    <row r="822" spans="1:4" ht="17" hidden="1" customHeight="1" outlineLevel="1" thickBot="1">
      <c r="A822" s="2">
        <f>+Get_Data!A821</f>
        <v>40633</v>
      </c>
      <c r="B822">
        <f>+ROUND(Get_Data!B821,5)</f>
        <v>48.701920000000001</v>
      </c>
      <c r="C822">
        <f>+ROUND(Get_Data!C821,5)</f>
        <v>23.81709</v>
      </c>
      <c r="D822" s="4">
        <f t="shared" si="12"/>
        <v>2.0448308336576804</v>
      </c>
    </row>
    <row r="823" spans="1:4" ht="17" hidden="1" customHeight="1" outlineLevel="1" thickBot="1">
      <c r="A823" s="2">
        <f>+Get_Data!A822</f>
        <v>40634</v>
      </c>
      <c r="B823">
        <f>+ROUND(Get_Data!B822,5)</f>
        <v>49.31438</v>
      </c>
      <c r="C823">
        <f>+ROUND(Get_Data!C822,5)</f>
        <v>24.133030000000002</v>
      </c>
      <c r="D823" s="4">
        <f t="shared" si="12"/>
        <v>2.0434392200233455</v>
      </c>
    </row>
    <row r="824" spans="1:4" ht="17" hidden="1" customHeight="1" outlineLevel="1" thickBot="1">
      <c r="A824" s="2">
        <f>+Get_Data!A823</f>
        <v>40637</v>
      </c>
      <c r="B824">
        <f>+ROUND(Get_Data!B823,5)</f>
        <v>49.216079999999998</v>
      </c>
      <c r="C824">
        <f>+ROUND(Get_Data!C823,5)</f>
        <v>24.290990000000001</v>
      </c>
      <c r="D824" s="4">
        <f t="shared" si="12"/>
        <v>2.0261043292183643</v>
      </c>
    </row>
    <row r="825" spans="1:4" ht="17" hidden="1" customHeight="1" outlineLevel="1" thickBot="1">
      <c r="A825" s="2">
        <f>+Get_Data!A824</f>
        <v>40638</v>
      </c>
      <c r="B825">
        <f>+ROUND(Get_Data!B824,5)</f>
        <v>49.586579999999998</v>
      </c>
      <c r="C825">
        <f>+ROUND(Get_Data!C824,5)</f>
        <v>24.22278</v>
      </c>
      <c r="D825" s="4">
        <f t="shared" si="12"/>
        <v>2.0471052455581069</v>
      </c>
    </row>
    <row r="826" spans="1:4" ht="17" hidden="1" customHeight="1" outlineLevel="1" thickBot="1">
      <c r="A826" s="2">
        <f>+Get_Data!A825</f>
        <v>40639</v>
      </c>
      <c r="B826">
        <f>+ROUND(Get_Data!B825,5)</f>
        <v>49.715110000000003</v>
      </c>
      <c r="C826">
        <f>+ROUND(Get_Data!C825,5)</f>
        <v>24.28021</v>
      </c>
      <c r="D826" s="4">
        <f t="shared" si="12"/>
        <v>2.0475568374408626</v>
      </c>
    </row>
    <row r="827" spans="1:4" ht="17" hidden="1" customHeight="1" outlineLevel="1" thickBot="1">
      <c r="A827" s="2">
        <f>+Get_Data!A826</f>
        <v>40640</v>
      </c>
      <c r="B827">
        <f>+ROUND(Get_Data!B826,5)</f>
        <v>49.843649999999997</v>
      </c>
      <c r="C827">
        <f>+ROUND(Get_Data!C826,5)</f>
        <v>24.212009999999999</v>
      </c>
      <c r="D827" s="4">
        <f t="shared" si="12"/>
        <v>2.0586332981028836</v>
      </c>
    </row>
    <row r="828" spans="1:4" ht="17" hidden="1" customHeight="1" outlineLevel="1" thickBot="1">
      <c r="A828" s="2">
        <f>+Get_Data!A827</f>
        <v>40641</v>
      </c>
      <c r="B828">
        <f>+ROUND(Get_Data!B827,5)</f>
        <v>49.700009999999999</v>
      </c>
      <c r="C828">
        <f>+ROUND(Get_Data!C827,5)</f>
        <v>24.150970000000001</v>
      </c>
      <c r="D828" s="4">
        <f t="shared" si="12"/>
        <v>2.0578887721693992</v>
      </c>
    </row>
    <row r="829" spans="1:4" ht="17" hidden="1" customHeight="1" outlineLevel="1" thickBot="1">
      <c r="A829" s="2">
        <f>+Get_Data!A828</f>
        <v>40644</v>
      </c>
      <c r="B829">
        <f>+ROUND(Get_Data!B828,5)</f>
        <v>49.934379999999997</v>
      </c>
      <c r="C829">
        <f>+ROUND(Get_Data!C828,5)</f>
        <v>24.197649999999999</v>
      </c>
      <c r="D829" s="4">
        <f t="shared" si="12"/>
        <v>2.0636045235797691</v>
      </c>
    </row>
    <row r="830" spans="1:4" ht="17" hidden="1" customHeight="1" outlineLevel="1" thickBot="1">
      <c r="A830" s="2">
        <f>+Get_Data!A829</f>
        <v>40645</v>
      </c>
      <c r="B830">
        <f>+ROUND(Get_Data!B829,5)</f>
        <v>50.335129999999999</v>
      </c>
      <c r="C830">
        <f>+ROUND(Get_Data!C829,5)</f>
        <v>24.018139999999999</v>
      </c>
      <c r="D830" s="4">
        <f t="shared" si="12"/>
        <v>2.0957130735352529</v>
      </c>
    </row>
    <row r="831" spans="1:4" ht="17" hidden="1" customHeight="1" outlineLevel="1" thickBot="1">
      <c r="A831" s="2">
        <f>+Get_Data!A830</f>
        <v>40646</v>
      </c>
      <c r="B831">
        <f>+ROUND(Get_Data!B830,5)</f>
        <v>50.244410000000002</v>
      </c>
      <c r="C831">
        <f>+ROUND(Get_Data!C830,5)</f>
        <v>24.15456</v>
      </c>
      <c r="D831" s="4">
        <f t="shared" si="12"/>
        <v>2.080121103427262</v>
      </c>
    </row>
    <row r="832" spans="1:4" ht="17" hidden="1" customHeight="1" outlineLevel="1" thickBot="1">
      <c r="A832" s="2">
        <f>+Get_Data!A831</f>
        <v>40647</v>
      </c>
      <c r="B832">
        <f>+ROUND(Get_Data!B831,5)</f>
        <v>50.433439999999997</v>
      </c>
      <c r="C832">
        <f>+ROUND(Get_Data!C831,5)</f>
        <v>24.524349999999998</v>
      </c>
      <c r="D832" s="4">
        <f t="shared" si="12"/>
        <v>2.0564638818154202</v>
      </c>
    </row>
    <row r="833" spans="1:4" ht="17" hidden="1" customHeight="1" outlineLevel="1" thickBot="1">
      <c r="A833" s="2">
        <f>+Get_Data!A832</f>
        <v>40648</v>
      </c>
      <c r="B833">
        <f>+ROUND(Get_Data!B832,5)</f>
        <v>50.743450000000003</v>
      </c>
      <c r="C833">
        <f>+ROUND(Get_Data!C832,5)</f>
        <v>24.416650000000001</v>
      </c>
      <c r="D833" s="4">
        <f t="shared" si="12"/>
        <v>2.078231452717715</v>
      </c>
    </row>
    <row r="834" spans="1:4" ht="17" hidden="1" customHeight="1" outlineLevel="1" thickBot="1">
      <c r="A834" s="2">
        <f>+Get_Data!A833</f>
        <v>40651</v>
      </c>
      <c r="B834">
        <f>+ROUND(Get_Data!B833,5)</f>
        <v>50.773690000000002</v>
      </c>
      <c r="C834">
        <f>+ROUND(Get_Data!C833,5)</f>
        <v>24.165330000000001</v>
      </c>
      <c r="D834" s="4">
        <f t="shared" si="12"/>
        <v>2.1010964882333494</v>
      </c>
    </row>
    <row r="835" spans="1:4" ht="17" hidden="1" customHeight="1" outlineLevel="1" thickBot="1">
      <c r="A835" s="2">
        <f>+Get_Data!A834</f>
        <v>40652</v>
      </c>
      <c r="B835">
        <f>+ROUND(Get_Data!B834,5)</f>
        <v>50.51661</v>
      </c>
      <c r="C835">
        <f>+ROUND(Get_Data!C834,5)</f>
        <v>24.086349999999999</v>
      </c>
      <c r="D835" s="4">
        <f t="shared" si="12"/>
        <v>2.0973127933456088</v>
      </c>
    </row>
    <row r="836" spans="1:4" ht="17" hidden="1" customHeight="1" outlineLevel="1" thickBot="1">
      <c r="A836" s="2">
        <f>+Get_Data!A835</f>
        <v>40653</v>
      </c>
      <c r="B836">
        <f>+ROUND(Get_Data!B835,5)</f>
        <v>50.909799999999997</v>
      </c>
      <c r="C836">
        <f>+ROUND(Get_Data!C835,5)</f>
        <v>24.359210000000001</v>
      </c>
      <c r="D836" s="4">
        <f t="shared" ref="D836:D899" si="13">IFERROR(B836/C836,"")</f>
        <v>2.0899610455347277</v>
      </c>
    </row>
    <row r="837" spans="1:4" ht="17" hidden="1" customHeight="1" outlineLevel="1" thickBot="1">
      <c r="A837" s="2">
        <f>+Get_Data!A836</f>
        <v>40654</v>
      </c>
      <c r="B837">
        <f>+ROUND(Get_Data!B836,5)</f>
        <v>50.970289999999999</v>
      </c>
      <c r="C837">
        <f>+ROUND(Get_Data!C836,5)</f>
        <v>24.369969999999999</v>
      </c>
      <c r="D837" s="4">
        <f t="shared" si="13"/>
        <v>2.0915204245224759</v>
      </c>
    </row>
    <row r="838" spans="1:4" ht="17" hidden="1" customHeight="1" outlineLevel="1" thickBot="1">
      <c r="A838" s="2">
        <f>+Get_Data!A837</f>
        <v>40658</v>
      </c>
      <c r="B838">
        <f>+ROUND(Get_Data!B837,5)</f>
        <v>50.682969999999997</v>
      </c>
      <c r="C838">
        <f>+ROUND(Get_Data!C837,5)</f>
        <v>24.319710000000001</v>
      </c>
      <c r="D838" s="4">
        <f t="shared" si="13"/>
        <v>2.0840285513272976</v>
      </c>
    </row>
    <row r="839" spans="1:4" ht="17" hidden="1" customHeight="1" outlineLevel="1" thickBot="1">
      <c r="A839" s="2">
        <f>+Get_Data!A838</f>
        <v>40659</v>
      </c>
      <c r="B839">
        <f>+ROUND(Get_Data!B838,5)</f>
        <v>51.197130000000001</v>
      </c>
      <c r="C839">
        <f>+ROUND(Get_Data!C838,5)</f>
        <v>24.02891</v>
      </c>
      <c r="D839" s="4">
        <f t="shared" si="13"/>
        <v>2.1306472078841696</v>
      </c>
    </row>
    <row r="840" spans="1:4" ht="17" hidden="1" customHeight="1" outlineLevel="1" thickBot="1">
      <c r="A840" s="2">
        <f>+Get_Data!A839</f>
        <v>40660</v>
      </c>
      <c r="B840">
        <f>+ROUND(Get_Data!B839,5)</f>
        <v>51.363480000000003</v>
      </c>
      <c r="C840">
        <f>+ROUND(Get_Data!C839,5)</f>
        <v>24.054040000000001</v>
      </c>
      <c r="D840" s="4">
        <f t="shared" si="13"/>
        <v>2.1353369330058487</v>
      </c>
    </row>
    <row r="841" spans="1:4" ht="17" hidden="1" customHeight="1" outlineLevel="1" thickBot="1">
      <c r="A841" s="2">
        <f>+Get_Data!A840</f>
        <v>40661</v>
      </c>
      <c r="B841">
        <f>+ROUND(Get_Data!B840,5)</f>
        <v>52.716940000000001</v>
      </c>
      <c r="C841">
        <f>+ROUND(Get_Data!C840,5)</f>
        <v>24.201229999999999</v>
      </c>
      <c r="D841" s="4">
        <f t="shared" si="13"/>
        <v>2.1782752364239339</v>
      </c>
    </row>
    <row r="842" spans="1:4" ht="17" hidden="1" customHeight="1" outlineLevel="1" thickBot="1">
      <c r="A842" s="2">
        <f>+Get_Data!A841</f>
        <v>40662</v>
      </c>
      <c r="B842">
        <f>+ROUND(Get_Data!B841,5)</f>
        <v>52.08934</v>
      </c>
      <c r="C842">
        <f>+ROUND(Get_Data!C841,5)</f>
        <v>24.219180000000001</v>
      </c>
      <c r="D842" s="4">
        <f t="shared" si="13"/>
        <v>2.150747465438549</v>
      </c>
    </row>
    <row r="843" spans="1:4" ht="17" hidden="1" customHeight="1" outlineLevel="1" thickBot="1">
      <c r="A843" s="2">
        <f>+Get_Data!A842</f>
        <v>40665</v>
      </c>
      <c r="B843">
        <f>+ROUND(Get_Data!B842,5)</f>
        <v>52.406910000000003</v>
      </c>
      <c r="C843">
        <f>+ROUND(Get_Data!C842,5)</f>
        <v>24.312529999999999</v>
      </c>
      <c r="D843" s="4">
        <f t="shared" si="13"/>
        <v>2.1555514790110286</v>
      </c>
    </row>
    <row r="844" spans="1:4" ht="17" hidden="1" customHeight="1" outlineLevel="1" thickBot="1">
      <c r="A844" s="2">
        <f>+Get_Data!A843</f>
        <v>40666</v>
      </c>
      <c r="B844">
        <f>+ROUND(Get_Data!B843,5)</f>
        <v>52.618630000000003</v>
      </c>
      <c r="C844">
        <f>+ROUND(Get_Data!C843,5)</f>
        <v>24.369969999999999</v>
      </c>
      <c r="D844" s="4">
        <f t="shared" si="13"/>
        <v>2.1591585873925987</v>
      </c>
    </row>
    <row r="845" spans="1:4" ht="17" hidden="1" customHeight="1" outlineLevel="1" thickBot="1">
      <c r="A845" s="2">
        <f>+Get_Data!A844</f>
        <v>40667</v>
      </c>
      <c r="B845">
        <f>+ROUND(Get_Data!B844,5)</f>
        <v>52.800109999999997</v>
      </c>
      <c r="C845">
        <f>+ROUND(Get_Data!C844,5)</f>
        <v>24.219180000000001</v>
      </c>
      <c r="D845" s="4">
        <f t="shared" si="13"/>
        <v>2.1800948669608133</v>
      </c>
    </row>
    <row r="846" spans="1:4" ht="17" hidden="1" customHeight="1" outlineLevel="1" thickBot="1">
      <c r="A846" s="2">
        <f>+Get_Data!A845</f>
        <v>40668</v>
      </c>
      <c r="B846">
        <f>+ROUND(Get_Data!B845,5)</f>
        <v>52.043979999999998</v>
      </c>
      <c r="C846">
        <f>+ROUND(Get_Data!C845,5)</f>
        <v>23.94633</v>
      </c>
      <c r="D846" s="4">
        <f t="shared" si="13"/>
        <v>2.1733593414940828</v>
      </c>
    </row>
    <row r="847" spans="1:4" ht="17" hidden="1" customHeight="1" outlineLevel="1" thickBot="1">
      <c r="A847" s="2">
        <f>+Get_Data!A846</f>
        <v>40669</v>
      </c>
      <c r="B847">
        <f>+ROUND(Get_Data!B846,5)</f>
        <v>52.376669999999997</v>
      </c>
      <c r="C847">
        <f>+ROUND(Get_Data!C846,5)</f>
        <v>24.018139999999999</v>
      </c>
      <c r="D847" s="4">
        <f t="shared" si="13"/>
        <v>2.1807129944283781</v>
      </c>
    </row>
    <row r="848" spans="1:4" ht="17" hidden="1" customHeight="1" outlineLevel="1" thickBot="1">
      <c r="A848" s="2">
        <f>+Get_Data!A847</f>
        <v>40672</v>
      </c>
      <c r="B848">
        <f>+ROUND(Get_Data!B847,5)</f>
        <v>52.792540000000002</v>
      </c>
      <c r="C848">
        <f>+ROUND(Get_Data!C847,5)</f>
        <v>24.036090000000002</v>
      </c>
      <c r="D848" s="4">
        <f t="shared" si="13"/>
        <v>2.1963863506918138</v>
      </c>
    </row>
    <row r="849" spans="1:4" ht="17" hidden="1" customHeight="1" outlineLevel="1" thickBot="1">
      <c r="A849" s="2">
        <f>+Get_Data!A848</f>
        <v>40673</v>
      </c>
      <c r="B849">
        <f>+ROUND(Get_Data!B848,5)</f>
        <v>52.951329999999999</v>
      </c>
      <c r="C849">
        <f>+ROUND(Get_Data!C848,5)</f>
        <v>24.176100000000002</v>
      </c>
      <c r="D849" s="4">
        <f t="shared" si="13"/>
        <v>2.1902345705055817</v>
      </c>
    </row>
    <row r="850" spans="1:4" ht="17" hidden="1" customHeight="1" outlineLevel="1" thickBot="1">
      <c r="A850" s="2">
        <f>+Get_Data!A849</f>
        <v>40674</v>
      </c>
      <c r="B850">
        <f>+ROUND(Get_Data!B849,5)</f>
        <v>53.079859999999996</v>
      </c>
      <c r="C850">
        <f>+ROUND(Get_Data!C849,5)</f>
        <v>24.16892</v>
      </c>
      <c r="D850" s="4">
        <f t="shared" si="13"/>
        <v>2.196203222982243</v>
      </c>
    </row>
    <row r="851" spans="1:4" ht="17" hidden="1" customHeight="1" outlineLevel="1" thickBot="1">
      <c r="A851" s="2">
        <f>+Get_Data!A850</f>
        <v>40675</v>
      </c>
      <c r="B851">
        <f>+ROUND(Get_Data!B850,5)</f>
        <v>53.654530000000001</v>
      </c>
      <c r="C851">
        <f>+ROUND(Get_Data!C850,5)</f>
        <v>24.524349999999998</v>
      </c>
      <c r="D851" s="4">
        <f t="shared" si="13"/>
        <v>2.1878064046549657</v>
      </c>
    </row>
    <row r="852" spans="1:4" ht="17" hidden="1" customHeight="1" outlineLevel="1" thickBot="1">
      <c r="A852" s="2">
        <f>+Get_Data!A851</f>
        <v>40676</v>
      </c>
      <c r="B852">
        <f>+ROUND(Get_Data!B851,5)</f>
        <v>53.352069999999998</v>
      </c>
      <c r="C852">
        <f>+ROUND(Get_Data!C851,5)</f>
        <v>24.477689999999999</v>
      </c>
      <c r="D852" s="4">
        <f t="shared" si="13"/>
        <v>2.1796202991377047</v>
      </c>
    </row>
    <row r="853" spans="1:4" ht="17" hidden="1" customHeight="1" outlineLevel="1" thickBot="1">
      <c r="A853" s="2">
        <f>+Get_Data!A852</f>
        <v>40679</v>
      </c>
      <c r="B853">
        <f>+ROUND(Get_Data!B852,5)</f>
        <v>53.47307</v>
      </c>
      <c r="C853">
        <f>+ROUND(Get_Data!C852,5)</f>
        <v>24.352029999999999</v>
      </c>
      <c r="D853" s="4">
        <f t="shared" si="13"/>
        <v>2.1958362403462872</v>
      </c>
    </row>
    <row r="854" spans="1:4" ht="17" hidden="1" customHeight="1" outlineLevel="1" thickBot="1">
      <c r="A854" s="2">
        <f>+Get_Data!A853</f>
        <v>40680</v>
      </c>
      <c r="B854">
        <f>+ROUND(Get_Data!B853,5)</f>
        <v>53.767940000000003</v>
      </c>
      <c r="C854">
        <f>+ROUND(Get_Data!C853,5)</f>
        <v>24.409469999999999</v>
      </c>
      <c r="D854" s="4">
        <f t="shared" si="13"/>
        <v>2.2027491789047451</v>
      </c>
    </row>
    <row r="855" spans="1:4" ht="17" hidden="1" customHeight="1" outlineLevel="1" thickBot="1">
      <c r="A855" s="2">
        <f>+Get_Data!A854</f>
        <v>40681</v>
      </c>
      <c r="B855">
        <f>+ROUND(Get_Data!B854,5)</f>
        <v>53.888919999999999</v>
      </c>
      <c r="C855">
        <f>+ROUND(Get_Data!C854,5)</f>
        <v>24.520759999999999</v>
      </c>
      <c r="D855" s="4">
        <f t="shared" si="13"/>
        <v>2.1976855529763353</v>
      </c>
    </row>
    <row r="856" spans="1:4" ht="17" hidden="1" customHeight="1" outlineLevel="1" thickBot="1">
      <c r="A856" s="2">
        <f>+Get_Data!A855</f>
        <v>40682</v>
      </c>
      <c r="B856">
        <f>+ROUND(Get_Data!B855,5)</f>
        <v>54.274549999999998</v>
      </c>
      <c r="C856">
        <f>+ROUND(Get_Data!C855,5)</f>
        <v>24.578199999999999</v>
      </c>
      <c r="D856" s="4">
        <f t="shared" si="13"/>
        <v>2.208239415416914</v>
      </c>
    </row>
    <row r="857" spans="1:4" ht="17" hidden="1" customHeight="1" outlineLevel="1" thickBot="1">
      <c r="A857" s="2">
        <f>+Get_Data!A856</f>
        <v>40683</v>
      </c>
      <c r="B857">
        <f>+ROUND(Get_Data!B856,5)</f>
        <v>53.911610000000003</v>
      </c>
      <c r="C857">
        <f>+ROUND(Get_Data!C856,5)</f>
        <v>24.520759999999999</v>
      </c>
      <c r="D857" s="4">
        <f t="shared" si="13"/>
        <v>2.1986108913426827</v>
      </c>
    </row>
    <row r="858" spans="1:4" ht="17" hidden="1" customHeight="1" outlineLevel="1" thickBot="1">
      <c r="A858" s="2">
        <f>+Get_Data!A857</f>
        <v>40686</v>
      </c>
      <c r="B858">
        <f>+ROUND(Get_Data!B857,5)</f>
        <v>53.715020000000003</v>
      </c>
      <c r="C858">
        <f>+ROUND(Get_Data!C857,5)</f>
        <v>24.229959999999998</v>
      </c>
      <c r="D858" s="4">
        <f t="shared" si="13"/>
        <v>2.2168843861071172</v>
      </c>
    </row>
    <row r="859" spans="1:4" ht="17" hidden="1" customHeight="1" outlineLevel="1" thickBot="1">
      <c r="A859" s="2">
        <f>+Get_Data!A858</f>
        <v>40687</v>
      </c>
      <c r="B859">
        <f>+ROUND(Get_Data!B858,5)</f>
        <v>53.669670000000004</v>
      </c>
      <c r="C859">
        <f>+ROUND(Get_Data!C858,5)</f>
        <v>24.22278</v>
      </c>
      <c r="D859" s="4">
        <f t="shared" si="13"/>
        <v>2.2156692997253002</v>
      </c>
    </row>
    <row r="860" spans="1:4" ht="17" hidden="1" customHeight="1" outlineLevel="1" thickBot="1">
      <c r="A860" s="2">
        <f>+Get_Data!A859</f>
        <v>40688</v>
      </c>
      <c r="B860">
        <f>+ROUND(Get_Data!B859,5)</f>
        <v>53.268909999999998</v>
      </c>
      <c r="C860">
        <f>+ROUND(Get_Data!C859,5)</f>
        <v>24.021730000000002</v>
      </c>
      <c r="D860" s="4">
        <f t="shared" si="13"/>
        <v>2.217530127930003</v>
      </c>
    </row>
    <row r="861" spans="1:4" ht="17" hidden="1" customHeight="1" outlineLevel="1" thickBot="1">
      <c r="A861" s="2">
        <f>+Get_Data!A860</f>
        <v>40689</v>
      </c>
      <c r="B861">
        <f>+ROUND(Get_Data!B860,5)</f>
        <v>53.246209999999998</v>
      </c>
      <c r="C861">
        <f>+ROUND(Get_Data!C860,5)</f>
        <v>23.94633</v>
      </c>
      <c r="D861" s="4">
        <f t="shared" si="13"/>
        <v>2.2235645295124553</v>
      </c>
    </row>
    <row r="862" spans="1:4" ht="17" hidden="1" customHeight="1" outlineLevel="1" thickBot="1">
      <c r="A862" s="2">
        <f>+Get_Data!A861</f>
        <v>40690</v>
      </c>
      <c r="B862">
        <f>+ROUND(Get_Data!B861,5)</f>
        <v>53.231099999999998</v>
      </c>
      <c r="C862">
        <f>+ROUND(Get_Data!C861,5)</f>
        <v>23.878129999999999</v>
      </c>
      <c r="D862" s="4">
        <f t="shared" si="13"/>
        <v>2.2292826113267665</v>
      </c>
    </row>
    <row r="863" spans="1:4" ht="17" hidden="1" customHeight="1" outlineLevel="1" thickBot="1">
      <c r="A863" s="2">
        <f>+Get_Data!A862</f>
        <v>40694</v>
      </c>
      <c r="B863">
        <f>+ROUND(Get_Data!B862,5)</f>
        <v>53.775509999999997</v>
      </c>
      <c r="C863">
        <f>+ROUND(Get_Data!C862,5)</f>
        <v>23.98582</v>
      </c>
      <c r="D863" s="4">
        <f t="shared" si="13"/>
        <v>2.2419708811289336</v>
      </c>
    </row>
    <row r="864" spans="1:4" ht="17" hidden="1" customHeight="1" outlineLevel="1" thickBot="1">
      <c r="A864" s="2">
        <f>+Get_Data!A863</f>
        <v>40695</v>
      </c>
      <c r="B864">
        <f>+ROUND(Get_Data!B863,5)</f>
        <v>53.535580000000003</v>
      </c>
      <c r="C864">
        <f>+ROUND(Get_Data!C863,5)</f>
        <v>23.967880000000001</v>
      </c>
      <c r="D864" s="4">
        <f t="shared" si="13"/>
        <v>2.2336385195520005</v>
      </c>
    </row>
    <row r="865" spans="1:4" ht="17" hidden="1" customHeight="1" outlineLevel="1" thickBot="1">
      <c r="A865" s="2">
        <f>+Get_Data!A864</f>
        <v>40696</v>
      </c>
      <c r="B865">
        <f>+ROUND(Get_Data!B864,5)</f>
        <v>52.941510000000001</v>
      </c>
      <c r="C865">
        <f>+ROUND(Get_Data!C864,5)</f>
        <v>23.709379999999999</v>
      </c>
      <c r="D865" s="4">
        <f t="shared" si="13"/>
        <v>2.2329352349154639</v>
      </c>
    </row>
    <row r="866" spans="1:4" ht="17" hidden="1" customHeight="1" outlineLevel="1" thickBot="1">
      <c r="A866" s="2">
        <f>+Get_Data!A865</f>
        <v>40697</v>
      </c>
      <c r="B866">
        <f>+ROUND(Get_Data!B865,5)</f>
        <v>52.53022</v>
      </c>
      <c r="C866">
        <f>+ROUND(Get_Data!C865,5)</f>
        <v>23.526289999999999</v>
      </c>
      <c r="D866" s="4">
        <f t="shared" si="13"/>
        <v>2.2328305907986343</v>
      </c>
    </row>
    <row r="867" spans="1:4" ht="17" hidden="1" customHeight="1" outlineLevel="1" thickBot="1">
      <c r="A867" s="2">
        <f>+Get_Data!A866</f>
        <v>40700</v>
      </c>
      <c r="B867">
        <f>+ROUND(Get_Data!B866,5)</f>
        <v>52.469290000000001</v>
      </c>
      <c r="C867">
        <f>+ROUND(Get_Data!C866,5)</f>
        <v>23.486799999999999</v>
      </c>
      <c r="D867" s="4">
        <f t="shared" si="13"/>
        <v>2.2339905819439005</v>
      </c>
    </row>
    <row r="868" spans="1:4" ht="17" hidden="1" customHeight="1" outlineLevel="1" thickBot="1">
      <c r="A868" s="2">
        <f>+Get_Data!A867</f>
        <v>40701</v>
      </c>
      <c r="B868">
        <f>+ROUND(Get_Data!B867,5)</f>
        <v>52.499769999999998</v>
      </c>
      <c r="C868">
        <f>+ROUND(Get_Data!C867,5)</f>
        <v>23.407810000000001</v>
      </c>
      <c r="D868" s="4">
        <f t="shared" si="13"/>
        <v>2.242831345606445</v>
      </c>
    </row>
    <row r="869" spans="1:4" ht="17" hidden="1" customHeight="1" outlineLevel="1" thickBot="1">
      <c r="A869" s="2">
        <f>+Get_Data!A868</f>
        <v>40702</v>
      </c>
      <c r="B869">
        <f>+ROUND(Get_Data!B868,5)</f>
        <v>52.431220000000003</v>
      </c>
      <c r="C869">
        <f>+ROUND(Get_Data!C868,5)</f>
        <v>23.479610000000001</v>
      </c>
      <c r="D869" s="4">
        <f t="shared" si="13"/>
        <v>2.2330532747349721</v>
      </c>
    </row>
    <row r="870" spans="1:4" ht="17" hidden="1" customHeight="1" outlineLevel="1" thickBot="1">
      <c r="A870" s="2">
        <f>+Get_Data!A869</f>
        <v>40703</v>
      </c>
      <c r="B870">
        <f>+ROUND(Get_Data!B869,5)</f>
        <v>52.941510000000001</v>
      </c>
      <c r="C870">
        <f>+ROUND(Get_Data!C869,5)</f>
        <v>23.655539999999998</v>
      </c>
      <c r="D870" s="4">
        <f t="shared" si="13"/>
        <v>2.2380173946568123</v>
      </c>
    </row>
    <row r="871" spans="1:4" ht="17" hidden="1" customHeight="1" outlineLevel="1" thickBot="1">
      <c r="A871" s="2">
        <f>+Get_Data!A870</f>
        <v>40704</v>
      </c>
      <c r="B871">
        <f>+ROUND(Get_Data!B870,5)</f>
        <v>52.316969999999998</v>
      </c>
      <c r="C871">
        <f>+ROUND(Get_Data!C870,5)</f>
        <v>23.476019999999998</v>
      </c>
      <c r="D871" s="4">
        <f t="shared" si="13"/>
        <v>2.2285280895143216</v>
      </c>
    </row>
    <row r="872" spans="1:4" ht="17" hidden="1" customHeight="1" outlineLevel="1" thickBot="1">
      <c r="A872" s="2">
        <f>+Get_Data!A871</f>
        <v>40707</v>
      </c>
      <c r="B872">
        <f>+ROUND(Get_Data!B871,5)</f>
        <v>52.598770000000002</v>
      </c>
      <c r="C872">
        <f>+ROUND(Get_Data!C871,5)</f>
        <v>23.72007</v>
      </c>
      <c r="D872" s="4">
        <f t="shared" si="13"/>
        <v>2.2174795436944326</v>
      </c>
    </row>
    <row r="873" spans="1:4" ht="17" hidden="1" customHeight="1" outlineLevel="1" thickBot="1">
      <c r="A873" s="2">
        <f>+Get_Data!A872</f>
        <v>40708</v>
      </c>
      <c r="B873">
        <f>+ROUND(Get_Data!B872,5)</f>
        <v>52.987209999999997</v>
      </c>
      <c r="C873">
        <f>+ROUND(Get_Data!C872,5)</f>
        <v>23.89856</v>
      </c>
      <c r="D873" s="4">
        <f t="shared" si="13"/>
        <v>2.2171716622256739</v>
      </c>
    </row>
    <row r="874" spans="1:4" ht="17" hidden="1" customHeight="1" outlineLevel="1" thickBot="1">
      <c r="A874" s="2">
        <f>+Get_Data!A873</f>
        <v>40709</v>
      </c>
      <c r="B874">
        <f>+ROUND(Get_Data!B873,5)</f>
        <v>52.157029999999999</v>
      </c>
      <c r="C874">
        <f>+ROUND(Get_Data!C873,5)</f>
        <v>23.665430000000001</v>
      </c>
      <c r="D874" s="4">
        <f t="shared" si="13"/>
        <v>2.2039333322910251</v>
      </c>
    </row>
    <row r="875" spans="1:4" ht="17" hidden="1" customHeight="1" outlineLevel="1" thickBot="1">
      <c r="A875" s="2">
        <f>+Get_Data!A874</f>
        <v>40710</v>
      </c>
      <c r="B875">
        <f>+ROUND(Get_Data!B874,5)</f>
        <v>52.469290000000001</v>
      </c>
      <c r="C875">
        <f>+ROUND(Get_Data!C874,5)</f>
        <v>23.854839999999999</v>
      </c>
      <c r="D875" s="4">
        <f t="shared" si="13"/>
        <v>2.19952387020831</v>
      </c>
    </row>
    <row r="876" spans="1:4" ht="17" hidden="1" customHeight="1" outlineLevel="1" thickBot="1">
      <c r="A876" s="2">
        <f>+Get_Data!A875</f>
        <v>40711</v>
      </c>
      <c r="B876">
        <f>+ROUND(Get_Data!B875,5)</f>
        <v>52.33981</v>
      </c>
      <c r="C876">
        <f>+ROUND(Get_Data!C875,5)</f>
        <v>23.902200000000001</v>
      </c>
      <c r="D876" s="4">
        <f t="shared" si="13"/>
        <v>2.1897486423843828</v>
      </c>
    </row>
    <row r="877" spans="1:4" ht="17" hidden="1" customHeight="1" outlineLevel="1" thickBot="1">
      <c r="A877" s="2">
        <f>+Get_Data!A876</f>
        <v>40714</v>
      </c>
      <c r="B877">
        <f>+ROUND(Get_Data!B876,5)</f>
        <v>52.537840000000003</v>
      </c>
      <c r="C877">
        <f>+ROUND(Get_Data!C876,5)</f>
        <v>23.97869</v>
      </c>
      <c r="D877" s="4">
        <f t="shared" si="13"/>
        <v>2.1910221117166953</v>
      </c>
    </row>
    <row r="878" spans="1:4" ht="17" hidden="1" customHeight="1" outlineLevel="1" thickBot="1">
      <c r="A878" s="2">
        <f>+Get_Data!A877</f>
        <v>40715</v>
      </c>
      <c r="B878">
        <f>+ROUND(Get_Data!B877,5)</f>
        <v>52.499769999999998</v>
      </c>
      <c r="C878">
        <f>+ROUND(Get_Data!C877,5)</f>
        <v>24.13532</v>
      </c>
      <c r="D878" s="4">
        <f t="shared" si="13"/>
        <v>2.1752257687074379</v>
      </c>
    </row>
    <row r="879" spans="1:4" ht="17" hidden="1" customHeight="1" outlineLevel="1" thickBot="1">
      <c r="A879" s="2">
        <f>+Get_Data!A878</f>
        <v>40716</v>
      </c>
      <c r="B879">
        <f>+ROUND(Get_Data!B878,5)</f>
        <v>52.38552</v>
      </c>
      <c r="C879">
        <f>+ROUND(Get_Data!C878,5)</f>
        <v>24.186309999999999</v>
      </c>
      <c r="D879" s="4">
        <f t="shared" si="13"/>
        <v>2.1659161732401513</v>
      </c>
    </row>
    <row r="880" spans="1:4" ht="17" hidden="1" customHeight="1" outlineLevel="1" thickBot="1">
      <c r="A880" s="2">
        <f>+Get_Data!A879</f>
        <v>40717</v>
      </c>
      <c r="B880">
        <f>+ROUND(Get_Data!B879,5)</f>
        <v>51.776209999999999</v>
      </c>
      <c r="C880">
        <f>+ROUND(Get_Data!C879,5)</f>
        <v>23.669080000000001</v>
      </c>
      <c r="D880" s="4">
        <f t="shared" si="13"/>
        <v>2.1875041192982572</v>
      </c>
    </row>
    <row r="881" spans="1:4" ht="17" hidden="1" customHeight="1" outlineLevel="1" thickBot="1">
      <c r="A881" s="2">
        <f>+Get_Data!A880</f>
        <v>40718</v>
      </c>
      <c r="B881">
        <f>+ROUND(Get_Data!B880,5)</f>
        <v>52.134160000000001</v>
      </c>
      <c r="C881">
        <f>+ROUND(Get_Data!C880,5)</f>
        <v>23.650860000000002</v>
      </c>
      <c r="D881" s="4">
        <f t="shared" si="13"/>
        <v>2.2043240710908609</v>
      </c>
    </row>
    <row r="882" spans="1:4" ht="17" hidden="1" customHeight="1" outlineLevel="1" thickBot="1">
      <c r="A882" s="2">
        <f>+Get_Data!A881</f>
        <v>40721</v>
      </c>
      <c r="B882">
        <f>+ROUND(Get_Data!B881,5)</f>
        <v>52.591160000000002</v>
      </c>
      <c r="C882">
        <f>+ROUND(Get_Data!C881,5)</f>
        <v>23.752849999999999</v>
      </c>
      <c r="D882" s="4">
        <f t="shared" si="13"/>
        <v>2.214098939706183</v>
      </c>
    </row>
    <row r="883" spans="1:4" ht="17" hidden="1" customHeight="1" outlineLevel="1" thickBot="1">
      <c r="A883" s="2">
        <f>+Get_Data!A882</f>
        <v>40722</v>
      </c>
      <c r="B883">
        <f>+ROUND(Get_Data!B882,5)</f>
        <v>53.025280000000002</v>
      </c>
      <c r="C883">
        <f>+ROUND(Get_Data!C882,5)</f>
        <v>24.051539999999999</v>
      </c>
      <c r="D883" s="4">
        <f t="shared" si="13"/>
        <v>2.2046521761184525</v>
      </c>
    </row>
    <row r="884" spans="1:4" ht="17" hidden="1" customHeight="1" outlineLevel="1" thickBot="1">
      <c r="A884" s="2">
        <f>+Get_Data!A883</f>
        <v>40723</v>
      </c>
      <c r="B884">
        <f>+ROUND(Get_Data!B883,5)</f>
        <v>53.284260000000003</v>
      </c>
      <c r="C884">
        <f>+ROUND(Get_Data!C883,5)</f>
        <v>24.299240000000001</v>
      </c>
      <c r="D884" s="4">
        <f t="shared" si="13"/>
        <v>2.1928364837748013</v>
      </c>
    </row>
    <row r="885" spans="1:4" ht="17" hidden="1" customHeight="1" outlineLevel="1" thickBot="1">
      <c r="A885" s="2">
        <f>+Get_Data!A884</f>
        <v>40724</v>
      </c>
      <c r="B885">
        <f>+ROUND(Get_Data!B884,5)</f>
        <v>53.642229999999998</v>
      </c>
      <c r="C885">
        <f>+ROUND(Get_Data!C884,5)</f>
        <v>24.5105</v>
      </c>
      <c r="D885" s="4">
        <f t="shared" si="13"/>
        <v>2.1885408294404436</v>
      </c>
    </row>
    <row r="886" spans="1:4" ht="17" hidden="1" customHeight="1" outlineLevel="1" thickBot="1">
      <c r="A886" s="2">
        <f>+Get_Data!A885</f>
        <v>40725</v>
      </c>
      <c r="B886">
        <f>+ROUND(Get_Data!B885,5)</f>
        <v>53.459409999999998</v>
      </c>
      <c r="C886">
        <f>+ROUND(Get_Data!C885,5)</f>
        <v>24.8019</v>
      </c>
      <c r="D886" s="4">
        <f t="shared" si="13"/>
        <v>2.1554562352077866</v>
      </c>
    </row>
    <row r="887" spans="1:4" ht="17" hidden="1" customHeight="1" outlineLevel="1" thickBot="1">
      <c r="A887" s="2">
        <f>+Get_Data!A886</f>
        <v>40729</v>
      </c>
      <c r="B887">
        <f>+ROUND(Get_Data!B886,5)</f>
        <v>53.13955</v>
      </c>
      <c r="C887">
        <f>+ROUND(Get_Data!C886,5)</f>
        <v>24.87839</v>
      </c>
      <c r="D887" s="4">
        <f t="shared" si="13"/>
        <v>2.1359722232829377</v>
      </c>
    </row>
    <row r="888" spans="1:4" ht="17" hidden="1" customHeight="1" outlineLevel="1" thickBot="1">
      <c r="A888" s="2">
        <f>+Get_Data!A887</f>
        <v>40730</v>
      </c>
      <c r="B888">
        <f>+ROUND(Get_Data!B887,5)</f>
        <v>53.444180000000003</v>
      </c>
      <c r="C888">
        <f>+ROUND(Get_Data!C887,5)</f>
        <v>24.96217</v>
      </c>
      <c r="D888" s="4">
        <f t="shared" si="13"/>
        <v>2.1410069717496518</v>
      </c>
    </row>
    <row r="889" spans="1:4" ht="17" hidden="1" customHeight="1" outlineLevel="1" thickBot="1">
      <c r="A889" s="2">
        <f>+Get_Data!A888</f>
        <v>40731</v>
      </c>
      <c r="B889">
        <f>+ROUND(Get_Data!B888,5)</f>
        <v>53.710760000000001</v>
      </c>
      <c r="C889">
        <f>+ROUND(Get_Data!C888,5)</f>
        <v>25.042310000000001</v>
      </c>
      <c r="D889" s="4">
        <f t="shared" si="13"/>
        <v>2.144800539566837</v>
      </c>
    </row>
    <row r="890" spans="1:4" ht="17" hidden="1" customHeight="1" outlineLevel="1" thickBot="1">
      <c r="A890" s="2">
        <f>+Get_Data!A889</f>
        <v>40732</v>
      </c>
      <c r="B890">
        <f>+ROUND(Get_Data!B889,5)</f>
        <v>53.261400000000002</v>
      </c>
      <c r="C890">
        <f>+ROUND(Get_Data!C889,5)</f>
        <v>25.0168</v>
      </c>
      <c r="D890" s="4">
        <f t="shared" si="13"/>
        <v>2.129025295001759</v>
      </c>
    </row>
    <row r="891" spans="1:4" ht="17" hidden="1" customHeight="1" outlineLevel="1" thickBot="1">
      <c r="A891" s="2">
        <f>+Get_Data!A890</f>
        <v>40735</v>
      </c>
      <c r="B891">
        <f>+ROUND(Get_Data!B890,5)</f>
        <v>52.781579999999998</v>
      </c>
      <c r="C891">
        <f>+ROUND(Get_Data!C890,5)</f>
        <v>24.805540000000001</v>
      </c>
      <c r="D891" s="4">
        <f t="shared" si="13"/>
        <v>2.1278141898946767</v>
      </c>
    </row>
    <row r="892" spans="1:4" ht="17" hidden="1" customHeight="1" outlineLevel="1" thickBot="1">
      <c r="A892" s="2">
        <f>+Get_Data!A891</f>
        <v>40736</v>
      </c>
      <c r="B892">
        <f>+ROUND(Get_Data!B891,5)</f>
        <v>52.560690000000001</v>
      </c>
      <c r="C892">
        <f>+ROUND(Get_Data!C891,5)</f>
        <v>24.714490000000001</v>
      </c>
      <c r="D892" s="4">
        <f t="shared" si="13"/>
        <v>2.1267155421778883</v>
      </c>
    </row>
    <row r="893" spans="1:4" ht="17" hidden="1" customHeight="1" outlineLevel="1" thickBot="1">
      <c r="A893" s="2">
        <f>+Get_Data!A892</f>
        <v>40737</v>
      </c>
      <c r="B893">
        <f>+ROUND(Get_Data!B892,5)</f>
        <v>52.469290000000001</v>
      </c>
      <c r="C893">
        <f>+ROUND(Get_Data!C892,5)</f>
        <v>24.790970000000002</v>
      </c>
      <c r="D893" s="4">
        <f t="shared" si="13"/>
        <v>2.1164678106584778</v>
      </c>
    </row>
    <row r="894" spans="1:4" ht="17" hidden="1" customHeight="1" outlineLevel="1" thickBot="1">
      <c r="A894" s="2">
        <f>+Get_Data!A893</f>
        <v>40738</v>
      </c>
      <c r="B894">
        <f>+ROUND(Get_Data!B893,5)</f>
        <v>52.248420000000003</v>
      </c>
      <c r="C894">
        <f>+ROUND(Get_Data!C893,5)</f>
        <v>24.648910000000001</v>
      </c>
      <c r="D894" s="4">
        <f t="shared" si="13"/>
        <v>2.1197050904076491</v>
      </c>
    </row>
    <row r="895" spans="1:4" ht="17" hidden="1" customHeight="1" outlineLevel="1" thickBot="1">
      <c r="A895" s="2">
        <f>+Get_Data!A894</f>
        <v>40739</v>
      </c>
      <c r="B895">
        <f>+ROUND(Get_Data!B894,5)</f>
        <v>52.195099999999996</v>
      </c>
      <c r="C895">
        <f>+ROUND(Get_Data!C894,5)</f>
        <v>24.597919999999998</v>
      </c>
      <c r="D895" s="4">
        <f t="shared" si="13"/>
        <v>2.1219314478622584</v>
      </c>
    </row>
    <row r="896" spans="1:4" ht="17" hidden="1" customHeight="1" outlineLevel="1" thickBot="1">
      <c r="A896" s="2">
        <f>+Get_Data!A895</f>
        <v>40742</v>
      </c>
      <c r="B896">
        <f>+ROUND(Get_Data!B895,5)</f>
        <v>51.791440000000001</v>
      </c>
      <c r="C896">
        <f>+ROUND(Get_Data!C895,5)</f>
        <v>24.44858</v>
      </c>
      <c r="D896" s="4">
        <f t="shared" si="13"/>
        <v>2.1183823354976035</v>
      </c>
    </row>
    <row r="897" spans="1:4" ht="17" hidden="1" customHeight="1" outlineLevel="1" thickBot="1">
      <c r="A897" s="2">
        <f>+Get_Data!A896</f>
        <v>40743</v>
      </c>
      <c r="B897">
        <f>+ROUND(Get_Data!B896,5)</f>
        <v>52.202710000000003</v>
      </c>
      <c r="C897">
        <f>+ROUND(Get_Data!C896,5)</f>
        <v>25.249929999999999</v>
      </c>
      <c r="D897" s="4">
        <f t="shared" si="13"/>
        <v>2.0674397909221929</v>
      </c>
    </row>
    <row r="898" spans="1:4" ht="17" hidden="1" customHeight="1" outlineLevel="1" thickBot="1">
      <c r="A898" s="2">
        <f>+Get_Data!A897</f>
        <v>40744</v>
      </c>
      <c r="B898">
        <f>+ROUND(Get_Data!B897,5)</f>
        <v>52.164630000000002</v>
      </c>
      <c r="C898">
        <f>+ROUND(Get_Data!C897,5)</f>
        <v>25.086020000000001</v>
      </c>
      <c r="D898" s="4">
        <f t="shared" si="13"/>
        <v>2.0794302962367088</v>
      </c>
    </row>
    <row r="899" spans="1:4" ht="17" hidden="1" customHeight="1" outlineLevel="1" thickBot="1">
      <c r="A899" s="2">
        <f>+Get_Data!A898</f>
        <v>40745</v>
      </c>
      <c r="B899">
        <f>+ROUND(Get_Data!B898,5)</f>
        <v>50.397640000000003</v>
      </c>
      <c r="C899">
        <f>+ROUND(Get_Data!C898,5)</f>
        <v>25.257210000000001</v>
      </c>
      <c r="D899" s="4">
        <f t="shared" si="13"/>
        <v>1.9953763697573881</v>
      </c>
    </row>
    <row r="900" spans="1:4" ht="17" hidden="1" customHeight="1" outlineLevel="1" thickBot="1">
      <c r="A900" s="2">
        <f>+Get_Data!A899</f>
        <v>40746</v>
      </c>
      <c r="B900">
        <f>+ROUND(Get_Data!B899,5)</f>
        <v>50.085369999999998</v>
      </c>
      <c r="C900">
        <f>+ROUND(Get_Data!C899,5)</f>
        <v>25.399270000000001</v>
      </c>
      <c r="D900" s="4">
        <f t="shared" ref="D900:D963" si="14">IFERROR(B900/C900,"")</f>
        <v>1.9719216339682202</v>
      </c>
    </row>
    <row r="901" spans="1:4" ht="17" hidden="1" customHeight="1" outlineLevel="1" thickBot="1">
      <c r="A901" s="2">
        <f>+Get_Data!A900</f>
        <v>40749</v>
      </c>
      <c r="B901">
        <f>+ROUND(Get_Data!B900,5)</f>
        <v>49.026699999999998</v>
      </c>
      <c r="C901">
        <f>+ROUND(Get_Data!C900,5)</f>
        <v>25.228069999999999</v>
      </c>
      <c r="D901" s="4">
        <f t="shared" si="14"/>
        <v>1.9433393041956837</v>
      </c>
    </row>
    <row r="902" spans="1:4" ht="17" hidden="1" customHeight="1" outlineLevel="1" thickBot="1">
      <c r="A902" s="2">
        <f>+Get_Data!A901</f>
        <v>40750</v>
      </c>
      <c r="B902">
        <f>+ROUND(Get_Data!B901,5)</f>
        <v>48.798189999999998</v>
      </c>
      <c r="C902">
        <f>+ROUND(Get_Data!C901,5)</f>
        <v>25.202580000000001</v>
      </c>
      <c r="D902" s="4">
        <f t="shared" si="14"/>
        <v>1.9362378772332038</v>
      </c>
    </row>
    <row r="903" spans="1:4" ht="17" hidden="1" customHeight="1" outlineLevel="1" thickBot="1">
      <c r="A903" s="2">
        <f>+Get_Data!A902</f>
        <v>40751</v>
      </c>
      <c r="B903">
        <f>+ROUND(Get_Data!B902,5)</f>
        <v>48.638249999999999</v>
      </c>
      <c r="C903">
        <f>+ROUND(Get_Data!C902,5)</f>
        <v>25.02045</v>
      </c>
      <c r="D903" s="4">
        <f t="shared" si="14"/>
        <v>1.9439398571968129</v>
      </c>
    </row>
    <row r="904" spans="1:4" ht="17" hidden="1" customHeight="1" outlineLevel="1" thickBot="1">
      <c r="A904" s="2">
        <f>+Get_Data!A903</f>
        <v>40752</v>
      </c>
      <c r="B904">
        <f>+ROUND(Get_Data!B903,5)</f>
        <v>48.661110000000001</v>
      </c>
      <c r="C904">
        <f>+ROUND(Get_Data!C903,5)</f>
        <v>25.064160000000001</v>
      </c>
      <c r="D904" s="4">
        <f t="shared" si="14"/>
        <v>1.941461832353448</v>
      </c>
    </row>
    <row r="905" spans="1:4" ht="17" hidden="1" customHeight="1" outlineLevel="1" thickBot="1">
      <c r="A905" s="2">
        <f>+Get_Data!A904</f>
        <v>40753</v>
      </c>
      <c r="B905">
        <f>+ROUND(Get_Data!B904,5)</f>
        <v>48.77534</v>
      </c>
      <c r="C905">
        <f>+ROUND(Get_Data!C904,5)</f>
        <v>24.772760000000002</v>
      </c>
      <c r="D905" s="4">
        <f t="shared" si="14"/>
        <v>1.9689102062103696</v>
      </c>
    </row>
    <row r="906" spans="1:4" ht="17" hidden="1" customHeight="1" outlineLevel="1" thickBot="1">
      <c r="A906" s="2">
        <f>+Get_Data!A905</f>
        <v>40756</v>
      </c>
      <c r="B906">
        <f>+ROUND(Get_Data!B905,5)</f>
        <v>48.638249999999999</v>
      </c>
      <c r="C906">
        <f>+ROUND(Get_Data!C905,5)</f>
        <v>24.670780000000001</v>
      </c>
      <c r="D906" s="4">
        <f t="shared" si="14"/>
        <v>1.9714921863029866</v>
      </c>
    </row>
    <row r="907" spans="1:4" ht="17" hidden="1" customHeight="1" outlineLevel="1" thickBot="1">
      <c r="A907" s="2">
        <f>+Get_Data!A906</f>
        <v>40757</v>
      </c>
      <c r="B907">
        <f>+ROUND(Get_Data!B906,5)</f>
        <v>48.120339999999999</v>
      </c>
      <c r="C907">
        <f>+ROUND(Get_Data!C906,5)</f>
        <v>24.43036</v>
      </c>
      <c r="D907" s="4">
        <f t="shared" si="14"/>
        <v>1.9696942656596137</v>
      </c>
    </row>
    <row r="908" spans="1:4" ht="17" hidden="1" customHeight="1" outlineLevel="1" thickBot="1">
      <c r="A908" s="2">
        <f>+Get_Data!A907</f>
        <v>40758</v>
      </c>
      <c r="B908">
        <f>+ROUND(Get_Data!B907,5)</f>
        <v>49.110469999999999</v>
      </c>
      <c r="C908">
        <f>+ROUND(Get_Data!C907,5)</f>
        <v>24.914819999999999</v>
      </c>
      <c r="D908" s="4">
        <f t="shared" si="14"/>
        <v>1.9711348506631796</v>
      </c>
    </row>
    <row r="909" spans="1:4" ht="17" hidden="1" customHeight="1" outlineLevel="1" thickBot="1">
      <c r="A909" s="2">
        <f>+Get_Data!A908</f>
        <v>40759</v>
      </c>
      <c r="B909">
        <f>+ROUND(Get_Data!B908,5)</f>
        <v>48.249809999999997</v>
      </c>
      <c r="C909">
        <f>+ROUND(Get_Data!C908,5)</f>
        <v>23.97505</v>
      </c>
      <c r="D909" s="4">
        <f t="shared" si="14"/>
        <v>2.012500912406856</v>
      </c>
    </row>
    <row r="910" spans="1:4" ht="17" hidden="1" customHeight="1" outlineLevel="1" thickBot="1">
      <c r="A910" s="2">
        <f>+Get_Data!A909</f>
        <v>40760</v>
      </c>
      <c r="B910">
        <f>+ROUND(Get_Data!B909,5)</f>
        <v>49.25517</v>
      </c>
      <c r="C910">
        <f>+ROUND(Get_Data!C909,5)</f>
        <v>24.321090000000002</v>
      </c>
      <c r="D910" s="4">
        <f t="shared" si="14"/>
        <v>2.0252040512986875</v>
      </c>
    </row>
    <row r="911" spans="1:4" ht="17" hidden="1" customHeight="1" outlineLevel="1" thickBot="1">
      <c r="A911" s="2">
        <f>+Get_Data!A910</f>
        <v>40763</v>
      </c>
      <c r="B911">
        <f>+ROUND(Get_Data!B910,5)</f>
        <v>47.960389999999997</v>
      </c>
      <c r="C911">
        <f>+ROUND(Get_Data!C910,5)</f>
        <v>23.72007</v>
      </c>
      <c r="D911" s="4">
        <f t="shared" si="14"/>
        <v>2.0219329032334219</v>
      </c>
    </row>
    <row r="912" spans="1:4" ht="17" hidden="1" customHeight="1" outlineLevel="1" thickBot="1">
      <c r="A912" s="2">
        <f>+Get_Data!A911</f>
        <v>40764</v>
      </c>
      <c r="B912">
        <f>+ROUND(Get_Data!B911,5)</f>
        <v>48.051789999999997</v>
      </c>
      <c r="C912">
        <f>+ROUND(Get_Data!C911,5)</f>
        <v>24.288309999999999</v>
      </c>
      <c r="D912" s="4">
        <f t="shared" si="14"/>
        <v>1.9783916624911324</v>
      </c>
    </row>
    <row r="913" spans="1:4" ht="17" hidden="1" customHeight="1" outlineLevel="1" thickBot="1">
      <c r="A913" s="2">
        <f>+Get_Data!A912</f>
        <v>40765</v>
      </c>
      <c r="B913">
        <f>+ROUND(Get_Data!B912,5)</f>
        <v>45.942050000000002</v>
      </c>
      <c r="C913">
        <f>+ROUND(Get_Data!C912,5)</f>
        <v>23.297540000000001</v>
      </c>
      <c r="D913" s="4">
        <f t="shared" si="14"/>
        <v>1.971970001983042</v>
      </c>
    </row>
    <row r="914" spans="1:4" ht="17" hidden="1" customHeight="1" outlineLevel="1" thickBot="1">
      <c r="A914" s="2">
        <f>+Get_Data!A913</f>
        <v>40766</v>
      </c>
      <c r="B914">
        <f>+ROUND(Get_Data!B913,5)</f>
        <v>47.884230000000002</v>
      </c>
      <c r="C914">
        <f>+ROUND(Get_Data!C913,5)</f>
        <v>24.21181</v>
      </c>
      <c r="D914" s="4">
        <f t="shared" si="14"/>
        <v>1.9777220290428514</v>
      </c>
    </row>
    <row r="915" spans="1:4" ht="17" hidden="1" customHeight="1" outlineLevel="1" thickBot="1">
      <c r="A915" s="2">
        <f>+Get_Data!A914</f>
        <v>40767</v>
      </c>
      <c r="B915">
        <f>+ROUND(Get_Data!B914,5)</f>
        <v>48.120339999999999</v>
      </c>
      <c r="C915">
        <f>+ROUND(Get_Data!C914,5)</f>
        <v>24.455860000000001</v>
      </c>
      <c r="D915" s="4">
        <f t="shared" si="14"/>
        <v>1.9676404755342889</v>
      </c>
    </row>
    <row r="916" spans="1:4" ht="17" hidden="1" customHeight="1" outlineLevel="1" thickBot="1">
      <c r="A916" s="2">
        <f>+Get_Data!A915</f>
        <v>40770</v>
      </c>
      <c r="B916">
        <f>+ROUND(Get_Data!B915,5)</f>
        <v>48.417389999999997</v>
      </c>
      <c r="C916">
        <f>+ROUND(Get_Data!C915,5)</f>
        <v>24.84196</v>
      </c>
      <c r="D916" s="4">
        <f t="shared" si="14"/>
        <v>1.9490165027236175</v>
      </c>
    </row>
    <row r="917" spans="1:4" ht="17" hidden="1" customHeight="1" outlineLevel="1" thickBot="1">
      <c r="A917" s="2">
        <f>+Get_Data!A916</f>
        <v>40771</v>
      </c>
      <c r="B917">
        <f>+ROUND(Get_Data!B916,5)</f>
        <v>48.562089999999998</v>
      </c>
      <c r="C917">
        <f>+ROUND(Get_Data!C916,5)</f>
        <v>24.831040000000002</v>
      </c>
      <c r="D917" s="4">
        <f t="shared" si="14"/>
        <v>1.9557010097039831</v>
      </c>
    </row>
    <row r="918" spans="1:4" ht="17" hidden="1" customHeight="1" outlineLevel="1" thickBot="1">
      <c r="A918" s="2">
        <f>+Get_Data!A917</f>
        <v>40772</v>
      </c>
      <c r="B918">
        <f>+ROUND(Get_Data!B917,5)</f>
        <v>49.217100000000002</v>
      </c>
      <c r="C918">
        <f>+ROUND(Get_Data!C917,5)</f>
        <v>25.23536</v>
      </c>
      <c r="D918" s="4">
        <f t="shared" si="14"/>
        <v>1.9503228802759303</v>
      </c>
    </row>
    <row r="919" spans="1:4" ht="17" hidden="1" customHeight="1" outlineLevel="1" thickBot="1">
      <c r="A919" s="2">
        <f>+Get_Data!A918</f>
        <v>40773</v>
      </c>
      <c r="B919">
        <f>+ROUND(Get_Data!B918,5)</f>
        <v>48.051789999999997</v>
      </c>
      <c r="C919">
        <f>+ROUND(Get_Data!C918,5)</f>
        <v>24.681699999999999</v>
      </c>
      <c r="D919" s="4">
        <f t="shared" si="14"/>
        <v>1.9468590089013318</v>
      </c>
    </row>
    <row r="920" spans="1:4" ht="17" hidden="1" customHeight="1" outlineLevel="1" thickBot="1">
      <c r="A920" s="2">
        <f>+Get_Data!A919</f>
        <v>40774</v>
      </c>
      <c r="B920">
        <f>+ROUND(Get_Data!B919,5)</f>
        <v>47.274920000000002</v>
      </c>
      <c r="C920">
        <f>+ROUND(Get_Data!C919,5)</f>
        <v>24.441289999999999</v>
      </c>
      <c r="D920" s="4">
        <f t="shared" si="14"/>
        <v>1.9342236027640114</v>
      </c>
    </row>
    <row r="921" spans="1:4" ht="17" hidden="1" customHeight="1" outlineLevel="1" thickBot="1">
      <c r="A921" s="2">
        <f>+Get_Data!A920</f>
        <v>40777</v>
      </c>
      <c r="B921">
        <f>+ROUND(Get_Data!B920,5)</f>
        <v>47.160670000000003</v>
      </c>
      <c r="C921">
        <f>+ROUND(Get_Data!C920,5)</f>
        <v>24.503209999999999</v>
      </c>
      <c r="D921" s="4">
        <f t="shared" si="14"/>
        <v>1.9246731346627648</v>
      </c>
    </row>
    <row r="922" spans="1:4" ht="17" hidden="1" customHeight="1" outlineLevel="1" thickBot="1">
      <c r="A922" s="2">
        <f>+Get_Data!A921</f>
        <v>40778</v>
      </c>
      <c r="B922">
        <f>+ROUND(Get_Data!B921,5)</f>
        <v>48.34883</v>
      </c>
      <c r="C922">
        <f>+ROUND(Get_Data!C921,5)</f>
        <v>25.15522</v>
      </c>
      <c r="D922" s="4">
        <f t="shared" si="14"/>
        <v>1.9220197636911942</v>
      </c>
    </row>
    <row r="923" spans="1:4" ht="17" hidden="1" customHeight="1" outlineLevel="1" thickBot="1">
      <c r="A923" s="2">
        <f>+Get_Data!A922</f>
        <v>40779</v>
      </c>
      <c r="B923">
        <f>+ROUND(Get_Data!B922,5)</f>
        <v>48.516390000000001</v>
      </c>
      <c r="C923">
        <f>+ROUND(Get_Data!C922,5)</f>
        <v>25.381060000000002</v>
      </c>
      <c r="D923" s="4">
        <f t="shared" si="14"/>
        <v>1.9115194558462096</v>
      </c>
    </row>
    <row r="924" spans="1:4" ht="17" hidden="1" customHeight="1" outlineLevel="1" thickBot="1">
      <c r="A924" s="2">
        <f>+Get_Data!A923</f>
        <v>40780</v>
      </c>
      <c r="B924">
        <f>+ROUND(Get_Data!B923,5)</f>
        <v>47.998469999999998</v>
      </c>
      <c r="C924">
        <f>+ROUND(Get_Data!C923,5)</f>
        <v>24.758189999999999</v>
      </c>
      <c r="D924" s="4">
        <f t="shared" si="14"/>
        <v>1.938690590871142</v>
      </c>
    </row>
    <row r="925" spans="1:4" ht="17" hidden="1" customHeight="1" outlineLevel="1" thickBot="1">
      <c r="A925" s="2">
        <f>+Get_Data!A924</f>
        <v>40781</v>
      </c>
      <c r="B925">
        <f>+ROUND(Get_Data!B924,5)</f>
        <v>48.105110000000003</v>
      </c>
      <c r="C925">
        <f>+ROUND(Get_Data!C924,5)</f>
        <v>24.951239999999999</v>
      </c>
      <c r="D925" s="4">
        <f t="shared" si="14"/>
        <v>1.9279647023554745</v>
      </c>
    </row>
    <row r="926" spans="1:4" ht="17" hidden="1" customHeight="1" outlineLevel="1" thickBot="1">
      <c r="A926" s="2">
        <f>+Get_Data!A925</f>
        <v>40784</v>
      </c>
      <c r="B926">
        <f>+ROUND(Get_Data!B925,5)</f>
        <v>48.866750000000003</v>
      </c>
      <c r="C926">
        <f>+ROUND(Get_Data!C925,5)</f>
        <v>25.399270000000001</v>
      </c>
      <c r="D926" s="4">
        <f t="shared" si="14"/>
        <v>1.9239430897029719</v>
      </c>
    </row>
    <row r="927" spans="1:4" ht="17" hidden="1" customHeight="1" outlineLevel="1" thickBot="1">
      <c r="A927" s="2">
        <f>+Get_Data!A926</f>
        <v>40785</v>
      </c>
      <c r="B927">
        <f>+ROUND(Get_Data!B926,5)</f>
        <v>49.140929999999997</v>
      </c>
      <c r="C927">
        <f>+ROUND(Get_Data!C926,5)</f>
        <v>25.446619999999999</v>
      </c>
      <c r="D927" s="4">
        <f t="shared" si="14"/>
        <v>1.9311378092650417</v>
      </c>
    </row>
    <row r="928" spans="1:4" ht="17" hidden="1" customHeight="1" outlineLevel="1" thickBot="1">
      <c r="A928" s="2">
        <f>+Get_Data!A927</f>
        <v>40786</v>
      </c>
      <c r="B928">
        <f>+ROUND(Get_Data!B927,5)</f>
        <v>49.467219999999998</v>
      </c>
      <c r="C928">
        <f>+ROUND(Get_Data!C927,5)</f>
        <v>25.661539999999999</v>
      </c>
      <c r="D928" s="4">
        <f t="shared" si="14"/>
        <v>1.9276793208825347</v>
      </c>
    </row>
    <row r="929" spans="1:4" ht="17" hidden="1" customHeight="1" outlineLevel="1" thickBot="1">
      <c r="A929" s="2">
        <f>+Get_Data!A928</f>
        <v>40787</v>
      </c>
      <c r="B929">
        <f>+ROUND(Get_Data!B928,5)</f>
        <v>49.25226</v>
      </c>
      <c r="C929">
        <f>+ROUND(Get_Data!C928,5)</f>
        <v>25.661539999999999</v>
      </c>
      <c r="D929" s="4">
        <f t="shared" si="14"/>
        <v>1.9193025827756247</v>
      </c>
    </row>
    <row r="930" spans="1:4" ht="17" hidden="1" customHeight="1" outlineLevel="1" thickBot="1">
      <c r="A930" s="2">
        <f>+Get_Data!A929</f>
        <v>40788</v>
      </c>
      <c r="B930">
        <f>+ROUND(Get_Data!B929,5)</f>
        <v>48.599649999999997</v>
      </c>
      <c r="C930">
        <f>+ROUND(Get_Data!C929,5)</f>
        <v>25.402920000000002</v>
      </c>
      <c r="D930" s="4">
        <f t="shared" si="14"/>
        <v>1.9131521100723852</v>
      </c>
    </row>
    <row r="931" spans="1:4" ht="17" hidden="1" customHeight="1" outlineLevel="1" thickBot="1">
      <c r="A931" s="2">
        <f>+Get_Data!A930</f>
        <v>40792</v>
      </c>
      <c r="B931">
        <f>+ROUND(Get_Data!B930,5)</f>
        <v>47.94706</v>
      </c>
      <c r="C931">
        <f>+ROUND(Get_Data!C930,5)</f>
        <v>25.29</v>
      </c>
      <c r="D931" s="4">
        <f t="shared" si="14"/>
        <v>1.8958900751285093</v>
      </c>
    </row>
    <row r="932" spans="1:4" ht="17" hidden="1" customHeight="1" outlineLevel="1" thickBot="1">
      <c r="A932" s="2">
        <f>+Get_Data!A931</f>
        <v>40793</v>
      </c>
      <c r="B932">
        <f>+ROUND(Get_Data!B931,5)</f>
        <v>47.309800000000003</v>
      </c>
      <c r="C932">
        <f>+ROUND(Get_Data!C931,5)</f>
        <v>25.78903</v>
      </c>
      <c r="D932" s="4">
        <f t="shared" si="14"/>
        <v>1.8344931934237154</v>
      </c>
    </row>
    <row r="933" spans="1:4" ht="17" hidden="1" customHeight="1" outlineLevel="1" thickBot="1">
      <c r="A933" s="2">
        <f>+Get_Data!A932</f>
        <v>40794</v>
      </c>
      <c r="B933">
        <f>+ROUND(Get_Data!B932,5)</f>
        <v>47.094839999999998</v>
      </c>
      <c r="C933">
        <f>+ROUND(Get_Data!C932,5)</f>
        <v>25.9238</v>
      </c>
      <c r="D933" s="4">
        <f t="shared" si="14"/>
        <v>1.816664223609193</v>
      </c>
    </row>
    <row r="934" spans="1:4" ht="17" hidden="1" customHeight="1" outlineLevel="1" thickBot="1">
      <c r="A934" s="2">
        <f>+Get_Data!A933</f>
        <v>40795</v>
      </c>
      <c r="B934">
        <f>+ROUND(Get_Data!B933,5)</f>
        <v>46.058349999999997</v>
      </c>
      <c r="C934">
        <f>+ROUND(Get_Data!C933,5)</f>
        <v>25.268139999999999</v>
      </c>
      <c r="D934" s="4">
        <f t="shared" si="14"/>
        <v>1.8227835527268725</v>
      </c>
    </row>
    <row r="935" spans="1:4" ht="17" hidden="1" customHeight="1" outlineLevel="1" thickBot="1">
      <c r="A935" s="2">
        <f>+Get_Data!A934</f>
        <v>40798</v>
      </c>
      <c r="B935">
        <f>+ROUND(Get_Data!B934,5)</f>
        <v>46.17351</v>
      </c>
      <c r="C935">
        <f>+ROUND(Get_Data!C934,5)</f>
        <v>25.27178</v>
      </c>
      <c r="D935" s="4">
        <f t="shared" si="14"/>
        <v>1.8270778710482602</v>
      </c>
    </row>
    <row r="936" spans="1:4" ht="17" hidden="1" customHeight="1" outlineLevel="1" thickBot="1">
      <c r="A936" s="2">
        <f>+Get_Data!A935</f>
        <v>40799</v>
      </c>
      <c r="B936">
        <f>+ROUND(Get_Data!B935,5)</f>
        <v>46.480620000000002</v>
      </c>
      <c r="C936">
        <f>+ROUND(Get_Data!C935,5)</f>
        <v>25.51549</v>
      </c>
      <c r="D936" s="4">
        <f t="shared" si="14"/>
        <v>1.8216628408860658</v>
      </c>
    </row>
    <row r="937" spans="1:4" ht="17" hidden="1" customHeight="1" outlineLevel="1" thickBot="1">
      <c r="A937" s="2">
        <f>+Get_Data!A936</f>
        <v>40800</v>
      </c>
      <c r="B937">
        <f>+ROUND(Get_Data!B936,5)</f>
        <v>47.279110000000003</v>
      </c>
      <c r="C937">
        <f>+ROUND(Get_Data!C936,5)</f>
        <v>25.762889999999999</v>
      </c>
      <c r="D937" s="4">
        <f t="shared" si="14"/>
        <v>1.8351632910748756</v>
      </c>
    </row>
    <row r="938" spans="1:4" ht="17" hidden="1" customHeight="1" outlineLevel="1" thickBot="1">
      <c r="A938" s="2">
        <f>+Get_Data!A937</f>
        <v>40801</v>
      </c>
      <c r="B938">
        <f>+ROUND(Get_Data!B937,5)</f>
        <v>48.538240000000002</v>
      </c>
      <c r="C938">
        <f>+ROUND(Get_Data!C937,5)</f>
        <v>26.224450000000001</v>
      </c>
      <c r="D938" s="4">
        <f t="shared" si="14"/>
        <v>1.8508773301251313</v>
      </c>
    </row>
    <row r="939" spans="1:4" ht="17" hidden="1" customHeight="1" outlineLevel="1" thickBot="1">
      <c r="A939" s="2">
        <f>+Get_Data!A938</f>
        <v>40802</v>
      </c>
      <c r="B939">
        <f>+ROUND(Get_Data!B938,5)</f>
        <v>47.639949999999999</v>
      </c>
      <c r="C939">
        <f>+ROUND(Get_Data!C938,5)</f>
        <v>26.302009999999999</v>
      </c>
      <c r="D939" s="4">
        <f t="shared" si="14"/>
        <v>1.8112665153727796</v>
      </c>
    </row>
    <row r="940" spans="1:4" ht="17" hidden="1" customHeight="1" outlineLevel="1" thickBot="1">
      <c r="A940" s="2">
        <f>+Get_Data!A939</f>
        <v>40805</v>
      </c>
      <c r="B940">
        <f>+ROUND(Get_Data!B939,5)</f>
        <v>46.49597</v>
      </c>
      <c r="C940">
        <f>+ROUND(Get_Data!C939,5)</f>
        <v>26.028749999999999</v>
      </c>
      <c r="D940" s="4">
        <f t="shared" si="14"/>
        <v>1.7863312683090813</v>
      </c>
    </row>
    <row r="941" spans="1:4" ht="17" hidden="1" customHeight="1" outlineLevel="1" thickBot="1">
      <c r="A941" s="2">
        <f>+Get_Data!A940</f>
        <v>40806</v>
      </c>
      <c r="B941">
        <f>+ROUND(Get_Data!B940,5)</f>
        <v>46.365459999999999</v>
      </c>
      <c r="C941">
        <f>+ROUND(Get_Data!C940,5)</f>
        <v>26.08784</v>
      </c>
      <c r="D941" s="4">
        <f t="shared" si="14"/>
        <v>1.7772824427012739</v>
      </c>
    </row>
    <row r="942" spans="1:4" ht="17" hidden="1" customHeight="1" outlineLevel="1" thickBot="1">
      <c r="A942" s="2">
        <f>+Get_Data!A941</f>
        <v>40807</v>
      </c>
      <c r="B942">
        <f>+ROUND(Get_Data!B941,5)</f>
        <v>46.672550000000001</v>
      </c>
      <c r="C942">
        <f>+ROUND(Get_Data!C941,5)</f>
        <v>25.581959999999999</v>
      </c>
      <c r="D942" s="4">
        <f t="shared" si="14"/>
        <v>1.8244321388978797</v>
      </c>
    </row>
    <row r="943" spans="1:4" ht="17" hidden="1" customHeight="1" outlineLevel="1" thickBot="1">
      <c r="A943" s="2">
        <f>+Get_Data!A942</f>
        <v>40808</v>
      </c>
      <c r="B943">
        <f>+ROUND(Get_Data!B942,5)</f>
        <v>46.772370000000002</v>
      </c>
      <c r="C943">
        <f>+ROUND(Get_Data!C942,5)</f>
        <v>25.042840000000002</v>
      </c>
      <c r="D943" s="4">
        <f t="shared" si="14"/>
        <v>1.867694319014936</v>
      </c>
    </row>
    <row r="944" spans="1:4" ht="17" hidden="1" customHeight="1" outlineLevel="1" thickBot="1">
      <c r="A944" s="2">
        <f>+Get_Data!A943</f>
        <v>40809</v>
      </c>
      <c r="B944">
        <f>+ROUND(Get_Data!B943,5)</f>
        <v>46.327069999999999</v>
      </c>
      <c r="C944">
        <f>+ROUND(Get_Data!C943,5)</f>
        <v>24.895140000000001</v>
      </c>
      <c r="D944" s="4">
        <f t="shared" si="14"/>
        <v>1.8608881090847449</v>
      </c>
    </row>
    <row r="945" spans="1:4" ht="17" hidden="1" customHeight="1" outlineLevel="1" thickBot="1">
      <c r="A945" s="2">
        <f>+Get_Data!A944</f>
        <v>40812</v>
      </c>
      <c r="B945">
        <f>+ROUND(Get_Data!B944,5)</f>
        <v>47.517110000000002</v>
      </c>
      <c r="C945">
        <f>+ROUND(Get_Data!C944,5)</f>
        <v>25.389949999999999</v>
      </c>
      <c r="D945" s="4">
        <f t="shared" si="14"/>
        <v>1.8714928544561924</v>
      </c>
    </row>
    <row r="946" spans="1:4" ht="17" hidden="1" customHeight="1" outlineLevel="1" thickBot="1">
      <c r="A946" s="2">
        <f>+Get_Data!A945</f>
        <v>40813</v>
      </c>
      <c r="B946">
        <f>+ROUND(Get_Data!B945,5)</f>
        <v>47.931690000000003</v>
      </c>
      <c r="C946">
        <f>+ROUND(Get_Data!C945,5)</f>
        <v>25.689039999999999</v>
      </c>
      <c r="D946" s="4">
        <f t="shared" si="14"/>
        <v>1.8658420088878371</v>
      </c>
    </row>
    <row r="947" spans="1:4" ht="17" hidden="1" customHeight="1" outlineLevel="1" thickBot="1">
      <c r="A947" s="2">
        <f>+Get_Data!A946</f>
        <v>40814</v>
      </c>
      <c r="B947">
        <f>+ROUND(Get_Data!B946,5)</f>
        <v>47.578530000000001</v>
      </c>
      <c r="C947">
        <f>+ROUND(Get_Data!C946,5)</f>
        <v>25.131460000000001</v>
      </c>
      <c r="D947" s="4">
        <f t="shared" si="14"/>
        <v>1.8931860703675791</v>
      </c>
    </row>
    <row r="948" spans="1:4" ht="17" hidden="1" customHeight="1" outlineLevel="1" thickBot="1">
      <c r="A948" s="2">
        <f>+Get_Data!A947</f>
        <v>40815</v>
      </c>
      <c r="B948">
        <f>+ROUND(Get_Data!B947,5)</f>
        <v>48.046860000000002</v>
      </c>
      <c r="C948">
        <f>+ROUND(Get_Data!C947,5)</f>
        <v>25.497029999999999</v>
      </c>
      <c r="D948" s="4">
        <f t="shared" si="14"/>
        <v>1.8844100665842258</v>
      </c>
    </row>
    <row r="949" spans="1:4" ht="17" hidden="1" customHeight="1" outlineLevel="1" thickBot="1">
      <c r="A949" s="2">
        <f>+Get_Data!A948</f>
        <v>40816</v>
      </c>
      <c r="B949">
        <f>+ROUND(Get_Data!B948,5)</f>
        <v>47.52478</v>
      </c>
      <c r="C949">
        <f>+ROUND(Get_Data!C948,5)</f>
        <v>24.946840000000002</v>
      </c>
      <c r="D949" s="4">
        <f t="shared" si="14"/>
        <v>1.9050420814820632</v>
      </c>
    </row>
    <row r="950" spans="1:4" ht="17" hidden="1" customHeight="1" outlineLevel="1" thickBot="1">
      <c r="A950" s="2">
        <f>+Get_Data!A949</f>
        <v>40819</v>
      </c>
      <c r="B950">
        <f>+ROUND(Get_Data!B949,5)</f>
        <v>46.288679999999999</v>
      </c>
      <c r="C950">
        <f>+ROUND(Get_Data!C949,5)</f>
        <v>24.156639999999999</v>
      </c>
      <c r="D950" s="4">
        <f t="shared" si="14"/>
        <v>1.9161886752462263</v>
      </c>
    </row>
    <row r="951" spans="1:4" ht="17" hidden="1" customHeight="1" outlineLevel="1" thickBot="1">
      <c r="A951" s="2">
        <f>+Get_Data!A950</f>
        <v>40820</v>
      </c>
      <c r="B951">
        <f>+ROUND(Get_Data!B950,5)</f>
        <v>46.411520000000003</v>
      </c>
      <c r="C951">
        <f>+ROUND(Get_Data!C950,5)</f>
        <v>24.086480000000002</v>
      </c>
      <c r="D951" s="4">
        <f t="shared" si="14"/>
        <v>1.9268701777926871</v>
      </c>
    </row>
    <row r="952" spans="1:4" ht="17" hidden="1" customHeight="1" outlineLevel="1" thickBot="1">
      <c r="A952" s="2">
        <f>+Get_Data!A951</f>
        <v>40821</v>
      </c>
      <c r="B952">
        <f>+ROUND(Get_Data!B951,5)</f>
        <v>46.288679999999999</v>
      </c>
      <c r="C952">
        <f>+ROUND(Get_Data!C951,5)</f>
        <v>24.19725</v>
      </c>
      <c r="D952" s="4">
        <f t="shared" si="14"/>
        <v>1.9129727551684592</v>
      </c>
    </row>
    <row r="953" spans="1:4" ht="17" hidden="1" customHeight="1" outlineLevel="1" thickBot="1">
      <c r="A953" s="2">
        <f>+Get_Data!A952</f>
        <v>40822</v>
      </c>
      <c r="B953">
        <f>+ROUND(Get_Data!B952,5)</f>
        <v>46.50365</v>
      </c>
      <c r="C953">
        <f>+ROUND(Get_Data!C952,5)</f>
        <v>24.14555</v>
      </c>
      <c r="D953" s="4">
        <f t="shared" si="14"/>
        <v>1.9259718664515821</v>
      </c>
    </row>
    <row r="954" spans="1:4" ht="17" hidden="1" customHeight="1" outlineLevel="1" thickBot="1">
      <c r="A954" s="2">
        <f>+Get_Data!A953</f>
        <v>40823</v>
      </c>
      <c r="B954">
        <f>+ROUND(Get_Data!B953,5)</f>
        <v>46.849150000000002</v>
      </c>
      <c r="C954">
        <f>+ROUND(Get_Data!C953,5)</f>
        <v>24.333880000000001</v>
      </c>
      <c r="D954" s="4">
        <f t="shared" si="14"/>
        <v>1.9252642817339447</v>
      </c>
    </row>
    <row r="955" spans="1:4" ht="17" hidden="1" customHeight="1" outlineLevel="1" thickBot="1">
      <c r="A955" s="2">
        <f>+Get_Data!A954</f>
        <v>40826</v>
      </c>
      <c r="B955">
        <f>+ROUND(Get_Data!B954,5)</f>
        <v>47.501739999999998</v>
      </c>
      <c r="C955">
        <f>+ROUND(Get_Data!C954,5)</f>
        <v>24.703130000000002</v>
      </c>
      <c r="D955" s="4">
        <f t="shared" si="14"/>
        <v>1.9229036968189859</v>
      </c>
    </row>
    <row r="956" spans="1:4" ht="17" hidden="1" customHeight="1" outlineLevel="1" thickBot="1">
      <c r="A956" s="2">
        <f>+Get_Data!A955</f>
        <v>40827</v>
      </c>
      <c r="B956">
        <f>+ROUND(Get_Data!B955,5)</f>
        <v>46.795409999999997</v>
      </c>
      <c r="C956">
        <f>+ROUND(Get_Data!C955,5)</f>
        <v>24.66621</v>
      </c>
      <c r="D956" s="4">
        <f t="shared" si="14"/>
        <v>1.8971463390606014</v>
      </c>
    </row>
    <row r="957" spans="1:4" ht="17" hidden="1" customHeight="1" outlineLevel="1" thickBot="1">
      <c r="A957" s="2">
        <f>+Get_Data!A956</f>
        <v>40828</v>
      </c>
      <c r="B957">
        <f>+ROUND(Get_Data!B956,5)</f>
        <v>48.13899</v>
      </c>
      <c r="C957">
        <f>+ROUND(Get_Data!C956,5)</f>
        <v>24.917300000000001</v>
      </c>
      <c r="D957" s="4">
        <f t="shared" si="14"/>
        <v>1.9319504922282911</v>
      </c>
    </row>
    <row r="958" spans="1:4" ht="17" hidden="1" customHeight="1" outlineLevel="1" thickBot="1">
      <c r="A958" s="2">
        <f>+Get_Data!A957</f>
        <v>40829</v>
      </c>
      <c r="B958">
        <f>+ROUND(Get_Data!B957,5)</f>
        <v>47.877960000000002</v>
      </c>
      <c r="C958">
        <f>+ROUND(Get_Data!C957,5)</f>
        <v>24.88776</v>
      </c>
      <c r="D958" s="4">
        <f t="shared" si="14"/>
        <v>1.9237552917578762</v>
      </c>
    </row>
    <row r="959" spans="1:4" ht="17" hidden="1" customHeight="1" outlineLevel="1" thickBot="1">
      <c r="A959" s="2">
        <f>+Get_Data!A958</f>
        <v>40830</v>
      </c>
      <c r="B959">
        <f>+ROUND(Get_Data!B958,5)</f>
        <v>47.785829999999997</v>
      </c>
      <c r="C959">
        <f>+ROUND(Get_Data!C958,5)</f>
        <v>25.053930000000001</v>
      </c>
      <c r="D959" s="4">
        <f t="shared" si="14"/>
        <v>1.9073187320312619</v>
      </c>
    </row>
    <row r="960" spans="1:4" ht="17" hidden="1" customHeight="1" outlineLevel="1" thickBot="1">
      <c r="A960" s="2">
        <f>+Get_Data!A959</f>
        <v>40833</v>
      </c>
      <c r="B960">
        <f>+ROUND(Get_Data!B959,5)</f>
        <v>47.517110000000002</v>
      </c>
      <c r="C960">
        <f>+ROUND(Get_Data!C959,5)</f>
        <v>24.74006</v>
      </c>
      <c r="D960" s="4">
        <f t="shared" si="14"/>
        <v>1.9206545982507723</v>
      </c>
    </row>
    <row r="961" spans="1:4" ht="17" hidden="1" customHeight="1" outlineLevel="1" thickBot="1">
      <c r="A961" s="2">
        <f>+Get_Data!A960</f>
        <v>40834</v>
      </c>
      <c r="B961">
        <f>+ROUND(Get_Data!B960,5)</f>
        <v>47.916350000000001</v>
      </c>
      <c r="C961">
        <f>+ROUND(Get_Data!C960,5)</f>
        <v>24.64405</v>
      </c>
      <c r="D961" s="4">
        <f t="shared" si="14"/>
        <v>1.9443374769974904</v>
      </c>
    </row>
    <row r="962" spans="1:4" ht="17" hidden="1" customHeight="1" outlineLevel="1" thickBot="1">
      <c r="A962" s="2">
        <f>+Get_Data!A961</f>
        <v>40835</v>
      </c>
      <c r="B962">
        <f>+ROUND(Get_Data!B961,5)</f>
        <v>47.686010000000003</v>
      </c>
      <c r="C962">
        <f>+ROUND(Get_Data!C961,5)</f>
        <v>24.75113</v>
      </c>
      <c r="D962" s="4">
        <f t="shared" si="14"/>
        <v>1.9266195119172338</v>
      </c>
    </row>
    <row r="963" spans="1:4" ht="17" hidden="1" customHeight="1" outlineLevel="1" thickBot="1">
      <c r="A963" s="2">
        <f>+Get_Data!A962</f>
        <v>40836</v>
      </c>
      <c r="B963">
        <f>+ROUND(Get_Data!B962,5)</f>
        <v>47.6937</v>
      </c>
      <c r="C963">
        <f>+ROUND(Get_Data!C962,5)</f>
        <v>24.784369999999999</v>
      </c>
      <c r="D963" s="4">
        <f t="shared" si="14"/>
        <v>1.9243458679805054</v>
      </c>
    </row>
    <row r="964" spans="1:4" ht="17" hidden="1" customHeight="1" outlineLevel="1" thickBot="1">
      <c r="A964" s="2">
        <f>+Get_Data!A963</f>
        <v>40837</v>
      </c>
      <c r="B964">
        <f>+ROUND(Get_Data!B963,5)</f>
        <v>47.816540000000003</v>
      </c>
      <c r="C964">
        <f>+ROUND(Get_Data!C963,5)</f>
        <v>25.179469999999998</v>
      </c>
      <c r="D964" s="4">
        <f t="shared" ref="D964:D1027" si="15">IFERROR(B964/C964,"")</f>
        <v>1.899028851679563</v>
      </c>
    </row>
    <row r="965" spans="1:4" ht="17" hidden="1" customHeight="1" outlineLevel="1" thickBot="1">
      <c r="A965" s="2">
        <f>+Get_Data!A964</f>
        <v>40840</v>
      </c>
      <c r="B965">
        <f>+ROUND(Get_Data!B964,5)</f>
        <v>47.678330000000003</v>
      </c>
      <c r="C965">
        <f>+ROUND(Get_Data!C964,5)</f>
        <v>25.061309999999999</v>
      </c>
      <c r="D965" s="4">
        <f t="shared" si="15"/>
        <v>1.9024675884859972</v>
      </c>
    </row>
    <row r="966" spans="1:4" ht="17" hidden="1" customHeight="1" outlineLevel="1" thickBot="1">
      <c r="A966" s="2">
        <f>+Get_Data!A965</f>
        <v>40841</v>
      </c>
      <c r="B966">
        <f>+ROUND(Get_Data!B965,5)</f>
        <v>47.463369999999998</v>
      </c>
      <c r="C966">
        <f>+ROUND(Get_Data!C965,5)</f>
        <v>24.721589999999999</v>
      </c>
      <c r="D966" s="4">
        <f t="shared" si="15"/>
        <v>1.9199157497555781</v>
      </c>
    </row>
    <row r="967" spans="1:4" ht="17" hidden="1" customHeight="1" outlineLevel="1" thickBot="1">
      <c r="A967" s="2">
        <f>+Get_Data!A966</f>
        <v>40842</v>
      </c>
      <c r="B967">
        <f>+ROUND(Get_Data!B966,5)</f>
        <v>47.60924</v>
      </c>
      <c r="C967">
        <f>+ROUND(Get_Data!C966,5)</f>
        <v>24.913609999999998</v>
      </c>
      <c r="D967" s="4">
        <f t="shared" si="15"/>
        <v>1.9109731588477143</v>
      </c>
    </row>
    <row r="968" spans="1:4" ht="17" hidden="1" customHeight="1" outlineLevel="1" thickBot="1">
      <c r="A968" s="2">
        <f>+Get_Data!A967</f>
        <v>40843</v>
      </c>
      <c r="B968">
        <f>+ROUND(Get_Data!B967,5)</f>
        <v>48.277189999999997</v>
      </c>
      <c r="C968">
        <f>+ROUND(Get_Data!C967,5)</f>
        <v>25.319780000000002</v>
      </c>
      <c r="D968" s="4">
        <f t="shared" si="15"/>
        <v>1.9066986364020537</v>
      </c>
    </row>
    <row r="969" spans="1:4" ht="17" hidden="1" customHeight="1" outlineLevel="1" thickBot="1">
      <c r="A969" s="2">
        <f>+Get_Data!A968</f>
        <v>40844</v>
      </c>
      <c r="B969">
        <f>+ROUND(Get_Data!B968,5)</f>
        <v>48.522880000000001</v>
      </c>
      <c r="C969">
        <f>+ROUND(Get_Data!C968,5)</f>
        <v>25.45271</v>
      </c>
      <c r="D969" s="4">
        <f t="shared" si="15"/>
        <v>1.9063934645858929</v>
      </c>
    </row>
    <row r="970" spans="1:4" ht="17" hidden="1" customHeight="1" outlineLevel="1" thickBot="1">
      <c r="A970" s="2">
        <f>+Get_Data!A969</f>
        <v>40847</v>
      </c>
      <c r="B970">
        <f>+ROUND(Get_Data!B969,5)</f>
        <v>48.330939999999998</v>
      </c>
      <c r="C970">
        <f>+ROUND(Get_Data!C969,5)</f>
        <v>25.22747</v>
      </c>
      <c r="D970" s="4">
        <f t="shared" si="15"/>
        <v>1.9158060637868164</v>
      </c>
    </row>
    <row r="971" spans="1:4" ht="17" hidden="1" customHeight="1" outlineLevel="1" thickBot="1">
      <c r="A971" s="2">
        <f>+Get_Data!A970</f>
        <v>40848</v>
      </c>
      <c r="B971">
        <f>+ROUND(Get_Data!B970,5)</f>
        <v>47.77814</v>
      </c>
      <c r="C971">
        <f>+ROUND(Get_Data!C970,5)</f>
        <v>24.754819999999999</v>
      </c>
      <c r="D971" s="4">
        <f t="shared" si="15"/>
        <v>1.9300540258422401</v>
      </c>
    </row>
    <row r="972" spans="1:4" ht="17" hidden="1" customHeight="1" outlineLevel="1" thickBot="1">
      <c r="A972" s="2">
        <f>+Get_Data!A971</f>
        <v>40849</v>
      </c>
      <c r="B972">
        <f>+ROUND(Get_Data!B971,5)</f>
        <v>47.916350000000001</v>
      </c>
      <c r="C972">
        <f>+ROUND(Get_Data!C971,5)</f>
        <v>25.02439</v>
      </c>
      <c r="D972" s="4">
        <f t="shared" si="15"/>
        <v>1.9147859348419682</v>
      </c>
    </row>
    <row r="973" spans="1:4" ht="17" hidden="1" customHeight="1" outlineLevel="1" thickBot="1">
      <c r="A973" s="2">
        <f>+Get_Data!A972</f>
        <v>40850</v>
      </c>
      <c r="B973">
        <f>+ROUND(Get_Data!B972,5)</f>
        <v>48.215769999999999</v>
      </c>
      <c r="C973">
        <f>+ROUND(Get_Data!C972,5)</f>
        <v>25.349329999999998</v>
      </c>
      <c r="D973" s="4">
        <f t="shared" si="15"/>
        <v>1.9020530325653577</v>
      </c>
    </row>
    <row r="974" spans="1:4" ht="17" hidden="1" customHeight="1" outlineLevel="1" thickBot="1">
      <c r="A974" s="2">
        <f>+Get_Data!A973</f>
        <v>40851</v>
      </c>
      <c r="B974">
        <f>+ROUND(Get_Data!B973,5)</f>
        <v>47.593890000000002</v>
      </c>
      <c r="C974">
        <f>+ROUND(Get_Data!C973,5)</f>
        <v>25.028079999999999</v>
      </c>
      <c r="D974" s="4">
        <f t="shared" si="15"/>
        <v>1.9016197007521154</v>
      </c>
    </row>
    <row r="975" spans="1:4" ht="17" hidden="1" customHeight="1" outlineLevel="1" thickBot="1">
      <c r="A975" s="2">
        <f>+Get_Data!A974</f>
        <v>40854</v>
      </c>
      <c r="B975">
        <f>+ROUND(Get_Data!B974,5)</f>
        <v>47.98545</v>
      </c>
      <c r="C975">
        <f>+ROUND(Get_Data!C974,5)</f>
        <v>25.18685</v>
      </c>
      <c r="D975" s="4">
        <f t="shared" si="15"/>
        <v>1.9051786944377722</v>
      </c>
    </row>
    <row r="976" spans="1:4" ht="17" hidden="1" customHeight="1" outlineLevel="1" thickBot="1">
      <c r="A976" s="2">
        <f>+Get_Data!A975</f>
        <v>40855</v>
      </c>
      <c r="B976">
        <f>+ROUND(Get_Data!B975,5)</f>
        <v>48.876049999999999</v>
      </c>
      <c r="C976">
        <f>+ROUND(Get_Data!C975,5)</f>
        <v>25.349329999999998</v>
      </c>
      <c r="D976" s="4">
        <f t="shared" si="15"/>
        <v>1.9281002693167828</v>
      </c>
    </row>
    <row r="977" spans="1:4" ht="17" hidden="1" customHeight="1" outlineLevel="1" thickBot="1">
      <c r="A977" s="2">
        <f>+Get_Data!A976</f>
        <v>40856</v>
      </c>
      <c r="B977">
        <f>+ROUND(Get_Data!B976,5)</f>
        <v>47.816540000000003</v>
      </c>
      <c r="C977">
        <f>+ROUND(Get_Data!C976,5)</f>
        <v>24.75113</v>
      </c>
      <c r="D977" s="4">
        <f t="shared" si="15"/>
        <v>1.9318932105322062</v>
      </c>
    </row>
    <row r="978" spans="1:4" ht="17" hidden="1" customHeight="1" outlineLevel="1" thickBot="1">
      <c r="A978" s="2">
        <f>+Get_Data!A977</f>
        <v>40857</v>
      </c>
      <c r="B978">
        <f>+ROUND(Get_Data!B977,5)</f>
        <v>48.338610000000003</v>
      </c>
      <c r="C978">
        <f>+ROUND(Get_Data!C977,5)</f>
        <v>24.884060000000002</v>
      </c>
      <c r="D978" s="4">
        <f t="shared" si="15"/>
        <v>1.9425531846491289</v>
      </c>
    </row>
    <row r="979" spans="1:4" ht="17" hidden="1" customHeight="1" outlineLevel="1" thickBot="1">
      <c r="A979" s="2">
        <f>+Get_Data!A978</f>
        <v>40858</v>
      </c>
      <c r="B979">
        <f>+ROUND(Get_Data!B978,5)</f>
        <v>48.584310000000002</v>
      </c>
      <c r="C979">
        <f>+ROUND(Get_Data!C978,5)</f>
        <v>25.15362</v>
      </c>
      <c r="D979" s="4">
        <f t="shared" si="15"/>
        <v>1.9315036960882768</v>
      </c>
    </row>
    <row r="980" spans="1:4" ht="17" hidden="1" customHeight="1" outlineLevel="1" thickBot="1">
      <c r="A980" s="2">
        <f>+Get_Data!A979</f>
        <v>40861</v>
      </c>
      <c r="B980">
        <f>+ROUND(Get_Data!B979,5)</f>
        <v>48.215769999999999</v>
      </c>
      <c r="C980">
        <f>+ROUND(Get_Data!C979,5)</f>
        <v>25.031770000000002</v>
      </c>
      <c r="D980" s="4">
        <f t="shared" si="15"/>
        <v>1.9261830066351679</v>
      </c>
    </row>
    <row r="981" spans="1:4" ht="17" hidden="1" customHeight="1" outlineLevel="1" thickBot="1">
      <c r="A981" s="2">
        <f>+Get_Data!A980</f>
        <v>40862</v>
      </c>
      <c r="B981">
        <f>+ROUND(Get_Data!B980,5)</f>
        <v>49.520980000000002</v>
      </c>
      <c r="C981">
        <f>+ROUND(Get_Data!C980,5)</f>
        <v>25.109310000000001</v>
      </c>
      <c r="D981" s="4">
        <f t="shared" si="15"/>
        <v>1.9722158832719816</v>
      </c>
    </row>
    <row r="982" spans="1:4" ht="17" hidden="1" customHeight="1" outlineLevel="1" thickBot="1">
      <c r="A982" s="2">
        <f>+Get_Data!A981</f>
        <v>40863</v>
      </c>
      <c r="B982">
        <f>+ROUND(Get_Data!B981,5)</f>
        <v>49.973970000000001</v>
      </c>
      <c r="C982">
        <f>+ROUND(Get_Data!C981,5)</f>
        <v>24.743749999999999</v>
      </c>
      <c r="D982" s="4">
        <f t="shared" si="15"/>
        <v>2.0196603182621877</v>
      </c>
    </row>
    <row r="983" spans="1:4" ht="17" hidden="1" customHeight="1" outlineLevel="1" thickBot="1">
      <c r="A983" s="2">
        <f>+Get_Data!A982</f>
        <v>40864</v>
      </c>
      <c r="B983">
        <f>+ROUND(Get_Data!B982,5)</f>
        <v>49.206200000000003</v>
      </c>
      <c r="C983">
        <f>+ROUND(Get_Data!C982,5)</f>
        <v>24.599740000000001</v>
      </c>
      <c r="D983" s="4">
        <f t="shared" si="15"/>
        <v>2.0002731736189081</v>
      </c>
    </row>
    <row r="984" spans="1:4" ht="17" hidden="1" customHeight="1" outlineLevel="1" thickBot="1">
      <c r="A984" s="2">
        <f>+Get_Data!A983</f>
        <v>40865</v>
      </c>
      <c r="B984">
        <f>+ROUND(Get_Data!B983,5)</f>
        <v>49.05265</v>
      </c>
      <c r="C984">
        <f>+ROUND(Get_Data!C983,5)</f>
        <v>24.884060000000002</v>
      </c>
      <c r="D984" s="4">
        <f t="shared" si="15"/>
        <v>1.9712478590712286</v>
      </c>
    </row>
    <row r="985" spans="1:4" ht="17" hidden="1" customHeight="1" outlineLevel="1" thickBot="1">
      <c r="A985" s="2">
        <f>+Get_Data!A984</f>
        <v>40868</v>
      </c>
      <c r="B985">
        <f>+ROUND(Get_Data!B984,5)</f>
        <v>48.484490000000001</v>
      </c>
      <c r="C985">
        <f>+ROUND(Get_Data!C984,5)</f>
        <v>24.352329999999998</v>
      </c>
      <c r="D985" s="4">
        <f t="shared" si="15"/>
        <v>1.990958975999422</v>
      </c>
    </row>
    <row r="986" spans="1:4" ht="17" hidden="1" customHeight="1" outlineLevel="1" thickBot="1">
      <c r="A986" s="2">
        <f>+Get_Data!A985</f>
        <v>40869</v>
      </c>
      <c r="B986">
        <f>+ROUND(Get_Data!B985,5)</f>
        <v>48.50752</v>
      </c>
      <c r="C986">
        <f>+ROUND(Get_Data!C985,5)</f>
        <v>24.359729999999999</v>
      </c>
      <c r="D986" s="4">
        <f t="shared" si="15"/>
        <v>1.9912995751594949</v>
      </c>
    </row>
    <row r="987" spans="1:4" ht="17" hidden="1" customHeight="1" outlineLevel="1" thickBot="1">
      <c r="A987" s="2">
        <f>+Get_Data!A986</f>
        <v>40870</v>
      </c>
      <c r="B987">
        <f>+ROUND(Get_Data!B986,5)</f>
        <v>47.908670000000001</v>
      </c>
      <c r="C987">
        <f>+ROUND(Get_Data!C986,5)</f>
        <v>23.95355</v>
      </c>
      <c r="D987" s="4">
        <f t="shared" si="15"/>
        <v>2.0000655435206891</v>
      </c>
    </row>
    <row r="988" spans="1:4" ht="17" hidden="1" customHeight="1" outlineLevel="1" thickBot="1">
      <c r="A988" s="2">
        <f>+Get_Data!A987</f>
        <v>40872</v>
      </c>
      <c r="B988">
        <f>+ROUND(Get_Data!B987,5)</f>
        <v>47.97777</v>
      </c>
      <c r="C988">
        <f>+ROUND(Get_Data!C987,5)</f>
        <v>23.905539999999998</v>
      </c>
      <c r="D988" s="4">
        <f t="shared" si="15"/>
        <v>2.0069728606841761</v>
      </c>
    </row>
    <row r="989" spans="1:4" ht="17" hidden="1" customHeight="1" outlineLevel="1" thickBot="1">
      <c r="A989" s="2">
        <f>+Get_Data!A988</f>
        <v>40875</v>
      </c>
      <c r="B989">
        <f>+ROUND(Get_Data!B988,5)</f>
        <v>48.361649999999997</v>
      </c>
      <c r="C989">
        <f>+ROUND(Get_Data!C988,5)</f>
        <v>24.064319999999999</v>
      </c>
      <c r="D989" s="4">
        <f t="shared" si="15"/>
        <v>2.0096828000957436</v>
      </c>
    </row>
    <row r="990" spans="1:4" ht="17" hidden="1" customHeight="1" outlineLevel="1" thickBot="1">
      <c r="A990" s="2">
        <f>+Get_Data!A989</f>
        <v>40876</v>
      </c>
      <c r="B990">
        <f>+ROUND(Get_Data!B989,5)</f>
        <v>48.876049999999999</v>
      </c>
      <c r="C990">
        <f>+ROUND(Get_Data!C989,5)</f>
        <v>24.798649999999999</v>
      </c>
      <c r="D990" s="4">
        <f t="shared" si="15"/>
        <v>1.970915755494755</v>
      </c>
    </row>
    <row r="991" spans="1:4" ht="17" hidden="1" customHeight="1" outlineLevel="1" thickBot="1">
      <c r="A991" s="2">
        <f>+Get_Data!A990</f>
        <v>40877</v>
      </c>
      <c r="B991">
        <f>+ROUND(Get_Data!B990,5)</f>
        <v>49.537849999999999</v>
      </c>
      <c r="C991">
        <f>+ROUND(Get_Data!C990,5)</f>
        <v>25.188300000000002</v>
      </c>
      <c r="D991" s="4">
        <f t="shared" si="15"/>
        <v>1.9667008095028244</v>
      </c>
    </row>
    <row r="992" spans="1:4" ht="17" hidden="1" customHeight="1" outlineLevel="1" thickBot="1">
      <c r="A992" s="2">
        <f>+Get_Data!A991</f>
        <v>40878</v>
      </c>
      <c r="B992">
        <f>+ROUND(Get_Data!B991,5)</f>
        <v>49.607509999999998</v>
      </c>
      <c r="C992">
        <f>+ROUND(Get_Data!C991,5)</f>
        <v>25.038430000000002</v>
      </c>
      <c r="D992" s="4">
        <f t="shared" si="15"/>
        <v>1.9812548150982308</v>
      </c>
    </row>
    <row r="993" spans="1:4" ht="17" hidden="1" customHeight="1" outlineLevel="1" thickBot="1">
      <c r="A993" s="2">
        <f>+Get_Data!A992</f>
        <v>40879</v>
      </c>
      <c r="B993">
        <f>+ROUND(Get_Data!B992,5)</f>
        <v>49.754579999999997</v>
      </c>
      <c r="C993">
        <f>+ROUND(Get_Data!C992,5)</f>
        <v>24.86984</v>
      </c>
      <c r="D993" s="4">
        <f t="shared" si="15"/>
        <v>2.0005991192544865</v>
      </c>
    </row>
    <row r="994" spans="1:4" ht="17" hidden="1" customHeight="1" outlineLevel="1" thickBot="1">
      <c r="A994" s="2">
        <f>+Get_Data!A993</f>
        <v>40882</v>
      </c>
      <c r="B994">
        <f>+ROUND(Get_Data!B993,5)</f>
        <v>49.847459999999998</v>
      </c>
      <c r="C994">
        <f>+ROUND(Get_Data!C993,5)</f>
        <v>24.843610000000002</v>
      </c>
      <c r="D994" s="4">
        <f t="shared" si="15"/>
        <v>2.0064499482965639</v>
      </c>
    </row>
    <row r="995" spans="1:4" ht="17" hidden="1" customHeight="1" outlineLevel="1" thickBot="1">
      <c r="A995" s="2">
        <f>+Get_Data!A994</f>
        <v>40883</v>
      </c>
      <c r="B995">
        <f>+ROUND(Get_Data!B994,5)</f>
        <v>50.040970000000002</v>
      </c>
      <c r="C995">
        <f>+ROUND(Get_Data!C994,5)</f>
        <v>24.982230000000001</v>
      </c>
      <c r="D995" s="4">
        <f t="shared" si="15"/>
        <v>2.0030625768796462</v>
      </c>
    </row>
    <row r="996" spans="1:4" ht="17" hidden="1" customHeight="1" outlineLevel="1" thickBot="1">
      <c r="A996" s="2">
        <f>+Get_Data!A995</f>
        <v>40884</v>
      </c>
      <c r="B996">
        <f>+ROUND(Get_Data!B995,5)</f>
        <v>50.242220000000003</v>
      </c>
      <c r="C996">
        <f>+ROUND(Get_Data!C995,5)</f>
        <v>25.0197</v>
      </c>
      <c r="D996" s="4">
        <f t="shared" si="15"/>
        <v>2.0081064121472281</v>
      </c>
    </row>
    <row r="997" spans="1:4" ht="17" hidden="1" customHeight="1" outlineLevel="1" thickBot="1">
      <c r="A997" s="2">
        <f>+Get_Data!A996</f>
        <v>40885</v>
      </c>
      <c r="B997">
        <f>+ROUND(Get_Data!B996,5)</f>
        <v>49.793289999999999</v>
      </c>
      <c r="C997">
        <f>+ROUND(Get_Data!C996,5)</f>
        <v>25.000969999999999</v>
      </c>
      <c r="D997" s="4">
        <f t="shared" si="15"/>
        <v>1.9916543238122362</v>
      </c>
    </row>
    <row r="998" spans="1:4" ht="17" hidden="1" customHeight="1" outlineLevel="1" thickBot="1">
      <c r="A998" s="2">
        <f>+Get_Data!A997</f>
        <v>40886</v>
      </c>
      <c r="B998">
        <f>+ROUND(Get_Data!B997,5)</f>
        <v>50.458939999999998</v>
      </c>
      <c r="C998">
        <f>+ROUND(Get_Data!C997,5)</f>
        <v>25.31568</v>
      </c>
      <c r="D998" s="4">
        <f t="shared" si="15"/>
        <v>1.9931892013171282</v>
      </c>
    </row>
    <row r="999" spans="1:4" ht="17" hidden="1" customHeight="1" outlineLevel="1" thickBot="1">
      <c r="A999" s="2">
        <f>+Get_Data!A998</f>
        <v>40889</v>
      </c>
      <c r="B999">
        <f>+ROUND(Get_Data!B998,5)</f>
        <v>50.04871</v>
      </c>
      <c r="C999">
        <f>+ROUND(Get_Data!C998,5)</f>
        <v>25.06091</v>
      </c>
      <c r="D999" s="4">
        <f t="shared" si="15"/>
        <v>1.9970827076909816</v>
      </c>
    </row>
    <row r="1000" spans="1:4" ht="17" hidden="1" customHeight="1" outlineLevel="1" thickBot="1">
      <c r="A1000" s="2">
        <f>+Get_Data!A999</f>
        <v>40890</v>
      </c>
      <c r="B1000">
        <f>+ROUND(Get_Data!B999,5)</f>
        <v>49.754579999999997</v>
      </c>
      <c r="C1000">
        <f>+ROUND(Get_Data!C999,5)</f>
        <v>24.907299999999999</v>
      </c>
      <c r="D1000" s="4">
        <f t="shared" si="15"/>
        <v>1.9975902647015131</v>
      </c>
    </row>
    <row r="1001" spans="1:4" ht="17" hidden="1" customHeight="1" outlineLevel="1" thickBot="1">
      <c r="A1001" s="2">
        <f>+Get_Data!A1000</f>
        <v>40891</v>
      </c>
      <c r="B1001">
        <f>+ROUND(Get_Data!B1000,5)</f>
        <v>49.522379999999998</v>
      </c>
      <c r="C1001">
        <f>+ROUND(Get_Data!C1000,5)</f>
        <v>24.82488</v>
      </c>
      <c r="D1001" s="4">
        <f t="shared" si="15"/>
        <v>1.9948688573721201</v>
      </c>
    </row>
    <row r="1002" spans="1:4" ht="17" hidden="1" customHeight="1" outlineLevel="1" thickBot="1">
      <c r="A1002" s="2">
        <f>+Get_Data!A1001</f>
        <v>40892</v>
      </c>
      <c r="B1002">
        <f>+ROUND(Get_Data!B1001,5)</f>
        <v>50.195770000000003</v>
      </c>
      <c r="C1002">
        <f>+ROUND(Get_Data!C1001,5)</f>
        <v>25.06091</v>
      </c>
      <c r="D1002" s="4">
        <f t="shared" si="15"/>
        <v>2.0029508106449447</v>
      </c>
    </row>
    <row r="1003" spans="1:4" ht="17" hidden="1" customHeight="1" outlineLevel="1" thickBot="1">
      <c r="A1003" s="2">
        <f>+Get_Data!A1002</f>
        <v>40893</v>
      </c>
      <c r="B1003">
        <f>+ROUND(Get_Data!B1002,5)</f>
        <v>50.087409999999998</v>
      </c>
      <c r="C1003">
        <f>+ROUND(Get_Data!C1002,5)</f>
        <v>25.266970000000001</v>
      </c>
      <c r="D1003" s="4">
        <f t="shared" si="15"/>
        <v>1.9823275208701319</v>
      </c>
    </row>
    <row r="1004" spans="1:4" ht="17" hidden="1" customHeight="1" outlineLevel="1" thickBot="1">
      <c r="A1004" s="2">
        <f>+Get_Data!A1003</f>
        <v>40896</v>
      </c>
      <c r="B1004">
        <f>+ROUND(Get_Data!B1003,5)</f>
        <v>49.824240000000003</v>
      </c>
      <c r="C1004">
        <f>+ROUND(Get_Data!C1003,5)</f>
        <v>25.240739999999999</v>
      </c>
      <c r="D1004" s="4">
        <f t="shared" si="15"/>
        <v>1.9739611437699531</v>
      </c>
    </row>
    <row r="1005" spans="1:4" ht="17" hidden="1" customHeight="1" outlineLevel="1" thickBot="1">
      <c r="A1005" s="2">
        <f>+Get_Data!A1004</f>
        <v>40897</v>
      </c>
      <c r="B1005">
        <f>+ROUND(Get_Data!B1004,5)</f>
        <v>50.722110000000001</v>
      </c>
      <c r="C1005">
        <f>+ROUND(Get_Data!C1004,5)</f>
        <v>25.626650000000001</v>
      </c>
      <c r="D1005" s="4">
        <f t="shared" si="15"/>
        <v>1.9792719688293241</v>
      </c>
    </row>
    <row r="1006" spans="1:4" ht="17" hidden="1" customHeight="1" outlineLevel="1" thickBot="1">
      <c r="A1006" s="2">
        <f>+Get_Data!A1005</f>
        <v>40898</v>
      </c>
      <c r="B1006">
        <f>+ROUND(Get_Data!B1005,5)</f>
        <v>51.116860000000003</v>
      </c>
      <c r="C1006">
        <f>+ROUND(Get_Data!C1005,5)</f>
        <v>26.064990000000002</v>
      </c>
      <c r="D1006" s="4">
        <f t="shared" si="15"/>
        <v>1.9611310036949947</v>
      </c>
    </row>
    <row r="1007" spans="1:4" ht="17" hidden="1" customHeight="1" outlineLevel="1" thickBot="1">
      <c r="A1007" s="2">
        <f>+Get_Data!A1006</f>
        <v>40899</v>
      </c>
      <c r="B1007">
        <f>+ROUND(Get_Data!B1006,5)</f>
        <v>51.116860000000003</v>
      </c>
      <c r="C1007">
        <f>+ROUND(Get_Data!C1006,5)</f>
        <v>25.922630000000002</v>
      </c>
      <c r="D1007" s="4">
        <f t="shared" si="15"/>
        <v>1.9719009992427465</v>
      </c>
    </row>
    <row r="1008" spans="1:4" ht="17" hidden="1" customHeight="1" outlineLevel="1" thickBot="1">
      <c r="A1008" s="2">
        <f>+Get_Data!A1007</f>
        <v>40900</v>
      </c>
      <c r="B1008">
        <f>+ROUND(Get_Data!B1007,5)</f>
        <v>51.527090000000001</v>
      </c>
      <c r="C1008">
        <f>+ROUND(Get_Data!C1007,5)</f>
        <v>26.203620000000001</v>
      </c>
      <c r="D1008" s="4">
        <f t="shared" si="15"/>
        <v>1.9664111294546325</v>
      </c>
    </row>
    <row r="1009" spans="1:4" ht="17" hidden="1" customHeight="1" outlineLevel="1" thickBot="1">
      <c r="A1009" s="2">
        <f>+Get_Data!A1008</f>
        <v>40904</v>
      </c>
      <c r="B1009">
        <f>+ROUND(Get_Data!B1008,5)</f>
        <v>51.380040000000001</v>
      </c>
      <c r="C1009">
        <f>+ROUND(Get_Data!C1008,5)</f>
        <v>26.181139999999999</v>
      </c>
      <c r="D1009" s="4">
        <f t="shared" si="15"/>
        <v>1.9624829170922276</v>
      </c>
    </row>
    <row r="1010" spans="1:4" ht="17" hidden="1" customHeight="1" outlineLevel="1" thickBot="1">
      <c r="A1010" s="2">
        <f>+Get_Data!A1009</f>
        <v>40905</v>
      </c>
      <c r="B1010">
        <f>+ROUND(Get_Data!B1009,5)</f>
        <v>51.016240000000003</v>
      </c>
      <c r="C1010">
        <f>+ROUND(Get_Data!C1009,5)</f>
        <v>26.04252</v>
      </c>
      <c r="D1010" s="4">
        <f t="shared" si="15"/>
        <v>1.9589594248175677</v>
      </c>
    </row>
    <row r="1011" spans="1:4" ht="17" hidden="1" customHeight="1" outlineLevel="1" thickBot="1">
      <c r="A1011" s="2">
        <f>+Get_Data!A1010</f>
        <v>40906</v>
      </c>
      <c r="B1011">
        <f>+ROUND(Get_Data!B1010,5)</f>
        <v>51.503889999999998</v>
      </c>
      <c r="C1011">
        <f>+ROUND(Get_Data!C1010,5)</f>
        <v>26.286049999999999</v>
      </c>
      <c r="D1011" s="4">
        <f t="shared" si="15"/>
        <v>1.9593620951036765</v>
      </c>
    </row>
    <row r="1012" spans="1:4" ht="17" hidden="1" customHeight="1" outlineLevel="1" thickBot="1">
      <c r="A1012" s="2">
        <f>+Get_Data!A1011</f>
        <v>40907</v>
      </c>
      <c r="B1012">
        <f>+ROUND(Get_Data!B1011,5)</f>
        <v>51.356819999999999</v>
      </c>
      <c r="C1012">
        <f>+ROUND(Get_Data!C1011,5)</f>
        <v>26.214860000000002</v>
      </c>
      <c r="D1012" s="4">
        <f t="shared" si="15"/>
        <v>1.959072831211</v>
      </c>
    </row>
    <row r="1013" spans="1:4" ht="17" hidden="1" customHeight="1" outlineLevel="1" thickBot="1">
      <c r="A1013" s="2">
        <f>+Get_Data!A1012</f>
        <v>40911</v>
      </c>
      <c r="B1013">
        <f>+ROUND(Get_Data!B1012,5)</f>
        <v>51.395519999999998</v>
      </c>
      <c r="C1013">
        <f>+ROUND(Get_Data!C1012,5)</f>
        <v>26.278559999999999</v>
      </c>
      <c r="D1013" s="4">
        <f t="shared" si="15"/>
        <v>1.9557966646574241</v>
      </c>
    </row>
    <row r="1014" spans="1:4" ht="17" hidden="1" customHeight="1" outlineLevel="1" thickBot="1">
      <c r="A1014" s="2">
        <f>+Get_Data!A1013</f>
        <v>40912</v>
      </c>
      <c r="B1014">
        <f>+ROUND(Get_Data!B1013,5)</f>
        <v>51.658679999999997</v>
      </c>
      <c r="C1014">
        <f>+ROUND(Get_Data!C1013,5)</f>
        <v>26.113700000000001</v>
      </c>
      <c r="D1014" s="4">
        <f t="shared" si="15"/>
        <v>1.9782213933682318</v>
      </c>
    </row>
    <row r="1015" spans="1:4" ht="17" hidden="1" customHeight="1" outlineLevel="1" thickBot="1">
      <c r="A1015" s="2">
        <f>+Get_Data!A1014</f>
        <v>40913</v>
      </c>
      <c r="B1015">
        <f>+ROUND(Get_Data!B1014,5)</f>
        <v>51.256210000000003</v>
      </c>
      <c r="C1015">
        <f>+ROUND(Get_Data!C1014,5)</f>
        <v>25.99006</v>
      </c>
      <c r="D1015" s="4">
        <f t="shared" si="15"/>
        <v>1.9721466591458428</v>
      </c>
    </row>
    <row r="1016" spans="1:4" ht="17" hidden="1" customHeight="1" outlineLevel="1" thickBot="1">
      <c r="A1016" s="2">
        <f>+Get_Data!A1015</f>
        <v>40914</v>
      </c>
      <c r="B1016">
        <f>+ROUND(Get_Data!B1015,5)</f>
        <v>50.61374</v>
      </c>
      <c r="C1016">
        <f>+ROUND(Get_Data!C1015,5)</f>
        <v>25.825209999999998</v>
      </c>
      <c r="D1016" s="4">
        <f t="shared" si="15"/>
        <v>1.9598578288424373</v>
      </c>
    </row>
    <row r="1017" spans="1:4" ht="17" hidden="1" customHeight="1" outlineLevel="1" thickBot="1">
      <c r="A1017" s="2">
        <f>+Get_Data!A1016</f>
        <v>40917</v>
      </c>
      <c r="B1017">
        <f>+ROUND(Get_Data!B1016,5)</f>
        <v>50.876919999999998</v>
      </c>
      <c r="C1017">
        <f>+ROUND(Get_Data!C1016,5)</f>
        <v>25.825209999999998</v>
      </c>
      <c r="D1017" s="4">
        <f t="shared" si="15"/>
        <v>1.9700486462646383</v>
      </c>
    </row>
    <row r="1018" spans="1:4" ht="17" hidden="1" customHeight="1" outlineLevel="1" thickBot="1">
      <c r="A1018" s="2">
        <f>+Get_Data!A1017</f>
        <v>40918</v>
      </c>
      <c r="B1018">
        <f>+ROUND(Get_Data!B1017,5)</f>
        <v>50.822740000000003</v>
      </c>
      <c r="C1018">
        <f>+ROUND(Get_Data!C1017,5)</f>
        <v>25.978819999999999</v>
      </c>
      <c r="D1018" s="4">
        <f t="shared" si="15"/>
        <v>1.9563144130487837</v>
      </c>
    </row>
    <row r="1019" spans="1:4" ht="17" hidden="1" customHeight="1" outlineLevel="1" thickBot="1">
      <c r="A1019" s="2">
        <f>+Get_Data!A1018</f>
        <v>40919</v>
      </c>
      <c r="B1019">
        <f>+ROUND(Get_Data!B1018,5)</f>
        <v>50.31962</v>
      </c>
      <c r="C1019">
        <f>+ROUND(Get_Data!C1018,5)</f>
        <v>25.49926</v>
      </c>
      <c r="D1019" s="4">
        <f t="shared" si="15"/>
        <v>1.9733756979614312</v>
      </c>
    </row>
    <row r="1020" spans="1:4" ht="17" hidden="1" customHeight="1" outlineLevel="1" thickBot="1">
      <c r="A1020" s="2">
        <f>+Get_Data!A1019</f>
        <v>40920</v>
      </c>
      <c r="B1020">
        <f>+ROUND(Get_Data!B1019,5)</f>
        <v>50.017760000000003</v>
      </c>
      <c r="C1020">
        <f>+ROUND(Get_Data!C1019,5)</f>
        <v>25.31568</v>
      </c>
      <c r="D1020" s="4">
        <f t="shared" si="15"/>
        <v>1.9757620573494372</v>
      </c>
    </row>
    <row r="1021" spans="1:4" ht="17" hidden="1" customHeight="1" outlineLevel="1" thickBot="1">
      <c r="A1021" s="2">
        <f>+Get_Data!A1020</f>
        <v>40921</v>
      </c>
      <c r="B1021">
        <f>+ROUND(Get_Data!B1020,5)</f>
        <v>49.847459999999998</v>
      </c>
      <c r="C1021">
        <f>+ROUND(Get_Data!C1020,5)</f>
        <v>25.098379999999999</v>
      </c>
      <c r="D1021" s="4">
        <f t="shared" si="15"/>
        <v>1.9860827670949281</v>
      </c>
    </row>
    <row r="1022" spans="1:4" ht="17" hidden="1" customHeight="1" outlineLevel="1" thickBot="1">
      <c r="A1022" s="2">
        <f>+Get_Data!A1021</f>
        <v>40925</v>
      </c>
      <c r="B1022">
        <f>+ROUND(Get_Data!B1021,5)</f>
        <v>50.040970000000002</v>
      </c>
      <c r="C1022">
        <f>+ROUND(Get_Data!C1021,5)</f>
        <v>25.233260000000001</v>
      </c>
      <c r="D1022" s="4">
        <f t="shared" si="15"/>
        <v>1.9831353538940271</v>
      </c>
    </row>
    <row r="1023" spans="1:4" ht="17" hidden="1" customHeight="1" outlineLevel="1" thickBot="1">
      <c r="A1023" s="2">
        <f>+Get_Data!A1022</f>
        <v>40926</v>
      </c>
      <c r="B1023">
        <f>+ROUND(Get_Data!B1022,5)</f>
        <v>50.195770000000003</v>
      </c>
      <c r="C1023">
        <f>+ROUND(Get_Data!C1022,5)</f>
        <v>25.323170000000001</v>
      </c>
      <c r="D1023" s="4">
        <f t="shared" si="15"/>
        <v>1.9822072039164134</v>
      </c>
    </row>
    <row r="1024" spans="1:4" ht="17" hidden="1" customHeight="1" outlineLevel="1" thickBot="1">
      <c r="A1024" s="2">
        <f>+Get_Data!A1023</f>
        <v>40927</v>
      </c>
      <c r="B1024">
        <f>+ROUND(Get_Data!B1023,5)</f>
        <v>51.016240000000003</v>
      </c>
      <c r="C1024">
        <f>+ROUND(Get_Data!C1023,5)</f>
        <v>25.270720000000001</v>
      </c>
      <c r="D1024" s="4">
        <f t="shared" si="15"/>
        <v>2.0187885426295731</v>
      </c>
    </row>
    <row r="1025" spans="1:4" ht="17" hidden="1" customHeight="1" outlineLevel="1" thickBot="1">
      <c r="A1025" s="2">
        <f>+Get_Data!A1024</f>
        <v>40928</v>
      </c>
      <c r="B1025">
        <f>+ROUND(Get_Data!B1024,5)</f>
        <v>51.302639999999997</v>
      </c>
      <c r="C1025">
        <f>+ROUND(Get_Data!C1024,5)</f>
        <v>25.5105</v>
      </c>
      <c r="D1025" s="4">
        <f t="shared" si="15"/>
        <v>2.0110401599341445</v>
      </c>
    </row>
    <row r="1026" spans="1:4" ht="17" hidden="1" customHeight="1" outlineLevel="1" thickBot="1">
      <c r="A1026" s="2">
        <f>+Get_Data!A1025</f>
        <v>40931</v>
      </c>
      <c r="B1026">
        <f>+ROUND(Get_Data!B1025,5)</f>
        <v>51.163310000000003</v>
      </c>
      <c r="C1026">
        <f>+ROUND(Get_Data!C1025,5)</f>
        <v>25.675350000000002</v>
      </c>
      <c r="D1026" s="4">
        <f t="shared" si="15"/>
        <v>1.9927015600566302</v>
      </c>
    </row>
    <row r="1027" spans="1:4" ht="17" hidden="1" customHeight="1" outlineLevel="1" thickBot="1">
      <c r="A1027" s="2">
        <f>+Get_Data!A1026</f>
        <v>40932</v>
      </c>
      <c r="B1027">
        <f>+ROUND(Get_Data!B1026,5)</f>
        <v>51.240699999999997</v>
      </c>
      <c r="C1027">
        <f>+ROUND(Get_Data!C1026,5)</f>
        <v>25.439319999999999</v>
      </c>
      <c r="D1027" s="4">
        <f t="shared" si="15"/>
        <v>2.0142322986620713</v>
      </c>
    </row>
    <row r="1028" spans="1:4" ht="17" hidden="1" customHeight="1" outlineLevel="1" thickBot="1">
      <c r="A1028" s="2">
        <f>+Get_Data!A1027</f>
        <v>40933</v>
      </c>
      <c r="B1028">
        <f>+ROUND(Get_Data!B1027,5)</f>
        <v>51.62773</v>
      </c>
      <c r="C1028">
        <f>+ROUND(Get_Data!C1027,5)</f>
        <v>25.637879999999999</v>
      </c>
      <c r="D1028" s="4">
        <f t="shared" ref="D1028:D1091" si="16">IFERROR(B1028/C1028,"")</f>
        <v>2.0137285142141237</v>
      </c>
    </row>
    <row r="1029" spans="1:4" ht="17" hidden="1" customHeight="1" outlineLevel="1" thickBot="1">
      <c r="A1029" s="2">
        <f>+Get_Data!A1028</f>
        <v>40934</v>
      </c>
      <c r="B1029">
        <f>+ROUND(Get_Data!B1028,5)</f>
        <v>51.488410000000002</v>
      </c>
      <c r="C1029">
        <f>+ROUND(Get_Data!C1028,5)</f>
        <v>25.480530000000002</v>
      </c>
      <c r="D1029" s="4">
        <f t="shared" si="16"/>
        <v>2.02069619430993</v>
      </c>
    </row>
    <row r="1030" spans="1:4" ht="17" hidden="1" customHeight="1" outlineLevel="1" thickBot="1">
      <c r="A1030" s="2">
        <f>+Get_Data!A1029</f>
        <v>40935</v>
      </c>
      <c r="B1030">
        <f>+ROUND(Get_Data!B1029,5)</f>
        <v>50.938850000000002</v>
      </c>
      <c r="C1030">
        <f>+ROUND(Get_Data!C1029,5)</f>
        <v>25.266970000000001</v>
      </c>
      <c r="D1030" s="4">
        <f t="shared" si="16"/>
        <v>2.0160252693536265</v>
      </c>
    </row>
    <row r="1031" spans="1:4" ht="17" hidden="1" customHeight="1" outlineLevel="1" thickBot="1">
      <c r="A1031" s="2">
        <f>+Get_Data!A1030</f>
        <v>40938</v>
      </c>
      <c r="B1031">
        <f>+ROUND(Get_Data!B1030,5)</f>
        <v>50.62923</v>
      </c>
      <c r="C1031">
        <f>+ROUND(Get_Data!C1030,5)</f>
        <v>25.274470000000001</v>
      </c>
      <c r="D1031" s="4">
        <f t="shared" si="16"/>
        <v>2.0031767233892541</v>
      </c>
    </row>
    <row r="1032" spans="1:4" ht="17" hidden="1" customHeight="1" outlineLevel="1" thickBot="1">
      <c r="A1032" s="2">
        <f>+Get_Data!A1031</f>
        <v>40939</v>
      </c>
      <c r="B1032">
        <f>+ROUND(Get_Data!B1031,5)</f>
        <v>50.830480000000001</v>
      </c>
      <c r="C1032">
        <f>+ROUND(Get_Data!C1031,5)</f>
        <v>25.300699999999999</v>
      </c>
      <c r="D1032" s="4">
        <f t="shared" si="16"/>
        <v>2.0090542949404564</v>
      </c>
    </row>
    <row r="1033" spans="1:4" ht="17" hidden="1" customHeight="1" outlineLevel="1" thickBot="1">
      <c r="A1033" s="2">
        <f>+Get_Data!A1032</f>
        <v>40940</v>
      </c>
      <c r="B1033">
        <f>+ROUND(Get_Data!B1032,5)</f>
        <v>51.380040000000001</v>
      </c>
      <c r="C1033">
        <f>+ROUND(Get_Data!C1032,5)</f>
        <v>25.420590000000001</v>
      </c>
      <c r="D1033" s="4">
        <f t="shared" si="16"/>
        <v>2.0211977770775578</v>
      </c>
    </row>
    <row r="1034" spans="1:4" ht="17" hidden="1" customHeight="1" outlineLevel="1" thickBot="1">
      <c r="A1034" s="2">
        <f>+Get_Data!A1033</f>
        <v>40941</v>
      </c>
      <c r="B1034">
        <f>+ROUND(Get_Data!B1033,5)</f>
        <v>51.395519999999998</v>
      </c>
      <c r="C1034">
        <f>+ROUND(Get_Data!C1033,5)</f>
        <v>25.41309</v>
      </c>
      <c r="D1034" s="4">
        <f t="shared" si="16"/>
        <v>2.0224034149330126</v>
      </c>
    </row>
    <row r="1035" spans="1:4" ht="17" hidden="1" customHeight="1" outlineLevel="1" thickBot="1">
      <c r="A1035" s="2">
        <f>+Get_Data!A1034</f>
        <v>40942</v>
      </c>
      <c r="B1035">
        <f>+ROUND(Get_Data!B1034,5)</f>
        <v>51.596780000000003</v>
      </c>
      <c r="C1035">
        <f>+ROUND(Get_Data!C1034,5)</f>
        <v>25.50676</v>
      </c>
      <c r="D1035" s="4">
        <f t="shared" si="16"/>
        <v>2.0228668792116289</v>
      </c>
    </row>
    <row r="1036" spans="1:4" ht="17" hidden="1" customHeight="1" outlineLevel="1" thickBot="1">
      <c r="A1036" s="2">
        <f>+Get_Data!A1035</f>
        <v>40945</v>
      </c>
      <c r="B1036">
        <f>+ROUND(Get_Data!B1035,5)</f>
        <v>51.488410000000002</v>
      </c>
      <c r="C1036">
        <f>+ROUND(Get_Data!C1035,5)</f>
        <v>25.488029999999998</v>
      </c>
      <c r="D1036" s="4">
        <f t="shared" si="16"/>
        <v>2.0201015927868888</v>
      </c>
    </row>
    <row r="1037" spans="1:4" ht="17" hidden="1" customHeight="1" outlineLevel="1" thickBot="1">
      <c r="A1037" s="2">
        <f>+Get_Data!A1036</f>
        <v>40946</v>
      </c>
      <c r="B1037">
        <f>+ROUND(Get_Data!B1036,5)</f>
        <v>51.67418</v>
      </c>
      <c r="C1037">
        <f>+ROUND(Get_Data!C1036,5)</f>
        <v>25.682849999999998</v>
      </c>
      <c r="D1037" s="4">
        <f t="shared" si="16"/>
        <v>2.012011128048484</v>
      </c>
    </row>
    <row r="1038" spans="1:4" ht="17" hidden="1" customHeight="1" outlineLevel="1" thickBot="1">
      <c r="A1038" s="2">
        <f>+Get_Data!A1037</f>
        <v>40947</v>
      </c>
      <c r="B1038">
        <f>+ROUND(Get_Data!B1037,5)</f>
        <v>51.658679999999997</v>
      </c>
      <c r="C1038">
        <f>+ROUND(Get_Data!C1037,5)</f>
        <v>25.60042</v>
      </c>
      <c r="D1038" s="4">
        <f t="shared" si="16"/>
        <v>2.0178840815892864</v>
      </c>
    </row>
    <row r="1039" spans="1:4" ht="17" hidden="1" customHeight="1" outlineLevel="1" thickBot="1">
      <c r="A1039" s="2">
        <f>+Get_Data!A1038</f>
        <v>40948</v>
      </c>
      <c r="B1039">
        <f>+ROUND(Get_Data!B1038,5)</f>
        <v>49.746839999999999</v>
      </c>
      <c r="C1039">
        <f>+ROUND(Get_Data!C1038,5)</f>
        <v>25.465540000000001</v>
      </c>
      <c r="D1039" s="4">
        <f t="shared" si="16"/>
        <v>1.9534963719599112</v>
      </c>
    </row>
    <row r="1040" spans="1:4" ht="17" hidden="1" customHeight="1" outlineLevel="1" thickBot="1">
      <c r="A1040" s="2">
        <f>+Get_Data!A1039</f>
        <v>40949</v>
      </c>
      <c r="B1040">
        <f>+ROUND(Get_Data!B1039,5)</f>
        <v>49.49915</v>
      </c>
      <c r="C1040">
        <f>+ROUND(Get_Data!C1039,5)</f>
        <v>25.45431</v>
      </c>
      <c r="D1040" s="4">
        <f t="shared" si="16"/>
        <v>1.944627452089646</v>
      </c>
    </row>
    <row r="1041" spans="1:4" ht="17" hidden="1" customHeight="1" outlineLevel="1" thickBot="1">
      <c r="A1041" s="2">
        <f>+Get_Data!A1040</f>
        <v>40952</v>
      </c>
      <c r="B1041">
        <f>+ROUND(Get_Data!B1040,5)</f>
        <v>49.297899999999998</v>
      </c>
      <c r="C1041">
        <f>+ROUND(Get_Data!C1040,5)</f>
        <v>25.641629999999999</v>
      </c>
      <c r="D1041" s="4">
        <f t="shared" si="16"/>
        <v>1.9225727849594585</v>
      </c>
    </row>
    <row r="1042" spans="1:4" ht="17" hidden="1" customHeight="1" outlineLevel="1" thickBot="1">
      <c r="A1042" s="2">
        <f>+Get_Data!A1041</f>
        <v>40953</v>
      </c>
      <c r="B1042">
        <f>+ROUND(Get_Data!B1041,5)</f>
        <v>49.166319999999999</v>
      </c>
      <c r="C1042">
        <f>+ROUND(Get_Data!C1041,5)</f>
        <v>25.813980000000001</v>
      </c>
      <c r="D1042" s="4">
        <f t="shared" si="16"/>
        <v>1.9046392691092191</v>
      </c>
    </row>
    <row r="1043" spans="1:4" ht="17" hidden="1" customHeight="1" outlineLevel="1" thickBot="1">
      <c r="A1043" s="2">
        <f>+Get_Data!A1042</f>
        <v>40954</v>
      </c>
      <c r="B1043">
        <f>+ROUND(Get_Data!B1042,5)</f>
        <v>48.818010000000001</v>
      </c>
      <c r="C1043">
        <f>+ROUND(Get_Data!C1042,5)</f>
        <v>25.626650000000001</v>
      </c>
      <c r="D1043" s="4">
        <f t="shared" si="16"/>
        <v>1.9049704116612978</v>
      </c>
    </row>
    <row r="1044" spans="1:4" ht="17" hidden="1" customHeight="1" outlineLevel="1" thickBot="1">
      <c r="A1044" s="2">
        <f>+Get_Data!A1043</f>
        <v>40955</v>
      </c>
      <c r="B1044">
        <f>+ROUND(Get_Data!B1043,5)</f>
        <v>48.554839999999999</v>
      </c>
      <c r="C1044">
        <f>+ROUND(Get_Data!C1043,5)</f>
        <v>25.79899</v>
      </c>
      <c r="D1044" s="4">
        <f t="shared" si="16"/>
        <v>1.8820442195605331</v>
      </c>
    </row>
    <row r="1045" spans="1:4" ht="17" hidden="1" customHeight="1" outlineLevel="1" thickBot="1">
      <c r="A1045" s="2">
        <f>+Get_Data!A1044</f>
        <v>40956</v>
      </c>
      <c r="B1045">
        <f>+ROUND(Get_Data!B1044,5)</f>
        <v>48.51614</v>
      </c>
      <c r="C1045">
        <f>+ROUND(Get_Data!C1044,5)</f>
        <v>25.870170000000002</v>
      </c>
      <c r="D1045" s="4">
        <f t="shared" si="16"/>
        <v>1.8753699724431652</v>
      </c>
    </row>
    <row r="1046" spans="1:4" ht="17" hidden="1" customHeight="1" outlineLevel="1" thickBot="1">
      <c r="A1046" s="2">
        <f>+Get_Data!A1045</f>
        <v>40960</v>
      </c>
      <c r="B1046">
        <f>+ROUND(Get_Data!B1045,5)</f>
        <v>48.87218</v>
      </c>
      <c r="C1046">
        <f>+ROUND(Get_Data!C1045,5)</f>
        <v>25.783999999999999</v>
      </c>
      <c r="D1046" s="4">
        <f t="shared" si="16"/>
        <v>1.8954460130313373</v>
      </c>
    </row>
    <row r="1047" spans="1:4" ht="17" hidden="1" customHeight="1" outlineLevel="1" thickBot="1">
      <c r="A1047" s="2">
        <f>+Get_Data!A1046</f>
        <v>40961</v>
      </c>
      <c r="B1047">
        <f>+ROUND(Get_Data!B1046,5)</f>
        <v>48.84122</v>
      </c>
      <c r="C1047">
        <f>+ROUND(Get_Data!C1046,5)</f>
        <v>25.94511</v>
      </c>
      <c r="D1047" s="4">
        <f t="shared" si="16"/>
        <v>1.8824826720719241</v>
      </c>
    </row>
    <row r="1048" spans="1:4" ht="17" hidden="1" customHeight="1" outlineLevel="1" thickBot="1">
      <c r="A1048" s="2">
        <f>+Get_Data!A1047</f>
        <v>40962</v>
      </c>
      <c r="B1048">
        <f>+ROUND(Get_Data!B1047,5)</f>
        <v>48.864440000000002</v>
      </c>
      <c r="C1048">
        <f>+ROUND(Get_Data!C1047,5)</f>
        <v>25.918890000000001</v>
      </c>
      <c r="D1048" s="4">
        <f t="shared" si="16"/>
        <v>1.8852828959882155</v>
      </c>
    </row>
    <row r="1049" spans="1:4" ht="17" hidden="1" customHeight="1" outlineLevel="1" thickBot="1">
      <c r="A1049" s="2">
        <f>+Get_Data!A1048</f>
        <v>40963</v>
      </c>
      <c r="B1049">
        <f>+ROUND(Get_Data!B1048,5)</f>
        <v>49.003779999999999</v>
      </c>
      <c r="C1049">
        <f>+ROUND(Get_Data!C1048,5)</f>
        <v>25.85144</v>
      </c>
      <c r="D1049" s="4">
        <f t="shared" si="16"/>
        <v>1.8955918896587578</v>
      </c>
    </row>
    <row r="1050" spans="1:4" ht="17" hidden="1" customHeight="1" outlineLevel="1" thickBot="1">
      <c r="A1050" s="2">
        <f>+Get_Data!A1049</f>
        <v>40966</v>
      </c>
      <c r="B1050">
        <f>+ROUND(Get_Data!B1049,5)</f>
        <v>49.011510000000001</v>
      </c>
      <c r="C1050">
        <f>+ROUND(Get_Data!C1049,5)</f>
        <v>25.787749999999999</v>
      </c>
      <c r="D1050" s="4">
        <f t="shared" si="16"/>
        <v>1.9005733342381559</v>
      </c>
    </row>
    <row r="1051" spans="1:4" ht="17" hidden="1" customHeight="1" outlineLevel="1" thickBot="1">
      <c r="A1051" s="2">
        <f>+Get_Data!A1050</f>
        <v>40967</v>
      </c>
      <c r="B1051">
        <f>+ROUND(Get_Data!B1050,5)</f>
        <v>49.011510000000001</v>
      </c>
      <c r="C1051">
        <f>+ROUND(Get_Data!C1050,5)</f>
        <v>25.795249999999999</v>
      </c>
      <c r="D1051" s="4">
        <f t="shared" si="16"/>
        <v>1.900020740252566</v>
      </c>
    </row>
    <row r="1052" spans="1:4" ht="17" hidden="1" customHeight="1" outlineLevel="1" thickBot="1">
      <c r="A1052" s="2">
        <f>+Get_Data!A1051</f>
        <v>40968</v>
      </c>
      <c r="B1052">
        <f>+ROUND(Get_Data!B1051,5)</f>
        <v>49.116840000000003</v>
      </c>
      <c r="C1052">
        <f>+ROUND(Get_Data!C1051,5)</f>
        <v>26.173649999999999</v>
      </c>
      <c r="D1052" s="4">
        <f t="shared" si="16"/>
        <v>1.8765758692425401</v>
      </c>
    </row>
    <row r="1053" spans="1:4" ht="17" hidden="1" customHeight="1" outlineLevel="1" thickBot="1">
      <c r="A1053" s="2">
        <f>+Get_Data!A1052</f>
        <v>40969</v>
      </c>
      <c r="B1053">
        <f>+ROUND(Get_Data!B1052,5)</f>
        <v>48.812519999999999</v>
      </c>
      <c r="C1053">
        <f>+ROUND(Get_Data!C1052,5)</f>
        <v>26.076239999999999</v>
      </c>
      <c r="D1053" s="4">
        <f t="shared" si="16"/>
        <v>1.8719155829214642</v>
      </c>
    </row>
    <row r="1054" spans="1:4" ht="17" hidden="1" customHeight="1" outlineLevel="1" thickBot="1">
      <c r="A1054" s="2">
        <f>+Get_Data!A1053</f>
        <v>40970</v>
      </c>
      <c r="B1054">
        <f>+ROUND(Get_Data!B1053,5)</f>
        <v>48.789119999999997</v>
      </c>
      <c r="C1054">
        <f>+ROUND(Get_Data!C1053,5)</f>
        <v>25.918890000000001</v>
      </c>
      <c r="D1054" s="4">
        <f t="shared" si="16"/>
        <v>1.8823769073444114</v>
      </c>
    </row>
    <row r="1055" spans="1:4" ht="17" hidden="1" customHeight="1" outlineLevel="1" thickBot="1">
      <c r="A1055" s="2">
        <f>+Get_Data!A1054</f>
        <v>40973</v>
      </c>
      <c r="B1055">
        <f>+ROUND(Get_Data!B1054,5)</f>
        <v>48.9998</v>
      </c>
      <c r="C1055">
        <f>+ROUND(Get_Data!C1054,5)</f>
        <v>25.937609999999999</v>
      </c>
      <c r="D1055" s="4">
        <f t="shared" si="16"/>
        <v>1.8891409038843594</v>
      </c>
    </row>
    <row r="1056" spans="1:4" ht="17" hidden="1" customHeight="1" outlineLevel="1" thickBot="1">
      <c r="A1056" s="2">
        <f>+Get_Data!A1055</f>
        <v>40974</v>
      </c>
      <c r="B1056">
        <f>+ROUND(Get_Data!B1055,5)</f>
        <v>48.60181</v>
      </c>
      <c r="C1056">
        <f>+ROUND(Get_Data!C1055,5)</f>
        <v>25.76153</v>
      </c>
      <c r="D1056" s="4">
        <f t="shared" si="16"/>
        <v>1.8866041729664349</v>
      </c>
    </row>
    <row r="1057" spans="1:4" ht="17" hidden="1" customHeight="1" outlineLevel="1" thickBot="1">
      <c r="A1057" s="2">
        <f>+Get_Data!A1056</f>
        <v>40975</v>
      </c>
      <c r="B1057">
        <f>+ROUND(Get_Data!B1056,5)</f>
        <v>48.867139999999999</v>
      </c>
      <c r="C1057">
        <f>+ROUND(Get_Data!C1056,5)</f>
        <v>25.772760000000002</v>
      </c>
      <c r="D1057" s="4">
        <f t="shared" si="16"/>
        <v>1.896077098455889</v>
      </c>
    </row>
    <row r="1058" spans="1:4" ht="17" hidden="1" customHeight="1" outlineLevel="1" thickBot="1">
      <c r="A1058" s="2">
        <f>+Get_Data!A1057</f>
        <v>40976</v>
      </c>
      <c r="B1058">
        <f>+ROUND(Get_Data!B1057,5)</f>
        <v>49.124659999999999</v>
      </c>
      <c r="C1058">
        <f>+ROUND(Get_Data!C1057,5)</f>
        <v>25.9526</v>
      </c>
      <c r="D1058" s="4">
        <f t="shared" si="16"/>
        <v>1.8928608308994088</v>
      </c>
    </row>
    <row r="1059" spans="1:4" ht="17" hidden="1" customHeight="1" outlineLevel="1" thickBot="1">
      <c r="A1059" s="2">
        <f>+Get_Data!A1058</f>
        <v>40977</v>
      </c>
      <c r="B1059">
        <f>+ROUND(Get_Data!B1058,5)</f>
        <v>49.280720000000002</v>
      </c>
      <c r="C1059">
        <f>+ROUND(Get_Data!C1058,5)</f>
        <v>26.04252</v>
      </c>
      <c r="D1059" s="4">
        <f t="shared" si="16"/>
        <v>1.8923176405355551</v>
      </c>
    </row>
    <row r="1060" spans="1:4" ht="17" hidden="1" customHeight="1" outlineLevel="1" thickBot="1">
      <c r="A1060" s="2">
        <f>+Get_Data!A1059</f>
        <v>40980</v>
      </c>
      <c r="B1060">
        <f>+ROUND(Get_Data!B1059,5)</f>
        <v>49.897239999999996</v>
      </c>
      <c r="C1060">
        <f>+ROUND(Get_Data!C1059,5)</f>
        <v>26.282299999999999</v>
      </c>
      <c r="D1060" s="4">
        <f t="shared" si="16"/>
        <v>1.8985111653089721</v>
      </c>
    </row>
    <row r="1061" spans="1:4" ht="17" hidden="1" customHeight="1" outlineLevel="1" thickBot="1">
      <c r="A1061" s="2">
        <f>+Get_Data!A1060</f>
        <v>40981</v>
      </c>
      <c r="B1061">
        <f>+ROUND(Get_Data!B1060,5)</f>
        <v>50.209380000000003</v>
      </c>
      <c r="C1061">
        <f>+ROUND(Get_Data!C1060,5)</f>
        <v>26.708110000000001</v>
      </c>
      <c r="D1061" s="4">
        <f t="shared" si="16"/>
        <v>1.8799301036276996</v>
      </c>
    </row>
    <row r="1062" spans="1:4" ht="17" hidden="1" customHeight="1" outlineLevel="1" thickBot="1">
      <c r="A1062" s="2">
        <f>+Get_Data!A1061</f>
        <v>40982</v>
      </c>
      <c r="B1062">
        <f>+ROUND(Get_Data!B1061,5)</f>
        <v>49.990879999999997</v>
      </c>
      <c r="C1062">
        <f>+ROUND(Get_Data!C1061,5)</f>
        <v>26.6967</v>
      </c>
      <c r="D1062" s="4">
        <f t="shared" si="16"/>
        <v>1.8725490416418509</v>
      </c>
    </row>
    <row r="1063" spans="1:4" ht="17" hidden="1" customHeight="1" outlineLevel="1" thickBot="1">
      <c r="A1063" s="2">
        <f>+Get_Data!A1062</f>
        <v>40983</v>
      </c>
      <c r="B1063">
        <f>+ROUND(Get_Data!B1062,5)</f>
        <v>50.076709999999999</v>
      </c>
      <c r="C1063">
        <f>+ROUND(Get_Data!C1062,5)</f>
        <v>26.738520000000001</v>
      </c>
      <c r="D1063" s="4">
        <f t="shared" si="16"/>
        <v>1.8728302838002999</v>
      </c>
    </row>
    <row r="1064" spans="1:4" ht="17" hidden="1" customHeight="1" outlineLevel="1" thickBot="1">
      <c r="A1064" s="2">
        <f>+Get_Data!A1063</f>
        <v>40984</v>
      </c>
      <c r="B1064">
        <f>+ROUND(Get_Data!B1063,5)</f>
        <v>50.310839999999999</v>
      </c>
      <c r="C1064">
        <f>+ROUND(Get_Data!C1063,5)</f>
        <v>26.6739</v>
      </c>
      <c r="D1064" s="4">
        <f t="shared" si="16"/>
        <v>1.8861448832004319</v>
      </c>
    </row>
    <row r="1065" spans="1:4" ht="17" hidden="1" customHeight="1" outlineLevel="1" thickBot="1">
      <c r="A1065" s="2">
        <f>+Get_Data!A1064</f>
        <v>40987</v>
      </c>
      <c r="B1065">
        <f>+ROUND(Get_Data!B1064,5)</f>
        <v>50.513730000000002</v>
      </c>
      <c r="C1065">
        <f>+ROUND(Get_Data!C1064,5)</f>
        <v>26.765129999999999</v>
      </c>
      <c r="D1065" s="4">
        <f t="shared" si="16"/>
        <v>1.8872962694371371</v>
      </c>
    </row>
    <row r="1066" spans="1:4" ht="17" hidden="1" customHeight="1" outlineLevel="1" thickBot="1">
      <c r="A1066" s="2">
        <f>+Get_Data!A1065</f>
        <v>40988</v>
      </c>
      <c r="B1066">
        <f>+ROUND(Get_Data!B1065,5)</f>
        <v>50.94294</v>
      </c>
      <c r="C1066">
        <f>+ROUND(Get_Data!C1065,5)</f>
        <v>26.83737</v>
      </c>
      <c r="D1066" s="4">
        <f t="shared" si="16"/>
        <v>1.8982091017115315</v>
      </c>
    </row>
    <row r="1067" spans="1:4" ht="17" hidden="1" customHeight="1" outlineLevel="1" thickBot="1">
      <c r="A1067" s="2">
        <f>+Get_Data!A1066</f>
        <v>40989</v>
      </c>
      <c r="B1067">
        <f>+ROUND(Get_Data!B1066,5)</f>
        <v>51.005380000000002</v>
      </c>
      <c r="C1067">
        <f>+ROUND(Get_Data!C1066,5)</f>
        <v>27.038869999999999</v>
      </c>
      <c r="D1067" s="4">
        <f t="shared" si="16"/>
        <v>1.8863724704471749</v>
      </c>
    </row>
    <row r="1068" spans="1:4" ht="17" hidden="1" customHeight="1" outlineLevel="1" thickBot="1">
      <c r="A1068" s="2">
        <f>+Get_Data!A1067</f>
        <v>40990</v>
      </c>
      <c r="B1068">
        <f>+ROUND(Get_Data!B1067,5)</f>
        <v>51.028790000000001</v>
      </c>
      <c r="C1068">
        <f>+ROUND(Get_Data!C1067,5)</f>
        <v>27.152930000000001</v>
      </c>
      <c r="D1068" s="4">
        <f t="shared" si="16"/>
        <v>1.8793106305654674</v>
      </c>
    </row>
    <row r="1069" spans="1:4" ht="17" hidden="1" customHeight="1" outlineLevel="1" thickBot="1">
      <c r="A1069" s="2">
        <f>+Get_Data!A1068</f>
        <v>40991</v>
      </c>
      <c r="B1069">
        <f>+ROUND(Get_Data!B1068,5)</f>
        <v>50.958550000000002</v>
      </c>
      <c r="C1069">
        <f>+ROUND(Get_Data!C1068,5)</f>
        <v>27.179539999999999</v>
      </c>
      <c r="D1069" s="4">
        <f t="shared" si="16"/>
        <v>1.8748864035226498</v>
      </c>
    </row>
    <row r="1070" spans="1:4" ht="17" hidden="1" customHeight="1" outlineLevel="1" thickBot="1">
      <c r="A1070" s="2">
        <f>+Get_Data!A1069</f>
        <v>40994</v>
      </c>
      <c r="B1070">
        <f>+ROUND(Get_Data!B1069,5)</f>
        <v>51.33314</v>
      </c>
      <c r="C1070">
        <f>+ROUND(Get_Data!C1069,5)</f>
        <v>27.335419999999999</v>
      </c>
      <c r="D1070" s="4">
        <f t="shared" si="16"/>
        <v>1.8778983458092102</v>
      </c>
    </row>
    <row r="1071" spans="1:4" ht="17" hidden="1" customHeight="1" outlineLevel="1" thickBot="1">
      <c r="A1071" s="2">
        <f>+Get_Data!A1070</f>
        <v>40995</v>
      </c>
      <c r="B1071">
        <f>+ROUND(Get_Data!B1070,5)</f>
        <v>51.512619999999998</v>
      </c>
      <c r="C1071">
        <f>+ROUND(Get_Data!C1070,5)</f>
        <v>27.324020000000001</v>
      </c>
      <c r="D1071" s="4">
        <f t="shared" si="16"/>
        <v>1.8852504133725563</v>
      </c>
    </row>
    <row r="1072" spans="1:4" ht="17" hidden="1" customHeight="1" outlineLevel="1" thickBot="1">
      <c r="A1072" s="2">
        <f>+Get_Data!A1071</f>
        <v>40996</v>
      </c>
      <c r="B1072">
        <f>+ROUND(Get_Data!B1071,5)</f>
        <v>51.450180000000003</v>
      </c>
      <c r="C1072">
        <f>+ROUND(Get_Data!C1071,5)</f>
        <v>27.624359999999999</v>
      </c>
      <c r="D1072" s="4">
        <f t="shared" si="16"/>
        <v>1.8624931039126338</v>
      </c>
    </row>
    <row r="1073" spans="1:4" ht="17" hidden="1" customHeight="1" outlineLevel="1" thickBot="1">
      <c r="A1073" s="2">
        <f>+Get_Data!A1072</f>
        <v>40997</v>
      </c>
      <c r="B1073">
        <f>+ROUND(Get_Data!B1072,5)</f>
        <v>51.520409999999998</v>
      </c>
      <c r="C1073">
        <f>+ROUND(Get_Data!C1072,5)</f>
        <v>28.06157</v>
      </c>
      <c r="D1073" s="4">
        <f t="shared" si="16"/>
        <v>1.8359774595648068</v>
      </c>
    </row>
    <row r="1074" spans="1:4" ht="17" hidden="1" customHeight="1" outlineLevel="1" thickBot="1">
      <c r="A1074" s="2">
        <f>+Get_Data!A1073</f>
        <v>40998</v>
      </c>
      <c r="B1074">
        <f>+ROUND(Get_Data!B1073,5)</f>
        <v>51.777940000000001</v>
      </c>
      <c r="C1074">
        <f>+ROUND(Get_Data!C1073,5)</f>
        <v>28.137609999999999</v>
      </c>
      <c r="D1074" s="4">
        <f t="shared" si="16"/>
        <v>1.8401683725092501</v>
      </c>
    </row>
    <row r="1075" spans="1:4" ht="17" hidden="1" customHeight="1" outlineLevel="1" thickBot="1">
      <c r="A1075" s="2">
        <f>+Get_Data!A1074</f>
        <v>41001</v>
      </c>
      <c r="B1075">
        <f>+ROUND(Get_Data!B1074,5)</f>
        <v>52.08229</v>
      </c>
      <c r="C1075">
        <f>+ROUND(Get_Data!C1074,5)</f>
        <v>28.18703</v>
      </c>
      <c r="D1075" s="4">
        <f t="shared" si="16"/>
        <v>1.8477395454576093</v>
      </c>
    </row>
    <row r="1076" spans="1:4" ht="17" hidden="1" customHeight="1" outlineLevel="1" thickBot="1">
      <c r="A1076" s="2">
        <f>+Get_Data!A1075</f>
        <v>41002</v>
      </c>
      <c r="B1076">
        <f>+ROUND(Get_Data!B1075,5)</f>
        <v>51.941809999999997</v>
      </c>
      <c r="C1076">
        <f>+ROUND(Get_Data!C1075,5)</f>
        <v>28.042560000000002</v>
      </c>
      <c r="D1076" s="4">
        <f t="shared" si="16"/>
        <v>1.8522492240366071</v>
      </c>
    </row>
    <row r="1077" spans="1:4" ht="17" hidden="1" customHeight="1" outlineLevel="1" thickBot="1">
      <c r="A1077" s="2">
        <f>+Get_Data!A1076</f>
        <v>41003</v>
      </c>
      <c r="B1077">
        <f>+ROUND(Get_Data!B1076,5)</f>
        <v>51.770150000000001</v>
      </c>
      <c r="C1077">
        <f>+ROUND(Get_Data!C1076,5)</f>
        <v>27.9285</v>
      </c>
      <c r="D1077" s="4">
        <f t="shared" si="16"/>
        <v>1.8536674006838894</v>
      </c>
    </row>
    <row r="1078" spans="1:4" ht="17" hidden="1" customHeight="1" outlineLevel="1" thickBot="1">
      <c r="A1078" s="2">
        <f>+Get_Data!A1077</f>
        <v>41004</v>
      </c>
      <c r="B1078">
        <f>+ROUND(Get_Data!B1077,5)</f>
        <v>51.621879999999997</v>
      </c>
      <c r="C1078">
        <f>+ROUND(Get_Data!C1077,5)</f>
        <v>27.932310000000001</v>
      </c>
      <c r="D1078" s="4">
        <f t="shared" si="16"/>
        <v>1.8481063685746004</v>
      </c>
    </row>
    <row r="1079" spans="1:4" ht="17" hidden="1" customHeight="1" outlineLevel="1" thickBot="1">
      <c r="A1079" s="2">
        <f>+Get_Data!A1078</f>
        <v>41008</v>
      </c>
      <c r="B1079">
        <f>+ROUND(Get_Data!B1078,5)</f>
        <v>50.99756</v>
      </c>
      <c r="C1079">
        <f>+ROUND(Get_Data!C1078,5)</f>
        <v>27.7042</v>
      </c>
      <c r="D1079" s="4">
        <f t="shared" si="16"/>
        <v>1.8407880393586531</v>
      </c>
    </row>
    <row r="1080" spans="1:4" ht="17" hidden="1" customHeight="1" outlineLevel="1" thickBot="1">
      <c r="A1080" s="2">
        <f>+Get_Data!A1079</f>
        <v>41009</v>
      </c>
      <c r="B1080">
        <f>+ROUND(Get_Data!B1079,5)</f>
        <v>50.607370000000003</v>
      </c>
      <c r="C1080">
        <f>+ROUND(Get_Data!C1079,5)</f>
        <v>27.381039999999999</v>
      </c>
      <c r="D1080" s="4">
        <f t="shared" si="16"/>
        <v>1.848263250774989</v>
      </c>
    </row>
    <row r="1081" spans="1:4" ht="17" hidden="1" customHeight="1" outlineLevel="1" thickBot="1">
      <c r="A1081" s="2">
        <f>+Get_Data!A1080</f>
        <v>41010</v>
      </c>
      <c r="B1081">
        <f>+ROUND(Get_Data!B1080,5)</f>
        <v>50.84149</v>
      </c>
      <c r="C1081">
        <f>+ROUND(Get_Data!C1080,5)</f>
        <v>27.419049999999999</v>
      </c>
      <c r="D1081" s="4">
        <f t="shared" si="16"/>
        <v>1.8542396618409465</v>
      </c>
    </row>
    <row r="1082" spans="1:4" ht="17" hidden="1" customHeight="1" outlineLevel="1" thickBot="1">
      <c r="A1082" s="2">
        <f>+Get_Data!A1081</f>
        <v>41011</v>
      </c>
      <c r="B1082">
        <f>+ROUND(Get_Data!B1081,5)</f>
        <v>51.020980000000002</v>
      </c>
      <c r="C1082">
        <f>+ROUND(Get_Data!C1081,5)</f>
        <v>27.457080000000001</v>
      </c>
      <c r="D1082" s="4">
        <f t="shared" si="16"/>
        <v>1.8582085203524918</v>
      </c>
    </row>
    <row r="1083" spans="1:4" ht="17" hidden="1" customHeight="1" outlineLevel="1" thickBot="1">
      <c r="A1083" s="2">
        <f>+Get_Data!A1082</f>
        <v>41012</v>
      </c>
      <c r="B1083">
        <f>+ROUND(Get_Data!B1082,5)</f>
        <v>50.771250000000002</v>
      </c>
      <c r="C1083">
        <f>+ROUND(Get_Data!C1082,5)</f>
        <v>27.350629999999999</v>
      </c>
      <c r="D1083" s="4">
        <f t="shared" si="16"/>
        <v>1.8563100740275453</v>
      </c>
    </row>
    <row r="1084" spans="1:4" ht="17" hidden="1" customHeight="1" outlineLevel="1" thickBot="1">
      <c r="A1084" s="2">
        <f>+Get_Data!A1083</f>
        <v>41015</v>
      </c>
      <c r="B1084">
        <f>+ROUND(Get_Data!B1083,5)</f>
        <v>51.497010000000003</v>
      </c>
      <c r="C1084">
        <f>+ROUND(Get_Data!C1083,5)</f>
        <v>27.54072</v>
      </c>
      <c r="D1084" s="4">
        <f t="shared" si="16"/>
        <v>1.8698498078481609</v>
      </c>
    </row>
    <row r="1085" spans="1:4" ht="17" hidden="1" customHeight="1" outlineLevel="1" thickBot="1">
      <c r="A1085" s="2">
        <f>+Get_Data!A1084</f>
        <v>41016</v>
      </c>
      <c r="B1085">
        <f>+ROUND(Get_Data!B1084,5)</f>
        <v>51.816960000000002</v>
      </c>
      <c r="C1085">
        <f>+ROUND(Get_Data!C1084,5)</f>
        <v>28.114799999999999</v>
      </c>
      <c r="D1085" s="4">
        <f t="shared" si="16"/>
        <v>1.8430492125144053</v>
      </c>
    </row>
    <row r="1086" spans="1:4" ht="17" hidden="1" customHeight="1" outlineLevel="1" thickBot="1">
      <c r="A1086" s="2">
        <f>+Get_Data!A1085</f>
        <v>41017</v>
      </c>
      <c r="B1086">
        <f>+ROUND(Get_Data!B1085,5)</f>
        <v>51.668680000000002</v>
      </c>
      <c r="C1086">
        <f>+ROUND(Get_Data!C1085,5)</f>
        <v>28.198440000000002</v>
      </c>
      <c r="D1086" s="4">
        <f t="shared" si="16"/>
        <v>1.832324057642905</v>
      </c>
    </row>
    <row r="1087" spans="1:4" ht="17" hidden="1" customHeight="1" outlineLevel="1" thickBot="1">
      <c r="A1087" s="2">
        <f>+Get_Data!A1086</f>
        <v>41018</v>
      </c>
      <c r="B1087">
        <f>+ROUND(Get_Data!B1086,5)</f>
        <v>51.621879999999997</v>
      </c>
      <c r="C1087">
        <f>+ROUND(Get_Data!C1086,5)</f>
        <v>28.065380000000001</v>
      </c>
      <c r="D1087" s="4">
        <f t="shared" si="16"/>
        <v>1.8393437038800113</v>
      </c>
    </row>
    <row r="1088" spans="1:4" ht="17" hidden="1" customHeight="1" outlineLevel="1" thickBot="1">
      <c r="A1088" s="2">
        <f>+Get_Data!A1087</f>
        <v>41019</v>
      </c>
      <c r="B1088">
        <f>+ROUND(Get_Data!B1087,5)</f>
        <v>51.99644</v>
      </c>
      <c r="C1088">
        <f>+ROUND(Get_Data!C1087,5)</f>
        <v>28.183229999999998</v>
      </c>
      <c r="D1088" s="4">
        <f t="shared" si="16"/>
        <v>1.8449425420720054</v>
      </c>
    </row>
    <row r="1089" spans="1:4" ht="17" hidden="1" customHeight="1" outlineLevel="1" thickBot="1">
      <c r="A1089" s="2">
        <f>+Get_Data!A1088</f>
        <v>41022</v>
      </c>
      <c r="B1089">
        <f>+ROUND(Get_Data!B1088,5)</f>
        <v>51.64528</v>
      </c>
      <c r="C1089">
        <f>+ROUND(Get_Data!C1088,5)</f>
        <v>28.01595</v>
      </c>
      <c r="D1089" s="4">
        <f t="shared" si="16"/>
        <v>1.8434241922904631</v>
      </c>
    </row>
    <row r="1090" spans="1:4" ht="17" hidden="1" customHeight="1" outlineLevel="1" thickBot="1">
      <c r="A1090" s="2">
        <f>+Get_Data!A1089</f>
        <v>41023</v>
      </c>
      <c r="B1090">
        <f>+ROUND(Get_Data!B1089,5)</f>
        <v>51.902810000000002</v>
      </c>
      <c r="C1090">
        <f>+ROUND(Get_Data!C1089,5)</f>
        <v>28.17943</v>
      </c>
      <c r="D1090" s="4">
        <f t="shared" si="16"/>
        <v>1.8418686964214679</v>
      </c>
    </row>
    <row r="1091" spans="1:4" ht="17" hidden="1" customHeight="1" outlineLevel="1" thickBot="1">
      <c r="A1091" s="2">
        <f>+Get_Data!A1090</f>
        <v>41024</v>
      </c>
      <c r="B1091">
        <f>+ROUND(Get_Data!B1090,5)</f>
        <v>52.027670000000001</v>
      </c>
      <c r="C1091">
        <f>+ROUND(Get_Data!C1090,5)</f>
        <v>28.487380000000002</v>
      </c>
      <c r="D1091" s="4">
        <f t="shared" si="16"/>
        <v>1.8263409973117921</v>
      </c>
    </row>
    <row r="1092" spans="1:4" ht="17" hidden="1" customHeight="1" outlineLevel="1" thickBot="1">
      <c r="A1092" s="2">
        <f>+Get_Data!A1091</f>
        <v>41025</v>
      </c>
      <c r="B1092">
        <f>+ROUND(Get_Data!B1091,5)</f>
        <v>51.79354</v>
      </c>
      <c r="C1092">
        <f>+ROUND(Get_Data!C1091,5)</f>
        <v>28.783930000000002</v>
      </c>
      <c r="D1092" s="4">
        <f t="shared" ref="D1092:D1155" si="17">IFERROR(B1092/C1092,"")</f>
        <v>1.7993908406531005</v>
      </c>
    </row>
    <row r="1093" spans="1:4" ht="17" hidden="1" customHeight="1" outlineLevel="1" thickBot="1">
      <c r="A1093" s="2">
        <f>+Get_Data!A1092</f>
        <v>41026</v>
      </c>
      <c r="B1093">
        <f>+ROUND(Get_Data!B1092,5)</f>
        <v>51.582859999999997</v>
      </c>
      <c r="C1093">
        <f>+ROUND(Get_Data!C1092,5)</f>
        <v>29.133700000000001</v>
      </c>
      <c r="D1093" s="4">
        <f t="shared" si="17"/>
        <v>1.7705564346444151</v>
      </c>
    </row>
    <row r="1094" spans="1:4" ht="17" hidden="1" customHeight="1" outlineLevel="1" thickBot="1">
      <c r="A1094" s="2">
        <f>+Get_Data!A1093</f>
        <v>41029</v>
      </c>
      <c r="B1094">
        <f>+ROUND(Get_Data!B1093,5)</f>
        <v>51.504800000000003</v>
      </c>
      <c r="C1094">
        <f>+ROUND(Get_Data!C1093,5)</f>
        <v>29.015840000000001</v>
      </c>
      <c r="D1094" s="4">
        <f t="shared" si="17"/>
        <v>1.7750580372651628</v>
      </c>
    </row>
    <row r="1095" spans="1:4" ht="17" hidden="1" customHeight="1" outlineLevel="1" thickBot="1">
      <c r="A1095" s="2">
        <f>+Get_Data!A1094</f>
        <v>41030</v>
      </c>
      <c r="B1095">
        <f>+ROUND(Get_Data!B1094,5)</f>
        <v>51.887180000000001</v>
      </c>
      <c r="C1095">
        <f>+ROUND(Get_Data!C1094,5)</f>
        <v>29.24776</v>
      </c>
      <c r="D1095" s="4">
        <f t="shared" si="17"/>
        <v>1.7740565431335598</v>
      </c>
    </row>
    <row r="1096" spans="1:4" ht="17" hidden="1" customHeight="1" outlineLevel="1" thickBot="1">
      <c r="A1096" s="2">
        <f>+Get_Data!A1095</f>
        <v>41031</v>
      </c>
      <c r="B1096">
        <f>+ROUND(Get_Data!B1095,5)</f>
        <v>52.152540000000002</v>
      </c>
      <c r="C1096">
        <f>+ROUND(Get_Data!C1095,5)</f>
        <v>29.335190000000001</v>
      </c>
      <c r="D1096" s="4">
        <f t="shared" si="17"/>
        <v>1.7778149723932246</v>
      </c>
    </row>
    <row r="1097" spans="1:4" ht="17" hidden="1" customHeight="1" outlineLevel="1" thickBot="1">
      <c r="A1097" s="2">
        <f>+Get_Data!A1096</f>
        <v>41032</v>
      </c>
      <c r="B1097">
        <f>+ROUND(Get_Data!B1096,5)</f>
        <v>52.214950000000002</v>
      </c>
      <c r="C1097">
        <f>+ROUND(Get_Data!C1096,5)</f>
        <v>29.441649999999999</v>
      </c>
      <c r="D1097" s="4">
        <f t="shared" si="17"/>
        <v>1.7735062403092219</v>
      </c>
    </row>
    <row r="1098" spans="1:4" ht="17" hidden="1" customHeight="1" outlineLevel="1" thickBot="1">
      <c r="A1098" s="2">
        <f>+Get_Data!A1097</f>
        <v>41033</v>
      </c>
      <c r="B1098">
        <f>+ROUND(Get_Data!B1097,5)</f>
        <v>51.426780000000001</v>
      </c>
      <c r="C1098">
        <f>+ROUND(Get_Data!C1097,5)</f>
        <v>29.274370000000001</v>
      </c>
      <c r="D1098" s="4">
        <f t="shared" si="17"/>
        <v>1.7567168823786814</v>
      </c>
    </row>
    <row r="1099" spans="1:4" ht="17" hidden="1" customHeight="1" outlineLevel="1" thickBot="1">
      <c r="A1099" s="2">
        <f>+Get_Data!A1098</f>
        <v>41036</v>
      </c>
      <c r="B1099">
        <f>+ROUND(Get_Data!B1098,5)</f>
        <v>51.988660000000003</v>
      </c>
      <c r="C1099">
        <f>+ROUND(Get_Data!C1098,5)</f>
        <v>29.38081</v>
      </c>
      <c r="D1099" s="4">
        <f t="shared" si="17"/>
        <v>1.7694767434934573</v>
      </c>
    </row>
    <row r="1100" spans="1:4" ht="17" hidden="1" customHeight="1" outlineLevel="1" thickBot="1">
      <c r="A1100" s="2">
        <f>+Get_Data!A1099</f>
        <v>41037</v>
      </c>
      <c r="B1100">
        <f>+ROUND(Get_Data!B1099,5)</f>
        <v>51.910600000000002</v>
      </c>
      <c r="C1100">
        <f>+ROUND(Get_Data!C1099,5)</f>
        <v>29.3276</v>
      </c>
      <c r="D1100" s="4">
        <f t="shared" si="17"/>
        <v>1.7700255049850653</v>
      </c>
    </row>
    <row r="1101" spans="1:4" ht="17" hidden="1" customHeight="1" outlineLevel="1" thickBot="1">
      <c r="A1101" s="2">
        <f>+Get_Data!A1100</f>
        <v>41038</v>
      </c>
      <c r="B1101">
        <f>+ROUND(Get_Data!B1100,5)</f>
        <v>51.457999999999998</v>
      </c>
      <c r="C1101">
        <f>+ROUND(Get_Data!C1100,5)</f>
        <v>29.190719999999999</v>
      </c>
      <c r="D1101" s="4">
        <f t="shared" si="17"/>
        <v>1.7628205128205128</v>
      </c>
    </row>
    <row r="1102" spans="1:4" ht="17" hidden="1" customHeight="1" outlineLevel="1" thickBot="1">
      <c r="A1102" s="2">
        <f>+Get_Data!A1101</f>
        <v>41039</v>
      </c>
      <c r="B1102">
        <f>+ROUND(Get_Data!B1101,5)</f>
        <v>52.121299999999998</v>
      </c>
      <c r="C1102">
        <f>+ROUND(Get_Data!C1101,5)</f>
        <v>29.430240000000001</v>
      </c>
      <c r="D1102" s="4">
        <f t="shared" si="17"/>
        <v>1.7710117212771623</v>
      </c>
    </row>
    <row r="1103" spans="1:4" ht="17" hidden="1" customHeight="1" outlineLevel="1" thickBot="1">
      <c r="A1103" s="2">
        <f>+Get_Data!A1102</f>
        <v>41040</v>
      </c>
      <c r="B1103">
        <f>+ROUND(Get_Data!B1102,5)</f>
        <v>52.12912</v>
      </c>
      <c r="C1103">
        <f>+ROUND(Get_Data!C1102,5)</f>
        <v>29.453060000000001</v>
      </c>
      <c r="D1103" s="4">
        <f t="shared" si="17"/>
        <v>1.7699050624960531</v>
      </c>
    </row>
    <row r="1104" spans="1:4" ht="17" hidden="1" customHeight="1" outlineLevel="1" thickBot="1">
      <c r="A1104" s="2">
        <f>+Get_Data!A1103</f>
        <v>41043</v>
      </c>
      <c r="B1104">
        <f>+ROUND(Get_Data!B1103,5)</f>
        <v>52.402230000000003</v>
      </c>
      <c r="C1104">
        <f>+ROUND(Get_Data!C1103,5)</f>
        <v>29.22495</v>
      </c>
      <c r="D1104" s="4">
        <f t="shared" si="17"/>
        <v>1.7930648298799485</v>
      </c>
    </row>
    <row r="1105" spans="1:4" ht="17" hidden="1" customHeight="1" outlineLevel="1" thickBot="1">
      <c r="A1105" s="2">
        <f>+Get_Data!A1104</f>
        <v>41044</v>
      </c>
      <c r="B1105">
        <f>+ROUND(Get_Data!B1104,5)</f>
        <v>52.948509999999999</v>
      </c>
      <c r="C1105">
        <f>+ROUND(Get_Data!C1104,5)</f>
        <v>29.110890000000001</v>
      </c>
      <c r="D1105" s="4">
        <f t="shared" si="17"/>
        <v>1.8188557615380361</v>
      </c>
    </row>
    <row r="1106" spans="1:4" ht="17" hidden="1" customHeight="1" outlineLevel="1" thickBot="1">
      <c r="A1106" s="2">
        <f>+Get_Data!A1105</f>
        <v>41045</v>
      </c>
      <c r="B1106">
        <f>+ROUND(Get_Data!B1105,5)</f>
        <v>53.650840000000002</v>
      </c>
      <c r="C1106">
        <f>+ROUND(Get_Data!C1105,5)</f>
        <v>29.019639999999999</v>
      </c>
      <c r="D1106" s="4">
        <f t="shared" si="17"/>
        <v>1.8487768973012761</v>
      </c>
    </row>
    <row r="1107" spans="1:4" ht="17" hidden="1" customHeight="1" outlineLevel="1" thickBot="1">
      <c r="A1107" s="2">
        <f>+Get_Data!A1106</f>
        <v>41046</v>
      </c>
      <c r="B1107">
        <f>+ROUND(Get_Data!B1106,5)</f>
        <v>53.666449999999998</v>
      </c>
      <c r="C1107">
        <f>+ROUND(Get_Data!C1106,5)</f>
        <v>28.559609999999999</v>
      </c>
      <c r="D1107" s="4">
        <f t="shared" si="17"/>
        <v>1.8791030409728984</v>
      </c>
    </row>
    <row r="1108" spans="1:4" ht="17" hidden="1" customHeight="1" outlineLevel="1" thickBot="1">
      <c r="A1108" s="2">
        <f>+Get_Data!A1107</f>
        <v>41047</v>
      </c>
      <c r="B1108">
        <f>+ROUND(Get_Data!B1107,5)</f>
        <v>53.159210000000002</v>
      </c>
      <c r="C1108">
        <f>+ROUND(Get_Data!C1107,5)</f>
        <v>28.152809999999999</v>
      </c>
      <c r="D1108" s="4">
        <f t="shared" si="17"/>
        <v>1.8882381545572184</v>
      </c>
    </row>
    <row r="1109" spans="1:4" ht="17" hidden="1" customHeight="1" outlineLevel="1" thickBot="1">
      <c r="A1109" s="2">
        <f>+Get_Data!A1108</f>
        <v>41050</v>
      </c>
      <c r="B1109">
        <f>+ROUND(Get_Data!B1108,5)</f>
        <v>53.049970000000002</v>
      </c>
      <c r="C1109">
        <f>+ROUND(Get_Data!C1108,5)</f>
        <v>28.3277</v>
      </c>
      <c r="D1109" s="4">
        <f t="shared" si="17"/>
        <v>1.8727242239927704</v>
      </c>
    </row>
    <row r="1110" spans="1:4" ht="17" hidden="1" customHeight="1" outlineLevel="1" thickBot="1">
      <c r="A1110" s="2">
        <f>+Get_Data!A1109</f>
        <v>41051</v>
      </c>
      <c r="B1110">
        <f>+ROUND(Get_Data!B1109,5)</f>
        <v>53.127980000000001</v>
      </c>
      <c r="C1110">
        <f>+ROUND(Get_Data!C1109,5)</f>
        <v>28.206050000000001</v>
      </c>
      <c r="D1110" s="4">
        <f t="shared" si="17"/>
        <v>1.8835668234297251</v>
      </c>
    </row>
    <row r="1111" spans="1:4" ht="17" hidden="1" customHeight="1" outlineLevel="1" thickBot="1">
      <c r="A1111" s="2">
        <f>+Get_Data!A1110</f>
        <v>41052</v>
      </c>
      <c r="B1111">
        <f>+ROUND(Get_Data!B1110,5)</f>
        <v>53.065559999999998</v>
      </c>
      <c r="C1111">
        <f>+ROUND(Get_Data!C1110,5)</f>
        <v>28.342919999999999</v>
      </c>
      <c r="D1111" s="4">
        <f t="shared" si="17"/>
        <v>1.8722686300494091</v>
      </c>
    </row>
    <row r="1112" spans="1:4" ht="17" hidden="1" customHeight="1" outlineLevel="1" thickBot="1">
      <c r="A1112" s="2">
        <f>+Get_Data!A1111</f>
        <v>41053</v>
      </c>
      <c r="B1112">
        <f>+ROUND(Get_Data!B1111,5)</f>
        <v>53.697659999999999</v>
      </c>
      <c r="C1112">
        <f>+ROUND(Get_Data!C1111,5)</f>
        <v>28.726900000000001</v>
      </c>
      <c r="D1112" s="4">
        <f t="shared" si="17"/>
        <v>1.8692465946551837</v>
      </c>
    </row>
    <row r="1113" spans="1:4" ht="17" hidden="1" customHeight="1" outlineLevel="1" thickBot="1">
      <c r="A1113" s="2">
        <f>+Get_Data!A1112</f>
        <v>41054</v>
      </c>
      <c r="B1113">
        <f>+ROUND(Get_Data!B1112,5)</f>
        <v>53.565010000000001</v>
      </c>
      <c r="C1113">
        <f>+ROUND(Get_Data!C1112,5)</f>
        <v>28.60144</v>
      </c>
      <c r="D1113" s="4">
        <f t="shared" si="17"/>
        <v>1.8728081523168065</v>
      </c>
    </row>
    <row r="1114" spans="1:4" ht="17" hidden="1" customHeight="1" outlineLevel="1" thickBot="1">
      <c r="A1114" s="2">
        <f>+Get_Data!A1113</f>
        <v>41058</v>
      </c>
      <c r="B1114">
        <f>+ROUND(Get_Data!B1113,5)</f>
        <v>54.103450000000002</v>
      </c>
      <c r="C1114">
        <f>+ROUND(Get_Data!C1113,5)</f>
        <v>28.688880000000001</v>
      </c>
      <c r="D1114" s="4">
        <f t="shared" si="17"/>
        <v>1.8858683224998676</v>
      </c>
    </row>
    <row r="1115" spans="1:4" ht="17" hidden="1" customHeight="1" outlineLevel="1" thickBot="1">
      <c r="A1115" s="2">
        <f>+Get_Data!A1114</f>
        <v>41059</v>
      </c>
      <c r="B1115">
        <f>+ROUND(Get_Data!B1114,5)</f>
        <v>53.653590000000001</v>
      </c>
      <c r="C1115">
        <f>+ROUND(Get_Data!C1114,5)</f>
        <v>28.536809999999999</v>
      </c>
      <c r="D1115" s="4">
        <f t="shared" si="17"/>
        <v>1.8801537382769835</v>
      </c>
    </row>
    <row r="1116" spans="1:4" ht="17" hidden="1" customHeight="1" outlineLevel="1" thickBot="1">
      <c r="A1116" s="2">
        <f>+Get_Data!A1115</f>
        <v>41060</v>
      </c>
      <c r="B1116">
        <f>+ROUND(Get_Data!B1115,5)</f>
        <v>53.3626</v>
      </c>
      <c r="C1116">
        <f>+ROUND(Get_Data!C1115,5)</f>
        <v>28.411339999999999</v>
      </c>
      <c r="D1116" s="4">
        <f t="shared" si="17"/>
        <v>1.8782148254886959</v>
      </c>
    </row>
    <row r="1117" spans="1:4" ht="17" hidden="1" customHeight="1" outlineLevel="1" thickBot="1">
      <c r="A1117" s="2">
        <f>+Get_Data!A1116</f>
        <v>41061</v>
      </c>
      <c r="B1117">
        <f>+ROUND(Get_Data!B1116,5)</f>
        <v>53.095190000000002</v>
      </c>
      <c r="C1117">
        <f>+ROUND(Get_Data!C1116,5)</f>
        <v>27.787839999999999</v>
      </c>
      <c r="D1117" s="4">
        <f t="shared" si="17"/>
        <v>1.9107346954639153</v>
      </c>
    </row>
    <row r="1118" spans="1:4" ht="17" hidden="1" customHeight="1" outlineLevel="1" thickBot="1">
      <c r="A1118" s="2">
        <f>+Get_Data!A1117</f>
        <v>41064</v>
      </c>
      <c r="B1118">
        <f>+ROUND(Get_Data!B1117,5)</f>
        <v>53.071599999999997</v>
      </c>
      <c r="C1118">
        <f>+ROUND(Get_Data!C1117,5)</f>
        <v>27.996939999999999</v>
      </c>
      <c r="D1118" s="4">
        <f t="shared" si="17"/>
        <v>1.8956214500584707</v>
      </c>
    </row>
    <row r="1119" spans="1:4" ht="17" hidden="1" customHeight="1" outlineLevel="1" thickBot="1">
      <c r="A1119" s="2">
        <f>+Get_Data!A1118</f>
        <v>41065</v>
      </c>
      <c r="B1119">
        <f>+ROUND(Get_Data!B1118,5)</f>
        <v>52.694090000000003</v>
      </c>
      <c r="C1119">
        <f>+ROUND(Get_Data!C1118,5)</f>
        <v>27.84487</v>
      </c>
      <c r="D1119" s="4">
        <f t="shared" si="17"/>
        <v>1.8924164487031185</v>
      </c>
    </row>
    <row r="1120" spans="1:4" ht="17" hidden="1" customHeight="1" outlineLevel="1" thickBot="1">
      <c r="A1120" s="2">
        <f>+Get_Data!A1119</f>
        <v>41066</v>
      </c>
      <c r="B1120">
        <f>+ROUND(Get_Data!B1119,5)</f>
        <v>53.079470000000001</v>
      </c>
      <c r="C1120">
        <f>+ROUND(Get_Data!C1119,5)</f>
        <v>28.36572</v>
      </c>
      <c r="D1120" s="4">
        <f t="shared" si="17"/>
        <v>1.8712541053073921</v>
      </c>
    </row>
    <row r="1121" spans="1:4" ht="17" hidden="1" customHeight="1" outlineLevel="1" thickBot="1">
      <c r="A1121" s="2">
        <f>+Get_Data!A1120</f>
        <v>41067</v>
      </c>
      <c r="B1121">
        <f>+ROUND(Get_Data!B1120,5)</f>
        <v>53.22889</v>
      </c>
      <c r="C1121">
        <f>+ROUND(Get_Data!C1120,5)</f>
        <v>28.240259999999999</v>
      </c>
      <c r="D1121" s="4">
        <f t="shared" si="17"/>
        <v>1.8848583547035331</v>
      </c>
    </row>
    <row r="1122" spans="1:4" ht="17" hidden="1" customHeight="1" outlineLevel="1" thickBot="1">
      <c r="A1122" s="2">
        <f>+Get_Data!A1121</f>
        <v>41068</v>
      </c>
      <c r="B1122">
        <f>+ROUND(Get_Data!B1121,5)</f>
        <v>53.724379999999996</v>
      </c>
      <c r="C1122">
        <f>+ROUND(Get_Data!C1121,5)</f>
        <v>28.605239999999998</v>
      </c>
      <c r="D1122" s="4">
        <f t="shared" si="17"/>
        <v>1.8781307201058268</v>
      </c>
    </row>
    <row r="1123" spans="1:4" ht="17" hidden="1" customHeight="1" outlineLevel="1" thickBot="1">
      <c r="A1123" s="2">
        <f>+Get_Data!A1122</f>
        <v>41071</v>
      </c>
      <c r="B1123">
        <f>+ROUND(Get_Data!B1122,5)</f>
        <v>53.5199</v>
      </c>
      <c r="C1123">
        <f>+ROUND(Get_Data!C1122,5)</f>
        <v>28.384740000000001</v>
      </c>
      <c r="D1123" s="4">
        <f t="shared" si="17"/>
        <v>1.8855166543713275</v>
      </c>
    </row>
    <row r="1124" spans="1:4" ht="17" hidden="1" customHeight="1" outlineLevel="1" thickBot="1">
      <c r="A1124" s="2">
        <f>+Get_Data!A1123</f>
        <v>41072</v>
      </c>
      <c r="B1124">
        <f>+ROUND(Get_Data!B1123,5)</f>
        <v>53.795169999999999</v>
      </c>
      <c r="C1124">
        <f>+ROUND(Get_Data!C1123,5)</f>
        <v>28.590029999999999</v>
      </c>
      <c r="D1124" s="4">
        <f t="shared" si="17"/>
        <v>1.8816059304589747</v>
      </c>
    </row>
    <row r="1125" spans="1:4" ht="17" hidden="1" customHeight="1" outlineLevel="1" thickBot="1">
      <c r="A1125" s="2">
        <f>+Get_Data!A1124</f>
        <v>41073</v>
      </c>
      <c r="B1125">
        <f>+ROUND(Get_Data!B1124,5)</f>
        <v>53.913139999999999</v>
      </c>
      <c r="C1125">
        <f>+ROUND(Get_Data!C1124,5)</f>
        <v>28.7866</v>
      </c>
      <c r="D1125" s="4">
        <f t="shared" si="17"/>
        <v>1.8728554257883876</v>
      </c>
    </row>
    <row r="1126" spans="1:4" ht="17" hidden="1" customHeight="1" outlineLevel="1" thickBot="1">
      <c r="A1126" s="2">
        <f>+Get_Data!A1125</f>
        <v>41074</v>
      </c>
      <c r="B1126">
        <f>+ROUND(Get_Data!B1125,5)</f>
        <v>54.479390000000002</v>
      </c>
      <c r="C1126">
        <f>+ROUND(Get_Data!C1125,5)</f>
        <v>29.191279999999999</v>
      </c>
      <c r="D1126" s="4">
        <f t="shared" si="17"/>
        <v>1.8662898646445105</v>
      </c>
    </row>
    <row r="1127" spans="1:4" ht="17" hidden="1" customHeight="1" outlineLevel="1" thickBot="1">
      <c r="A1127" s="2">
        <f>+Get_Data!A1126</f>
        <v>41075</v>
      </c>
      <c r="B1127">
        <f>+ROUND(Get_Data!B1126,5)</f>
        <v>54.644550000000002</v>
      </c>
      <c r="C1127">
        <f>+ROUND(Get_Data!C1126,5)</f>
        <v>29.326160000000002</v>
      </c>
      <c r="D1127" s="4">
        <f t="shared" si="17"/>
        <v>1.86333805721581</v>
      </c>
    </row>
    <row r="1128" spans="1:4" ht="17" hidden="1" customHeight="1" outlineLevel="1" thickBot="1">
      <c r="A1128" s="2">
        <f>+Get_Data!A1127</f>
        <v>41078</v>
      </c>
      <c r="B1128">
        <f>+ROUND(Get_Data!B1127,5)</f>
        <v>54.738939999999999</v>
      </c>
      <c r="C1128">
        <f>+ROUND(Get_Data!C1127,5)</f>
        <v>29.28378</v>
      </c>
      <c r="D1128" s="4">
        <f t="shared" si="17"/>
        <v>1.8692579987966034</v>
      </c>
    </row>
    <row r="1129" spans="1:4" ht="17" hidden="1" customHeight="1" outlineLevel="1" thickBot="1">
      <c r="A1129" s="2">
        <f>+Get_Data!A1128</f>
        <v>41079</v>
      </c>
      <c r="B1129">
        <f>+ROUND(Get_Data!B1128,5)</f>
        <v>54.510840000000002</v>
      </c>
      <c r="C1129">
        <f>+ROUND(Get_Data!C1128,5)</f>
        <v>29.191279999999999</v>
      </c>
      <c r="D1129" s="4">
        <f t="shared" si="17"/>
        <v>1.8673672411761322</v>
      </c>
    </row>
    <row r="1130" spans="1:4" ht="17" hidden="1" customHeight="1" outlineLevel="1" thickBot="1">
      <c r="A1130" s="2">
        <f>+Get_Data!A1129</f>
        <v>41080</v>
      </c>
      <c r="B1130">
        <f>+ROUND(Get_Data!B1129,5)</f>
        <v>54.196269999999998</v>
      </c>
      <c r="C1130">
        <f>+ROUND(Get_Data!C1129,5)</f>
        <v>29.1219</v>
      </c>
      <c r="D1130" s="4">
        <f t="shared" si="17"/>
        <v>1.8610142195392469</v>
      </c>
    </row>
    <row r="1131" spans="1:4" ht="17" hidden="1" customHeight="1" outlineLevel="1" thickBot="1">
      <c r="A1131" s="2">
        <f>+Get_Data!A1130</f>
        <v>41081</v>
      </c>
      <c r="B1131">
        <f>+ROUND(Get_Data!B1130,5)</f>
        <v>53.873809999999999</v>
      </c>
      <c r="C1131">
        <f>+ROUND(Get_Data!C1130,5)</f>
        <v>28.778880000000001</v>
      </c>
      <c r="D1131" s="4">
        <f t="shared" si="17"/>
        <v>1.871991196321747</v>
      </c>
    </row>
    <row r="1132" spans="1:4" ht="17" hidden="1" customHeight="1" outlineLevel="1" thickBot="1">
      <c r="A1132" s="2">
        <f>+Get_Data!A1131</f>
        <v>41082</v>
      </c>
      <c r="B1132">
        <f>+ROUND(Get_Data!B1131,5)</f>
        <v>54.031109999999998</v>
      </c>
      <c r="C1132">
        <f>+ROUND(Get_Data!C1131,5)</f>
        <v>28.882950000000001</v>
      </c>
      <c r="D1132" s="4">
        <f t="shared" si="17"/>
        <v>1.8706922249977926</v>
      </c>
    </row>
    <row r="1133" spans="1:4" ht="17" hidden="1" customHeight="1" outlineLevel="1" thickBot="1">
      <c r="A1133" s="2">
        <f>+Get_Data!A1132</f>
        <v>41085</v>
      </c>
      <c r="B1133">
        <f>+ROUND(Get_Data!B1132,5)</f>
        <v>53.960320000000003</v>
      </c>
      <c r="C1133">
        <f>+ROUND(Get_Data!C1132,5)</f>
        <v>28.817430000000002</v>
      </c>
      <c r="D1133" s="4">
        <f t="shared" si="17"/>
        <v>1.8724889762896968</v>
      </c>
    </row>
    <row r="1134" spans="1:4" ht="17" hidden="1" customHeight="1" outlineLevel="1" thickBot="1">
      <c r="A1134" s="2">
        <f>+Get_Data!A1133</f>
        <v>41086</v>
      </c>
      <c r="B1134">
        <f>+ROUND(Get_Data!B1133,5)</f>
        <v>54.219850000000001</v>
      </c>
      <c r="C1134">
        <f>+ROUND(Get_Data!C1133,5)</f>
        <v>28.936900000000001</v>
      </c>
      <c r="D1134" s="4">
        <f t="shared" si="17"/>
        <v>1.8737269714447642</v>
      </c>
    </row>
    <row r="1135" spans="1:4" ht="17" hidden="1" customHeight="1" outlineLevel="1" thickBot="1">
      <c r="A1135" s="2">
        <f>+Get_Data!A1134</f>
        <v>41087</v>
      </c>
      <c r="B1135">
        <f>+ROUND(Get_Data!B1134,5)</f>
        <v>54.856920000000002</v>
      </c>
      <c r="C1135">
        <f>+ROUND(Get_Data!C1134,5)</f>
        <v>29.422519999999999</v>
      </c>
      <c r="D1135" s="4">
        <f t="shared" si="17"/>
        <v>1.8644534866490023</v>
      </c>
    </row>
    <row r="1136" spans="1:4" ht="17" hidden="1" customHeight="1" outlineLevel="1" thickBot="1">
      <c r="A1136" s="2">
        <f>+Get_Data!A1135</f>
        <v>41088</v>
      </c>
      <c r="B1136">
        <f>+ROUND(Get_Data!B1135,5)</f>
        <v>54.738939999999999</v>
      </c>
      <c r="C1136">
        <f>+ROUND(Get_Data!C1135,5)</f>
        <v>29.51117</v>
      </c>
      <c r="D1136" s="4">
        <f t="shared" si="17"/>
        <v>1.8548549583090064</v>
      </c>
    </row>
    <row r="1137" spans="1:4" ht="17" hidden="1" customHeight="1" outlineLevel="1" thickBot="1">
      <c r="A1137" s="2">
        <f>+Get_Data!A1136</f>
        <v>41089</v>
      </c>
      <c r="B1137">
        <f>+ROUND(Get_Data!B1136,5)</f>
        <v>55.572609999999997</v>
      </c>
      <c r="C1137">
        <f>+ROUND(Get_Data!C1136,5)</f>
        <v>30.135539999999999</v>
      </c>
      <c r="D1137" s="4">
        <f t="shared" si="17"/>
        <v>1.8440887404041872</v>
      </c>
    </row>
    <row r="1138" spans="1:4" ht="17" hidden="1" customHeight="1" outlineLevel="1" thickBot="1">
      <c r="A1138" s="2">
        <f>+Get_Data!A1137</f>
        <v>41092</v>
      </c>
      <c r="B1138">
        <f>+ROUND(Get_Data!B1137,5)</f>
        <v>55.651249999999997</v>
      </c>
      <c r="C1138">
        <f>+ROUND(Get_Data!C1137,5)</f>
        <v>30.416889999999999</v>
      </c>
      <c r="D1138" s="4">
        <f t="shared" si="17"/>
        <v>1.829616703088317</v>
      </c>
    </row>
    <row r="1139" spans="1:4" ht="17" hidden="1" customHeight="1" outlineLevel="1" thickBot="1">
      <c r="A1139" s="2">
        <f>+Get_Data!A1138</f>
        <v>41093</v>
      </c>
      <c r="B1139">
        <f>+ROUND(Get_Data!B1138,5)</f>
        <v>55.651249999999997</v>
      </c>
      <c r="C1139">
        <f>+ROUND(Get_Data!C1138,5)</f>
        <v>30.509399999999999</v>
      </c>
      <c r="D1139" s="4">
        <f t="shared" si="17"/>
        <v>1.8240689754632997</v>
      </c>
    </row>
    <row r="1140" spans="1:4" ht="17" hidden="1" customHeight="1" outlineLevel="1" thickBot="1">
      <c r="A1140" s="2">
        <f>+Get_Data!A1139</f>
        <v>41095</v>
      </c>
      <c r="B1140">
        <f>+ROUND(Get_Data!B1139,5)</f>
        <v>55.187240000000003</v>
      </c>
      <c r="C1140">
        <f>+ROUND(Get_Data!C1139,5)</f>
        <v>30.235749999999999</v>
      </c>
      <c r="D1140" s="4">
        <f t="shared" si="17"/>
        <v>1.8252313899936334</v>
      </c>
    </row>
    <row r="1141" spans="1:4" ht="17" hidden="1" customHeight="1" outlineLevel="1" thickBot="1">
      <c r="A1141" s="2">
        <f>+Get_Data!A1140</f>
        <v>41096</v>
      </c>
      <c r="B1141">
        <f>+ROUND(Get_Data!B1140,5)</f>
        <v>55.226559999999999</v>
      </c>
      <c r="C1141">
        <f>+ROUND(Get_Data!C1140,5)</f>
        <v>30.12013</v>
      </c>
      <c r="D1141" s="4">
        <f t="shared" si="17"/>
        <v>1.8335432151189255</v>
      </c>
    </row>
    <row r="1142" spans="1:4" ht="17" hidden="1" customHeight="1" outlineLevel="1" thickBot="1">
      <c r="A1142" s="2">
        <f>+Get_Data!A1141</f>
        <v>41099</v>
      </c>
      <c r="B1142">
        <f>+ROUND(Get_Data!B1141,5)</f>
        <v>55.045670000000001</v>
      </c>
      <c r="C1142">
        <f>+ROUND(Get_Data!C1141,5)</f>
        <v>30.054600000000001</v>
      </c>
      <c r="D1142" s="4">
        <f t="shared" si="17"/>
        <v>1.8315222960877868</v>
      </c>
    </row>
    <row r="1143" spans="1:4" ht="17" hidden="1" customHeight="1" outlineLevel="1" thickBot="1">
      <c r="A1143" s="2">
        <f>+Get_Data!A1142</f>
        <v>41100</v>
      </c>
      <c r="B1143">
        <f>+ROUND(Get_Data!B1142,5)</f>
        <v>54.951270000000001</v>
      </c>
      <c r="C1143">
        <f>+ROUND(Get_Data!C1142,5)</f>
        <v>30.054600000000001</v>
      </c>
      <c r="D1143" s="4">
        <f t="shared" si="17"/>
        <v>1.8283813459503704</v>
      </c>
    </row>
    <row r="1144" spans="1:4" ht="17" hidden="1" customHeight="1" outlineLevel="1" thickBot="1">
      <c r="A1144" s="2">
        <f>+Get_Data!A1143</f>
        <v>41101</v>
      </c>
      <c r="B1144">
        <f>+ROUND(Get_Data!B1143,5)</f>
        <v>55.155760000000001</v>
      </c>
      <c r="C1144">
        <f>+ROUND(Get_Data!C1143,5)</f>
        <v>29.854189999999999</v>
      </c>
      <c r="D1144" s="4">
        <f t="shared" si="17"/>
        <v>1.8475048226061401</v>
      </c>
    </row>
    <row r="1145" spans="1:4" ht="17" hidden="1" customHeight="1" outlineLevel="1" thickBot="1">
      <c r="A1145" s="2">
        <f>+Get_Data!A1144</f>
        <v>41102</v>
      </c>
      <c r="B1145">
        <f>+ROUND(Get_Data!B1144,5)</f>
        <v>54.935549999999999</v>
      </c>
      <c r="C1145">
        <f>+ROUND(Get_Data!C1144,5)</f>
        <v>29.538150000000002</v>
      </c>
      <c r="D1145" s="4">
        <f t="shared" si="17"/>
        <v>1.8598168808811655</v>
      </c>
    </row>
    <row r="1146" spans="1:4" ht="17" hidden="1" customHeight="1" outlineLevel="1" thickBot="1">
      <c r="A1146" s="2">
        <f>+Get_Data!A1145</f>
        <v>41103</v>
      </c>
      <c r="B1146">
        <f>+ROUND(Get_Data!B1145,5)</f>
        <v>55.375979999999998</v>
      </c>
      <c r="C1146">
        <f>+ROUND(Get_Data!C1145,5)</f>
        <v>29.78481</v>
      </c>
      <c r="D1146" s="4">
        <f t="shared" si="17"/>
        <v>1.8592020563501999</v>
      </c>
    </row>
    <row r="1147" spans="1:4" ht="17" hidden="1" customHeight="1" outlineLevel="1" thickBot="1">
      <c r="A1147" s="2">
        <f>+Get_Data!A1146</f>
        <v>41106</v>
      </c>
      <c r="B1147">
        <f>+ROUND(Get_Data!B1146,5)</f>
        <v>55.328800000000001</v>
      </c>
      <c r="C1147">
        <f>+ROUND(Get_Data!C1146,5)</f>
        <v>29.476479999999999</v>
      </c>
      <c r="D1147" s="4">
        <f t="shared" si="17"/>
        <v>1.8770490913433355</v>
      </c>
    </row>
    <row r="1148" spans="1:4" ht="17" hidden="1" customHeight="1" outlineLevel="1" thickBot="1">
      <c r="A1148" s="2">
        <f>+Get_Data!A1147</f>
        <v>41107</v>
      </c>
      <c r="B1148">
        <f>+ROUND(Get_Data!B1147,5)</f>
        <v>55.313079999999999</v>
      </c>
      <c r="C1148">
        <f>+ROUND(Get_Data!C1147,5)</f>
        <v>29.94285</v>
      </c>
      <c r="D1148" s="4">
        <f t="shared" si="17"/>
        <v>1.8472884177691835</v>
      </c>
    </row>
    <row r="1149" spans="1:4" ht="17" hidden="1" customHeight="1" outlineLevel="1" thickBot="1">
      <c r="A1149" s="2">
        <f>+Get_Data!A1148</f>
        <v>41108</v>
      </c>
      <c r="B1149">
        <f>+ROUND(Get_Data!B1148,5)</f>
        <v>55.352379999999997</v>
      </c>
      <c r="C1149">
        <f>+ROUND(Get_Data!C1148,5)</f>
        <v>29.84647</v>
      </c>
      <c r="D1149" s="4">
        <f t="shared" si="17"/>
        <v>1.8545704064835806</v>
      </c>
    </row>
    <row r="1150" spans="1:4" ht="17" hidden="1" customHeight="1" outlineLevel="1" thickBot="1">
      <c r="A1150" s="2">
        <f>+Get_Data!A1149</f>
        <v>41109</v>
      </c>
      <c r="B1150">
        <f>+ROUND(Get_Data!B1149,5)</f>
        <v>55.383839999999999</v>
      </c>
      <c r="C1150">
        <f>+ROUND(Get_Data!C1149,5)</f>
        <v>29.88889</v>
      </c>
      <c r="D1150" s="4">
        <f t="shared" si="17"/>
        <v>1.8529908604836112</v>
      </c>
    </row>
    <row r="1151" spans="1:4" ht="17" hidden="1" customHeight="1" outlineLevel="1" thickBot="1">
      <c r="A1151" s="2">
        <f>+Get_Data!A1150</f>
        <v>41110</v>
      </c>
      <c r="B1151">
        <f>+ROUND(Get_Data!B1150,5)</f>
        <v>55.022069999999999</v>
      </c>
      <c r="C1151">
        <f>+ROUND(Get_Data!C1150,5)</f>
        <v>29.688459999999999</v>
      </c>
      <c r="D1151" s="4">
        <f t="shared" si="17"/>
        <v>1.8533150591172463</v>
      </c>
    </row>
    <row r="1152" spans="1:4" ht="17" hidden="1" customHeight="1" outlineLevel="1" thickBot="1">
      <c r="A1152" s="2">
        <f>+Get_Data!A1151</f>
        <v>41113</v>
      </c>
      <c r="B1152">
        <f>+ROUND(Get_Data!B1151,5)</f>
        <v>54.534460000000003</v>
      </c>
      <c r="C1152">
        <f>+ROUND(Get_Data!C1151,5)</f>
        <v>29.63064</v>
      </c>
      <c r="D1152" s="4">
        <f t="shared" si="17"/>
        <v>1.8404752647934706</v>
      </c>
    </row>
    <row r="1153" spans="1:4" ht="17" hidden="1" customHeight="1" outlineLevel="1" thickBot="1">
      <c r="A1153" s="2">
        <f>+Get_Data!A1152</f>
        <v>41114</v>
      </c>
      <c r="B1153">
        <f>+ROUND(Get_Data!B1152,5)</f>
        <v>54.101889999999997</v>
      </c>
      <c r="C1153">
        <f>+ROUND(Get_Data!C1152,5)</f>
        <v>29.545850000000002</v>
      </c>
      <c r="D1153" s="4">
        <f t="shared" si="17"/>
        <v>1.8311163835191742</v>
      </c>
    </row>
    <row r="1154" spans="1:4" ht="17" hidden="1" customHeight="1" outlineLevel="1" thickBot="1">
      <c r="A1154" s="2">
        <f>+Get_Data!A1153</f>
        <v>41115</v>
      </c>
      <c r="B1154">
        <f>+ROUND(Get_Data!B1153,5)</f>
        <v>55.289479999999998</v>
      </c>
      <c r="C1154">
        <f>+ROUND(Get_Data!C1153,5)</f>
        <v>29.684609999999999</v>
      </c>
      <c r="D1154" s="4">
        <f t="shared" si="17"/>
        <v>1.8625637998949625</v>
      </c>
    </row>
    <row r="1155" spans="1:4" ht="17" hidden="1" customHeight="1" outlineLevel="1" thickBot="1">
      <c r="A1155" s="2">
        <f>+Get_Data!A1154</f>
        <v>41116</v>
      </c>
      <c r="B1155">
        <f>+ROUND(Get_Data!B1154,5)</f>
        <v>56.013030000000001</v>
      </c>
      <c r="C1155">
        <f>+ROUND(Get_Data!C1154,5)</f>
        <v>30.38992</v>
      </c>
      <c r="D1155" s="4">
        <f t="shared" si="17"/>
        <v>1.8431450296677319</v>
      </c>
    </row>
    <row r="1156" spans="1:4" ht="17" hidden="1" customHeight="1" outlineLevel="1" thickBot="1">
      <c r="A1156" s="2">
        <f>+Get_Data!A1155</f>
        <v>41117</v>
      </c>
      <c r="B1156">
        <f>+ROUND(Get_Data!B1155,5)</f>
        <v>56.830970000000001</v>
      </c>
      <c r="C1156">
        <f>+ROUND(Get_Data!C1155,5)</f>
        <v>30.837009999999999</v>
      </c>
      <c r="D1156" s="4">
        <f t="shared" ref="D1156:D1219" si="18">IFERROR(B1156/C1156,"")</f>
        <v>1.8429468356367884</v>
      </c>
    </row>
    <row r="1157" spans="1:4" ht="17" hidden="1" customHeight="1" outlineLevel="1" thickBot="1">
      <c r="A1157" s="2">
        <f>+Get_Data!A1156</f>
        <v>41120</v>
      </c>
      <c r="B1157">
        <f>+ROUND(Get_Data!B1156,5)</f>
        <v>57.216349999999998</v>
      </c>
      <c r="C1157">
        <f>+ROUND(Get_Data!C1156,5)</f>
        <v>31.264800000000001</v>
      </c>
      <c r="D1157" s="4">
        <f t="shared" si="18"/>
        <v>1.8300564852485861</v>
      </c>
    </row>
    <row r="1158" spans="1:4" ht="17" hidden="1" customHeight="1" outlineLevel="1" thickBot="1">
      <c r="A1158" s="2">
        <f>+Get_Data!A1157</f>
        <v>41121</v>
      </c>
      <c r="B1158">
        <f>+ROUND(Get_Data!B1157,5)</f>
        <v>57.200629999999997</v>
      </c>
      <c r="C1158">
        <f>+ROUND(Get_Data!C1157,5)</f>
        <v>31.141480000000001</v>
      </c>
      <c r="D1158" s="4">
        <f t="shared" si="18"/>
        <v>1.8367987006397897</v>
      </c>
    </row>
    <row r="1159" spans="1:4" ht="17" hidden="1" customHeight="1" outlineLevel="1" thickBot="1">
      <c r="A1159" s="2">
        <f>+Get_Data!A1158</f>
        <v>41122</v>
      </c>
      <c r="B1159">
        <f>+ROUND(Get_Data!B1158,5)</f>
        <v>56.941079999999999</v>
      </c>
      <c r="C1159">
        <f>+ROUND(Get_Data!C1158,5)</f>
        <v>31.22242</v>
      </c>
      <c r="D1159" s="4">
        <f t="shared" si="18"/>
        <v>1.8237241059469445</v>
      </c>
    </row>
    <row r="1160" spans="1:4" ht="17" hidden="1" customHeight="1" outlineLevel="1" thickBot="1">
      <c r="A1160" s="2">
        <f>+Get_Data!A1159</f>
        <v>41123</v>
      </c>
      <c r="B1160">
        <f>+ROUND(Get_Data!B1159,5)</f>
        <v>56.469180000000001</v>
      </c>
      <c r="C1160">
        <f>+ROUND(Get_Data!C1159,5)</f>
        <v>30.736789999999999</v>
      </c>
      <c r="D1160" s="4">
        <f t="shared" si="18"/>
        <v>1.8371853404340532</v>
      </c>
    </row>
    <row r="1161" spans="1:4" ht="17" hidden="1" customHeight="1" outlineLevel="1" thickBot="1">
      <c r="A1161" s="2">
        <f>+Get_Data!A1160</f>
        <v>41124</v>
      </c>
      <c r="B1161">
        <f>+ROUND(Get_Data!B1160,5)</f>
        <v>57.310740000000003</v>
      </c>
      <c r="C1161">
        <f>+ROUND(Get_Data!C1160,5)</f>
        <v>31.15305</v>
      </c>
      <c r="D1161" s="4">
        <f t="shared" si="18"/>
        <v>1.8396510133036734</v>
      </c>
    </row>
    <row r="1162" spans="1:4" ht="17" hidden="1" customHeight="1" outlineLevel="1" thickBot="1">
      <c r="A1162" s="2">
        <f>+Get_Data!A1161</f>
        <v>41127</v>
      </c>
      <c r="B1162">
        <f>+ROUND(Get_Data!B1161,5)</f>
        <v>57.003999999999998</v>
      </c>
      <c r="C1162">
        <f>+ROUND(Get_Data!C1161,5)</f>
        <v>31.079809999999998</v>
      </c>
      <c r="D1162" s="4">
        <f t="shared" si="18"/>
        <v>1.8341167465309474</v>
      </c>
    </row>
    <row r="1163" spans="1:4" ht="17" hidden="1" customHeight="1" outlineLevel="1" thickBot="1">
      <c r="A1163" s="2">
        <f>+Get_Data!A1162</f>
        <v>41128</v>
      </c>
      <c r="B1163">
        <f>+ROUND(Get_Data!B1162,5)</f>
        <v>56.854550000000003</v>
      </c>
      <c r="C1163">
        <f>+ROUND(Get_Data!C1162,5)</f>
        <v>30.744499999999999</v>
      </c>
      <c r="D1163" s="4">
        <f t="shared" si="18"/>
        <v>1.8492592170957409</v>
      </c>
    </row>
    <row r="1164" spans="1:4" ht="17" hidden="1" customHeight="1" outlineLevel="1" thickBot="1">
      <c r="A1164" s="2">
        <f>+Get_Data!A1163</f>
        <v>41129</v>
      </c>
      <c r="B1164">
        <f>+ROUND(Get_Data!B1163,5)</f>
        <v>57.07479</v>
      </c>
      <c r="C1164">
        <f>+ROUND(Get_Data!C1163,5)</f>
        <v>30.66356</v>
      </c>
      <c r="D1164" s="4">
        <f t="shared" si="18"/>
        <v>1.8613230166360331</v>
      </c>
    </row>
    <row r="1165" spans="1:4" ht="17" hidden="1" customHeight="1" outlineLevel="1" thickBot="1">
      <c r="A1165" s="2">
        <f>+Get_Data!A1164</f>
        <v>41130</v>
      </c>
      <c r="B1165">
        <f>+ROUND(Get_Data!B1164,5)</f>
        <v>56.736600000000003</v>
      </c>
      <c r="C1165">
        <f>+ROUND(Get_Data!C1164,5)</f>
        <v>30.540230000000001</v>
      </c>
      <c r="D1165" s="4">
        <f t="shared" si="18"/>
        <v>1.8577659696734439</v>
      </c>
    </row>
    <row r="1166" spans="1:4" ht="17" hidden="1" customHeight="1" outlineLevel="1" thickBot="1">
      <c r="A1166" s="2">
        <f>+Get_Data!A1165</f>
        <v>41131</v>
      </c>
      <c r="B1166">
        <f>+ROUND(Get_Data!B1165,5)</f>
        <v>56.728729999999999</v>
      </c>
      <c r="C1166">
        <f>+ROUND(Get_Data!C1165,5)</f>
        <v>30.366790000000002</v>
      </c>
      <c r="D1166" s="4">
        <f t="shared" si="18"/>
        <v>1.8681174401377292</v>
      </c>
    </row>
    <row r="1167" spans="1:4" ht="17" hidden="1" customHeight="1" outlineLevel="1" thickBot="1">
      <c r="A1167" s="2">
        <f>+Get_Data!A1166</f>
        <v>41134</v>
      </c>
      <c r="B1167">
        <f>+ROUND(Get_Data!B1166,5)</f>
        <v>56.618630000000003</v>
      </c>
      <c r="C1167">
        <f>+ROUND(Get_Data!C1166,5)</f>
        <v>30.293559999999999</v>
      </c>
      <c r="D1167" s="4">
        <f t="shared" si="18"/>
        <v>1.868998889532957</v>
      </c>
    </row>
    <row r="1168" spans="1:4" ht="17" hidden="1" customHeight="1" outlineLevel="1" thickBot="1">
      <c r="A1168" s="2">
        <f>+Get_Data!A1167</f>
        <v>41135</v>
      </c>
      <c r="B1168">
        <f>+ROUND(Get_Data!B1167,5)</f>
        <v>56.815240000000003</v>
      </c>
      <c r="C1168">
        <f>+ROUND(Get_Data!C1167,5)</f>
        <v>30.355239999999998</v>
      </c>
      <c r="D1168" s="4">
        <f t="shared" si="18"/>
        <v>1.8716781682503583</v>
      </c>
    </row>
    <row r="1169" spans="1:4" ht="17" hidden="1" customHeight="1" outlineLevel="1" thickBot="1">
      <c r="A1169" s="2">
        <f>+Get_Data!A1168</f>
        <v>41136</v>
      </c>
      <c r="B1169">
        <f>+ROUND(Get_Data!B1168,5)</f>
        <v>57.114100000000001</v>
      </c>
      <c r="C1169">
        <f>+ROUND(Get_Data!C1168,5)</f>
        <v>30.332100000000001</v>
      </c>
      <c r="D1169" s="4">
        <f t="shared" si="18"/>
        <v>1.8829589774529294</v>
      </c>
    </row>
    <row r="1170" spans="1:4" ht="17" hidden="1" customHeight="1" outlineLevel="1" thickBot="1">
      <c r="A1170" s="2">
        <f>+Get_Data!A1169</f>
        <v>41137</v>
      </c>
      <c r="B1170">
        <f>+ROUND(Get_Data!B1169,5)</f>
        <v>57.869120000000002</v>
      </c>
      <c r="C1170">
        <f>+ROUND(Get_Data!C1169,5)</f>
        <v>30.486270000000001</v>
      </c>
      <c r="D1170" s="4">
        <f t="shared" si="18"/>
        <v>1.8982026991166843</v>
      </c>
    </row>
    <row r="1171" spans="1:4" ht="17" hidden="1" customHeight="1" outlineLevel="1" thickBot="1">
      <c r="A1171" s="2">
        <f>+Get_Data!A1170</f>
        <v>41138</v>
      </c>
      <c r="B1171">
        <f>+ROUND(Get_Data!B1170,5)</f>
        <v>57.71969</v>
      </c>
      <c r="C1171">
        <f>+ROUND(Get_Data!C1170,5)</f>
        <v>30.470849999999999</v>
      </c>
      <c r="D1171" s="4">
        <f t="shared" si="18"/>
        <v>1.8942592674638221</v>
      </c>
    </row>
    <row r="1172" spans="1:4" ht="17" hidden="1" customHeight="1" outlineLevel="1" thickBot="1">
      <c r="A1172" s="2">
        <f>+Get_Data!A1171</f>
        <v>41141</v>
      </c>
      <c r="B1172">
        <f>+ROUND(Get_Data!B1171,5)</f>
        <v>57.672519999999999</v>
      </c>
      <c r="C1172">
        <f>+ROUND(Get_Data!C1171,5)</f>
        <v>30.424610000000001</v>
      </c>
      <c r="D1172" s="4">
        <f t="shared" si="18"/>
        <v>1.8955878152587657</v>
      </c>
    </row>
    <row r="1173" spans="1:4" ht="17" hidden="1" customHeight="1" outlineLevel="1" thickBot="1">
      <c r="A1173" s="2">
        <f>+Get_Data!A1172</f>
        <v>41142</v>
      </c>
      <c r="B1173">
        <f>+ROUND(Get_Data!B1172,5)</f>
        <v>57.420850000000002</v>
      </c>
      <c r="C1173">
        <f>+ROUND(Get_Data!C1172,5)</f>
        <v>30.262730000000001</v>
      </c>
      <c r="D1173" s="4">
        <f t="shared" si="18"/>
        <v>1.8974114364434405</v>
      </c>
    </row>
    <row r="1174" spans="1:4" ht="17" hidden="1" customHeight="1" outlineLevel="1" thickBot="1">
      <c r="A1174" s="2">
        <f>+Get_Data!A1173</f>
        <v>41143</v>
      </c>
      <c r="B1174">
        <f>+ROUND(Get_Data!B1173,5)</f>
        <v>57.326459999999997</v>
      </c>
      <c r="C1174">
        <f>+ROUND(Get_Data!C1173,5)</f>
        <v>29.88503</v>
      </c>
      <c r="D1174" s="4">
        <f t="shared" si="18"/>
        <v>1.9182333094529267</v>
      </c>
    </row>
    <row r="1175" spans="1:4" ht="17" hidden="1" customHeight="1" outlineLevel="1" thickBot="1">
      <c r="A1175" s="2">
        <f>+Get_Data!A1174</f>
        <v>41144</v>
      </c>
      <c r="B1175">
        <f>+ROUND(Get_Data!B1174,5)</f>
        <v>57.145560000000003</v>
      </c>
      <c r="C1175">
        <f>+ROUND(Get_Data!C1174,5)</f>
        <v>29.376290000000001</v>
      </c>
      <c r="D1175" s="4">
        <f t="shared" si="18"/>
        <v>1.9452953385196021</v>
      </c>
    </row>
    <row r="1176" spans="1:4" ht="17" hidden="1" customHeight="1" outlineLevel="1" thickBot="1">
      <c r="A1176" s="2">
        <f>+Get_Data!A1175</f>
        <v>41145</v>
      </c>
      <c r="B1176">
        <f>+ROUND(Get_Data!B1175,5)</f>
        <v>57.460160000000002</v>
      </c>
      <c r="C1176">
        <f>+ROUND(Get_Data!C1175,5)</f>
        <v>29.653780000000001</v>
      </c>
      <c r="D1176" s="4">
        <f t="shared" si="18"/>
        <v>1.9377010283343303</v>
      </c>
    </row>
    <row r="1177" spans="1:4" ht="17" hidden="1" customHeight="1" outlineLevel="1" thickBot="1">
      <c r="A1177" s="2">
        <f>+Get_Data!A1176</f>
        <v>41148</v>
      </c>
      <c r="B1177">
        <f>+ROUND(Get_Data!B1176,5)</f>
        <v>57.546660000000003</v>
      </c>
      <c r="C1177">
        <f>+ROUND(Get_Data!C1176,5)</f>
        <v>29.422519999999999</v>
      </c>
      <c r="D1177" s="4">
        <f t="shared" si="18"/>
        <v>1.9558712170133628</v>
      </c>
    </row>
    <row r="1178" spans="1:4" ht="17" hidden="1" customHeight="1" outlineLevel="1" thickBot="1">
      <c r="A1178" s="2">
        <f>+Get_Data!A1177</f>
        <v>41149</v>
      </c>
      <c r="B1178">
        <f>+ROUND(Get_Data!B1177,5)</f>
        <v>57.507330000000003</v>
      </c>
      <c r="C1178">
        <f>+ROUND(Get_Data!C1177,5)</f>
        <v>29.29149</v>
      </c>
      <c r="D1178" s="4">
        <f t="shared" si="18"/>
        <v>1.9632777301530242</v>
      </c>
    </row>
    <row r="1179" spans="1:4" ht="17" hidden="1" customHeight="1" outlineLevel="1" thickBot="1">
      <c r="A1179" s="2">
        <f>+Get_Data!A1178</f>
        <v>41150</v>
      </c>
      <c r="B1179">
        <f>+ROUND(Get_Data!B1178,5)</f>
        <v>57.23995</v>
      </c>
      <c r="C1179">
        <f>+ROUND(Get_Data!C1178,5)</f>
        <v>28.875229999999998</v>
      </c>
      <c r="D1179" s="4">
        <f t="shared" si="18"/>
        <v>1.982320140826584</v>
      </c>
    </row>
    <row r="1180" spans="1:4" ht="17" hidden="1" customHeight="1" outlineLevel="1" thickBot="1">
      <c r="A1180" s="2">
        <f>+Get_Data!A1179</f>
        <v>41151</v>
      </c>
      <c r="B1180">
        <f>+ROUND(Get_Data!B1179,5)</f>
        <v>56.768030000000003</v>
      </c>
      <c r="C1180">
        <f>+ROUND(Get_Data!C1179,5)</f>
        <v>28.62857</v>
      </c>
      <c r="D1180" s="4">
        <f t="shared" si="18"/>
        <v>1.9829153185087485</v>
      </c>
    </row>
    <row r="1181" spans="1:4" ht="17" hidden="1" customHeight="1" outlineLevel="1" thickBot="1">
      <c r="A1181" s="2">
        <f>+Get_Data!A1180</f>
        <v>41152</v>
      </c>
      <c r="B1181">
        <f>+ROUND(Get_Data!B1180,5)</f>
        <v>56.964680000000001</v>
      </c>
      <c r="C1181">
        <f>+ROUND(Get_Data!C1180,5)</f>
        <v>28.828980000000001</v>
      </c>
      <c r="D1181" s="4">
        <f t="shared" si="18"/>
        <v>1.9759519761018252</v>
      </c>
    </row>
    <row r="1182" spans="1:4" ht="17" hidden="1" customHeight="1" outlineLevel="1" thickBot="1">
      <c r="A1182" s="2">
        <f>+Get_Data!A1181</f>
        <v>41156</v>
      </c>
      <c r="B1182">
        <f>+ROUND(Get_Data!B1181,5)</f>
        <v>57.003999999999998</v>
      </c>
      <c r="C1182">
        <f>+ROUND(Get_Data!C1181,5)</f>
        <v>28.73649</v>
      </c>
      <c r="D1182" s="4">
        <f t="shared" si="18"/>
        <v>1.9836799831851419</v>
      </c>
    </row>
    <row r="1183" spans="1:4" ht="17" hidden="1" customHeight="1" outlineLevel="1" thickBot="1">
      <c r="A1183" s="2">
        <f>+Get_Data!A1182</f>
        <v>41157</v>
      </c>
      <c r="B1183">
        <f>+ROUND(Get_Data!B1182,5)</f>
        <v>56.685479999999998</v>
      </c>
      <c r="C1183">
        <f>+ROUND(Get_Data!C1182,5)</f>
        <v>28.913779999999999</v>
      </c>
      <c r="D1183" s="4">
        <f t="shared" si="18"/>
        <v>1.9605004949197233</v>
      </c>
    </row>
    <row r="1184" spans="1:4" ht="17" hidden="1" customHeight="1" outlineLevel="1" thickBot="1">
      <c r="A1184" s="2">
        <f>+Get_Data!A1183</f>
        <v>41158</v>
      </c>
      <c r="B1184">
        <f>+ROUND(Get_Data!B1183,5)</f>
        <v>57.168819999999997</v>
      </c>
      <c r="C1184">
        <f>+ROUND(Get_Data!C1183,5)</f>
        <v>29.407109999999999</v>
      </c>
      <c r="D1184" s="4">
        <f t="shared" si="18"/>
        <v>1.9440475449644661</v>
      </c>
    </row>
    <row r="1185" spans="1:4" ht="17" hidden="1" customHeight="1" outlineLevel="1" thickBot="1">
      <c r="A1185" s="2">
        <f>+Get_Data!A1184</f>
        <v>41159</v>
      </c>
      <c r="B1185">
        <f>+ROUND(Get_Data!B1184,5)</f>
        <v>57.129179999999998</v>
      </c>
      <c r="C1185">
        <f>+ROUND(Get_Data!C1184,5)</f>
        <v>29.214400000000001</v>
      </c>
      <c r="D1185" s="4">
        <f t="shared" si="18"/>
        <v>1.9555144038556327</v>
      </c>
    </row>
    <row r="1186" spans="1:4" ht="17" hidden="1" customHeight="1" outlineLevel="1" thickBot="1">
      <c r="A1186" s="2">
        <f>+Get_Data!A1185</f>
        <v>41162</v>
      </c>
      <c r="B1186">
        <f>+ROUND(Get_Data!B1185,5)</f>
        <v>56.923160000000003</v>
      </c>
      <c r="C1186">
        <f>+ROUND(Get_Data!C1185,5)</f>
        <v>29.029409999999999</v>
      </c>
      <c r="D1186" s="4">
        <f t="shared" si="18"/>
        <v>1.9608789844505969</v>
      </c>
    </row>
    <row r="1187" spans="1:4" ht="17" hidden="1" customHeight="1" outlineLevel="1" thickBot="1">
      <c r="A1187" s="2">
        <f>+Get_Data!A1186</f>
        <v>41163</v>
      </c>
      <c r="B1187">
        <f>+ROUND(Get_Data!B1186,5)</f>
        <v>56.717170000000003</v>
      </c>
      <c r="C1187">
        <f>+ROUND(Get_Data!C1186,5)</f>
        <v>29.114190000000001</v>
      </c>
      <c r="D1187" s="4">
        <f t="shared" si="18"/>
        <v>1.9480936958919346</v>
      </c>
    </row>
    <row r="1188" spans="1:4" ht="17" hidden="1" customHeight="1" outlineLevel="1" thickBot="1">
      <c r="A1188" s="2">
        <f>+Get_Data!A1187</f>
        <v>41164</v>
      </c>
      <c r="B1188">
        <f>+ROUND(Get_Data!B1187,5)</f>
        <v>55.512770000000003</v>
      </c>
      <c r="C1188">
        <f>+ROUND(Get_Data!C1187,5)</f>
        <v>29.141369999999998</v>
      </c>
      <c r="D1188" s="4">
        <f t="shared" si="18"/>
        <v>1.9049471593133749</v>
      </c>
    </row>
    <row r="1189" spans="1:4" ht="17" hidden="1" customHeight="1" outlineLevel="1" thickBot="1">
      <c r="A1189" s="2">
        <f>+Get_Data!A1188</f>
        <v>41165</v>
      </c>
      <c r="B1189">
        <f>+ROUND(Get_Data!B1188,5)</f>
        <v>56.162509999999997</v>
      </c>
      <c r="C1189">
        <f>+ROUND(Get_Data!C1188,5)</f>
        <v>29.76221</v>
      </c>
      <c r="D1189" s="4">
        <f t="shared" si="18"/>
        <v>1.8870409825076833</v>
      </c>
    </row>
    <row r="1190" spans="1:4" ht="17" hidden="1" customHeight="1" outlineLevel="1" thickBot="1">
      <c r="A1190" s="2">
        <f>+Get_Data!A1189</f>
        <v>41166</v>
      </c>
      <c r="B1190">
        <f>+ROUND(Get_Data!B1189,5)</f>
        <v>55.829729999999998</v>
      </c>
      <c r="C1190">
        <f>+ROUND(Get_Data!C1189,5)</f>
        <v>29.58372</v>
      </c>
      <c r="D1190" s="4">
        <f t="shared" si="18"/>
        <v>1.8871774746380778</v>
      </c>
    </row>
    <row r="1191" spans="1:4" ht="17" hidden="1" customHeight="1" outlineLevel="1" thickBot="1">
      <c r="A1191" s="2">
        <f>+Get_Data!A1190</f>
        <v>41169</v>
      </c>
      <c r="B1191">
        <f>+ROUND(Get_Data!B1190,5)</f>
        <v>55.774259999999998</v>
      </c>
      <c r="C1191">
        <f>+ROUND(Get_Data!C1190,5)</f>
        <v>29.76221</v>
      </c>
      <c r="D1191" s="4">
        <f t="shared" si="18"/>
        <v>1.8739959162978823</v>
      </c>
    </row>
    <row r="1192" spans="1:4" ht="17" hidden="1" customHeight="1" outlineLevel="1" thickBot="1">
      <c r="A1192" s="2">
        <f>+Get_Data!A1191</f>
        <v>41170</v>
      </c>
      <c r="B1192">
        <f>+ROUND(Get_Data!B1191,5)</f>
        <v>56.043660000000003</v>
      </c>
      <c r="C1192">
        <f>+ROUND(Get_Data!C1191,5)</f>
        <v>29.97175</v>
      </c>
      <c r="D1192" s="4">
        <f t="shared" si="18"/>
        <v>1.8698828063092747</v>
      </c>
    </row>
    <row r="1193" spans="1:4" ht="17" hidden="1" customHeight="1" outlineLevel="1" thickBot="1">
      <c r="A1193" s="2">
        <f>+Get_Data!A1192</f>
        <v>41171</v>
      </c>
      <c r="B1193">
        <f>+ROUND(Get_Data!B1192,5)</f>
        <v>56.138730000000002</v>
      </c>
      <c r="C1193">
        <f>+ROUND(Get_Data!C1192,5)</f>
        <v>29.89414</v>
      </c>
      <c r="D1193" s="4">
        <f t="shared" si="18"/>
        <v>1.8779175450439451</v>
      </c>
    </row>
    <row r="1194" spans="1:4" ht="17" hidden="1" customHeight="1" outlineLevel="1" thickBot="1">
      <c r="A1194" s="2">
        <f>+Get_Data!A1193</f>
        <v>41172</v>
      </c>
      <c r="B1194">
        <f>+ROUND(Get_Data!B1193,5)</f>
        <v>56.447760000000002</v>
      </c>
      <c r="C1194">
        <f>+ROUND(Get_Data!C1193,5)</f>
        <v>29.987279999999998</v>
      </c>
      <c r="D1194" s="4">
        <f t="shared" si="18"/>
        <v>1.8823901334165689</v>
      </c>
    </row>
    <row r="1195" spans="1:4" ht="17" hidden="1" customHeight="1" outlineLevel="1" thickBot="1">
      <c r="A1195" s="2">
        <f>+Get_Data!A1194</f>
        <v>41173</v>
      </c>
      <c r="B1195">
        <f>+ROUND(Get_Data!B1194,5)</f>
        <v>55.901029999999999</v>
      </c>
      <c r="C1195">
        <f>+ROUND(Get_Data!C1194,5)</f>
        <v>29.513870000000001</v>
      </c>
      <c r="D1195" s="4">
        <f t="shared" si="18"/>
        <v>1.894059640433464</v>
      </c>
    </row>
    <row r="1196" spans="1:4" ht="17" hidden="1" customHeight="1" outlineLevel="1" thickBot="1">
      <c r="A1196" s="2">
        <f>+Get_Data!A1195</f>
        <v>41176</v>
      </c>
      <c r="B1196">
        <f>+ROUND(Get_Data!B1195,5)</f>
        <v>56.019880000000001</v>
      </c>
      <c r="C1196">
        <f>+ROUND(Get_Data!C1195,5)</f>
        <v>29.58372</v>
      </c>
      <c r="D1196" s="4">
        <f t="shared" si="18"/>
        <v>1.8936049962614574</v>
      </c>
    </row>
    <row r="1197" spans="1:4" ht="17" hidden="1" customHeight="1" outlineLevel="1" thickBot="1">
      <c r="A1197" s="2">
        <f>+Get_Data!A1196</f>
        <v>41177</v>
      </c>
      <c r="B1197">
        <f>+ROUND(Get_Data!B1196,5)</f>
        <v>55.742570000000001</v>
      </c>
      <c r="C1197">
        <f>+ROUND(Get_Data!C1196,5)</f>
        <v>29.242249999999999</v>
      </c>
      <c r="D1197" s="4">
        <f t="shared" si="18"/>
        <v>1.906233959425147</v>
      </c>
    </row>
    <row r="1198" spans="1:4" ht="17" hidden="1" customHeight="1" outlineLevel="1" thickBot="1">
      <c r="A1198" s="2">
        <f>+Get_Data!A1197</f>
        <v>41178</v>
      </c>
      <c r="B1198">
        <f>+ROUND(Get_Data!B1197,5)</f>
        <v>55.798020000000001</v>
      </c>
      <c r="C1198">
        <f>+ROUND(Get_Data!C1197,5)</f>
        <v>29.30433</v>
      </c>
      <c r="D1198" s="4">
        <f t="shared" si="18"/>
        <v>1.9040878941780959</v>
      </c>
    </row>
    <row r="1199" spans="1:4" ht="17" hidden="1" customHeight="1" outlineLevel="1" thickBot="1">
      <c r="A1199" s="2">
        <f>+Get_Data!A1198</f>
        <v>41179</v>
      </c>
      <c r="B1199">
        <f>+ROUND(Get_Data!B1198,5)</f>
        <v>55.972340000000003</v>
      </c>
      <c r="C1199">
        <f>+ROUND(Get_Data!C1198,5)</f>
        <v>29.731159999999999</v>
      </c>
      <c r="D1199" s="4">
        <f t="shared" si="18"/>
        <v>1.8826154109022319</v>
      </c>
    </row>
    <row r="1200" spans="1:4" ht="17" hidden="1" customHeight="1" outlineLevel="1" thickBot="1">
      <c r="A1200" s="2">
        <f>+Get_Data!A1199</f>
        <v>41180</v>
      </c>
      <c r="B1200">
        <f>+ROUND(Get_Data!B1199,5)</f>
        <v>56.07535</v>
      </c>
      <c r="C1200">
        <f>+ROUND(Get_Data!C1199,5)</f>
        <v>29.436260000000001</v>
      </c>
      <c r="D1200" s="4">
        <f t="shared" si="18"/>
        <v>1.9049753603209103</v>
      </c>
    </row>
    <row r="1201" spans="1:4" ht="17" hidden="1" customHeight="1" outlineLevel="1" thickBot="1">
      <c r="A1201" s="2">
        <f>+Get_Data!A1200</f>
        <v>41183</v>
      </c>
      <c r="B1201">
        <f>+ROUND(Get_Data!B1200,5)</f>
        <v>55.980269999999997</v>
      </c>
      <c r="C1201">
        <f>+ROUND(Get_Data!C1200,5)</f>
        <v>29.785489999999999</v>
      </c>
      <c r="D1201" s="4">
        <f t="shared" si="18"/>
        <v>1.879447677375796</v>
      </c>
    </row>
    <row r="1202" spans="1:4" ht="17" hidden="1" customHeight="1" outlineLevel="1" thickBot="1">
      <c r="A1202" s="2">
        <f>+Get_Data!A1201</f>
        <v>41184</v>
      </c>
      <c r="B1202">
        <f>+ROUND(Get_Data!B1201,5)</f>
        <v>55.956499999999998</v>
      </c>
      <c r="C1202">
        <f>+ROUND(Get_Data!C1201,5)</f>
        <v>29.754449999999999</v>
      </c>
      <c r="D1202" s="4">
        <f t="shared" si="18"/>
        <v>1.8806094550563026</v>
      </c>
    </row>
    <row r="1203" spans="1:4" ht="17" hidden="1" customHeight="1" outlineLevel="1" thickBot="1">
      <c r="A1203" s="2">
        <f>+Get_Data!A1202</f>
        <v>41185</v>
      </c>
      <c r="B1203">
        <f>+ROUND(Get_Data!B1202,5)</f>
        <v>56.019880000000001</v>
      </c>
      <c r="C1203">
        <f>+ROUND(Get_Data!C1202,5)</f>
        <v>29.676850000000002</v>
      </c>
      <c r="D1203" s="4">
        <f t="shared" si="18"/>
        <v>1.8876626057010766</v>
      </c>
    </row>
    <row r="1204" spans="1:4" ht="17" hidden="1" customHeight="1" outlineLevel="1" thickBot="1">
      <c r="A1204" s="2">
        <f>+Get_Data!A1203</f>
        <v>41186</v>
      </c>
      <c r="B1204">
        <f>+ROUND(Get_Data!B1203,5)</f>
        <v>56.154589999999999</v>
      </c>
      <c r="C1204">
        <f>+ROUND(Get_Data!C1203,5)</f>
        <v>29.746690000000001</v>
      </c>
      <c r="D1204" s="4">
        <f t="shared" si="18"/>
        <v>1.8877592767464211</v>
      </c>
    </row>
    <row r="1205" spans="1:4" ht="17" hidden="1" customHeight="1" outlineLevel="1" thickBot="1">
      <c r="A1205" s="2">
        <f>+Get_Data!A1204</f>
        <v>41187</v>
      </c>
      <c r="B1205">
        <f>+ROUND(Get_Data!B1204,5)</f>
        <v>56.336840000000002</v>
      </c>
      <c r="C1205">
        <f>+ROUND(Get_Data!C1204,5)</f>
        <v>29.940709999999999</v>
      </c>
      <c r="D1205" s="4">
        <f t="shared" si="18"/>
        <v>1.8816133618741842</v>
      </c>
    </row>
    <row r="1206" spans="1:4" ht="17" hidden="1" customHeight="1" outlineLevel="1" thickBot="1">
      <c r="A1206" s="2">
        <f>+Get_Data!A1205</f>
        <v>41190</v>
      </c>
      <c r="B1206">
        <f>+ROUND(Get_Data!B1205,5)</f>
        <v>56.408149999999999</v>
      </c>
      <c r="C1206">
        <f>+ROUND(Get_Data!C1205,5)</f>
        <v>29.940709999999999</v>
      </c>
      <c r="D1206" s="4">
        <f t="shared" si="18"/>
        <v>1.8839950689212113</v>
      </c>
    </row>
    <row r="1207" spans="1:4" ht="17" hidden="1" customHeight="1" outlineLevel="1" thickBot="1">
      <c r="A1207" s="2">
        <f>+Get_Data!A1206</f>
        <v>41191</v>
      </c>
      <c r="B1207">
        <f>+ROUND(Get_Data!B1206,5)</f>
        <v>56.344740000000002</v>
      </c>
      <c r="C1207">
        <f>+ROUND(Get_Data!C1206,5)</f>
        <v>29.925190000000001</v>
      </c>
      <c r="D1207" s="4">
        <f t="shared" si="18"/>
        <v>1.8828532082837235</v>
      </c>
    </row>
    <row r="1208" spans="1:4" ht="17" hidden="1" customHeight="1" outlineLevel="1" thickBot="1">
      <c r="A1208" s="2">
        <f>+Get_Data!A1207</f>
        <v>41192</v>
      </c>
      <c r="B1208">
        <f>+ROUND(Get_Data!B1207,5)</f>
        <v>55.695010000000003</v>
      </c>
      <c r="C1208">
        <f>+ROUND(Get_Data!C1207,5)</f>
        <v>29.560449999999999</v>
      </c>
      <c r="D1208" s="4">
        <f t="shared" si="18"/>
        <v>1.8841056208548923</v>
      </c>
    </row>
    <row r="1209" spans="1:4" ht="17" hidden="1" customHeight="1" outlineLevel="1" thickBot="1">
      <c r="A1209" s="2">
        <f>+Get_Data!A1208</f>
        <v>41193</v>
      </c>
      <c r="B1209">
        <f>+ROUND(Get_Data!B1208,5)</f>
        <v>55.322620000000001</v>
      </c>
      <c r="C1209">
        <f>+ROUND(Get_Data!C1208,5)</f>
        <v>29.575959999999998</v>
      </c>
      <c r="D1209" s="4">
        <f t="shared" si="18"/>
        <v>1.8705266033630017</v>
      </c>
    </row>
    <row r="1210" spans="1:4" ht="17" hidden="1" customHeight="1" outlineLevel="1" thickBot="1">
      <c r="A1210" s="2">
        <f>+Get_Data!A1209</f>
        <v>41194</v>
      </c>
      <c r="B1210">
        <f>+ROUND(Get_Data!B1209,5)</f>
        <v>55.504840000000002</v>
      </c>
      <c r="C1210">
        <f>+ROUND(Get_Data!C1209,5)</f>
        <v>29.669080000000001</v>
      </c>
      <c r="D1210" s="4">
        <f t="shared" si="18"/>
        <v>1.8707974766996482</v>
      </c>
    </row>
    <row r="1211" spans="1:4" ht="17" hidden="1" customHeight="1" outlineLevel="1" thickBot="1">
      <c r="A1211" s="2">
        <f>+Get_Data!A1210</f>
        <v>41197</v>
      </c>
      <c r="B1211">
        <f>+ROUND(Get_Data!B1210,5)</f>
        <v>55.73462</v>
      </c>
      <c r="C1211">
        <f>+ROUND(Get_Data!C1210,5)</f>
        <v>29.591480000000001</v>
      </c>
      <c r="D1211" s="4">
        <f t="shared" si="18"/>
        <v>1.8834684848476655</v>
      </c>
    </row>
    <row r="1212" spans="1:4" ht="17" hidden="1" customHeight="1" outlineLevel="1" thickBot="1">
      <c r="A1212" s="2">
        <f>+Get_Data!A1211</f>
        <v>41198</v>
      </c>
      <c r="B1212">
        <f>+ROUND(Get_Data!B1211,5)</f>
        <v>55.702950000000001</v>
      </c>
      <c r="C1212">
        <f>+ROUND(Get_Data!C1211,5)</f>
        <v>29.412980000000001</v>
      </c>
      <c r="D1212" s="4">
        <f t="shared" si="18"/>
        <v>1.8938220472730067</v>
      </c>
    </row>
    <row r="1213" spans="1:4" ht="17" hidden="1" customHeight="1" outlineLevel="1" thickBot="1">
      <c r="A1213" s="2">
        <f>+Get_Data!A1212</f>
        <v>41199</v>
      </c>
      <c r="B1213">
        <f>+ROUND(Get_Data!B1212,5)</f>
        <v>55.54448</v>
      </c>
      <c r="C1213">
        <f>+ROUND(Get_Data!C1212,5)</f>
        <v>29.288820000000001</v>
      </c>
      <c r="D1213" s="4">
        <f t="shared" si="18"/>
        <v>1.8964396653740232</v>
      </c>
    </row>
    <row r="1214" spans="1:4" ht="17" hidden="1" customHeight="1" outlineLevel="1" thickBot="1">
      <c r="A1214" s="2">
        <f>+Get_Data!A1213</f>
        <v>41200</v>
      </c>
      <c r="B1214">
        <f>+ROUND(Get_Data!B1213,5)</f>
        <v>56.067430000000002</v>
      </c>
      <c r="C1214">
        <f>+ROUND(Get_Data!C1213,5)</f>
        <v>29.366409999999998</v>
      </c>
      <c r="D1214" s="4">
        <f t="shared" si="18"/>
        <v>1.9092367776653669</v>
      </c>
    </row>
    <row r="1215" spans="1:4" ht="17" hidden="1" customHeight="1" outlineLevel="1" thickBot="1">
      <c r="A1215" s="2">
        <f>+Get_Data!A1214</f>
        <v>41201</v>
      </c>
      <c r="B1215">
        <f>+ROUND(Get_Data!B1214,5)</f>
        <v>55.370139999999999</v>
      </c>
      <c r="C1215">
        <f>+ROUND(Get_Data!C1214,5)</f>
        <v>29.02495</v>
      </c>
      <c r="D1215" s="4">
        <f t="shared" si="18"/>
        <v>1.9076739150282773</v>
      </c>
    </row>
    <row r="1216" spans="1:4" ht="17" hidden="1" customHeight="1" outlineLevel="1" thickBot="1">
      <c r="A1216" s="2">
        <f>+Get_Data!A1215</f>
        <v>41204</v>
      </c>
      <c r="B1216">
        <f>+ROUND(Get_Data!B1215,5)</f>
        <v>55.14828</v>
      </c>
      <c r="C1216">
        <f>+ROUND(Get_Data!C1215,5)</f>
        <v>28.89301</v>
      </c>
      <c r="D1216" s="4">
        <f t="shared" si="18"/>
        <v>1.9087066387337284</v>
      </c>
    </row>
    <row r="1217" spans="1:4" ht="17" hidden="1" customHeight="1" outlineLevel="1" thickBot="1">
      <c r="A1217" s="2">
        <f>+Get_Data!A1216</f>
        <v>41205</v>
      </c>
      <c r="B1217">
        <f>+ROUND(Get_Data!B1216,5)</f>
        <v>54.292540000000002</v>
      </c>
      <c r="C1217">
        <f>+ROUND(Get_Data!C1216,5)</f>
        <v>28.411850000000001</v>
      </c>
      <c r="D1217" s="4">
        <f t="shared" si="18"/>
        <v>1.9109118202440178</v>
      </c>
    </row>
    <row r="1218" spans="1:4" ht="17" hidden="1" customHeight="1" outlineLevel="1" thickBot="1">
      <c r="A1218" s="2">
        <f>+Get_Data!A1217</f>
        <v>41206</v>
      </c>
      <c r="B1218">
        <f>+ROUND(Get_Data!B1217,5)</f>
        <v>54.19746</v>
      </c>
      <c r="C1218">
        <f>+ROUND(Get_Data!C1217,5)</f>
        <v>28.621400000000001</v>
      </c>
      <c r="D1218" s="4">
        <f t="shared" si="18"/>
        <v>1.8935991950079309</v>
      </c>
    </row>
    <row r="1219" spans="1:4" ht="17" hidden="1" customHeight="1" outlineLevel="1" thickBot="1">
      <c r="A1219" s="2">
        <f>+Get_Data!A1218</f>
        <v>41207</v>
      </c>
      <c r="B1219">
        <f>+ROUND(Get_Data!B1218,5)</f>
        <v>54.585720000000002</v>
      </c>
      <c r="C1219">
        <f>+ROUND(Get_Data!C1218,5)</f>
        <v>28.784369999999999</v>
      </c>
      <c r="D1219" s="4">
        <f t="shared" si="18"/>
        <v>1.896366673997034</v>
      </c>
    </row>
    <row r="1220" spans="1:4" ht="17" hidden="1" customHeight="1" outlineLevel="1" thickBot="1">
      <c r="A1220" s="2">
        <f>+Get_Data!A1219</f>
        <v>41208</v>
      </c>
      <c r="B1220">
        <f>+ROUND(Get_Data!B1219,5)</f>
        <v>54.657029999999999</v>
      </c>
      <c r="C1220">
        <f>+ROUND(Get_Data!C1219,5)</f>
        <v>28.745570000000001</v>
      </c>
      <c r="D1220" s="4">
        <f t="shared" ref="D1220:D1283" si="19">IFERROR(B1220/C1220,"")</f>
        <v>1.9014070689848905</v>
      </c>
    </row>
    <row r="1221" spans="1:4" ht="17" hidden="1" customHeight="1" outlineLevel="1" thickBot="1">
      <c r="A1221" s="2">
        <f>+Get_Data!A1220</f>
        <v>41213</v>
      </c>
      <c r="B1221">
        <f>+ROUND(Get_Data!B1220,5)</f>
        <v>54.863059999999997</v>
      </c>
      <c r="C1221">
        <f>+ROUND(Get_Data!C1220,5)</f>
        <v>28.854220000000002</v>
      </c>
      <c r="D1221" s="4">
        <f t="shared" si="19"/>
        <v>1.9013877346190606</v>
      </c>
    </row>
    <row r="1222" spans="1:4" ht="17" hidden="1" customHeight="1" outlineLevel="1" thickBot="1">
      <c r="A1222" s="2">
        <f>+Get_Data!A1221</f>
        <v>41214</v>
      </c>
      <c r="B1222">
        <f>+ROUND(Get_Data!B1221,5)</f>
        <v>55.021509999999999</v>
      </c>
      <c r="C1222">
        <f>+ROUND(Get_Data!C1221,5)</f>
        <v>28.97062</v>
      </c>
      <c r="D1222" s="4">
        <f t="shared" si="19"/>
        <v>1.8992175521269479</v>
      </c>
    </row>
    <row r="1223" spans="1:4" ht="17" hidden="1" customHeight="1" outlineLevel="1" thickBot="1">
      <c r="A1223" s="2">
        <f>+Get_Data!A1222</f>
        <v>41215</v>
      </c>
      <c r="B1223">
        <f>+ROUND(Get_Data!B1222,5)</f>
        <v>54.712499999999999</v>
      </c>
      <c r="C1223">
        <f>+ROUND(Get_Data!C1222,5)</f>
        <v>28.776610000000002</v>
      </c>
      <c r="D1223" s="4">
        <f t="shared" si="19"/>
        <v>1.9012837161847762</v>
      </c>
    </row>
    <row r="1224" spans="1:4" ht="17" hidden="1" customHeight="1" outlineLevel="1" thickBot="1">
      <c r="A1224" s="2">
        <f>+Get_Data!A1223</f>
        <v>41218</v>
      </c>
      <c r="B1224">
        <f>+ROUND(Get_Data!B1223,5)</f>
        <v>54.672870000000003</v>
      </c>
      <c r="C1224">
        <f>+ROUND(Get_Data!C1223,5)</f>
        <v>28.536020000000001</v>
      </c>
      <c r="D1224" s="4">
        <f t="shared" si="19"/>
        <v>1.9159248556736364</v>
      </c>
    </row>
    <row r="1225" spans="1:4" ht="17" hidden="1" customHeight="1" outlineLevel="1" thickBot="1">
      <c r="A1225" s="2">
        <f>+Get_Data!A1224</f>
        <v>41219</v>
      </c>
      <c r="B1225">
        <f>+ROUND(Get_Data!B1224,5)</f>
        <v>54.950200000000002</v>
      </c>
      <c r="C1225">
        <f>+ROUND(Get_Data!C1224,5)</f>
        <v>29.040459999999999</v>
      </c>
      <c r="D1225" s="4">
        <f t="shared" si="19"/>
        <v>1.8921945451277289</v>
      </c>
    </row>
    <row r="1226" spans="1:4" ht="17" hidden="1" customHeight="1" outlineLevel="1" thickBot="1">
      <c r="A1226" s="2">
        <f>+Get_Data!A1225</f>
        <v>41220</v>
      </c>
      <c r="B1226">
        <f>+ROUND(Get_Data!B1225,5)</f>
        <v>54.664940000000001</v>
      </c>
      <c r="C1226">
        <f>+ROUND(Get_Data!C1225,5)</f>
        <v>28.497219999999999</v>
      </c>
      <c r="D1226" s="4">
        <f t="shared" si="19"/>
        <v>1.9182551841898965</v>
      </c>
    </row>
    <row r="1227" spans="1:4" ht="17" hidden="1" customHeight="1" outlineLevel="1" thickBot="1">
      <c r="A1227" s="2">
        <f>+Get_Data!A1226</f>
        <v>41221</v>
      </c>
      <c r="B1227">
        <f>+ROUND(Get_Data!B1226,5)</f>
        <v>54.506480000000003</v>
      </c>
      <c r="C1227">
        <f>+ROUND(Get_Data!C1226,5)</f>
        <v>28.217839999999999</v>
      </c>
      <c r="D1227" s="4">
        <f t="shared" si="19"/>
        <v>1.9316319037885255</v>
      </c>
    </row>
    <row r="1228" spans="1:4" ht="17" hidden="1" customHeight="1" outlineLevel="1" thickBot="1">
      <c r="A1228" s="2">
        <f>+Get_Data!A1227</f>
        <v>41222</v>
      </c>
      <c r="B1228">
        <f>+ROUND(Get_Data!B1227,5)</f>
        <v>54.554020000000001</v>
      </c>
      <c r="C1228">
        <f>+ROUND(Get_Data!C1227,5)</f>
        <v>28.163509999999999</v>
      </c>
      <c r="D1228" s="4">
        <f t="shared" si="19"/>
        <v>1.9370461991420815</v>
      </c>
    </row>
    <row r="1229" spans="1:4" ht="17" hidden="1" customHeight="1" outlineLevel="1" thickBot="1">
      <c r="A1229" s="2">
        <f>+Get_Data!A1228</f>
        <v>41225</v>
      </c>
      <c r="B1229">
        <f>+ROUND(Get_Data!B1228,5)</f>
        <v>54.363849999999999</v>
      </c>
      <c r="C1229">
        <f>+ROUND(Get_Data!C1228,5)</f>
        <v>28.00055</v>
      </c>
      <c r="D1229" s="4">
        <f t="shared" si="19"/>
        <v>1.9415279342727196</v>
      </c>
    </row>
    <row r="1230" spans="1:4" ht="17" hidden="1" customHeight="1" outlineLevel="1" thickBot="1">
      <c r="A1230" s="2">
        <f>+Get_Data!A1229</f>
        <v>41226</v>
      </c>
      <c r="B1230">
        <f>+ROUND(Get_Data!B1229,5)</f>
        <v>54.340069999999997</v>
      </c>
      <c r="C1230">
        <f>+ROUND(Get_Data!C1229,5)</f>
        <v>28.062629999999999</v>
      </c>
      <c r="D1230" s="4">
        <f t="shared" si="19"/>
        <v>1.9363855062764965</v>
      </c>
    </row>
    <row r="1231" spans="1:4" ht="17" hidden="1" customHeight="1" outlineLevel="1" thickBot="1">
      <c r="A1231" s="2">
        <f>+Get_Data!A1230</f>
        <v>41227</v>
      </c>
      <c r="B1231">
        <f>+ROUND(Get_Data!B1230,5)</f>
        <v>54.015219999999999</v>
      </c>
      <c r="C1231">
        <f>+ROUND(Get_Data!C1230,5)</f>
        <v>27.946210000000001</v>
      </c>
      <c r="D1231" s="4">
        <f t="shared" si="19"/>
        <v>1.9328281008408652</v>
      </c>
    </row>
    <row r="1232" spans="1:4" ht="17" hidden="1" customHeight="1" outlineLevel="1" thickBot="1">
      <c r="A1232" s="2">
        <f>+Get_Data!A1231</f>
        <v>41228</v>
      </c>
      <c r="B1232">
        <f>+ROUND(Get_Data!B1231,5)</f>
        <v>54.03107</v>
      </c>
      <c r="C1232">
        <f>+ROUND(Get_Data!C1231,5)</f>
        <v>28.27216</v>
      </c>
      <c r="D1232" s="4">
        <f t="shared" si="19"/>
        <v>1.9111051295691592</v>
      </c>
    </row>
    <row r="1233" spans="1:4" ht="17" hidden="1" customHeight="1" outlineLevel="1" thickBot="1">
      <c r="A1233" s="2">
        <f>+Get_Data!A1232</f>
        <v>41229</v>
      </c>
      <c r="B1233">
        <f>+ROUND(Get_Data!B1232,5)</f>
        <v>54.126150000000003</v>
      </c>
      <c r="C1233">
        <f>+ROUND(Get_Data!C1232,5)</f>
        <v>28.373049999999999</v>
      </c>
      <c r="D1233" s="4">
        <f t="shared" si="19"/>
        <v>1.9076606145620583</v>
      </c>
    </row>
    <row r="1234" spans="1:4" ht="17" hidden="1" customHeight="1" outlineLevel="1" thickBot="1">
      <c r="A1234" s="2">
        <f>+Get_Data!A1233</f>
        <v>41232</v>
      </c>
      <c r="B1234">
        <f>+ROUND(Get_Data!B1233,5)</f>
        <v>54.498550000000002</v>
      </c>
      <c r="C1234">
        <f>+ROUND(Get_Data!C1233,5)</f>
        <v>28.900770000000001</v>
      </c>
      <c r="D1234" s="4">
        <f t="shared" si="19"/>
        <v>1.8857127336053676</v>
      </c>
    </row>
    <row r="1235" spans="1:4" ht="17" hidden="1" customHeight="1" outlineLevel="1" thickBot="1">
      <c r="A1235" s="2">
        <f>+Get_Data!A1234</f>
        <v>41233</v>
      </c>
      <c r="B1235">
        <f>+ROUND(Get_Data!B1234,5)</f>
        <v>54.601559999999999</v>
      </c>
      <c r="C1235">
        <f>+ROUND(Get_Data!C1234,5)</f>
        <v>28.908539999999999</v>
      </c>
      <c r="D1235" s="4">
        <f t="shared" si="19"/>
        <v>1.8887692010734545</v>
      </c>
    </row>
    <row r="1236" spans="1:4" ht="17" hidden="1" customHeight="1" outlineLevel="1" thickBot="1">
      <c r="A1236" s="2">
        <f>+Get_Data!A1235</f>
        <v>41234</v>
      </c>
      <c r="B1236">
        <f>+ROUND(Get_Data!B1235,5)</f>
        <v>54.918489999999998</v>
      </c>
      <c r="C1236">
        <f>+ROUND(Get_Data!C1235,5)</f>
        <v>29.017189999999999</v>
      </c>
      <c r="D1236" s="4">
        <f t="shared" si="19"/>
        <v>1.8926191681551521</v>
      </c>
    </row>
    <row r="1237" spans="1:4" ht="17" hidden="1" customHeight="1" outlineLevel="1" thickBot="1">
      <c r="A1237" s="2">
        <f>+Get_Data!A1236</f>
        <v>41236</v>
      </c>
      <c r="B1237">
        <f>+ROUND(Get_Data!B1236,5)</f>
        <v>55.615780000000001</v>
      </c>
      <c r="C1237">
        <f>+ROUND(Get_Data!C1236,5)</f>
        <v>29.436260000000001</v>
      </c>
      <c r="D1237" s="4">
        <f t="shared" si="19"/>
        <v>1.8893629829332939</v>
      </c>
    </row>
    <row r="1238" spans="1:4" ht="17" hidden="1" customHeight="1" outlineLevel="1" thickBot="1">
      <c r="A1238" s="2">
        <f>+Get_Data!A1237</f>
        <v>41239</v>
      </c>
      <c r="B1238">
        <f>+ROUND(Get_Data!B1237,5)</f>
        <v>55.465240000000001</v>
      </c>
      <c r="C1238">
        <f>+ROUND(Get_Data!C1237,5)</f>
        <v>28.9939</v>
      </c>
      <c r="D1238" s="4">
        <f t="shared" si="19"/>
        <v>1.9129968717557833</v>
      </c>
    </row>
    <row r="1239" spans="1:4" ht="17" hidden="1" customHeight="1" outlineLevel="1" thickBot="1">
      <c r="A1239" s="2">
        <f>+Get_Data!A1238</f>
        <v>41240</v>
      </c>
      <c r="B1239">
        <f>+ROUND(Get_Data!B1238,5)</f>
        <v>55.552379999999999</v>
      </c>
      <c r="C1239">
        <f>+ROUND(Get_Data!C1238,5)</f>
        <v>29.040459999999999</v>
      </c>
      <c r="D1239" s="4">
        <f t="shared" si="19"/>
        <v>1.9129304425618603</v>
      </c>
    </row>
    <row r="1240" spans="1:4" ht="17" hidden="1" customHeight="1" outlineLevel="1" thickBot="1">
      <c r="A1240" s="2">
        <f>+Get_Data!A1239</f>
        <v>41241</v>
      </c>
      <c r="B1240">
        <f>+ROUND(Get_Data!B1239,5)</f>
        <v>55.742570000000001</v>
      </c>
      <c r="C1240">
        <f>+ROUND(Get_Data!C1239,5)</f>
        <v>29.349119999999999</v>
      </c>
      <c r="D1240" s="4">
        <f t="shared" si="19"/>
        <v>1.8992927215534914</v>
      </c>
    </row>
    <row r="1241" spans="1:4" ht="17" hidden="1" customHeight="1" outlineLevel="1" thickBot="1">
      <c r="A1241" s="2">
        <f>+Get_Data!A1240</f>
        <v>41242</v>
      </c>
      <c r="B1241">
        <f>+ROUND(Get_Data!B1240,5)</f>
        <v>55.710880000000003</v>
      </c>
      <c r="C1241">
        <f>+ROUND(Get_Data!C1240,5)</f>
        <v>29.66948</v>
      </c>
      <c r="D1241" s="4">
        <f t="shared" si="19"/>
        <v>1.8777167648371325</v>
      </c>
    </row>
    <row r="1242" spans="1:4" ht="17" hidden="1" customHeight="1" outlineLevel="1" thickBot="1">
      <c r="A1242" s="2">
        <f>+Get_Data!A1241</f>
        <v>41243</v>
      </c>
      <c r="B1242">
        <f>+ROUND(Get_Data!B1241,5)</f>
        <v>55.631610000000002</v>
      </c>
      <c r="C1242">
        <f>+ROUND(Get_Data!C1241,5)</f>
        <v>29.630420000000001</v>
      </c>
      <c r="D1242" s="4">
        <f t="shared" si="19"/>
        <v>1.8775167547405673</v>
      </c>
    </row>
    <row r="1243" spans="1:4" ht="17" hidden="1" customHeight="1" outlineLevel="1" thickBot="1">
      <c r="A1243" s="2">
        <f>+Get_Data!A1242</f>
        <v>41246</v>
      </c>
      <c r="B1243">
        <f>+ROUND(Get_Data!B1242,5)</f>
        <v>55.362209999999997</v>
      </c>
      <c r="C1243">
        <f>+ROUND(Get_Data!C1242,5)</f>
        <v>29.208459999999999</v>
      </c>
      <c r="D1243" s="4">
        <f t="shared" si="19"/>
        <v>1.8954169442688864</v>
      </c>
    </row>
    <row r="1244" spans="1:4" ht="17" hidden="1" customHeight="1" outlineLevel="1" thickBot="1">
      <c r="A1244" s="2">
        <f>+Get_Data!A1243</f>
        <v>41247</v>
      </c>
      <c r="B1244">
        <f>+ROUND(Get_Data!B1243,5)</f>
        <v>55.354289999999999</v>
      </c>
      <c r="C1244">
        <f>+ROUND(Get_Data!C1243,5)</f>
        <v>29.028749999999999</v>
      </c>
      <c r="D1244" s="4">
        <f t="shared" si="19"/>
        <v>1.9068781811135513</v>
      </c>
    </row>
    <row r="1245" spans="1:4" ht="17" hidden="1" customHeight="1" outlineLevel="1" thickBot="1">
      <c r="A1245" s="2">
        <f>+Get_Data!A1244</f>
        <v>41248</v>
      </c>
      <c r="B1245">
        <f>+ROUND(Get_Data!B1244,5)</f>
        <v>55.663319999999999</v>
      </c>
      <c r="C1245">
        <f>+ROUND(Get_Data!C1244,5)</f>
        <v>29.153770000000002</v>
      </c>
      <c r="D1245" s="4">
        <f t="shared" si="19"/>
        <v>1.9093009240314374</v>
      </c>
    </row>
    <row r="1246" spans="1:4" ht="17" hidden="1" customHeight="1" outlineLevel="1" thickBot="1">
      <c r="A1246" s="2">
        <f>+Get_Data!A1245</f>
        <v>41249</v>
      </c>
      <c r="B1246">
        <f>+ROUND(Get_Data!B1245,5)</f>
        <v>55.910850000000003</v>
      </c>
      <c r="C1246">
        <f>+ROUND(Get_Data!C1245,5)</f>
        <v>29.208459999999999</v>
      </c>
      <c r="D1246" s="4">
        <f t="shared" si="19"/>
        <v>1.9142005432672591</v>
      </c>
    </row>
    <row r="1247" spans="1:4" ht="17" hidden="1" customHeight="1" outlineLevel="1" thickBot="1">
      <c r="A1247" s="2">
        <f>+Get_Data!A1246</f>
        <v>41250</v>
      </c>
      <c r="B1247">
        <f>+ROUND(Get_Data!B1246,5)</f>
        <v>56.102499999999999</v>
      </c>
      <c r="C1247">
        <f>+ROUND(Get_Data!C1246,5)</f>
        <v>29.46632</v>
      </c>
      <c r="D1247" s="4">
        <f t="shared" si="19"/>
        <v>1.9039533949268181</v>
      </c>
    </row>
    <row r="1248" spans="1:4" ht="17" hidden="1" customHeight="1" outlineLevel="1" thickBot="1">
      <c r="A1248" s="2">
        <f>+Get_Data!A1247</f>
        <v>41253</v>
      </c>
      <c r="B1248">
        <f>+ROUND(Get_Data!B1247,5)</f>
        <v>56.062550000000002</v>
      </c>
      <c r="C1248">
        <f>+ROUND(Get_Data!C1247,5)</f>
        <v>29.411629999999999</v>
      </c>
      <c r="D1248" s="4">
        <f t="shared" si="19"/>
        <v>1.90613543010027</v>
      </c>
    </row>
    <row r="1249" spans="1:4" ht="17" hidden="1" customHeight="1" outlineLevel="1" thickBot="1">
      <c r="A1249" s="2">
        <f>+Get_Data!A1248</f>
        <v>41254</v>
      </c>
      <c r="B1249">
        <f>+ROUND(Get_Data!B1248,5)</f>
        <v>56.230260000000001</v>
      </c>
      <c r="C1249">
        <f>+ROUND(Get_Data!C1248,5)</f>
        <v>29.58353</v>
      </c>
      <c r="D1249" s="4">
        <f t="shared" si="19"/>
        <v>1.900728547269376</v>
      </c>
    </row>
    <row r="1250" spans="1:4" ht="17" hidden="1" customHeight="1" outlineLevel="1" thickBot="1">
      <c r="A1250" s="2">
        <f>+Get_Data!A1249</f>
        <v>41255</v>
      </c>
      <c r="B1250">
        <f>+ROUND(Get_Data!B1249,5)</f>
        <v>56.086509999999997</v>
      </c>
      <c r="C1250">
        <f>+ROUND(Get_Data!C1249,5)</f>
        <v>29.411629999999999</v>
      </c>
      <c r="D1250" s="4">
        <f t="shared" si="19"/>
        <v>1.9069500738313381</v>
      </c>
    </row>
    <row r="1251" spans="1:4" ht="17" hidden="1" customHeight="1" outlineLevel="1" thickBot="1">
      <c r="A1251" s="2">
        <f>+Get_Data!A1250</f>
        <v>41256</v>
      </c>
      <c r="B1251">
        <f>+ROUND(Get_Data!B1250,5)</f>
        <v>56.062550000000002</v>
      </c>
      <c r="C1251">
        <f>+ROUND(Get_Data!C1250,5)</f>
        <v>29.380369999999999</v>
      </c>
      <c r="D1251" s="4">
        <f t="shared" si="19"/>
        <v>1.908163511895868</v>
      </c>
    </row>
    <row r="1252" spans="1:4" ht="17" hidden="1" customHeight="1" outlineLevel="1" thickBot="1">
      <c r="A1252" s="2">
        <f>+Get_Data!A1251</f>
        <v>41257</v>
      </c>
      <c r="B1252">
        <f>+ROUND(Get_Data!B1251,5)</f>
        <v>56.022649999999999</v>
      </c>
      <c r="C1252">
        <f>+ROUND(Get_Data!C1251,5)</f>
        <v>29.427250000000001</v>
      </c>
      <c r="D1252" s="4">
        <f t="shared" si="19"/>
        <v>1.9037677662710581</v>
      </c>
    </row>
    <row r="1253" spans="1:4" ht="17" hidden="1" customHeight="1" outlineLevel="1" thickBot="1">
      <c r="A1253" s="2">
        <f>+Get_Data!A1252</f>
        <v>41260</v>
      </c>
      <c r="B1253">
        <f>+ROUND(Get_Data!B1252,5)</f>
        <v>56.190330000000003</v>
      </c>
      <c r="C1253">
        <f>+ROUND(Get_Data!C1252,5)</f>
        <v>29.302230000000002</v>
      </c>
      <c r="D1253" s="4">
        <f t="shared" si="19"/>
        <v>1.9176127550701771</v>
      </c>
    </row>
    <row r="1254" spans="1:4" ht="17" hidden="1" customHeight="1" outlineLevel="1" thickBot="1">
      <c r="A1254" s="2">
        <f>+Get_Data!A1253</f>
        <v>41261</v>
      </c>
      <c r="B1254">
        <f>+ROUND(Get_Data!B1253,5)</f>
        <v>56.318100000000001</v>
      </c>
      <c r="C1254">
        <f>+ROUND(Get_Data!C1253,5)</f>
        <v>29.130320000000001</v>
      </c>
      <c r="D1254" s="4">
        <f t="shared" si="19"/>
        <v>1.9333155282880516</v>
      </c>
    </row>
    <row r="1255" spans="1:4" ht="17" hidden="1" customHeight="1" outlineLevel="1" thickBot="1">
      <c r="A1255" s="2">
        <f>+Get_Data!A1254</f>
        <v>41262</v>
      </c>
      <c r="B1255">
        <f>+ROUND(Get_Data!B1254,5)</f>
        <v>55.799059999999997</v>
      </c>
      <c r="C1255">
        <f>+ROUND(Get_Data!C1254,5)</f>
        <v>28.739629999999998</v>
      </c>
      <c r="D1255" s="4">
        <f t="shared" si="19"/>
        <v>1.9415371735822626</v>
      </c>
    </row>
    <row r="1256" spans="1:4" ht="17" hidden="1" customHeight="1" outlineLevel="1" thickBot="1">
      <c r="A1256" s="2">
        <f>+Get_Data!A1255</f>
        <v>41263</v>
      </c>
      <c r="B1256">
        <f>+ROUND(Get_Data!B1255,5)</f>
        <v>55.98272</v>
      </c>
      <c r="C1256">
        <f>+ROUND(Get_Data!C1255,5)</f>
        <v>28.950610000000001</v>
      </c>
      <c r="D1256" s="4">
        <f t="shared" si="19"/>
        <v>1.9337319662694499</v>
      </c>
    </row>
    <row r="1257" spans="1:4" ht="17" hidden="1" customHeight="1" outlineLevel="1" thickBot="1">
      <c r="A1257" s="2">
        <f>+Get_Data!A1256</f>
        <v>41264</v>
      </c>
      <c r="B1257">
        <f>+ROUND(Get_Data!B1256,5)</f>
        <v>55.599449999999997</v>
      </c>
      <c r="C1257">
        <f>+ROUND(Get_Data!C1256,5)</f>
        <v>28.825579999999999</v>
      </c>
      <c r="D1257" s="4">
        <f t="shared" si="19"/>
        <v>1.9288232882044352</v>
      </c>
    </row>
    <row r="1258" spans="1:4" ht="17" hidden="1" customHeight="1" outlineLevel="1" thickBot="1">
      <c r="A1258" s="2">
        <f>+Get_Data!A1257</f>
        <v>41267</v>
      </c>
      <c r="B1258">
        <f>+ROUND(Get_Data!B1257,5)</f>
        <v>55.43974</v>
      </c>
      <c r="C1258">
        <f>+ROUND(Get_Data!C1257,5)</f>
        <v>28.700559999999999</v>
      </c>
      <c r="D1258" s="4">
        <f t="shared" si="19"/>
        <v>1.9316605669018305</v>
      </c>
    </row>
    <row r="1259" spans="1:4" ht="17" hidden="1" customHeight="1" outlineLevel="1" thickBot="1">
      <c r="A1259" s="2">
        <f>+Get_Data!A1258</f>
        <v>41269</v>
      </c>
      <c r="B1259">
        <f>+ROUND(Get_Data!B1258,5)</f>
        <v>54.968640000000001</v>
      </c>
      <c r="C1259">
        <f>+ROUND(Get_Data!C1258,5)</f>
        <v>28.45833</v>
      </c>
      <c r="D1259" s="4">
        <f t="shared" si="19"/>
        <v>1.9315483375166427</v>
      </c>
    </row>
    <row r="1260" spans="1:4" ht="17" hidden="1" customHeight="1" outlineLevel="1" thickBot="1">
      <c r="A1260" s="2">
        <f>+Get_Data!A1259</f>
        <v>41270</v>
      </c>
      <c r="B1260">
        <f>+ROUND(Get_Data!B1259,5)</f>
        <v>54.83287</v>
      </c>
      <c r="C1260">
        <f>+ROUND(Get_Data!C1259,5)</f>
        <v>28.45833</v>
      </c>
      <c r="D1260" s="4">
        <f t="shared" si="19"/>
        <v>1.9267775024043927</v>
      </c>
    </row>
    <row r="1261" spans="1:4" ht="17" hidden="1" customHeight="1" outlineLevel="1" thickBot="1">
      <c r="A1261" s="2">
        <f>+Get_Data!A1260</f>
        <v>41271</v>
      </c>
      <c r="B1261">
        <f>+ROUND(Get_Data!B1260,5)</f>
        <v>54.313859999999998</v>
      </c>
      <c r="C1261">
        <f>+ROUND(Get_Data!C1260,5)</f>
        <v>28.10671</v>
      </c>
      <c r="D1261" s="4">
        <f t="shared" si="19"/>
        <v>1.9324161383527279</v>
      </c>
    </row>
    <row r="1262" spans="1:4" ht="17" hidden="1" customHeight="1" outlineLevel="1" thickBot="1">
      <c r="A1262" s="2">
        <f>+Get_Data!A1261</f>
        <v>41274</v>
      </c>
      <c r="B1262">
        <f>+ROUND(Get_Data!B1261,5)</f>
        <v>54.641240000000003</v>
      </c>
      <c r="C1262">
        <f>+ROUND(Get_Data!C1261,5)</f>
        <v>28.325500000000002</v>
      </c>
      <c r="D1262" s="4">
        <f t="shared" si="19"/>
        <v>1.9290476778874159</v>
      </c>
    </row>
    <row r="1263" spans="1:4" ht="17" hidden="1" customHeight="1" outlineLevel="1" thickBot="1">
      <c r="A1263" s="2">
        <f>+Get_Data!A1262</f>
        <v>41276</v>
      </c>
      <c r="B1263">
        <f>+ROUND(Get_Data!B1262,5)</f>
        <v>55.359879999999997</v>
      </c>
      <c r="C1263">
        <f>+ROUND(Get_Data!C1262,5)</f>
        <v>29.380369999999999</v>
      </c>
      <c r="D1263" s="4">
        <f t="shared" si="19"/>
        <v>1.8842472031495858</v>
      </c>
    </row>
    <row r="1264" spans="1:4" ht="17" hidden="1" customHeight="1" outlineLevel="1" thickBot="1">
      <c r="A1264" s="2">
        <f>+Get_Data!A1263</f>
        <v>41277</v>
      </c>
      <c r="B1264">
        <f>+ROUND(Get_Data!B1263,5)</f>
        <v>55.383850000000002</v>
      </c>
      <c r="C1264">
        <f>+ROUND(Get_Data!C1263,5)</f>
        <v>29.380369999999999</v>
      </c>
      <c r="D1264" s="4">
        <f t="shared" si="19"/>
        <v>1.8850630540051063</v>
      </c>
    </row>
    <row r="1265" spans="1:4" ht="17" hidden="1" customHeight="1" outlineLevel="1" thickBot="1">
      <c r="A1265" s="2">
        <f>+Get_Data!A1264</f>
        <v>41278</v>
      </c>
      <c r="B1265">
        <f>+ROUND(Get_Data!B1264,5)</f>
        <v>55.463700000000003</v>
      </c>
      <c r="C1265">
        <f>+ROUND(Get_Data!C1264,5)</f>
        <v>29.427250000000001</v>
      </c>
      <c r="D1265" s="4">
        <f t="shared" si="19"/>
        <v>1.8847734667697458</v>
      </c>
    </row>
    <row r="1266" spans="1:4" ht="17" hidden="1" customHeight="1" outlineLevel="1" thickBot="1">
      <c r="A1266" s="2">
        <f>+Get_Data!A1265</f>
        <v>41281</v>
      </c>
      <c r="B1266">
        <f>+ROUND(Get_Data!B1265,5)</f>
        <v>55.455719999999999</v>
      </c>
      <c r="C1266">
        <f>+ROUND(Get_Data!C1265,5)</f>
        <v>29.145969999999998</v>
      </c>
      <c r="D1266" s="4">
        <f t="shared" si="19"/>
        <v>1.9026891196278595</v>
      </c>
    </row>
    <row r="1267" spans="1:4" ht="17" hidden="1" customHeight="1" outlineLevel="1" thickBot="1">
      <c r="A1267" s="2">
        <f>+Get_Data!A1266</f>
        <v>41282</v>
      </c>
      <c r="B1267">
        <f>+ROUND(Get_Data!B1266,5)</f>
        <v>55.623399999999997</v>
      </c>
      <c r="C1267">
        <f>+ROUND(Get_Data!C1266,5)</f>
        <v>28.942799999999998</v>
      </c>
      <c r="D1267" s="4">
        <f t="shared" si="19"/>
        <v>1.9218389374904985</v>
      </c>
    </row>
    <row r="1268" spans="1:4" ht="17" hidden="1" customHeight="1" outlineLevel="1" thickBot="1">
      <c r="A1268" s="2">
        <f>+Get_Data!A1267</f>
        <v>41283</v>
      </c>
      <c r="B1268">
        <f>+ROUND(Get_Data!B1267,5)</f>
        <v>55.902880000000003</v>
      </c>
      <c r="C1268">
        <f>+ROUND(Get_Data!C1267,5)</f>
        <v>28.934979999999999</v>
      </c>
      <c r="D1268" s="4">
        <f t="shared" si="19"/>
        <v>1.9320172331206036</v>
      </c>
    </row>
    <row r="1269" spans="1:4" ht="17" hidden="1" customHeight="1" outlineLevel="1" thickBot="1">
      <c r="A1269" s="2">
        <f>+Get_Data!A1268</f>
        <v>41284</v>
      </c>
      <c r="B1269">
        <f>+ROUND(Get_Data!B1268,5)</f>
        <v>56.541670000000003</v>
      </c>
      <c r="C1269">
        <f>+ROUND(Get_Data!C1268,5)</f>
        <v>28.880279999999999</v>
      </c>
      <c r="D1269" s="4">
        <f t="shared" si="19"/>
        <v>1.9577950767790342</v>
      </c>
    </row>
    <row r="1270" spans="1:4" ht="17" hidden="1" customHeight="1" outlineLevel="1" thickBot="1">
      <c r="A1270" s="2">
        <f>+Get_Data!A1269</f>
        <v>41285</v>
      </c>
      <c r="B1270">
        <f>+ROUND(Get_Data!B1269,5)</f>
        <v>56.597569999999997</v>
      </c>
      <c r="C1270">
        <f>+ROUND(Get_Data!C1269,5)</f>
        <v>28.84121</v>
      </c>
      <c r="D1270" s="4">
        <f t="shared" si="19"/>
        <v>1.9623854200291873</v>
      </c>
    </row>
    <row r="1271" spans="1:4" ht="17" hidden="1" customHeight="1" outlineLevel="1" thickBot="1">
      <c r="A1271" s="2">
        <f>+Get_Data!A1270</f>
        <v>41288</v>
      </c>
      <c r="B1271">
        <f>+ROUND(Get_Data!B1270,5)</f>
        <v>56.924950000000003</v>
      </c>
      <c r="C1271">
        <f>+ROUND(Get_Data!C1270,5)</f>
        <v>28.903729999999999</v>
      </c>
      <c r="D1271" s="4">
        <f t="shared" si="19"/>
        <v>1.9694672625297844</v>
      </c>
    </row>
    <row r="1272" spans="1:4" ht="17" hidden="1" customHeight="1" outlineLevel="1" thickBot="1">
      <c r="A1272" s="2">
        <f>+Get_Data!A1271</f>
        <v>41289</v>
      </c>
      <c r="B1272">
        <f>+ROUND(Get_Data!B1271,5)</f>
        <v>57.17248</v>
      </c>
      <c r="C1272">
        <f>+ROUND(Get_Data!C1271,5)</f>
        <v>29.161580000000001</v>
      </c>
      <c r="D1272" s="4">
        <f t="shared" si="19"/>
        <v>1.9605412326766931</v>
      </c>
    </row>
    <row r="1273" spans="1:4" ht="17" hidden="1" customHeight="1" outlineLevel="1" thickBot="1">
      <c r="A1273" s="2">
        <f>+Get_Data!A1272</f>
        <v>41290</v>
      </c>
      <c r="B1273">
        <f>+ROUND(Get_Data!B1272,5)</f>
        <v>57.076680000000003</v>
      </c>
      <c r="C1273">
        <f>+ROUND(Get_Data!C1272,5)</f>
        <v>29.161580000000001</v>
      </c>
      <c r="D1273" s="4">
        <f t="shared" si="19"/>
        <v>1.9572560883189458</v>
      </c>
    </row>
    <row r="1274" spans="1:4" ht="17" hidden="1" customHeight="1" outlineLevel="1" thickBot="1">
      <c r="A1274" s="2">
        <f>+Get_Data!A1273</f>
        <v>41291</v>
      </c>
      <c r="B1274">
        <f>+ROUND(Get_Data!B1273,5)</f>
        <v>57.835230000000003</v>
      </c>
      <c r="C1274">
        <f>+ROUND(Get_Data!C1273,5)</f>
        <v>29.31005</v>
      </c>
      <c r="D1274" s="4">
        <f t="shared" si="19"/>
        <v>1.9732218129958838</v>
      </c>
    </row>
    <row r="1275" spans="1:4" ht="17" hidden="1" customHeight="1" outlineLevel="1" thickBot="1">
      <c r="A1275" s="2">
        <f>+Get_Data!A1274</f>
        <v>41292</v>
      </c>
      <c r="B1275">
        <f>+ROUND(Get_Data!B1274,5)</f>
        <v>57.875160000000001</v>
      </c>
      <c r="C1275">
        <f>+ROUND(Get_Data!C1274,5)</f>
        <v>29.45852</v>
      </c>
      <c r="D1275" s="4">
        <f t="shared" si="19"/>
        <v>1.9646323033200581</v>
      </c>
    </row>
    <row r="1276" spans="1:4" ht="17" hidden="1" customHeight="1" outlineLevel="1" thickBot="1">
      <c r="A1276" s="2">
        <f>+Get_Data!A1275</f>
        <v>41296</v>
      </c>
      <c r="B1276">
        <f>+ROUND(Get_Data!B1275,5)</f>
        <v>57.651580000000003</v>
      </c>
      <c r="C1276">
        <f>+ROUND(Get_Data!C1275,5)</f>
        <v>29.013120000000001</v>
      </c>
      <c r="D1276" s="4">
        <f t="shared" si="19"/>
        <v>1.9870865318862638</v>
      </c>
    </row>
    <row r="1277" spans="1:4" ht="17" hidden="1" customHeight="1" outlineLevel="1" thickBot="1">
      <c r="A1277" s="2">
        <f>+Get_Data!A1276</f>
        <v>41297</v>
      </c>
      <c r="B1277">
        <f>+ROUND(Get_Data!B1276,5)</f>
        <v>57.340159999999997</v>
      </c>
      <c r="C1277">
        <f>+ROUND(Get_Data!C1276,5)</f>
        <v>29.013120000000001</v>
      </c>
      <c r="D1277" s="4">
        <f t="shared" si="19"/>
        <v>1.9763527672997594</v>
      </c>
    </row>
    <row r="1278" spans="1:4" ht="17" hidden="1" customHeight="1" outlineLevel="1" thickBot="1">
      <c r="A1278" s="2">
        <f>+Get_Data!A1277</f>
        <v>41298</v>
      </c>
      <c r="B1278">
        <f>+ROUND(Get_Data!B1277,5)</f>
        <v>57.675550000000001</v>
      </c>
      <c r="C1278">
        <f>+ROUND(Get_Data!C1277,5)</f>
        <v>28.997489999999999</v>
      </c>
      <c r="D1278" s="4">
        <f t="shared" si="19"/>
        <v>1.9889842189789531</v>
      </c>
    </row>
    <row r="1279" spans="1:4" ht="17" hidden="1" customHeight="1" outlineLevel="1" thickBot="1">
      <c r="A1279" s="2">
        <f>+Get_Data!A1278</f>
        <v>41299</v>
      </c>
      <c r="B1279">
        <f>+ROUND(Get_Data!B1278,5)</f>
        <v>57.883150000000001</v>
      </c>
      <c r="C1279">
        <f>+ROUND(Get_Data!C1278,5)</f>
        <v>28.950610000000001</v>
      </c>
      <c r="D1279" s="4">
        <f t="shared" si="19"/>
        <v>1.9993758335316596</v>
      </c>
    </row>
    <row r="1280" spans="1:4" ht="17" hidden="1" customHeight="1" outlineLevel="1" thickBot="1">
      <c r="A1280" s="2">
        <f>+Get_Data!A1279</f>
        <v>41302</v>
      </c>
      <c r="B1280">
        <f>+ROUND(Get_Data!B1279,5)</f>
        <v>57.978969999999997</v>
      </c>
      <c r="C1280">
        <f>+ROUND(Get_Data!C1279,5)</f>
        <v>28.919350000000001</v>
      </c>
      <c r="D1280" s="4">
        <f t="shared" si="19"/>
        <v>2.0048503856414475</v>
      </c>
    </row>
    <row r="1281" spans="1:4" ht="17" hidden="1" customHeight="1" outlineLevel="1" thickBot="1">
      <c r="A1281" s="2">
        <f>+Get_Data!A1280</f>
        <v>41303</v>
      </c>
      <c r="B1281">
        <f>+ROUND(Get_Data!B1280,5)</f>
        <v>58.242469999999997</v>
      </c>
      <c r="C1281">
        <f>+ROUND(Get_Data!C1280,5)</f>
        <v>29.239730000000002</v>
      </c>
      <c r="D1281" s="4">
        <f t="shared" si="19"/>
        <v>1.9918949319983459</v>
      </c>
    </row>
    <row r="1282" spans="1:4" ht="17" hidden="1" customHeight="1" outlineLevel="1" thickBot="1">
      <c r="A1282" s="2">
        <f>+Get_Data!A1281</f>
        <v>41304</v>
      </c>
      <c r="B1282">
        <f>+ROUND(Get_Data!B1281,5)</f>
        <v>58.458069999999999</v>
      </c>
      <c r="C1282">
        <f>+ROUND(Get_Data!C1281,5)</f>
        <v>29.302230000000002</v>
      </c>
      <c r="D1282" s="4">
        <f t="shared" si="19"/>
        <v>1.9950041344976133</v>
      </c>
    </row>
    <row r="1283" spans="1:4" ht="17" hidden="1" customHeight="1" outlineLevel="1" thickBot="1">
      <c r="A1283" s="2">
        <f>+Get_Data!A1282</f>
        <v>41305</v>
      </c>
      <c r="B1283">
        <f>+ROUND(Get_Data!B1282,5)</f>
        <v>58.170589999999997</v>
      </c>
      <c r="C1283">
        <f>+ROUND(Get_Data!C1282,5)</f>
        <v>29.099080000000001</v>
      </c>
      <c r="D1283" s="4">
        <f t="shared" si="19"/>
        <v>1.9990525473657585</v>
      </c>
    </row>
    <row r="1284" spans="1:4" ht="17" hidden="1" customHeight="1" outlineLevel="1" thickBot="1">
      <c r="A1284" s="2">
        <f>+Get_Data!A1283</f>
        <v>41306</v>
      </c>
      <c r="B1284">
        <f>+ROUND(Get_Data!B1283,5)</f>
        <v>58.026870000000002</v>
      </c>
      <c r="C1284">
        <f>+ROUND(Get_Data!C1283,5)</f>
        <v>29.333490000000001</v>
      </c>
      <c r="D1284" s="4">
        <f t="shared" ref="D1284:D1347" si="20">IFERROR(B1284/C1284,"")</f>
        <v>1.9781781847301498</v>
      </c>
    </row>
    <row r="1285" spans="1:4" ht="17" hidden="1" customHeight="1" outlineLevel="1" thickBot="1">
      <c r="A1285" s="2">
        <f>+Get_Data!A1284</f>
        <v>41309</v>
      </c>
      <c r="B1285">
        <f>+ROUND(Get_Data!B1284,5)</f>
        <v>57.851199999999999</v>
      </c>
      <c r="C1285">
        <f>+ROUND(Get_Data!C1284,5)</f>
        <v>29.185030000000001</v>
      </c>
      <c r="D1285" s="4">
        <f t="shared" si="20"/>
        <v>1.982221707498673</v>
      </c>
    </row>
    <row r="1286" spans="1:4" ht="17" hidden="1" customHeight="1" outlineLevel="1" thickBot="1">
      <c r="A1286" s="2">
        <f>+Get_Data!A1285</f>
        <v>41310</v>
      </c>
      <c r="B1286">
        <f>+ROUND(Get_Data!B1285,5)</f>
        <v>58.410159999999998</v>
      </c>
      <c r="C1286">
        <f>+ROUND(Get_Data!C1285,5)</f>
        <v>29.802330000000001</v>
      </c>
      <c r="D1286" s="4">
        <f t="shared" si="20"/>
        <v>1.9599192412136901</v>
      </c>
    </row>
    <row r="1287" spans="1:4" ht="17" hidden="1" customHeight="1" outlineLevel="1" thickBot="1">
      <c r="A1287" s="2">
        <f>+Get_Data!A1286</f>
        <v>41311</v>
      </c>
      <c r="B1287">
        <f>+ROUND(Get_Data!B1286,5)</f>
        <v>58.106740000000002</v>
      </c>
      <c r="C1287">
        <f>+ROUND(Get_Data!C1286,5)</f>
        <v>29.93516</v>
      </c>
      <c r="D1287" s="4">
        <f t="shared" si="20"/>
        <v>1.9410866686531825</v>
      </c>
    </row>
    <row r="1288" spans="1:4" ht="17" hidden="1" customHeight="1" outlineLevel="1" thickBot="1">
      <c r="A1288" s="2">
        <f>+Get_Data!A1287</f>
        <v>41312</v>
      </c>
      <c r="B1288">
        <f>+ROUND(Get_Data!B1287,5)</f>
        <v>58.138660000000002</v>
      </c>
      <c r="C1288">
        <f>+ROUND(Get_Data!C1287,5)</f>
        <v>30.40401</v>
      </c>
      <c r="D1288" s="4">
        <f t="shared" si="20"/>
        <v>1.9122036862900651</v>
      </c>
    </row>
    <row r="1289" spans="1:4" ht="17" hidden="1" customHeight="1" outlineLevel="1" thickBot="1">
      <c r="A1289" s="2">
        <f>+Get_Data!A1288</f>
        <v>41313</v>
      </c>
      <c r="B1289">
        <f>+ROUND(Get_Data!B1288,5)</f>
        <v>57.970979999999997</v>
      </c>
      <c r="C1289">
        <f>+ROUND(Get_Data!C1288,5)</f>
        <v>30.294609999999999</v>
      </c>
      <c r="D1289" s="4">
        <f t="shared" si="20"/>
        <v>1.9135740648253929</v>
      </c>
    </row>
    <row r="1290" spans="1:4" ht="17" hidden="1" customHeight="1" outlineLevel="1" thickBot="1">
      <c r="A1290" s="2">
        <f>+Get_Data!A1289</f>
        <v>41316</v>
      </c>
      <c r="B1290">
        <f>+ROUND(Get_Data!B1289,5)</f>
        <v>57.779339999999998</v>
      </c>
      <c r="C1290">
        <f>+ROUND(Get_Data!C1289,5)</f>
        <v>30.169589999999999</v>
      </c>
      <c r="D1290" s="4">
        <f t="shared" si="20"/>
        <v>1.9151516477353521</v>
      </c>
    </row>
    <row r="1291" spans="1:4" ht="17" hidden="1" customHeight="1" outlineLevel="1" thickBot="1">
      <c r="A1291" s="2">
        <f>+Get_Data!A1290</f>
        <v>41317</v>
      </c>
      <c r="B1291">
        <f>+ROUND(Get_Data!B1290,5)</f>
        <v>57.627630000000003</v>
      </c>
      <c r="C1291">
        <f>+ROUND(Get_Data!C1290,5)</f>
        <v>29.349119999999999</v>
      </c>
      <c r="D1291" s="4">
        <f t="shared" si="20"/>
        <v>1.963521563849274</v>
      </c>
    </row>
    <row r="1292" spans="1:4" ht="17" hidden="1" customHeight="1" outlineLevel="1" thickBot="1">
      <c r="A1292" s="2">
        <f>+Get_Data!A1291</f>
        <v>41318</v>
      </c>
      <c r="B1292">
        <f>+ROUND(Get_Data!B1291,5)</f>
        <v>57.092640000000003</v>
      </c>
      <c r="C1292">
        <f>+ROUND(Get_Data!C1291,5)</f>
        <v>29.07563</v>
      </c>
      <c r="D1292" s="4">
        <f t="shared" si="20"/>
        <v>1.9635908147132153</v>
      </c>
    </row>
    <row r="1293" spans="1:4" ht="17" hidden="1" customHeight="1" outlineLevel="1" thickBot="1">
      <c r="A1293" s="2">
        <f>+Get_Data!A1292</f>
        <v>41319</v>
      </c>
      <c r="B1293">
        <f>+ROUND(Get_Data!B1292,5)</f>
        <v>57.715470000000003</v>
      </c>
      <c r="C1293">
        <f>+ROUND(Get_Data!C1292,5)</f>
        <v>28.786519999999999</v>
      </c>
      <c r="D1293" s="4">
        <f t="shared" si="20"/>
        <v>2.004947801957305</v>
      </c>
    </row>
    <row r="1294" spans="1:4" ht="17" hidden="1" customHeight="1" outlineLevel="1" thickBot="1">
      <c r="A1294" s="2">
        <f>+Get_Data!A1293</f>
        <v>41320</v>
      </c>
      <c r="B1294">
        <f>+ROUND(Get_Data!B1293,5)</f>
        <v>58.833370000000002</v>
      </c>
      <c r="C1294">
        <f>+ROUND(Get_Data!C1293,5)</f>
        <v>29.239730000000002</v>
      </c>
      <c r="D1294" s="4">
        <f t="shared" si="20"/>
        <v>2.0121037369360115</v>
      </c>
    </row>
    <row r="1295" spans="1:4" ht="17" hidden="1" customHeight="1" outlineLevel="1" thickBot="1">
      <c r="A1295" s="2">
        <f>+Get_Data!A1294</f>
        <v>41324</v>
      </c>
      <c r="B1295">
        <f>+ROUND(Get_Data!B1294,5)</f>
        <v>60.286619999999999</v>
      </c>
      <c r="C1295">
        <f>+ROUND(Get_Data!C1294,5)</f>
        <v>29.43507</v>
      </c>
      <c r="D1295" s="4">
        <f t="shared" si="20"/>
        <v>2.0481221889399279</v>
      </c>
    </row>
    <row r="1296" spans="1:4" ht="17" hidden="1" customHeight="1" outlineLevel="1" thickBot="1">
      <c r="A1296" s="2">
        <f>+Get_Data!A1295</f>
        <v>41325</v>
      </c>
      <c r="B1296">
        <f>+ROUND(Get_Data!B1295,5)</f>
        <v>60.222740000000002</v>
      </c>
      <c r="C1296">
        <f>+ROUND(Get_Data!C1295,5)</f>
        <v>29.481960000000001</v>
      </c>
      <c r="D1296" s="4">
        <f t="shared" si="20"/>
        <v>2.04269797530422</v>
      </c>
    </row>
    <row r="1297" spans="1:4" ht="17" hidden="1" customHeight="1" outlineLevel="1" thickBot="1">
      <c r="A1297" s="2">
        <f>+Get_Data!A1296</f>
        <v>41326</v>
      </c>
      <c r="B1297">
        <f>+ROUND(Get_Data!B1296,5)</f>
        <v>60.174819999999997</v>
      </c>
      <c r="C1297">
        <f>+ROUND(Get_Data!C1296,5)</f>
        <v>29.46632</v>
      </c>
      <c r="D1297" s="4">
        <f t="shared" si="20"/>
        <v>2.0421559258163215</v>
      </c>
    </row>
    <row r="1298" spans="1:4" ht="17" hidden="1" customHeight="1" outlineLevel="1" thickBot="1">
      <c r="A1298" s="2">
        <f>+Get_Data!A1297</f>
        <v>41327</v>
      </c>
      <c r="B1298">
        <f>+ROUND(Get_Data!B1297,5)</f>
        <v>60.34252</v>
      </c>
      <c r="C1298">
        <f>+ROUND(Get_Data!C1297,5)</f>
        <v>30.099260000000001</v>
      </c>
      <c r="D1298" s="4">
        <f t="shared" si="20"/>
        <v>2.0047841707736338</v>
      </c>
    </row>
    <row r="1299" spans="1:4" ht="17" hidden="1" customHeight="1" outlineLevel="1" thickBot="1">
      <c r="A1299" s="2">
        <f>+Get_Data!A1298</f>
        <v>41330</v>
      </c>
      <c r="B1299">
        <f>+ROUND(Get_Data!B1298,5)</f>
        <v>60.039099999999998</v>
      </c>
      <c r="C1299">
        <f>+ROUND(Get_Data!C1298,5)</f>
        <v>29.474139999999998</v>
      </c>
      <c r="D1299" s="4">
        <f t="shared" si="20"/>
        <v>2.0370093919619028</v>
      </c>
    </row>
    <row r="1300" spans="1:4" ht="17" hidden="1" customHeight="1" outlineLevel="1" thickBot="1">
      <c r="A1300" s="2">
        <f>+Get_Data!A1299</f>
        <v>41331</v>
      </c>
      <c r="B1300">
        <f>+ROUND(Get_Data!B1299,5)</f>
        <v>60.382460000000002</v>
      </c>
      <c r="C1300">
        <f>+ROUND(Get_Data!C1299,5)</f>
        <v>29.778890000000001</v>
      </c>
      <c r="D1300" s="4">
        <f t="shared" si="20"/>
        <v>2.0276934432411684</v>
      </c>
    </row>
    <row r="1301" spans="1:4" ht="17" hidden="1" customHeight="1" outlineLevel="1" thickBot="1">
      <c r="A1301" s="2">
        <f>+Get_Data!A1300</f>
        <v>41332</v>
      </c>
      <c r="B1301">
        <f>+ROUND(Get_Data!B1300,5)</f>
        <v>60.701720000000002</v>
      </c>
      <c r="C1301">
        <f>+ROUND(Get_Data!C1300,5)</f>
        <v>30.044560000000001</v>
      </c>
      <c r="D1301" s="4">
        <f t="shared" si="20"/>
        <v>2.0203897144774294</v>
      </c>
    </row>
    <row r="1302" spans="1:4" ht="17" hidden="1" customHeight="1" outlineLevel="1" thickBot="1">
      <c r="A1302" s="2">
        <f>+Get_Data!A1301</f>
        <v>41333</v>
      </c>
      <c r="B1302">
        <f>+ROUND(Get_Data!B1301,5)</f>
        <v>60.934939999999997</v>
      </c>
      <c r="C1302">
        <f>+ROUND(Get_Data!C1301,5)</f>
        <v>30.25553</v>
      </c>
      <c r="D1302" s="4">
        <f t="shared" si="20"/>
        <v>2.0140100008163797</v>
      </c>
    </row>
    <row r="1303" spans="1:4" ht="17" hidden="1" customHeight="1" outlineLevel="1" thickBot="1">
      <c r="A1303" s="2">
        <f>+Get_Data!A1302</f>
        <v>41334</v>
      </c>
      <c r="B1303">
        <f>+ROUND(Get_Data!B1302,5)</f>
        <v>61.063600000000001</v>
      </c>
      <c r="C1303">
        <f>+ROUND(Get_Data!C1302,5)</f>
        <v>30.239909999999998</v>
      </c>
      <c r="D1303" s="4">
        <f t="shared" si="20"/>
        <v>2.0193049516351076</v>
      </c>
    </row>
    <row r="1304" spans="1:4" ht="17" hidden="1" customHeight="1" outlineLevel="1" thickBot="1">
      <c r="A1304" s="2">
        <f>+Get_Data!A1303</f>
        <v>41337</v>
      </c>
      <c r="B1304">
        <f>+ROUND(Get_Data!B1303,5)</f>
        <v>61.602429999999998</v>
      </c>
      <c r="C1304">
        <f>+ROUND(Get_Data!C1303,5)</f>
        <v>30.333680000000001</v>
      </c>
      <c r="D1304" s="4">
        <f t="shared" si="20"/>
        <v>2.0308261312178408</v>
      </c>
    </row>
    <row r="1305" spans="1:4" ht="17" hidden="1" customHeight="1" outlineLevel="1" thickBot="1">
      <c r="A1305" s="2">
        <f>+Get_Data!A1304</f>
        <v>41338</v>
      </c>
      <c r="B1305">
        <f>+ROUND(Get_Data!B1304,5)</f>
        <v>61.843690000000002</v>
      </c>
      <c r="C1305">
        <f>+ROUND(Get_Data!C1304,5)</f>
        <v>30.22428</v>
      </c>
      <c r="D1305" s="4">
        <f t="shared" si="20"/>
        <v>2.0461592468042249</v>
      </c>
    </row>
    <row r="1306" spans="1:4" ht="17" hidden="1" customHeight="1" outlineLevel="1" thickBot="1">
      <c r="A1306" s="2">
        <f>+Get_Data!A1305</f>
        <v>41339</v>
      </c>
      <c r="B1306">
        <f>+ROUND(Get_Data!B1305,5)</f>
        <v>61.763280000000002</v>
      </c>
      <c r="C1306">
        <f>+ROUND(Get_Data!C1305,5)</f>
        <v>30.48996</v>
      </c>
      <c r="D1306" s="4">
        <f t="shared" si="20"/>
        <v>2.0256923918562046</v>
      </c>
    </row>
    <row r="1307" spans="1:4" ht="17" hidden="1" customHeight="1" outlineLevel="1" thickBot="1">
      <c r="A1307" s="2">
        <f>+Get_Data!A1306</f>
        <v>41340</v>
      </c>
      <c r="B1307">
        <f>+ROUND(Get_Data!B1306,5)</f>
        <v>62.03669</v>
      </c>
      <c r="C1307">
        <f>+ROUND(Get_Data!C1306,5)</f>
        <v>30.568100000000001</v>
      </c>
      <c r="D1307" s="4">
        <f t="shared" si="20"/>
        <v>2.0294584877699302</v>
      </c>
    </row>
    <row r="1308" spans="1:4" ht="17" hidden="1" customHeight="1" outlineLevel="1" thickBot="1">
      <c r="A1308" s="2">
        <f>+Get_Data!A1307</f>
        <v>41341</v>
      </c>
      <c r="B1308">
        <f>+ROUND(Get_Data!B1307,5)</f>
        <v>62.08493</v>
      </c>
      <c r="C1308">
        <f>+ROUND(Get_Data!C1307,5)</f>
        <v>30.646229999999999</v>
      </c>
      <c r="D1308" s="4">
        <f t="shared" si="20"/>
        <v>2.025858645582181</v>
      </c>
    </row>
    <row r="1309" spans="1:4" ht="17" hidden="1" customHeight="1" outlineLevel="1" thickBot="1">
      <c r="A1309" s="2">
        <f>+Get_Data!A1308</f>
        <v>41344</v>
      </c>
      <c r="B1309">
        <f>+ROUND(Get_Data!B1308,5)</f>
        <v>61.803469999999997</v>
      </c>
      <c r="C1309">
        <f>+ROUND(Get_Data!C1308,5)</f>
        <v>30.716560000000001</v>
      </c>
      <c r="D1309" s="4">
        <f t="shared" si="20"/>
        <v>2.0120570141969023</v>
      </c>
    </row>
    <row r="1310" spans="1:4" ht="17" hidden="1" customHeight="1" outlineLevel="1" thickBot="1">
      <c r="A1310" s="2">
        <f>+Get_Data!A1309</f>
        <v>41345</v>
      </c>
      <c r="B1310">
        <f>+ROUND(Get_Data!B1309,5)</f>
        <v>61.835639999999998</v>
      </c>
      <c r="C1310">
        <f>+ROUND(Get_Data!C1309,5)</f>
        <v>30.443069999999999</v>
      </c>
      <c r="D1310" s="4">
        <f t="shared" si="20"/>
        <v>2.0311893642789638</v>
      </c>
    </row>
    <row r="1311" spans="1:4" ht="17" hidden="1" customHeight="1" outlineLevel="1" thickBot="1">
      <c r="A1311" s="2">
        <f>+Get_Data!A1310</f>
        <v>41346</v>
      </c>
      <c r="B1311">
        <f>+ROUND(Get_Data!B1310,5)</f>
        <v>61.883920000000003</v>
      </c>
      <c r="C1311">
        <f>+ROUND(Get_Data!C1310,5)</f>
        <v>30.372240000000001</v>
      </c>
      <c r="D1311" s="4">
        <f t="shared" si="20"/>
        <v>2.0375158368299475</v>
      </c>
    </row>
    <row r="1312" spans="1:4" ht="17" hidden="1" customHeight="1" outlineLevel="1" thickBot="1">
      <c r="A1312" s="2">
        <f>+Get_Data!A1311</f>
        <v>41347</v>
      </c>
      <c r="B1312">
        <f>+ROUND(Get_Data!B1311,5)</f>
        <v>62.076909999999998</v>
      </c>
      <c r="C1312">
        <f>+ROUND(Get_Data!C1311,5)</f>
        <v>30.71067</v>
      </c>
      <c r="D1312" s="4">
        <f t="shared" si="20"/>
        <v>2.0213466524826713</v>
      </c>
    </row>
    <row r="1313" spans="1:4" ht="17" hidden="1" customHeight="1" outlineLevel="1" thickBot="1">
      <c r="A1313" s="2">
        <f>+Get_Data!A1312</f>
        <v>41348</v>
      </c>
      <c r="B1313">
        <f>+ROUND(Get_Data!B1312,5)</f>
        <v>61.95628</v>
      </c>
      <c r="C1313">
        <f>+ROUND(Get_Data!C1312,5)</f>
        <v>30.561140000000002</v>
      </c>
      <c r="D1313" s="4">
        <f t="shared" si="20"/>
        <v>2.0272895579157058</v>
      </c>
    </row>
    <row r="1314" spans="1:4" ht="17" hidden="1" customHeight="1" outlineLevel="1" thickBot="1">
      <c r="A1314" s="2">
        <f>+Get_Data!A1313</f>
        <v>41351</v>
      </c>
      <c r="B1314">
        <f>+ROUND(Get_Data!B1313,5)</f>
        <v>61.666759999999996</v>
      </c>
      <c r="C1314">
        <f>+ROUND(Get_Data!C1313,5)</f>
        <v>30.506029999999999</v>
      </c>
      <c r="D1314" s="4">
        <f t="shared" si="20"/>
        <v>2.0214613307598528</v>
      </c>
    </row>
    <row r="1315" spans="1:4" ht="17" hidden="1" customHeight="1" outlineLevel="1" thickBot="1">
      <c r="A1315" s="2">
        <f>+Get_Data!A1314</f>
        <v>41352</v>
      </c>
      <c r="B1315">
        <f>+ROUND(Get_Data!B1314,5)</f>
        <v>61.658729999999998</v>
      </c>
      <c r="C1315">
        <f>+ROUND(Get_Data!C1314,5)</f>
        <v>30.954650000000001</v>
      </c>
      <c r="D1315" s="4">
        <f t="shared" si="20"/>
        <v>1.9919052549455412</v>
      </c>
    </row>
    <row r="1316" spans="1:4" ht="17" hidden="1" customHeight="1" outlineLevel="1" thickBot="1">
      <c r="A1316" s="2">
        <f>+Get_Data!A1315</f>
        <v>41353</v>
      </c>
      <c r="B1316">
        <f>+ROUND(Get_Data!B1315,5)</f>
        <v>61.37726</v>
      </c>
      <c r="C1316">
        <f>+ROUND(Get_Data!C1315,5)</f>
        <v>31.379660000000001</v>
      </c>
      <c r="D1316" s="4">
        <f t="shared" si="20"/>
        <v>1.9559568204371875</v>
      </c>
    </row>
    <row r="1317" spans="1:4" ht="17" hidden="1" customHeight="1" outlineLevel="1" thickBot="1">
      <c r="A1317" s="2">
        <f>+Get_Data!A1316</f>
        <v>41354</v>
      </c>
      <c r="B1317">
        <f>+ROUND(Get_Data!B1316,5)</f>
        <v>61.240549999999999</v>
      </c>
      <c r="C1317">
        <f>+ROUND(Get_Data!C1316,5)</f>
        <v>31.53707</v>
      </c>
      <c r="D1317" s="4">
        <f t="shared" si="20"/>
        <v>1.9418592152029341</v>
      </c>
    </row>
    <row r="1318" spans="1:4" ht="17" hidden="1" customHeight="1" outlineLevel="1" thickBot="1">
      <c r="A1318" s="2">
        <f>+Get_Data!A1317</f>
        <v>41355</v>
      </c>
      <c r="B1318">
        <f>+ROUND(Get_Data!B1317,5)</f>
        <v>63.243029999999997</v>
      </c>
      <c r="C1318">
        <f>+ROUND(Get_Data!C1317,5)</f>
        <v>31.513459999999998</v>
      </c>
      <c r="D1318" s="4">
        <f t="shared" si="20"/>
        <v>2.0068577046125688</v>
      </c>
    </row>
    <row r="1319" spans="1:4" ht="17" hidden="1" customHeight="1" outlineLevel="1" thickBot="1">
      <c r="A1319" s="2">
        <f>+Get_Data!A1318</f>
        <v>41358</v>
      </c>
      <c r="B1319">
        <f>+ROUND(Get_Data!B1318,5)</f>
        <v>62.591610000000003</v>
      </c>
      <c r="C1319">
        <f>+ROUND(Get_Data!C1318,5)</f>
        <v>31.576429999999998</v>
      </c>
      <c r="D1319" s="4">
        <f t="shared" si="20"/>
        <v>1.9822256664227085</v>
      </c>
    </row>
    <row r="1320" spans="1:4" ht="17" hidden="1" customHeight="1" outlineLevel="1" thickBot="1">
      <c r="A1320" s="2">
        <f>+Get_Data!A1319</f>
        <v>41359</v>
      </c>
      <c r="B1320">
        <f>+ROUND(Get_Data!B1319,5)</f>
        <v>63.46819</v>
      </c>
      <c r="C1320">
        <f>+ROUND(Get_Data!C1319,5)</f>
        <v>32.025039999999997</v>
      </c>
      <c r="D1320" s="4">
        <f t="shared" si="20"/>
        <v>1.981830155403397</v>
      </c>
    </row>
    <row r="1321" spans="1:4" ht="17" hidden="1" customHeight="1" outlineLevel="1" thickBot="1">
      <c r="A1321" s="2">
        <f>+Get_Data!A1320</f>
        <v>41360</v>
      </c>
      <c r="B1321">
        <f>+ROUND(Get_Data!B1320,5)</f>
        <v>62.961530000000003</v>
      </c>
      <c r="C1321">
        <f>+ROUND(Get_Data!C1320,5)</f>
        <v>31.65513</v>
      </c>
      <c r="D1321" s="4">
        <f t="shared" si="20"/>
        <v>1.9889834601848106</v>
      </c>
    </row>
    <row r="1322" spans="1:4" ht="17" hidden="1" customHeight="1" outlineLevel="1" thickBot="1">
      <c r="A1322" s="2">
        <f>+Get_Data!A1321</f>
        <v>41361</v>
      </c>
      <c r="B1322">
        <f>+ROUND(Get_Data!B1321,5)</f>
        <v>63.621000000000002</v>
      </c>
      <c r="C1322">
        <f>+ROUND(Get_Data!C1321,5)</f>
        <v>31.82827</v>
      </c>
      <c r="D1322" s="4">
        <f t="shared" si="20"/>
        <v>1.9988833826029502</v>
      </c>
    </row>
    <row r="1323" spans="1:4" ht="17" hidden="1" customHeight="1" outlineLevel="1" thickBot="1">
      <c r="A1323" s="2">
        <f>+Get_Data!A1322</f>
        <v>41365</v>
      </c>
      <c r="B1323">
        <f>+ROUND(Get_Data!B1322,5)</f>
        <v>63.612960000000001</v>
      </c>
      <c r="C1323">
        <f>+ROUND(Get_Data!C1322,5)</f>
        <v>31.83615</v>
      </c>
      <c r="D1323" s="4">
        <f t="shared" si="20"/>
        <v>1.9981360811530289</v>
      </c>
    </row>
    <row r="1324" spans="1:4" ht="17" hidden="1" customHeight="1" outlineLevel="1" thickBot="1">
      <c r="A1324" s="2">
        <f>+Get_Data!A1323</f>
        <v>41366</v>
      </c>
      <c r="B1324">
        <f>+ROUND(Get_Data!B1323,5)</f>
        <v>64.12764</v>
      </c>
      <c r="C1324">
        <f>+ROUND(Get_Data!C1323,5)</f>
        <v>32.048659999999998</v>
      </c>
      <c r="D1324" s="4">
        <f t="shared" si="20"/>
        <v>2.0009460613953909</v>
      </c>
    </row>
    <row r="1325" spans="1:4" ht="17" hidden="1" customHeight="1" outlineLevel="1" thickBot="1">
      <c r="A1325" s="2">
        <f>+Get_Data!A1324</f>
        <v>41367</v>
      </c>
      <c r="B1325">
        <f>+ROUND(Get_Data!B1324,5)</f>
        <v>63.500369999999997</v>
      </c>
      <c r="C1325">
        <f>+ROUND(Get_Data!C1324,5)</f>
        <v>31.615780000000001</v>
      </c>
      <c r="D1325" s="4">
        <f t="shared" si="20"/>
        <v>2.0085023997510101</v>
      </c>
    </row>
    <row r="1326" spans="1:4" ht="17" hidden="1" customHeight="1" outlineLevel="1" thickBot="1">
      <c r="A1326" s="2">
        <f>+Get_Data!A1325</f>
        <v>41368</v>
      </c>
      <c r="B1326">
        <f>+ROUND(Get_Data!B1325,5)</f>
        <v>63.958759999999998</v>
      </c>
      <c r="C1326">
        <f>+ROUND(Get_Data!C1325,5)</f>
        <v>31.906980000000001</v>
      </c>
      <c r="D1326" s="4">
        <f t="shared" si="20"/>
        <v>2.004538191956744</v>
      </c>
    </row>
    <row r="1327" spans="1:4" ht="17" hidden="1" customHeight="1" outlineLevel="1" thickBot="1">
      <c r="A1327" s="2">
        <f>+Get_Data!A1326</f>
        <v>41369</v>
      </c>
      <c r="B1327">
        <f>+ROUND(Get_Data!B1326,5)</f>
        <v>63.202800000000003</v>
      </c>
      <c r="C1327">
        <f>+ROUND(Get_Data!C1326,5)</f>
        <v>31.54494</v>
      </c>
      <c r="D1327" s="4">
        <f t="shared" si="20"/>
        <v>2.0035796549303946</v>
      </c>
    </row>
    <row r="1328" spans="1:4" ht="17" hidden="1" customHeight="1" outlineLevel="1" thickBot="1">
      <c r="A1328" s="2">
        <f>+Get_Data!A1327</f>
        <v>41372</v>
      </c>
      <c r="B1328">
        <f>+ROUND(Get_Data!B1327,5)</f>
        <v>63.934629999999999</v>
      </c>
      <c r="C1328">
        <f>+ROUND(Get_Data!C1327,5)</f>
        <v>32.158839999999998</v>
      </c>
      <c r="D1328" s="4">
        <f t="shared" si="20"/>
        <v>1.9880888116611173</v>
      </c>
    </row>
    <row r="1329" spans="1:4" ht="17" hidden="1" customHeight="1" outlineLevel="1" thickBot="1">
      <c r="A1329" s="2">
        <f>+Get_Data!A1328</f>
        <v>41373</v>
      </c>
      <c r="B1329">
        <f>+ROUND(Get_Data!B1328,5)</f>
        <v>63.701439999999998</v>
      </c>
      <c r="C1329">
        <f>+ROUND(Get_Data!C1328,5)</f>
        <v>32.040779999999998</v>
      </c>
      <c r="D1329" s="4">
        <f t="shared" si="20"/>
        <v>1.9881363687151188</v>
      </c>
    </row>
    <row r="1330" spans="1:4" ht="17" hidden="1" customHeight="1" outlineLevel="1" thickBot="1">
      <c r="A1330" s="2">
        <f>+Get_Data!A1329</f>
        <v>41374</v>
      </c>
      <c r="B1330">
        <f>+ROUND(Get_Data!B1329,5)</f>
        <v>64.384990000000002</v>
      </c>
      <c r="C1330">
        <f>+ROUND(Get_Data!C1329,5)</f>
        <v>32.324120000000001</v>
      </c>
      <c r="D1330" s="4">
        <f t="shared" si="20"/>
        <v>1.9918559267816107</v>
      </c>
    </row>
    <row r="1331" spans="1:4" ht="17" hidden="1" customHeight="1" outlineLevel="1" thickBot="1">
      <c r="A1331" s="2">
        <f>+Get_Data!A1330</f>
        <v>41375</v>
      </c>
      <c r="B1331">
        <f>+ROUND(Get_Data!B1330,5)</f>
        <v>64.304569999999998</v>
      </c>
      <c r="C1331">
        <f>+ROUND(Get_Data!C1330,5)</f>
        <v>32.410690000000002</v>
      </c>
      <c r="D1331" s="4">
        <f t="shared" si="20"/>
        <v>1.9840543351591711</v>
      </c>
    </row>
    <row r="1332" spans="1:4" ht="17" hidden="1" customHeight="1" outlineLevel="1" thickBot="1">
      <c r="A1332" s="2">
        <f>+Get_Data!A1331</f>
        <v>41376</v>
      </c>
      <c r="B1332">
        <f>+ROUND(Get_Data!B1331,5)</f>
        <v>64.328699999999998</v>
      </c>
      <c r="C1332">
        <f>+ROUND(Get_Data!C1331,5)</f>
        <v>32.331989999999998</v>
      </c>
      <c r="D1332" s="4">
        <f t="shared" si="20"/>
        <v>1.9896300846313513</v>
      </c>
    </row>
    <row r="1333" spans="1:4" ht="17" hidden="1" customHeight="1" outlineLevel="1" thickBot="1">
      <c r="A1333" s="2">
        <f>+Get_Data!A1332</f>
        <v>41379</v>
      </c>
      <c r="B1333">
        <f>+ROUND(Get_Data!B1332,5)</f>
        <v>63.46819</v>
      </c>
      <c r="C1333">
        <f>+ROUND(Get_Data!C1332,5)</f>
        <v>31.552810000000001</v>
      </c>
      <c r="D1333" s="4">
        <f t="shared" si="20"/>
        <v>2.0114908941549103</v>
      </c>
    </row>
    <row r="1334" spans="1:4" ht="17" hidden="1" customHeight="1" outlineLevel="1" thickBot="1">
      <c r="A1334" s="2">
        <f>+Get_Data!A1333</f>
        <v>41380</v>
      </c>
      <c r="B1334">
        <f>+ROUND(Get_Data!B1333,5)</f>
        <v>64.336749999999995</v>
      </c>
      <c r="C1334">
        <f>+ROUND(Get_Data!C1333,5)</f>
        <v>33.347279999999998</v>
      </c>
      <c r="D1334" s="4">
        <f t="shared" si="20"/>
        <v>1.929295282853654</v>
      </c>
    </row>
    <row r="1335" spans="1:4" ht="17" hidden="1" customHeight="1" outlineLevel="1" thickBot="1">
      <c r="A1335" s="2">
        <f>+Get_Data!A1334</f>
        <v>41381</v>
      </c>
      <c r="B1335">
        <f>+ROUND(Get_Data!B1334,5)</f>
        <v>63.411909999999999</v>
      </c>
      <c r="C1335">
        <f>+ROUND(Get_Data!C1334,5)</f>
        <v>33.488959999999999</v>
      </c>
      <c r="D1335" s="4">
        <f t="shared" si="20"/>
        <v>1.893516848537548</v>
      </c>
    </row>
    <row r="1336" spans="1:4" ht="17" hidden="1" customHeight="1" outlineLevel="1" thickBot="1">
      <c r="A1336" s="2">
        <f>+Get_Data!A1335</f>
        <v>41382</v>
      </c>
      <c r="B1336">
        <f>+ROUND(Get_Data!B1335,5)</f>
        <v>65.341999999999999</v>
      </c>
      <c r="C1336">
        <f>+ROUND(Get_Data!C1335,5)</f>
        <v>33.134770000000003</v>
      </c>
      <c r="D1336" s="4">
        <f t="shared" si="20"/>
        <v>1.9720070487889305</v>
      </c>
    </row>
    <row r="1337" spans="1:4" ht="17" hidden="1" customHeight="1" outlineLevel="1" thickBot="1">
      <c r="A1337" s="2">
        <f>+Get_Data!A1336</f>
        <v>41383</v>
      </c>
      <c r="B1337">
        <f>+ROUND(Get_Data!B1336,5)</f>
        <v>66.564409999999995</v>
      </c>
      <c r="C1337">
        <f>+ROUND(Get_Data!C1336,5)</f>
        <v>33.575530000000001</v>
      </c>
      <c r="D1337" s="4">
        <f t="shared" si="20"/>
        <v>1.9825274537736259</v>
      </c>
    </row>
    <row r="1338" spans="1:4" ht="17" hidden="1" customHeight="1" outlineLevel="1" thickBot="1">
      <c r="A1338" s="2">
        <f>+Get_Data!A1337</f>
        <v>41386</v>
      </c>
      <c r="B1338">
        <f>+ROUND(Get_Data!B1337,5)</f>
        <v>67.054969999999997</v>
      </c>
      <c r="C1338">
        <f>+ROUND(Get_Data!C1337,5)</f>
        <v>33.622750000000003</v>
      </c>
      <c r="D1338" s="4">
        <f t="shared" si="20"/>
        <v>1.9943333011130853</v>
      </c>
    </row>
    <row r="1339" spans="1:4" ht="17" hidden="1" customHeight="1" outlineLevel="1" thickBot="1">
      <c r="A1339" s="2">
        <f>+Get_Data!A1338</f>
        <v>41387</v>
      </c>
      <c r="B1339">
        <f>+ROUND(Get_Data!B1338,5)</f>
        <v>67.634</v>
      </c>
      <c r="C1339">
        <f>+ROUND(Get_Data!C1338,5)</f>
        <v>33.606999999999999</v>
      </c>
      <c r="D1339" s="4">
        <f t="shared" si="20"/>
        <v>2.0124973963757551</v>
      </c>
    </row>
    <row r="1340" spans="1:4" ht="17" hidden="1" customHeight="1" outlineLevel="1" thickBot="1">
      <c r="A1340" s="2">
        <f>+Get_Data!A1339</f>
        <v>41388</v>
      </c>
      <c r="B1340">
        <f>+ROUND(Get_Data!B1339,5)</f>
        <v>66.21857</v>
      </c>
      <c r="C1340">
        <f>+ROUND(Get_Data!C1339,5)</f>
        <v>33.174129999999998</v>
      </c>
      <c r="D1340" s="4">
        <f t="shared" si="20"/>
        <v>1.9960906284505426</v>
      </c>
    </row>
    <row r="1341" spans="1:4" ht="17" hidden="1" customHeight="1" outlineLevel="1" thickBot="1">
      <c r="A1341" s="2">
        <f>+Get_Data!A1340</f>
        <v>41389</v>
      </c>
      <c r="B1341">
        <f>+ROUND(Get_Data!B1340,5)</f>
        <v>66.604619999999997</v>
      </c>
      <c r="C1341">
        <f>+ROUND(Get_Data!C1340,5)</f>
        <v>33.331539999999997</v>
      </c>
      <c r="D1341" s="4">
        <f t="shared" si="20"/>
        <v>1.9982461056404837</v>
      </c>
    </row>
    <row r="1342" spans="1:4" ht="17" hidden="1" customHeight="1" outlineLevel="1" thickBot="1">
      <c r="A1342" s="2">
        <f>+Get_Data!A1341</f>
        <v>41390</v>
      </c>
      <c r="B1342">
        <f>+ROUND(Get_Data!B1341,5)</f>
        <v>66.355310000000003</v>
      </c>
      <c r="C1342">
        <f>+ROUND(Get_Data!C1341,5)</f>
        <v>33.134770000000003</v>
      </c>
      <c r="D1342" s="4">
        <f t="shared" si="20"/>
        <v>2.0025885195521198</v>
      </c>
    </row>
    <row r="1343" spans="1:4" ht="17" hidden="1" customHeight="1" outlineLevel="1" thickBot="1">
      <c r="A1343" s="2">
        <f>+Get_Data!A1342</f>
        <v>41393</v>
      </c>
      <c r="B1343">
        <f>+ROUND(Get_Data!B1342,5)</f>
        <v>66.4679</v>
      </c>
      <c r="C1343">
        <f>+ROUND(Get_Data!C1342,5)</f>
        <v>33.244959999999999</v>
      </c>
      <c r="D1343" s="4">
        <f t="shared" si="20"/>
        <v>1.9993376439616712</v>
      </c>
    </row>
    <row r="1344" spans="1:4" ht="17" hidden="1" customHeight="1" outlineLevel="1" thickBot="1">
      <c r="A1344" s="2">
        <f>+Get_Data!A1343</f>
        <v>41394</v>
      </c>
      <c r="B1344">
        <f>+ROUND(Get_Data!B1343,5)</f>
        <v>66.323139999999995</v>
      </c>
      <c r="C1344">
        <f>+ROUND(Get_Data!C1343,5)</f>
        <v>33.315800000000003</v>
      </c>
      <c r="D1344" s="4">
        <f t="shared" si="20"/>
        <v>1.9907413299395478</v>
      </c>
    </row>
    <row r="1345" spans="1:4" ht="17" hidden="1" customHeight="1" outlineLevel="1" thickBot="1">
      <c r="A1345" s="2">
        <f>+Get_Data!A1344</f>
        <v>41395</v>
      </c>
      <c r="B1345">
        <f>+ROUND(Get_Data!B1344,5)</f>
        <v>66.114050000000006</v>
      </c>
      <c r="C1345">
        <f>+ROUND(Get_Data!C1344,5)</f>
        <v>33.221359999999997</v>
      </c>
      <c r="D1345" s="4">
        <f t="shared" si="20"/>
        <v>1.9901066663134805</v>
      </c>
    </row>
    <row r="1346" spans="1:4" ht="17" hidden="1" customHeight="1" outlineLevel="1" thickBot="1">
      <c r="A1346" s="2">
        <f>+Get_Data!A1345</f>
        <v>41396</v>
      </c>
      <c r="B1346">
        <f>+ROUND(Get_Data!B1345,5)</f>
        <v>66.395529999999994</v>
      </c>
      <c r="C1346">
        <f>+ROUND(Get_Data!C1345,5)</f>
        <v>33.024590000000003</v>
      </c>
      <c r="D1346" s="4">
        <f t="shared" si="20"/>
        <v>2.0104876396648677</v>
      </c>
    </row>
    <row r="1347" spans="1:4" ht="17" hidden="1" customHeight="1" outlineLevel="1" thickBot="1">
      <c r="A1347" s="2">
        <f>+Get_Data!A1346</f>
        <v>41397</v>
      </c>
      <c r="B1347">
        <f>+ROUND(Get_Data!B1346,5)</f>
        <v>66.612669999999994</v>
      </c>
      <c r="C1347">
        <f>+ROUND(Get_Data!C1346,5)</f>
        <v>33.244959999999999</v>
      </c>
      <c r="D1347" s="4">
        <f t="shared" si="20"/>
        <v>2.0036922889965876</v>
      </c>
    </row>
    <row r="1348" spans="1:4" ht="17" hidden="1" customHeight="1" outlineLevel="1" thickBot="1">
      <c r="A1348" s="2">
        <f>+Get_Data!A1347</f>
        <v>41400</v>
      </c>
      <c r="B1348">
        <f>+ROUND(Get_Data!B1347,5)</f>
        <v>66.347269999999995</v>
      </c>
      <c r="C1348">
        <f>+ROUND(Get_Data!C1347,5)</f>
        <v>33.119039999999998</v>
      </c>
      <c r="D1348" s="4">
        <f t="shared" ref="D1348:D1411" si="21">IFERROR(B1348/C1348,"")</f>
        <v>2.0032968950790844</v>
      </c>
    </row>
    <row r="1349" spans="1:4" ht="17" hidden="1" customHeight="1" outlineLevel="1" thickBot="1">
      <c r="A1349" s="2">
        <f>+Get_Data!A1348</f>
        <v>41401</v>
      </c>
      <c r="B1349">
        <f>+ROUND(Get_Data!B1348,5)</f>
        <v>67.022800000000004</v>
      </c>
      <c r="C1349">
        <f>+ROUND(Get_Data!C1348,5)</f>
        <v>33.606999999999999</v>
      </c>
      <c r="D1349" s="4">
        <f t="shared" si="21"/>
        <v>1.994310709078466</v>
      </c>
    </row>
    <row r="1350" spans="1:4" ht="17" hidden="1" customHeight="1" outlineLevel="1" thickBot="1">
      <c r="A1350" s="2">
        <f>+Get_Data!A1349</f>
        <v>41402</v>
      </c>
      <c r="B1350">
        <f>+ROUND(Get_Data!B1349,5)</f>
        <v>66.950419999999994</v>
      </c>
      <c r="C1350">
        <f>+ROUND(Get_Data!C1349,5)</f>
        <v>33.418120000000002</v>
      </c>
      <c r="D1350" s="4">
        <f t="shared" si="21"/>
        <v>2.0034167092583304</v>
      </c>
    </row>
    <row r="1351" spans="1:4" ht="17" hidden="1" customHeight="1" outlineLevel="1" thickBot="1">
      <c r="A1351" s="2">
        <f>+Get_Data!A1350</f>
        <v>41403</v>
      </c>
      <c r="B1351">
        <f>+ROUND(Get_Data!B1350,5)</f>
        <v>66.628709999999998</v>
      </c>
      <c r="C1351">
        <f>+ROUND(Get_Data!C1350,5)</f>
        <v>33.15052</v>
      </c>
      <c r="D1351" s="4">
        <f t="shared" si="21"/>
        <v>2.0098843095070604</v>
      </c>
    </row>
    <row r="1352" spans="1:4" ht="17" hidden="1" customHeight="1" outlineLevel="1" thickBot="1">
      <c r="A1352" s="2">
        <f>+Get_Data!A1351</f>
        <v>41404</v>
      </c>
      <c r="B1352">
        <f>+ROUND(Get_Data!B1351,5)</f>
        <v>66.749359999999996</v>
      </c>
      <c r="C1352">
        <f>+ROUND(Get_Data!C1351,5)</f>
        <v>33.174129999999998</v>
      </c>
      <c r="D1352" s="4">
        <f t="shared" si="21"/>
        <v>2.0120907466149074</v>
      </c>
    </row>
    <row r="1353" spans="1:4" ht="17" hidden="1" customHeight="1" outlineLevel="1" thickBot="1">
      <c r="A1353" s="2">
        <f>+Get_Data!A1352</f>
        <v>41407</v>
      </c>
      <c r="B1353">
        <f>+ROUND(Get_Data!B1352,5)</f>
        <v>66.773510000000002</v>
      </c>
      <c r="C1353">
        <f>+ROUND(Get_Data!C1352,5)</f>
        <v>33.205599999999997</v>
      </c>
      <c r="D1353" s="4">
        <f t="shared" si="21"/>
        <v>2.0109111113788036</v>
      </c>
    </row>
    <row r="1354" spans="1:4" ht="17" hidden="1" customHeight="1" outlineLevel="1" thickBot="1">
      <c r="A1354" s="2">
        <f>+Get_Data!A1353</f>
        <v>41408</v>
      </c>
      <c r="B1354">
        <f>+ROUND(Get_Data!B1353,5)</f>
        <v>67.151470000000003</v>
      </c>
      <c r="C1354">
        <f>+ROUND(Get_Data!C1353,5)</f>
        <v>33.465339999999998</v>
      </c>
      <c r="D1354" s="4">
        <f t="shared" si="21"/>
        <v>2.0065975722942007</v>
      </c>
    </row>
    <row r="1355" spans="1:4" ht="17" hidden="1" customHeight="1" outlineLevel="1" thickBot="1">
      <c r="A1355" s="2">
        <f>+Get_Data!A1354</f>
        <v>41409</v>
      </c>
      <c r="B1355">
        <f>+ROUND(Get_Data!B1354,5)</f>
        <v>67.754639999999995</v>
      </c>
      <c r="C1355">
        <f>+ROUND(Get_Data!C1354,5)</f>
        <v>33.780160000000002</v>
      </c>
      <c r="D1355" s="4">
        <f t="shared" si="21"/>
        <v>2.0057524890349834</v>
      </c>
    </row>
    <row r="1356" spans="1:4" ht="17" hidden="1" customHeight="1" outlineLevel="1" thickBot="1">
      <c r="A1356" s="2">
        <f>+Get_Data!A1355</f>
        <v>41410</v>
      </c>
      <c r="B1356">
        <f>+ROUND(Get_Data!B1355,5)</f>
        <v>67.344480000000004</v>
      </c>
      <c r="C1356">
        <f>+ROUND(Get_Data!C1355,5)</f>
        <v>33.91395</v>
      </c>
      <c r="D1356" s="4">
        <f t="shared" si="21"/>
        <v>1.9857456887210132</v>
      </c>
    </row>
    <row r="1357" spans="1:4" ht="17" hidden="1" customHeight="1" outlineLevel="1" thickBot="1">
      <c r="A1357" s="2">
        <f>+Get_Data!A1356</f>
        <v>41411</v>
      </c>
      <c r="B1357">
        <f>+ROUND(Get_Data!B1356,5)</f>
        <v>67.39273</v>
      </c>
      <c r="C1357">
        <f>+ROUND(Get_Data!C1356,5)</f>
        <v>33.819510000000001</v>
      </c>
      <c r="D1357" s="4">
        <f t="shared" si="21"/>
        <v>1.9927175171964349</v>
      </c>
    </row>
    <row r="1358" spans="1:4" ht="17" hidden="1" customHeight="1" outlineLevel="1" thickBot="1">
      <c r="A1358" s="2">
        <f>+Get_Data!A1357</f>
        <v>41414</v>
      </c>
      <c r="B1358">
        <f>+ROUND(Get_Data!B1357,5)</f>
        <v>66.419629999999998</v>
      </c>
      <c r="C1358">
        <f>+ROUND(Get_Data!C1357,5)</f>
        <v>33.355159999999998</v>
      </c>
      <c r="D1358" s="4">
        <f t="shared" si="21"/>
        <v>1.991285006577693</v>
      </c>
    </row>
    <row r="1359" spans="1:4" ht="17" hidden="1" customHeight="1" outlineLevel="1" thickBot="1">
      <c r="A1359" s="2">
        <f>+Get_Data!A1358</f>
        <v>41415</v>
      </c>
      <c r="B1359">
        <f>+ROUND(Get_Data!B1358,5)</f>
        <v>66.451830000000001</v>
      </c>
      <c r="C1359">
        <f>+ROUND(Get_Data!C1358,5)</f>
        <v>33.323659999999997</v>
      </c>
      <c r="D1359" s="4">
        <f t="shared" si="21"/>
        <v>1.994133597570015</v>
      </c>
    </row>
    <row r="1360" spans="1:4" ht="17" hidden="1" customHeight="1" outlineLevel="1" thickBot="1">
      <c r="A1360" s="2">
        <f>+Get_Data!A1359</f>
        <v>41416</v>
      </c>
      <c r="B1360">
        <f>+ROUND(Get_Data!B1359,5)</f>
        <v>66.725229999999996</v>
      </c>
      <c r="C1360">
        <f>+ROUND(Get_Data!C1359,5)</f>
        <v>33.252830000000003</v>
      </c>
      <c r="D1360" s="4">
        <f t="shared" si="21"/>
        <v>2.0066030470188547</v>
      </c>
    </row>
    <row r="1361" spans="1:4" ht="17" hidden="1" customHeight="1" outlineLevel="1" thickBot="1">
      <c r="A1361" s="2">
        <f>+Get_Data!A1360</f>
        <v>41417</v>
      </c>
      <c r="B1361">
        <f>+ROUND(Get_Data!B1360,5)</f>
        <v>66.041659999999993</v>
      </c>
      <c r="C1361">
        <f>+ROUND(Get_Data!C1360,5)</f>
        <v>33.000979999999998</v>
      </c>
      <c r="D1361" s="4">
        <f t="shared" si="21"/>
        <v>2.0012029945777368</v>
      </c>
    </row>
    <row r="1362" spans="1:4" ht="17" hidden="1" customHeight="1" outlineLevel="1" thickBot="1">
      <c r="A1362" s="2">
        <f>+Get_Data!A1361</f>
        <v>41418</v>
      </c>
      <c r="B1362">
        <f>+ROUND(Get_Data!B1361,5)</f>
        <v>66.411580000000001</v>
      </c>
      <c r="C1362">
        <f>+ROUND(Get_Data!C1361,5)</f>
        <v>33.244959999999999</v>
      </c>
      <c r="D1362" s="4">
        <f t="shared" si="21"/>
        <v>1.9976435525866176</v>
      </c>
    </row>
    <row r="1363" spans="1:4" ht="17" hidden="1" customHeight="1" outlineLevel="1" thickBot="1">
      <c r="A1363" s="2">
        <f>+Get_Data!A1362</f>
        <v>41422</v>
      </c>
      <c r="B1363">
        <f>+ROUND(Get_Data!B1362,5)</f>
        <v>66.290959999999998</v>
      </c>
      <c r="C1363">
        <f>+ROUND(Get_Data!C1362,5)</f>
        <v>33.488959999999999</v>
      </c>
      <c r="D1363" s="4">
        <f t="shared" si="21"/>
        <v>1.9794869712287273</v>
      </c>
    </row>
    <row r="1364" spans="1:4" ht="17" hidden="1" customHeight="1" outlineLevel="1" thickBot="1">
      <c r="A1364" s="2">
        <f>+Get_Data!A1363</f>
        <v>41423</v>
      </c>
      <c r="B1364">
        <f>+ROUND(Get_Data!B1363,5)</f>
        <v>65.237459999999999</v>
      </c>
      <c r="C1364">
        <f>+ROUND(Get_Data!C1363,5)</f>
        <v>32.583840000000002</v>
      </c>
      <c r="D1364" s="4">
        <f t="shared" si="21"/>
        <v>2.0021415523768837</v>
      </c>
    </row>
    <row r="1365" spans="1:4" ht="17" hidden="1" customHeight="1" outlineLevel="1" thickBot="1">
      <c r="A1365" s="2">
        <f>+Get_Data!A1364</f>
        <v>41424</v>
      </c>
      <c r="B1365">
        <f>+ROUND(Get_Data!B1364,5)</f>
        <v>65.317859999999996</v>
      </c>
      <c r="C1365">
        <f>+ROUND(Get_Data!C1364,5)</f>
        <v>32.088009999999997</v>
      </c>
      <c r="D1365" s="4">
        <f t="shared" si="21"/>
        <v>2.0355846311441566</v>
      </c>
    </row>
    <row r="1366" spans="1:4" ht="17" hidden="1" customHeight="1" outlineLevel="1" thickBot="1">
      <c r="A1366" s="2">
        <f>+Get_Data!A1365</f>
        <v>41425</v>
      </c>
      <c r="B1366">
        <f>+ROUND(Get_Data!B1365,5)</f>
        <v>64.955960000000005</v>
      </c>
      <c r="C1366">
        <f>+ROUND(Get_Data!C1365,5)</f>
        <v>31.47411</v>
      </c>
      <c r="D1366" s="4">
        <f t="shared" si="21"/>
        <v>2.063790207252882</v>
      </c>
    </row>
    <row r="1367" spans="1:4" ht="17" hidden="1" customHeight="1" outlineLevel="1" thickBot="1">
      <c r="A1367" s="2">
        <f>+Get_Data!A1366</f>
        <v>41428</v>
      </c>
      <c r="B1367">
        <f>+ROUND(Get_Data!B1366,5)</f>
        <v>65.462620000000001</v>
      </c>
      <c r="C1367">
        <f>+ROUND(Get_Data!C1366,5)</f>
        <v>32.119480000000003</v>
      </c>
      <c r="D1367" s="4">
        <f t="shared" si="21"/>
        <v>2.0380971298414545</v>
      </c>
    </row>
    <row r="1368" spans="1:4" ht="17" hidden="1" customHeight="1" outlineLevel="1" thickBot="1">
      <c r="A1368" s="2">
        <f>+Get_Data!A1367</f>
        <v>41429</v>
      </c>
      <c r="B1368">
        <f>+ROUND(Get_Data!B1367,5)</f>
        <v>65.647589999999994</v>
      </c>
      <c r="C1368">
        <f>+ROUND(Get_Data!C1367,5)</f>
        <v>32.599580000000003</v>
      </c>
      <c r="D1368" s="4">
        <f t="shared" si="21"/>
        <v>2.0137556986930503</v>
      </c>
    </row>
    <row r="1369" spans="1:4" ht="17" hidden="1" customHeight="1" outlineLevel="1" thickBot="1">
      <c r="A1369" s="2">
        <f>+Get_Data!A1368</f>
        <v>41430</v>
      </c>
      <c r="B1369">
        <f>+ROUND(Get_Data!B1368,5)</f>
        <v>65.759379999999993</v>
      </c>
      <c r="C1369">
        <f>+ROUND(Get_Data!C1368,5)</f>
        <v>31.993559999999999</v>
      </c>
      <c r="D1369" s="4">
        <f t="shared" si="21"/>
        <v>2.0553942730974608</v>
      </c>
    </row>
    <row r="1370" spans="1:4" ht="17" hidden="1" customHeight="1" outlineLevel="1" thickBot="1">
      <c r="A1370" s="2">
        <f>+Get_Data!A1369</f>
        <v>41431</v>
      </c>
      <c r="B1370">
        <f>+ROUND(Get_Data!B1369,5)</f>
        <v>66.131889999999999</v>
      </c>
      <c r="C1370">
        <f>+ROUND(Get_Data!C1369,5)</f>
        <v>32.103740000000002</v>
      </c>
      <c r="D1370" s="4">
        <f t="shared" si="21"/>
        <v>2.0599434832203349</v>
      </c>
    </row>
    <row r="1371" spans="1:4" ht="17" hidden="1" customHeight="1" outlineLevel="1" thickBot="1">
      <c r="A1371" s="2">
        <f>+Get_Data!A1370</f>
        <v>41432</v>
      </c>
      <c r="B1371">
        <f>+ROUND(Get_Data!B1370,5)</f>
        <v>66.820269999999994</v>
      </c>
      <c r="C1371">
        <f>+ROUND(Get_Data!C1370,5)</f>
        <v>32.591709999999999</v>
      </c>
      <c r="D1371" s="4">
        <f t="shared" si="21"/>
        <v>2.0502228941040528</v>
      </c>
    </row>
    <row r="1372" spans="1:4" ht="17" hidden="1" customHeight="1" outlineLevel="1" thickBot="1">
      <c r="A1372" s="2">
        <f>+Get_Data!A1371</f>
        <v>41435</v>
      </c>
      <c r="B1372">
        <f>+ROUND(Get_Data!B1371,5)</f>
        <v>67.095579999999998</v>
      </c>
      <c r="C1372">
        <f>+ROUND(Get_Data!C1371,5)</f>
        <v>32.410690000000002</v>
      </c>
      <c r="D1372" s="4">
        <f t="shared" si="21"/>
        <v>2.0701682068478022</v>
      </c>
    </row>
    <row r="1373" spans="1:4" ht="17" hidden="1" customHeight="1" outlineLevel="1" thickBot="1">
      <c r="A1373" s="2">
        <f>+Get_Data!A1372</f>
        <v>41436</v>
      </c>
      <c r="B1373">
        <f>+ROUND(Get_Data!B1372,5)</f>
        <v>66.836460000000002</v>
      </c>
      <c r="C1373">
        <f>+ROUND(Get_Data!C1372,5)</f>
        <v>32.103740000000002</v>
      </c>
      <c r="D1373" s="4">
        <f t="shared" si="21"/>
        <v>2.0818901473784672</v>
      </c>
    </row>
    <row r="1374" spans="1:4" ht="17" hidden="1" customHeight="1" outlineLevel="1" thickBot="1">
      <c r="A1374" s="2">
        <f>+Get_Data!A1373</f>
        <v>41437</v>
      </c>
      <c r="B1374">
        <f>+ROUND(Get_Data!B1373,5)</f>
        <v>66.496309999999994</v>
      </c>
      <c r="C1374">
        <f>+ROUND(Get_Data!C1373,5)</f>
        <v>32.008650000000003</v>
      </c>
      <c r="D1374" s="4">
        <f t="shared" si="21"/>
        <v>2.077448127303088</v>
      </c>
    </row>
    <row r="1375" spans="1:4" ht="17" hidden="1" customHeight="1" outlineLevel="1" thickBot="1">
      <c r="A1375" s="2">
        <f>+Get_Data!A1374</f>
        <v>41438</v>
      </c>
      <c r="B1375">
        <f>+ROUND(Get_Data!B1374,5)</f>
        <v>66.391050000000007</v>
      </c>
      <c r="C1375">
        <f>+ROUND(Get_Data!C1374,5)</f>
        <v>32.02449</v>
      </c>
      <c r="D1375" s="4">
        <f t="shared" si="21"/>
        <v>2.0731337173519395</v>
      </c>
    </row>
    <row r="1376" spans="1:4" ht="17" hidden="1" customHeight="1" outlineLevel="1" thickBot="1">
      <c r="A1376" s="2">
        <f>+Get_Data!A1375</f>
        <v>41439</v>
      </c>
      <c r="B1376">
        <f>+ROUND(Get_Data!B1375,5)</f>
        <v>66.512510000000006</v>
      </c>
      <c r="C1376">
        <f>+ROUND(Get_Data!C1375,5)</f>
        <v>31.96902</v>
      </c>
      <c r="D1376" s="4">
        <f t="shared" si="21"/>
        <v>2.0805301507521969</v>
      </c>
    </row>
    <row r="1377" spans="1:4" ht="17" hidden="1" customHeight="1" outlineLevel="1" thickBot="1">
      <c r="A1377" s="2">
        <f>+Get_Data!A1376</f>
        <v>41442</v>
      </c>
      <c r="B1377">
        <f>+ROUND(Get_Data!B1376,5)</f>
        <v>66.852670000000003</v>
      </c>
      <c r="C1377">
        <f>+ROUND(Get_Data!C1376,5)</f>
        <v>32.23847</v>
      </c>
      <c r="D1377" s="4">
        <f t="shared" si="21"/>
        <v>2.073692392970262</v>
      </c>
    </row>
    <row r="1378" spans="1:4" ht="17" hidden="1" customHeight="1" outlineLevel="1" thickBot="1">
      <c r="A1378" s="2">
        <f>+Get_Data!A1377</f>
        <v>41443</v>
      </c>
      <c r="B1378">
        <f>+ROUND(Get_Data!B1377,5)</f>
        <v>66.868840000000006</v>
      </c>
      <c r="C1378">
        <f>+ROUND(Get_Data!C1377,5)</f>
        <v>32.436590000000002</v>
      </c>
      <c r="D1378" s="4">
        <f t="shared" si="21"/>
        <v>2.0615249630124497</v>
      </c>
    </row>
    <row r="1379" spans="1:4" ht="17" hidden="1" customHeight="1" outlineLevel="1" thickBot="1">
      <c r="A1379" s="2">
        <f>+Get_Data!A1378</f>
        <v>41444</v>
      </c>
      <c r="B1379">
        <f>+ROUND(Get_Data!B1378,5)</f>
        <v>65.508300000000006</v>
      </c>
      <c r="C1379">
        <f>+ROUND(Get_Data!C1378,5)</f>
        <v>32.02449</v>
      </c>
      <c r="D1379" s="4">
        <f t="shared" si="21"/>
        <v>2.0455688755699155</v>
      </c>
    </row>
    <row r="1380" spans="1:4" ht="17" hidden="1" customHeight="1" outlineLevel="1" thickBot="1">
      <c r="A1380" s="2">
        <f>+Get_Data!A1379</f>
        <v>41445</v>
      </c>
      <c r="B1380">
        <f>+ROUND(Get_Data!B1379,5)</f>
        <v>63.904809999999998</v>
      </c>
      <c r="C1380">
        <f>+ROUND(Get_Data!C1379,5)</f>
        <v>31.010110000000001</v>
      </c>
      <c r="D1380" s="4">
        <f t="shared" si="21"/>
        <v>2.0607734058344196</v>
      </c>
    </row>
    <row r="1381" spans="1:4" ht="17" hidden="1" customHeight="1" outlineLevel="1" thickBot="1">
      <c r="A1381" s="2">
        <f>+Get_Data!A1380</f>
        <v>41446</v>
      </c>
      <c r="B1381">
        <f>+ROUND(Get_Data!B1380,5)</f>
        <v>64.89282</v>
      </c>
      <c r="C1381">
        <f>+ROUND(Get_Data!C1380,5)</f>
        <v>31.50938</v>
      </c>
      <c r="D1381" s="4">
        <f t="shared" si="21"/>
        <v>2.0594762575461658</v>
      </c>
    </row>
    <row r="1382" spans="1:4" ht="17" hidden="1" customHeight="1" outlineLevel="1" thickBot="1">
      <c r="A1382" s="2">
        <f>+Get_Data!A1381</f>
        <v>41449</v>
      </c>
      <c r="B1382">
        <f>+ROUND(Get_Data!B1381,5)</f>
        <v>64.89282</v>
      </c>
      <c r="C1382">
        <f>+ROUND(Get_Data!C1381,5)</f>
        <v>31.327100000000002</v>
      </c>
      <c r="D1382" s="4">
        <f t="shared" si="21"/>
        <v>2.071459535035161</v>
      </c>
    </row>
    <row r="1383" spans="1:4" ht="17" hidden="1" customHeight="1" outlineLevel="1" thickBot="1">
      <c r="A1383" s="2">
        <f>+Get_Data!A1382</f>
        <v>41450</v>
      </c>
      <c r="B1383">
        <f>+ROUND(Get_Data!B1382,5)</f>
        <v>64.819959999999995</v>
      </c>
      <c r="C1383">
        <f>+ROUND(Get_Data!C1382,5)</f>
        <v>31.477679999999999</v>
      </c>
      <c r="D1383" s="4">
        <f t="shared" si="21"/>
        <v>2.0592356234639908</v>
      </c>
    </row>
    <row r="1384" spans="1:4" ht="17" hidden="1" customHeight="1" outlineLevel="1" thickBot="1">
      <c r="A1384" s="2">
        <f>+Get_Data!A1383</f>
        <v>41451</v>
      </c>
      <c r="B1384">
        <f>+ROUND(Get_Data!B1383,5)</f>
        <v>65.840350000000001</v>
      </c>
      <c r="C1384">
        <f>+ROUND(Get_Data!C1383,5)</f>
        <v>31.961099999999998</v>
      </c>
      <c r="D1384" s="4">
        <f t="shared" si="21"/>
        <v>2.0600151434087062</v>
      </c>
    </row>
    <row r="1385" spans="1:4" ht="17" hidden="1" customHeight="1" outlineLevel="1" thickBot="1">
      <c r="A1385" s="2">
        <f>+Get_Data!A1384</f>
        <v>41452</v>
      </c>
      <c r="B1385">
        <f>+ROUND(Get_Data!B1384,5)</f>
        <v>66.196680000000001</v>
      </c>
      <c r="C1385">
        <f>+ROUND(Get_Data!C1384,5)</f>
        <v>31.905619999999999</v>
      </c>
      <c r="D1385" s="4">
        <f t="shared" si="21"/>
        <v>2.0747655115305705</v>
      </c>
    </row>
    <row r="1386" spans="1:4" ht="17" hidden="1" customHeight="1" outlineLevel="1" thickBot="1">
      <c r="A1386" s="2">
        <f>+Get_Data!A1385</f>
        <v>41453</v>
      </c>
      <c r="B1386">
        <f>+ROUND(Get_Data!B1385,5)</f>
        <v>66.237179999999995</v>
      </c>
      <c r="C1386">
        <f>+ROUND(Get_Data!C1385,5)</f>
        <v>31.786750000000001</v>
      </c>
      <c r="D1386" s="4">
        <f t="shared" si="21"/>
        <v>2.0837984380284236</v>
      </c>
    </row>
    <row r="1387" spans="1:4" ht="17" hidden="1" customHeight="1" outlineLevel="1" thickBot="1">
      <c r="A1387" s="2">
        <f>+Get_Data!A1386</f>
        <v>41456</v>
      </c>
      <c r="B1387">
        <f>+ROUND(Get_Data!B1386,5)</f>
        <v>66.439629999999994</v>
      </c>
      <c r="C1387">
        <f>+ROUND(Get_Data!C1386,5)</f>
        <v>32.064120000000003</v>
      </c>
      <c r="D1387" s="4">
        <f t="shared" si="21"/>
        <v>2.0720864941872721</v>
      </c>
    </row>
    <row r="1388" spans="1:4" ht="17" hidden="1" customHeight="1" outlineLevel="1" thickBot="1">
      <c r="A1388" s="2">
        <f>+Get_Data!A1387</f>
        <v>41457</v>
      </c>
      <c r="B1388">
        <f>+ROUND(Get_Data!B1387,5)</f>
        <v>66.148089999999996</v>
      </c>
      <c r="C1388">
        <f>+ROUND(Get_Data!C1387,5)</f>
        <v>31.992799999999999</v>
      </c>
      <c r="D1388" s="4">
        <f t="shared" si="21"/>
        <v>2.0675930209297091</v>
      </c>
    </row>
    <row r="1389" spans="1:4" ht="17" hidden="1" customHeight="1" outlineLevel="1" thickBot="1">
      <c r="A1389" s="2">
        <f>+Get_Data!A1388</f>
        <v>41458</v>
      </c>
      <c r="B1389">
        <f>+ROUND(Get_Data!B1388,5)</f>
        <v>65.378739999999993</v>
      </c>
      <c r="C1389">
        <f>+ROUND(Get_Data!C1388,5)</f>
        <v>32.087890000000002</v>
      </c>
      <c r="D1389" s="4">
        <f t="shared" si="21"/>
        <v>2.0374895326554658</v>
      </c>
    </row>
    <row r="1390" spans="1:4" ht="17" hidden="1" customHeight="1" outlineLevel="1" thickBot="1">
      <c r="A1390" s="2">
        <f>+Get_Data!A1389</f>
        <v>41460</v>
      </c>
      <c r="B1390">
        <f>+ROUND(Get_Data!B1389,5)</f>
        <v>65.435429999999997</v>
      </c>
      <c r="C1390">
        <f>+ROUND(Get_Data!C1389,5)</f>
        <v>32.111669999999997</v>
      </c>
      <c r="D1390" s="4">
        <f t="shared" si="21"/>
        <v>2.0377460904400175</v>
      </c>
    </row>
    <row r="1391" spans="1:4" ht="17" hidden="1" customHeight="1" outlineLevel="1" thickBot="1">
      <c r="A1391" s="2">
        <f>+Get_Data!A1390</f>
        <v>41463</v>
      </c>
      <c r="B1391">
        <f>+ROUND(Get_Data!B1390,5)</f>
        <v>66.229069999999993</v>
      </c>
      <c r="C1391">
        <f>+ROUND(Get_Data!C1390,5)</f>
        <v>32.127510000000001</v>
      </c>
      <c r="D1391" s="4">
        <f t="shared" si="21"/>
        <v>2.0614442264588817</v>
      </c>
    </row>
    <row r="1392" spans="1:4" ht="17" hidden="1" customHeight="1" outlineLevel="1" thickBot="1">
      <c r="A1392" s="2">
        <f>+Get_Data!A1391</f>
        <v>41464</v>
      </c>
      <c r="B1392">
        <f>+ROUND(Get_Data!B1391,5)</f>
        <v>67.030820000000006</v>
      </c>
      <c r="C1392">
        <f>+ROUND(Get_Data!C1391,5)</f>
        <v>32.357349999999997</v>
      </c>
      <c r="D1392" s="4">
        <f t="shared" si="21"/>
        <v>2.0715794093150399</v>
      </c>
    </row>
    <row r="1393" spans="1:4" ht="17" hidden="1" customHeight="1" outlineLevel="1" thickBot="1">
      <c r="A1393" s="2">
        <f>+Get_Data!A1392</f>
        <v>41465</v>
      </c>
      <c r="B1393">
        <f>+ROUND(Get_Data!B1392,5)</f>
        <v>67.20899</v>
      </c>
      <c r="C1393">
        <f>+ROUND(Get_Data!C1392,5)</f>
        <v>32.23847</v>
      </c>
      <c r="D1393" s="4">
        <f t="shared" si="21"/>
        <v>2.084745026671551</v>
      </c>
    </row>
    <row r="1394" spans="1:4" ht="17" hidden="1" customHeight="1" outlineLevel="1" thickBot="1">
      <c r="A1394" s="2">
        <f>+Get_Data!A1393</f>
        <v>41466</v>
      </c>
      <c r="B1394">
        <f>+ROUND(Get_Data!B1393,5)</f>
        <v>68.472350000000006</v>
      </c>
      <c r="C1394">
        <f>+ROUND(Get_Data!C1393,5)</f>
        <v>32.515839999999997</v>
      </c>
      <c r="D1394" s="4">
        <f t="shared" si="21"/>
        <v>2.1058151965319061</v>
      </c>
    </row>
    <row r="1395" spans="1:4" ht="17" hidden="1" customHeight="1" outlineLevel="1" thickBot="1">
      <c r="A1395" s="2">
        <f>+Get_Data!A1394</f>
        <v>41467</v>
      </c>
      <c r="B1395">
        <f>+ROUND(Get_Data!B1394,5)</f>
        <v>68.286079999999998</v>
      </c>
      <c r="C1395">
        <f>+ROUND(Get_Data!C1394,5)</f>
        <v>32.515839999999997</v>
      </c>
      <c r="D1395" s="4">
        <f t="shared" si="21"/>
        <v>2.1000866039444159</v>
      </c>
    </row>
    <row r="1396" spans="1:4" ht="17" hidden="1" customHeight="1" outlineLevel="1" thickBot="1">
      <c r="A1396" s="2">
        <f>+Get_Data!A1395</f>
        <v>41470</v>
      </c>
      <c r="B1396">
        <f>+ROUND(Get_Data!B1395,5)</f>
        <v>68.610020000000006</v>
      </c>
      <c r="C1396">
        <f>+ROUND(Get_Data!C1395,5)</f>
        <v>32.499980000000001</v>
      </c>
      <c r="D1396" s="4">
        <f t="shared" si="21"/>
        <v>2.1110788375869771</v>
      </c>
    </row>
    <row r="1397" spans="1:4" ht="17" hidden="1" customHeight="1" outlineLevel="1" thickBot="1">
      <c r="A1397" s="2">
        <f>+Get_Data!A1396</f>
        <v>41471</v>
      </c>
      <c r="B1397">
        <f>+ROUND(Get_Data!B1396,5)</f>
        <v>68.043130000000005</v>
      </c>
      <c r="C1397">
        <f>+ROUND(Get_Data!C1396,5)</f>
        <v>31.88185</v>
      </c>
      <c r="D1397" s="4">
        <f t="shared" si="21"/>
        <v>2.1342277816375148</v>
      </c>
    </row>
    <row r="1398" spans="1:4" ht="17" hidden="1" customHeight="1" outlineLevel="1" thickBot="1">
      <c r="A1398" s="2">
        <f>+Get_Data!A1397</f>
        <v>41472</v>
      </c>
      <c r="B1398">
        <f>+ROUND(Get_Data!B1397,5)</f>
        <v>69.031139999999994</v>
      </c>
      <c r="C1398">
        <f>+ROUND(Get_Data!C1397,5)</f>
        <v>32.365270000000002</v>
      </c>
      <c r="D1398" s="4">
        <f t="shared" si="21"/>
        <v>2.1328770005626398</v>
      </c>
    </row>
    <row r="1399" spans="1:4" ht="17" hidden="1" customHeight="1" outlineLevel="1" thickBot="1">
      <c r="A1399" s="2">
        <f>+Get_Data!A1398</f>
        <v>41473</v>
      </c>
      <c r="B1399">
        <f>+ROUND(Get_Data!B1398,5)</f>
        <v>70.294499999999999</v>
      </c>
      <c r="C1399">
        <f>+ROUND(Get_Data!C1398,5)</f>
        <v>32.34149</v>
      </c>
      <c r="D1399" s="4">
        <f t="shared" si="21"/>
        <v>2.1735083943256788</v>
      </c>
    </row>
    <row r="1400" spans="1:4" ht="17" hidden="1" customHeight="1" outlineLevel="1" thickBot="1">
      <c r="A1400" s="2">
        <f>+Get_Data!A1399</f>
        <v>41474</v>
      </c>
      <c r="B1400">
        <f>+ROUND(Get_Data!B1399,5)</f>
        <v>69.978660000000005</v>
      </c>
      <c r="C1400">
        <f>+ROUND(Get_Data!C1399,5)</f>
        <v>32.563389999999998</v>
      </c>
      <c r="D1400" s="4">
        <f t="shared" si="21"/>
        <v>2.1489980005153031</v>
      </c>
    </row>
    <row r="1401" spans="1:4" ht="17" hidden="1" customHeight="1" outlineLevel="1" thickBot="1">
      <c r="A1401" s="2">
        <f>+Get_Data!A1400</f>
        <v>41477</v>
      </c>
      <c r="B1401">
        <f>+ROUND(Get_Data!B1400,5)</f>
        <v>69.970569999999995</v>
      </c>
      <c r="C1401">
        <f>+ROUND(Get_Data!C1400,5)</f>
        <v>32.365270000000002</v>
      </c>
      <c r="D1401" s="4">
        <f t="shared" si="21"/>
        <v>2.1619028668693323</v>
      </c>
    </row>
    <row r="1402" spans="1:4" ht="17" hidden="1" customHeight="1" outlineLevel="1" thickBot="1">
      <c r="A1402" s="2">
        <f>+Get_Data!A1401</f>
        <v>41478</v>
      </c>
      <c r="B1402">
        <f>+ROUND(Get_Data!B1401,5)</f>
        <v>69.808580000000006</v>
      </c>
      <c r="C1402">
        <f>+ROUND(Get_Data!C1401,5)</f>
        <v>32.460369999999998</v>
      </c>
      <c r="D1402" s="4">
        <f t="shared" si="21"/>
        <v>2.1505786902613866</v>
      </c>
    </row>
    <row r="1403" spans="1:4" ht="17" hidden="1" customHeight="1" outlineLevel="1" thickBot="1">
      <c r="A1403" s="2">
        <f>+Get_Data!A1402</f>
        <v>41479</v>
      </c>
      <c r="B1403">
        <f>+ROUND(Get_Data!B1402,5)</f>
        <v>69.355059999999995</v>
      </c>
      <c r="C1403">
        <f>+ROUND(Get_Data!C1402,5)</f>
        <v>32.381120000000003</v>
      </c>
      <c r="D1403" s="4">
        <f t="shared" si="21"/>
        <v>2.141836354023579</v>
      </c>
    </row>
    <row r="1404" spans="1:4" ht="17" hidden="1" customHeight="1" outlineLevel="1" thickBot="1">
      <c r="A1404" s="2">
        <f>+Get_Data!A1403</f>
        <v>41480</v>
      </c>
      <c r="B1404">
        <f>+ROUND(Get_Data!B1403,5)</f>
        <v>69.282179999999997</v>
      </c>
      <c r="C1404">
        <f>+ROUND(Get_Data!C1403,5)</f>
        <v>32.365270000000002</v>
      </c>
      <c r="D1404" s="4">
        <f t="shared" si="21"/>
        <v>2.1406334629681751</v>
      </c>
    </row>
    <row r="1405" spans="1:4" ht="17" hidden="1" customHeight="1" outlineLevel="1" thickBot="1">
      <c r="A1405" s="2">
        <f>+Get_Data!A1404</f>
        <v>41481</v>
      </c>
      <c r="B1405">
        <f>+ROUND(Get_Data!B1404,5)</f>
        <v>69.087829999999997</v>
      </c>
      <c r="C1405">
        <f>+ROUND(Get_Data!C1404,5)</f>
        <v>32.206760000000003</v>
      </c>
      <c r="D1405" s="4">
        <f t="shared" si="21"/>
        <v>2.1451344376149599</v>
      </c>
    </row>
    <row r="1406" spans="1:4" ht="17" hidden="1" customHeight="1" outlineLevel="1" thickBot="1">
      <c r="A1406" s="2">
        <f>+Get_Data!A1405</f>
        <v>41484</v>
      </c>
      <c r="B1406">
        <f>+ROUND(Get_Data!B1405,5)</f>
        <v>69.039249999999996</v>
      </c>
      <c r="C1406">
        <f>+ROUND(Get_Data!C1405,5)</f>
        <v>31.921469999999999</v>
      </c>
      <c r="D1406" s="4">
        <f t="shared" si="21"/>
        <v>2.1627841700272574</v>
      </c>
    </row>
    <row r="1407" spans="1:4" ht="17" hidden="1" customHeight="1" outlineLevel="1" thickBot="1">
      <c r="A1407" s="2">
        <f>+Get_Data!A1406</f>
        <v>41485</v>
      </c>
      <c r="B1407">
        <f>+ROUND(Get_Data!B1406,5)</f>
        <v>68.92586</v>
      </c>
      <c r="C1407">
        <f>+ROUND(Get_Data!C1406,5)</f>
        <v>31.95316</v>
      </c>
      <c r="D1407" s="4">
        <f t="shared" si="21"/>
        <v>2.1570905663164455</v>
      </c>
    </row>
    <row r="1408" spans="1:4" ht="17" hidden="1" customHeight="1" outlineLevel="1" thickBot="1">
      <c r="A1408" s="2">
        <f>+Get_Data!A1407</f>
        <v>41486</v>
      </c>
      <c r="B1408">
        <f>+ROUND(Get_Data!B1407,5)</f>
        <v>67.654399999999995</v>
      </c>
      <c r="C1408">
        <f>+ROUND(Get_Data!C1407,5)</f>
        <v>31.762979999999999</v>
      </c>
      <c r="D1408" s="4">
        <f t="shared" si="21"/>
        <v>2.1299764694622483</v>
      </c>
    </row>
    <row r="1409" spans="1:4" ht="17" hidden="1" customHeight="1" outlineLevel="1" thickBot="1">
      <c r="A1409" s="2">
        <f>+Get_Data!A1408</f>
        <v>41487</v>
      </c>
      <c r="B1409">
        <f>+ROUND(Get_Data!B1408,5)</f>
        <v>68.188900000000004</v>
      </c>
      <c r="C1409">
        <f>+ROUND(Get_Data!C1408,5)</f>
        <v>32.151290000000003</v>
      </c>
      <c r="D1409" s="4">
        <f t="shared" si="21"/>
        <v>2.1208760208377329</v>
      </c>
    </row>
    <row r="1410" spans="1:4" ht="17" hidden="1" customHeight="1" outlineLevel="1" thickBot="1">
      <c r="A1410" s="2">
        <f>+Get_Data!A1409</f>
        <v>41488</v>
      </c>
      <c r="B1410">
        <f>+ROUND(Get_Data!B1409,5)</f>
        <v>68.261799999999994</v>
      </c>
      <c r="C1410">
        <f>+ROUND(Get_Data!C1409,5)</f>
        <v>31.873930000000001</v>
      </c>
      <c r="D1410" s="4">
        <f t="shared" si="21"/>
        <v>2.1416185578621771</v>
      </c>
    </row>
    <row r="1411" spans="1:4" ht="17" hidden="1" customHeight="1" outlineLevel="1" thickBot="1">
      <c r="A1411" s="2">
        <f>+Get_Data!A1410</f>
        <v>41491</v>
      </c>
      <c r="B1411">
        <f>+ROUND(Get_Data!B1410,5)</f>
        <v>68.415660000000003</v>
      </c>
      <c r="C1411">
        <f>+ROUND(Get_Data!C1410,5)</f>
        <v>31.929400000000001</v>
      </c>
      <c r="D1411" s="4">
        <f t="shared" si="21"/>
        <v>2.1427167438160439</v>
      </c>
    </row>
    <row r="1412" spans="1:4" ht="17" hidden="1" customHeight="1" outlineLevel="1" thickBot="1">
      <c r="A1412" s="2">
        <f>+Get_Data!A1411</f>
        <v>41492</v>
      </c>
      <c r="B1412">
        <f>+ROUND(Get_Data!B1411,5)</f>
        <v>68.877260000000007</v>
      </c>
      <c r="C1412">
        <f>+ROUND(Get_Data!C1411,5)</f>
        <v>31.992799999999999</v>
      </c>
      <c r="D1412" s="4">
        <f t="shared" ref="D1412:D1475" si="22">IFERROR(B1412/C1412,"")</f>
        <v>2.152898777224876</v>
      </c>
    </row>
    <row r="1413" spans="1:4" ht="17" hidden="1" customHeight="1" outlineLevel="1" thickBot="1">
      <c r="A1413" s="2">
        <f>+Get_Data!A1412</f>
        <v>41493</v>
      </c>
      <c r="B1413">
        <f>+ROUND(Get_Data!B1412,5)</f>
        <v>68.642399999999995</v>
      </c>
      <c r="C1413">
        <f>+ROUND(Get_Data!C1412,5)</f>
        <v>31.818449999999999</v>
      </c>
      <c r="D1413" s="4">
        <f t="shared" si="22"/>
        <v>2.1573143883501551</v>
      </c>
    </row>
    <row r="1414" spans="1:4" ht="17" hidden="1" customHeight="1" outlineLevel="1" thickBot="1">
      <c r="A1414" s="2">
        <f>+Get_Data!A1413</f>
        <v>41494</v>
      </c>
      <c r="B1414">
        <f>+ROUND(Get_Data!B1413,5)</f>
        <v>68.577619999999996</v>
      </c>
      <c r="C1414">
        <f>+ROUND(Get_Data!C1413,5)</f>
        <v>31.858070000000001</v>
      </c>
      <c r="D1414" s="4">
        <f t="shared" si="22"/>
        <v>2.1525980701279139</v>
      </c>
    </row>
    <row r="1415" spans="1:4" ht="17" hidden="1" customHeight="1" outlineLevel="1" thickBot="1">
      <c r="A1415" s="2">
        <f>+Get_Data!A1414</f>
        <v>41495</v>
      </c>
      <c r="B1415">
        <f>+ROUND(Get_Data!B1414,5)</f>
        <v>68.302260000000004</v>
      </c>
      <c r="C1415">
        <f>+ROUND(Get_Data!C1414,5)</f>
        <v>31.826360000000001</v>
      </c>
      <c r="D1415" s="4">
        <f t="shared" si="22"/>
        <v>2.1460908504774032</v>
      </c>
    </row>
    <row r="1416" spans="1:4" ht="17" hidden="1" customHeight="1" outlineLevel="1" thickBot="1">
      <c r="A1416" s="2">
        <f>+Get_Data!A1415</f>
        <v>41498</v>
      </c>
      <c r="B1416">
        <f>+ROUND(Get_Data!B1415,5)</f>
        <v>67.873050000000006</v>
      </c>
      <c r="C1416">
        <f>+ROUND(Get_Data!C1415,5)</f>
        <v>31.56485</v>
      </c>
      <c r="D1416" s="4">
        <f t="shared" si="22"/>
        <v>2.1502731677799831</v>
      </c>
    </row>
    <row r="1417" spans="1:4" ht="17" hidden="1" customHeight="1" outlineLevel="1" thickBot="1">
      <c r="A1417" s="2">
        <f>+Get_Data!A1416</f>
        <v>41499</v>
      </c>
      <c r="B1417">
        <f>+ROUND(Get_Data!B1416,5)</f>
        <v>67.532929999999993</v>
      </c>
      <c r="C1417">
        <f>+ROUND(Get_Data!C1416,5)</f>
        <v>31.42221</v>
      </c>
      <c r="D1417" s="4">
        <f t="shared" si="22"/>
        <v>2.149210065109997</v>
      </c>
    </row>
    <row r="1418" spans="1:4" ht="17" hidden="1" customHeight="1" outlineLevel="1" thickBot="1">
      <c r="A1418" s="2">
        <f>+Get_Data!A1417</f>
        <v>41500</v>
      </c>
      <c r="B1418">
        <f>+ROUND(Get_Data!B1417,5)</f>
        <v>67.014619999999994</v>
      </c>
      <c r="C1418">
        <f>+ROUND(Get_Data!C1417,5)</f>
        <v>31.327100000000002</v>
      </c>
      <c r="D1418" s="4">
        <f t="shared" si="22"/>
        <v>2.1391900303571028</v>
      </c>
    </row>
    <row r="1419" spans="1:4" ht="17" hidden="1" customHeight="1" outlineLevel="1" thickBot="1">
      <c r="A1419" s="2">
        <f>+Get_Data!A1418</f>
        <v>41501</v>
      </c>
      <c r="B1419">
        <f>+ROUND(Get_Data!B1418,5)</f>
        <v>65.524510000000006</v>
      </c>
      <c r="C1419">
        <f>+ROUND(Get_Data!C1418,5)</f>
        <v>30.97841</v>
      </c>
      <c r="D1419" s="4">
        <f t="shared" si="22"/>
        <v>2.1151669824242112</v>
      </c>
    </row>
    <row r="1420" spans="1:4" ht="17" hidden="1" customHeight="1" outlineLevel="1" thickBot="1">
      <c r="A1420" s="2">
        <f>+Get_Data!A1419</f>
        <v>41502</v>
      </c>
      <c r="B1420">
        <f>+ROUND(Get_Data!B1419,5)</f>
        <v>64.933329999999998</v>
      </c>
      <c r="C1420">
        <f>+ROUND(Get_Data!C1419,5)</f>
        <v>30.946709999999999</v>
      </c>
      <c r="D1420" s="4">
        <f t="shared" si="22"/>
        <v>2.0982304742571989</v>
      </c>
    </row>
    <row r="1421" spans="1:4" ht="17" hidden="1" customHeight="1" outlineLevel="1" thickBot="1">
      <c r="A1421" s="2">
        <f>+Get_Data!A1420</f>
        <v>41505</v>
      </c>
      <c r="B1421">
        <f>+ROUND(Get_Data!B1420,5)</f>
        <v>65.500219999999999</v>
      </c>
      <c r="C1421">
        <f>+ROUND(Get_Data!C1420,5)</f>
        <v>30.73274</v>
      </c>
      <c r="D1421" s="4">
        <f t="shared" si="22"/>
        <v>2.1312847471458776</v>
      </c>
    </row>
    <row r="1422" spans="1:4" ht="17" hidden="1" customHeight="1" outlineLevel="1" thickBot="1">
      <c r="A1422" s="2">
        <f>+Get_Data!A1421</f>
        <v>41506</v>
      </c>
      <c r="B1422">
        <f>+ROUND(Get_Data!B1421,5)</f>
        <v>65.022400000000005</v>
      </c>
      <c r="C1422">
        <f>+ROUND(Get_Data!C1421,5)</f>
        <v>30.629709999999999</v>
      </c>
      <c r="D1422" s="4">
        <f t="shared" si="22"/>
        <v>2.1228539218947882</v>
      </c>
    </row>
    <row r="1423" spans="1:4" ht="17" hidden="1" customHeight="1" outlineLevel="1" thickBot="1">
      <c r="A1423" s="2">
        <f>+Get_Data!A1422</f>
        <v>41507</v>
      </c>
      <c r="B1423">
        <f>+ROUND(Get_Data!B1422,5)</f>
        <v>64.042479999999998</v>
      </c>
      <c r="C1423">
        <f>+ROUND(Get_Data!C1422,5)</f>
        <v>30.336490000000001</v>
      </c>
      <c r="D1423" s="4">
        <f t="shared" si="22"/>
        <v>2.1110708588897396</v>
      </c>
    </row>
    <row r="1424" spans="1:4" ht="17" hidden="1" customHeight="1" outlineLevel="1" thickBot="1">
      <c r="A1424" s="2">
        <f>+Get_Data!A1423</f>
        <v>41508</v>
      </c>
      <c r="B1424">
        <f>+ROUND(Get_Data!B1423,5)</f>
        <v>64.180160000000001</v>
      </c>
      <c r="C1424">
        <f>+ROUND(Get_Data!C1423,5)</f>
        <v>30.36027</v>
      </c>
      <c r="D1424" s="4">
        <f t="shared" si="22"/>
        <v>2.1139522145224663</v>
      </c>
    </row>
    <row r="1425" spans="1:4" ht="17" hidden="1" customHeight="1" outlineLevel="1" thickBot="1">
      <c r="A1425" s="2">
        <f>+Get_Data!A1424</f>
        <v>41509</v>
      </c>
      <c r="B1425">
        <f>+ROUND(Get_Data!B1424,5)</f>
        <v>64.666070000000005</v>
      </c>
      <c r="C1425">
        <f>+ROUND(Get_Data!C1424,5)</f>
        <v>30.526700000000002</v>
      </c>
      <c r="D1425" s="4">
        <f t="shared" si="22"/>
        <v>2.1183445966973173</v>
      </c>
    </row>
    <row r="1426" spans="1:4" ht="17" hidden="1" customHeight="1" outlineLevel="1" thickBot="1">
      <c r="A1426" s="2">
        <f>+Get_Data!A1425</f>
        <v>41512</v>
      </c>
      <c r="B1426">
        <f>+ROUND(Get_Data!B1425,5)</f>
        <v>64.536500000000004</v>
      </c>
      <c r="C1426">
        <f>+ROUND(Get_Data!C1425,5)</f>
        <v>30.209689999999998</v>
      </c>
      <c r="D1426" s="4">
        <f t="shared" si="22"/>
        <v>2.1362847483704734</v>
      </c>
    </row>
    <row r="1427" spans="1:4" ht="17" hidden="1" customHeight="1" outlineLevel="1" thickBot="1">
      <c r="A1427" s="2">
        <f>+Get_Data!A1426</f>
        <v>41513</v>
      </c>
      <c r="B1427">
        <f>+ROUND(Get_Data!B1426,5)</f>
        <v>64.026290000000003</v>
      </c>
      <c r="C1427">
        <f>+ROUND(Get_Data!C1426,5)</f>
        <v>30.233470000000001</v>
      </c>
      <c r="D1427" s="4">
        <f t="shared" si="22"/>
        <v>2.1177287952722597</v>
      </c>
    </row>
    <row r="1428" spans="1:4" ht="17" hidden="1" customHeight="1" outlineLevel="1" thickBot="1">
      <c r="A1428" s="2">
        <f>+Get_Data!A1427</f>
        <v>41514</v>
      </c>
      <c r="B1428">
        <f>+ROUND(Get_Data!B1427,5)</f>
        <v>64.277320000000003</v>
      </c>
      <c r="C1428">
        <f>+ROUND(Get_Data!C1427,5)</f>
        <v>30.391960000000001</v>
      </c>
      <c r="D1428" s="4">
        <f t="shared" si="22"/>
        <v>2.1149448735784069</v>
      </c>
    </row>
    <row r="1429" spans="1:4" ht="17" hidden="1" customHeight="1" outlineLevel="1" thickBot="1">
      <c r="A1429" s="2">
        <f>+Get_Data!A1428</f>
        <v>41515</v>
      </c>
      <c r="B1429">
        <f>+ROUND(Get_Data!B1428,5)</f>
        <v>64.244960000000006</v>
      </c>
      <c r="C1429">
        <f>+ROUND(Get_Data!C1428,5)</f>
        <v>30.193840000000002</v>
      </c>
      <c r="D1429" s="4">
        <f t="shared" si="22"/>
        <v>2.1277505610415899</v>
      </c>
    </row>
    <row r="1430" spans="1:4" ht="17" hidden="1" customHeight="1" outlineLevel="1" thickBot="1">
      <c r="A1430" s="2">
        <f>+Get_Data!A1429</f>
        <v>41516</v>
      </c>
      <c r="B1430">
        <f>+ROUND(Get_Data!B1429,5)</f>
        <v>64.568899999999999</v>
      </c>
      <c r="C1430">
        <f>+ROUND(Get_Data!C1429,5)</f>
        <v>30.257239999999999</v>
      </c>
      <c r="D1430" s="4">
        <f t="shared" si="22"/>
        <v>2.1339983422149542</v>
      </c>
    </row>
    <row r="1431" spans="1:4" ht="17" hidden="1" customHeight="1" outlineLevel="1" thickBot="1">
      <c r="A1431" s="2">
        <f>+Get_Data!A1430</f>
        <v>41520</v>
      </c>
      <c r="B1431">
        <f>+ROUND(Get_Data!B1430,5)</f>
        <v>64.949510000000004</v>
      </c>
      <c r="C1431">
        <f>+ROUND(Get_Data!C1430,5)</f>
        <v>30.035350000000001</v>
      </c>
      <c r="D1431" s="4">
        <f t="shared" si="22"/>
        <v>2.1624355967218629</v>
      </c>
    </row>
    <row r="1432" spans="1:4" ht="17" hidden="1" customHeight="1" outlineLevel="1" thickBot="1">
      <c r="A1432" s="2">
        <f>+Get_Data!A1431</f>
        <v>41521</v>
      </c>
      <c r="B1432">
        <f>+ROUND(Get_Data!B1431,5)</f>
        <v>64.866339999999994</v>
      </c>
      <c r="C1432">
        <f>+ROUND(Get_Data!C1431,5)</f>
        <v>30.542539999999999</v>
      </c>
      <c r="D1432" s="4">
        <f t="shared" si="22"/>
        <v>2.1238030628755826</v>
      </c>
    </row>
    <row r="1433" spans="1:4" ht="17" hidden="1" customHeight="1" outlineLevel="1" thickBot="1">
      <c r="A1433" s="2">
        <f>+Get_Data!A1432</f>
        <v>41522</v>
      </c>
      <c r="B1433">
        <f>+ROUND(Get_Data!B1432,5)</f>
        <v>64.491150000000005</v>
      </c>
      <c r="C1433">
        <f>+ROUND(Get_Data!C1432,5)</f>
        <v>30.304790000000001</v>
      </c>
      <c r="D1433" s="4">
        <f t="shared" si="22"/>
        <v>2.1280843721405098</v>
      </c>
    </row>
    <row r="1434" spans="1:4" ht="17" hidden="1" customHeight="1" outlineLevel="1" thickBot="1">
      <c r="A1434" s="2">
        <f>+Get_Data!A1433</f>
        <v>41523</v>
      </c>
      <c r="B1434">
        <f>+ROUND(Get_Data!B1433,5)</f>
        <v>64.646109999999993</v>
      </c>
      <c r="C1434">
        <f>+ROUND(Get_Data!C1433,5)</f>
        <v>30.391960000000001</v>
      </c>
      <c r="D1434" s="4">
        <f t="shared" si="22"/>
        <v>2.1270793328235489</v>
      </c>
    </row>
    <row r="1435" spans="1:4" ht="17" hidden="1" customHeight="1" outlineLevel="1" thickBot="1">
      <c r="A1435" s="2">
        <f>+Get_Data!A1434</f>
        <v>41526</v>
      </c>
      <c r="B1435">
        <f>+ROUND(Get_Data!B1434,5)</f>
        <v>64.744</v>
      </c>
      <c r="C1435">
        <f>+ROUND(Get_Data!C1434,5)</f>
        <v>30.526700000000002</v>
      </c>
      <c r="D1435" s="4">
        <f t="shared" si="22"/>
        <v>2.1208974438769994</v>
      </c>
    </row>
    <row r="1436" spans="1:4" ht="17" hidden="1" customHeight="1" outlineLevel="1" thickBot="1">
      <c r="A1436" s="2">
        <f>+Get_Data!A1435</f>
        <v>41527</v>
      </c>
      <c r="B1436">
        <f>+ROUND(Get_Data!B1435,5)</f>
        <v>64.784769999999995</v>
      </c>
      <c r="C1436">
        <f>+ROUND(Get_Data!C1435,5)</f>
        <v>30.613859999999999</v>
      </c>
      <c r="D1436" s="4">
        <f t="shared" si="22"/>
        <v>2.1161908364381361</v>
      </c>
    </row>
    <row r="1437" spans="1:4" ht="17" hidden="1" customHeight="1" outlineLevel="1" thickBot="1">
      <c r="A1437" s="2">
        <f>+Get_Data!A1436</f>
        <v>41528</v>
      </c>
      <c r="B1437">
        <f>+ROUND(Get_Data!B1436,5)</f>
        <v>65.127319999999997</v>
      </c>
      <c r="C1437">
        <f>+ROUND(Get_Data!C1436,5)</f>
        <v>30.73274</v>
      </c>
      <c r="D1437" s="4">
        <f t="shared" si="22"/>
        <v>2.1191511072556497</v>
      </c>
    </row>
    <row r="1438" spans="1:4" ht="17" hidden="1" customHeight="1" outlineLevel="1" thickBot="1">
      <c r="A1438" s="2">
        <f>+Get_Data!A1437</f>
        <v>41529</v>
      </c>
      <c r="B1438">
        <f>+ROUND(Get_Data!B1437,5)</f>
        <v>65.143640000000005</v>
      </c>
      <c r="C1438">
        <f>+ROUND(Get_Data!C1437,5)</f>
        <v>30.684830000000002</v>
      </c>
      <c r="D1438" s="4">
        <f t="shared" si="22"/>
        <v>2.1229917193610004</v>
      </c>
    </row>
    <row r="1439" spans="1:4" ht="17" hidden="1" customHeight="1" outlineLevel="1" thickBot="1">
      <c r="A1439" s="2">
        <f>+Get_Data!A1438</f>
        <v>41530</v>
      </c>
      <c r="B1439">
        <f>+ROUND(Get_Data!B1438,5)</f>
        <v>65.510670000000005</v>
      </c>
      <c r="C1439">
        <f>+ROUND(Get_Data!C1438,5)</f>
        <v>30.884409999999999</v>
      </c>
      <c r="D1439" s="4">
        <f t="shared" si="22"/>
        <v>2.1211565964834689</v>
      </c>
    </row>
    <row r="1440" spans="1:4" ht="17" hidden="1" customHeight="1" outlineLevel="1" thickBot="1">
      <c r="A1440" s="2">
        <f>+Get_Data!A1439</f>
        <v>41533</v>
      </c>
      <c r="B1440">
        <f>+ROUND(Get_Data!B1439,5)</f>
        <v>66.081599999999995</v>
      </c>
      <c r="C1440">
        <f>+ROUND(Get_Data!C1439,5)</f>
        <v>31.020099999999999</v>
      </c>
      <c r="D1440" s="4">
        <f t="shared" si="22"/>
        <v>2.1302832679456221</v>
      </c>
    </row>
    <row r="1441" spans="1:4" ht="17" hidden="1" customHeight="1" outlineLevel="1" thickBot="1">
      <c r="A1441" s="2">
        <f>+Get_Data!A1440</f>
        <v>41534</v>
      </c>
      <c r="B1441">
        <f>+ROUND(Get_Data!B1440,5)</f>
        <v>66.603610000000003</v>
      </c>
      <c r="C1441">
        <f>+ROUND(Get_Data!C1440,5)</f>
        <v>30.96424</v>
      </c>
      <c r="D1441" s="4">
        <f t="shared" si="22"/>
        <v>2.150984813449321</v>
      </c>
    </row>
    <row r="1442" spans="1:4" ht="17" hidden="1" customHeight="1" outlineLevel="1" thickBot="1">
      <c r="A1442" s="2">
        <f>+Get_Data!A1441</f>
        <v>41535</v>
      </c>
      <c r="B1442">
        <f>+ROUND(Get_Data!B1441,5)</f>
        <v>67.598659999999995</v>
      </c>
      <c r="C1442">
        <f>+ROUND(Get_Data!C1441,5)</f>
        <v>31.60284</v>
      </c>
      <c r="D1442" s="4">
        <f t="shared" si="22"/>
        <v>2.1390058614985232</v>
      </c>
    </row>
    <row r="1443" spans="1:4" ht="17" hidden="1" customHeight="1" outlineLevel="1" thickBot="1">
      <c r="A1443" s="2">
        <f>+Get_Data!A1442</f>
        <v>41536</v>
      </c>
      <c r="B1443">
        <f>+ROUND(Get_Data!B1442,5)</f>
        <v>66.734089999999995</v>
      </c>
      <c r="C1443">
        <f>+ROUND(Get_Data!C1442,5)</f>
        <v>31.37932</v>
      </c>
      <c r="D1443" s="4">
        <f t="shared" si="22"/>
        <v>2.1266901258535875</v>
      </c>
    </row>
    <row r="1444" spans="1:4" ht="17" hidden="1" customHeight="1" outlineLevel="1" thickBot="1">
      <c r="A1444" s="2">
        <f>+Get_Data!A1443</f>
        <v>41537</v>
      </c>
      <c r="B1444">
        <f>+ROUND(Get_Data!B1443,5)</f>
        <v>66.668850000000006</v>
      </c>
      <c r="C1444">
        <f>+ROUND(Get_Data!C1443,5)</f>
        <v>31.451170000000001</v>
      </c>
      <c r="D1444" s="4">
        <f t="shared" si="22"/>
        <v>2.1197573889937957</v>
      </c>
    </row>
    <row r="1445" spans="1:4" ht="17" hidden="1" customHeight="1" outlineLevel="1" thickBot="1">
      <c r="A1445" s="2">
        <f>+Get_Data!A1444</f>
        <v>41540</v>
      </c>
      <c r="B1445">
        <f>+ROUND(Get_Data!B1444,5)</f>
        <v>66.081599999999995</v>
      </c>
      <c r="C1445">
        <f>+ROUND(Get_Data!C1444,5)</f>
        <v>30.836500000000001</v>
      </c>
      <c r="D1445" s="4">
        <f t="shared" si="22"/>
        <v>2.1429669385306371</v>
      </c>
    </row>
    <row r="1446" spans="1:4" ht="17" hidden="1" customHeight="1" outlineLevel="1" thickBot="1">
      <c r="A1446" s="2">
        <f>+Get_Data!A1445</f>
        <v>41541</v>
      </c>
      <c r="B1446">
        <f>+ROUND(Get_Data!B1445,5)</f>
        <v>65.690100000000001</v>
      </c>
      <c r="C1446">
        <f>+ROUND(Get_Data!C1445,5)</f>
        <v>30.756679999999999</v>
      </c>
      <c r="D1446" s="4">
        <f t="shared" si="22"/>
        <v>2.1357994425926337</v>
      </c>
    </row>
    <row r="1447" spans="1:4" ht="17" hidden="1" customHeight="1" outlineLevel="1" thickBot="1">
      <c r="A1447" s="2">
        <f>+Get_Data!A1446</f>
        <v>41542</v>
      </c>
      <c r="B1447">
        <f>+ROUND(Get_Data!B1446,5)</f>
        <v>65.420940000000002</v>
      </c>
      <c r="C1447">
        <f>+ROUND(Get_Data!C1446,5)</f>
        <v>30.59703</v>
      </c>
      <c r="D1447" s="4">
        <f t="shared" si="22"/>
        <v>2.1381467416935567</v>
      </c>
    </row>
    <row r="1448" spans="1:4" ht="17" hidden="1" customHeight="1" outlineLevel="1" thickBot="1">
      <c r="A1448" s="2">
        <f>+Get_Data!A1447</f>
        <v>41543</v>
      </c>
      <c r="B1448">
        <f>+ROUND(Get_Data!B1447,5)</f>
        <v>65.690100000000001</v>
      </c>
      <c r="C1448">
        <f>+ROUND(Get_Data!C1447,5)</f>
        <v>30.924320000000002</v>
      </c>
      <c r="D1448" s="4">
        <f t="shared" si="22"/>
        <v>2.1242213248343051</v>
      </c>
    </row>
    <row r="1449" spans="1:4" ht="17" hidden="1" customHeight="1" outlineLevel="1" thickBot="1">
      <c r="A1449" s="2">
        <f>+Get_Data!A1448</f>
        <v>41544</v>
      </c>
      <c r="B1449">
        <f>+ROUND(Get_Data!B1448,5)</f>
        <v>65.412800000000004</v>
      </c>
      <c r="C1449">
        <f>+ROUND(Get_Data!C1448,5)</f>
        <v>30.652920000000002</v>
      </c>
      <c r="D1449" s="4">
        <f t="shared" si="22"/>
        <v>2.1339826678828642</v>
      </c>
    </row>
    <row r="1450" spans="1:4" ht="17" hidden="1" customHeight="1" outlineLevel="1" thickBot="1">
      <c r="A1450" s="2">
        <f>+Get_Data!A1449</f>
        <v>41547</v>
      </c>
      <c r="B1450">
        <f>+ROUND(Get_Data!B1449,5)</f>
        <v>64.841849999999994</v>
      </c>
      <c r="C1450">
        <f>+ROUND(Get_Data!C1449,5)</f>
        <v>30.237819999999999</v>
      </c>
      <c r="D1450" s="4">
        <f t="shared" si="22"/>
        <v>2.1443956607982981</v>
      </c>
    </row>
    <row r="1451" spans="1:4" ht="17" hidden="1" customHeight="1" outlineLevel="1" thickBot="1">
      <c r="A1451" s="2">
        <f>+Get_Data!A1450</f>
        <v>41548</v>
      </c>
      <c r="B1451">
        <f>+ROUND(Get_Data!B1450,5)</f>
        <v>65.10284</v>
      </c>
      <c r="C1451">
        <f>+ROUND(Get_Data!C1450,5)</f>
        <v>30.293700000000001</v>
      </c>
      <c r="D1451" s="4">
        <f t="shared" si="22"/>
        <v>2.1490554141620204</v>
      </c>
    </row>
    <row r="1452" spans="1:4" ht="17" hidden="1" customHeight="1" outlineLevel="1" thickBot="1">
      <c r="A1452" s="2">
        <f>+Get_Data!A1451</f>
        <v>41549</v>
      </c>
      <c r="B1452">
        <f>+ROUND(Get_Data!B1451,5)</f>
        <v>64.890799999999999</v>
      </c>
      <c r="C1452">
        <f>+ROUND(Get_Data!C1451,5)</f>
        <v>29.878599999999999</v>
      </c>
      <c r="D1452" s="4">
        <f t="shared" si="22"/>
        <v>2.1718152791630132</v>
      </c>
    </row>
    <row r="1453" spans="1:4" ht="17" hidden="1" customHeight="1" outlineLevel="1" thickBot="1">
      <c r="A1453" s="2">
        <f>+Get_Data!A1452</f>
        <v>41550</v>
      </c>
      <c r="B1453">
        <f>+ROUND(Get_Data!B1452,5)</f>
        <v>64.792929999999998</v>
      </c>
      <c r="C1453">
        <f>+ROUND(Get_Data!C1452,5)</f>
        <v>29.663070000000001</v>
      </c>
      <c r="D1453" s="4">
        <f t="shared" si="22"/>
        <v>2.1842961635461196</v>
      </c>
    </row>
    <row r="1454" spans="1:4" ht="17" hidden="1" customHeight="1" outlineLevel="1" thickBot="1">
      <c r="A1454" s="2">
        <f>+Get_Data!A1453</f>
        <v>41551</v>
      </c>
      <c r="B1454">
        <f>+ROUND(Get_Data!B1453,5)</f>
        <v>64.939710000000005</v>
      </c>
      <c r="C1454">
        <f>+ROUND(Get_Data!C1453,5)</f>
        <v>29.69501</v>
      </c>
      <c r="D1454" s="4">
        <f t="shared" si="22"/>
        <v>2.1868896491363365</v>
      </c>
    </row>
    <row r="1455" spans="1:4" ht="17" hidden="1" customHeight="1" outlineLevel="1" thickBot="1">
      <c r="A1455" s="2">
        <f>+Get_Data!A1454</f>
        <v>41554</v>
      </c>
      <c r="B1455">
        <f>+ROUND(Get_Data!B1454,5)</f>
        <v>64.482990000000001</v>
      </c>
      <c r="C1455">
        <f>+ROUND(Get_Data!C1454,5)</f>
        <v>29.57527</v>
      </c>
      <c r="D1455" s="4">
        <f t="shared" si="22"/>
        <v>2.1803009744289739</v>
      </c>
    </row>
    <row r="1456" spans="1:4" ht="17" hidden="1" customHeight="1" outlineLevel="1" thickBot="1">
      <c r="A1456" s="2">
        <f>+Get_Data!A1455</f>
        <v>41555</v>
      </c>
      <c r="B1456">
        <f>+ROUND(Get_Data!B1455,5)</f>
        <v>64.376940000000005</v>
      </c>
      <c r="C1456">
        <f>+ROUND(Get_Data!C1455,5)</f>
        <v>29.758870000000002</v>
      </c>
      <c r="D1456" s="4">
        <f t="shared" si="22"/>
        <v>2.1632857699233874</v>
      </c>
    </row>
    <row r="1457" spans="1:4" ht="17" hidden="1" customHeight="1" outlineLevel="1" thickBot="1">
      <c r="A1457" s="2">
        <f>+Get_Data!A1456</f>
        <v>41556</v>
      </c>
      <c r="B1457">
        <f>+ROUND(Get_Data!B1456,5)</f>
        <v>64.841849999999994</v>
      </c>
      <c r="C1457">
        <f>+ROUND(Get_Data!C1456,5)</f>
        <v>29.599209999999999</v>
      </c>
      <c r="D1457" s="4">
        <f t="shared" si="22"/>
        <v>2.1906615075199642</v>
      </c>
    </row>
    <row r="1458" spans="1:4" ht="17" hidden="1" customHeight="1" outlineLevel="1" thickBot="1">
      <c r="A1458" s="2">
        <f>+Get_Data!A1457</f>
        <v>41557</v>
      </c>
      <c r="B1458">
        <f>+ROUND(Get_Data!B1457,5)</f>
        <v>65.812439999999995</v>
      </c>
      <c r="C1458">
        <f>+ROUND(Get_Data!C1457,5)</f>
        <v>30.158000000000001</v>
      </c>
      <c r="D1458" s="4">
        <f t="shared" si="22"/>
        <v>2.1822547914317925</v>
      </c>
    </row>
    <row r="1459" spans="1:4" ht="17" hidden="1" customHeight="1" outlineLevel="1" thickBot="1">
      <c r="A1459" s="2">
        <f>+Get_Data!A1458</f>
        <v>41558</v>
      </c>
      <c r="B1459">
        <f>+ROUND(Get_Data!B1458,5)</f>
        <v>65.926630000000003</v>
      </c>
      <c r="C1459">
        <f>+ROUND(Get_Data!C1458,5)</f>
        <v>30.150010000000002</v>
      </c>
      <c r="D1459" s="4">
        <f t="shared" si="22"/>
        <v>2.1866205019500824</v>
      </c>
    </row>
    <row r="1460" spans="1:4" ht="17" hidden="1" customHeight="1" outlineLevel="1" thickBot="1">
      <c r="A1460" s="2">
        <f>+Get_Data!A1459</f>
        <v>41561</v>
      </c>
      <c r="B1460">
        <f>+ROUND(Get_Data!B1459,5)</f>
        <v>66.138689999999997</v>
      </c>
      <c r="C1460">
        <f>+ROUND(Get_Data!C1459,5)</f>
        <v>30.261769999999999</v>
      </c>
      <c r="D1460" s="4">
        <f t="shared" si="22"/>
        <v>2.1855525965599503</v>
      </c>
    </row>
    <row r="1461" spans="1:4" ht="17" hidden="1" customHeight="1" outlineLevel="1" thickBot="1">
      <c r="A1461" s="2">
        <f>+Get_Data!A1460</f>
        <v>41562</v>
      </c>
      <c r="B1461">
        <f>+ROUND(Get_Data!B1460,5)</f>
        <v>65.739050000000006</v>
      </c>
      <c r="C1461">
        <f>+ROUND(Get_Data!C1460,5)</f>
        <v>30.062200000000001</v>
      </c>
      <c r="D1461" s="4">
        <f t="shared" si="22"/>
        <v>2.1867677681606805</v>
      </c>
    </row>
    <row r="1462" spans="1:4" ht="17" hidden="1" customHeight="1" outlineLevel="1" thickBot="1">
      <c r="A1462" s="2">
        <f>+Get_Data!A1461</f>
        <v>41563</v>
      </c>
      <c r="B1462">
        <f>+ROUND(Get_Data!B1461,5)</f>
        <v>67.101110000000006</v>
      </c>
      <c r="C1462">
        <f>+ROUND(Get_Data!C1461,5)</f>
        <v>30.33361</v>
      </c>
      <c r="D1462" s="4">
        <f t="shared" si="22"/>
        <v>2.2121043291583167</v>
      </c>
    </row>
    <row r="1463" spans="1:4" ht="17" hidden="1" customHeight="1" outlineLevel="1" thickBot="1">
      <c r="A1463" s="2">
        <f>+Get_Data!A1462</f>
        <v>41564</v>
      </c>
      <c r="B1463">
        <f>+ROUND(Get_Data!B1462,5)</f>
        <v>67.353960000000001</v>
      </c>
      <c r="C1463">
        <f>+ROUND(Get_Data!C1462,5)</f>
        <v>30.772649999999999</v>
      </c>
      <c r="D1463" s="4">
        <f t="shared" si="22"/>
        <v>2.1887604739923279</v>
      </c>
    </row>
    <row r="1464" spans="1:4" ht="17" hidden="1" customHeight="1" outlineLevel="1" thickBot="1">
      <c r="A1464" s="2">
        <f>+Get_Data!A1463</f>
        <v>41565</v>
      </c>
      <c r="B1464">
        <f>+ROUND(Get_Data!B1463,5)</f>
        <v>67.704689999999999</v>
      </c>
      <c r="C1464">
        <f>+ROUND(Get_Data!C1463,5)</f>
        <v>30.956240000000001</v>
      </c>
      <c r="D1464" s="4">
        <f t="shared" si="22"/>
        <v>2.187109610211059</v>
      </c>
    </row>
    <row r="1465" spans="1:4" ht="17" hidden="1" customHeight="1" outlineLevel="1" thickBot="1">
      <c r="A1465" s="2">
        <f>+Get_Data!A1464</f>
        <v>41568</v>
      </c>
      <c r="B1465">
        <f>+ROUND(Get_Data!B1464,5)</f>
        <v>67.182689999999994</v>
      </c>
      <c r="C1465">
        <f>+ROUND(Get_Data!C1464,5)</f>
        <v>30.98817</v>
      </c>
      <c r="D1465" s="4">
        <f t="shared" si="22"/>
        <v>2.1680108893167938</v>
      </c>
    </row>
    <row r="1466" spans="1:4" ht="17" hidden="1" customHeight="1" outlineLevel="1" thickBot="1">
      <c r="A1466" s="2">
        <f>+Get_Data!A1465</f>
        <v>41569</v>
      </c>
      <c r="B1466">
        <f>+ROUND(Get_Data!B1465,5)</f>
        <v>68.055390000000003</v>
      </c>
      <c r="C1466">
        <f>+ROUND(Get_Data!C1465,5)</f>
        <v>31.203700000000001</v>
      </c>
      <c r="D1466" s="4">
        <f t="shared" si="22"/>
        <v>2.1810038553120301</v>
      </c>
    </row>
    <row r="1467" spans="1:4" ht="17" hidden="1" customHeight="1" outlineLevel="1" thickBot="1">
      <c r="A1467" s="2">
        <f>+Get_Data!A1466</f>
        <v>41570</v>
      </c>
      <c r="B1467">
        <f>+ROUND(Get_Data!B1466,5)</f>
        <v>67.965689999999995</v>
      </c>
      <c r="C1467">
        <f>+ROUND(Get_Data!C1466,5)</f>
        <v>31.203700000000001</v>
      </c>
      <c r="D1467" s="4">
        <f t="shared" si="22"/>
        <v>2.1781291962171152</v>
      </c>
    </row>
    <row r="1468" spans="1:4" ht="17" hidden="1" customHeight="1" outlineLevel="1" thickBot="1">
      <c r="A1468" s="2">
        <f>+Get_Data!A1467</f>
        <v>41571</v>
      </c>
      <c r="B1468">
        <f>+ROUND(Get_Data!B1467,5)</f>
        <v>67.321340000000006</v>
      </c>
      <c r="C1468">
        <f>+ROUND(Get_Data!C1467,5)</f>
        <v>30.97221</v>
      </c>
      <c r="D1468" s="4">
        <f t="shared" si="22"/>
        <v>2.1736046604359198</v>
      </c>
    </row>
    <row r="1469" spans="1:4" ht="17" hidden="1" customHeight="1" outlineLevel="1" thickBot="1">
      <c r="A1469" s="2">
        <f>+Get_Data!A1468</f>
        <v>41572</v>
      </c>
      <c r="B1469">
        <f>+ROUND(Get_Data!B1468,5)</f>
        <v>67.982020000000006</v>
      </c>
      <c r="C1469">
        <f>+ROUND(Get_Data!C1468,5)</f>
        <v>31.155809999999999</v>
      </c>
      <c r="D1469" s="4">
        <f t="shared" si="22"/>
        <v>2.1820013666792808</v>
      </c>
    </row>
    <row r="1470" spans="1:4" ht="17" hidden="1" customHeight="1" outlineLevel="1" thickBot="1">
      <c r="A1470" s="2">
        <f>+Get_Data!A1469</f>
        <v>41575</v>
      </c>
      <c r="B1470">
        <f>+ROUND(Get_Data!B1469,5)</f>
        <v>69.00967</v>
      </c>
      <c r="C1470">
        <f>+ROUND(Get_Data!C1469,5)</f>
        <v>31.6188</v>
      </c>
      <c r="D1470" s="4">
        <f t="shared" si="22"/>
        <v>2.1825518362493201</v>
      </c>
    </row>
    <row r="1471" spans="1:4" ht="17" hidden="1" customHeight="1" outlineLevel="1" thickBot="1">
      <c r="A1471" s="2">
        <f>+Get_Data!A1470</f>
        <v>41576</v>
      </c>
      <c r="B1471">
        <f>+ROUND(Get_Data!B1470,5)</f>
        <v>69.727419999999995</v>
      </c>
      <c r="C1471">
        <f>+ROUND(Get_Data!C1470,5)</f>
        <v>31.77046</v>
      </c>
      <c r="D1471" s="4">
        <f t="shared" si="22"/>
        <v>2.1947249111281359</v>
      </c>
    </row>
    <row r="1472" spans="1:4" ht="17" hidden="1" customHeight="1" outlineLevel="1" thickBot="1">
      <c r="A1472" s="2">
        <f>+Get_Data!A1471</f>
        <v>41577</v>
      </c>
      <c r="B1472">
        <f>+ROUND(Get_Data!B1471,5)</f>
        <v>69.099400000000003</v>
      </c>
      <c r="C1472">
        <f>+ROUND(Get_Data!C1471,5)</f>
        <v>31.62679</v>
      </c>
      <c r="D1472" s="4">
        <f t="shared" si="22"/>
        <v>2.1848376012867572</v>
      </c>
    </row>
    <row r="1473" spans="1:4" ht="17" hidden="1" customHeight="1" outlineLevel="1" thickBot="1">
      <c r="A1473" s="2">
        <f>+Get_Data!A1472</f>
        <v>41578</v>
      </c>
      <c r="B1473">
        <f>+ROUND(Get_Data!B1472,5)</f>
        <v>68.585570000000004</v>
      </c>
      <c r="C1473">
        <f>+ROUND(Get_Data!C1472,5)</f>
        <v>31.586860000000001</v>
      </c>
      <c r="D1473" s="4">
        <f t="shared" si="22"/>
        <v>2.1713323198317274</v>
      </c>
    </row>
    <row r="1474" spans="1:4" ht="17" hidden="1" customHeight="1" outlineLevel="1" thickBot="1">
      <c r="A1474" s="2">
        <f>+Get_Data!A1473</f>
        <v>41579</v>
      </c>
      <c r="B1474">
        <f>+ROUND(Get_Data!B1473,5)</f>
        <v>68.968909999999994</v>
      </c>
      <c r="C1474">
        <f>+ROUND(Get_Data!C1473,5)</f>
        <v>31.6188</v>
      </c>
      <c r="D1474" s="4">
        <f t="shared" si="22"/>
        <v>2.1812627297683655</v>
      </c>
    </row>
    <row r="1475" spans="1:4" ht="17" hidden="1" customHeight="1" outlineLevel="1" thickBot="1">
      <c r="A1475" s="2">
        <f>+Get_Data!A1474</f>
        <v>41582</v>
      </c>
      <c r="B1475">
        <f>+ROUND(Get_Data!B1474,5)</f>
        <v>68.813940000000002</v>
      </c>
      <c r="C1475">
        <f>+ROUND(Get_Data!C1474,5)</f>
        <v>31.538969999999999</v>
      </c>
      <c r="D1475" s="4">
        <f t="shared" si="22"/>
        <v>2.181870238628592</v>
      </c>
    </row>
    <row r="1476" spans="1:4" ht="17" hidden="1" customHeight="1" outlineLevel="1" thickBot="1">
      <c r="A1476" s="2">
        <f>+Get_Data!A1475</f>
        <v>41583</v>
      </c>
      <c r="B1476">
        <f>+ROUND(Get_Data!B1475,5)</f>
        <v>69.017830000000004</v>
      </c>
      <c r="C1476">
        <f>+ROUND(Get_Data!C1475,5)</f>
        <v>31.530989999999999</v>
      </c>
      <c r="D1476" s="4">
        <f t="shared" ref="D1476:D1539" si="23">IFERROR(B1476/C1476,"")</f>
        <v>2.1888887726011776</v>
      </c>
    </row>
    <row r="1477" spans="1:4" ht="17" hidden="1" customHeight="1" outlineLevel="1" thickBot="1">
      <c r="A1477" s="2">
        <f>+Get_Data!A1476</f>
        <v>41584</v>
      </c>
      <c r="B1477">
        <f>+ROUND(Get_Data!B1476,5)</f>
        <v>70.69802</v>
      </c>
      <c r="C1477">
        <f>+ROUND(Get_Data!C1476,5)</f>
        <v>31.970030000000001</v>
      </c>
      <c r="D1477" s="4">
        <f t="shared" si="23"/>
        <v>2.2113842245377935</v>
      </c>
    </row>
    <row r="1478" spans="1:4" ht="17" hidden="1" customHeight="1" outlineLevel="1" thickBot="1">
      <c r="A1478" s="2">
        <f>+Get_Data!A1477</f>
        <v>41585</v>
      </c>
      <c r="B1478">
        <f>+ROUND(Get_Data!B1477,5)</f>
        <v>69.572460000000007</v>
      </c>
      <c r="C1478">
        <f>+ROUND(Get_Data!C1477,5)</f>
        <v>31.794409999999999</v>
      </c>
      <c r="D1478" s="4">
        <f t="shared" si="23"/>
        <v>2.1881978624544378</v>
      </c>
    </row>
    <row r="1479" spans="1:4" ht="17" hidden="1" customHeight="1" outlineLevel="1" thickBot="1">
      <c r="A1479" s="2">
        <f>+Get_Data!A1478</f>
        <v>41586</v>
      </c>
      <c r="B1479">
        <f>+ROUND(Get_Data!B1478,5)</f>
        <v>70.021060000000006</v>
      </c>
      <c r="C1479">
        <f>+ROUND(Get_Data!C1478,5)</f>
        <v>31.970030000000001</v>
      </c>
      <c r="D1479" s="4">
        <f t="shared" si="23"/>
        <v>2.1902093929846171</v>
      </c>
    </row>
    <row r="1480" spans="1:4" ht="17" hidden="1" customHeight="1" outlineLevel="1" thickBot="1">
      <c r="A1480" s="2">
        <f>+Get_Data!A1479</f>
        <v>41589</v>
      </c>
      <c r="B1480">
        <f>+ROUND(Get_Data!B1479,5)</f>
        <v>69.694800000000001</v>
      </c>
      <c r="C1480">
        <f>+ROUND(Get_Data!C1479,5)</f>
        <v>31.826350000000001</v>
      </c>
      <c r="D1480" s="4">
        <f t="shared" si="23"/>
        <v>2.1898458352905688</v>
      </c>
    </row>
    <row r="1481" spans="1:4" ht="17" hidden="1" customHeight="1" outlineLevel="1" thickBot="1">
      <c r="A1481" s="2">
        <f>+Get_Data!A1480</f>
        <v>41590</v>
      </c>
      <c r="B1481">
        <f>+ROUND(Get_Data!B1480,5)</f>
        <v>69.849760000000003</v>
      </c>
      <c r="C1481">
        <f>+ROUND(Get_Data!C1480,5)</f>
        <v>31.834330000000001</v>
      </c>
      <c r="D1481" s="4">
        <f t="shared" si="23"/>
        <v>2.1941646015480774</v>
      </c>
    </row>
    <row r="1482" spans="1:4" ht="17" hidden="1" customHeight="1" outlineLevel="1" thickBot="1">
      <c r="A1482" s="2">
        <f>+Get_Data!A1481</f>
        <v>41591</v>
      </c>
      <c r="B1482">
        <f>+ROUND(Get_Data!B1481,5)</f>
        <v>70.102620000000002</v>
      </c>
      <c r="C1482">
        <f>+ROUND(Get_Data!C1481,5)</f>
        <v>32.025910000000003</v>
      </c>
      <c r="D1482" s="4">
        <f t="shared" si="23"/>
        <v>2.1889345220791538</v>
      </c>
    </row>
    <row r="1483" spans="1:4" ht="17" hidden="1" customHeight="1" outlineLevel="1" thickBot="1">
      <c r="A1483" s="2">
        <f>+Get_Data!A1482</f>
        <v>41592</v>
      </c>
      <c r="B1483">
        <f>+ROUND(Get_Data!B1482,5)</f>
        <v>70.461489999999998</v>
      </c>
      <c r="C1483">
        <f>+ROUND(Get_Data!C1482,5)</f>
        <v>32.097749999999998</v>
      </c>
      <c r="D1483" s="4">
        <f t="shared" si="23"/>
        <v>2.1952158640403145</v>
      </c>
    </row>
    <row r="1484" spans="1:4" ht="17" hidden="1" customHeight="1" outlineLevel="1" thickBot="1">
      <c r="A1484" s="2">
        <f>+Get_Data!A1483</f>
        <v>41593</v>
      </c>
      <c r="B1484">
        <f>+ROUND(Get_Data!B1483,5)</f>
        <v>70.167860000000005</v>
      </c>
      <c r="C1484">
        <f>+ROUND(Get_Data!C1483,5)</f>
        <v>32.105739999999997</v>
      </c>
      <c r="D1484" s="4">
        <f t="shared" si="23"/>
        <v>2.1855238346787838</v>
      </c>
    </row>
    <row r="1485" spans="1:4" ht="17" hidden="1" customHeight="1" outlineLevel="1" thickBot="1">
      <c r="A1485" s="2">
        <f>+Get_Data!A1484</f>
        <v>41596</v>
      </c>
      <c r="B1485">
        <f>+ROUND(Get_Data!B1484,5)</f>
        <v>70.029210000000006</v>
      </c>
      <c r="C1485">
        <f>+ROUND(Get_Data!C1484,5)</f>
        <v>32.065820000000002</v>
      </c>
      <c r="D1485" s="4">
        <f t="shared" si="23"/>
        <v>2.1839207604857758</v>
      </c>
    </row>
    <row r="1486" spans="1:4" ht="17" hidden="1" customHeight="1" outlineLevel="1" thickBot="1">
      <c r="A1486" s="2">
        <f>+Get_Data!A1485</f>
        <v>41597</v>
      </c>
      <c r="B1486">
        <f>+ROUND(Get_Data!B1485,5)</f>
        <v>69.564300000000003</v>
      </c>
      <c r="C1486">
        <f>+ROUND(Get_Data!C1485,5)</f>
        <v>32.041879999999999</v>
      </c>
      <c r="D1486" s="4">
        <f t="shared" si="23"/>
        <v>2.1710430224443762</v>
      </c>
    </row>
    <row r="1487" spans="1:4" ht="17" hidden="1" customHeight="1" outlineLevel="1" thickBot="1">
      <c r="A1487" s="2">
        <f>+Get_Data!A1486</f>
        <v>41598</v>
      </c>
      <c r="B1487">
        <f>+ROUND(Get_Data!B1486,5)</f>
        <v>69.433819999999997</v>
      </c>
      <c r="C1487">
        <f>+ROUND(Get_Data!C1486,5)</f>
        <v>31.978010000000001</v>
      </c>
      <c r="D1487" s="4">
        <f t="shared" si="23"/>
        <v>2.1712989645071721</v>
      </c>
    </row>
    <row r="1488" spans="1:4" ht="17" hidden="1" customHeight="1" outlineLevel="1" thickBot="1">
      <c r="A1488" s="2">
        <f>+Get_Data!A1487</f>
        <v>41599</v>
      </c>
      <c r="B1488">
        <f>+ROUND(Get_Data!B1487,5)</f>
        <v>69.833449999999999</v>
      </c>
      <c r="C1488">
        <f>+ROUND(Get_Data!C1487,5)</f>
        <v>32.27337</v>
      </c>
      <c r="D1488" s="4">
        <f t="shared" si="23"/>
        <v>2.1638102869331588</v>
      </c>
    </row>
    <row r="1489" spans="1:4" ht="17" hidden="1" customHeight="1" outlineLevel="1" thickBot="1">
      <c r="A1489" s="2">
        <f>+Get_Data!A1488</f>
        <v>41600</v>
      </c>
      <c r="B1489">
        <f>+ROUND(Get_Data!B1488,5)</f>
        <v>69.931330000000003</v>
      </c>
      <c r="C1489">
        <f>+ROUND(Get_Data!C1488,5)</f>
        <v>32.27337</v>
      </c>
      <c r="D1489" s="4">
        <f t="shared" si="23"/>
        <v>2.1668431279410858</v>
      </c>
    </row>
    <row r="1490" spans="1:4" ht="17" hidden="1" customHeight="1" outlineLevel="1" thickBot="1">
      <c r="A1490" s="2">
        <f>+Get_Data!A1489</f>
        <v>41603</v>
      </c>
      <c r="B1490">
        <f>+ROUND(Get_Data!B1489,5)</f>
        <v>69.629549999999995</v>
      </c>
      <c r="C1490">
        <f>+ROUND(Get_Data!C1489,5)</f>
        <v>32.225470000000001</v>
      </c>
      <c r="D1490" s="4">
        <f t="shared" si="23"/>
        <v>2.1606992853789251</v>
      </c>
    </row>
    <row r="1491" spans="1:4" ht="17" hidden="1" customHeight="1" outlineLevel="1" thickBot="1">
      <c r="A1491" s="2">
        <f>+Get_Data!A1490</f>
        <v>41604</v>
      </c>
      <c r="B1491">
        <f>+ROUND(Get_Data!B1490,5)</f>
        <v>68.830240000000003</v>
      </c>
      <c r="C1491">
        <f>+ROUND(Get_Data!C1490,5)</f>
        <v>32.12968</v>
      </c>
      <c r="D1491" s="4">
        <f t="shared" si="23"/>
        <v>2.1422634772584104</v>
      </c>
    </row>
    <row r="1492" spans="1:4" ht="17" hidden="1" customHeight="1" outlineLevel="1" thickBot="1">
      <c r="A1492" s="2">
        <f>+Get_Data!A1491</f>
        <v>41605</v>
      </c>
      <c r="B1492">
        <f>+ROUND(Get_Data!B1491,5)</f>
        <v>68.854709999999997</v>
      </c>
      <c r="C1492">
        <f>+ROUND(Get_Data!C1491,5)</f>
        <v>32.306519999999999</v>
      </c>
      <c r="D1492" s="4">
        <f t="shared" si="23"/>
        <v>2.131294549830808</v>
      </c>
    </row>
    <row r="1493" spans="1:4" ht="17" hidden="1" customHeight="1" outlineLevel="1" thickBot="1">
      <c r="A1493" s="2">
        <f>+Get_Data!A1492</f>
        <v>41607</v>
      </c>
      <c r="B1493">
        <f>+ROUND(Get_Data!B1492,5)</f>
        <v>68.887339999999995</v>
      </c>
      <c r="C1493">
        <f>+ROUND(Get_Data!C1492,5)</f>
        <v>32.306519999999999</v>
      </c>
      <c r="D1493" s="4">
        <f t="shared" si="23"/>
        <v>2.1323045626703214</v>
      </c>
    </row>
    <row r="1494" spans="1:4" ht="17" hidden="1" customHeight="1" outlineLevel="1" thickBot="1">
      <c r="A1494" s="2">
        <f>+Get_Data!A1493</f>
        <v>41610</v>
      </c>
      <c r="B1494">
        <f>+ROUND(Get_Data!B1493,5)</f>
        <v>68.26746</v>
      </c>
      <c r="C1494">
        <f>+ROUND(Get_Data!C1493,5)</f>
        <v>32.218110000000003</v>
      </c>
      <c r="D1494" s="4">
        <f t="shared" si="23"/>
        <v>2.1189157278313342</v>
      </c>
    </row>
    <row r="1495" spans="1:4" ht="17" hidden="1" customHeight="1" outlineLevel="1" thickBot="1">
      <c r="A1495" s="2">
        <f>+Get_Data!A1494</f>
        <v>41611</v>
      </c>
      <c r="B1495">
        <f>+ROUND(Get_Data!B1494,5)</f>
        <v>68.349010000000007</v>
      </c>
      <c r="C1495">
        <f>+ROUND(Get_Data!C1494,5)</f>
        <v>32.435130000000001</v>
      </c>
      <c r="D1495" s="4">
        <f t="shared" si="23"/>
        <v>2.1072525376035185</v>
      </c>
    </row>
    <row r="1496" spans="1:4" ht="17" hidden="1" customHeight="1" outlineLevel="1" thickBot="1">
      <c r="A1496" s="2">
        <f>+Get_Data!A1495</f>
        <v>41612</v>
      </c>
      <c r="B1496">
        <f>+ROUND(Get_Data!B1495,5)</f>
        <v>67.871089999999995</v>
      </c>
      <c r="C1496">
        <f>+ROUND(Get_Data!C1495,5)</f>
        <v>32.451219999999999</v>
      </c>
      <c r="D1496" s="4">
        <f t="shared" si="23"/>
        <v>2.0914803819394154</v>
      </c>
    </row>
    <row r="1497" spans="1:4" ht="17" hidden="1" customHeight="1" outlineLevel="1" thickBot="1">
      <c r="A1497" s="2">
        <f>+Get_Data!A1496</f>
        <v>41613</v>
      </c>
      <c r="B1497">
        <f>+ROUND(Get_Data!B1496,5)</f>
        <v>67.255229999999997</v>
      </c>
      <c r="C1497">
        <f>+ROUND(Get_Data!C1496,5)</f>
        <v>32.017139999999998</v>
      </c>
      <c r="D1497" s="4">
        <f t="shared" si="23"/>
        <v>2.1006008031947889</v>
      </c>
    </row>
    <row r="1498" spans="1:4" ht="17" hidden="1" customHeight="1" outlineLevel="1" thickBot="1">
      <c r="A1498" s="2">
        <f>+Get_Data!A1497</f>
        <v>41614</v>
      </c>
      <c r="B1498">
        <f>+ROUND(Get_Data!B1497,5)</f>
        <v>68.281689999999998</v>
      </c>
      <c r="C1498">
        <f>+ROUND(Get_Data!C1497,5)</f>
        <v>32.523560000000003</v>
      </c>
      <c r="D1498" s="4">
        <f t="shared" si="23"/>
        <v>2.0994531348966716</v>
      </c>
    </row>
    <row r="1499" spans="1:4" ht="17" hidden="1" customHeight="1" outlineLevel="1" thickBot="1">
      <c r="A1499" s="2">
        <f>+Get_Data!A1498</f>
        <v>41617</v>
      </c>
      <c r="B1499">
        <f>+ROUND(Get_Data!B1498,5)</f>
        <v>67.903949999999995</v>
      </c>
      <c r="C1499">
        <f>+ROUND(Get_Data!C1498,5)</f>
        <v>32.475340000000003</v>
      </c>
      <c r="D1499" s="4">
        <f t="shared" si="23"/>
        <v>2.0909388477534026</v>
      </c>
    </row>
    <row r="1500" spans="1:4" ht="17" hidden="1" customHeight="1" outlineLevel="1" thickBot="1">
      <c r="A1500" s="2">
        <f>+Get_Data!A1499</f>
        <v>41618</v>
      </c>
      <c r="B1500">
        <f>+ROUND(Get_Data!B1499,5)</f>
        <v>67.665800000000004</v>
      </c>
      <c r="C1500">
        <f>+ROUND(Get_Data!C1499,5)</f>
        <v>32.033209999999997</v>
      </c>
      <c r="D1500" s="4">
        <f t="shared" si="23"/>
        <v>2.1123640122235647</v>
      </c>
    </row>
    <row r="1501" spans="1:4" ht="17" hidden="1" customHeight="1" outlineLevel="1" thickBot="1">
      <c r="A1501" s="2">
        <f>+Get_Data!A1500</f>
        <v>41619</v>
      </c>
      <c r="B1501">
        <f>+ROUND(Get_Data!B1500,5)</f>
        <v>67.887500000000003</v>
      </c>
      <c r="C1501">
        <f>+ROUND(Get_Data!C1500,5)</f>
        <v>32.258290000000002</v>
      </c>
      <c r="D1501" s="4">
        <f t="shared" si="23"/>
        <v>2.1044977895604511</v>
      </c>
    </row>
    <row r="1502" spans="1:4" ht="17" hidden="1" customHeight="1" outlineLevel="1" thickBot="1">
      <c r="A1502" s="2">
        <f>+Get_Data!A1501</f>
        <v>41620</v>
      </c>
      <c r="B1502">
        <f>+ROUND(Get_Data!B1501,5)</f>
        <v>66.74606</v>
      </c>
      <c r="C1502">
        <f>+ROUND(Get_Data!C1501,5)</f>
        <v>31.518750000000001</v>
      </c>
      <c r="D1502" s="4">
        <f t="shared" si="23"/>
        <v>2.1176620265714852</v>
      </c>
    </row>
    <row r="1503" spans="1:4" ht="17" hidden="1" customHeight="1" outlineLevel="1" thickBot="1">
      <c r="A1503" s="2">
        <f>+Get_Data!A1502</f>
        <v>41621</v>
      </c>
      <c r="B1503">
        <f>+ROUND(Get_Data!B1502,5)</f>
        <v>66.458659999999995</v>
      </c>
      <c r="C1503">
        <f>+ROUND(Get_Data!C1502,5)</f>
        <v>31.534829999999999</v>
      </c>
      <c r="D1503" s="4">
        <f t="shared" si="23"/>
        <v>2.1074684721623678</v>
      </c>
    </row>
    <row r="1504" spans="1:4" ht="17" hidden="1" customHeight="1" outlineLevel="1" thickBot="1">
      <c r="A1504" s="2">
        <f>+Get_Data!A1503</f>
        <v>41624</v>
      </c>
      <c r="B1504">
        <f>+ROUND(Get_Data!B1503,5)</f>
        <v>66.516139999999993</v>
      </c>
      <c r="C1504">
        <f>+ROUND(Get_Data!C1503,5)</f>
        <v>31.566990000000001</v>
      </c>
      <c r="D1504" s="4">
        <f t="shared" si="23"/>
        <v>2.1071423027662757</v>
      </c>
    </row>
    <row r="1505" spans="1:4" ht="17" hidden="1" customHeight="1" outlineLevel="1" thickBot="1">
      <c r="A1505" s="2">
        <f>+Get_Data!A1504</f>
        <v>41625</v>
      </c>
      <c r="B1505">
        <f>+ROUND(Get_Data!B1504,5)</f>
        <v>66.072680000000005</v>
      </c>
      <c r="C1505">
        <f>+ROUND(Get_Data!C1504,5)</f>
        <v>31.430330000000001</v>
      </c>
      <c r="D1505" s="4">
        <f t="shared" si="23"/>
        <v>2.1021949180934469</v>
      </c>
    </row>
    <row r="1506" spans="1:4" ht="17" hidden="1" customHeight="1" outlineLevel="1" thickBot="1">
      <c r="A1506" s="2">
        <f>+Get_Data!A1505</f>
        <v>41626</v>
      </c>
      <c r="B1506">
        <f>+ROUND(Get_Data!B1505,5)</f>
        <v>66.861019999999996</v>
      </c>
      <c r="C1506">
        <f>+ROUND(Get_Data!C1505,5)</f>
        <v>32.169870000000003</v>
      </c>
      <c r="D1506" s="4">
        <f t="shared" si="23"/>
        <v>2.0783739567489703</v>
      </c>
    </row>
    <row r="1507" spans="1:4" ht="17" hidden="1" customHeight="1" outlineLevel="1" thickBot="1">
      <c r="A1507" s="2">
        <f>+Get_Data!A1506</f>
        <v>41627</v>
      </c>
      <c r="B1507">
        <f>+ROUND(Get_Data!B1506,5)</f>
        <v>67.058130000000006</v>
      </c>
      <c r="C1507">
        <f>+ROUND(Get_Data!C1506,5)</f>
        <v>32.041249999999998</v>
      </c>
      <c r="D1507" s="4">
        <f t="shared" si="23"/>
        <v>2.0928687239105841</v>
      </c>
    </row>
    <row r="1508" spans="1:4" ht="17" hidden="1" customHeight="1" outlineLevel="1" thickBot="1">
      <c r="A1508" s="2">
        <f>+Get_Data!A1507</f>
        <v>41628</v>
      </c>
      <c r="B1508">
        <f>+ROUND(Get_Data!B1507,5)</f>
        <v>67.181309999999996</v>
      </c>
      <c r="C1508">
        <f>+ROUND(Get_Data!C1507,5)</f>
        <v>32.185940000000002</v>
      </c>
      <c r="D1508" s="4">
        <f t="shared" si="23"/>
        <v>2.0872874926132341</v>
      </c>
    </row>
    <row r="1509" spans="1:4" ht="17" hidden="1" customHeight="1" outlineLevel="1" thickBot="1">
      <c r="A1509" s="2">
        <f>+Get_Data!A1508</f>
        <v>41631</v>
      </c>
      <c r="B1509">
        <f>+ROUND(Get_Data!B1508,5)</f>
        <v>67.222359999999995</v>
      </c>
      <c r="C1509">
        <f>+ROUND(Get_Data!C1508,5)</f>
        <v>32.282400000000003</v>
      </c>
      <c r="D1509" s="4">
        <f t="shared" si="23"/>
        <v>2.0823222560900052</v>
      </c>
    </row>
    <row r="1510" spans="1:4" ht="17" hidden="1" customHeight="1" outlineLevel="1" thickBot="1">
      <c r="A1510" s="2">
        <f>+Get_Data!A1509</f>
        <v>41632</v>
      </c>
      <c r="B1510">
        <f>+ROUND(Get_Data!B1509,5)</f>
        <v>67.370189999999994</v>
      </c>
      <c r="C1510">
        <f>+ROUND(Get_Data!C1509,5)</f>
        <v>32.306519999999999</v>
      </c>
      <c r="D1510" s="4">
        <f t="shared" si="23"/>
        <v>2.0853434538910411</v>
      </c>
    </row>
    <row r="1511" spans="1:4" ht="17" hidden="1" customHeight="1" outlineLevel="1" thickBot="1">
      <c r="A1511" s="2">
        <f>+Get_Data!A1510</f>
        <v>41634</v>
      </c>
      <c r="B1511">
        <f>+ROUND(Get_Data!B1510,5)</f>
        <v>67.706860000000006</v>
      </c>
      <c r="C1511">
        <f>+ROUND(Get_Data!C1510,5)</f>
        <v>32.547669999999997</v>
      </c>
      <c r="D1511" s="4">
        <f t="shared" si="23"/>
        <v>2.080236772709076</v>
      </c>
    </row>
    <row r="1512" spans="1:4" ht="17" hidden="1" customHeight="1" outlineLevel="1" thickBot="1">
      <c r="A1512" s="2">
        <f>+Get_Data!A1511</f>
        <v>41635</v>
      </c>
      <c r="B1512">
        <f>+ROUND(Get_Data!B1511,5)</f>
        <v>67.920360000000002</v>
      </c>
      <c r="C1512">
        <f>+ROUND(Get_Data!C1511,5)</f>
        <v>32.684330000000003</v>
      </c>
      <c r="D1512" s="4">
        <f t="shared" si="23"/>
        <v>2.0780710511734521</v>
      </c>
    </row>
    <row r="1513" spans="1:4" ht="17" hidden="1" customHeight="1" outlineLevel="1" thickBot="1">
      <c r="A1513" s="2">
        <f>+Get_Data!A1512</f>
        <v>41638</v>
      </c>
      <c r="B1513">
        <f>+ROUND(Get_Data!B1512,5)</f>
        <v>68.084609999999998</v>
      </c>
      <c r="C1513">
        <f>+ROUND(Get_Data!C1512,5)</f>
        <v>33.029980000000002</v>
      </c>
      <c r="D1513" s="4">
        <f t="shared" si="23"/>
        <v>2.061297342596029</v>
      </c>
    </row>
    <row r="1514" spans="1:4" ht="17" hidden="1" customHeight="1" outlineLevel="1" thickBot="1">
      <c r="A1514" s="2">
        <f>+Get_Data!A1513</f>
        <v>41639</v>
      </c>
      <c r="B1514">
        <f>+ROUND(Get_Data!B1513,5)</f>
        <v>68.109229999999997</v>
      </c>
      <c r="C1514">
        <f>+ROUND(Get_Data!C1513,5)</f>
        <v>33.206829999999997</v>
      </c>
      <c r="D1514" s="4">
        <f t="shared" si="23"/>
        <v>2.0510608811500526</v>
      </c>
    </row>
    <row r="1515" spans="1:4" ht="17" hidden="1" customHeight="1" outlineLevel="1" thickBot="1">
      <c r="A1515" s="2">
        <f>+Get_Data!A1514</f>
        <v>41641</v>
      </c>
      <c r="B1515">
        <f>+ROUND(Get_Data!B1514,5)</f>
        <v>67.419430000000006</v>
      </c>
      <c r="C1515">
        <f>+ROUND(Get_Data!C1514,5)</f>
        <v>32.684330000000003</v>
      </c>
      <c r="D1515" s="4">
        <f t="shared" si="23"/>
        <v>2.0627447464886077</v>
      </c>
    </row>
    <row r="1516" spans="1:4" ht="17" hidden="1" customHeight="1" outlineLevel="1" thickBot="1">
      <c r="A1516" s="2">
        <f>+Get_Data!A1515</f>
        <v>41642</v>
      </c>
      <c r="B1516">
        <f>+ROUND(Get_Data!B1515,5)</f>
        <v>67.534390000000002</v>
      </c>
      <c r="C1516">
        <f>+ROUND(Get_Data!C1515,5)</f>
        <v>32.523560000000003</v>
      </c>
      <c r="D1516" s="4">
        <f t="shared" si="23"/>
        <v>2.0764759454377071</v>
      </c>
    </row>
    <row r="1517" spans="1:4" ht="17" hidden="1" customHeight="1" outlineLevel="1" thickBot="1">
      <c r="A1517" s="2">
        <f>+Get_Data!A1516</f>
        <v>41645</v>
      </c>
      <c r="B1517">
        <f>+ROUND(Get_Data!B1516,5)</f>
        <v>67.567239999999998</v>
      </c>
      <c r="C1517">
        <f>+ROUND(Get_Data!C1516,5)</f>
        <v>32.370829999999998</v>
      </c>
      <c r="D1517" s="4">
        <f t="shared" si="23"/>
        <v>2.0872878452606871</v>
      </c>
    </row>
    <row r="1518" spans="1:4" ht="17" hidden="1" customHeight="1" outlineLevel="1" thickBot="1">
      <c r="A1518" s="2">
        <f>+Get_Data!A1517</f>
        <v>41646</v>
      </c>
      <c r="B1518">
        <f>+ROUND(Get_Data!B1517,5)</f>
        <v>68.552689999999998</v>
      </c>
      <c r="C1518">
        <f>+ROUND(Get_Data!C1517,5)</f>
        <v>32.467289999999998</v>
      </c>
      <c r="D1518" s="4">
        <f t="shared" si="23"/>
        <v>2.1114386202236157</v>
      </c>
    </row>
    <row r="1519" spans="1:4" ht="17" hidden="1" customHeight="1" outlineLevel="1" thickBot="1">
      <c r="A1519" s="2">
        <f>+Get_Data!A1518</f>
        <v>41647</v>
      </c>
      <c r="B1519">
        <f>+ROUND(Get_Data!B1518,5)</f>
        <v>68.355599999999995</v>
      </c>
      <c r="C1519">
        <f>+ROUND(Get_Data!C1518,5)</f>
        <v>32.105559999999997</v>
      </c>
      <c r="D1519" s="4">
        <f t="shared" si="23"/>
        <v>2.1290891671099961</v>
      </c>
    </row>
    <row r="1520" spans="1:4" ht="17" hidden="1" customHeight="1" outlineLevel="1" thickBot="1">
      <c r="A1520" s="2">
        <f>+Get_Data!A1519</f>
        <v>41648</v>
      </c>
      <c r="B1520">
        <f>+ROUND(Get_Data!B1519,5)</f>
        <v>68.035319999999999</v>
      </c>
      <c r="C1520">
        <f>+ROUND(Get_Data!C1519,5)</f>
        <v>31.93675</v>
      </c>
      <c r="D1520" s="4">
        <f t="shared" si="23"/>
        <v>2.1303144496543949</v>
      </c>
    </row>
    <row r="1521" spans="1:4" ht="17" hidden="1" customHeight="1" outlineLevel="1" thickBot="1">
      <c r="A1521" s="2">
        <f>+Get_Data!A1520</f>
        <v>41649</v>
      </c>
      <c r="B1521">
        <f>+ROUND(Get_Data!B1520,5)</f>
        <v>68.569109999999995</v>
      </c>
      <c r="C1521">
        <f>+ROUND(Get_Data!C1520,5)</f>
        <v>32.258290000000002</v>
      </c>
      <c r="D1521" s="4">
        <f t="shared" si="23"/>
        <v>2.125627551863412</v>
      </c>
    </row>
    <row r="1522" spans="1:4" ht="17" hidden="1" customHeight="1" outlineLevel="1" thickBot="1">
      <c r="A1522" s="2">
        <f>+Get_Data!A1521</f>
        <v>41652</v>
      </c>
      <c r="B1522">
        <f>+ROUND(Get_Data!B1521,5)</f>
        <v>67.641159999999999</v>
      </c>
      <c r="C1522">
        <f>+ROUND(Get_Data!C1521,5)</f>
        <v>31.776</v>
      </c>
      <c r="D1522" s="4">
        <f t="shared" si="23"/>
        <v>2.1286870594159115</v>
      </c>
    </row>
    <row r="1523" spans="1:4" ht="17" hidden="1" customHeight="1" outlineLevel="1" thickBot="1">
      <c r="A1523" s="2">
        <f>+Get_Data!A1522</f>
        <v>41653</v>
      </c>
      <c r="B1523">
        <f>+ROUND(Get_Data!B1522,5)</f>
        <v>67.641159999999999</v>
      </c>
      <c r="C1523">
        <f>+ROUND(Get_Data!C1522,5)</f>
        <v>31.904589999999999</v>
      </c>
      <c r="D1523" s="4">
        <f t="shared" si="23"/>
        <v>2.1201074829671844</v>
      </c>
    </row>
    <row r="1524" spans="1:4" ht="17" hidden="1" customHeight="1" outlineLevel="1" thickBot="1">
      <c r="A1524" s="2">
        <f>+Get_Data!A1523</f>
        <v>41654</v>
      </c>
      <c r="B1524">
        <f>+ROUND(Get_Data!B1523,5)</f>
        <v>68.068179999999998</v>
      </c>
      <c r="C1524">
        <f>+ROUND(Get_Data!C1523,5)</f>
        <v>31.96088</v>
      </c>
      <c r="D1524" s="4">
        <f t="shared" si="23"/>
        <v>2.1297342250901727</v>
      </c>
    </row>
    <row r="1525" spans="1:4" ht="17" hidden="1" customHeight="1" outlineLevel="1" thickBot="1">
      <c r="A1525" s="2">
        <f>+Get_Data!A1524</f>
        <v>41655</v>
      </c>
      <c r="B1525">
        <f>+ROUND(Get_Data!B1524,5)</f>
        <v>68.043549999999996</v>
      </c>
      <c r="C1525">
        <f>+ROUND(Get_Data!C1524,5)</f>
        <v>31.920680000000001</v>
      </c>
      <c r="D1525" s="4">
        <f t="shared" si="23"/>
        <v>2.1316447519288433</v>
      </c>
    </row>
    <row r="1526" spans="1:4" ht="17" hidden="1" customHeight="1" outlineLevel="1" thickBot="1">
      <c r="A1526" s="2">
        <f>+Get_Data!A1525</f>
        <v>41656</v>
      </c>
      <c r="B1526">
        <f>+ROUND(Get_Data!B1525,5)</f>
        <v>67.501540000000006</v>
      </c>
      <c r="C1526">
        <f>+ROUND(Get_Data!C1525,5)</f>
        <v>31.575019999999999</v>
      </c>
      <c r="D1526" s="4">
        <f t="shared" si="23"/>
        <v>2.1378146395473387</v>
      </c>
    </row>
    <row r="1527" spans="1:4" ht="17" hidden="1" customHeight="1" outlineLevel="1" thickBot="1">
      <c r="A1527" s="2">
        <f>+Get_Data!A1526</f>
        <v>41660</v>
      </c>
      <c r="B1527">
        <f>+ROUND(Get_Data!B1526,5)</f>
        <v>68.09281</v>
      </c>
      <c r="C1527">
        <f>+ROUND(Get_Data!C1526,5)</f>
        <v>32.089489999999998</v>
      </c>
      <c r="D1527" s="4">
        <f t="shared" si="23"/>
        <v>2.1219661016737881</v>
      </c>
    </row>
    <row r="1528" spans="1:4" ht="17" hidden="1" customHeight="1" outlineLevel="1" thickBot="1">
      <c r="A1528" s="2">
        <f>+Get_Data!A1527</f>
        <v>41661</v>
      </c>
      <c r="B1528">
        <f>+ROUND(Get_Data!B1527,5)</f>
        <v>68.035319999999999</v>
      </c>
      <c r="C1528">
        <f>+ROUND(Get_Data!C1527,5)</f>
        <v>32.073410000000003</v>
      </c>
      <c r="D1528" s="4">
        <f t="shared" si="23"/>
        <v>2.1212374986008657</v>
      </c>
    </row>
    <row r="1529" spans="1:4" ht="17" hidden="1" customHeight="1" outlineLevel="1" thickBot="1">
      <c r="A1529" s="2">
        <f>+Get_Data!A1528</f>
        <v>41662</v>
      </c>
      <c r="B1529">
        <f>+ROUND(Get_Data!B1528,5)</f>
        <v>67.690439999999995</v>
      </c>
      <c r="C1529">
        <f>+ROUND(Get_Data!C1528,5)</f>
        <v>31.542870000000001</v>
      </c>
      <c r="D1529" s="4">
        <f t="shared" si="23"/>
        <v>2.1459822774528758</v>
      </c>
    </row>
    <row r="1530" spans="1:4" ht="17" hidden="1" customHeight="1" outlineLevel="1" thickBot="1">
      <c r="A1530" s="2">
        <f>+Get_Data!A1529</f>
        <v>41663</v>
      </c>
      <c r="B1530">
        <f>+ROUND(Get_Data!B1529,5)</f>
        <v>66.869249999999994</v>
      </c>
      <c r="C1530">
        <f>+ROUND(Get_Data!C1529,5)</f>
        <v>31.221350000000001</v>
      </c>
      <c r="D1530" s="4">
        <f t="shared" si="23"/>
        <v>2.1417795835221729</v>
      </c>
    </row>
    <row r="1531" spans="1:4" ht="17" hidden="1" customHeight="1" outlineLevel="1" thickBot="1">
      <c r="A1531" s="2">
        <f>+Get_Data!A1530</f>
        <v>41666</v>
      </c>
      <c r="B1531">
        <f>+ROUND(Get_Data!B1530,5)</f>
        <v>67.386579999999995</v>
      </c>
      <c r="C1531">
        <f>+ROUND(Get_Data!C1530,5)</f>
        <v>31.132909999999999</v>
      </c>
      <c r="D1531" s="4">
        <f t="shared" si="23"/>
        <v>2.164480609104642</v>
      </c>
    </row>
    <row r="1532" spans="1:4" ht="17" hidden="1" customHeight="1" outlineLevel="1" thickBot="1">
      <c r="A1532" s="2">
        <f>+Get_Data!A1531</f>
        <v>41667</v>
      </c>
      <c r="B1532">
        <f>+ROUND(Get_Data!B1531,5)</f>
        <v>67.600099999999998</v>
      </c>
      <c r="C1532">
        <f>+ROUND(Get_Data!C1531,5)</f>
        <v>31.245460000000001</v>
      </c>
      <c r="D1532" s="4">
        <f t="shared" si="23"/>
        <v>2.1635175158246986</v>
      </c>
    </row>
    <row r="1533" spans="1:4" ht="17" hidden="1" customHeight="1" outlineLevel="1" thickBot="1">
      <c r="A1533" s="2">
        <f>+Get_Data!A1532</f>
        <v>41668</v>
      </c>
      <c r="B1533">
        <f>+ROUND(Get_Data!B1532,5)</f>
        <v>65.875630000000001</v>
      </c>
      <c r="C1533">
        <f>+ROUND(Get_Data!C1532,5)</f>
        <v>30.465720000000001</v>
      </c>
      <c r="D1533" s="4">
        <f t="shared" si="23"/>
        <v>2.162286990099036</v>
      </c>
    </row>
    <row r="1534" spans="1:4" ht="17" hidden="1" customHeight="1" outlineLevel="1" thickBot="1">
      <c r="A1534" s="2">
        <f>+Get_Data!A1533</f>
        <v>41669</v>
      </c>
      <c r="B1534">
        <f>+ROUND(Get_Data!B1533,5)</f>
        <v>66.58184</v>
      </c>
      <c r="C1534">
        <f>+ROUND(Get_Data!C1533,5)</f>
        <v>30.682749999999999</v>
      </c>
      <c r="D1534" s="4">
        <f t="shared" si="23"/>
        <v>2.1700088812117557</v>
      </c>
    </row>
    <row r="1535" spans="1:4" ht="17" hidden="1" customHeight="1" outlineLevel="1" thickBot="1">
      <c r="A1535" s="2">
        <f>+Get_Data!A1534</f>
        <v>41670</v>
      </c>
      <c r="B1535">
        <f>+ROUND(Get_Data!B1534,5)</f>
        <v>65.990570000000005</v>
      </c>
      <c r="C1535">
        <f>+ROUND(Get_Data!C1534,5)</f>
        <v>30.401409999999998</v>
      </c>
      <c r="D1535" s="4">
        <f t="shared" si="23"/>
        <v>2.1706417564185347</v>
      </c>
    </row>
    <row r="1536" spans="1:4" ht="17" hidden="1" customHeight="1" outlineLevel="1" thickBot="1">
      <c r="A1536" s="2">
        <f>+Get_Data!A1535</f>
        <v>41673</v>
      </c>
      <c r="B1536">
        <f>+ROUND(Get_Data!B1535,5)</f>
        <v>64.520650000000003</v>
      </c>
      <c r="C1536">
        <f>+ROUND(Get_Data!C1535,5)</f>
        <v>29.903030000000001</v>
      </c>
      <c r="D1536" s="4">
        <f t="shared" si="23"/>
        <v>2.1576626181360217</v>
      </c>
    </row>
    <row r="1537" spans="1:4" ht="17" hidden="1" customHeight="1" outlineLevel="1" thickBot="1">
      <c r="A1537" s="2">
        <f>+Get_Data!A1536</f>
        <v>41674</v>
      </c>
      <c r="B1537">
        <f>+ROUND(Get_Data!B1536,5)</f>
        <v>64.725949999999997</v>
      </c>
      <c r="C1537">
        <f>+ROUND(Get_Data!C1536,5)</f>
        <v>30.12811</v>
      </c>
      <c r="D1537" s="4">
        <f t="shared" si="23"/>
        <v>2.1483574641754828</v>
      </c>
    </row>
    <row r="1538" spans="1:4" ht="17" hidden="1" customHeight="1" outlineLevel="1" thickBot="1">
      <c r="A1538" s="2">
        <f>+Get_Data!A1537</f>
        <v>41675</v>
      </c>
      <c r="B1538">
        <f>+ROUND(Get_Data!B1537,5)</f>
        <v>65.218649999999997</v>
      </c>
      <c r="C1538">
        <f>+ROUND(Get_Data!C1537,5)</f>
        <v>30.232600000000001</v>
      </c>
      <c r="D1538" s="4">
        <f t="shared" si="23"/>
        <v>2.1572292822979167</v>
      </c>
    </row>
    <row r="1539" spans="1:4" ht="17" hidden="1" customHeight="1" outlineLevel="1" thickBot="1">
      <c r="A1539" s="2">
        <f>+Get_Data!A1538</f>
        <v>41676</v>
      </c>
      <c r="B1539">
        <f>+ROUND(Get_Data!B1538,5)</f>
        <v>65.194029999999998</v>
      </c>
      <c r="C1539">
        <f>+ROUND(Get_Data!C1538,5)</f>
        <v>30.570219999999999</v>
      </c>
      <c r="D1539" s="4">
        <f t="shared" si="23"/>
        <v>2.1325993074305649</v>
      </c>
    </row>
    <row r="1540" spans="1:4" ht="17" hidden="1" customHeight="1" outlineLevel="1" thickBot="1">
      <c r="A1540" s="2">
        <f>+Get_Data!A1539</f>
        <v>41677</v>
      </c>
      <c r="B1540">
        <f>+ROUND(Get_Data!B1539,5)</f>
        <v>65.875630000000001</v>
      </c>
      <c r="C1540">
        <f>+ROUND(Get_Data!C1539,5)</f>
        <v>30.50592</v>
      </c>
      <c r="D1540" s="4">
        <f t="shared" ref="D1540:D1603" si="24">IFERROR(B1540/C1540,"")</f>
        <v>2.159437578017644</v>
      </c>
    </row>
    <row r="1541" spans="1:4" ht="17" hidden="1" customHeight="1" outlineLevel="1" thickBot="1">
      <c r="A1541" s="2">
        <f>+Get_Data!A1540</f>
        <v>41680</v>
      </c>
      <c r="B1541">
        <f>+ROUND(Get_Data!B1540,5)</f>
        <v>66.18768</v>
      </c>
      <c r="C1541">
        <f>+ROUND(Get_Data!C1540,5)</f>
        <v>31.004290000000001</v>
      </c>
      <c r="D1541" s="4">
        <f t="shared" si="24"/>
        <v>2.1347910240808612</v>
      </c>
    </row>
    <row r="1542" spans="1:4" ht="17" hidden="1" customHeight="1" outlineLevel="1" thickBot="1">
      <c r="A1542" s="2">
        <f>+Get_Data!A1541</f>
        <v>41681</v>
      </c>
      <c r="B1542">
        <f>+ROUND(Get_Data!B1541,5)</f>
        <v>66.721440000000001</v>
      </c>
      <c r="C1542">
        <f>+ROUND(Get_Data!C1541,5)</f>
        <v>31.060569999999998</v>
      </c>
      <c r="D1542" s="4">
        <f t="shared" si="24"/>
        <v>2.1481073914612643</v>
      </c>
    </row>
    <row r="1543" spans="1:4" ht="17" hidden="1" customHeight="1" outlineLevel="1" thickBot="1">
      <c r="A1543" s="2">
        <f>+Get_Data!A1542</f>
        <v>41682</v>
      </c>
      <c r="B1543">
        <f>+ROUND(Get_Data!B1542,5)</f>
        <v>66.918509999999998</v>
      </c>
      <c r="C1543">
        <f>+ROUND(Get_Data!C1542,5)</f>
        <v>30.956060000000001</v>
      </c>
      <c r="D1543" s="4">
        <f t="shared" si="24"/>
        <v>2.1617256847286122</v>
      </c>
    </row>
    <row r="1544" spans="1:4" ht="17" hidden="1" customHeight="1" outlineLevel="1" thickBot="1">
      <c r="A1544" s="2">
        <f>+Get_Data!A1543</f>
        <v>41683</v>
      </c>
      <c r="B1544">
        <f>+ROUND(Get_Data!B1543,5)</f>
        <v>65.440380000000005</v>
      </c>
      <c r="C1544">
        <f>+ROUND(Get_Data!C1543,5)</f>
        <v>31.0686</v>
      </c>
      <c r="D1544" s="4">
        <f t="shared" si="24"/>
        <v>2.1063189200672063</v>
      </c>
    </row>
    <row r="1545" spans="1:4" ht="17" hidden="1" customHeight="1" outlineLevel="1" thickBot="1">
      <c r="A1545" s="2">
        <f>+Get_Data!A1544</f>
        <v>41684</v>
      </c>
      <c r="B1545">
        <f>+ROUND(Get_Data!B1544,5)</f>
        <v>64.126490000000004</v>
      </c>
      <c r="C1545">
        <f>+ROUND(Get_Data!C1544,5)</f>
        <v>31.293679999999998</v>
      </c>
      <c r="D1545" s="4">
        <f t="shared" si="24"/>
        <v>2.0491834133920972</v>
      </c>
    </row>
    <row r="1546" spans="1:4" ht="17" hidden="1" customHeight="1" outlineLevel="1" thickBot="1">
      <c r="A1546" s="2">
        <f>+Get_Data!A1545</f>
        <v>41688</v>
      </c>
      <c r="B1546">
        <f>+ROUND(Get_Data!B1545,5)</f>
        <v>64.200389999999999</v>
      </c>
      <c r="C1546">
        <f>+ROUND(Get_Data!C1545,5)</f>
        <v>30.120059999999999</v>
      </c>
      <c r="D1546" s="4">
        <f t="shared" si="24"/>
        <v>2.1314828058111437</v>
      </c>
    </row>
    <row r="1547" spans="1:4" ht="17" hidden="1" customHeight="1" outlineLevel="1" thickBot="1">
      <c r="A1547" s="2">
        <f>+Get_Data!A1546</f>
        <v>41689</v>
      </c>
      <c r="B1547">
        <f>+ROUND(Get_Data!B1546,5)</f>
        <v>63.313510000000001</v>
      </c>
      <c r="C1547">
        <f>+ROUND(Get_Data!C1546,5)</f>
        <v>29.822649999999999</v>
      </c>
      <c r="D1547" s="4">
        <f t="shared" si="24"/>
        <v>2.1230008064340358</v>
      </c>
    </row>
    <row r="1548" spans="1:4" ht="17" hidden="1" customHeight="1" outlineLevel="1" thickBot="1">
      <c r="A1548" s="2">
        <f>+Get_Data!A1547</f>
        <v>41690</v>
      </c>
      <c r="B1548">
        <f>+ROUND(Get_Data!B1547,5)</f>
        <v>64.060789999999997</v>
      </c>
      <c r="C1548">
        <f>+ROUND(Get_Data!C1547,5)</f>
        <v>29.983419999999999</v>
      </c>
      <c r="D1548" s="4">
        <f t="shared" si="24"/>
        <v>2.1365404613616459</v>
      </c>
    </row>
    <row r="1549" spans="1:4" ht="17" hidden="1" customHeight="1" outlineLevel="1" thickBot="1">
      <c r="A1549" s="2">
        <f>+Get_Data!A1548</f>
        <v>41691</v>
      </c>
      <c r="B1549">
        <f>+ROUND(Get_Data!B1548,5)</f>
        <v>64.233249999999998</v>
      </c>
      <c r="C1549">
        <f>+ROUND(Get_Data!C1548,5)</f>
        <v>29.886959999999998</v>
      </c>
      <c r="D1549" s="4">
        <f t="shared" si="24"/>
        <v>2.1492065435895791</v>
      </c>
    </row>
    <row r="1550" spans="1:4" ht="17" hidden="1" customHeight="1" outlineLevel="1" thickBot="1">
      <c r="A1550" s="2">
        <f>+Get_Data!A1549</f>
        <v>41694</v>
      </c>
      <c r="B1550">
        <f>+ROUND(Get_Data!B1549,5)</f>
        <v>64.775229999999993</v>
      </c>
      <c r="C1550">
        <f>+ROUND(Get_Data!C1549,5)</f>
        <v>30.144179999999999</v>
      </c>
      <c r="D1550" s="4">
        <f t="shared" si="24"/>
        <v>2.1488469747725762</v>
      </c>
    </row>
    <row r="1551" spans="1:4" ht="17" hidden="1" customHeight="1" outlineLevel="1" thickBot="1">
      <c r="A1551" s="2">
        <f>+Get_Data!A1550</f>
        <v>41695</v>
      </c>
      <c r="B1551">
        <f>+ROUND(Get_Data!B1550,5)</f>
        <v>65.062640000000002</v>
      </c>
      <c r="C1551">
        <f>+ROUND(Get_Data!C1550,5)</f>
        <v>30.361219999999999</v>
      </c>
      <c r="D1551" s="4">
        <f t="shared" si="24"/>
        <v>2.1429520948104193</v>
      </c>
    </row>
    <row r="1552" spans="1:4" ht="17" hidden="1" customHeight="1" outlineLevel="1" thickBot="1">
      <c r="A1552" s="2">
        <f>+Get_Data!A1551</f>
        <v>41696</v>
      </c>
      <c r="B1552">
        <f>+ROUND(Get_Data!B1551,5)</f>
        <v>64.586359999999999</v>
      </c>
      <c r="C1552">
        <f>+ROUND(Get_Data!C1551,5)</f>
        <v>30.441600000000001</v>
      </c>
      <c r="D1552" s="4">
        <f t="shared" si="24"/>
        <v>2.1216480079890676</v>
      </c>
    </row>
    <row r="1553" spans="1:4" ht="17" hidden="1" customHeight="1" outlineLevel="1" thickBot="1">
      <c r="A1553" s="2">
        <f>+Get_Data!A1552</f>
        <v>41697</v>
      </c>
      <c r="B1553">
        <f>+ROUND(Get_Data!B1552,5)</f>
        <v>64.931259999999995</v>
      </c>
      <c r="C1553">
        <f>+ROUND(Get_Data!C1552,5)</f>
        <v>30.60238</v>
      </c>
      <c r="D1553" s="4">
        <f t="shared" si="24"/>
        <v>2.1217715746291628</v>
      </c>
    </row>
    <row r="1554" spans="1:4" ht="17" hidden="1" customHeight="1" outlineLevel="1" thickBot="1">
      <c r="A1554" s="2">
        <f>+Get_Data!A1553</f>
        <v>41698</v>
      </c>
      <c r="B1554">
        <f>+ROUND(Get_Data!B1553,5)</f>
        <v>65.752449999999996</v>
      </c>
      <c r="C1554">
        <f>+ROUND(Get_Data!C1553,5)</f>
        <v>30.706869999999999</v>
      </c>
      <c r="D1554" s="4">
        <f t="shared" si="24"/>
        <v>2.1412944399738558</v>
      </c>
    </row>
    <row r="1555" spans="1:4" ht="17" hidden="1" customHeight="1" outlineLevel="1" thickBot="1">
      <c r="A1555" s="2">
        <f>+Get_Data!A1554</f>
        <v>41701</v>
      </c>
      <c r="B1555">
        <f>+ROUND(Get_Data!B1554,5)</f>
        <v>65.300759999999997</v>
      </c>
      <c r="C1555">
        <f>+ROUND(Get_Data!C1554,5)</f>
        <v>30.64256</v>
      </c>
      <c r="D1555" s="4">
        <f t="shared" si="24"/>
        <v>2.1310477975730486</v>
      </c>
    </row>
    <row r="1556" spans="1:4" ht="17" hidden="1" customHeight="1" outlineLevel="1" thickBot="1">
      <c r="A1556" s="2">
        <f>+Get_Data!A1555</f>
        <v>41702</v>
      </c>
      <c r="B1556">
        <f>+ROUND(Get_Data!B1555,5)</f>
        <v>66.392949999999999</v>
      </c>
      <c r="C1556">
        <f>+ROUND(Get_Data!C1555,5)</f>
        <v>30.795310000000001</v>
      </c>
      <c r="D1556" s="4">
        <f t="shared" si="24"/>
        <v>2.1559435511446385</v>
      </c>
    </row>
    <row r="1557" spans="1:4" ht="17" hidden="1" customHeight="1" outlineLevel="1" thickBot="1">
      <c r="A1557" s="2">
        <f>+Get_Data!A1556</f>
        <v>41703</v>
      </c>
      <c r="B1557">
        <f>+ROUND(Get_Data!B1556,5)</f>
        <v>67.077699999999993</v>
      </c>
      <c r="C1557">
        <f>+ROUND(Get_Data!C1556,5)</f>
        <v>30.827449999999999</v>
      </c>
      <c r="D1557" s="4">
        <f t="shared" si="24"/>
        <v>2.1759081597731891</v>
      </c>
    </row>
    <row r="1558" spans="1:4" ht="17" hidden="1" customHeight="1" outlineLevel="1" thickBot="1">
      <c r="A1558" s="2">
        <f>+Get_Data!A1557</f>
        <v>41704</v>
      </c>
      <c r="B1558">
        <f>+ROUND(Get_Data!B1557,5)</f>
        <v>67.259649999999993</v>
      </c>
      <c r="C1558">
        <f>+ROUND(Get_Data!C1557,5)</f>
        <v>30.923909999999999</v>
      </c>
      <c r="D1558" s="4">
        <f t="shared" si="24"/>
        <v>2.1750047131814831</v>
      </c>
    </row>
    <row r="1559" spans="1:4" ht="17" hidden="1" customHeight="1" outlineLevel="1" thickBot="1">
      <c r="A1559" s="2">
        <f>+Get_Data!A1558</f>
        <v>41705</v>
      </c>
      <c r="B1559">
        <f>+ROUND(Get_Data!B1558,5)</f>
        <v>67.449870000000004</v>
      </c>
      <c r="C1559">
        <f>+ROUND(Get_Data!C1558,5)</f>
        <v>30.988219999999998</v>
      </c>
      <c r="D1559" s="4">
        <f t="shared" si="24"/>
        <v>2.1766293772278629</v>
      </c>
    </row>
    <row r="1560" spans="1:4" ht="17" hidden="1" customHeight="1" outlineLevel="1" thickBot="1">
      <c r="A1560" s="2">
        <f>+Get_Data!A1559</f>
        <v>41708</v>
      </c>
      <c r="B1560">
        <f>+ROUND(Get_Data!B1559,5)</f>
        <v>67.590450000000004</v>
      </c>
      <c r="C1560">
        <f>+ROUND(Get_Data!C1559,5)</f>
        <v>31.0686</v>
      </c>
      <c r="D1560" s="4">
        <f t="shared" si="24"/>
        <v>2.1755228751858793</v>
      </c>
    </row>
    <row r="1561" spans="1:4" ht="17" hidden="1" customHeight="1" outlineLevel="1" thickBot="1">
      <c r="A1561" s="2">
        <f>+Get_Data!A1560</f>
        <v>41709</v>
      </c>
      <c r="B1561">
        <f>+ROUND(Get_Data!B1560,5)</f>
        <v>68.483599999999996</v>
      </c>
      <c r="C1561">
        <f>+ROUND(Get_Data!C1560,5)</f>
        <v>31.18919</v>
      </c>
      <c r="D1561" s="4">
        <f t="shared" si="24"/>
        <v>2.1957479498505732</v>
      </c>
    </row>
    <row r="1562" spans="1:4" ht="17" hidden="1" customHeight="1" outlineLevel="1" thickBot="1">
      <c r="A1562" s="2">
        <f>+Get_Data!A1561</f>
        <v>41710</v>
      </c>
      <c r="B1562">
        <f>+ROUND(Get_Data!B1561,5)</f>
        <v>67.937799999999996</v>
      </c>
      <c r="C1562">
        <f>+ROUND(Get_Data!C1561,5)</f>
        <v>31.16893</v>
      </c>
      <c r="D1562" s="4">
        <f t="shared" si="24"/>
        <v>2.1796641719815213</v>
      </c>
    </row>
    <row r="1563" spans="1:4" ht="17" hidden="1" customHeight="1" outlineLevel="1" thickBot="1">
      <c r="A1563" s="2">
        <f>+Get_Data!A1562</f>
        <v>41711</v>
      </c>
      <c r="B1563">
        <f>+ROUND(Get_Data!B1562,5)</f>
        <v>67.648349999999994</v>
      </c>
      <c r="C1563">
        <f>+ROUND(Get_Data!C1562,5)</f>
        <v>30.763809999999999</v>
      </c>
      <c r="D1563" s="4">
        <f t="shared" si="24"/>
        <v>2.1989587765624607</v>
      </c>
    </row>
    <row r="1564" spans="1:4" ht="17" hidden="1" customHeight="1" outlineLevel="1" thickBot="1">
      <c r="A1564" s="2">
        <f>+Get_Data!A1563</f>
        <v>41712</v>
      </c>
      <c r="B1564">
        <f>+ROUND(Get_Data!B1563,5)</f>
        <v>66.986739999999998</v>
      </c>
      <c r="C1564">
        <f>+ROUND(Get_Data!C1563,5)</f>
        <v>30.92586</v>
      </c>
      <c r="D1564" s="4">
        <f t="shared" si="24"/>
        <v>2.1660429168340021</v>
      </c>
    </row>
    <row r="1565" spans="1:4" ht="17" hidden="1" customHeight="1" outlineLevel="1" thickBot="1">
      <c r="A1565" s="2">
        <f>+Get_Data!A1564</f>
        <v>41715</v>
      </c>
      <c r="B1565">
        <f>+ROUND(Get_Data!B1564,5)</f>
        <v>67.855090000000004</v>
      </c>
      <c r="C1565">
        <f>+ROUND(Get_Data!C1564,5)</f>
        <v>31.006879999999999</v>
      </c>
      <c r="D1565" s="4">
        <f t="shared" si="24"/>
        <v>2.1883881899759023</v>
      </c>
    </row>
    <row r="1566" spans="1:4" ht="17" hidden="1" customHeight="1" outlineLevel="1" thickBot="1">
      <c r="A1566" s="2">
        <f>+Get_Data!A1565</f>
        <v>41716</v>
      </c>
      <c r="B1566">
        <f>+ROUND(Get_Data!B1565,5)</f>
        <v>67.772400000000005</v>
      </c>
      <c r="C1566">
        <f>+ROUND(Get_Data!C1565,5)</f>
        <v>31.112220000000001</v>
      </c>
      <c r="D1566" s="4">
        <f t="shared" si="24"/>
        <v>2.1783209298468575</v>
      </c>
    </row>
    <row r="1567" spans="1:4" ht="17" hidden="1" customHeight="1" outlineLevel="1" thickBot="1">
      <c r="A1567" s="2">
        <f>+Get_Data!A1566</f>
        <v>41717</v>
      </c>
      <c r="B1567">
        <f>+ROUND(Get_Data!B1566,5)</f>
        <v>67.292730000000006</v>
      </c>
      <c r="C1567">
        <f>+ROUND(Get_Data!C1566,5)</f>
        <v>30.90155</v>
      </c>
      <c r="D1567" s="4">
        <f t="shared" si="24"/>
        <v>2.1776490176059133</v>
      </c>
    </row>
    <row r="1568" spans="1:4" ht="17" hidden="1" customHeight="1" outlineLevel="1" thickBot="1">
      <c r="A1568" s="2">
        <f>+Get_Data!A1567</f>
        <v>41718</v>
      </c>
      <c r="B1568">
        <f>+ROUND(Get_Data!B1567,5)</f>
        <v>67.697969999999998</v>
      </c>
      <c r="C1568">
        <f>+ROUND(Get_Data!C1567,5)</f>
        <v>31.152719999999999</v>
      </c>
      <c r="D1568" s="4">
        <f t="shared" si="24"/>
        <v>2.1730998127932328</v>
      </c>
    </row>
    <row r="1569" spans="1:4" ht="17" hidden="1" customHeight="1" outlineLevel="1" thickBot="1">
      <c r="A1569" s="2">
        <f>+Get_Data!A1568</f>
        <v>41719</v>
      </c>
      <c r="B1569">
        <f>+ROUND(Get_Data!B1568,5)</f>
        <v>67.92953</v>
      </c>
      <c r="C1569">
        <f>+ROUND(Get_Data!C1568,5)</f>
        <v>31.14461</v>
      </c>
      <c r="D1569" s="4">
        <f t="shared" si="24"/>
        <v>2.1811006784159441</v>
      </c>
    </row>
    <row r="1570" spans="1:4" ht="17" hidden="1" customHeight="1" outlineLevel="1" thickBot="1">
      <c r="A1570" s="2">
        <f>+Get_Data!A1569</f>
        <v>41722</v>
      </c>
      <c r="B1570">
        <f>+ROUND(Get_Data!B1569,5)</f>
        <v>67.72278</v>
      </c>
      <c r="C1570">
        <f>+ROUND(Get_Data!C1569,5)</f>
        <v>31.112220000000001</v>
      </c>
      <c r="D1570" s="4">
        <f t="shared" si="24"/>
        <v>2.176726058121214</v>
      </c>
    </row>
    <row r="1571" spans="1:4" ht="17" hidden="1" customHeight="1" outlineLevel="1" thickBot="1">
      <c r="A1571" s="2">
        <f>+Get_Data!A1570</f>
        <v>41723</v>
      </c>
      <c r="B1571">
        <f>+ROUND(Get_Data!B1570,5)</f>
        <v>68.144540000000006</v>
      </c>
      <c r="C1571">
        <f>+ROUND(Get_Data!C1570,5)</f>
        <v>31.29045</v>
      </c>
      <c r="D1571" s="4">
        <f t="shared" si="24"/>
        <v>2.1778063274896975</v>
      </c>
    </row>
    <row r="1572" spans="1:4" ht="17" hidden="1" customHeight="1" outlineLevel="1" thickBot="1">
      <c r="A1572" s="2">
        <f>+Get_Data!A1571</f>
        <v>41724</v>
      </c>
      <c r="B1572">
        <f>+ROUND(Get_Data!B1571,5)</f>
        <v>68.533230000000003</v>
      </c>
      <c r="C1572">
        <f>+ROUND(Get_Data!C1571,5)</f>
        <v>31.282360000000001</v>
      </c>
      <c r="D1572" s="4">
        <f t="shared" si="24"/>
        <v>2.1907947482223209</v>
      </c>
    </row>
    <row r="1573" spans="1:4" ht="17" hidden="1" customHeight="1" outlineLevel="1" thickBot="1">
      <c r="A1573" s="2">
        <f>+Get_Data!A1572</f>
        <v>41725</v>
      </c>
      <c r="B1573">
        <f>+ROUND(Get_Data!B1572,5)</f>
        <v>68.260310000000004</v>
      </c>
      <c r="C1573">
        <f>+ROUND(Get_Data!C1572,5)</f>
        <v>31.452490000000001</v>
      </c>
      <c r="D1573" s="4">
        <f t="shared" si="24"/>
        <v>2.1702672824949629</v>
      </c>
    </row>
    <row r="1574" spans="1:4" ht="17" hidden="1" customHeight="1" outlineLevel="1" thickBot="1">
      <c r="A1574" s="2">
        <f>+Get_Data!A1573</f>
        <v>41726</v>
      </c>
      <c r="B1574">
        <f>+ROUND(Get_Data!B1573,5)</f>
        <v>68.59939</v>
      </c>
      <c r="C1574">
        <f>+ROUND(Get_Data!C1573,5)</f>
        <v>31.557829999999999</v>
      </c>
      <c r="D1574" s="4">
        <f t="shared" si="24"/>
        <v>2.1737676513245683</v>
      </c>
    </row>
    <row r="1575" spans="1:4" ht="17" hidden="1" customHeight="1" outlineLevel="1" thickBot="1">
      <c r="A1575" s="2">
        <f>+Get_Data!A1574</f>
        <v>41729</v>
      </c>
      <c r="B1575">
        <f>+ROUND(Get_Data!B1574,5)</f>
        <v>69.054220000000001</v>
      </c>
      <c r="C1575">
        <f>+ROUND(Get_Data!C1574,5)</f>
        <v>31.322859999999999</v>
      </c>
      <c r="D1575" s="4">
        <f t="shared" si="24"/>
        <v>2.2045949827059217</v>
      </c>
    </row>
    <row r="1576" spans="1:4" ht="17" hidden="1" customHeight="1" outlineLevel="1" thickBot="1">
      <c r="A1576" s="2">
        <f>+Get_Data!A1575</f>
        <v>41730</v>
      </c>
      <c r="B1576">
        <f>+ROUND(Get_Data!B1575,5)</f>
        <v>68.541499999999999</v>
      </c>
      <c r="C1576">
        <f>+ROUND(Get_Data!C1575,5)</f>
        <v>31.12031</v>
      </c>
      <c r="D1576" s="4">
        <f t="shared" si="24"/>
        <v>2.2024684201410589</v>
      </c>
    </row>
    <row r="1577" spans="1:4" ht="17" hidden="1" customHeight="1" outlineLevel="1" thickBot="1">
      <c r="A1577" s="2">
        <f>+Get_Data!A1576</f>
        <v>41731</v>
      </c>
      <c r="B1577">
        <f>+ROUND(Get_Data!B1576,5)</f>
        <v>68.417450000000002</v>
      </c>
      <c r="C1577">
        <f>+ROUND(Get_Data!C1576,5)</f>
        <v>31.055499999999999</v>
      </c>
      <c r="D1577" s="4">
        <f t="shared" si="24"/>
        <v>2.2030703096069941</v>
      </c>
    </row>
    <row r="1578" spans="1:4" ht="17" hidden="1" customHeight="1" outlineLevel="1" thickBot="1">
      <c r="A1578" s="2">
        <f>+Get_Data!A1577</f>
        <v>41732</v>
      </c>
      <c r="B1578">
        <f>+ROUND(Get_Data!B1577,5)</f>
        <v>68.566310000000001</v>
      </c>
      <c r="C1578">
        <f>+ROUND(Get_Data!C1577,5)</f>
        <v>30.844840000000001</v>
      </c>
      <c r="D1578" s="4">
        <f t="shared" si="24"/>
        <v>2.222942638055506</v>
      </c>
    </row>
    <row r="1579" spans="1:4" ht="17" hidden="1" customHeight="1" outlineLevel="1" thickBot="1">
      <c r="A1579" s="2">
        <f>+Get_Data!A1578</f>
        <v>41733</v>
      </c>
      <c r="B1579">
        <f>+ROUND(Get_Data!B1578,5)</f>
        <v>68.301670000000001</v>
      </c>
      <c r="C1579">
        <f>+ROUND(Get_Data!C1578,5)</f>
        <v>30.966370000000001</v>
      </c>
      <c r="D1579" s="4">
        <f t="shared" si="24"/>
        <v>2.2056724763025177</v>
      </c>
    </row>
    <row r="1580" spans="1:4" ht="17" hidden="1" customHeight="1" outlineLevel="1" thickBot="1">
      <c r="A1580" s="2">
        <f>+Get_Data!A1579</f>
        <v>41736</v>
      </c>
      <c r="B1580">
        <f>+ROUND(Get_Data!B1579,5)</f>
        <v>69.39331</v>
      </c>
      <c r="C1580">
        <f>+ROUND(Get_Data!C1579,5)</f>
        <v>31.29045</v>
      </c>
      <c r="D1580" s="4">
        <f t="shared" si="24"/>
        <v>2.2177153093036375</v>
      </c>
    </row>
    <row r="1581" spans="1:4" ht="17" hidden="1" customHeight="1" outlineLevel="1" thickBot="1">
      <c r="A1581" s="2">
        <f>+Get_Data!A1580</f>
        <v>41737</v>
      </c>
      <c r="B1581">
        <f>+ROUND(Get_Data!B1580,5)</f>
        <v>69.029430000000005</v>
      </c>
      <c r="C1581">
        <f>+ROUND(Get_Data!C1580,5)</f>
        <v>31.517320000000002</v>
      </c>
      <c r="D1581" s="4">
        <f t="shared" si="24"/>
        <v>2.190206210426521</v>
      </c>
    </row>
    <row r="1582" spans="1:4" ht="17" hidden="1" customHeight="1" outlineLevel="1" thickBot="1">
      <c r="A1582" s="2">
        <f>+Get_Data!A1581</f>
        <v>41738</v>
      </c>
      <c r="B1582">
        <f>+ROUND(Get_Data!B1581,5)</f>
        <v>69.39331</v>
      </c>
      <c r="C1582">
        <f>+ROUND(Get_Data!C1581,5)</f>
        <v>31.590240000000001</v>
      </c>
      <c r="D1582" s="4">
        <f t="shared" si="24"/>
        <v>2.1966692877293745</v>
      </c>
    </row>
    <row r="1583" spans="1:4" ht="17" hidden="1" customHeight="1" outlineLevel="1" thickBot="1">
      <c r="A1583" s="2">
        <f>+Get_Data!A1582</f>
        <v>41739</v>
      </c>
      <c r="B1583">
        <f>+ROUND(Get_Data!B1582,5)</f>
        <v>69.153480000000002</v>
      </c>
      <c r="C1583">
        <f>+ROUND(Get_Data!C1582,5)</f>
        <v>31.509219999999999</v>
      </c>
      <c r="D1583" s="4">
        <f t="shared" si="24"/>
        <v>2.1947061844120546</v>
      </c>
    </row>
    <row r="1584" spans="1:4" ht="17" hidden="1" customHeight="1" outlineLevel="1" thickBot="1">
      <c r="A1584" s="2">
        <f>+Get_Data!A1583</f>
        <v>41740</v>
      </c>
      <c r="B1584">
        <f>+ROUND(Get_Data!B1583,5)</f>
        <v>68.764790000000005</v>
      </c>
      <c r="C1584">
        <f>+ROUND(Get_Data!C1583,5)</f>
        <v>31.298559999999998</v>
      </c>
      <c r="D1584" s="4">
        <f t="shared" si="24"/>
        <v>2.1970592257279571</v>
      </c>
    </row>
    <row r="1585" spans="1:4" ht="17" hidden="1" customHeight="1" outlineLevel="1" thickBot="1">
      <c r="A1585" s="2">
        <f>+Get_Data!A1584</f>
        <v>41743</v>
      </c>
      <c r="B1585">
        <f>+ROUND(Get_Data!B1584,5)</f>
        <v>69.095579999999998</v>
      </c>
      <c r="C1585">
        <f>+ROUND(Get_Data!C1584,5)</f>
        <v>31.37959</v>
      </c>
      <c r="D1585" s="4">
        <f t="shared" si="24"/>
        <v>2.2019274311742123</v>
      </c>
    </row>
    <row r="1586" spans="1:4" ht="17" hidden="1" customHeight="1" outlineLevel="1" thickBot="1">
      <c r="A1586" s="2">
        <f>+Get_Data!A1585</f>
        <v>41744</v>
      </c>
      <c r="B1586">
        <f>+ROUND(Get_Data!B1585,5)</f>
        <v>69.434650000000005</v>
      </c>
      <c r="C1586">
        <f>+ROUND(Get_Data!C1585,5)</f>
        <v>32.554389999999998</v>
      </c>
      <c r="D1586" s="4">
        <f t="shared" si="24"/>
        <v>2.1328813103240458</v>
      </c>
    </row>
    <row r="1587" spans="1:4" ht="17" hidden="1" customHeight="1" outlineLevel="1" thickBot="1">
      <c r="A1587" s="2">
        <f>+Get_Data!A1586</f>
        <v>41745</v>
      </c>
      <c r="B1587">
        <f>+ROUND(Get_Data!B1586,5)</f>
        <v>70.104510000000005</v>
      </c>
      <c r="C1587">
        <f>+ROUND(Get_Data!C1586,5)</f>
        <v>32.886580000000002</v>
      </c>
      <c r="D1587" s="4">
        <f t="shared" si="24"/>
        <v>2.1317056987987195</v>
      </c>
    </row>
    <row r="1588" spans="1:4" ht="17" hidden="1" customHeight="1" outlineLevel="1" thickBot="1">
      <c r="A1588" s="2">
        <f>+Get_Data!A1587</f>
        <v>41746</v>
      </c>
      <c r="B1588">
        <f>+ROUND(Get_Data!B1587,5)</f>
        <v>70.749589999999998</v>
      </c>
      <c r="C1588">
        <f>+ROUND(Get_Data!C1587,5)</f>
        <v>32.991909999999997</v>
      </c>
      <c r="D1588" s="4">
        <f t="shared" si="24"/>
        <v>2.1444526855219963</v>
      </c>
    </row>
    <row r="1589" spans="1:4" ht="17" hidden="1" customHeight="1" outlineLevel="1" thickBot="1">
      <c r="A1589" s="2">
        <f>+Get_Data!A1588</f>
        <v>41750</v>
      </c>
      <c r="B1589">
        <f>+ROUND(Get_Data!B1588,5)</f>
        <v>71.047290000000004</v>
      </c>
      <c r="C1589">
        <f>+ROUND(Get_Data!C1588,5)</f>
        <v>33.016210000000001</v>
      </c>
      <c r="D1589" s="4">
        <f t="shared" si="24"/>
        <v>2.1518911468033428</v>
      </c>
    </row>
    <row r="1590" spans="1:4" ht="17" hidden="1" customHeight="1" outlineLevel="1" thickBot="1">
      <c r="A1590" s="2">
        <f>+Get_Data!A1589</f>
        <v>41751</v>
      </c>
      <c r="B1590">
        <f>+ROUND(Get_Data!B1589,5)</f>
        <v>70.410510000000002</v>
      </c>
      <c r="C1590">
        <f>+ROUND(Get_Data!C1589,5)</f>
        <v>32.983800000000002</v>
      </c>
      <c r="D1590" s="4">
        <f t="shared" si="24"/>
        <v>2.1346997617011989</v>
      </c>
    </row>
    <row r="1591" spans="1:4" ht="17" hidden="1" customHeight="1" outlineLevel="1" thickBot="1">
      <c r="A1591" s="2">
        <f>+Get_Data!A1590</f>
        <v>41752</v>
      </c>
      <c r="B1591">
        <f>+ROUND(Get_Data!B1590,5)</f>
        <v>70.633799999999994</v>
      </c>
      <c r="C1591">
        <f>+ROUND(Get_Data!C1590,5)</f>
        <v>33</v>
      </c>
      <c r="D1591" s="4">
        <f t="shared" si="24"/>
        <v>2.1404181818181818</v>
      </c>
    </row>
    <row r="1592" spans="1:4" ht="17" hidden="1" customHeight="1" outlineLevel="1" thickBot="1">
      <c r="A1592" s="2">
        <f>+Get_Data!A1591</f>
        <v>41753</v>
      </c>
      <c r="B1592">
        <f>+ROUND(Get_Data!B1591,5)</f>
        <v>70.724779999999996</v>
      </c>
      <c r="C1592">
        <f>+ROUND(Get_Data!C1591,5)</f>
        <v>32.975709999999999</v>
      </c>
      <c r="D1592" s="4">
        <f t="shared" si="24"/>
        <v>2.1447538203119811</v>
      </c>
    </row>
    <row r="1593" spans="1:4" ht="17" hidden="1" customHeight="1" outlineLevel="1" thickBot="1">
      <c r="A1593" s="2">
        <f>+Get_Data!A1592</f>
        <v>41754</v>
      </c>
      <c r="B1593">
        <f>+ROUND(Get_Data!B1592,5)</f>
        <v>70.501469999999998</v>
      </c>
      <c r="C1593">
        <f>+ROUND(Get_Data!C1592,5)</f>
        <v>33.226869999999998</v>
      </c>
      <c r="D1593" s="4">
        <f t="shared" si="24"/>
        <v>2.1218209840409283</v>
      </c>
    </row>
    <row r="1594" spans="1:4" ht="17" hidden="1" customHeight="1" outlineLevel="1" thickBot="1">
      <c r="A1594" s="2">
        <f>+Get_Data!A1593</f>
        <v>41757</v>
      </c>
      <c r="B1594">
        <f>+ROUND(Get_Data!B1593,5)</f>
        <v>71.799869999999999</v>
      </c>
      <c r="C1594">
        <f>+ROUND(Get_Data!C1593,5)</f>
        <v>33.243079999999999</v>
      </c>
      <c r="D1594" s="4">
        <f t="shared" si="24"/>
        <v>2.1598440938685584</v>
      </c>
    </row>
    <row r="1595" spans="1:4" ht="17" hidden="1" customHeight="1" outlineLevel="1" thickBot="1">
      <c r="A1595" s="2">
        <f>+Get_Data!A1594</f>
        <v>41758</v>
      </c>
      <c r="B1595">
        <f>+ROUND(Get_Data!B1594,5)</f>
        <v>70.923259999999999</v>
      </c>
      <c r="C1595">
        <f>+ROUND(Get_Data!C1594,5)</f>
        <v>32.870370000000001</v>
      </c>
      <c r="D1595" s="4">
        <f t="shared" si="24"/>
        <v>2.15766539895961</v>
      </c>
    </row>
    <row r="1596" spans="1:4" ht="17" hidden="1" customHeight="1" outlineLevel="1" thickBot="1">
      <c r="A1596" s="2">
        <f>+Get_Data!A1595</f>
        <v>41759</v>
      </c>
      <c r="B1596">
        <f>+ROUND(Get_Data!B1595,5)</f>
        <v>71.030749999999998</v>
      </c>
      <c r="C1596">
        <f>+ROUND(Get_Data!C1595,5)</f>
        <v>33.048609999999996</v>
      </c>
      <c r="D1596" s="4">
        <f t="shared" si="24"/>
        <v>2.1492810136341589</v>
      </c>
    </row>
    <row r="1597" spans="1:4" ht="17" hidden="1" customHeight="1" outlineLevel="1" thickBot="1">
      <c r="A1597" s="2">
        <f>+Get_Data!A1596</f>
        <v>41760</v>
      </c>
      <c r="B1597">
        <f>+ROUND(Get_Data!B1596,5)</f>
        <v>70.766120000000001</v>
      </c>
      <c r="C1597">
        <f>+ROUND(Get_Data!C1596,5)</f>
        <v>33.040509999999998</v>
      </c>
      <c r="D1597" s="4">
        <f t="shared" si="24"/>
        <v>2.1417986586768789</v>
      </c>
    </row>
    <row r="1598" spans="1:4" ht="17" hidden="1" customHeight="1" outlineLevel="1" thickBot="1">
      <c r="A1598" s="2">
        <f>+Get_Data!A1597</f>
        <v>41761</v>
      </c>
      <c r="B1598">
        <f>+ROUND(Get_Data!B1597,5)</f>
        <v>70.724779999999996</v>
      </c>
      <c r="C1598">
        <f>+ROUND(Get_Data!C1597,5)</f>
        <v>33.178260000000002</v>
      </c>
      <c r="D1598" s="4">
        <f t="shared" si="24"/>
        <v>2.1316603100946221</v>
      </c>
    </row>
    <row r="1599" spans="1:4" ht="17" hidden="1" customHeight="1" outlineLevel="1" thickBot="1">
      <c r="A1599" s="2">
        <f>+Get_Data!A1598</f>
        <v>41764</v>
      </c>
      <c r="B1599">
        <f>+ROUND(Get_Data!B1598,5)</f>
        <v>71.047290000000004</v>
      </c>
      <c r="C1599">
        <f>+ROUND(Get_Data!C1598,5)</f>
        <v>33.02431</v>
      </c>
      <c r="D1599" s="4">
        <f t="shared" si="24"/>
        <v>2.1513633441546545</v>
      </c>
    </row>
    <row r="1600" spans="1:4" ht="17" hidden="1" customHeight="1" outlineLevel="1" thickBot="1">
      <c r="A1600" s="2">
        <f>+Get_Data!A1599</f>
        <v>41765</v>
      </c>
      <c r="B1600">
        <f>+ROUND(Get_Data!B1599,5)</f>
        <v>70.600710000000007</v>
      </c>
      <c r="C1600">
        <f>+ROUND(Get_Data!C1599,5)</f>
        <v>32.80556</v>
      </c>
      <c r="D1600" s="4">
        <f t="shared" si="24"/>
        <v>2.1520958642376478</v>
      </c>
    </row>
    <row r="1601" spans="1:4" ht="17" hidden="1" customHeight="1" outlineLevel="1" thickBot="1">
      <c r="A1601" s="2">
        <f>+Get_Data!A1600</f>
        <v>41766</v>
      </c>
      <c r="B1601">
        <f>+ROUND(Get_Data!B1600,5)</f>
        <v>71.783320000000003</v>
      </c>
      <c r="C1601">
        <f>+ROUND(Get_Data!C1600,5)</f>
        <v>33.145850000000003</v>
      </c>
      <c r="D1601" s="4">
        <f t="shared" si="24"/>
        <v>2.1656804698024037</v>
      </c>
    </row>
    <row r="1602" spans="1:4" ht="17" hidden="1" customHeight="1" outlineLevel="1" thickBot="1">
      <c r="A1602" s="2">
        <f>+Get_Data!A1601</f>
        <v>41767</v>
      </c>
      <c r="B1602">
        <f>+ROUND(Get_Data!B1601,5)</f>
        <v>71.667559999999995</v>
      </c>
      <c r="C1602">
        <f>+ROUND(Get_Data!C1601,5)</f>
        <v>33</v>
      </c>
      <c r="D1602" s="4">
        <f t="shared" si="24"/>
        <v>2.1717442424242424</v>
      </c>
    </row>
    <row r="1603" spans="1:4" ht="17" hidden="1" customHeight="1" outlineLevel="1" thickBot="1">
      <c r="A1603" s="2">
        <f>+Get_Data!A1602</f>
        <v>41768</v>
      </c>
      <c r="B1603">
        <f>+ROUND(Get_Data!B1602,5)</f>
        <v>72.089290000000005</v>
      </c>
      <c r="C1603">
        <f>+ROUND(Get_Data!C1602,5)</f>
        <v>33.113439999999997</v>
      </c>
      <c r="D1603" s="4">
        <f t="shared" si="24"/>
        <v>2.1770401987833341</v>
      </c>
    </row>
    <row r="1604" spans="1:4" ht="17" hidden="1" customHeight="1" outlineLevel="1" thickBot="1">
      <c r="A1604" s="2">
        <f>+Get_Data!A1603</f>
        <v>41771</v>
      </c>
      <c r="B1604">
        <f>+ROUND(Get_Data!B1603,5)</f>
        <v>71.890839999999997</v>
      </c>
      <c r="C1604">
        <f>+ROUND(Get_Data!C1603,5)</f>
        <v>33.072920000000003</v>
      </c>
      <c r="D1604" s="4">
        <f t="shared" ref="D1604:D1667" si="25">IFERROR(B1604/C1604,"")</f>
        <v>2.1737070691066886</v>
      </c>
    </row>
    <row r="1605" spans="1:4" ht="17" hidden="1" customHeight="1" outlineLevel="1" thickBot="1">
      <c r="A1605" s="2">
        <f>+Get_Data!A1604</f>
        <v>41772</v>
      </c>
      <c r="B1605">
        <f>+ROUND(Get_Data!B1604,5)</f>
        <v>72.138930000000002</v>
      </c>
      <c r="C1605">
        <f>+ROUND(Get_Data!C1604,5)</f>
        <v>33.307879999999997</v>
      </c>
      <c r="D1605" s="4">
        <f t="shared" si="25"/>
        <v>2.1658217214665121</v>
      </c>
    </row>
    <row r="1606" spans="1:4" ht="17" hidden="1" customHeight="1" outlineLevel="1" thickBot="1">
      <c r="A1606" s="2">
        <f>+Get_Data!A1605</f>
        <v>41773</v>
      </c>
      <c r="B1606">
        <f>+ROUND(Get_Data!B1605,5)</f>
        <v>71.816389999999998</v>
      </c>
      <c r="C1606">
        <f>+ROUND(Get_Data!C1605,5)</f>
        <v>33.129649999999998</v>
      </c>
      <c r="D1606" s="4">
        <f t="shared" si="25"/>
        <v>2.1677376609774024</v>
      </c>
    </row>
    <row r="1607" spans="1:4" ht="17" hidden="1" customHeight="1" outlineLevel="1" thickBot="1">
      <c r="A1607" s="2">
        <f>+Get_Data!A1606</f>
        <v>41774</v>
      </c>
      <c r="B1607">
        <f>+ROUND(Get_Data!B1606,5)</f>
        <v>70.906700000000001</v>
      </c>
      <c r="C1607">
        <f>+ROUND(Get_Data!C1606,5)</f>
        <v>32.829859999999996</v>
      </c>
      <c r="D1607" s="4">
        <f t="shared" si="25"/>
        <v>2.1598234046687987</v>
      </c>
    </row>
    <row r="1608" spans="1:4" ht="17" hidden="1" customHeight="1" outlineLevel="1" thickBot="1">
      <c r="A1608" s="2">
        <f>+Get_Data!A1607</f>
        <v>41775</v>
      </c>
      <c r="B1608">
        <f>+ROUND(Get_Data!B1607,5)</f>
        <v>71.56832</v>
      </c>
      <c r="C1608">
        <f>+ROUND(Get_Data!C1607,5)</f>
        <v>33.129649999999998</v>
      </c>
      <c r="D1608" s="4">
        <f t="shared" si="25"/>
        <v>2.1602498064422657</v>
      </c>
    </row>
    <row r="1609" spans="1:4" ht="17" hidden="1" customHeight="1" outlineLevel="1" thickBot="1">
      <c r="A1609" s="2">
        <f>+Get_Data!A1608</f>
        <v>41778</v>
      </c>
      <c r="B1609">
        <f>+ROUND(Get_Data!B1608,5)</f>
        <v>71.204440000000005</v>
      </c>
      <c r="C1609">
        <f>+ROUND(Get_Data!C1608,5)</f>
        <v>32.983800000000002</v>
      </c>
      <c r="D1609" s="4">
        <f t="shared" si="25"/>
        <v>2.1587700628793529</v>
      </c>
    </row>
    <row r="1610" spans="1:4" ht="17" hidden="1" customHeight="1" outlineLevel="1" thickBot="1">
      <c r="A1610" s="2">
        <f>+Get_Data!A1609</f>
        <v>41779</v>
      </c>
      <c r="B1610">
        <f>+ROUND(Get_Data!B1609,5)</f>
        <v>70.83229</v>
      </c>
      <c r="C1610">
        <f>+ROUND(Get_Data!C1609,5)</f>
        <v>32.878480000000003</v>
      </c>
      <c r="D1610" s="4">
        <f t="shared" si="25"/>
        <v>2.1543663210708037</v>
      </c>
    </row>
    <row r="1611" spans="1:4" ht="17" hidden="1" customHeight="1" outlineLevel="1" thickBot="1">
      <c r="A1611" s="2">
        <f>+Get_Data!A1610</f>
        <v>41780</v>
      </c>
      <c r="B1611">
        <f>+ROUND(Get_Data!B1610,5)</f>
        <v>71.204440000000005</v>
      </c>
      <c r="C1611">
        <f>+ROUND(Get_Data!C1610,5)</f>
        <v>33.113439999999997</v>
      </c>
      <c r="D1611" s="4">
        <f t="shared" si="25"/>
        <v>2.1503184205567289</v>
      </c>
    </row>
    <row r="1612" spans="1:4" ht="17" hidden="1" customHeight="1" outlineLevel="1" thickBot="1">
      <c r="A1612" s="2">
        <f>+Get_Data!A1611</f>
        <v>41781</v>
      </c>
      <c r="B1612">
        <f>+ROUND(Get_Data!B1611,5)</f>
        <v>70.7744</v>
      </c>
      <c r="C1612">
        <f>+ROUND(Get_Data!C1611,5)</f>
        <v>32.878480000000003</v>
      </c>
      <c r="D1612" s="4">
        <f t="shared" si="25"/>
        <v>2.1526055949058471</v>
      </c>
    </row>
    <row r="1613" spans="1:4" ht="17" hidden="1" customHeight="1" outlineLevel="1" thickBot="1">
      <c r="A1613" s="2">
        <f>+Get_Data!A1612</f>
        <v>41782</v>
      </c>
      <c r="B1613">
        <f>+ROUND(Get_Data!B1612,5)</f>
        <v>70.98115</v>
      </c>
      <c r="C1613">
        <f>+ROUND(Get_Data!C1612,5)</f>
        <v>32.878480000000003</v>
      </c>
      <c r="D1613" s="4">
        <f t="shared" si="25"/>
        <v>2.1588939026378346</v>
      </c>
    </row>
    <row r="1614" spans="1:4" ht="17" hidden="1" customHeight="1" outlineLevel="1" thickBot="1">
      <c r="A1614" s="2">
        <f>+Get_Data!A1613</f>
        <v>41786</v>
      </c>
      <c r="B1614">
        <f>+ROUND(Get_Data!B1613,5)</f>
        <v>71.560040000000001</v>
      </c>
      <c r="C1614">
        <f>+ROUND(Get_Data!C1613,5)</f>
        <v>33.032420000000002</v>
      </c>
      <c r="D1614" s="4">
        <f t="shared" si="25"/>
        <v>2.1663577782069856</v>
      </c>
    </row>
    <row r="1615" spans="1:4" ht="17" hidden="1" customHeight="1" outlineLevel="1" thickBot="1">
      <c r="A1615" s="2">
        <f>+Get_Data!A1614</f>
        <v>41787</v>
      </c>
      <c r="B1615">
        <f>+ROUND(Get_Data!B1614,5)</f>
        <v>72.006609999999995</v>
      </c>
      <c r="C1615">
        <f>+ROUND(Get_Data!C1614,5)</f>
        <v>32.878480000000003</v>
      </c>
      <c r="D1615" s="4">
        <f t="shared" si="25"/>
        <v>2.1900833006878662</v>
      </c>
    </row>
    <row r="1616" spans="1:4" ht="17" hidden="1" customHeight="1" outlineLevel="1" thickBot="1">
      <c r="A1616" s="2">
        <f>+Get_Data!A1615</f>
        <v>41788</v>
      </c>
      <c r="B1616">
        <f>+ROUND(Get_Data!B1615,5)</f>
        <v>72.552430000000001</v>
      </c>
      <c r="C1616">
        <f>+ROUND(Get_Data!C1615,5)</f>
        <v>32.943289999999998</v>
      </c>
      <c r="D1616" s="4">
        <f t="shared" si="25"/>
        <v>2.2023431782314398</v>
      </c>
    </row>
    <row r="1617" spans="1:4" ht="17" hidden="1" customHeight="1" outlineLevel="1" thickBot="1">
      <c r="A1617" s="2">
        <f>+Get_Data!A1616</f>
        <v>41789</v>
      </c>
      <c r="B1617">
        <f>+ROUND(Get_Data!B1616,5)</f>
        <v>73.048630000000003</v>
      </c>
      <c r="C1617">
        <f>+ROUND(Get_Data!C1616,5)</f>
        <v>33.145850000000003</v>
      </c>
      <c r="D1617" s="4">
        <f t="shared" si="25"/>
        <v>2.2038544795200603</v>
      </c>
    </row>
    <row r="1618" spans="1:4" ht="17" hidden="1" customHeight="1" outlineLevel="1" thickBot="1">
      <c r="A1618" s="2">
        <f>+Get_Data!A1617</f>
        <v>41792</v>
      </c>
      <c r="B1618">
        <f>+ROUND(Get_Data!B1617,5)</f>
        <v>72.668210000000002</v>
      </c>
      <c r="C1618">
        <f>+ROUND(Get_Data!C1617,5)</f>
        <v>33.105339999999998</v>
      </c>
      <c r="D1618" s="4">
        <f t="shared" si="25"/>
        <v>2.1950600718796425</v>
      </c>
    </row>
    <row r="1619" spans="1:4" ht="17" hidden="1" customHeight="1" outlineLevel="1" thickBot="1">
      <c r="A1619" s="2">
        <f>+Get_Data!A1618</f>
        <v>41793</v>
      </c>
      <c r="B1619">
        <f>+ROUND(Get_Data!B1618,5)</f>
        <v>72.957660000000004</v>
      </c>
      <c r="C1619">
        <f>+ROUND(Get_Data!C1618,5)</f>
        <v>33.12153</v>
      </c>
      <c r="D1619" s="4">
        <f t="shared" si="25"/>
        <v>2.2027261421800262</v>
      </c>
    </row>
    <row r="1620" spans="1:4" ht="17" hidden="1" customHeight="1" outlineLevel="1" thickBot="1">
      <c r="A1620" s="2">
        <f>+Get_Data!A1619</f>
        <v>41794</v>
      </c>
      <c r="B1620">
        <f>+ROUND(Get_Data!B1619,5)</f>
        <v>72.845169999999996</v>
      </c>
      <c r="C1620">
        <f>+ROUND(Get_Data!C1619,5)</f>
        <v>33.048609999999996</v>
      </c>
      <c r="D1620" s="4">
        <f t="shared" si="25"/>
        <v>2.2041825662259322</v>
      </c>
    </row>
    <row r="1621" spans="1:4" ht="17" hidden="1" customHeight="1" outlineLevel="1" thickBot="1">
      <c r="A1621" s="2">
        <f>+Get_Data!A1620</f>
        <v>41795</v>
      </c>
      <c r="B1621">
        <f>+ROUND(Get_Data!B1620,5)</f>
        <v>73.12012</v>
      </c>
      <c r="C1621">
        <f>+ROUND(Get_Data!C1620,5)</f>
        <v>33.129649999999998</v>
      </c>
      <c r="D1621" s="4">
        <f t="shared" si="25"/>
        <v>2.2070900235891417</v>
      </c>
    </row>
    <row r="1622" spans="1:4" ht="17" hidden="1" customHeight="1" outlineLevel="1" thickBot="1">
      <c r="A1622" s="2">
        <f>+Get_Data!A1621</f>
        <v>41796</v>
      </c>
      <c r="B1622">
        <f>+ROUND(Get_Data!B1621,5)</f>
        <v>73.245109999999997</v>
      </c>
      <c r="C1622">
        <f>+ROUND(Get_Data!C1621,5)</f>
        <v>33.21067</v>
      </c>
      <c r="D1622" s="4">
        <f t="shared" si="25"/>
        <v>2.2054692061316437</v>
      </c>
    </row>
    <row r="1623" spans="1:4" ht="17" hidden="1" customHeight="1" outlineLevel="1" thickBot="1">
      <c r="A1623" s="2">
        <f>+Get_Data!A1622</f>
        <v>41799</v>
      </c>
      <c r="B1623">
        <f>+ROUND(Get_Data!B1622,5)</f>
        <v>73.32011</v>
      </c>
      <c r="C1623">
        <f>+ROUND(Get_Data!C1622,5)</f>
        <v>33.145850000000003</v>
      </c>
      <c r="D1623" s="4">
        <f t="shared" si="25"/>
        <v>2.212044946803295</v>
      </c>
    </row>
    <row r="1624" spans="1:4" ht="17" hidden="1" customHeight="1" outlineLevel="1" thickBot="1">
      <c r="A1624" s="2">
        <f>+Get_Data!A1623</f>
        <v>41800</v>
      </c>
      <c r="B1624">
        <f>+ROUND(Get_Data!B1623,5)</f>
        <v>73.670010000000005</v>
      </c>
      <c r="C1624">
        <f>+ROUND(Get_Data!C1623,5)</f>
        <v>33.275469999999999</v>
      </c>
      <c r="D1624" s="4">
        <f t="shared" si="25"/>
        <v>2.2139434844947345</v>
      </c>
    </row>
    <row r="1625" spans="1:4" ht="17" hidden="1" customHeight="1" outlineLevel="1" thickBot="1">
      <c r="A1625" s="2">
        <f>+Get_Data!A1624</f>
        <v>41801</v>
      </c>
      <c r="B1625">
        <f>+ROUND(Get_Data!B1624,5)</f>
        <v>73.136799999999994</v>
      </c>
      <c r="C1625">
        <f>+ROUND(Get_Data!C1624,5)</f>
        <v>33.105339999999998</v>
      </c>
      <c r="D1625" s="4">
        <f t="shared" si="25"/>
        <v>2.2092145859248085</v>
      </c>
    </row>
    <row r="1626" spans="1:4" ht="17" hidden="1" customHeight="1" outlineLevel="1" thickBot="1">
      <c r="A1626" s="2">
        <f>+Get_Data!A1625</f>
        <v>41802</v>
      </c>
      <c r="B1626">
        <f>+ROUND(Get_Data!B1625,5)</f>
        <v>72.670199999999994</v>
      </c>
      <c r="C1626">
        <f>+ROUND(Get_Data!C1625,5)</f>
        <v>32.99512</v>
      </c>
      <c r="D1626" s="4">
        <f t="shared" si="25"/>
        <v>2.2024529688026591</v>
      </c>
    </row>
    <row r="1627" spans="1:4" ht="17" hidden="1" customHeight="1" outlineLevel="1" thickBot="1">
      <c r="A1627" s="2">
        <f>+Get_Data!A1626</f>
        <v>41803</v>
      </c>
      <c r="B1627">
        <f>+ROUND(Get_Data!B1626,5)</f>
        <v>72.645219999999995</v>
      </c>
      <c r="C1627">
        <f>+ROUND(Get_Data!C1626,5)</f>
        <v>32.954320000000003</v>
      </c>
      <c r="D1627" s="4">
        <f t="shared" si="25"/>
        <v>2.2044217571474691</v>
      </c>
    </row>
    <row r="1628" spans="1:4" ht="17" hidden="1" customHeight="1" outlineLevel="1" thickBot="1">
      <c r="A1628" s="2">
        <f>+Get_Data!A1627</f>
        <v>41806</v>
      </c>
      <c r="B1628">
        <f>+ROUND(Get_Data!B1627,5)</f>
        <v>72.945189999999997</v>
      </c>
      <c r="C1628">
        <f>+ROUND(Get_Data!C1627,5)</f>
        <v>33.191040000000001</v>
      </c>
      <c r="D1628" s="4">
        <f t="shared" si="25"/>
        <v>2.1977374014191779</v>
      </c>
    </row>
    <row r="1629" spans="1:4" ht="17" hidden="1" customHeight="1" outlineLevel="1" thickBot="1">
      <c r="A1629" s="2">
        <f>+Get_Data!A1628</f>
        <v>41807</v>
      </c>
      <c r="B1629">
        <f>+ROUND(Get_Data!B1628,5)</f>
        <v>72.720209999999994</v>
      </c>
      <c r="C1629">
        <f>+ROUND(Get_Data!C1628,5)</f>
        <v>33.403289999999998</v>
      </c>
      <c r="D1629" s="4">
        <f t="shared" si="25"/>
        <v>2.1770373517099664</v>
      </c>
    </row>
    <row r="1630" spans="1:4" ht="17" hidden="1" customHeight="1" outlineLevel="1" thickBot="1">
      <c r="A1630" s="2">
        <f>+Get_Data!A1629</f>
        <v>41808</v>
      </c>
      <c r="B1630">
        <f>+ROUND(Get_Data!B1629,5)</f>
        <v>74.069950000000006</v>
      </c>
      <c r="C1630">
        <f>+ROUND(Get_Data!C1629,5)</f>
        <v>33.925719999999998</v>
      </c>
      <c r="D1630" s="4">
        <f t="shared" si="25"/>
        <v>2.1832978047334004</v>
      </c>
    </row>
    <row r="1631" spans="1:4" ht="17" hidden="1" customHeight="1" outlineLevel="1" thickBot="1">
      <c r="A1631" s="2">
        <f>+Get_Data!A1630</f>
        <v>41809</v>
      </c>
      <c r="B1631">
        <f>+ROUND(Get_Data!B1630,5)</f>
        <v>75.069760000000002</v>
      </c>
      <c r="C1631">
        <f>+ROUND(Get_Data!C1630,5)</f>
        <v>34.113489999999999</v>
      </c>
      <c r="D1631" s="4">
        <f t="shared" si="25"/>
        <v>2.2005886820726932</v>
      </c>
    </row>
    <row r="1632" spans="1:4" ht="17" hidden="1" customHeight="1" outlineLevel="1" thickBot="1">
      <c r="A1632" s="2">
        <f>+Get_Data!A1631</f>
        <v>41810</v>
      </c>
      <c r="B1632">
        <f>+ROUND(Get_Data!B1631,5)</f>
        <v>74.236599999999996</v>
      </c>
      <c r="C1632">
        <f>+ROUND(Get_Data!C1631,5)</f>
        <v>34.031840000000003</v>
      </c>
      <c r="D1632" s="4">
        <f t="shared" si="25"/>
        <v>2.1813866073653374</v>
      </c>
    </row>
    <row r="1633" spans="1:4" ht="17" hidden="1" customHeight="1" outlineLevel="1" thickBot="1">
      <c r="A1633" s="2">
        <f>+Get_Data!A1632</f>
        <v>41813</v>
      </c>
      <c r="B1633">
        <f>+ROUND(Get_Data!B1632,5)</f>
        <v>73.645039999999995</v>
      </c>
      <c r="C1633">
        <f>+ROUND(Get_Data!C1632,5)</f>
        <v>34.064489999999999</v>
      </c>
      <c r="D1633" s="4">
        <f t="shared" si="25"/>
        <v>2.1619299158742726</v>
      </c>
    </row>
    <row r="1634" spans="1:4" ht="17" hidden="1" customHeight="1" outlineLevel="1" thickBot="1">
      <c r="A1634" s="2">
        <f>+Get_Data!A1633</f>
        <v>41814</v>
      </c>
      <c r="B1634">
        <f>+ROUND(Get_Data!B1633,5)</f>
        <v>73.361739999999998</v>
      </c>
      <c r="C1634">
        <f>+ROUND(Get_Data!C1633,5)</f>
        <v>34.162439999999997</v>
      </c>
      <c r="D1634" s="4">
        <f t="shared" si="25"/>
        <v>2.1474385319081426</v>
      </c>
    </row>
    <row r="1635" spans="1:4" ht="17" hidden="1" customHeight="1" outlineLevel="1" thickBot="1">
      <c r="A1635" s="2">
        <f>+Get_Data!A1634</f>
        <v>41815</v>
      </c>
      <c r="B1635">
        <f>+ROUND(Get_Data!B1634,5)</f>
        <v>73.803349999999995</v>
      </c>
      <c r="C1635">
        <f>+ROUND(Get_Data!C1634,5)</f>
        <v>34.252249999999997</v>
      </c>
      <c r="D1635" s="4">
        <f t="shared" si="25"/>
        <v>2.1547007860797467</v>
      </c>
    </row>
    <row r="1636" spans="1:4" ht="17" hidden="1" customHeight="1" outlineLevel="1" thickBot="1">
      <c r="A1636" s="2">
        <f>+Get_Data!A1635</f>
        <v>41816</v>
      </c>
      <c r="B1636">
        <f>+ROUND(Get_Data!B1635,5)</f>
        <v>73.828320000000005</v>
      </c>
      <c r="C1636">
        <f>+ROUND(Get_Data!C1635,5)</f>
        <v>34.30939</v>
      </c>
      <c r="D1636" s="4">
        <f t="shared" si="25"/>
        <v>2.15184006477527</v>
      </c>
    </row>
    <row r="1637" spans="1:4" ht="17" hidden="1" customHeight="1" outlineLevel="1" thickBot="1">
      <c r="A1637" s="2">
        <f>+Get_Data!A1636</f>
        <v>41817</v>
      </c>
      <c r="B1637">
        <f>+ROUND(Get_Data!B1636,5)</f>
        <v>73.953320000000005</v>
      </c>
      <c r="C1637">
        <f>+ROUND(Get_Data!C1636,5)</f>
        <v>34.439990000000002</v>
      </c>
      <c r="D1637" s="4">
        <f t="shared" si="25"/>
        <v>2.1473095665823365</v>
      </c>
    </row>
    <row r="1638" spans="1:4" ht="17" hidden="1" customHeight="1" outlineLevel="1" thickBot="1">
      <c r="A1638" s="2">
        <f>+Get_Data!A1637</f>
        <v>41820</v>
      </c>
      <c r="B1638">
        <f>+ROUND(Get_Data!B1637,5)</f>
        <v>74.436549999999997</v>
      </c>
      <c r="C1638">
        <f>+ROUND(Get_Data!C1637,5)</f>
        <v>34.578780000000002</v>
      </c>
      <c r="D1638" s="4">
        <f t="shared" si="25"/>
        <v>2.1526655943327091</v>
      </c>
    </row>
    <row r="1639" spans="1:4" ht="17" hidden="1" customHeight="1" outlineLevel="1" thickBot="1">
      <c r="A1639" s="2">
        <f>+Get_Data!A1638</f>
        <v>41821</v>
      </c>
      <c r="B1639">
        <f>+ROUND(Get_Data!B1638,5)</f>
        <v>74.261610000000005</v>
      </c>
      <c r="C1639">
        <f>+ROUND(Get_Data!C1638,5)</f>
        <v>34.521639999999998</v>
      </c>
      <c r="D1639" s="4">
        <f t="shared" si="25"/>
        <v>2.1511611267599107</v>
      </c>
    </row>
    <row r="1640" spans="1:4" ht="17" hidden="1" customHeight="1" outlineLevel="1" thickBot="1">
      <c r="A1640" s="2">
        <f>+Get_Data!A1639</f>
        <v>41822</v>
      </c>
      <c r="B1640">
        <f>+ROUND(Get_Data!B1639,5)</f>
        <v>74.711519999999993</v>
      </c>
      <c r="C1640">
        <f>+ROUND(Get_Data!C1639,5)</f>
        <v>34.521639999999998</v>
      </c>
      <c r="D1640" s="4">
        <f t="shared" si="25"/>
        <v>2.1641938216145005</v>
      </c>
    </row>
    <row r="1641" spans="1:4" ht="17" hidden="1" customHeight="1" outlineLevel="1" thickBot="1">
      <c r="A1641" s="2">
        <f>+Get_Data!A1640</f>
        <v>41823</v>
      </c>
      <c r="B1641">
        <f>+ROUND(Get_Data!B1640,5)</f>
        <v>75.003140000000002</v>
      </c>
      <c r="C1641">
        <f>+ROUND(Get_Data!C1640,5)</f>
        <v>34.472650000000002</v>
      </c>
      <c r="D1641" s="4">
        <f t="shared" si="25"/>
        <v>2.1757288749196828</v>
      </c>
    </row>
    <row r="1642" spans="1:4" ht="17" hidden="1" customHeight="1" outlineLevel="1" thickBot="1">
      <c r="A1642" s="2">
        <f>+Get_Data!A1641</f>
        <v>41827</v>
      </c>
      <c r="B1642">
        <f>+ROUND(Get_Data!B1641,5)</f>
        <v>74.869810000000001</v>
      </c>
      <c r="C1642">
        <f>+ROUND(Get_Data!C1641,5)</f>
        <v>34.399169999999998</v>
      </c>
      <c r="D1642" s="4">
        <f t="shared" si="25"/>
        <v>2.1765004795173839</v>
      </c>
    </row>
    <row r="1643" spans="1:4" ht="17" hidden="1" customHeight="1" outlineLevel="1" thickBot="1">
      <c r="A1643" s="2">
        <f>+Get_Data!A1642</f>
        <v>41828</v>
      </c>
      <c r="B1643">
        <f>+ROUND(Get_Data!B1642,5)</f>
        <v>74.761499999999998</v>
      </c>
      <c r="C1643">
        <f>+ROUND(Get_Data!C1642,5)</f>
        <v>34.235930000000003</v>
      </c>
      <c r="D1643" s="4">
        <f t="shared" si="25"/>
        <v>2.1837145945794374</v>
      </c>
    </row>
    <row r="1644" spans="1:4" ht="17" hidden="1" customHeight="1" outlineLevel="1" thickBot="1">
      <c r="A1644" s="2">
        <f>+Get_Data!A1643</f>
        <v>41829</v>
      </c>
      <c r="B1644">
        <f>+ROUND(Get_Data!B1643,5)</f>
        <v>74.794820000000001</v>
      </c>
      <c r="C1644">
        <f>+ROUND(Get_Data!C1643,5)</f>
        <v>34.244079999999997</v>
      </c>
      <c r="D1644" s="4">
        <f t="shared" si="25"/>
        <v>2.1841678912092255</v>
      </c>
    </row>
    <row r="1645" spans="1:4" ht="17" hidden="1" customHeight="1" outlineLevel="1" thickBot="1">
      <c r="A1645" s="2">
        <f>+Get_Data!A1644</f>
        <v>41830</v>
      </c>
      <c r="B1645">
        <f>+ROUND(Get_Data!B1644,5)</f>
        <v>75.069760000000002</v>
      </c>
      <c r="C1645">
        <f>+ROUND(Get_Data!C1644,5)</f>
        <v>34.497140000000002</v>
      </c>
      <c r="D1645" s="4">
        <f t="shared" si="25"/>
        <v>2.1761154692823812</v>
      </c>
    </row>
    <row r="1646" spans="1:4" ht="17" hidden="1" customHeight="1" outlineLevel="1" thickBot="1">
      <c r="A1646" s="2">
        <f>+Get_Data!A1645</f>
        <v>41831</v>
      </c>
      <c r="B1646">
        <f>+ROUND(Get_Data!B1645,5)</f>
        <v>74.861490000000003</v>
      </c>
      <c r="C1646">
        <f>+ROUND(Get_Data!C1645,5)</f>
        <v>34.260399999999997</v>
      </c>
      <c r="D1646" s="4">
        <f t="shared" si="25"/>
        <v>2.185073437554728</v>
      </c>
    </row>
    <row r="1647" spans="1:4" ht="17" hidden="1" customHeight="1" outlineLevel="1" thickBot="1">
      <c r="A1647" s="2">
        <f>+Get_Data!A1646</f>
        <v>41834</v>
      </c>
      <c r="B1647">
        <f>+ROUND(Get_Data!B1646,5)</f>
        <v>75.886290000000002</v>
      </c>
      <c r="C1647">
        <f>+ROUND(Get_Data!C1646,5)</f>
        <v>34.595089999999999</v>
      </c>
      <c r="D1647" s="4">
        <f t="shared" si="25"/>
        <v>2.1935566578956727</v>
      </c>
    </row>
    <row r="1648" spans="1:4" ht="17" hidden="1" customHeight="1" outlineLevel="1" thickBot="1">
      <c r="A1648" s="2">
        <f>+Get_Data!A1647</f>
        <v>41835</v>
      </c>
      <c r="B1648">
        <f>+ROUND(Get_Data!B1647,5)</f>
        <v>75.269739999999999</v>
      </c>
      <c r="C1648">
        <f>+ROUND(Get_Data!C1647,5)</f>
        <v>34.366529999999997</v>
      </c>
      <c r="D1648" s="4">
        <f t="shared" si="25"/>
        <v>2.1902048301065018</v>
      </c>
    </row>
    <row r="1649" spans="1:4" ht="17" hidden="1" customHeight="1" outlineLevel="1" thickBot="1">
      <c r="A1649" s="2">
        <f>+Get_Data!A1648</f>
        <v>41836</v>
      </c>
      <c r="B1649">
        <f>+ROUND(Get_Data!B1648,5)</f>
        <v>75.403040000000004</v>
      </c>
      <c r="C1649">
        <f>+ROUND(Get_Data!C1648,5)</f>
        <v>34.382849999999998</v>
      </c>
      <c r="D1649" s="4">
        <f t="shared" si="25"/>
        <v>2.1930421707333747</v>
      </c>
    </row>
    <row r="1650" spans="1:4" ht="17" hidden="1" customHeight="1" outlineLevel="1" thickBot="1">
      <c r="A1650" s="2">
        <f>+Get_Data!A1649</f>
        <v>41837</v>
      </c>
      <c r="B1650">
        <f>+ROUND(Get_Data!B1649,5)</f>
        <v>74.978129999999993</v>
      </c>
      <c r="C1650">
        <f>+ROUND(Get_Data!C1649,5)</f>
        <v>34.301229999999997</v>
      </c>
      <c r="D1650" s="4">
        <f t="shared" si="25"/>
        <v>2.1858729264227552</v>
      </c>
    </row>
    <row r="1651" spans="1:4" ht="17" hidden="1" customHeight="1" outlineLevel="1" thickBot="1">
      <c r="A1651" s="2">
        <f>+Get_Data!A1650</f>
        <v>41838</v>
      </c>
      <c r="B1651">
        <f>+ROUND(Get_Data!B1650,5)</f>
        <v>75.061430000000001</v>
      </c>
      <c r="C1651">
        <f>+ROUND(Get_Data!C1650,5)</f>
        <v>34.635910000000003</v>
      </c>
      <c r="D1651" s="4">
        <f t="shared" si="25"/>
        <v>2.1671562837529024</v>
      </c>
    </row>
    <row r="1652" spans="1:4" ht="17" hidden="1" customHeight="1" outlineLevel="1" thickBot="1">
      <c r="A1652" s="2">
        <f>+Get_Data!A1651</f>
        <v>41841</v>
      </c>
      <c r="B1652">
        <f>+ROUND(Get_Data!B1651,5)</f>
        <v>74.911450000000002</v>
      </c>
      <c r="C1652">
        <f>+ROUND(Get_Data!C1651,5)</f>
        <v>34.611429999999999</v>
      </c>
      <c r="D1652" s="4">
        <f t="shared" si="25"/>
        <v>2.1643558211839271</v>
      </c>
    </row>
    <row r="1653" spans="1:4" ht="17" hidden="1" customHeight="1" outlineLevel="1" thickBot="1">
      <c r="A1653" s="2">
        <f>+Get_Data!A1652</f>
        <v>41842</v>
      </c>
      <c r="B1653">
        <f>+ROUND(Get_Data!B1652,5)</f>
        <v>74.294899999999998</v>
      </c>
      <c r="C1653">
        <f>+ROUND(Get_Data!C1652,5)</f>
        <v>33.623690000000003</v>
      </c>
      <c r="D1653" s="4">
        <f t="shared" si="25"/>
        <v>2.2095998386851647</v>
      </c>
    </row>
    <row r="1654" spans="1:4" ht="17" hidden="1" customHeight="1" outlineLevel="1" thickBot="1">
      <c r="A1654" s="2">
        <f>+Get_Data!A1653</f>
        <v>41843</v>
      </c>
      <c r="B1654">
        <f>+ROUND(Get_Data!B1653,5)</f>
        <v>75.669650000000004</v>
      </c>
      <c r="C1654">
        <f>+ROUND(Get_Data!C1653,5)</f>
        <v>33.313499999999998</v>
      </c>
      <c r="D1654" s="4">
        <f t="shared" si="25"/>
        <v>2.2714410073994031</v>
      </c>
    </row>
    <row r="1655" spans="1:4" ht="17" hidden="1" customHeight="1" outlineLevel="1" thickBot="1">
      <c r="A1655" s="2">
        <f>+Get_Data!A1654</f>
        <v>41844</v>
      </c>
      <c r="B1655">
        <f>+ROUND(Get_Data!B1654,5)</f>
        <v>76.577839999999995</v>
      </c>
      <c r="C1655">
        <f>+ROUND(Get_Data!C1654,5)</f>
        <v>33.444110000000002</v>
      </c>
      <c r="D1655" s="4">
        <f t="shared" si="25"/>
        <v>2.289725754400401</v>
      </c>
    </row>
    <row r="1656" spans="1:4" ht="17" hidden="1" customHeight="1" outlineLevel="1" thickBot="1">
      <c r="A1656" s="2">
        <f>+Get_Data!A1655</f>
        <v>41845</v>
      </c>
      <c r="B1656">
        <f>+ROUND(Get_Data!B1655,5)</f>
        <v>76.277919999999995</v>
      </c>
      <c r="C1656">
        <f>+ROUND(Get_Data!C1655,5)</f>
        <v>33.468589999999999</v>
      </c>
      <c r="D1656" s="4">
        <f t="shared" si="25"/>
        <v>2.2790897375718546</v>
      </c>
    </row>
    <row r="1657" spans="1:4" ht="17" hidden="1" customHeight="1" outlineLevel="1" thickBot="1">
      <c r="A1657" s="2">
        <f>+Get_Data!A1656</f>
        <v>41848</v>
      </c>
      <c r="B1657">
        <f>+ROUND(Get_Data!B1656,5)</f>
        <v>75.794650000000004</v>
      </c>
      <c r="C1657">
        <f>+ROUND(Get_Data!C1656,5)</f>
        <v>33.207369999999997</v>
      </c>
      <c r="D1657" s="4">
        <f t="shared" si="25"/>
        <v>2.2824647058770391</v>
      </c>
    </row>
    <row r="1658" spans="1:4" ht="17" hidden="1" customHeight="1" outlineLevel="1" thickBot="1">
      <c r="A1658" s="2">
        <f>+Get_Data!A1657</f>
        <v>41849</v>
      </c>
      <c r="B1658">
        <f>+ROUND(Get_Data!B1657,5)</f>
        <v>75.103099999999998</v>
      </c>
      <c r="C1658">
        <f>+ROUND(Get_Data!C1657,5)</f>
        <v>32.937980000000003</v>
      </c>
      <c r="D1658" s="4">
        <f t="shared" si="25"/>
        <v>2.2801367904164125</v>
      </c>
    </row>
    <row r="1659" spans="1:4" ht="17" hidden="1" customHeight="1" outlineLevel="1" thickBot="1">
      <c r="A1659" s="2">
        <f>+Get_Data!A1658</f>
        <v>41850</v>
      </c>
      <c r="B1659">
        <f>+ROUND(Get_Data!B1658,5)</f>
        <v>74.078289999999996</v>
      </c>
      <c r="C1659">
        <f>+ROUND(Get_Data!C1658,5)</f>
        <v>32.342089999999999</v>
      </c>
      <c r="D1659" s="4">
        <f t="shared" si="25"/>
        <v>2.2904608205592156</v>
      </c>
    </row>
    <row r="1660" spans="1:4" ht="17" hidden="1" customHeight="1" outlineLevel="1" thickBot="1">
      <c r="A1660" s="2">
        <f>+Get_Data!A1659</f>
        <v>41851</v>
      </c>
      <c r="B1660">
        <f>+ROUND(Get_Data!B1659,5)</f>
        <v>73.403419999999997</v>
      </c>
      <c r="C1660">
        <f>+ROUND(Get_Data!C1659,5)</f>
        <v>32.072719999999997</v>
      </c>
      <c r="D1660" s="4">
        <f t="shared" si="25"/>
        <v>2.2886559044571215</v>
      </c>
    </row>
    <row r="1661" spans="1:4" ht="17" hidden="1" customHeight="1" outlineLevel="1" thickBot="1">
      <c r="A1661" s="2">
        <f>+Get_Data!A1660</f>
        <v>41852</v>
      </c>
      <c r="B1661">
        <f>+ROUND(Get_Data!B1660,5)</f>
        <v>73.411739999999995</v>
      </c>
      <c r="C1661">
        <f>+ROUND(Get_Data!C1660,5)</f>
        <v>32.072719999999997</v>
      </c>
      <c r="D1661" s="4">
        <f t="shared" si="25"/>
        <v>2.2889153149467836</v>
      </c>
    </row>
    <row r="1662" spans="1:4" ht="17" hidden="1" customHeight="1" outlineLevel="1" thickBot="1">
      <c r="A1662" s="2">
        <f>+Get_Data!A1661</f>
        <v>41855</v>
      </c>
      <c r="B1662">
        <f>+ROUND(Get_Data!B1661,5)</f>
        <v>74.728170000000006</v>
      </c>
      <c r="C1662">
        <f>+ROUND(Get_Data!C1661,5)</f>
        <v>32.162509999999997</v>
      </c>
      <c r="D1662" s="4">
        <f t="shared" si="25"/>
        <v>2.3234557874991726</v>
      </c>
    </row>
    <row r="1663" spans="1:4" ht="17" hidden="1" customHeight="1" outlineLevel="1" thickBot="1">
      <c r="A1663" s="2">
        <f>+Get_Data!A1662</f>
        <v>41856</v>
      </c>
      <c r="B1663">
        <f>+ROUND(Get_Data!B1662,5)</f>
        <v>74.319909999999993</v>
      </c>
      <c r="C1663">
        <f>+ROUND(Get_Data!C1662,5)</f>
        <v>31.98292</v>
      </c>
      <c r="D1663" s="4">
        <f t="shared" si="25"/>
        <v>2.3237374823812207</v>
      </c>
    </row>
    <row r="1664" spans="1:4" ht="17" hidden="1" customHeight="1" outlineLevel="1" thickBot="1">
      <c r="A1664" s="2">
        <f>+Get_Data!A1663</f>
        <v>41857</v>
      </c>
      <c r="B1664">
        <f>+ROUND(Get_Data!B1663,5)</f>
        <v>75.4114</v>
      </c>
      <c r="C1664">
        <f>+ROUND(Get_Data!C1663,5)</f>
        <v>32.586979999999997</v>
      </c>
      <c r="D1664" s="4">
        <f t="shared" si="25"/>
        <v>2.314157372054729</v>
      </c>
    </row>
    <row r="1665" spans="1:4" ht="17" hidden="1" customHeight="1" outlineLevel="1" thickBot="1">
      <c r="A1665" s="2">
        <f>+Get_Data!A1664</f>
        <v>41858</v>
      </c>
      <c r="B1665">
        <f>+ROUND(Get_Data!B1664,5)</f>
        <v>74.90316</v>
      </c>
      <c r="C1665">
        <f>+ROUND(Get_Data!C1664,5)</f>
        <v>32.121679999999998</v>
      </c>
      <c r="D1665" s="4">
        <f t="shared" si="25"/>
        <v>2.3318568642735999</v>
      </c>
    </row>
    <row r="1666" spans="1:4" ht="17" hidden="1" customHeight="1" outlineLevel="1" thickBot="1">
      <c r="A1666" s="2">
        <f>+Get_Data!A1665</f>
        <v>41859</v>
      </c>
      <c r="B1666">
        <f>+ROUND(Get_Data!B1665,5)</f>
        <v>75.228080000000006</v>
      </c>
      <c r="C1666">
        <f>+ROUND(Get_Data!C1665,5)</f>
        <v>32.203330000000001</v>
      </c>
      <c r="D1666" s="4">
        <f t="shared" si="25"/>
        <v>2.3360341927372108</v>
      </c>
    </row>
    <row r="1667" spans="1:4" ht="17" hidden="1" customHeight="1" outlineLevel="1" thickBot="1">
      <c r="A1667" s="2">
        <f>+Get_Data!A1666</f>
        <v>41862</v>
      </c>
      <c r="B1667">
        <f>+ROUND(Get_Data!B1666,5)</f>
        <v>76.477869999999996</v>
      </c>
      <c r="C1667">
        <f>+ROUND(Get_Data!C1666,5)</f>
        <v>32.301259999999999</v>
      </c>
      <c r="D1667" s="4">
        <f t="shared" si="25"/>
        <v>2.3676435532236204</v>
      </c>
    </row>
    <row r="1668" spans="1:4" ht="17" hidden="1" customHeight="1" outlineLevel="1" thickBot="1">
      <c r="A1668" s="2">
        <f>+Get_Data!A1667</f>
        <v>41863</v>
      </c>
      <c r="B1668">
        <f>+ROUND(Get_Data!B1667,5)</f>
        <v>75.994609999999994</v>
      </c>
      <c r="C1668">
        <f>+ROUND(Get_Data!C1667,5)</f>
        <v>32.391060000000003</v>
      </c>
      <c r="D1668" s="4">
        <f t="shared" ref="D1668:D1731" si="26">IFERROR(B1668/C1668,"")</f>
        <v>2.3461600206970683</v>
      </c>
    </row>
    <row r="1669" spans="1:4" ht="17" hidden="1" customHeight="1" outlineLevel="1" thickBot="1">
      <c r="A1669" s="2">
        <f>+Get_Data!A1668</f>
        <v>41864</v>
      </c>
      <c r="B1669">
        <f>+ROUND(Get_Data!B1668,5)</f>
        <v>76.436199999999999</v>
      </c>
      <c r="C1669">
        <f>+ROUND(Get_Data!C1668,5)</f>
        <v>32.603290000000001</v>
      </c>
      <c r="D1669" s="4">
        <f t="shared" si="26"/>
        <v>2.3444321109924795</v>
      </c>
    </row>
    <row r="1670" spans="1:4" ht="17" hidden="1" customHeight="1" outlineLevel="1" thickBot="1">
      <c r="A1670" s="2">
        <f>+Get_Data!A1669</f>
        <v>41865</v>
      </c>
      <c r="B1670">
        <f>+ROUND(Get_Data!B1669,5)</f>
        <v>76.477869999999996</v>
      </c>
      <c r="C1670">
        <f>+ROUND(Get_Data!C1669,5)</f>
        <v>32.799219999999998</v>
      </c>
      <c r="D1670" s="4">
        <f t="shared" si="26"/>
        <v>2.3316978269605193</v>
      </c>
    </row>
    <row r="1671" spans="1:4" ht="17" hidden="1" customHeight="1" outlineLevel="1" thickBot="1">
      <c r="A1671" s="2">
        <f>+Get_Data!A1670</f>
        <v>41866</v>
      </c>
      <c r="B1671">
        <f>+ROUND(Get_Data!B1670,5)</f>
        <v>76.527839999999998</v>
      </c>
      <c r="C1671">
        <f>+ROUND(Get_Data!C1670,5)</f>
        <v>33.370629999999998</v>
      </c>
      <c r="D1671" s="4">
        <f t="shared" si="26"/>
        <v>2.2932692610238403</v>
      </c>
    </row>
    <row r="1672" spans="1:4" ht="17" hidden="1" customHeight="1" outlineLevel="1" thickBot="1">
      <c r="A1672" s="2">
        <f>+Get_Data!A1671</f>
        <v>41869</v>
      </c>
      <c r="B1672">
        <f>+ROUND(Get_Data!B1671,5)</f>
        <v>76.777820000000006</v>
      </c>
      <c r="C1672">
        <f>+ROUND(Get_Data!C1671,5)</f>
        <v>33.754300000000001</v>
      </c>
      <c r="D1672" s="4">
        <f t="shared" si="26"/>
        <v>2.2746085683898052</v>
      </c>
    </row>
    <row r="1673" spans="1:4" ht="17" hidden="1" customHeight="1" outlineLevel="1" thickBot="1">
      <c r="A1673" s="2">
        <f>+Get_Data!A1672</f>
        <v>41870</v>
      </c>
      <c r="B1673">
        <f>+ROUND(Get_Data!B1672,5)</f>
        <v>76.536190000000005</v>
      </c>
      <c r="C1673">
        <f>+ROUND(Get_Data!C1672,5)</f>
        <v>33.68083</v>
      </c>
      <c r="D1673" s="4">
        <f t="shared" si="26"/>
        <v>2.2723961968870721</v>
      </c>
    </row>
    <row r="1674" spans="1:4" ht="17" hidden="1" customHeight="1" outlineLevel="1" thickBot="1">
      <c r="A1674" s="2">
        <f>+Get_Data!A1673</f>
        <v>41871</v>
      </c>
      <c r="B1674">
        <f>+ROUND(Get_Data!B1673,5)</f>
        <v>76.844470000000001</v>
      </c>
      <c r="C1674">
        <f>+ROUND(Get_Data!C1673,5)</f>
        <v>33.672669999999997</v>
      </c>
      <c r="D1674" s="4">
        <f t="shared" si="26"/>
        <v>2.2821020726898107</v>
      </c>
    </row>
    <row r="1675" spans="1:4" ht="17" hidden="1" customHeight="1" outlineLevel="1" thickBot="1">
      <c r="A1675" s="2">
        <f>+Get_Data!A1674</f>
        <v>41872</v>
      </c>
      <c r="B1675">
        <f>+ROUND(Get_Data!B1674,5)</f>
        <v>76.694469999999995</v>
      </c>
      <c r="C1675">
        <f>+ROUND(Get_Data!C1674,5)</f>
        <v>33.803280000000001</v>
      </c>
      <c r="D1675" s="4">
        <f t="shared" si="26"/>
        <v>2.2688469876296025</v>
      </c>
    </row>
    <row r="1676" spans="1:4" ht="17" hidden="1" customHeight="1" outlineLevel="1" thickBot="1">
      <c r="A1676" s="2">
        <f>+Get_Data!A1675</f>
        <v>41873</v>
      </c>
      <c r="B1676">
        <f>+ROUND(Get_Data!B1675,5)</f>
        <v>76.319540000000003</v>
      </c>
      <c r="C1676">
        <f>+ROUND(Get_Data!C1675,5)</f>
        <v>33.566540000000003</v>
      </c>
      <c r="D1676" s="4">
        <f t="shared" si="26"/>
        <v>2.2736790863758967</v>
      </c>
    </row>
    <row r="1677" spans="1:4" ht="17" hidden="1" customHeight="1" outlineLevel="1" thickBot="1">
      <c r="A1677" s="2">
        <f>+Get_Data!A1676</f>
        <v>41876</v>
      </c>
      <c r="B1677">
        <f>+ROUND(Get_Data!B1676,5)</f>
        <v>77.644319999999993</v>
      </c>
      <c r="C1677">
        <f>+ROUND(Get_Data!C1676,5)</f>
        <v>33.803280000000001</v>
      </c>
      <c r="D1677" s="4">
        <f t="shared" si="26"/>
        <v>2.2969463318352537</v>
      </c>
    </row>
    <row r="1678" spans="1:4" ht="17" hidden="1" customHeight="1" outlineLevel="1" thickBot="1">
      <c r="A1678" s="2">
        <f>+Get_Data!A1677</f>
        <v>41877</v>
      </c>
      <c r="B1678">
        <f>+ROUND(Get_Data!B1677,5)</f>
        <v>77.152730000000005</v>
      </c>
      <c r="C1678">
        <f>+ROUND(Get_Data!C1677,5)</f>
        <v>33.958370000000002</v>
      </c>
      <c r="D1678" s="4">
        <f t="shared" si="26"/>
        <v>2.2719797799482131</v>
      </c>
    </row>
    <row r="1679" spans="1:4" ht="17" hidden="1" customHeight="1" outlineLevel="1" thickBot="1">
      <c r="A1679" s="2">
        <f>+Get_Data!A1678</f>
        <v>41878</v>
      </c>
      <c r="B1679">
        <f>+ROUND(Get_Data!B1678,5)</f>
        <v>76.844470000000001</v>
      </c>
      <c r="C1679">
        <f>+ROUND(Get_Data!C1678,5)</f>
        <v>33.958370000000002</v>
      </c>
      <c r="D1679" s="4">
        <f t="shared" si="26"/>
        <v>2.262902194657753</v>
      </c>
    </row>
    <row r="1680" spans="1:4" ht="17" hidden="1" customHeight="1" outlineLevel="1" thickBot="1">
      <c r="A1680" s="2">
        <f>+Get_Data!A1679</f>
        <v>41879</v>
      </c>
      <c r="B1680">
        <f>+ROUND(Get_Data!B1679,5)</f>
        <v>77.136089999999996</v>
      </c>
      <c r="C1680">
        <f>+ROUND(Get_Data!C1679,5)</f>
        <v>33.982869999999998</v>
      </c>
      <c r="D1680" s="4">
        <f t="shared" si="26"/>
        <v>2.2698521343253235</v>
      </c>
    </row>
    <row r="1681" spans="1:4" ht="17" hidden="1" customHeight="1" outlineLevel="1" thickBot="1">
      <c r="A1681" s="2">
        <f>+Get_Data!A1680</f>
        <v>41880</v>
      </c>
      <c r="B1681">
        <f>+ROUND(Get_Data!B1680,5)</f>
        <v>77.061070000000001</v>
      </c>
      <c r="C1681">
        <f>+ROUND(Get_Data!C1680,5)</f>
        <v>34.056339999999999</v>
      </c>
      <c r="D1681" s="4">
        <f t="shared" si="26"/>
        <v>2.2627525447537815</v>
      </c>
    </row>
    <row r="1682" spans="1:4" ht="17" hidden="1" customHeight="1" outlineLevel="1" thickBot="1">
      <c r="A1682" s="2">
        <f>+Get_Data!A1681</f>
        <v>41884</v>
      </c>
      <c r="B1682">
        <f>+ROUND(Get_Data!B1681,5)</f>
        <v>77.052760000000006</v>
      </c>
      <c r="C1682">
        <f>+ROUND(Get_Data!C1681,5)</f>
        <v>33.991030000000002</v>
      </c>
      <c r="D1682" s="4">
        <f t="shared" si="26"/>
        <v>2.2668556969294547</v>
      </c>
    </row>
    <row r="1683" spans="1:4" ht="17" hidden="1" customHeight="1" outlineLevel="1" thickBot="1">
      <c r="A1683" s="2">
        <f>+Get_Data!A1682</f>
        <v>41885</v>
      </c>
      <c r="B1683">
        <f>+ROUND(Get_Data!B1682,5)</f>
        <v>77.828940000000003</v>
      </c>
      <c r="C1683">
        <f>+ROUND(Get_Data!C1682,5)</f>
        <v>34.105310000000003</v>
      </c>
      <c r="D1683" s="4">
        <f t="shared" si="26"/>
        <v>2.282018254635422</v>
      </c>
    </row>
    <row r="1684" spans="1:4" ht="17" hidden="1" customHeight="1" outlineLevel="1" thickBot="1">
      <c r="A1684" s="2">
        <f>+Get_Data!A1683</f>
        <v>41886</v>
      </c>
      <c r="B1684">
        <f>+ROUND(Get_Data!B1683,5)</f>
        <v>77.073719999999994</v>
      </c>
      <c r="C1684">
        <f>+ROUND(Get_Data!C1683,5)</f>
        <v>34.17877</v>
      </c>
      <c r="D1684" s="4">
        <f t="shared" si="26"/>
        <v>2.2550173689690998</v>
      </c>
    </row>
    <row r="1685" spans="1:4" ht="17" hidden="1" customHeight="1" outlineLevel="1" thickBot="1">
      <c r="A1685" s="2">
        <f>+Get_Data!A1684</f>
        <v>41887</v>
      </c>
      <c r="B1685">
        <f>+ROUND(Get_Data!B1684,5)</f>
        <v>76.989810000000006</v>
      </c>
      <c r="C1685">
        <f>+ROUND(Get_Data!C1684,5)</f>
        <v>34.154290000000003</v>
      </c>
      <c r="D1685" s="4">
        <f t="shared" si="26"/>
        <v>2.2541768545034899</v>
      </c>
    </row>
    <row r="1686" spans="1:4" ht="17" hidden="1" customHeight="1" outlineLevel="1" thickBot="1">
      <c r="A1686" s="2">
        <f>+Get_Data!A1685</f>
        <v>41890</v>
      </c>
      <c r="B1686">
        <f>+ROUND(Get_Data!B1685,5)</f>
        <v>77.082130000000006</v>
      </c>
      <c r="C1686">
        <f>+ROUND(Get_Data!C1685,5)</f>
        <v>34.105310000000003</v>
      </c>
      <c r="D1686" s="4">
        <f t="shared" si="26"/>
        <v>2.2601210779201244</v>
      </c>
    </row>
    <row r="1687" spans="1:4" ht="17" hidden="1" customHeight="1" outlineLevel="1" thickBot="1">
      <c r="A1687" s="2">
        <f>+Get_Data!A1686</f>
        <v>41891</v>
      </c>
      <c r="B1687">
        <f>+ROUND(Get_Data!B1686,5)</f>
        <v>76.712900000000005</v>
      </c>
      <c r="C1687">
        <f>+ROUND(Get_Data!C1686,5)</f>
        <v>34.235930000000003</v>
      </c>
      <c r="D1687" s="4">
        <f t="shared" si="26"/>
        <v>2.240713192251532</v>
      </c>
    </row>
    <row r="1688" spans="1:4" ht="17" hidden="1" customHeight="1" outlineLevel="1" thickBot="1">
      <c r="A1688" s="2">
        <f>+Get_Data!A1687</f>
        <v>41892</v>
      </c>
      <c r="B1688">
        <f>+ROUND(Get_Data!B1687,5)</f>
        <v>77.023390000000006</v>
      </c>
      <c r="C1688">
        <f>+ROUND(Get_Data!C1687,5)</f>
        <v>34.423670000000001</v>
      </c>
      <c r="D1688" s="4">
        <f t="shared" si="26"/>
        <v>2.2375124441990062</v>
      </c>
    </row>
    <row r="1689" spans="1:4" ht="17" hidden="1" customHeight="1" outlineLevel="1" thickBot="1">
      <c r="A1689" s="2">
        <f>+Get_Data!A1688</f>
        <v>41893</v>
      </c>
      <c r="B1689">
        <f>+ROUND(Get_Data!B1688,5)</f>
        <v>76.905900000000003</v>
      </c>
      <c r="C1689">
        <f>+ROUND(Get_Data!C1688,5)</f>
        <v>34.493560000000002</v>
      </c>
      <c r="D1689" s="4">
        <f t="shared" si="26"/>
        <v>2.2295727086447439</v>
      </c>
    </row>
    <row r="1690" spans="1:4" ht="17" hidden="1" customHeight="1" outlineLevel="1" thickBot="1">
      <c r="A1690" s="2">
        <f>+Get_Data!A1689</f>
        <v>41894</v>
      </c>
      <c r="B1690">
        <f>+ROUND(Get_Data!B1689,5)</f>
        <v>76.251400000000004</v>
      </c>
      <c r="C1690">
        <f>+ROUND(Get_Data!C1689,5)</f>
        <v>34.09066</v>
      </c>
      <c r="D1690" s="4">
        <f t="shared" si="26"/>
        <v>2.2367240763305847</v>
      </c>
    </row>
    <row r="1691" spans="1:4" ht="17" hidden="1" customHeight="1" outlineLevel="1" thickBot="1">
      <c r="A1691" s="2">
        <f>+Get_Data!A1690</f>
        <v>41897</v>
      </c>
      <c r="B1691">
        <f>+ROUND(Get_Data!B1690,5)</f>
        <v>76.528310000000005</v>
      </c>
      <c r="C1691">
        <f>+ROUND(Get_Data!C1690,5)</f>
        <v>34.123550000000002</v>
      </c>
      <c r="D1691" s="4">
        <f t="shared" si="26"/>
        <v>2.2426831323235712</v>
      </c>
    </row>
    <row r="1692" spans="1:4" ht="17" hidden="1" customHeight="1" outlineLevel="1" thickBot="1">
      <c r="A1692" s="2">
        <f>+Get_Data!A1691</f>
        <v>41898</v>
      </c>
      <c r="B1692">
        <f>+ROUND(Get_Data!B1691,5)</f>
        <v>77.677899999999994</v>
      </c>
      <c r="C1692">
        <f>+ROUND(Get_Data!C1691,5)</f>
        <v>34.238669999999999</v>
      </c>
      <c r="D1692" s="4">
        <f t="shared" si="26"/>
        <v>2.2687183818763987</v>
      </c>
    </row>
    <row r="1693" spans="1:4" ht="17" hidden="1" customHeight="1" outlineLevel="1" thickBot="1">
      <c r="A1693" s="2">
        <f>+Get_Data!A1692</f>
        <v>41899</v>
      </c>
      <c r="B1693">
        <f>+ROUND(Get_Data!B1692,5)</f>
        <v>77.912850000000006</v>
      </c>
      <c r="C1693">
        <f>+ROUND(Get_Data!C1692,5)</f>
        <v>34.213999999999999</v>
      </c>
      <c r="D1693" s="4">
        <f t="shared" si="26"/>
        <v>2.2772213129128431</v>
      </c>
    </row>
    <row r="1694" spans="1:4" ht="17" hidden="1" customHeight="1" outlineLevel="1" thickBot="1">
      <c r="A1694" s="2">
        <f>+Get_Data!A1693</f>
        <v>41900</v>
      </c>
      <c r="B1694">
        <f>+ROUND(Get_Data!B1693,5)</f>
        <v>78.349209999999999</v>
      </c>
      <c r="C1694">
        <f>+ROUND(Get_Data!C1693,5)</f>
        <v>34.362009999999998</v>
      </c>
      <c r="D1694" s="4">
        <f t="shared" si="26"/>
        <v>2.280111378816315</v>
      </c>
    </row>
    <row r="1695" spans="1:4" ht="17" hidden="1" customHeight="1" outlineLevel="1" thickBot="1">
      <c r="A1695" s="2">
        <f>+Get_Data!A1694</f>
        <v>41901</v>
      </c>
      <c r="B1695">
        <f>+ROUND(Get_Data!B1694,5)</f>
        <v>78.701639999999998</v>
      </c>
      <c r="C1695">
        <f>+ROUND(Get_Data!C1694,5)</f>
        <v>34.575789999999998</v>
      </c>
      <c r="D1695" s="4">
        <f t="shared" si="26"/>
        <v>2.2762065595608951</v>
      </c>
    </row>
    <row r="1696" spans="1:4" ht="17" hidden="1" customHeight="1" outlineLevel="1" thickBot="1">
      <c r="A1696" s="2">
        <f>+Get_Data!A1695</f>
        <v>41904</v>
      </c>
      <c r="B1696">
        <f>+ROUND(Get_Data!B1695,5)</f>
        <v>78.525419999999997</v>
      </c>
      <c r="C1696">
        <f>+ROUND(Get_Data!C1695,5)</f>
        <v>34.71557</v>
      </c>
      <c r="D1696" s="4">
        <f t="shared" si="26"/>
        <v>2.2619654523892305</v>
      </c>
    </row>
    <row r="1697" spans="1:4" ht="17" hidden="1" customHeight="1" outlineLevel="1" thickBot="1">
      <c r="A1697" s="2">
        <f>+Get_Data!A1696</f>
        <v>41905</v>
      </c>
      <c r="B1697">
        <f>+ROUND(Get_Data!B1696,5)</f>
        <v>77.98</v>
      </c>
      <c r="C1697">
        <f>+ROUND(Get_Data!C1696,5)</f>
        <v>34.444229999999997</v>
      </c>
      <c r="D1697" s="4">
        <f t="shared" si="26"/>
        <v>2.2639495787828618</v>
      </c>
    </row>
    <row r="1698" spans="1:4" ht="17" hidden="1" customHeight="1" outlineLevel="1" thickBot="1">
      <c r="A1698" s="2">
        <f>+Get_Data!A1697</f>
        <v>41906</v>
      </c>
      <c r="B1698">
        <f>+ROUND(Get_Data!B1697,5)</f>
        <v>78.458299999999994</v>
      </c>
      <c r="C1698">
        <f>+ROUND(Get_Data!C1697,5)</f>
        <v>34.756689999999999</v>
      </c>
      <c r="D1698" s="4">
        <f t="shared" si="26"/>
        <v>2.2573582236973659</v>
      </c>
    </row>
    <row r="1699" spans="1:4" ht="17" hidden="1" customHeight="1" outlineLevel="1" thickBot="1">
      <c r="A1699" s="2">
        <f>+Get_Data!A1698</f>
        <v>41907</v>
      </c>
      <c r="B1699">
        <f>+ROUND(Get_Data!B1698,5)</f>
        <v>77.761809999999997</v>
      </c>
      <c r="C1699">
        <f>+ROUND(Get_Data!C1698,5)</f>
        <v>34.35378</v>
      </c>
      <c r="D1699" s="4">
        <f t="shared" si="26"/>
        <v>2.2635590610407355</v>
      </c>
    </row>
    <row r="1700" spans="1:4" ht="17" hidden="1" customHeight="1" outlineLevel="1" thickBot="1">
      <c r="A1700" s="2">
        <f>+Get_Data!A1699</f>
        <v>41908</v>
      </c>
      <c r="B1700">
        <f>+ROUND(Get_Data!B1699,5)</f>
        <v>78.147819999999996</v>
      </c>
      <c r="C1700">
        <f>+ROUND(Get_Data!C1699,5)</f>
        <v>34.699129999999997</v>
      </c>
      <c r="D1700" s="4">
        <f t="shared" si="26"/>
        <v>2.2521550252124478</v>
      </c>
    </row>
    <row r="1701" spans="1:4" ht="17" hidden="1" customHeight="1" outlineLevel="1" thickBot="1">
      <c r="A1701" s="2">
        <f>+Get_Data!A1700</f>
        <v>41911</v>
      </c>
      <c r="B1701">
        <f>+ROUND(Get_Data!B1700,5)</f>
        <v>78.164599999999993</v>
      </c>
      <c r="C1701">
        <f>+ROUND(Get_Data!C1700,5)</f>
        <v>34.74024</v>
      </c>
      <c r="D1701" s="4">
        <f t="shared" si="26"/>
        <v>2.2499729420406998</v>
      </c>
    </row>
    <row r="1702" spans="1:4" ht="17" hidden="1" customHeight="1" outlineLevel="1" thickBot="1">
      <c r="A1702" s="2">
        <f>+Get_Data!A1701</f>
        <v>41912</v>
      </c>
      <c r="B1702">
        <f>+ROUND(Get_Data!B1701,5)</f>
        <v>78.114260000000002</v>
      </c>
      <c r="C1702">
        <f>+ROUND(Get_Data!C1701,5)</f>
        <v>35.077370000000002</v>
      </c>
      <c r="D1702" s="4">
        <f t="shared" si="26"/>
        <v>2.2269132491974171</v>
      </c>
    </row>
    <row r="1703" spans="1:4" ht="17" hidden="1" customHeight="1" outlineLevel="1" thickBot="1">
      <c r="A1703" s="2">
        <f>+Get_Data!A1702</f>
        <v>41913</v>
      </c>
      <c r="B1703">
        <f>+ROUND(Get_Data!B1702,5)</f>
        <v>77.745059999999995</v>
      </c>
      <c r="C1703">
        <f>+ROUND(Get_Data!C1702,5)</f>
        <v>35.143140000000002</v>
      </c>
      <c r="D1703" s="4">
        <f t="shared" si="26"/>
        <v>2.2122399990439097</v>
      </c>
    </row>
    <row r="1704" spans="1:4" ht="17" hidden="1" customHeight="1" outlineLevel="1" thickBot="1">
      <c r="A1704" s="2">
        <f>+Get_Data!A1703</f>
        <v>41914</v>
      </c>
      <c r="B1704">
        <f>+ROUND(Get_Data!B1703,5)</f>
        <v>77.686310000000006</v>
      </c>
      <c r="C1704">
        <f>+ROUND(Get_Data!C1703,5)</f>
        <v>35.077370000000002</v>
      </c>
      <c r="D1704" s="4">
        <f t="shared" si="26"/>
        <v>2.2147130756952418</v>
      </c>
    </row>
    <row r="1705" spans="1:4" ht="17" hidden="1" customHeight="1" outlineLevel="1" thickBot="1">
      <c r="A1705" s="2">
        <f>+Get_Data!A1704</f>
        <v>41915</v>
      </c>
      <c r="B1705">
        <f>+ROUND(Get_Data!B1704,5)</f>
        <v>78.458299999999994</v>
      </c>
      <c r="C1705">
        <f>+ROUND(Get_Data!C1704,5)</f>
        <v>35.356929999999998</v>
      </c>
      <c r="D1705" s="4">
        <f t="shared" si="26"/>
        <v>2.2190359853075479</v>
      </c>
    </row>
    <row r="1706" spans="1:4" ht="17" hidden="1" customHeight="1" outlineLevel="1" thickBot="1">
      <c r="A1706" s="2">
        <f>+Get_Data!A1705</f>
        <v>41918</v>
      </c>
      <c r="B1706">
        <f>+ROUND(Get_Data!B1705,5)</f>
        <v>78.349209999999999</v>
      </c>
      <c r="C1706">
        <f>+ROUND(Get_Data!C1705,5)</f>
        <v>35.850279999999998</v>
      </c>
      <c r="D1706" s="4">
        <f t="shared" si="26"/>
        <v>2.1854560131747927</v>
      </c>
    </row>
    <row r="1707" spans="1:4" ht="17" hidden="1" customHeight="1" outlineLevel="1" thickBot="1">
      <c r="A1707" s="2">
        <f>+Get_Data!A1706</f>
        <v>41919</v>
      </c>
      <c r="B1707">
        <f>+ROUND(Get_Data!B1706,5)</f>
        <v>78.122640000000004</v>
      </c>
      <c r="C1707">
        <f>+ROUND(Get_Data!C1706,5)</f>
        <v>36.113410000000002</v>
      </c>
      <c r="D1707" s="4">
        <f t="shared" si="26"/>
        <v>2.1632584682532059</v>
      </c>
    </row>
    <row r="1708" spans="1:4" ht="17" hidden="1" customHeight="1" outlineLevel="1" thickBot="1">
      <c r="A1708" s="2">
        <f>+Get_Data!A1707</f>
        <v>41920</v>
      </c>
      <c r="B1708">
        <f>+ROUND(Get_Data!B1707,5)</f>
        <v>78.827510000000004</v>
      </c>
      <c r="C1708">
        <f>+ROUND(Get_Data!C1707,5)</f>
        <v>36.631419999999999</v>
      </c>
      <c r="D1708" s="4">
        <f t="shared" si="26"/>
        <v>2.1519097539762315</v>
      </c>
    </row>
    <row r="1709" spans="1:4" ht="17" hidden="1" customHeight="1" outlineLevel="1" thickBot="1">
      <c r="A1709" s="2">
        <f>+Get_Data!A1708</f>
        <v>41921</v>
      </c>
      <c r="B1709">
        <f>+ROUND(Get_Data!B1708,5)</f>
        <v>78.517049999999998</v>
      </c>
      <c r="C1709">
        <f>+ROUND(Get_Data!C1708,5)</f>
        <v>36.072299999999998</v>
      </c>
      <c r="D1709" s="4">
        <f t="shared" si="26"/>
        <v>2.1766577124275415</v>
      </c>
    </row>
    <row r="1710" spans="1:4" ht="17" hidden="1" customHeight="1" outlineLevel="1" thickBot="1">
      <c r="A1710" s="2">
        <f>+Get_Data!A1709</f>
        <v>41922</v>
      </c>
      <c r="B1710">
        <f>+ROUND(Get_Data!B1709,5)</f>
        <v>79.423299999999998</v>
      </c>
      <c r="C1710">
        <f>+ROUND(Get_Data!C1709,5)</f>
        <v>36.565640000000002</v>
      </c>
      <c r="D1710" s="4">
        <f t="shared" si="26"/>
        <v>2.1720746580669719</v>
      </c>
    </row>
    <row r="1711" spans="1:4" ht="17" hidden="1" customHeight="1" outlineLevel="1" thickBot="1">
      <c r="A1711" s="2">
        <f>+Get_Data!A1710</f>
        <v>41925</v>
      </c>
      <c r="B1711">
        <f>+ROUND(Get_Data!B1710,5)</f>
        <v>78.827510000000004</v>
      </c>
      <c r="C1711">
        <f>+ROUND(Get_Data!C1710,5)</f>
        <v>36.236739999999998</v>
      </c>
      <c r="D1711" s="4">
        <f t="shared" si="26"/>
        <v>2.1753477271962107</v>
      </c>
    </row>
    <row r="1712" spans="1:4" ht="17" hidden="1" customHeight="1" outlineLevel="1" thickBot="1">
      <c r="A1712" s="2">
        <f>+Get_Data!A1711</f>
        <v>41926</v>
      </c>
      <c r="B1712">
        <f>+ROUND(Get_Data!B1711,5)</f>
        <v>78.047129999999996</v>
      </c>
      <c r="C1712">
        <f>+ROUND(Get_Data!C1711,5)</f>
        <v>35.88317</v>
      </c>
      <c r="D1712" s="4">
        <f t="shared" si="26"/>
        <v>2.1750344242161437</v>
      </c>
    </row>
    <row r="1713" spans="1:4" ht="17" hidden="1" customHeight="1" outlineLevel="1" thickBot="1">
      <c r="A1713" s="2">
        <f>+Get_Data!A1712</f>
        <v>41927</v>
      </c>
      <c r="B1713">
        <f>+ROUND(Get_Data!B1712,5)</f>
        <v>77.006600000000006</v>
      </c>
      <c r="C1713">
        <f>+ROUND(Get_Data!C1712,5)</f>
        <v>35.546050000000001</v>
      </c>
      <c r="D1713" s="4">
        <f t="shared" si="26"/>
        <v>2.1663897957719636</v>
      </c>
    </row>
    <row r="1714" spans="1:4" ht="17" hidden="1" customHeight="1" outlineLevel="1" thickBot="1">
      <c r="A1714" s="2">
        <f>+Get_Data!A1713</f>
        <v>41928</v>
      </c>
      <c r="B1714">
        <f>+ROUND(Get_Data!B1713,5)</f>
        <v>76.184250000000006</v>
      </c>
      <c r="C1714">
        <f>+ROUND(Get_Data!C1713,5)</f>
        <v>34.995139999999999</v>
      </c>
      <c r="D1714" s="4">
        <f t="shared" si="26"/>
        <v>2.1769951484691878</v>
      </c>
    </row>
    <row r="1715" spans="1:4" ht="17" hidden="1" customHeight="1" outlineLevel="1" thickBot="1">
      <c r="A1715" s="2">
        <f>+Get_Data!A1714</f>
        <v>41929</v>
      </c>
      <c r="B1715">
        <f>+ROUND(Get_Data!B1714,5)</f>
        <v>76.788439999999994</v>
      </c>
      <c r="C1715">
        <f>+ROUND(Get_Data!C1714,5)</f>
        <v>35.25826</v>
      </c>
      <c r="D1715" s="4">
        <f t="shared" si="26"/>
        <v>2.1778851253578591</v>
      </c>
    </row>
    <row r="1716" spans="1:4" ht="17" hidden="1" customHeight="1" outlineLevel="1" thickBot="1">
      <c r="A1716" s="2">
        <f>+Get_Data!A1715</f>
        <v>41932</v>
      </c>
      <c r="B1716">
        <f>+ROUND(Get_Data!B1715,5)</f>
        <v>78.500249999999994</v>
      </c>
      <c r="C1716">
        <f>+ROUND(Get_Data!C1715,5)</f>
        <v>35.595390000000002</v>
      </c>
      <c r="D1716" s="4">
        <f t="shared" si="26"/>
        <v>2.2053487825249278</v>
      </c>
    </row>
    <row r="1717" spans="1:4" ht="17" hidden="1" customHeight="1" outlineLevel="1" thickBot="1">
      <c r="A1717" s="2">
        <f>+Get_Data!A1716</f>
        <v>41933</v>
      </c>
      <c r="B1717">
        <f>+ROUND(Get_Data!B1716,5)</f>
        <v>78.651290000000003</v>
      </c>
      <c r="C1717">
        <f>+ROUND(Get_Data!C1716,5)</f>
        <v>33.449300000000001</v>
      </c>
      <c r="D1717" s="4">
        <f t="shared" si="26"/>
        <v>2.3513583243894489</v>
      </c>
    </row>
    <row r="1718" spans="1:4" ht="17" hidden="1" customHeight="1" outlineLevel="1" thickBot="1">
      <c r="A1718" s="2">
        <f>+Get_Data!A1717</f>
        <v>41934</v>
      </c>
      <c r="B1718">
        <f>+ROUND(Get_Data!B1717,5)</f>
        <v>79.263850000000005</v>
      </c>
      <c r="C1718">
        <f>+ROUND(Get_Data!C1717,5)</f>
        <v>33.39996</v>
      </c>
      <c r="D1718" s="4">
        <f t="shared" si="26"/>
        <v>2.3731720037988069</v>
      </c>
    </row>
    <row r="1719" spans="1:4" ht="17" hidden="1" customHeight="1" outlineLevel="1" thickBot="1">
      <c r="A1719" s="2">
        <f>+Get_Data!A1718</f>
        <v>41935</v>
      </c>
      <c r="B1719">
        <f>+ROUND(Get_Data!B1718,5)</f>
        <v>78.676479999999998</v>
      </c>
      <c r="C1719">
        <f>+ROUND(Get_Data!C1718,5)</f>
        <v>33.59731</v>
      </c>
      <c r="D1719" s="4">
        <f t="shared" si="26"/>
        <v>2.341749384102477</v>
      </c>
    </row>
    <row r="1720" spans="1:4" ht="17" hidden="1" customHeight="1" outlineLevel="1" thickBot="1">
      <c r="A1720" s="2">
        <f>+Get_Data!A1719</f>
        <v>41936</v>
      </c>
      <c r="B1720">
        <f>+ROUND(Get_Data!B1719,5)</f>
        <v>79.381330000000005</v>
      </c>
      <c r="C1720">
        <f>+ROUND(Get_Data!C1719,5)</f>
        <v>33.737090000000002</v>
      </c>
      <c r="D1720" s="4">
        <f t="shared" si="26"/>
        <v>2.3529394503201075</v>
      </c>
    </row>
    <row r="1721" spans="1:4" ht="17" hidden="1" customHeight="1" outlineLevel="1" thickBot="1">
      <c r="A1721" s="2">
        <f>+Get_Data!A1720</f>
        <v>41939</v>
      </c>
      <c r="B1721">
        <f>+ROUND(Get_Data!B1720,5)</f>
        <v>79.398110000000003</v>
      </c>
      <c r="C1721">
        <f>+ROUND(Get_Data!C1720,5)</f>
        <v>33.515079999999998</v>
      </c>
      <c r="D1721" s="4">
        <f t="shared" si="26"/>
        <v>2.3690264203457074</v>
      </c>
    </row>
    <row r="1722" spans="1:4" ht="17" hidden="1" customHeight="1" outlineLevel="1" thickBot="1">
      <c r="A1722" s="2">
        <f>+Get_Data!A1721</f>
        <v>41940</v>
      </c>
      <c r="B1722">
        <f>+ROUND(Get_Data!B1721,5)</f>
        <v>79.935169999999999</v>
      </c>
      <c r="C1722">
        <f>+ROUND(Get_Data!C1721,5)</f>
        <v>33.350639999999999</v>
      </c>
      <c r="D1722" s="4">
        <f t="shared" si="26"/>
        <v>2.3968106758970742</v>
      </c>
    </row>
    <row r="1723" spans="1:4" ht="17" hidden="1" customHeight="1" outlineLevel="1" thickBot="1">
      <c r="A1723" s="2">
        <f>+Get_Data!A1722</f>
        <v>41941</v>
      </c>
      <c r="B1723">
        <f>+ROUND(Get_Data!B1722,5)</f>
        <v>79.456869999999995</v>
      </c>
      <c r="C1723">
        <f>+ROUND(Get_Data!C1722,5)</f>
        <v>33.67953</v>
      </c>
      <c r="D1723" s="4">
        <f t="shared" si="26"/>
        <v>2.3592036468442403</v>
      </c>
    </row>
    <row r="1724" spans="1:4" ht="17" hidden="1" customHeight="1" outlineLevel="1" thickBot="1">
      <c r="A1724" s="2">
        <f>+Get_Data!A1723</f>
        <v>41942</v>
      </c>
      <c r="B1724">
        <f>+ROUND(Get_Data!B1723,5)</f>
        <v>80.262410000000003</v>
      </c>
      <c r="C1724">
        <f>+ROUND(Get_Data!C1723,5)</f>
        <v>34.041319999999999</v>
      </c>
      <c r="D1724" s="4">
        <f t="shared" si="26"/>
        <v>2.3577937048269577</v>
      </c>
    </row>
    <row r="1725" spans="1:4" ht="17" hidden="1" customHeight="1" outlineLevel="1" thickBot="1">
      <c r="A1725" s="2">
        <f>+Get_Data!A1724</f>
        <v>41943</v>
      </c>
      <c r="B1725">
        <f>+ROUND(Get_Data!B1724,5)</f>
        <v>80.698759999999993</v>
      </c>
      <c r="C1725">
        <f>+ROUND(Get_Data!C1724,5)</f>
        <v>34.436010000000003</v>
      </c>
      <c r="D1725" s="4">
        <f t="shared" si="26"/>
        <v>2.3434410664882486</v>
      </c>
    </row>
    <row r="1726" spans="1:4" ht="17" hidden="1" customHeight="1" outlineLevel="1" thickBot="1">
      <c r="A1726" s="2">
        <f>+Get_Data!A1725</f>
        <v>41946</v>
      </c>
      <c r="B1726">
        <f>+ROUND(Get_Data!B1725,5)</f>
        <v>80.413460000000001</v>
      </c>
      <c r="C1726">
        <f>+ROUND(Get_Data!C1725,5)</f>
        <v>34.378439999999998</v>
      </c>
      <c r="D1726" s="4">
        <f t="shared" si="26"/>
        <v>2.3390665777737443</v>
      </c>
    </row>
    <row r="1727" spans="1:4" ht="17" hidden="1" customHeight="1" outlineLevel="1" thickBot="1">
      <c r="A1727" s="2">
        <f>+Get_Data!A1726</f>
        <v>41947</v>
      </c>
      <c r="B1727">
        <f>+ROUND(Get_Data!B1726,5)</f>
        <v>81.168670000000006</v>
      </c>
      <c r="C1727">
        <f>+ROUND(Get_Data!C1726,5)</f>
        <v>34.386670000000002</v>
      </c>
      <c r="D1727" s="4">
        <f t="shared" si="26"/>
        <v>2.360469042218976</v>
      </c>
    </row>
    <row r="1728" spans="1:4" ht="17" hidden="1" customHeight="1" outlineLevel="1" thickBot="1">
      <c r="A1728" s="2">
        <f>+Get_Data!A1727</f>
        <v>41948</v>
      </c>
      <c r="B1728">
        <f>+ROUND(Get_Data!B1727,5)</f>
        <v>81.302930000000003</v>
      </c>
      <c r="C1728">
        <f>+ROUND(Get_Data!C1727,5)</f>
        <v>34.789580000000001</v>
      </c>
      <c r="D1728" s="4">
        <f t="shared" si="26"/>
        <v>2.3369908461096687</v>
      </c>
    </row>
    <row r="1729" spans="1:4" ht="17" hidden="1" customHeight="1" outlineLevel="1" thickBot="1">
      <c r="A1729" s="2">
        <f>+Get_Data!A1728</f>
        <v>41949</v>
      </c>
      <c r="B1729">
        <f>+ROUND(Get_Data!B1728,5)</f>
        <v>81.235799999999998</v>
      </c>
      <c r="C1729">
        <f>+ROUND(Get_Data!C1728,5)</f>
        <v>34.773130000000002</v>
      </c>
      <c r="D1729" s="4">
        <f t="shared" si="26"/>
        <v>2.3361658844055739</v>
      </c>
    </row>
    <row r="1730" spans="1:4" ht="17" hidden="1" customHeight="1" outlineLevel="1" thickBot="1">
      <c r="A1730" s="2">
        <f>+Get_Data!A1729</f>
        <v>41950</v>
      </c>
      <c r="B1730">
        <f>+ROUND(Get_Data!B1729,5)</f>
        <v>81.227400000000003</v>
      </c>
      <c r="C1730">
        <f>+ROUND(Get_Data!C1729,5)</f>
        <v>34.797789999999999</v>
      </c>
      <c r="D1730" s="4">
        <f t="shared" si="26"/>
        <v>2.3342689291475121</v>
      </c>
    </row>
    <row r="1731" spans="1:4" ht="17" hidden="1" customHeight="1" outlineLevel="1" thickBot="1">
      <c r="A1731" s="2">
        <f>+Get_Data!A1730</f>
        <v>41953</v>
      </c>
      <c r="B1731">
        <f>+ROUND(Get_Data!B1730,5)</f>
        <v>81.370050000000006</v>
      </c>
      <c r="C1731">
        <f>+ROUND(Get_Data!C1730,5)</f>
        <v>34.855350000000001</v>
      </c>
      <c r="D1731" s="4">
        <f t="shared" si="26"/>
        <v>2.3345067543433076</v>
      </c>
    </row>
    <row r="1732" spans="1:4" ht="17" hidden="1" customHeight="1" outlineLevel="1" thickBot="1">
      <c r="A1732" s="2">
        <f>+Get_Data!A1731</f>
        <v>41954</v>
      </c>
      <c r="B1732">
        <f>+ROUND(Get_Data!B1731,5)</f>
        <v>81.14349</v>
      </c>
      <c r="C1732">
        <f>+ROUND(Get_Data!C1731,5)</f>
        <v>34.95402</v>
      </c>
      <c r="D1732" s="4">
        <f t="shared" ref="D1732:D1795" si="27">IFERROR(B1732/C1732,"")</f>
        <v>2.3214351310664698</v>
      </c>
    </row>
    <row r="1733" spans="1:4" ht="17" hidden="1" customHeight="1" outlineLevel="1" thickBot="1">
      <c r="A1733" s="2">
        <f>+Get_Data!A1732</f>
        <v>41955</v>
      </c>
      <c r="B1733">
        <f>+ROUND(Get_Data!B1732,5)</f>
        <v>81.529499999999999</v>
      </c>
      <c r="C1733">
        <f>+ROUND(Get_Data!C1732,5)</f>
        <v>35.118479999999998</v>
      </c>
      <c r="D1733" s="4">
        <f t="shared" si="27"/>
        <v>2.3215554887341368</v>
      </c>
    </row>
    <row r="1734" spans="1:4" ht="17" hidden="1" customHeight="1" outlineLevel="1" thickBot="1">
      <c r="A1734" s="2">
        <f>+Get_Data!A1733</f>
        <v>41956</v>
      </c>
      <c r="B1734">
        <f>+ROUND(Get_Data!B1733,5)</f>
        <v>82.6875</v>
      </c>
      <c r="C1734">
        <f>+ROUND(Get_Data!C1733,5)</f>
        <v>35.184260000000002</v>
      </c>
      <c r="D1734" s="4">
        <f t="shared" si="27"/>
        <v>2.3501275854600889</v>
      </c>
    </row>
    <row r="1735" spans="1:4" ht="17" hidden="1" customHeight="1" outlineLevel="1" thickBot="1">
      <c r="A1735" s="2">
        <f>+Get_Data!A1734</f>
        <v>41957</v>
      </c>
      <c r="B1735">
        <f>+ROUND(Get_Data!B1734,5)</f>
        <v>81.999399999999994</v>
      </c>
      <c r="C1735">
        <f>+ROUND(Get_Data!C1734,5)</f>
        <v>35.134929999999997</v>
      </c>
      <c r="D1735" s="4">
        <f t="shared" si="27"/>
        <v>2.3338427029739353</v>
      </c>
    </row>
    <row r="1736" spans="1:4" ht="17" hidden="1" customHeight="1" outlineLevel="1" thickBot="1">
      <c r="A1736" s="2">
        <f>+Get_Data!A1735</f>
        <v>41960</v>
      </c>
      <c r="B1736">
        <f>+ROUND(Get_Data!B1735,5)</f>
        <v>82.586789999999993</v>
      </c>
      <c r="C1736">
        <f>+ROUND(Get_Data!C1735,5)</f>
        <v>35.291150000000002</v>
      </c>
      <c r="D1736" s="4">
        <f t="shared" si="27"/>
        <v>2.3401558181017053</v>
      </c>
    </row>
    <row r="1737" spans="1:4" ht="17" hidden="1" customHeight="1" outlineLevel="1" thickBot="1">
      <c r="A1737" s="2">
        <f>+Get_Data!A1736</f>
        <v>41961</v>
      </c>
      <c r="B1737">
        <f>+ROUND(Get_Data!B1736,5)</f>
        <v>82.184010000000001</v>
      </c>
      <c r="C1737">
        <f>+ROUND(Get_Data!C1736,5)</f>
        <v>35.792720000000003</v>
      </c>
      <c r="D1737" s="4">
        <f t="shared" si="27"/>
        <v>2.2961096558182779</v>
      </c>
    </row>
    <row r="1738" spans="1:4" ht="17" hidden="1" customHeight="1" outlineLevel="1" thickBot="1">
      <c r="A1738" s="2">
        <f>+Get_Data!A1737</f>
        <v>41962</v>
      </c>
      <c r="B1738">
        <f>+ROUND(Get_Data!B1737,5)</f>
        <v>82.578419999999994</v>
      </c>
      <c r="C1738">
        <f>+ROUND(Get_Data!C1737,5)</f>
        <v>36.36007</v>
      </c>
      <c r="D1738" s="4">
        <f t="shared" si="27"/>
        <v>2.2711292910052152</v>
      </c>
    </row>
    <row r="1739" spans="1:4" ht="17" hidden="1" customHeight="1" outlineLevel="1" thickBot="1">
      <c r="A1739" s="2">
        <f>+Get_Data!A1738</f>
        <v>41963</v>
      </c>
      <c r="B1739">
        <f>+ROUND(Get_Data!B1738,5)</f>
        <v>82.284689999999998</v>
      </c>
      <c r="C1739">
        <f>+ROUND(Get_Data!C1738,5)</f>
        <v>36.384749999999997</v>
      </c>
      <c r="D1739" s="4">
        <f t="shared" si="27"/>
        <v>2.2615158823408161</v>
      </c>
    </row>
    <row r="1740" spans="1:4" ht="17" hidden="1" customHeight="1" outlineLevel="1" thickBot="1">
      <c r="A1740" s="2">
        <f>+Get_Data!A1739</f>
        <v>41964</v>
      </c>
      <c r="B1740">
        <f>+ROUND(Get_Data!B1739,5)</f>
        <v>82.981179999999995</v>
      </c>
      <c r="C1740">
        <f>+ROUND(Get_Data!C1739,5)</f>
        <v>36.590310000000002</v>
      </c>
      <c r="D1740" s="4">
        <f t="shared" si="27"/>
        <v>2.2678457766550757</v>
      </c>
    </row>
    <row r="1741" spans="1:4" ht="17" hidden="1" customHeight="1" outlineLevel="1" thickBot="1">
      <c r="A1741" s="2">
        <f>+Get_Data!A1740</f>
        <v>41967</v>
      </c>
      <c r="B1741">
        <f>+ROUND(Get_Data!B1740,5)</f>
        <v>82.804959999999994</v>
      </c>
      <c r="C1741">
        <f>+ROUND(Get_Data!C1740,5)</f>
        <v>36.40119</v>
      </c>
      <c r="D1741" s="4">
        <f t="shared" si="27"/>
        <v>2.2747871704194282</v>
      </c>
    </row>
    <row r="1742" spans="1:4" ht="17" hidden="1" customHeight="1" outlineLevel="1" thickBot="1">
      <c r="A1742" s="2">
        <f>+Get_Data!A1741</f>
        <v>41968</v>
      </c>
      <c r="B1742">
        <f>+ROUND(Get_Data!B1741,5)</f>
        <v>83.014750000000006</v>
      </c>
      <c r="C1742">
        <f>+ROUND(Get_Data!C1741,5)</f>
        <v>36.532760000000003</v>
      </c>
      <c r="D1742" s="4">
        <f t="shared" si="27"/>
        <v>2.2723372118613541</v>
      </c>
    </row>
    <row r="1743" spans="1:4" ht="17" hidden="1" customHeight="1" outlineLevel="1" thickBot="1">
      <c r="A1743" s="2">
        <f>+Get_Data!A1742</f>
        <v>41969</v>
      </c>
      <c r="B1743">
        <f>+ROUND(Get_Data!B1742,5)</f>
        <v>83.367180000000005</v>
      </c>
      <c r="C1743">
        <f>+ROUND(Get_Data!C1742,5)</f>
        <v>36.669359999999998</v>
      </c>
      <c r="D1743" s="4">
        <f t="shared" si="27"/>
        <v>2.2734833659491196</v>
      </c>
    </row>
    <row r="1744" spans="1:4" ht="17" hidden="1" customHeight="1" outlineLevel="1" thickBot="1">
      <c r="A1744" s="2">
        <f>+Get_Data!A1743</f>
        <v>41971</v>
      </c>
      <c r="B1744">
        <f>+ROUND(Get_Data!B1743,5)</f>
        <v>83.996530000000007</v>
      </c>
      <c r="C1744">
        <f>+ROUND(Get_Data!C1743,5)</f>
        <v>37.116439999999997</v>
      </c>
      <c r="D1744" s="4">
        <f t="shared" si="27"/>
        <v>2.2630545925201884</v>
      </c>
    </row>
    <row r="1745" spans="1:4" ht="17" hidden="1" customHeight="1" outlineLevel="1" thickBot="1">
      <c r="A1745" s="2">
        <f>+Get_Data!A1744</f>
        <v>41974</v>
      </c>
      <c r="B1745">
        <f>+ROUND(Get_Data!B1744,5)</f>
        <v>83.635710000000003</v>
      </c>
      <c r="C1745">
        <f>+ROUND(Get_Data!C1744,5)</f>
        <v>36.884630000000001</v>
      </c>
      <c r="D1745" s="4">
        <f t="shared" si="27"/>
        <v>2.2674948887924318</v>
      </c>
    </row>
    <row r="1746" spans="1:4" ht="17" hidden="1" customHeight="1" outlineLevel="1" thickBot="1">
      <c r="A1746" s="2">
        <f>+Get_Data!A1745</f>
        <v>41975</v>
      </c>
      <c r="B1746">
        <f>+ROUND(Get_Data!B1745,5)</f>
        <v>84.239879999999999</v>
      </c>
      <c r="C1746">
        <f>+ROUND(Get_Data!C1745,5)</f>
        <v>36.876350000000002</v>
      </c>
      <c r="D1746" s="4">
        <f t="shared" si="27"/>
        <v>2.2843876902133751</v>
      </c>
    </row>
    <row r="1747" spans="1:4" ht="17" hidden="1" customHeight="1" outlineLevel="1" thickBot="1">
      <c r="A1747" s="2">
        <f>+Get_Data!A1746</f>
        <v>41976</v>
      </c>
      <c r="B1747">
        <f>+ROUND(Get_Data!B1746,5)</f>
        <v>83.044709999999995</v>
      </c>
      <c r="C1747">
        <f>+ROUND(Get_Data!C1746,5)</f>
        <v>36.263669999999998</v>
      </c>
      <c r="D1747" s="4">
        <f t="shared" si="27"/>
        <v>2.2900249754092732</v>
      </c>
    </row>
    <row r="1748" spans="1:4" ht="17" hidden="1" customHeight="1" outlineLevel="1" thickBot="1">
      <c r="A1748" s="2">
        <f>+Get_Data!A1747</f>
        <v>41977</v>
      </c>
      <c r="B1748">
        <f>+ROUND(Get_Data!B1747,5)</f>
        <v>82.563289999999995</v>
      </c>
      <c r="C1748">
        <f>+ROUND(Get_Data!C1747,5)</f>
        <v>36.01529</v>
      </c>
      <c r="D1748" s="4">
        <f t="shared" si="27"/>
        <v>2.2924510673105782</v>
      </c>
    </row>
    <row r="1749" spans="1:4" ht="17" hidden="1" customHeight="1" outlineLevel="1" thickBot="1">
      <c r="A1749" s="2">
        <f>+Get_Data!A1748</f>
        <v>41978</v>
      </c>
      <c r="B1749">
        <f>+ROUND(Get_Data!B1748,5)</f>
        <v>82.571719999999999</v>
      </c>
      <c r="C1749">
        <f>+ROUND(Get_Data!C1748,5)</f>
        <v>36.040129999999998</v>
      </c>
      <c r="D1749" s="4">
        <f t="shared" si="27"/>
        <v>2.2911049432951547</v>
      </c>
    </row>
    <row r="1750" spans="1:4" ht="17" hidden="1" customHeight="1" outlineLevel="1" thickBot="1">
      <c r="A1750" s="2">
        <f>+Get_Data!A1749</f>
        <v>41981</v>
      </c>
      <c r="B1750">
        <f>+ROUND(Get_Data!B1749,5)</f>
        <v>82.588610000000003</v>
      </c>
      <c r="C1750">
        <f>+ROUND(Get_Data!C1749,5)</f>
        <v>35.717239999999997</v>
      </c>
      <c r="D1750" s="4">
        <f t="shared" si="27"/>
        <v>2.3122898073871334</v>
      </c>
    </row>
    <row r="1751" spans="1:4" ht="17" hidden="1" customHeight="1" outlineLevel="1" thickBot="1">
      <c r="A1751" s="2">
        <f>+Get_Data!A1750</f>
        <v>41982</v>
      </c>
      <c r="B1751">
        <f>+ROUND(Get_Data!B1750,5)</f>
        <v>82.039580000000001</v>
      </c>
      <c r="C1751">
        <f>+ROUND(Get_Data!C1750,5)</f>
        <v>34.8065</v>
      </c>
      <c r="D1751" s="4">
        <f t="shared" si="27"/>
        <v>2.35701894761036</v>
      </c>
    </row>
    <row r="1752" spans="1:4" ht="17" hidden="1" customHeight="1" outlineLevel="1" thickBot="1">
      <c r="A1752" s="2">
        <f>+Get_Data!A1751</f>
        <v>41983</v>
      </c>
      <c r="B1752">
        <f>+ROUND(Get_Data!B1751,5)</f>
        <v>81.237189999999998</v>
      </c>
      <c r="C1752">
        <f>+ROUND(Get_Data!C1751,5)</f>
        <v>34.4422</v>
      </c>
      <c r="D1752" s="4">
        <f t="shared" si="27"/>
        <v>2.3586527573732226</v>
      </c>
    </row>
    <row r="1753" spans="1:4" ht="17" hidden="1" customHeight="1" outlineLevel="1" thickBot="1">
      <c r="A1753" s="2">
        <f>+Get_Data!A1752</f>
        <v>41984</v>
      </c>
      <c r="B1753">
        <f>+ROUND(Get_Data!B1752,5)</f>
        <v>81.330119999999994</v>
      </c>
      <c r="C1753">
        <f>+ROUND(Get_Data!C1752,5)</f>
        <v>34.384250000000002</v>
      </c>
      <c r="D1753" s="4">
        <f t="shared" si="27"/>
        <v>2.365330638300966</v>
      </c>
    </row>
    <row r="1754" spans="1:4" ht="17" hidden="1" customHeight="1" outlineLevel="1" thickBot="1">
      <c r="A1754" s="2">
        <f>+Get_Data!A1753</f>
        <v>41985</v>
      </c>
      <c r="B1754">
        <f>+ROUND(Get_Data!B1753,5)</f>
        <v>80.020899999999997</v>
      </c>
      <c r="C1754">
        <f>+ROUND(Get_Data!C1753,5)</f>
        <v>33.870939999999997</v>
      </c>
      <c r="D1754" s="4">
        <f t="shared" si="27"/>
        <v>2.3625237445432576</v>
      </c>
    </row>
    <row r="1755" spans="1:4" ht="17" hidden="1" customHeight="1" outlineLevel="1" thickBot="1">
      <c r="A1755" s="2">
        <f>+Get_Data!A1754</f>
        <v>41988</v>
      </c>
      <c r="B1755">
        <f>+ROUND(Get_Data!B1754,5)</f>
        <v>79.514120000000005</v>
      </c>
      <c r="C1755">
        <f>+ROUND(Get_Data!C1754,5)</f>
        <v>33.58943</v>
      </c>
      <c r="D1755" s="4">
        <f t="shared" si="27"/>
        <v>2.3672363597715118</v>
      </c>
    </row>
    <row r="1756" spans="1:4" ht="17" hidden="1" customHeight="1" outlineLevel="1" thickBot="1">
      <c r="A1756" s="2">
        <f>+Get_Data!A1755</f>
        <v>41989</v>
      </c>
      <c r="B1756">
        <f>+ROUND(Get_Data!B1755,5)</f>
        <v>78.204939999999993</v>
      </c>
      <c r="C1756">
        <f>+ROUND(Get_Data!C1755,5)</f>
        <v>33.440399999999997</v>
      </c>
      <c r="D1756" s="4">
        <f t="shared" si="27"/>
        <v>2.3386364995634024</v>
      </c>
    </row>
    <row r="1757" spans="1:4" ht="17" hidden="1" customHeight="1" outlineLevel="1" thickBot="1">
      <c r="A1757" s="2">
        <f>+Get_Data!A1756</f>
        <v>41990</v>
      </c>
      <c r="B1757">
        <f>+ROUND(Get_Data!B1756,5)</f>
        <v>79.159379999999999</v>
      </c>
      <c r="C1757">
        <f>+ROUND(Get_Data!C1756,5)</f>
        <v>34.400820000000003</v>
      </c>
      <c r="D1757" s="4">
        <f t="shared" si="27"/>
        <v>2.3010899158799121</v>
      </c>
    </row>
    <row r="1758" spans="1:4" ht="17" hidden="1" customHeight="1" outlineLevel="1" thickBot="1">
      <c r="A1758" s="2">
        <f>+Get_Data!A1757</f>
        <v>41991</v>
      </c>
      <c r="B1758">
        <f>+ROUND(Get_Data!B1757,5)</f>
        <v>80.544589999999999</v>
      </c>
      <c r="C1758">
        <f>+ROUND(Get_Data!C1757,5)</f>
        <v>35.096269999999997</v>
      </c>
      <c r="D1758" s="4">
        <f t="shared" si="27"/>
        <v>2.2949615443464508</v>
      </c>
    </row>
    <row r="1759" spans="1:4" ht="17" hidden="1" customHeight="1" outlineLevel="1" thickBot="1">
      <c r="A1759" s="2">
        <f>+Get_Data!A1758</f>
        <v>41992</v>
      </c>
      <c r="B1759">
        <f>+ROUND(Get_Data!B1758,5)</f>
        <v>80.612160000000003</v>
      </c>
      <c r="C1759">
        <f>+ROUND(Get_Data!C1758,5)</f>
        <v>34.73198</v>
      </c>
      <c r="D1759" s="4">
        <f t="shared" si="27"/>
        <v>2.3209779574904741</v>
      </c>
    </row>
    <row r="1760" spans="1:4" ht="17" hidden="1" customHeight="1" outlineLevel="1" thickBot="1">
      <c r="A1760" s="2">
        <f>+Get_Data!A1759</f>
        <v>41995</v>
      </c>
      <c r="B1760">
        <f>+ROUND(Get_Data!B1759,5)</f>
        <v>81.608840000000001</v>
      </c>
      <c r="C1760">
        <f>+ROUND(Get_Data!C1759,5)</f>
        <v>35.063160000000003</v>
      </c>
      <c r="D1760" s="4">
        <f t="shared" si="27"/>
        <v>2.3274810370770918</v>
      </c>
    </row>
    <row r="1761" spans="1:4" ht="17" hidden="1" customHeight="1" outlineLevel="1" thickBot="1">
      <c r="A1761" s="2">
        <f>+Get_Data!A1760</f>
        <v>41996</v>
      </c>
      <c r="B1761">
        <f>+ROUND(Get_Data!B1760,5)</f>
        <v>82.233850000000004</v>
      </c>
      <c r="C1761">
        <f>+ROUND(Get_Data!C1760,5)</f>
        <v>35.576479999999997</v>
      </c>
      <c r="D1761" s="4">
        <f t="shared" si="27"/>
        <v>2.3114667330775842</v>
      </c>
    </row>
    <row r="1762" spans="1:4" ht="17" hidden="1" customHeight="1" outlineLevel="1" thickBot="1">
      <c r="A1762" s="2">
        <f>+Get_Data!A1761</f>
        <v>41997</v>
      </c>
      <c r="B1762">
        <f>+ROUND(Get_Data!B1761,5)</f>
        <v>82.005809999999997</v>
      </c>
      <c r="C1762">
        <f>+ROUND(Get_Data!C1761,5)</f>
        <v>35.551650000000002</v>
      </c>
      <c r="D1762" s="4">
        <f t="shared" si="27"/>
        <v>2.3066667791790252</v>
      </c>
    </row>
    <row r="1763" spans="1:4" ht="17" hidden="1" customHeight="1" outlineLevel="1" thickBot="1">
      <c r="A1763" s="2">
        <f>+Get_Data!A1762</f>
        <v>41999</v>
      </c>
      <c r="B1763">
        <f>+ROUND(Get_Data!B1762,5)</f>
        <v>81.972020000000001</v>
      </c>
      <c r="C1763">
        <f>+ROUND(Get_Data!C1762,5)</f>
        <v>35.568210000000001</v>
      </c>
      <c r="D1763" s="4">
        <f t="shared" si="27"/>
        <v>2.3046428257143106</v>
      </c>
    </row>
    <row r="1764" spans="1:4" ht="17" hidden="1" customHeight="1" outlineLevel="1" thickBot="1">
      <c r="A1764" s="2">
        <f>+Get_Data!A1763</f>
        <v>42002</v>
      </c>
      <c r="B1764">
        <f>+ROUND(Get_Data!B1763,5)</f>
        <v>81.701750000000004</v>
      </c>
      <c r="C1764">
        <f>+ROUND(Get_Data!C1763,5)</f>
        <v>35.485419999999998</v>
      </c>
      <c r="D1764" s="4">
        <f t="shared" si="27"/>
        <v>2.3024033532645243</v>
      </c>
    </row>
    <row r="1765" spans="1:4" ht="17" hidden="1" customHeight="1" outlineLevel="1" thickBot="1">
      <c r="A1765" s="2">
        <f>+Get_Data!A1764</f>
        <v>42003</v>
      </c>
      <c r="B1765">
        <f>+ROUND(Get_Data!B1764,5)</f>
        <v>81.051370000000006</v>
      </c>
      <c r="C1765">
        <f>+ROUND(Get_Data!C1764,5)</f>
        <v>35.402610000000003</v>
      </c>
      <c r="D1765" s="4">
        <f t="shared" si="27"/>
        <v>2.2894179270963355</v>
      </c>
    </row>
    <row r="1766" spans="1:4" ht="17" hidden="1" customHeight="1" outlineLevel="1" thickBot="1">
      <c r="A1766" s="2">
        <f>+Get_Data!A1765</f>
        <v>42004</v>
      </c>
      <c r="B1766">
        <f>+ROUND(Get_Data!B1765,5)</f>
        <v>79.868880000000004</v>
      </c>
      <c r="C1766">
        <f>+ROUND(Get_Data!C1765,5)</f>
        <v>34.955539999999999</v>
      </c>
      <c r="D1766" s="4">
        <f t="shared" si="27"/>
        <v>2.2848704382767369</v>
      </c>
    </row>
    <row r="1767" spans="1:4" ht="17" hidden="1" customHeight="1" outlineLevel="1" thickBot="1">
      <c r="A1767" s="2">
        <f>+Get_Data!A1766</f>
        <v>42006</v>
      </c>
      <c r="B1767">
        <f>+ROUND(Get_Data!B1766,5)</f>
        <v>79.767539999999997</v>
      </c>
      <c r="C1767">
        <f>+ROUND(Get_Data!C1766,5)</f>
        <v>34.889290000000003</v>
      </c>
      <c r="D1767" s="4">
        <f t="shared" si="27"/>
        <v>2.2863044791109246</v>
      </c>
    </row>
    <row r="1768" spans="1:4" ht="17" hidden="1" customHeight="1" outlineLevel="1" thickBot="1">
      <c r="A1768" s="2">
        <f>+Get_Data!A1767</f>
        <v>42009</v>
      </c>
      <c r="B1768">
        <f>+ROUND(Get_Data!B1767,5)</f>
        <v>79.167820000000006</v>
      </c>
      <c r="C1768">
        <f>+ROUND(Get_Data!C1767,5)</f>
        <v>34.889290000000003</v>
      </c>
      <c r="D1768" s="4">
        <f t="shared" si="27"/>
        <v>2.2691152499807248</v>
      </c>
    </row>
    <row r="1769" spans="1:4" ht="17" hidden="1" customHeight="1" outlineLevel="1" thickBot="1">
      <c r="A1769" s="2">
        <f>+Get_Data!A1768</f>
        <v>42010</v>
      </c>
      <c r="B1769">
        <f>+ROUND(Get_Data!B1768,5)</f>
        <v>78.56814</v>
      </c>
      <c r="C1769">
        <f>+ROUND(Get_Data!C1768,5)</f>
        <v>35.154240000000001</v>
      </c>
      <c r="D1769" s="4">
        <f t="shared" si="27"/>
        <v>2.2349548731532809</v>
      </c>
    </row>
    <row r="1770" spans="1:4" ht="17" hidden="1" customHeight="1" outlineLevel="1" thickBot="1">
      <c r="A1770" s="2">
        <f>+Get_Data!A1769</f>
        <v>42011</v>
      </c>
      <c r="B1770">
        <f>+ROUND(Get_Data!B1769,5)</f>
        <v>80.865530000000007</v>
      </c>
      <c r="C1770">
        <f>+ROUND(Get_Data!C1769,5)</f>
        <v>35.593040000000002</v>
      </c>
      <c r="D1770" s="4">
        <f t="shared" si="27"/>
        <v>2.2719478302499589</v>
      </c>
    </row>
    <row r="1771" spans="1:4" ht="17" hidden="1" customHeight="1" outlineLevel="1" thickBot="1">
      <c r="A1771" s="2">
        <f>+Get_Data!A1770</f>
        <v>42012</v>
      </c>
      <c r="B1771">
        <f>+ROUND(Get_Data!B1770,5)</f>
        <v>82.335239999999999</v>
      </c>
      <c r="C1771">
        <f>+ROUND(Get_Data!C1770,5)</f>
        <v>36.023569999999999</v>
      </c>
      <c r="D1771" s="4">
        <f t="shared" si="27"/>
        <v>2.2855935710980337</v>
      </c>
    </row>
    <row r="1772" spans="1:4" ht="17" hidden="1" customHeight="1" outlineLevel="1" thickBot="1">
      <c r="A1772" s="2">
        <f>+Get_Data!A1771</f>
        <v>42013</v>
      </c>
      <c r="B1772">
        <f>+ROUND(Get_Data!B1771,5)</f>
        <v>81.777770000000004</v>
      </c>
      <c r="C1772">
        <f>+ROUND(Get_Data!C1771,5)</f>
        <v>35.626159999999999</v>
      </c>
      <c r="D1772" s="4">
        <f t="shared" si="27"/>
        <v>2.2954416080767617</v>
      </c>
    </row>
    <row r="1773" spans="1:4" ht="17" hidden="1" customHeight="1" outlineLevel="1" thickBot="1">
      <c r="A1773" s="2">
        <f>+Get_Data!A1772</f>
        <v>42016</v>
      </c>
      <c r="B1773">
        <f>+ROUND(Get_Data!B1772,5)</f>
        <v>81.439899999999994</v>
      </c>
      <c r="C1773">
        <f>+ROUND(Get_Data!C1772,5)</f>
        <v>35.303260000000002</v>
      </c>
      <c r="D1773" s="4">
        <f t="shared" si="27"/>
        <v>2.3068662780717699</v>
      </c>
    </row>
    <row r="1774" spans="1:4" ht="17" hidden="1" customHeight="1" outlineLevel="1" thickBot="1">
      <c r="A1774" s="2">
        <f>+Get_Data!A1773</f>
        <v>42017</v>
      </c>
      <c r="B1774">
        <f>+ROUND(Get_Data!B1773,5)</f>
        <v>81.380780000000001</v>
      </c>
      <c r="C1774">
        <f>+ROUND(Get_Data!C1773,5)</f>
        <v>35.294989999999999</v>
      </c>
      <c r="D1774" s="4">
        <f t="shared" si="27"/>
        <v>2.3057317766629204</v>
      </c>
    </row>
    <row r="1775" spans="1:4" ht="17" hidden="1" customHeight="1" outlineLevel="1" thickBot="1">
      <c r="A1775" s="2">
        <f>+Get_Data!A1774</f>
        <v>42018</v>
      </c>
      <c r="B1775">
        <f>+ROUND(Get_Data!B1774,5)</f>
        <v>81.651070000000004</v>
      </c>
      <c r="C1775">
        <f>+ROUND(Get_Data!C1774,5)</f>
        <v>35.237020000000001</v>
      </c>
      <c r="D1775" s="4">
        <f t="shared" si="27"/>
        <v>2.3171956652407042</v>
      </c>
    </row>
    <row r="1776" spans="1:4" ht="17" hidden="1" customHeight="1" outlineLevel="1" thickBot="1">
      <c r="A1776" s="2">
        <f>+Get_Data!A1775</f>
        <v>42019</v>
      </c>
      <c r="B1776">
        <f>+ROUND(Get_Data!B1775,5)</f>
        <v>81.651070000000004</v>
      </c>
      <c r="C1776">
        <f>+ROUND(Get_Data!C1775,5)</f>
        <v>35.088000000000001</v>
      </c>
      <c r="D1776" s="4">
        <f t="shared" si="27"/>
        <v>2.3270368787049702</v>
      </c>
    </row>
    <row r="1777" spans="1:4" ht="17" hidden="1" customHeight="1" outlineLevel="1" thickBot="1">
      <c r="A1777" s="2">
        <f>+Get_Data!A1776</f>
        <v>42020</v>
      </c>
      <c r="B1777">
        <f>+ROUND(Get_Data!B1776,5)</f>
        <v>82.174719999999994</v>
      </c>
      <c r="C1777">
        <f>+ROUND(Get_Data!C1776,5)</f>
        <v>35.21219</v>
      </c>
      <c r="D1777" s="4">
        <f t="shared" si="27"/>
        <v>2.3337009143708469</v>
      </c>
    </row>
    <row r="1778" spans="1:4" ht="17" hidden="1" customHeight="1" outlineLevel="1" thickBot="1">
      <c r="A1778" s="2">
        <f>+Get_Data!A1777</f>
        <v>42024</v>
      </c>
      <c r="B1778">
        <f>+ROUND(Get_Data!B1777,5)</f>
        <v>82.360560000000007</v>
      </c>
      <c r="C1778">
        <f>+ROUND(Get_Data!C1777,5)</f>
        <v>35.733800000000002</v>
      </c>
      <c r="D1778" s="4">
        <f t="shared" si="27"/>
        <v>2.3048363174361528</v>
      </c>
    </row>
    <row r="1779" spans="1:4" ht="17" hidden="1" customHeight="1" outlineLevel="1" thickBot="1">
      <c r="A1779" s="2">
        <f>+Get_Data!A1778</f>
        <v>42025</v>
      </c>
      <c r="B1779">
        <f>+ROUND(Get_Data!B1778,5)</f>
        <v>82.26764</v>
      </c>
      <c r="C1779">
        <f>+ROUND(Get_Data!C1778,5)</f>
        <v>35.899380000000001</v>
      </c>
      <c r="D1779" s="4">
        <f t="shared" si="27"/>
        <v>2.2916172925549132</v>
      </c>
    </row>
    <row r="1780" spans="1:4" ht="17" hidden="1" customHeight="1" outlineLevel="1" thickBot="1">
      <c r="A1780" s="2">
        <f>+Get_Data!A1779</f>
        <v>42026</v>
      </c>
      <c r="B1780">
        <f>+ROUND(Get_Data!B1779,5)</f>
        <v>83.534599999999998</v>
      </c>
      <c r="C1780">
        <f>+ROUND(Get_Data!C1779,5)</f>
        <v>36.247120000000002</v>
      </c>
      <c r="D1780" s="4">
        <f t="shared" si="27"/>
        <v>2.3045858539933652</v>
      </c>
    </row>
    <row r="1781" spans="1:4" ht="17" hidden="1" customHeight="1" outlineLevel="1" thickBot="1">
      <c r="A1781" s="2">
        <f>+Get_Data!A1780</f>
        <v>42027</v>
      </c>
      <c r="B1781">
        <f>+ROUND(Get_Data!B1780,5)</f>
        <v>83.222080000000005</v>
      </c>
      <c r="C1781">
        <f>+ROUND(Get_Data!C1780,5)</f>
        <v>35.857979999999998</v>
      </c>
      <c r="D1781" s="4">
        <f t="shared" si="27"/>
        <v>2.3208803172961781</v>
      </c>
    </row>
    <row r="1782" spans="1:4" ht="17" hidden="1" customHeight="1" outlineLevel="1" thickBot="1">
      <c r="A1782" s="2">
        <f>+Get_Data!A1781</f>
        <v>42030</v>
      </c>
      <c r="B1782">
        <f>+ROUND(Get_Data!B1781,5)</f>
        <v>83.357240000000004</v>
      </c>
      <c r="C1782">
        <f>+ROUND(Get_Data!C1781,5)</f>
        <v>35.601329999999997</v>
      </c>
      <c r="D1782" s="4">
        <f t="shared" si="27"/>
        <v>2.3414080316662331</v>
      </c>
    </row>
    <row r="1783" spans="1:4" ht="17" hidden="1" customHeight="1" outlineLevel="1" thickBot="1">
      <c r="A1783" s="2">
        <f>+Get_Data!A1782</f>
        <v>42031</v>
      </c>
      <c r="B1783">
        <f>+ROUND(Get_Data!B1782,5)</f>
        <v>81.693280000000001</v>
      </c>
      <c r="C1783">
        <f>+ROUND(Get_Data!C1782,5)</f>
        <v>35.096269999999997</v>
      </c>
      <c r="D1783" s="4">
        <f t="shared" si="27"/>
        <v>2.3276912332849049</v>
      </c>
    </row>
    <row r="1784" spans="1:4" ht="17" hidden="1" customHeight="1" outlineLevel="1" thickBot="1">
      <c r="A1784" s="2">
        <f>+Get_Data!A1783</f>
        <v>42032</v>
      </c>
      <c r="B1784">
        <f>+ROUND(Get_Data!B1783,5)</f>
        <v>80.848650000000006</v>
      </c>
      <c r="C1784">
        <f>+ROUND(Get_Data!C1783,5)</f>
        <v>34.707140000000003</v>
      </c>
      <c r="D1784" s="4">
        <f t="shared" si="27"/>
        <v>2.3294529598232527</v>
      </c>
    </row>
    <row r="1785" spans="1:4" ht="17" hidden="1" customHeight="1" outlineLevel="1" thickBot="1">
      <c r="A1785" s="2">
        <f>+Get_Data!A1784</f>
        <v>42033</v>
      </c>
      <c r="B1785">
        <f>+ROUND(Get_Data!B1784,5)</f>
        <v>81.110489999999999</v>
      </c>
      <c r="C1785">
        <f>+ROUND(Get_Data!C1784,5)</f>
        <v>34.856180000000002</v>
      </c>
      <c r="D1785" s="4">
        <f t="shared" si="27"/>
        <v>2.3270045656179188</v>
      </c>
    </row>
    <row r="1786" spans="1:4" ht="17" hidden="1" customHeight="1" outlineLevel="1" thickBot="1">
      <c r="A1786" s="2">
        <f>+Get_Data!A1785</f>
        <v>42034</v>
      </c>
      <c r="B1786">
        <f>+ROUND(Get_Data!B1785,5)</f>
        <v>79.210049999999995</v>
      </c>
      <c r="C1786">
        <f>+ROUND(Get_Data!C1785,5)</f>
        <v>34.086199999999998</v>
      </c>
      <c r="D1786" s="4">
        <f t="shared" si="27"/>
        <v>2.3238157964220125</v>
      </c>
    </row>
    <row r="1787" spans="1:4" ht="17" hidden="1" customHeight="1" outlineLevel="1" thickBot="1">
      <c r="A1787" s="2">
        <f>+Get_Data!A1786</f>
        <v>42037</v>
      </c>
      <c r="B1787">
        <f>+ROUND(Get_Data!B1786,5)</f>
        <v>80.519239999999996</v>
      </c>
      <c r="C1787">
        <f>+ROUND(Get_Data!C1786,5)</f>
        <v>34.433929999999997</v>
      </c>
      <c r="D1787" s="4">
        <f t="shared" si="27"/>
        <v>2.3383691608828849</v>
      </c>
    </row>
    <row r="1788" spans="1:4" ht="17" hidden="1" customHeight="1" outlineLevel="1" thickBot="1">
      <c r="A1788" s="2">
        <f>+Get_Data!A1787</f>
        <v>42038</v>
      </c>
      <c r="B1788">
        <f>+ROUND(Get_Data!B1787,5)</f>
        <v>81.254069999999999</v>
      </c>
      <c r="C1788">
        <f>+ROUND(Get_Data!C1787,5)</f>
        <v>34.467059999999996</v>
      </c>
      <c r="D1788" s="4">
        <f t="shared" si="27"/>
        <v>2.3574412787165486</v>
      </c>
    </row>
    <row r="1789" spans="1:4" ht="17" hidden="1" customHeight="1" outlineLevel="1" thickBot="1">
      <c r="A1789" s="2">
        <f>+Get_Data!A1788</f>
        <v>42039</v>
      </c>
      <c r="B1789">
        <f>+ROUND(Get_Data!B1788,5)</f>
        <v>81.591930000000005</v>
      </c>
      <c r="C1789">
        <f>+ROUND(Get_Data!C1788,5)</f>
        <v>34.508450000000003</v>
      </c>
      <c r="D1789" s="4">
        <f t="shared" si="27"/>
        <v>2.3644043705237414</v>
      </c>
    </row>
    <row r="1790" spans="1:4" ht="17" hidden="1" customHeight="1" outlineLevel="1" thickBot="1">
      <c r="A1790" s="2">
        <f>+Get_Data!A1789</f>
        <v>42040</v>
      </c>
      <c r="B1790">
        <f>+ROUND(Get_Data!B1789,5)</f>
        <v>81.600380000000001</v>
      </c>
      <c r="C1790">
        <f>+ROUND(Get_Data!C1789,5)</f>
        <v>34.599530000000001</v>
      </c>
      <c r="D1790" s="4">
        <f t="shared" si="27"/>
        <v>2.3584245219515987</v>
      </c>
    </row>
    <row r="1791" spans="1:4" ht="17" hidden="1" customHeight="1" outlineLevel="1" thickBot="1">
      <c r="A1791" s="2">
        <f>+Get_Data!A1790</f>
        <v>42041</v>
      </c>
      <c r="B1791">
        <f>+ROUND(Get_Data!B1790,5)</f>
        <v>81.684839999999994</v>
      </c>
      <c r="C1791">
        <f>+ROUND(Get_Data!C1790,5)</f>
        <v>34.318010000000001</v>
      </c>
      <c r="D1791" s="4">
        <f t="shared" si="27"/>
        <v>2.3802324202364877</v>
      </c>
    </row>
    <row r="1792" spans="1:4" ht="17" hidden="1" customHeight="1" outlineLevel="1" thickBot="1">
      <c r="A1792" s="2">
        <f>+Get_Data!A1791</f>
        <v>42044</v>
      </c>
      <c r="B1792">
        <f>+ROUND(Get_Data!B1791,5)</f>
        <v>81.059820000000002</v>
      </c>
      <c r="C1792">
        <f>+ROUND(Get_Data!C1791,5)</f>
        <v>34.13588</v>
      </c>
      <c r="D1792" s="4">
        <f t="shared" si="27"/>
        <v>2.3746222449809409</v>
      </c>
    </row>
    <row r="1793" spans="1:4" ht="17" hidden="1" customHeight="1" outlineLevel="1" thickBot="1">
      <c r="A1793" s="2">
        <f>+Get_Data!A1792</f>
        <v>42045</v>
      </c>
      <c r="B1793">
        <f>+ROUND(Get_Data!B1792,5)</f>
        <v>82.765960000000007</v>
      </c>
      <c r="C1793">
        <f>+ROUND(Get_Data!C1792,5)</f>
        <v>35.104559999999999</v>
      </c>
      <c r="D1793" s="4">
        <f t="shared" si="27"/>
        <v>2.3576982591435418</v>
      </c>
    </row>
    <row r="1794" spans="1:4" ht="17" hidden="1" customHeight="1" outlineLevel="1" thickBot="1">
      <c r="A1794" s="2">
        <f>+Get_Data!A1793</f>
        <v>42046</v>
      </c>
      <c r="B1794">
        <f>+ROUND(Get_Data!B1793,5)</f>
        <v>84.801559999999995</v>
      </c>
      <c r="C1794">
        <f>+ROUND(Get_Data!C1793,5)</f>
        <v>35.079720000000002</v>
      </c>
      <c r="D1794" s="4">
        <f t="shared" si="27"/>
        <v>2.4173955778438367</v>
      </c>
    </row>
    <row r="1795" spans="1:4" ht="17" hidden="1" customHeight="1" outlineLevel="1" thickBot="1">
      <c r="A1795" s="2">
        <f>+Get_Data!A1794</f>
        <v>42047</v>
      </c>
      <c r="B1795">
        <f>+ROUND(Get_Data!B1794,5)</f>
        <v>84.691760000000002</v>
      </c>
      <c r="C1795">
        <f>+ROUND(Get_Data!C1794,5)</f>
        <v>34.91413</v>
      </c>
      <c r="D1795" s="4">
        <f t="shared" si="27"/>
        <v>2.4257158921044288</v>
      </c>
    </row>
    <row r="1796" spans="1:4" ht="17" hidden="1" customHeight="1" outlineLevel="1" thickBot="1">
      <c r="A1796" s="2">
        <f>+Get_Data!A1795</f>
        <v>42048</v>
      </c>
      <c r="B1796">
        <f>+ROUND(Get_Data!B1795,5)</f>
        <v>83.728859999999997</v>
      </c>
      <c r="C1796">
        <f>+ROUND(Get_Data!C1795,5)</f>
        <v>34.76511</v>
      </c>
      <c r="D1796" s="4">
        <f t="shared" ref="D1796:D1859" si="28">IFERROR(B1796/C1796,"")</f>
        <v>2.4084163691701246</v>
      </c>
    </row>
    <row r="1797" spans="1:4" ht="17" hidden="1" customHeight="1" outlineLevel="1" thickBot="1">
      <c r="A1797" s="2">
        <f>+Get_Data!A1796</f>
        <v>42052</v>
      </c>
      <c r="B1797">
        <f>+ROUND(Get_Data!B1796,5)</f>
        <v>83.078490000000002</v>
      </c>
      <c r="C1797">
        <f>+ROUND(Get_Data!C1796,5)</f>
        <v>34.616070000000001</v>
      </c>
      <c r="D1797" s="4">
        <f t="shared" si="28"/>
        <v>2.3999977467112816</v>
      </c>
    </row>
    <row r="1798" spans="1:4" ht="17" hidden="1" customHeight="1" outlineLevel="1" thickBot="1">
      <c r="A1798" s="2">
        <f>+Get_Data!A1797</f>
        <v>42053</v>
      </c>
      <c r="B1798">
        <f>+ROUND(Get_Data!B1797,5)</f>
        <v>83.897800000000004</v>
      </c>
      <c r="C1798">
        <f>+ROUND(Get_Data!C1797,5)</f>
        <v>34.549840000000003</v>
      </c>
      <c r="D1798" s="4">
        <f t="shared" si="28"/>
        <v>2.4283122584648726</v>
      </c>
    </row>
    <row r="1799" spans="1:4" ht="17" hidden="1" customHeight="1" outlineLevel="1" thickBot="1">
      <c r="A1799" s="2">
        <f>+Get_Data!A1798</f>
        <v>42054</v>
      </c>
      <c r="B1799">
        <f>+ROUND(Get_Data!B1798,5)</f>
        <v>83.382559999999998</v>
      </c>
      <c r="C1799">
        <f>+ROUND(Get_Data!C1798,5)</f>
        <v>34.864460000000001</v>
      </c>
      <c r="D1799" s="4">
        <f t="shared" si="28"/>
        <v>2.3916205786637739</v>
      </c>
    </row>
    <row r="1800" spans="1:4" ht="17" hidden="1" customHeight="1" outlineLevel="1" thickBot="1">
      <c r="A1800" s="2">
        <f>+Get_Data!A1799</f>
        <v>42055</v>
      </c>
      <c r="B1800">
        <f>+ROUND(Get_Data!B1799,5)</f>
        <v>83.669740000000004</v>
      </c>
      <c r="C1800">
        <f>+ROUND(Get_Data!C1799,5)</f>
        <v>34.748550000000002</v>
      </c>
      <c r="D1800" s="4">
        <f t="shared" si="28"/>
        <v>2.4078627741301437</v>
      </c>
    </row>
    <row r="1801" spans="1:4" ht="17" hidden="1" customHeight="1" outlineLevel="1" thickBot="1">
      <c r="A1801" s="2">
        <f>+Get_Data!A1800</f>
        <v>42058</v>
      </c>
      <c r="B1801">
        <f>+ROUND(Get_Data!B1800,5)</f>
        <v>83.999120000000005</v>
      </c>
      <c r="C1801">
        <f>+ROUND(Get_Data!C1800,5)</f>
        <v>34.649189999999997</v>
      </c>
      <c r="D1801" s="4">
        <f t="shared" si="28"/>
        <v>2.4242736987502451</v>
      </c>
    </row>
    <row r="1802" spans="1:4" ht="17" hidden="1" customHeight="1" outlineLevel="1" thickBot="1">
      <c r="A1802" s="2">
        <f>+Get_Data!A1801</f>
        <v>42059</v>
      </c>
      <c r="B1802">
        <f>+ROUND(Get_Data!B1801,5)</f>
        <v>84.108959999999996</v>
      </c>
      <c r="C1802">
        <f>+ROUND(Get_Data!C1801,5)</f>
        <v>34.881019999999999</v>
      </c>
      <c r="D1802" s="4">
        <f t="shared" si="28"/>
        <v>2.4113102197126115</v>
      </c>
    </row>
    <row r="1803" spans="1:4" ht="17" hidden="1" customHeight="1" outlineLevel="1" thickBot="1">
      <c r="A1803" s="2">
        <f>+Get_Data!A1802</f>
        <v>42060</v>
      </c>
      <c r="B1803">
        <f>+ROUND(Get_Data!B1802,5)</f>
        <v>84.041370000000001</v>
      </c>
      <c r="C1803">
        <f>+ROUND(Get_Data!C1802,5)</f>
        <v>34.814790000000002</v>
      </c>
      <c r="D1803" s="4">
        <f t="shared" si="28"/>
        <v>2.4139559652664859</v>
      </c>
    </row>
    <row r="1804" spans="1:4" ht="17" hidden="1" customHeight="1" outlineLevel="1" thickBot="1">
      <c r="A1804" s="2">
        <f>+Get_Data!A1803</f>
        <v>42061</v>
      </c>
      <c r="B1804">
        <f>+ROUND(Get_Data!B1803,5)</f>
        <v>83.678190000000001</v>
      </c>
      <c r="C1804">
        <f>+ROUND(Get_Data!C1803,5)</f>
        <v>35.154240000000001</v>
      </c>
      <c r="D1804" s="4">
        <f t="shared" si="28"/>
        <v>2.3803157172506073</v>
      </c>
    </row>
    <row r="1805" spans="1:4" ht="17" hidden="1" customHeight="1" outlineLevel="1" thickBot="1">
      <c r="A1805" s="2">
        <f>+Get_Data!A1804</f>
        <v>42062</v>
      </c>
      <c r="B1805">
        <f>+ROUND(Get_Data!B1804,5)</f>
        <v>83.602170000000001</v>
      </c>
      <c r="C1805">
        <f>+ROUND(Get_Data!C1804,5)</f>
        <v>35.849699999999999</v>
      </c>
      <c r="D1805" s="4">
        <f t="shared" si="28"/>
        <v>2.3320186779805692</v>
      </c>
    </row>
    <row r="1806" spans="1:4" ht="17" hidden="1" customHeight="1" outlineLevel="1" thickBot="1">
      <c r="A1806" s="2">
        <f>+Get_Data!A1805</f>
        <v>42065</v>
      </c>
      <c r="B1806">
        <f>+ROUND(Get_Data!B1805,5)</f>
        <v>83.619060000000005</v>
      </c>
      <c r="C1806">
        <f>+ROUND(Get_Data!C1805,5)</f>
        <v>35.766919999999999</v>
      </c>
      <c r="D1806" s="4">
        <f t="shared" si="28"/>
        <v>2.3378881938953651</v>
      </c>
    </row>
    <row r="1807" spans="1:4" ht="17" hidden="1" customHeight="1" outlineLevel="1" thickBot="1">
      <c r="A1807" s="2">
        <f>+Get_Data!A1806</f>
        <v>42066</v>
      </c>
      <c r="B1807">
        <f>+ROUND(Get_Data!B1806,5)</f>
        <v>83.112290000000002</v>
      </c>
      <c r="C1807">
        <f>+ROUND(Get_Data!C1806,5)</f>
        <v>35.559930000000001</v>
      </c>
      <c r="D1807" s="4">
        <f t="shared" si="28"/>
        <v>2.3372456020020285</v>
      </c>
    </row>
    <row r="1808" spans="1:4" ht="17" hidden="1" customHeight="1" outlineLevel="1" thickBot="1">
      <c r="A1808" s="2">
        <f>+Get_Data!A1807</f>
        <v>42067</v>
      </c>
      <c r="B1808">
        <f>+ROUND(Get_Data!B1807,5)</f>
        <v>82.784909999999996</v>
      </c>
      <c r="C1808">
        <f>+ROUND(Get_Data!C1807,5)</f>
        <v>35.187350000000002</v>
      </c>
      <c r="D1808" s="4">
        <f t="shared" si="28"/>
        <v>2.3526895318914325</v>
      </c>
    </row>
    <row r="1809" spans="1:4" ht="17" hidden="1" customHeight="1" outlineLevel="1" thickBot="1">
      <c r="A1809" s="2">
        <f>+Get_Data!A1808</f>
        <v>42068</v>
      </c>
      <c r="B1809">
        <f>+ROUND(Get_Data!B1808,5)</f>
        <v>82.674400000000006</v>
      </c>
      <c r="C1809">
        <f>+ROUND(Get_Data!C1808,5)</f>
        <v>35.104559999999999</v>
      </c>
      <c r="D1809" s="4">
        <f t="shared" si="28"/>
        <v>2.3550900509791322</v>
      </c>
    </row>
    <row r="1810" spans="1:4" ht="17" hidden="1" customHeight="1" outlineLevel="1" thickBot="1">
      <c r="A1810" s="2">
        <f>+Get_Data!A1809</f>
        <v>42069</v>
      </c>
      <c r="B1810">
        <f>+ROUND(Get_Data!B1809,5)</f>
        <v>81.773060000000001</v>
      </c>
      <c r="C1810">
        <f>+ROUND(Get_Data!C1809,5)</f>
        <v>34.375970000000002</v>
      </c>
      <c r="D1810" s="4">
        <f t="shared" si="28"/>
        <v>2.3787855295428755</v>
      </c>
    </row>
    <row r="1811" spans="1:4" ht="17" hidden="1" customHeight="1" outlineLevel="1" thickBot="1">
      <c r="A1811" s="2">
        <f>+Get_Data!A1810</f>
        <v>42072</v>
      </c>
      <c r="B1811">
        <f>+ROUND(Get_Data!B1810,5)</f>
        <v>81.662540000000007</v>
      </c>
      <c r="C1811">
        <f>+ROUND(Get_Data!C1810,5)</f>
        <v>34.268349999999998</v>
      </c>
      <c r="D1811" s="4">
        <f t="shared" si="28"/>
        <v>2.3830309892364241</v>
      </c>
    </row>
    <row r="1812" spans="1:4" ht="17" hidden="1" customHeight="1" outlineLevel="1" thickBot="1">
      <c r="A1812" s="2">
        <f>+Get_Data!A1811</f>
        <v>42073</v>
      </c>
      <c r="B1812">
        <f>+ROUND(Get_Data!B1811,5)</f>
        <v>80.293559999999999</v>
      </c>
      <c r="C1812">
        <f>+ROUND(Get_Data!C1811,5)</f>
        <v>33.688789999999997</v>
      </c>
      <c r="D1812" s="4">
        <f t="shared" si="28"/>
        <v>2.3833910330409611</v>
      </c>
    </row>
    <row r="1813" spans="1:4" ht="17" hidden="1" customHeight="1" outlineLevel="1" thickBot="1">
      <c r="A1813" s="2">
        <f>+Get_Data!A1812</f>
        <v>42074</v>
      </c>
      <c r="B1813">
        <f>+ROUND(Get_Data!B1812,5)</f>
        <v>79.613309999999998</v>
      </c>
      <c r="C1813">
        <f>+ROUND(Get_Data!C1812,5)</f>
        <v>33.200299999999999</v>
      </c>
      <c r="D1813" s="4">
        <f t="shared" si="28"/>
        <v>2.3979695966602712</v>
      </c>
    </row>
    <row r="1814" spans="1:4" ht="17" hidden="1" customHeight="1" outlineLevel="1" thickBot="1">
      <c r="A1814" s="2">
        <f>+Get_Data!A1813</f>
        <v>42075</v>
      </c>
      <c r="B1814">
        <f>+ROUND(Get_Data!B1813,5)</f>
        <v>81.38194</v>
      </c>
      <c r="C1814">
        <f>+ROUND(Get_Data!C1813,5)</f>
        <v>33.868139999999997</v>
      </c>
      <c r="D1814" s="4">
        <f t="shared" si="28"/>
        <v>2.4029055035204179</v>
      </c>
    </row>
    <row r="1815" spans="1:4" ht="17" hidden="1" customHeight="1" outlineLevel="1" thickBot="1">
      <c r="A1815" s="2">
        <f>+Get_Data!A1814</f>
        <v>42076</v>
      </c>
      <c r="B1815">
        <f>+ROUND(Get_Data!B1814,5)</f>
        <v>80.200029999999998</v>
      </c>
      <c r="C1815">
        <f>+ROUND(Get_Data!C1814,5)</f>
        <v>33.31718</v>
      </c>
      <c r="D1815" s="4">
        <f t="shared" si="28"/>
        <v>2.4071674133284988</v>
      </c>
    </row>
    <row r="1816" spans="1:4" ht="17" hidden="1" customHeight="1" outlineLevel="1" thickBot="1">
      <c r="A1816" s="2">
        <f>+Get_Data!A1815</f>
        <v>42079</v>
      </c>
      <c r="B1816">
        <f>+ROUND(Get_Data!B1815,5)</f>
        <v>81.160839999999993</v>
      </c>
      <c r="C1816">
        <f>+ROUND(Get_Data!C1815,5)</f>
        <v>33.634410000000003</v>
      </c>
      <c r="D1816" s="4">
        <f t="shared" si="28"/>
        <v>2.4130299892282929</v>
      </c>
    </row>
    <row r="1817" spans="1:4" ht="17" hidden="1" customHeight="1" outlineLevel="1" thickBot="1">
      <c r="A1817" s="2">
        <f>+Get_Data!A1816</f>
        <v>42080</v>
      </c>
      <c r="B1817">
        <f>+ROUND(Get_Data!B1816,5)</f>
        <v>80.038470000000004</v>
      </c>
      <c r="C1817">
        <f>+ROUND(Get_Data!C1816,5)</f>
        <v>33.818069999999999</v>
      </c>
      <c r="D1817" s="4">
        <f t="shared" si="28"/>
        <v>2.3667367771135375</v>
      </c>
    </row>
    <row r="1818" spans="1:4" ht="17" hidden="1" customHeight="1" outlineLevel="1" thickBot="1">
      <c r="A1818" s="2">
        <f>+Get_Data!A1817</f>
        <v>42081</v>
      </c>
      <c r="B1818">
        <f>+ROUND(Get_Data!B1817,5)</f>
        <v>80.472099999999998</v>
      </c>
      <c r="C1818">
        <f>+ROUND(Get_Data!C1817,5)</f>
        <v>33.8932</v>
      </c>
      <c r="D1818" s="4">
        <f t="shared" si="28"/>
        <v>2.3742845172482974</v>
      </c>
    </row>
    <row r="1819" spans="1:4" ht="17" hidden="1" customHeight="1" outlineLevel="1" thickBot="1">
      <c r="A1819" s="2">
        <f>+Get_Data!A1818</f>
        <v>42082</v>
      </c>
      <c r="B1819">
        <f>+ROUND(Get_Data!B1818,5)</f>
        <v>80.012950000000004</v>
      </c>
      <c r="C1819">
        <f>+ROUND(Get_Data!C1818,5)</f>
        <v>33.408999999999999</v>
      </c>
      <c r="D1819" s="4">
        <f t="shared" si="28"/>
        <v>2.3949519590529498</v>
      </c>
    </row>
    <row r="1820" spans="1:4" ht="17" hidden="1" customHeight="1" outlineLevel="1" thickBot="1">
      <c r="A1820" s="2">
        <f>+Get_Data!A1819</f>
        <v>42083</v>
      </c>
      <c r="B1820">
        <f>+ROUND(Get_Data!B1819,5)</f>
        <v>81.067310000000006</v>
      </c>
      <c r="C1820">
        <f>+ROUND(Get_Data!C1819,5)</f>
        <v>33.934939999999997</v>
      </c>
      <c r="D1820" s="4">
        <f t="shared" si="28"/>
        <v>2.3889038849044675</v>
      </c>
    </row>
    <row r="1821" spans="1:4" ht="17" hidden="1" customHeight="1" outlineLevel="1" thickBot="1">
      <c r="A1821" s="2">
        <f>+Get_Data!A1820</f>
        <v>42086</v>
      </c>
      <c r="B1821">
        <f>+ROUND(Get_Data!B1820,5)</f>
        <v>81.500979999999998</v>
      </c>
      <c r="C1821">
        <f>+ROUND(Get_Data!C1820,5)</f>
        <v>33.909889999999997</v>
      </c>
      <c r="D1821" s="4">
        <f t="shared" si="28"/>
        <v>2.4034575163764909</v>
      </c>
    </row>
    <row r="1822" spans="1:4" ht="17" hidden="1" customHeight="1" outlineLevel="1" thickBot="1">
      <c r="A1822" s="2">
        <f>+Get_Data!A1821</f>
        <v>42087</v>
      </c>
      <c r="B1822">
        <f>+ROUND(Get_Data!B1821,5)</f>
        <v>81.509479999999996</v>
      </c>
      <c r="C1822">
        <f>+ROUND(Get_Data!C1821,5)</f>
        <v>33.784669999999998</v>
      </c>
      <c r="D1822" s="4">
        <f t="shared" si="28"/>
        <v>2.4126173202224561</v>
      </c>
    </row>
    <row r="1823" spans="1:4" ht="17" hidden="1" customHeight="1" outlineLevel="1" thickBot="1">
      <c r="A1823" s="2">
        <f>+Get_Data!A1822</f>
        <v>42088</v>
      </c>
      <c r="B1823">
        <f>+ROUND(Get_Data!B1822,5)</f>
        <v>80.999300000000005</v>
      </c>
      <c r="C1823">
        <f>+ROUND(Get_Data!C1822,5)</f>
        <v>33.767980000000001</v>
      </c>
      <c r="D1823" s="4">
        <f t="shared" si="28"/>
        <v>2.3987013733128246</v>
      </c>
    </row>
    <row r="1824" spans="1:4" ht="17" hidden="1" customHeight="1" outlineLevel="1" thickBot="1">
      <c r="A1824" s="2">
        <f>+Get_Data!A1823</f>
        <v>42089</v>
      </c>
      <c r="B1824">
        <f>+ROUND(Get_Data!B1823,5)</f>
        <v>81.313919999999996</v>
      </c>
      <c r="C1824">
        <f>+ROUND(Get_Data!C1823,5)</f>
        <v>33.684489999999997</v>
      </c>
      <c r="D1824" s="4">
        <f t="shared" si="28"/>
        <v>2.4139869714518465</v>
      </c>
    </row>
    <row r="1825" spans="1:4" ht="17" hidden="1" customHeight="1" outlineLevel="1" thickBot="1">
      <c r="A1825" s="2">
        <f>+Get_Data!A1824</f>
        <v>42090</v>
      </c>
      <c r="B1825">
        <f>+ROUND(Get_Data!B1824,5)</f>
        <v>81.585999999999999</v>
      </c>
      <c r="C1825">
        <f>+ROUND(Get_Data!C1824,5)</f>
        <v>33.459090000000003</v>
      </c>
      <c r="D1825" s="4">
        <f t="shared" si="28"/>
        <v>2.4383807210536803</v>
      </c>
    </row>
    <row r="1826" spans="1:4" ht="17" hidden="1" customHeight="1" outlineLevel="1" thickBot="1">
      <c r="A1826" s="2">
        <f>+Get_Data!A1825</f>
        <v>42093</v>
      </c>
      <c r="B1826">
        <f>+ROUND(Get_Data!B1825,5)</f>
        <v>82.070660000000004</v>
      </c>
      <c r="C1826">
        <f>+ROUND(Get_Data!C1825,5)</f>
        <v>33.818069999999999</v>
      </c>
      <c r="D1826" s="4">
        <f t="shared" si="28"/>
        <v>2.42682861558924</v>
      </c>
    </row>
    <row r="1827" spans="1:4" ht="17" hidden="1" customHeight="1" outlineLevel="1" thickBot="1">
      <c r="A1827" s="2">
        <f>+Get_Data!A1826</f>
        <v>42094</v>
      </c>
      <c r="B1827">
        <f>+ROUND(Get_Data!B1826,5)</f>
        <v>81.305400000000006</v>
      </c>
      <c r="C1827">
        <f>+ROUND(Get_Data!C1826,5)</f>
        <v>33.85145</v>
      </c>
      <c r="D1827" s="4">
        <f t="shared" si="28"/>
        <v>2.4018291683221844</v>
      </c>
    </row>
    <row r="1828" spans="1:4" ht="17" hidden="1" customHeight="1" outlineLevel="1" thickBot="1">
      <c r="A1828" s="2">
        <f>+Get_Data!A1827</f>
        <v>42095</v>
      </c>
      <c r="B1828">
        <f>+ROUND(Get_Data!B1827,5)</f>
        <v>80.854740000000007</v>
      </c>
      <c r="C1828">
        <f>+ROUND(Get_Data!C1827,5)</f>
        <v>33.959989999999998</v>
      </c>
      <c r="D1828" s="4">
        <f t="shared" si="28"/>
        <v>2.3808823265260095</v>
      </c>
    </row>
    <row r="1829" spans="1:4" ht="17" hidden="1" customHeight="1" outlineLevel="1" thickBot="1">
      <c r="A1829" s="2">
        <f>+Get_Data!A1828</f>
        <v>42096</v>
      </c>
      <c r="B1829">
        <f>+ROUND(Get_Data!B1828,5)</f>
        <v>81.364919999999998</v>
      </c>
      <c r="C1829">
        <f>+ROUND(Get_Data!C1828,5)</f>
        <v>33.959989999999998</v>
      </c>
      <c r="D1829" s="4">
        <f t="shared" si="28"/>
        <v>2.3959052991476146</v>
      </c>
    </row>
    <row r="1830" spans="1:4" ht="17" hidden="1" customHeight="1" outlineLevel="1" thickBot="1">
      <c r="A1830" s="2">
        <f>+Get_Data!A1829</f>
        <v>42100</v>
      </c>
      <c r="B1830">
        <f>+ROUND(Get_Data!B1829,5)</f>
        <v>82.036649999999995</v>
      </c>
      <c r="C1830">
        <f>+ROUND(Get_Data!C1829,5)</f>
        <v>34.369039999999998</v>
      </c>
      <c r="D1830" s="4">
        <f t="shared" si="28"/>
        <v>2.3869345783297993</v>
      </c>
    </row>
    <row r="1831" spans="1:4" ht="17" hidden="1" customHeight="1" outlineLevel="1" thickBot="1">
      <c r="A1831" s="2">
        <f>+Get_Data!A1830</f>
        <v>42101</v>
      </c>
      <c r="B1831">
        <f>+ROUND(Get_Data!B1830,5)</f>
        <v>81.807079999999999</v>
      </c>
      <c r="C1831">
        <f>+ROUND(Get_Data!C1830,5)</f>
        <v>34.235460000000003</v>
      </c>
      <c r="D1831" s="4">
        <f t="shared" si="28"/>
        <v>2.3895423049668381</v>
      </c>
    </row>
    <row r="1832" spans="1:4" ht="17" hidden="1" customHeight="1" outlineLevel="1" thickBot="1">
      <c r="A1832" s="2">
        <f>+Get_Data!A1831</f>
        <v>42102</v>
      </c>
      <c r="B1832">
        <f>+ROUND(Get_Data!B1831,5)</f>
        <v>81.654020000000003</v>
      </c>
      <c r="C1832">
        <f>+ROUND(Get_Data!C1831,5)</f>
        <v>34.135289999999998</v>
      </c>
      <c r="D1832" s="4">
        <f t="shared" si="28"/>
        <v>2.3920704936152588</v>
      </c>
    </row>
    <row r="1833" spans="1:4" ht="17" hidden="1" customHeight="1" outlineLevel="1" thickBot="1">
      <c r="A1833" s="2">
        <f>+Get_Data!A1832</f>
        <v>42103</v>
      </c>
      <c r="B1833">
        <f>+ROUND(Get_Data!B1832,5)</f>
        <v>81.926119999999997</v>
      </c>
      <c r="C1833">
        <f>+ROUND(Get_Data!C1832,5)</f>
        <v>34.268859999999997</v>
      </c>
      <c r="D1833" s="4">
        <f t="shared" si="28"/>
        <v>2.3906870552449075</v>
      </c>
    </row>
    <row r="1834" spans="1:4" ht="17" hidden="1" customHeight="1" outlineLevel="1" thickBot="1">
      <c r="A1834" s="2">
        <f>+Get_Data!A1833</f>
        <v>42104</v>
      </c>
      <c r="B1834">
        <f>+ROUND(Get_Data!B1833,5)</f>
        <v>81.798559999999995</v>
      </c>
      <c r="C1834">
        <f>+ROUND(Get_Data!C1833,5)</f>
        <v>34.126930000000002</v>
      </c>
      <c r="D1834" s="4">
        <f t="shared" si="28"/>
        <v>2.3968918387912419</v>
      </c>
    </row>
    <row r="1835" spans="1:4" ht="17" hidden="1" customHeight="1" outlineLevel="1" thickBot="1">
      <c r="A1835" s="2">
        <f>+Get_Data!A1834</f>
        <v>42107</v>
      </c>
      <c r="B1835">
        <f>+ROUND(Get_Data!B1834,5)</f>
        <v>81.228859999999997</v>
      </c>
      <c r="C1835">
        <f>+ROUND(Get_Data!C1834,5)</f>
        <v>33.976669999999999</v>
      </c>
      <c r="D1835" s="4">
        <f t="shared" si="28"/>
        <v>2.3907245765991783</v>
      </c>
    </row>
    <row r="1836" spans="1:4" ht="17" hidden="1" customHeight="1" outlineLevel="1" thickBot="1">
      <c r="A1836" s="2">
        <f>+Get_Data!A1835</f>
        <v>42108</v>
      </c>
      <c r="B1836">
        <f>+ROUND(Get_Data!B1835,5)</f>
        <v>82.045140000000004</v>
      </c>
      <c r="C1836">
        <f>+ROUND(Get_Data!C1835,5)</f>
        <v>33.818069999999999</v>
      </c>
      <c r="D1836" s="4">
        <f t="shared" si="28"/>
        <v>2.4260739894381911</v>
      </c>
    </row>
    <row r="1837" spans="1:4" ht="17" hidden="1" customHeight="1" outlineLevel="1" thickBot="1">
      <c r="A1837" s="2">
        <f>+Get_Data!A1836</f>
        <v>42109</v>
      </c>
      <c r="B1837">
        <f>+ROUND(Get_Data!B1836,5)</f>
        <v>82.164190000000005</v>
      </c>
      <c r="C1837">
        <f>+ROUND(Get_Data!C1836,5)</f>
        <v>33.726230000000001</v>
      </c>
      <c r="D1837" s="4">
        <f t="shared" si="28"/>
        <v>2.4362103324326498</v>
      </c>
    </row>
    <row r="1838" spans="1:4" ht="17" hidden="1" customHeight="1" outlineLevel="1" thickBot="1">
      <c r="A1838" s="2">
        <f>+Get_Data!A1837</f>
        <v>42110</v>
      </c>
      <c r="B1838">
        <f>+ROUND(Get_Data!B1837,5)</f>
        <v>82.011150000000001</v>
      </c>
      <c r="C1838">
        <f>+ROUND(Get_Data!C1837,5)</f>
        <v>33.8932</v>
      </c>
      <c r="D1838" s="4">
        <f t="shared" si="28"/>
        <v>2.4196933308156208</v>
      </c>
    </row>
    <row r="1839" spans="1:4" ht="17" hidden="1" customHeight="1" outlineLevel="1" thickBot="1">
      <c r="A1839" s="2">
        <f>+Get_Data!A1838</f>
        <v>42111</v>
      </c>
      <c r="B1839">
        <f>+ROUND(Get_Data!B1838,5)</f>
        <v>81.466970000000003</v>
      </c>
      <c r="C1839">
        <f>+ROUND(Get_Data!C1838,5)</f>
        <v>33.642749999999999</v>
      </c>
      <c r="D1839" s="4">
        <f t="shared" si="28"/>
        <v>2.421531236299054</v>
      </c>
    </row>
    <row r="1840" spans="1:4" ht="17" hidden="1" customHeight="1" outlineLevel="1" thickBot="1">
      <c r="A1840" s="2">
        <f>+Get_Data!A1839</f>
        <v>42114</v>
      </c>
      <c r="B1840">
        <f>+ROUND(Get_Data!B1839,5)</f>
        <v>82.053669999999997</v>
      </c>
      <c r="C1840">
        <f>+ROUND(Get_Data!C1839,5)</f>
        <v>33.943280000000001</v>
      </c>
      <c r="D1840" s="4">
        <f t="shared" si="28"/>
        <v>2.4173759872351757</v>
      </c>
    </row>
    <row r="1841" spans="1:4" ht="17" hidden="1" customHeight="1" outlineLevel="1" thickBot="1">
      <c r="A1841" s="2">
        <f>+Get_Data!A1840</f>
        <v>42115</v>
      </c>
      <c r="B1841">
        <f>+ROUND(Get_Data!B1840,5)</f>
        <v>82.291740000000004</v>
      </c>
      <c r="C1841">
        <f>+ROUND(Get_Data!C1840,5)</f>
        <v>34.04345</v>
      </c>
      <c r="D1841" s="4">
        <f t="shared" si="28"/>
        <v>2.4172561829074315</v>
      </c>
    </row>
    <row r="1842" spans="1:4" ht="17" hidden="1" customHeight="1" outlineLevel="1" thickBot="1">
      <c r="A1842" s="2">
        <f>+Get_Data!A1841</f>
        <v>42116</v>
      </c>
      <c r="B1842">
        <f>+ROUND(Get_Data!B1841,5)</f>
        <v>82.716899999999995</v>
      </c>
      <c r="C1842">
        <f>+ROUND(Get_Data!C1841,5)</f>
        <v>34.485900000000001</v>
      </c>
      <c r="D1842" s="4">
        <f t="shared" si="28"/>
        <v>2.3985715901281393</v>
      </c>
    </row>
    <row r="1843" spans="1:4" ht="17" hidden="1" customHeight="1" outlineLevel="1" thickBot="1">
      <c r="A1843" s="2">
        <f>+Get_Data!A1842</f>
        <v>42117</v>
      </c>
      <c r="B1843">
        <f>+ROUND(Get_Data!B1842,5)</f>
        <v>81.398939999999996</v>
      </c>
      <c r="C1843">
        <f>+ROUND(Get_Data!C1842,5)</f>
        <v>34.185380000000002</v>
      </c>
      <c r="D1843" s="4">
        <f t="shared" si="28"/>
        <v>2.3811038519975494</v>
      </c>
    </row>
    <row r="1844" spans="1:4" ht="17" hidden="1" customHeight="1" outlineLevel="1" thickBot="1">
      <c r="A1844" s="2">
        <f>+Get_Data!A1843</f>
        <v>42118</v>
      </c>
      <c r="B1844">
        <f>+ROUND(Get_Data!B1843,5)</f>
        <v>80.922759999999997</v>
      </c>
      <c r="C1844">
        <f>+ROUND(Get_Data!C1843,5)</f>
        <v>34.135289999999998</v>
      </c>
      <c r="D1844" s="4">
        <f t="shared" si="28"/>
        <v>2.3706480888253769</v>
      </c>
    </row>
    <row r="1845" spans="1:4" ht="17" hidden="1" customHeight="1" outlineLevel="1" thickBot="1">
      <c r="A1845" s="2">
        <f>+Get_Data!A1844</f>
        <v>42121</v>
      </c>
      <c r="B1845">
        <f>+ROUND(Get_Data!B1844,5)</f>
        <v>80.344570000000004</v>
      </c>
      <c r="C1845">
        <f>+ROUND(Get_Data!C1844,5)</f>
        <v>34.085209999999996</v>
      </c>
      <c r="D1845" s="4">
        <f t="shared" si="28"/>
        <v>2.3571681089833394</v>
      </c>
    </row>
    <row r="1846" spans="1:4" ht="17" hidden="1" customHeight="1" outlineLevel="1" thickBot="1">
      <c r="A1846" s="2">
        <f>+Get_Data!A1845</f>
        <v>42122</v>
      </c>
      <c r="B1846">
        <f>+ROUND(Get_Data!B1845,5)</f>
        <v>80.285030000000006</v>
      </c>
      <c r="C1846">
        <f>+ROUND(Get_Data!C1845,5)</f>
        <v>34.035110000000003</v>
      </c>
      <c r="D1846" s="4">
        <f t="shared" si="28"/>
        <v>2.3588885124802004</v>
      </c>
    </row>
    <row r="1847" spans="1:4" ht="17" hidden="1" customHeight="1" outlineLevel="1" thickBot="1">
      <c r="A1847" s="2">
        <f>+Get_Data!A1846</f>
        <v>42123</v>
      </c>
      <c r="B1847">
        <f>+ROUND(Get_Data!B1846,5)</f>
        <v>80.251009999999994</v>
      </c>
      <c r="C1847">
        <f>+ROUND(Get_Data!C1846,5)</f>
        <v>33.801369999999999</v>
      </c>
      <c r="D1847" s="4">
        <f t="shared" si="28"/>
        <v>2.3741940045625367</v>
      </c>
    </row>
    <row r="1848" spans="1:4" ht="17" hidden="1" customHeight="1" outlineLevel="1" thickBot="1">
      <c r="A1848" s="2">
        <f>+Get_Data!A1847</f>
        <v>42124</v>
      </c>
      <c r="B1848">
        <f>+ROUND(Get_Data!B1847,5)</f>
        <v>80.880260000000007</v>
      </c>
      <c r="C1848">
        <f>+ROUND(Get_Data!C1847,5)</f>
        <v>33.8598</v>
      </c>
      <c r="D1848" s="4">
        <f t="shared" si="28"/>
        <v>2.3886809727169092</v>
      </c>
    </row>
    <row r="1849" spans="1:4" ht="17" hidden="1" customHeight="1" outlineLevel="1" thickBot="1">
      <c r="A1849" s="2">
        <f>+Get_Data!A1848</f>
        <v>42125</v>
      </c>
      <c r="B1849">
        <f>+ROUND(Get_Data!B1848,5)</f>
        <v>81.254379999999998</v>
      </c>
      <c r="C1849">
        <f>+ROUND(Get_Data!C1848,5)</f>
        <v>34.151989999999998</v>
      </c>
      <c r="D1849" s="4">
        <f t="shared" si="28"/>
        <v>2.3791989866476304</v>
      </c>
    </row>
    <row r="1850" spans="1:4" ht="17" hidden="1" customHeight="1" outlineLevel="1" thickBot="1">
      <c r="A1850" s="2">
        <f>+Get_Data!A1849</f>
        <v>42128</v>
      </c>
      <c r="B1850">
        <f>+ROUND(Get_Data!B1849,5)</f>
        <v>81.585999999999999</v>
      </c>
      <c r="C1850">
        <f>+ROUND(Get_Data!C1849,5)</f>
        <v>34.193730000000002</v>
      </c>
      <c r="D1850" s="4">
        <f t="shared" si="28"/>
        <v>2.3859929876032826</v>
      </c>
    </row>
    <row r="1851" spans="1:4" ht="17" hidden="1" customHeight="1" outlineLevel="1" thickBot="1">
      <c r="A1851" s="2">
        <f>+Get_Data!A1850</f>
        <v>42129</v>
      </c>
      <c r="B1851">
        <f>+ROUND(Get_Data!B1850,5)</f>
        <v>81.135350000000003</v>
      </c>
      <c r="C1851">
        <f>+ROUND(Get_Data!C1850,5)</f>
        <v>34.018419999999999</v>
      </c>
      <c r="D1851" s="4">
        <f t="shared" si="28"/>
        <v>2.385041692118564</v>
      </c>
    </row>
    <row r="1852" spans="1:4" ht="17" hidden="1" customHeight="1" outlineLevel="1" thickBot="1">
      <c r="A1852" s="2">
        <f>+Get_Data!A1851</f>
        <v>42130</v>
      </c>
      <c r="B1852">
        <f>+ROUND(Get_Data!B1851,5)</f>
        <v>81.186369999999997</v>
      </c>
      <c r="C1852">
        <f>+ROUND(Get_Data!C1851,5)</f>
        <v>33.943280000000001</v>
      </c>
      <c r="D1852" s="4">
        <f t="shared" si="28"/>
        <v>2.3918245378761274</v>
      </c>
    </row>
    <row r="1853" spans="1:4" ht="17" hidden="1" customHeight="1" outlineLevel="1" thickBot="1">
      <c r="A1853" s="2">
        <f>+Get_Data!A1852</f>
        <v>42131</v>
      </c>
      <c r="B1853">
        <f>+ROUND(Get_Data!B1852,5)</f>
        <v>80.905760000000001</v>
      </c>
      <c r="C1853">
        <f>+ROUND(Get_Data!C1852,5)</f>
        <v>33.976669999999999</v>
      </c>
      <c r="D1853" s="4">
        <f t="shared" si="28"/>
        <v>2.3812151102506514</v>
      </c>
    </row>
    <row r="1854" spans="1:4" ht="17" hidden="1" customHeight="1" outlineLevel="1" thickBot="1">
      <c r="A1854" s="2">
        <f>+Get_Data!A1853</f>
        <v>42132</v>
      </c>
      <c r="B1854">
        <f>+ROUND(Get_Data!B1853,5)</f>
        <v>82.096199999999996</v>
      </c>
      <c r="C1854">
        <f>+ROUND(Get_Data!C1853,5)</f>
        <v>34.210419999999999</v>
      </c>
      <c r="D1854" s="4">
        <f t="shared" si="28"/>
        <v>2.399742534584492</v>
      </c>
    </row>
    <row r="1855" spans="1:4" ht="17" hidden="1" customHeight="1" outlineLevel="1" thickBot="1">
      <c r="A1855" s="2">
        <f>+Get_Data!A1854</f>
        <v>42135</v>
      </c>
      <c r="B1855">
        <f>+ROUND(Get_Data!B1854,5)</f>
        <v>81.926119999999997</v>
      </c>
      <c r="C1855">
        <f>+ROUND(Get_Data!C1854,5)</f>
        <v>34.177019999999999</v>
      </c>
      <c r="D1855" s="4">
        <f t="shared" si="28"/>
        <v>2.3971112753540242</v>
      </c>
    </row>
    <row r="1856" spans="1:4" ht="17" hidden="1" customHeight="1" outlineLevel="1" thickBot="1">
      <c r="A1856" s="2">
        <f>+Get_Data!A1855</f>
        <v>42136</v>
      </c>
      <c r="B1856">
        <f>+ROUND(Get_Data!B1855,5)</f>
        <v>81.798559999999995</v>
      </c>
      <c r="C1856">
        <f>+ROUND(Get_Data!C1855,5)</f>
        <v>33.968319999999999</v>
      </c>
      <c r="D1856" s="4">
        <f t="shared" si="28"/>
        <v>2.4080837674633306</v>
      </c>
    </row>
    <row r="1857" spans="1:4" ht="17" hidden="1" customHeight="1" outlineLevel="1" thickBot="1">
      <c r="A1857" s="2">
        <f>+Get_Data!A1856</f>
        <v>42137</v>
      </c>
      <c r="B1857">
        <f>+ROUND(Get_Data!B1856,5)</f>
        <v>81.977130000000002</v>
      </c>
      <c r="C1857">
        <f>+ROUND(Get_Data!C1856,5)</f>
        <v>34.268859999999997</v>
      </c>
      <c r="D1857" s="4">
        <f t="shared" si="28"/>
        <v>2.3921755786448693</v>
      </c>
    </row>
    <row r="1858" spans="1:4" ht="17" hidden="1" customHeight="1" outlineLevel="1" thickBot="1">
      <c r="A1858" s="2">
        <f>+Get_Data!A1857</f>
        <v>42138</v>
      </c>
      <c r="B1858">
        <f>+ROUND(Get_Data!B1857,5)</f>
        <v>83.329120000000003</v>
      </c>
      <c r="C1858">
        <f>+ROUND(Get_Data!C1857,5)</f>
        <v>34.644509999999997</v>
      </c>
      <c r="D1858" s="4">
        <f t="shared" si="28"/>
        <v>2.4052619015249461</v>
      </c>
    </row>
    <row r="1859" spans="1:4" ht="17" hidden="1" customHeight="1" outlineLevel="1" thickBot="1">
      <c r="A1859" s="2">
        <f>+Get_Data!A1858</f>
        <v>42139</v>
      </c>
      <c r="B1859">
        <f>+ROUND(Get_Data!B1858,5)</f>
        <v>83.516180000000006</v>
      </c>
      <c r="C1859">
        <f>+ROUND(Get_Data!C1858,5)</f>
        <v>34.66122</v>
      </c>
      <c r="D1859" s="4">
        <f t="shared" si="28"/>
        <v>2.4094991463081796</v>
      </c>
    </row>
    <row r="1860" spans="1:4" ht="17" hidden="1" customHeight="1" outlineLevel="1" thickBot="1">
      <c r="A1860" s="2">
        <f>+Get_Data!A1859</f>
        <v>42142</v>
      </c>
      <c r="B1860">
        <f>+ROUND(Get_Data!B1859,5)</f>
        <v>83.371629999999996</v>
      </c>
      <c r="C1860">
        <f>+ROUND(Get_Data!C1859,5)</f>
        <v>34.494239999999998</v>
      </c>
      <c r="D1860" s="4">
        <f t="shared" ref="D1860:D1923" si="29">IFERROR(B1860/C1860,"")</f>
        <v>2.4169725148314618</v>
      </c>
    </row>
    <row r="1861" spans="1:4" ht="17" hidden="1" customHeight="1" outlineLevel="1" thickBot="1">
      <c r="A1861" s="2">
        <f>+Get_Data!A1860</f>
        <v>42143</v>
      </c>
      <c r="B1861">
        <f>+ROUND(Get_Data!B1860,5)</f>
        <v>83.286600000000007</v>
      </c>
      <c r="C1861">
        <f>+ROUND(Get_Data!C1860,5)</f>
        <v>34.485900000000001</v>
      </c>
      <c r="D1861" s="4">
        <f t="shared" si="29"/>
        <v>2.4150913851748106</v>
      </c>
    </row>
    <row r="1862" spans="1:4" ht="17" hidden="1" customHeight="1" outlineLevel="1" thickBot="1">
      <c r="A1862" s="2">
        <f>+Get_Data!A1861</f>
        <v>42144</v>
      </c>
      <c r="B1862">
        <f>+ROUND(Get_Data!B1861,5)</f>
        <v>83.065529999999995</v>
      </c>
      <c r="C1862">
        <f>+ROUND(Get_Data!C1861,5)</f>
        <v>34.519289999999998</v>
      </c>
      <c r="D1862" s="4">
        <f t="shared" si="29"/>
        <v>2.4063510576260403</v>
      </c>
    </row>
    <row r="1863" spans="1:4" ht="17" hidden="1" customHeight="1" outlineLevel="1" thickBot="1">
      <c r="A1863" s="2">
        <f>+Get_Data!A1862</f>
        <v>42145</v>
      </c>
      <c r="B1863">
        <f>+ROUND(Get_Data!B1862,5)</f>
        <v>82.648880000000005</v>
      </c>
      <c r="C1863">
        <f>+ROUND(Get_Data!C1862,5)</f>
        <v>34.419119999999999</v>
      </c>
      <c r="D1863" s="4">
        <f t="shared" si="29"/>
        <v>2.4012490731895531</v>
      </c>
    </row>
    <row r="1864" spans="1:4" ht="17" hidden="1" customHeight="1" outlineLevel="1" thickBot="1">
      <c r="A1864" s="2">
        <f>+Get_Data!A1863</f>
        <v>42146</v>
      </c>
      <c r="B1864">
        <f>+ROUND(Get_Data!B1863,5)</f>
        <v>81.849590000000006</v>
      </c>
      <c r="C1864">
        <f>+ROUND(Get_Data!C1863,5)</f>
        <v>34.402430000000003</v>
      </c>
      <c r="D1864" s="4">
        <f t="shared" si="29"/>
        <v>2.3791804823089531</v>
      </c>
    </row>
    <row r="1865" spans="1:4" ht="17" hidden="1" customHeight="1" outlineLevel="1" thickBot="1">
      <c r="A1865" s="2">
        <f>+Get_Data!A1864</f>
        <v>42150</v>
      </c>
      <c r="B1865">
        <f>+ROUND(Get_Data!B1864,5)</f>
        <v>81.449969999999993</v>
      </c>
      <c r="C1865">
        <f>+ROUND(Get_Data!C1864,5)</f>
        <v>34.218769999999999</v>
      </c>
      <c r="D1865" s="4">
        <f t="shared" si="29"/>
        <v>2.3802717046813782</v>
      </c>
    </row>
    <row r="1866" spans="1:4" ht="17" hidden="1" customHeight="1" outlineLevel="1" thickBot="1">
      <c r="A1866" s="2">
        <f>+Get_Data!A1865</f>
        <v>42151</v>
      </c>
      <c r="B1866">
        <f>+ROUND(Get_Data!B1865,5)</f>
        <v>81.951639999999998</v>
      </c>
      <c r="C1866">
        <f>+ROUND(Get_Data!C1865,5)</f>
        <v>34.327289999999998</v>
      </c>
      <c r="D1866" s="4">
        <f t="shared" si="29"/>
        <v>2.3873611928002472</v>
      </c>
    </row>
    <row r="1867" spans="1:4" ht="17" hidden="1" customHeight="1" outlineLevel="1" thickBot="1">
      <c r="A1867" s="2">
        <f>+Get_Data!A1866</f>
        <v>42152</v>
      </c>
      <c r="B1867">
        <f>+ROUND(Get_Data!B1866,5)</f>
        <v>82.529830000000004</v>
      </c>
      <c r="C1867">
        <f>+ROUND(Get_Data!C1866,5)</f>
        <v>34.343989999999998</v>
      </c>
      <c r="D1867" s="4">
        <f t="shared" si="29"/>
        <v>2.4030355820625386</v>
      </c>
    </row>
    <row r="1868" spans="1:4" ht="17" hidden="1" customHeight="1" outlineLevel="1" thickBot="1">
      <c r="A1868" s="2">
        <f>+Get_Data!A1867</f>
        <v>42153</v>
      </c>
      <c r="B1868">
        <f>+ROUND(Get_Data!B1867,5)</f>
        <v>81.994140000000002</v>
      </c>
      <c r="C1868">
        <f>+ROUND(Get_Data!C1867,5)</f>
        <v>34.193730000000002</v>
      </c>
      <c r="D1868" s="4">
        <f t="shared" si="29"/>
        <v>2.3979290940181137</v>
      </c>
    </row>
    <row r="1869" spans="1:4" ht="17" hidden="1" customHeight="1" outlineLevel="1" thickBot="1">
      <c r="A1869" s="2">
        <f>+Get_Data!A1868</f>
        <v>42156</v>
      </c>
      <c r="B1869">
        <f>+ROUND(Get_Data!B1868,5)</f>
        <v>81.602999999999994</v>
      </c>
      <c r="C1869">
        <f>+ROUND(Get_Data!C1868,5)</f>
        <v>34.177019999999999</v>
      </c>
      <c r="D1869" s="4">
        <f t="shared" si="29"/>
        <v>2.3876569695075811</v>
      </c>
    </row>
    <row r="1870" spans="1:4" ht="17" hidden="1" customHeight="1" outlineLevel="1" thickBot="1">
      <c r="A1870" s="2">
        <f>+Get_Data!A1869</f>
        <v>42157</v>
      </c>
      <c r="B1870">
        <f>+ROUND(Get_Data!B1869,5)</f>
        <v>81.671030000000002</v>
      </c>
      <c r="C1870">
        <f>+ROUND(Get_Data!C1869,5)</f>
        <v>34.218769999999999</v>
      </c>
      <c r="D1870" s="4">
        <f t="shared" si="29"/>
        <v>2.3867319018187971</v>
      </c>
    </row>
    <row r="1871" spans="1:4" ht="17" hidden="1" customHeight="1" outlineLevel="1" thickBot="1">
      <c r="A1871" s="2">
        <f>+Get_Data!A1870</f>
        <v>42158</v>
      </c>
      <c r="B1871">
        <f>+ROUND(Get_Data!B1870,5)</f>
        <v>81.630750000000006</v>
      </c>
      <c r="C1871">
        <f>+ROUND(Get_Data!C1870,5)</f>
        <v>34.118600000000001</v>
      </c>
      <c r="D1871" s="4">
        <f t="shared" si="29"/>
        <v>2.3925586043976015</v>
      </c>
    </row>
    <row r="1872" spans="1:4" ht="17" hidden="1" customHeight="1" outlineLevel="1" thickBot="1">
      <c r="A1872" s="2">
        <f>+Get_Data!A1871</f>
        <v>42159</v>
      </c>
      <c r="B1872">
        <f>+ROUND(Get_Data!B1871,5)</f>
        <v>80.637150000000005</v>
      </c>
      <c r="C1872">
        <f>+ROUND(Get_Data!C1871,5)</f>
        <v>33.884839999999997</v>
      </c>
      <c r="D1872" s="4">
        <f t="shared" si="29"/>
        <v>2.3797412058017691</v>
      </c>
    </row>
    <row r="1873" spans="1:4" ht="17" hidden="1" customHeight="1" outlineLevel="1" thickBot="1">
      <c r="A1873" s="2">
        <f>+Get_Data!A1872</f>
        <v>42160</v>
      </c>
      <c r="B1873">
        <f>+ROUND(Get_Data!B1872,5)</f>
        <v>79.703509999999994</v>
      </c>
      <c r="C1873">
        <f>+ROUND(Get_Data!C1872,5)</f>
        <v>33.475790000000003</v>
      </c>
      <c r="D1873" s="4">
        <f t="shared" si="29"/>
        <v>2.3809299198017428</v>
      </c>
    </row>
    <row r="1874" spans="1:4" ht="17" hidden="1" customHeight="1" outlineLevel="1" thickBot="1">
      <c r="A1874" s="2">
        <f>+Get_Data!A1873</f>
        <v>42163</v>
      </c>
      <c r="B1874">
        <f>+ROUND(Get_Data!B1873,5)</f>
        <v>79.523610000000005</v>
      </c>
      <c r="C1874">
        <f>+ROUND(Get_Data!C1873,5)</f>
        <v>33.525880000000001</v>
      </c>
      <c r="D1874" s="4">
        <f t="shared" si="29"/>
        <v>2.3720066408398526</v>
      </c>
    </row>
    <row r="1875" spans="1:4" ht="17" hidden="1" customHeight="1" outlineLevel="1" thickBot="1">
      <c r="A1875" s="2">
        <f>+Get_Data!A1874</f>
        <v>42164</v>
      </c>
      <c r="B1875">
        <f>+ROUND(Get_Data!B1874,5)</f>
        <v>79.72063</v>
      </c>
      <c r="C1875">
        <f>+ROUND(Get_Data!C1874,5)</f>
        <v>33.559280000000001</v>
      </c>
      <c r="D1875" s="4">
        <f t="shared" si="29"/>
        <v>2.3755166976168738</v>
      </c>
    </row>
    <row r="1876" spans="1:4" ht="17" hidden="1" customHeight="1" outlineLevel="1" thickBot="1">
      <c r="A1876" s="2">
        <f>+Get_Data!A1875</f>
        <v>42165</v>
      </c>
      <c r="B1876">
        <f>+ROUND(Get_Data!B1875,5)</f>
        <v>80.251689999999996</v>
      </c>
      <c r="C1876">
        <f>+ROUND(Get_Data!C1875,5)</f>
        <v>33.6678</v>
      </c>
      <c r="D1876" s="4">
        <f t="shared" si="29"/>
        <v>2.3836333232346631</v>
      </c>
    </row>
    <row r="1877" spans="1:4" ht="17" hidden="1" customHeight="1" outlineLevel="1" thickBot="1">
      <c r="A1877" s="2">
        <f>+Get_Data!A1876</f>
        <v>42166</v>
      </c>
      <c r="B1877">
        <f>+ROUND(Get_Data!B1876,5)</f>
        <v>80.594319999999996</v>
      </c>
      <c r="C1877">
        <f>+ROUND(Get_Data!C1876,5)</f>
        <v>33.751959999999997</v>
      </c>
      <c r="D1877" s="4">
        <f t="shared" si="29"/>
        <v>2.3878411801862769</v>
      </c>
    </row>
    <row r="1878" spans="1:4" ht="17" hidden="1" customHeight="1" outlineLevel="1" thickBot="1">
      <c r="A1878" s="2">
        <f>+Get_Data!A1877</f>
        <v>42167</v>
      </c>
      <c r="B1878">
        <f>+ROUND(Get_Data!B1877,5)</f>
        <v>80.294539999999998</v>
      </c>
      <c r="C1878">
        <f>+ROUND(Get_Data!C1877,5)</f>
        <v>33.634120000000003</v>
      </c>
      <c r="D1878" s="4">
        <f t="shared" si="29"/>
        <v>2.3872942119490563</v>
      </c>
    </row>
    <row r="1879" spans="1:4" ht="17" hidden="1" customHeight="1" outlineLevel="1" thickBot="1">
      <c r="A1879" s="2">
        <f>+Get_Data!A1878</f>
        <v>42170</v>
      </c>
      <c r="B1879">
        <f>+ROUND(Get_Data!B1878,5)</f>
        <v>79.352320000000006</v>
      </c>
      <c r="C1879">
        <f>+ROUND(Get_Data!C1878,5)</f>
        <v>33.322710000000001</v>
      </c>
      <c r="D1879" s="4">
        <f t="shared" si="29"/>
        <v>2.3813285294023205</v>
      </c>
    </row>
    <row r="1880" spans="1:4" ht="17" hidden="1" customHeight="1" outlineLevel="1" thickBot="1">
      <c r="A1880" s="2">
        <f>+Get_Data!A1879</f>
        <v>42171</v>
      </c>
      <c r="B1880">
        <f>+ROUND(Get_Data!B1879,5)</f>
        <v>80.131780000000006</v>
      </c>
      <c r="C1880">
        <f>+ROUND(Get_Data!C1879,5)</f>
        <v>33.735140000000001</v>
      </c>
      <c r="D1880" s="4">
        <f t="shared" si="29"/>
        <v>2.3753208079172046</v>
      </c>
    </row>
    <row r="1881" spans="1:4" ht="17" hidden="1" customHeight="1" outlineLevel="1" thickBot="1">
      <c r="A1881" s="2">
        <f>+Get_Data!A1880</f>
        <v>42172</v>
      </c>
      <c r="B1881">
        <f>+ROUND(Get_Data!B1880,5)</f>
        <v>80.560069999999996</v>
      </c>
      <c r="C1881">
        <f>+ROUND(Get_Data!C1880,5)</f>
        <v>33.895060000000001</v>
      </c>
      <c r="D1881" s="4">
        <f t="shared" si="29"/>
        <v>2.3767495912383692</v>
      </c>
    </row>
    <row r="1882" spans="1:4" ht="17" hidden="1" customHeight="1" outlineLevel="1" thickBot="1">
      <c r="A1882" s="2">
        <f>+Get_Data!A1881</f>
        <v>42173</v>
      </c>
      <c r="B1882">
        <f>+ROUND(Get_Data!B1881,5)</f>
        <v>81.570830000000001</v>
      </c>
      <c r="C1882">
        <f>+ROUND(Get_Data!C1881,5)</f>
        <v>34.214889999999997</v>
      </c>
      <c r="D1882" s="4">
        <f t="shared" si="29"/>
        <v>2.3840740098828319</v>
      </c>
    </row>
    <row r="1883" spans="1:4" ht="17" hidden="1" customHeight="1" outlineLevel="1" thickBot="1">
      <c r="A1883" s="2">
        <f>+Get_Data!A1882</f>
        <v>42174</v>
      </c>
      <c r="B1883">
        <f>+ROUND(Get_Data!B1882,5)</f>
        <v>81.253870000000006</v>
      </c>
      <c r="C1883">
        <f>+ROUND(Get_Data!C1882,5)</f>
        <v>34.004489999999997</v>
      </c>
      <c r="D1883" s="4">
        <f t="shared" si="29"/>
        <v>2.3895041507753834</v>
      </c>
    </row>
    <row r="1884" spans="1:4" ht="17" hidden="1" customHeight="1" outlineLevel="1" thickBot="1">
      <c r="A1884" s="2">
        <f>+Get_Data!A1883</f>
        <v>42177</v>
      </c>
      <c r="B1884">
        <f>+ROUND(Get_Data!B1883,5)</f>
        <v>81.887749999999997</v>
      </c>
      <c r="C1884">
        <f>+ROUND(Get_Data!C1883,5)</f>
        <v>34.071809999999999</v>
      </c>
      <c r="D1884" s="4">
        <f t="shared" si="29"/>
        <v>2.4033871402781362</v>
      </c>
    </row>
    <row r="1885" spans="1:4" ht="17" hidden="1" customHeight="1" outlineLevel="1" thickBot="1">
      <c r="A1885" s="2">
        <f>+Get_Data!A1884</f>
        <v>42178</v>
      </c>
      <c r="B1885">
        <f>+ROUND(Get_Data!B1884,5)</f>
        <v>81.887749999999997</v>
      </c>
      <c r="C1885">
        <f>+ROUND(Get_Data!C1884,5)</f>
        <v>33.987639999999999</v>
      </c>
      <c r="D1885" s="4">
        <f t="shared" si="29"/>
        <v>2.4093391009202167</v>
      </c>
    </row>
    <row r="1886" spans="1:4" ht="17" hidden="1" customHeight="1" outlineLevel="1" thickBot="1">
      <c r="A1886" s="2">
        <f>+Get_Data!A1885</f>
        <v>42179</v>
      </c>
      <c r="B1886">
        <f>+ROUND(Get_Data!B1885,5)</f>
        <v>81.622200000000007</v>
      </c>
      <c r="C1886">
        <f>+ROUND(Get_Data!C1885,5)</f>
        <v>33.827719999999999</v>
      </c>
      <c r="D1886" s="4">
        <f t="shared" si="29"/>
        <v>2.4128791417216418</v>
      </c>
    </row>
    <row r="1887" spans="1:4" ht="17" hidden="1" customHeight="1" outlineLevel="1" thickBot="1">
      <c r="A1887" s="2">
        <f>+Get_Data!A1886</f>
        <v>42180</v>
      </c>
      <c r="B1887">
        <f>+ROUND(Get_Data!B1886,5)</f>
        <v>81.228189999999998</v>
      </c>
      <c r="C1887">
        <f>+ROUND(Get_Data!C1886,5)</f>
        <v>33.684620000000002</v>
      </c>
      <c r="D1887" s="4">
        <f t="shared" si="29"/>
        <v>2.4114325766477398</v>
      </c>
    </row>
    <row r="1888" spans="1:4" ht="17" hidden="1" customHeight="1" outlineLevel="1" thickBot="1">
      <c r="A1888" s="2">
        <f>+Get_Data!A1887</f>
        <v>42181</v>
      </c>
      <c r="B1888">
        <f>+ROUND(Get_Data!B1887,5)</f>
        <v>81.296710000000004</v>
      </c>
      <c r="C1888">
        <f>+ROUND(Get_Data!C1887,5)</f>
        <v>33.6678</v>
      </c>
      <c r="D1888" s="4">
        <f t="shared" si="29"/>
        <v>2.4146724763720826</v>
      </c>
    </row>
    <row r="1889" spans="1:4" ht="17" hidden="1" customHeight="1" outlineLevel="1" thickBot="1">
      <c r="A1889" s="2">
        <f>+Get_Data!A1888</f>
        <v>42184</v>
      </c>
      <c r="B1889">
        <f>+ROUND(Get_Data!B1888,5)</f>
        <v>80.251689999999996</v>
      </c>
      <c r="C1889">
        <f>+ROUND(Get_Data!C1888,5)</f>
        <v>33.162770000000002</v>
      </c>
      <c r="D1889" s="4">
        <f t="shared" si="29"/>
        <v>2.4199332564800828</v>
      </c>
    </row>
    <row r="1890" spans="1:4" ht="17" hidden="1" customHeight="1" outlineLevel="1" thickBot="1">
      <c r="A1890" s="2">
        <f>+Get_Data!A1889</f>
        <v>42185</v>
      </c>
      <c r="B1890">
        <f>+ROUND(Get_Data!B1889,5)</f>
        <v>79.951899999999995</v>
      </c>
      <c r="C1890">
        <f>+ROUND(Get_Data!C1889,5)</f>
        <v>33.0197</v>
      </c>
      <c r="D1890" s="4">
        <f t="shared" si="29"/>
        <v>2.4213393822475671</v>
      </c>
    </row>
    <row r="1891" spans="1:4" ht="17" hidden="1" customHeight="1" outlineLevel="1" thickBot="1">
      <c r="A1891" s="2">
        <f>+Get_Data!A1890</f>
        <v>42186</v>
      </c>
      <c r="B1891">
        <f>+ROUND(Get_Data!B1890,5)</f>
        <v>80.962649999999996</v>
      </c>
      <c r="C1891">
        <f>+ROUND(Get_Data!C1890,5)</f>
        <v>33.246949999999998</v>
      </c>
      <c r="D1891" s="4">
        <f t="shared" si="29"/>
        <v>2.4351902956511799</v>
      </c>
    </row>
    <row r="1892" spans="1:4" ht="17" hidden="1" customHeight="1" outlineLevel="1" thickBot="1">
      <c r="A1892" s="2">
        <f>+Get_Data!A1891</f>
        <v>42187</v>
      </c>
      <c r="B1892">
        <f>+ROUND(Get_Data!B1891,5)</f>
        <v>81.082579999999993</v>
      </c>
      <c r="C1892">
        <f>+ROUND(Get_Data!C1891,5)</f>
        <v>33.23854</v>
      </c>
      <c r="D1892" s="4">
        <f t="shared" si="29"/>
        <v>2.4394146072601259</v>
      </c>
    </row>
    <row r="1893" spans="1:4" ht="17" hidden="1" customHeight="1" outlineLevel="1" thickBot="1">
      <c r="A1893" s="2">
        <f>+Get_Data!A1892</f>
        <v>42191</v>
      </c>
      <c r="B1893">
        <f>+ROUND(Get_Data!B1892,5)</f>
        <v>80.859870000000001</v>
      </c>
      <c r="C1893">
        <f>+ROUND(Get_Data!C1892,5)</f>
        <v>33.179609999999997</v>
      </c>
      <c r="D1893" s="4">
        <f t="shared" si="29"/>
        <v>2.4370349741904747</v>
      </c>
    </row>
    <row r="1894" spans="1:4" ht="17" hidden="1" customHeight="1" outlineLevel="1" thickBot="1">
      <c r="A1894" s="2">
        <f>+Get_Data!A1893</f>
        <v>42192</v>
      </c>
      <c r="B1894">
        <f>+ROUND(Get_Data!B1893,5)</f>
        <v>82.572999999999993</v>
      </c>
      <c r="C1894">
        <f>+ROUND(Get_Data!C1893,5)</f>
        <v>33.878219999999999</v>
      </c>
      <c r="D1894" s="4">
        <f t="shared" si="29"/>
        <v>2.4373476528577949</v>
      </c>
    </row>
    <row r="1895" spans="1:4" ht="17" hidden="1" customHeight="1" outlineLevel="1" thickBot="1">
      <c r="A1895" s="2">
        <f>+Get_Data!A1894</f>
        <v>42193</v>
      </c>
      <c r="B1895">
        <f>+ROUND(Get_Data!B1894,5)</f>
        <v>81.896299999999997</v>
      </c>
      <c r="C1895">
        <f>+ROUND(Get_Data!C1894,5)</f>
        <v>33.549959999999999</v>
      </c>
      <c r="D1895" s="4">
        <f t="shared" si="29"/>
        <v>2.4410252650077675</v>
      </c>
    </row>
    <row r="1896" spans="1:4" ht="17" hidden="1" customHeight="1" outlineLevel="1" thickBot="1">
      <c r="A1896" s="2">
        <f>+Get_Data!A1895</f>
        <v>42194</v>
      </c>
      <c r="B1896">
        <f>+ROUND(Get_Data!B1895,5)</f>
        <v>81.022599999999997</v>
      </c>
      <c r="C1896">
        <f>+ROUND(Get_Data!C1895,5)</f>
        <v>33.600459999999998</v>
      </c>
      <c r="D1896" s="4">
        <f t="shared" si="29"/>
        <v>2.4113538921788571</v>
      </c>
    </row>
    <row r="1897" spans="1:4" ht="17" hidden="1" customHeight="1" outlineLevel="1" thickBot="1">
      <c r="A1897" s="2">
        <f>+Get_Data!A1896</f>
        <v>42195</v>
      </c>
      <c r="B1897">
        <f>+ROUND(Get_Data!B1896,5)</f>
        <v>81.844899999999996</v>
      </c>
      <c r="C1897">
        <f>+ROUND(Get_Data!C1896,5)</f>
        <v>33.99606</v>
      </c>
      <c r="D1897" s="4">
        <f t="shared" si="29"/>
        <v>2.4074819258467008</v>
      </c>
    </row>
    <row r="1898" spans="1:4" ht="17" hidden="1" customHeight="1" outlineLevel="1" thickBot="1">
      <c r="A1898" s="2">
        <f>+Get_Data!A1897</f>
        <v>42198</v>
      </c>
      <c r="B1898">
        <f>+ROUND(Get_Data!B1897,5)</f>
        <v>83.275390000000002</v>
      </c>
      <c r="C1898">
        <f>+ROUND(Get_Data!C1897,5)</f>
        <v>34.223320000000001</v>
      </c>
      <c r="D1898" s="4">
        <f t="shared" si="29"/>
        <v>2.4332937307075992</v>
      </c>
    </row>
    <row r="1899" spans="1:4" ht="17" hidden="1" customHeight="1" outlineLevel="1" thickBot="1">
      <c r="A1899" s="2">
        <f>+Get_Data!A1898</f>
        <v>42199</v>
      </c>
      <c r="B1899">
        <f>+ROUND(Get_Data!B1898,5)</f>
        <v>83.198279999999997</v>
      </c>
      <c r="C1899">
        <f>+ROUND(Get_Data!C1898,5)</f>
        <v>34.65258</v>
      </c>
      <c r="D1899" s="4">
        <f t="shared" si="29"/>
        <v>2.4009259916577639</v>
      </c>
    </row>
    <row r="1900" spans="1:4" ht="17" hidden="1" customHeight="1" outlineLevel="1" thickBot="1">
      <c r="A1900" s="2">
        <f>+Get_Data!A1899</f>
        <v>42200</v>
      </c>
      <c r="B1900">
        <f>+ROUND(Get_Data!B1899,5)</f>
        <v>82.530169999999998</v>
      </c>
      <c r="C1900">
        <f>+ROUND(Get_Data!C1899,5)</f>
        <v>34.61891</v>
      </c>
      <c r="D1900" s="4">
        <f t="shared" si="29"/>
        <v>2.3839621178136459</v>
      </c>
    </row>
    <row r="1901" spans="1:4" ht="17" hidden="1" customHeight="1" outlineLevel="1" thickBot="1">
      <c r="A1901" s="2">
        <f>+Get_Data!A1900</f>
        <v>42201</v>
      </c>
      <c r="B1901">
        <f>+ROUND(Get_Data!B1900,5)</f>
        <v>83.001289999999997</v>
      </c>
      <c r="C1901">
        <f>+ROUND(Get_Data!C1900,5)</f>
        <v>34.913499999999999</v>
      </c>
      <c r="D1901" s="4">
        <f t="shared" si="29"/>
        <v>2.3773408566886736</v>
      </c>
    </row>
    <row r="1902" spans="1:4" ht="17" hidden="1" customHeight="1" outlineLevel="1" thickBot="1">
      <c r="A1902" s="2">
        <f>+Get_Data!A1901</f>
        <v>42202</v>
      </c>
      <c r="B1902">
        <f>+ROUND(Get_Data!B1901,5)</f>
        <v>82.898480000000006</v>
      </c>
      <c r="C1902">
        <f>+ROUND(Get_Data!C1901,5)</f>
        <v>34.719920000000002</v>
      </c>
      <c r="D1902" s="4">
        <f t="shared" si="29"/>
        <v>2.3876345337201239</v>
      </c>
    </row>
    <row r="1903" spans="1:4" ht="17" hidden="1" customHeight="1" outlineLevel="1" thickBot="1">
      <c r="A1903" s="2">
        <f>+Get_Data!A1902</f>
        <v>42205</v>
      </c>
      <c r="B1903">
        <f>+ROUND(Get_Data!B1902,5)</f>
        <v>83.35248</v>
      </c>
      <c r="C1903">
        <f>+ROUND(Get_Data!C1902,5)</f>
        <v>34.829329999999999</v>
      </c>
      <c r="D1903" s="4">
        <f t="shared" si="29"/>
        <v>2.3931692053794893</v>
      </c>
    </row>
    <row r="1904" spans="1:4" ht="17" hidden="1" customHeight="1" outlineLevel="1" thickBot="1">
      <c r="A1904" s="2">
        <f>+Get_Data!A1903</f>
        <v>42206</v>
      </c>
      <c r="B1904">
        <f>+ROUND(Get_Data!B1903,5)</f>
        <v>83.026970000000006</v>
      </c>
      <c r="C1904">
        <f>+ROUND(Get_Data!C1903,5)</f>
        <v>34.669409999999999</v>
      </c>
      <c r="D1904" s="4">
        <f t="shared" si="29"/>
        <v>2.3948192369007724</v>
      </c>
    </row>
    <row r="1905" spans="1:4" ht="17" hidden="1" customHeight="1" outlineLevel="1" thickBot="1">
      <c r="A1905" s="2">
        <f>+Get_Data!A1904</f>
        <v>42207</v>
      </c>
      <c r="B1905">
        <f>+ROUND(Get_Data!B1904,5)</f>
        <v>83.23254</v>
      </c>
      <c r="C1905">
        <f>+ROUND(Get_Data!C1904,5)</f>
        <v>34.425319999999999</v>
      </c>
      <c r="D1905" s="4">
        <f t="shared" si="29"/>
        <v>2.4177709894926176</v>
      </c>
    </row>
    <row r="1906" spans="1:4" ht="17" hidden="1" customHeight="1" outlineLevel="1" thickBot="1">
      <c r="A1906" s="2">
        <f>+Get_Data!A1905</f>
        <v>42208</v>
      </c>
      <c r="B1906">
        <f>+ROUND(Get_Data!B1905,5)</f>
        <v>82.975589999999997</v>
      </c>
      <c r="C1906">
        <f>+ROUND(Get_Data!C1905,5)</f>
        <v>34.37482</v>
      </c>
      <c r="D1906" s="4">
        <f t="shared" si="29"/>
        <v>2.4138479852403592</v>
      </c>
    </row>
    <row r="1907" spans="1:4" ht="17" hidden="1" customHeight="1" outlineLevel="1" thickBot="1">
      <c r="A1907" s="2">
        <f>+Get_Data!A1906</f>
        <v>42209</v>
      </c>
      <c r="B1907">
        <f>+ROUND(Get_Data!B1906,5)</f>
        <v>82.384550000000004</v>
      </c>
      <c r="C1907">
        <f>+ROUND(Get_Data!C1906,5)</f>
        <v>34.038139999999999</v>
      </c>
      <c r="D1907" s="4">
        <f t="shared" si="29"/>
        <v>2.4203599256598629</v>
      </c>
    </row>
    <row r="1908" spans="1:4" ht="17" hidden="1" customHeight="1" outlineLevel="1" thickBot="1">
      <c r="A1908" s="2">
        <f>+Get_Data!A1907</f>
        <v>42212</v>
      </c>
      <c r="B1908">
        <f>+ROUND(Get_Data!B1907,5)</f>
        <v>81.939120000000003</v>
      </c>
      <c r="C1908">
        <f>+ROUND(Get_Data!C1907,5)</f>
        <v>34.122309999999999</v>
      </c>
      <c r="D1908" s="4">
        <f t="shared" si="29"/>
        <v>2.4013356657272031</v>
      </c>
    </row>
    <row r="1909" spans="1:4" ht="17" hidden="1" customHeight="1" outlineLevel="1" thickBot="1">
      <c r="A1909" s="2">
        <f>+Get_Data!A1908</f>
        <v>42213</v>
      </c>
      <c r="B1909">
        <f>+ROUND(Get_Data!B1908,5)</f>
        <v>82.324579999999997</v>
      </c>
      <c r="C1909">
        <f>+ROUND(Get_Data!C1908,5)</f>
        <v>34.13073</v>
      </c>
      <c r="D1909" s="4">
        <f t="shared" si="29"/>
        <v>2.4120368946108095</v>
      </c>
    </row>
    <row r="1910" spans="1:4" ht="17" hidden="1" customHeight="1" outlineLevel="1" thickBot="1">
      <c r="A1910" s="2">
        <f>+Get_Data!A1909</f>
        <v>42214</v>
      </c>
      <c r="B1910">
        <f>+ROUND(Get_Data!B1909,5)</f>
        <v>82.684359999999998</v>
      </c>
      <c r="C1910">
        <f>+ROUND(Get_Data!C1909,5)</f>
        <v>34.164389999999997</v>
      </c>
      <c r="D1910" s="4">
        <f t="shared" si="29"/>
        <v>2.4201913161628235</v>
      </c>
    </row>
    <row r="1911" spans="1:4" ht="17" hidden="1" customHeight="1" outlineLevel="1" thickBot="1">
      <c r="A1911" s="2">
        <f>+Get_Data!A1910</f>
        <v>42215</v>
      </c>
      <c r="B1911">
        <f>+ROUND(Get_Data!B1910,5)</f>
        <v>82.77</v>
      </c>
      <c r="C1911">
        <f>+ROUND(Get_Data!C1910,5)</f>
        <v>34.139150000000001</v>
      </c>
      <c r="D1911" s="4">
        <f t="shared" si="29"/>
        <v>2.4244891861689584</v>
      </c>
    </row>
    <row r="1912" spans="1:4" ht="17" hidden="1" customHeight="1" outlineLevel="1" thickBot="1">
      <c r="A1912" s="2">
        <f>+Get_Data!A1911</f>
        <v>42216</v>
      </c>
      <c r="B1912">
        <f>+ROUND(Get_Data!B1911,5)</f>
        <v>82.530169999999998</v>
      </c>
      <c r="C1912">
        <f>+ROUND(Get_Data!C1911,5)</f>
        <v>34.576819999999998</v>
      </c>
      <c r="D1912" s="4">
        <f t="shared" si="29"/>
        <v>2.3868640898729265</v>
      </c>
    </row>
    <row r="1913" spans="1:4" ht="17" hidden="1" customHeight="1" outlineLevel="1" thickBot="1">
      <c r="A1913" s="2">
        <f>+Get_Data!A1912</f>
        <v>42219</v>
      </c>
      <c r="B1913">
        <f>+ROUND(Get_Data!B1912,5)</f>
        <v>83.472390000000004</v>
      </c>
      <c r="C1913">
        <f>+ROUND(Get_Data!C1912,5)</f>
        <v>34.964010000000002</v>
      </c>
      <c r="D1913" s="4">
        <f t="shared" si="29"/>
        <v>2.3873803376672185</v>
      </c>
    </row>
    <row r="1914" spans="1:4" ht="17" hidden="1" customHeight="1" outlineLevel="1" thickBot="1">
      <c r="A1914" s="2">
        <f>+Get_Data!A1913</f>
        <v>42220</v>
      </c>
      <c r="B1914">
        <f>+ROUND(Get_Data!B1913,5)</f>
        <v>83.780770000000004</v>
      </c>
      <c r="C1914">
        <f>+ROUND(Get_Data!C1913,5)</f>
        <v>35.224930000000001</v>
      </c>
      <c r="D1914" s="4">
        <f t="shared" si="29"/>
        <v>2.3784510004704056</v>
      </c>
    </row>
    <row r="1915" spans="1:4" ht="17" hidden="1" customHeight="1" outlineLevel="1" thickBot="1">
      <c r="A1915" s="2">
        <f>+Get_Data!A1914</f>
        <v>42221</v>
      </c>
      <c r="B1915">
        <f>+ROUND(Get_Data!B1914,5)</f>
        <v>84.962819999999994</v>
      </c>
      <c r="C1915">
        <f>+ROUND(Get_Data!C1914,5)</f>
        <v>35.452179999999998</v>
      </c>
      <c r="D1915" s="4">
        <f t="shared" si="29"/>
        <v>2.396547123477315</v>
      </c>
    </row>
    <row r="1916" spans="1:4" ht="17" hidden="1" customHeight="1" outlineLevel="1" thickBot="1">
      <c r="A1916" s="2">
        <f>+Get_Data!A1915</f>
        <v>42222</v>
      </c>
      <c r="B1916">
        <f>+ROUND(Get_Data!B1915,5)</f>
        <v>84.928569999999993</v>
      </c>
      <c r="C1916">
        <f>+ROUND(Get_Data!C1915,5)</f>
        <v>35.283839999999998</v>
      </c>
      <c r="D1916" s="4">
        <f t="shared" si="29"/>
        <v>2.4070104047632004</v>
      </c>
    </row>
    <row r="1917" spans="1:4" ht="17" hidden="1" customHeight="1" outlineLevel="1" thickBot="1">
      <c r="A1917" s="2">
        <f>+Get_Data!A1916</f>
        <v>42223</v>
      </c>
      <c r="B1917">
        <f>+ROUND(Get_Data!B1916,5)</f>
        <v>84.885739999999998</v>
      </c>
      <c r="C1917">
        <f>+ROUND(Get_Data!C1916,5)</f>
        <v>35.157600000000002</v>
      </c>
      <c r="D1917" s="4">
        <f t="shared" si="29"/>
        <v>2.4144350012515075</v>
      </c>
    </row>
    <row r="1918" spans="1:4" ht="17" hidden="1" customHeight="1" outlineLevel="1" thickBot="1">
      <c r="A1918" s="2">
        <f>+Get_Data!A1917</f>
        <v>42226</v>
      </c>
      <c r="B1918">
        <f>+ROUND(Get_Data!B1917,5)</f>
        <v>84.877139999999997</v>
      </c>
      <c r="C1918">
        <f>+ROUND(Get_Data!C1917,5)</f>
        <v>35.08184</v>
      </c>
      <c r="D1918" s="4">
        <f t="shared" si="29"/>
        <v>2.4194038853150235</v>
      </c>
    </row>
    <row r="1919" spans="1:4" ht="17" hidden="1" customHeight="1" outlineLevel="1" thickBot="1">
      <c r="A1919" s="2">
        <f>+Get_Data!A1918</f>
        <v>42227</v>
      </c>
      <c r="B1919">
        <f>+ROUND(Get_Data!B1918,5)</f>
        <v>84.474590000000006</v>
      </c>
      <c r="C1919">
        <f>+ROUND(Get_Data!C1918,5)</f>
        <v>34.913499999999999</v>
      </c>
      <c r="D1919" s="4">
        <f t="shared" si="29"/>
        <v>2.4195394331705504</v>
      </c>
    </row>
    <row r="1920" spans="1:4" ht="17" hidden="1" customHeight="1" outlineLevel="1" thickBot="1">
      <c r="A1920" s="2">
        <f>+Get_Data!A1919</f>
        <v>42228</v>
      </c>
      <c r="B1920">
        <f>+ROUND(Get_Data!B1919,5)</f>
        <v>84.268990000000002</v>
      </c>
      <c r="C1920">
        <f>+ROUND(Get_Data!C1919,5)</f>
        <v>34.728319999999997</v>
      </c>
      <c r="D1920" s="4">
        <f t="shared" si="29"/>
        <v>2.4265207761273797</v>
      </c>
    </row>
    <row r="1921" spans="1:4" ht="17" hidden="1" customHeight="1" outlineLevel="1" thickBot="1">
      <c r="A1921" s="2">
        <f>+Get_Data!A1920</f>
        <v>42229</v>
      </c>
      <c r="B1921">
        <f>+ROUND(Get_Data!B1920,5)</f>
        <v>84.620189999999994</v>
      </c>
      <c r="C1921">
        <f>+ROUND(Get_Data!C1920,5)</f>
        <v>34.593670000000003</v>
      </c>
      <c r="D1921" s="4">
        <f t="shared" si="29"/>
        <v>2.446117743506254</v>
      </c>
    </row>
    <row r="1922" spans="1:4" ht="17" hidden="1" customHeight="1" outlineLevel="1" thickBot="1">
      <c r="A1922" s="2">
        <f>+Get_Data!A1921</f>
        <v>42230</v>
      </c>
      <c r="B1922">
        <f>+ROUND(Get_Data!B1921,5)</f>
        <v>84.997079999999997</v>
      </c>
      <c r="C1922">
        <f>+ROUND(Get_Data!C1921,5)</f>
        <v>34.719920000000002</v>
      </c>
      <c r="D1922" s="4">
        <f t="shared" si="29"/>
        <v>2.44807822137839</v>
      </c>
    </row>
    <row r="1923" spans="1:4" ht="17" hidden="1" customHeight="1" outlineLevel="1" thickBot="1">
      <c r="A1923" s="2">
        <f>+Get_Data!A1922</f>
        <v>42233</v>
      </c>
      <c r="B1923">
        <f>+ROUND(Get_Data!B1922,5)</f>
        <v>85.536709999999999</v>
      </c>
      <c r="C1923">
        <f>+ROUND(Get_Data!C1922,5)</f>
        <v>34.804090000000002</v>
      </c>
      <c r="D1923" s="4">
        <f t="shared" si="29"/>
        <v>2.4576625908047012</v>
      </c>
    </row>
    <row r="1924" spans="1:4" ht="17" hidden="1" customHeight="1" outlineLevel="1" thickBot="1">
      <c r="A1924" s="2">
        <f>+Get_Data!A1923</f>
        <v>42234</v>
      </c>
      <c r="B1924">
        <f>+ROUND(Get_Data!B1923,5)</f>
        <v>85.459620000000001</v>
      </c>
      <c r="C1924">
        <f>+ROUND(Get_Data!C1923,5)</f>
        <v>34.762</v>
      </c>
      <c r="D1924" s="4">
        <f t="shared" ref="D1924:D1987" si="30">IFERROR(B1924/C1924,"")</f>
        <v>2.4584206892583857</v>
      </c>
    </row>
    <row r="1925" spans="1:4" ht="17" hidden="1" customHeight="1" outlineLevel="1" thickBot="1">
      <c r="A1925" s="2">
        <f>+Get_Data!A1924</f>
        <v>42235</v>
      </c>
      <c r="B1925">
        <f>+ROUND(Get_Data!B1924,5)</f>
        <v>84.791499999999999</v>
      </c>
      <c r="C1925">
        <f>+ROUND(Get_Data!C1924,5)</f>
        <v>34.324309999999997</v>
      </c>
      <c r="D1925" s="4">
        <f t="shared" si="30"/>
        <v>2.4703045742215943</v>
      </c>
    </row>
    <row r="1926" spans="1:4" ht="17" hidden="1" customHeight="1" outlineLevel="1" thickBot="1">
      <c r="A1926" s="2">
        <f>+Get_Data!A1925</f>
        <v>42236</v>
      </c>
      <c r="B1926">
        <f>+ROUND(Get_Data!B1925,5)</f>
        <v>83.926360000000003</v>
      </c>
      <c r="C1926">
        <f>+ROUND(Get_Data!C1925,5)</f>
        <v>34.13073</v>
      </c>
      <c r="D1926" s="4">
        <f t="shared" si="30"/>
        <v>2.458967622432922</v>
      </c>
    </row>
    <row r="1927" spans="1:4" ht="17" hidden="1" customHeight="1" outlineLevel="1" thickBot="1">
      <c r="A1927" s="2">
        <f>+Get_Data!A1926</f>
        <v>42237</v>
      </c>
      <c r="B1927">
        <f>+ROUND(Get_Data!B1926,5)</f>
        <v>82.444500000000005</v>
      </c>
      <c r="C1927">
        <f>+ROUND(Get_Data!C1926,5)</f>
        <v>33.272190000000002</v>
      </c>
      <c r="D1927" s="4">
        <f t="shared" si="30"/>
        <v>2.4778801756061144</v>
      </c>
    </row>
    <row r="1928" spans="1:4" ht="17" hidden="1" customHeight="1" outlineLevel="1" thickBot="1">
      <c r="A1928" s="2">
        <f>+Get_Data!A1927</f>
        <v>42240</v>
      </c>
      <c r="B1928">
        <f>+ROUND(Get_Data!B1927,5)</f>
        <v>78.65849</v>
      </c>
      <c r="C1928">
        <f>+ROUND(Get_Data!C1927,5)</f>
        <v>32.304250000000003</v>
      </c>
      <c r="D1928" s="4">
        <f t="shared" si="30"/>
        <v>2.434926983291672</v>
      </c>
    </row>
    <row r="1929" spans="1:4" ht="17" hidden="1" customHeight="1" outlineLevel="1" thickBot="1">
      <c r="A1929" s="2">
        <f>+Get_Data!A1928</f>
        <v>42241</v>
      </c>
      <c r="B1929">
        <f>+ROUND(Get_Data!B1928,5)</f>
        <v>76.782600000000002</v>
      </c>
      <c r="C1929">
        <f>+ROUND(Get_Data!C1928,5)</f>
        <v>31.975989999999999</v>
      </c>
      <c r="D1929" s="4">
        <f t="shared" si="30"/>
        <v>2.4012579438509958</v>
      </c>
    </row>
    <row r="1930" spans="1:4" ht="17" hidden="1" customHeight="1" outlineLevel="1" thickBot="1">
      <c r="A1930" s="2">
        <f>+Get_Data!A1929</f>
        <v>42242</v>
      </c>
      <c r="B1930">
        <f>+ROUND(Get_Data!B1929,5)</f>
        <v>79.22381</v>
      </c>
      <c r="C1930">
        <f>+ROUND(Get_Data!C1929,5)</f>
        <v>32.59883</v>
      </c>
      <c r="D1930" s="4">
        <f t="shared" si="30"/>
        <v>2.4302654420419385</v>
      </c>
    </row>
    <row r="1931" spans="1:4" ht="17" hidden="1" customHeight="1" outlineLevel="1" thickBot="1">
      <c r="A1931" s="2">
        <f>+Get_Data!A1930</f>
        <v>42243</v>
      </c>
      <c r="B1931">
        <f>+ROUND(Get_Data!B1930,5)</f>
        <v>80.174610000000001</v>
      </c>
      <c r="C1931">
        <f>+ROUND(Get_Data!C1930,5)</f>
        <v>33.053350000000002</v>
      </c>
      <c r="D1931" s="4">
        <f t="shared" si="30"/>
        <v>2.4256122299252572</v>
      </c>
    </row>
    <row r="1932" spans="1:4" ht="17" hidden="1" customHeight="1" outlineLevel="1" thickBot="1">
      <c r="A1932" s="2">
        <f>+Get_Data!A1931</f>
        <v>42244</v>
      </c>
      <c r="B1932">
        <f>+ROUND(Get_Data!B1931,5)</f>
        <v>80.114660000000001</v>
      </c>
      <c r="C1932">
        <f>+ROUND(Get_Data!C1931,5)</f>
        <v>33.204859999999996</v>
      </c>
      <c r="D1932" s="4">
        <f t="shared" si="30"/>
        <v>2.4127389785712094</v>
      </c>
    </row>
    <row r="1933" spans="1:4" ht="17" hidden="1" customHeight="1" outlineLevel="1" thickBot="1">
      <c r="A1933" s="2">
        <f>+Get_Data!A1932</f>
        <v>42247</v>
      </c>
      <c r="B1933">
        <f>+ROUND(Get_Data!B1932,5)</f>
        <v>79.600719999999995</v>
      </c>
      <c r="C1933">
        <f>+ROUND(Get_Data!C1932,5)</f>
        <v>33.095440000000004</v>
      </c>
      <c r="D1933" s="4">
        <f t="shared" si="30"/>
        <v>2.4051869381401181</v>
      </c>
    </row>
    <row r="1934" spans="1:4" ht="17" hidden="1" customHeight="1" outlineLevel="1" thickBot="1">
      <c r="A1934" s="2">
        <f>+Get_Data!A1933</f>
        <v>42248</v>
      </c>
      <c r="B1934">
        <f>+ROUND(Get_Data!B1933,5)</f>
        <v>78.23021</v>
      </c>
      <c r="C1934">
        <f>+ROUND(Get_Data!C1933,5)</f>
        <v>32.615679999999998</v>
      </c>
      <c r="D1934" s="4">
        <f t="shared" si="30"/>
        <v>2.398546036752875</v>
      </c>
    </row>
    <row r="1935" spans="1:4" ht="17" hidden="1" customHeight="1" outlineLevel="1" thickBot="1">
      <c r="A1935" s="2">
        <f>+Get_Data!A1934</f>
        <v>42249</v>
      </c>
      <c r="B1935">
        <f>+ROUND(Get_Data!B1934,5)</f>
        <v>79.10463</v>
      </c>
      <c r="C1935">
        <f>+ROUND(Get_Data!C1934,5)</f>
        <v>32.741930000000004</v>
      </c>
      <c r="D1935" s="4">
        <f t="shared" si="30"/>
        <v>2.4160038824834085</v>
      </c>
    </row>
    <row r="1936" spans="1:4" ht="17" hidden="1" customHeight="1" outlineLevel="1" thickBot="1">
      <c r="A1936" s="2">
        <f>+Get_Data!A1935</f>
        <v>42250</v>
      </c>
      <c r="B1936">
        <f>+ROUND(Get_Data!B1935,5)</f>
        <v>79.527609999999996</v>
      </c>
      <c r="C1936">
        <f>+ROUND(Get_Data!C1935,5)</f>
        <v>32.960769999999997</v>
      </c>
      <c r="D1936" s="4">
        <f t="shared" si="30"/>
        <v>2.4127958782516306</v>
      </c>
    </row>
    <row r="1937" spans="1:4" ht="17" hidden="1" customHeight="1" outlineLevel="1" thickBot="1">
      <c r="A1937" s="2">
        <f>+Get_Data!A1936</f>
        <v>42251</v>
      </c>
      <c r="B1937">
        <f>+ROUND(Get_Data!B1936,5)</f>
        <v>78.483130000000003</v>
      </c>
      <c r="C1937">
        <f>+ROUND(Get_Data!C1936,5)</f>
        <v>32.422089999999997</v>
      </c>
      <c r="D1937" s="4">
        <f t="shared" si="30"/>
        <v>2.420668439326398</v>
      </c>
    </row>
    <row r="1938" spans="1:4" ht="17" hidden="1" customHeight="1" outlineLevel="1" thickBot="1">
      <c r="A1938" s="2">
        <f>+Get_Data!A1937</f>
        <v>42255</v>
      </c>
      <c r="B1938">
        <f>+ROUND(Get_Data!B1937,5)</f>
        <v>79.734790000000004</v>
      </c>
      <c r="C1938">
        <f>+ROUND(Get_Data!C1937,5)</f>
        <v>32.741930000000004</v>
      </c>
      <c r="D1938" s="4">
        <f t="shared" si="30"/>
        <v>2.4352501517167742</v>
      </c>
    </row>
    <row r="1939" spans="1:4" ht="17" hidden="1" customHeight="1" outlineLevel="1" thickBot="1">
      <c r="A1939" s="2">
        <f>+Get_Data!A1938</f>
        <v>42256</v>
      </c>
      <c r="B1939">
        <f>+ROUND(Get_Data!B1938,5)</f>
        <v>78.405429999999996</v>
      </c>
      <c r="C1939">
        <f>+ROUND(Get_Data!C1938,5)</f>
        <v>32.236899999999999</v>
      </c>
      <c r="D1939" s="4">
        <f t="shared" si="30"/>
        <v>2.4321640728481957</v>
      </c>
    </row>
    <row r="1940" spans="1:4" ht="17" hidden="1" customHeight="1" outlineLevel="1" thickBot="1">
      <c r="A1940" s="2">
        <f>+Get_Data!A1939</f>
        <v>42257</v>
      </c>
      <c r="B1940">
        <f>+ROUND(Get_Data!B1939,5)</f>
        <v>78.603970000000004</v>
      </c>
      <c r="C1940">
        <f>+ROUND(Get_Data!C1939,5)</f>
        <v>32.337910000000001</v>
      </c>
      <c r="D1940" s="4">
        <f t="shared" si="30"/>
        <v>2.4307065608136087</v>
      </c>
    </row>
    <row r="1941" spans="1:4" ht="17" hidden="1" customHeight="1" outlineLevel="1" thickBot="1">
      <c r="A1941" s="2">
        <f>+Get_Data!A1940</f>
        <v>42258</v>
      </c>
      <c r="B1941">
        <f>+ROUND(Get_Data!B1940,5)</f>
        <v>79.087360000000004</v>
      </c>
      <c r="C1941">
        <f>+ROUND(Get_Data!C1940,5)</f>
        <v>32.371879999999997</v>
      </c>
      <c r="D1941" s="4">
        <f t="shared" si="30"/>
        <v>2.4430882605520599</v>
      </c>
    </row>
    <row r="1942" spans="1:4" ht="17" hidden="1" customHeight="1" outlineLevel="1" thickBot="1">
      <c r="A1942" s="2">
        <f>+Get_Data!A1941</f>
        <v>42261</v>
      </c>
      <c r="B1942">
        <f>+ROUND(Get_Data!B1941,5)</f>
        <v>78.724819999999994</v>
      </c>
      <c r="C1942">
        <f>+ROUND(Get_Data!C1941,5)</f>
        <v>32.346409999999999</v>
      </c>
      <c r="D1942" s="4">
        <f t="shared" si="30"/>
        <v>2.4338039368201909</v>
      </c>
    </row>
    <row r="1943" spans="1:4" ht="17" hidden="1" customHeight="1" outlineLevel="1" thickBot="1">
      <c r="A1943" s="2">
        <f>+Get_Data!A1942</f>
        <v>42262</v>
      </c>
      <c r="B1943">
        <f>+ROUND(Get_Data!B1942,5)</f>
        <v>79.467169999999996</v>
      </c>
      <c r="C1943">
        <f>+ROUND(Get_Data!C1942,5)</f>
        <v>32.686</v>
      </c>
      <c r="D1943" s="4">
        <f t="shared" si="30"/>
        <v>2.431229578412776</v>
      </c>
    </row>
    <row r="1944" spans="1:4" ht="17" hidden="1" customHeight="1" outlineLevel="1" thickBot="1">
      <c r="A1944" s="2">
        <f>+Get_Data!A1943</f>
        <v>42263</v>
      </c>
      <c r="B1944">
        <f>+ROUND(Get_Data!B1943,5)</f>
        <v>80.33905</v>
      </c>
      <c r="C1944">
        <f>+ROUND(Get_Data!C1943,5)</f>
        <v>33.237850000000002</v>
      </c>
      <c r="D1944" s="4">
        <f t="shared" si="30"/>
        <v>2.4170952693991938</v>
      </c>
    </row>
    <row r="1945" spans="1:4" ht="17" hidden="1" customHeight="1" outlineLevel="1" thickBot="1">
      <c r="A1945" s="2">
        <f>+Get_Data!A1944</f>
        <v>42264</v>
      </c>
      <c r="B1945">
        <f>+ROUND(Get_Data!B1944,5)</f>
        <v>80.597999999999999</v>
      </c>
      <c r="C1945">
        <f>+ROUND(Get_Data!C1944,5)</f>
        <v>33.433109999999999</v>
      </c>
      <c r="D1945" s="4">
        <f t="shared" si="30"/>
        <v>2.4107239799109328</v>
      </c>
    </row>
    <row r="1946" spans="1:4" ht="17" hidden="1" customHeight="1" outlineLevel="1" thickBot="1">
      <c r="A1946" s="2">
        <f>+Get_Data!A1945</f>
        <v>42265</v>
      </c>
      <c r="B1946">
        <f>+ROUND(Get_Data!B1945,5)</f>
        <v>80.321759999999998</v>
      </c>
      <c r="C1946">
        <f>+ROUND(Get_Data!C1945,5)</f>
        <v>33.093510000000002</v>
      </c>
      <c r="D1946" s="4">
        <f t="shared" si="30"/>
        <v>2.4271151654810867</v>
      </c>
    </row>
    <row r="1947" spans="1:4" ht="17" hidden="1" customHeight="1" outlineLevel="1" thickBot="1">
      <c r="A1947" s="2">
        <f>+Get_Data!A1946</f>
        <v>42268</v>
      </c>
      <c r="B1947">
        <f>+ROUND(Get_Data!B1946,5)</f>
        <v>80.891459999999995</v>
      </c>
      <c r="C1947">
        <f>+ROUND(Get_Data!C1946,5)</f>
        <v>33.271799999999999</v>
      </c>
      <c r="D1947" s="4">
        <f t="shared" si="30"/>
        <v>2.4312318540024886</v>
      </c>
    </row>
    <row r="1948" spans="1:4" ht="17" hidden="1" customHeight="1" outlineLevel="1" thickBot="1">
      <c r="A1948" s="2">
        <f>+Get_Data!A1947</f>
        <v>42269</v>
      </c>
      <c r="B1948">
        <f>+ROUND(Get_Data!B1947,5)</f>
        <v>79.734790000000004</v>
      </c>
      <c r="C1948">
        <f>+ROUND(Get_Data!C1947,5)</f>
        <v>32.932209999999998</v>
      </c>
      <c r="D1948" s="4">
        <f t="shared" si="30"/>
        <v>2.4211794471127206</v>
      </c>
    </row>
    <row r="1949" spans="1:4" ht="17" hidden="1" customHeight="1" outlineLevel="1" thickBot="1">
      <c r="A1949" s="2">
        <f>+Get_Data!A1948</f>
        <v>42270</v>
      </c>
      <c r="B1949">
        <f>+ROUND(Get_Data!B1948,5)</f>
        <v>79.760679999999994</v>
      </c>
      <c r="C1949">
        <f>+ROUND(Get_Data!C1948,5)</f>
        <v>32.906730000000003</v>
      </c>
      <c r="D1949" s="4">
        <f t="shared" si="30"/>
        <v>2.4238409589770842</v>
      </c>
    </row>
    <row r="1950" spans="1:4" ht="17" hidden="1" customHeight="1" outlineLevel="1" thickBot="1">
      <c r="A1950" s="2">
        <f>+Get_Data!A1949</f>
        <v>42271</v>
      </c>
      <c r="B1950">
        <f>+ROUND(Get_Data!B1949,5)</f>
        <v>79.821110000000004</v>
      </c>
      <c r="C1950">
        <f>+ROUND(Get_Data!C1949,5)</f>
        <v>33.237850000000002</v>
      </c>
      <c r="D1950" s="4">
        <f t="shared" si="30"/>
        <v>2.4015124323625026</v>
      </c>
    </row>
    <row r="1951" spans="1:4" ht="17" hidden="1" customHeight="1" outlineLevel="1" thickBot="1">
      <c r="A1951" s="2">
        <f>+Get_Data!A1950</f>
        <v>42272</v>
      </c>
      <c r="B1951">
        <f>+ROUND(Get_Data!B1950,5)</f>
        <v>80.68432</v>
      </c>
      <c r="C1951">
        <f>+ROUND(Get_Data!C1950,5)</f>
        <v>33.636859999999999</v>
      </c>
      <c r="D1951" s="4">
        <f t="shared" si="30"/>
        <v>2.3986876301771329</v>
      </c>
    </row>
    <row r="1952" spans="1:4" ht="17" hidden="1" customHeight="1" outlineLevel="1" thickBot="1">
      <c r="A1952" s="2">
        <f>+Get_Data!A1951</f>
        <v>42275</v>
      </c>
      <c r="B1952">
        <f>+ROUND(Get_Data!B1951,5)</f>
        <v>79.821110000000004</v>
      </c>
      <c r="C1952">
        <f>+ROUND(Get_Data!C1951,5)</f>
        <v>33.560450000000003</v>
      </c>
      <c r="D1952" s="4">
        <f t="shared" si="30"/>
        <v>2.3784278816285238</v>
      </c>
    </row>
    <row r="1953" spans="1:4" ht="17" hidden="1" customHeight="1" outlineLevel="1" thickBot="1">
      <c r="A1953" s="2">
        <f>+Get_Data!A1952</f>
        <v>42276</v>
      </c>
      <c r="B1953">
        <f>+ROUND(Get_Data!B1952,5)</f>
        <v>80.313119999999998</v>
      </c>
      <c r="C1953">
        <f>+ROUND(Get_Data!C1952,5)</f>
        <v>33.670830000000002</v>
      </c>
      <c r="D1953" s="4">
        <f t="shared" si="30"/>
        <v>2.3852432506118797</v>
      </c>
    </row>
    <row r="1954" spans="1:4" ht="17" hidden="1" customHeight="1" outlineLevel="1" thickBot="1">
      <c r="A1954" s="2">
        <f>+Get_Data!A1953</f>
        <v>42277</v>
      </c>
      <c r="B1954">
        <f>+ROUND(Get_Data!B1953,5)</f>
        <v>81.400760000000005</v>
      </c>
      <c r="C1954">
        <f>+ROUND(Get_Data!C1953,5)</f>
        <v>34.061369999999997</v>
      </c>
      <c r="D1954" s="4">
        <f t="shared" si="30"/>
        <v>2.3898263634140382</v>
      </c>
    </row>
    <row r="1955" spans="1:4" ht="17" hidden="1" customHeight="1" outlineLevel="1" thickBot="1">
      <c r="A1955" s="2">
        <f>+Get_Data!A1954</f>
        <v>42278</v>
      </c>
      <c r="B1955">
        <f>+ROUND(Get_Data!B1954,5)</f>
        <v>81.012320000000003</v>
      </c>
      <c r="C1955">
        <f>+ROUND(Get_Data!C1954,5)</f>
        <v>33.78969</v>
      </c>
      <c r="D1955" s="4">
        <f t="shared" si="30"/>
        <v>2.3975455235013996</v>
      </c>
    </row>
    <row r="1956" spans="1:4" ht="17" hidden="1" customHeight="1" outlineLevel="1" thickBot="1">
      <c r="A1956" s="2">
        <f>+Get_Data!A1955</f>
        <v>42279</v>
      </c>
      <c r="B1956">
        <f>+ROUND(Get_Data!B1955,5)</f>
        <v>81.279920000000004</v>
      </c>
      <c r="C1956">
        <f>+ROUND(Get_Data!C1955,5)</f>
        <v>34.290590000000002</v>
      </c>
      <c r="D1956" s="4">
        <f t="shared" si="30"/>
        <v>2.3703272530452231</v>
      </c>
    </row>
    <row r="1957" spans="1:4" ht="17" hidden="1" customHeight="1" outlineLevel="1" thickBot="1">
      <c r="A1957" s="2">
        <f>+Get_Data!A1956</f>
        <v>42282</v>
      </c>
      <c r="B1957">
        <f>+ROUND(Get_Data!B1956,5)</f>
        <v>82.704220000000007</v>
      </c>
      <c r="C1957">
        <f>+ROUND(Get_Data!C1956,5)</f>
        <v>34.816960000000002</v>
      </c>
      <c r="D1957" s="4">
        <f t="shared" si="30"/>
        <v>2.375400379585122</v>
      </c>
    </row>
    <row r="1958" spans="1:4" ht="17" hidden="1" customHeight="1" outlineLevel="1" thickBot="1">
      <c r="A1958" s="2">
        <f>+Get_Data!A1957</f>
        <v>42283</v>
      </c>
      <c r="B1958">
        <f>+ROUND(Get_Data!B1957,5)</f>
        <v>83.791880000000006</v>
      </c>
      <c r="C1958">
        <f>+ROUND(Get_Data!C1957,5)</f>
        <v>34.774509999999999</v>
      </c>
      <c r="D1958" s="4">
        <f t="shared" si="30"/>
        <v>2.409577590022117</v>
      </c>
    </row>
    <row r="1959" spans="1:4" ht="17" hidden="1" customHeight="1" outlineLevel="1" thickBot="1">
      <c r="A1959" s="2">
        <f>+Get_Data!A1958</f>
        <v>42284</v>
      </c>
      <c r="B1959">
        <f>+ROUND(Get_Data!B1958,5)</f>
        <v>85.043520000000001</v>
      </c>
      <c r="C1959">
        <f>+ROUND(Get_Data!C1958,5)</f>
        <v>35.249940000000002</v>
      </c>
      <c r="D1959" s="4">
        <f t="shared" si="30"/>
        <v>2.4125862341893347</v>
      </c>
    </row>
    <row r="1960" spans="1:4" ht="17" hidden="1" customHeight="1" outlineLevel="1" thickBot="1">
      <c r="A1960" s="2">
        <f>+Get_Data!A1959</f>
        <v>42285</v>
      </c>
      <c r="B1960">
        <f>+ROUND(Get_Data!B1959,5)</f>
        <v>85.431979999999996</v>
      </c>
      <c r="C1960">
        <f>+ROUND(Get_Data!C1959,5)</f>
        <v>35.640479999999997</v>
      </c>
      <c r="D1960" s="4">
        <f t="shared" si="30"/>
        <v>2.3970490857586655</v>
      </c>
    </row>
    <row r="1961" spans="1:4" ht="17" hidden="1" customHeight="1" outlineLevel="1" thickBot="1">
      <c r="A1961" s="2">
        <f>+Get_Data!A1960</f>
        <v>42286</v>
      </c>
      <c r="B1961">
        <f>+ROUND(Get_Data!B1960,5)</f>
        <v>85.863569999999996</v>
      </c>
      <c r="C1961">
        <f>+ROUND(Get_Data!C1960,5)</f>
        <v>35.674439999999997</v>
      </c>
      <c r="D1961" s="4">
        <f t="shared" si="30"/>
        <v>2.4068652514237083</v>
      </c>
    </row>
    <row r="1962" spans="1:4" ht="17" hidden="1" customHeight="1" outlineLevel="1" thickBot="1">
      <c r="A1962" s="2">
        <f>+Get_Data!A1961</f>
        <v>42289</v>
      </c>
      <c r="B1962">
        <f>+ROUND(Get_Data!B1961,5)</f>
        <v>85.578729999999993</v>
      </c>
      <c r="C1962">
        <f>+ROUND(Get_Data!C1961,5)</f>
        <v>35.65746</v>
      </c>
      <c r="D1962" s="4">
        <f t="shared" si="30"/>
        <v>2.4000231648580685</v>
      </c>
    </row>
    <row r="1963" spans="1:4" ht="17" hidden="1" customHeight="1" outlineLevel="1" thickBot="1">
      <c r="A1963" s="2">
        <f>+Get_Data!A1962</f>
        <v>42290</v>
      </c>
      <c r="B1963">
        <f>+ROUND(Get_Data!B1962,5)</f>
        <v>84.525599999999997</v>
      </c>
      <c r="C1963">
        <f>+ROUND(Get_Data!C1962,5)</f>
        <v>35.360309999999998</v>
      </c>
      <c r="D1963" s="4">
        <f t="shared" si="30"/>
        <v>2.3904089076142148</v>
      </c>
    </row>
    <row r="1964" spans="1:4" ht="17" hidden="1" customHeight="1" outlineLevel="1" thickBot="1">
      <c r="A1964" s="2">
        <f>+Get_Data!A1963</f>
        <v>42291</v>
      </c>
      <c r="B1964">
        <f>+ROUND(Get_Data!B1963,5)</f>
        <v>84.154409999999999</v>
      </c>
      <c r="C1964">
        <f>+ROUND(Get_Data!C1963,5)</f>
        <v>35.385779999999997</v>
      </c>
      <c r="D1964" s="4">
        <f t="shared" si="30"/>
        <v>2.378198530596189</v>
      </c>
    </row>
    <row r="1965" spans="1:4" ht="17" hidden="1" customHeight="1" outlineLevel="1" thickBot="1">
      <c r="A1965" s="2">
        <f>+Get_Data!A1964</f>
        <v>42292</v>
      </c>
      <c r="B1965">
        <f>+ROUND(Get_Data!B1964,5)</f>
        <v>84.836340000000007</v>
      </c>
      <c r="C1965">
        <f>+ROUND(Get_Data!C1964,5)</f>
        <v>35.589530000000003</v>
      </c>
      <c r="D1965" s="4">
        <f t="shared" si="30"/>
        <v>2.3837443203099338</v>
      </c>
    </row>
    <row r="1966" spans="1:4" ht="17" hidden="1" customHeight="1" outlineLevel="1" thickBot="1">
      <c r="A1966" s="2">
        <f>+Get_Data!A1965</f>
        <v>42293</v>
      </c>
      <c r="B1966">
        <f>+ROUND(Get_Data!B1965,5)</f>
        <v>86.062110000000004</v>
      </c>
      <c r="C1966">
        <f>+ROUND(Get_Data!C1965,5)</f>
        <v>35.674439999999997</v>
      </c>
      <c r="D1966" s="4">
        <f t="shared" si="30"/>
        <v>2.4124305805501085</v>
      </c>
    </row>
    <row r="1967" spans="1:4" ht="17" hidden="1" customHeight="1" outlineLevel="1" thickBot="1">
      <c r="A1967" s="2">
        <f>+Get_Data!A1966</f>
        <v>42296</v>
      </c>
      <c r="B1967">
        <f>+ROUND(Get_Data!B1966,5)</f>
        <v>86.476439999999997</v>
      </c>
      <c r="C1967">
        <f>+ROUND(Get_Data!C1966,5)</f>
        <v>35.648969999999998</v>
      </c>
      <c r="D1967" s="4">
        <f t="shared" si="30"/>
        <v>2.4257766774187304</v>
      </c>
    </row>
    <row r="1968" spans="1:4" ht="17" hidden="1" customHeight="1" outlineLevel="1" thickBot="1">
      <c r="A1968" s="2">
        <f>+Get_Data!A1967</f>
        <v>42297</v>
      </c>
      <c r="B1968">
        <f>+ROUND(Get_Data!B1967,5)</f>
        <v>86.554140000000004</v>
      </c>
      <c r="C1968">
        <f>+ROUND(Get_Data!C1967,5)</f>
        <v>35.903669999999998</v>
      </c>
      <c r="D1968" s="4">
        <f t="shared" si="30"/>
        <v>2.4107323847394988</v>
      </c>
    </row>
    <row r="1969" spans="1:4" ht="17" hidden="1" customHeight="1" outlineLevel="1" thickBot="1">
      <c r="A1969" s="2">
        <f>+Get_Data!A1968</f>
        <v>42298</v>
      </c>
      <c r="B1969">
        <f>+ROUND(Get_Data!B1968,5)</f>
        <v>86.536869999999993</v>
      </c>
      <c r="C1969">
        <f>+ROUND(Get_Data!C1968,5)</f>
        <v>35.818759999999997</v>
      </c>
      <c r="D1969" s="4">
        <f t="shared" si="30"/>
        <v>2.4159649859459122</v>
      </c>
    </row>
    <row r="1970" spans="1:4" ht="17" hidden="1" customHeight="1" outlineLevel="1" thickBot="1">
      <c r="A1970" s="2">
        <f>+Get_Data!A1969</f>
        <v>42299</v>
      </c>
      <c r="B1970">
        <f>+ROUND(Get_Data!B1969,5)</f>
        <v>88.979770000000002</v>
      </c>
      <c r="C1970">
        <f>+ROUND(Get_Data!C1969,5)</f>
        <v>36.7102</v>
      </c>
      <c r="D1970" s="4">
        <f t="shared" si="30"/>
        <v>2.4238432370294904</v>
      </c>
    </row>
    <row r="1971" spans="1:4" ht="17" hidden="1" customHeight="1" outlineLevel="1" thickBot="1">
      <c r="A1971" s="2">
        <f>+Get_Data!A1970</f>
        <v>42300</v>
      </c>
      <c r="B1971">
        <f>+ROUND(Get_Data!B1970,5)</f>
        <v>88.418670000000006</v>
      </c>
      <c r="C1971">
        <f>+ROUND(Get_Data!C1970,5)</f>
        <v>36.328150000000001</v>
      </c>
      <c r="D1971" s="4">
        <f t="shared" si="30"/>
        <v>2.4338885960336545</v>
      </c>
    </row>
    <row r="1972" spans="1:4" ht="17" hidden="1" customHeight="1" outlineLevel="1" thickBot="1">
      <c r="A1972" s="2">
        <f>+Get_Data!A1971</f>
        <v>42303</v>
      </c>
      <c r="B1972">
        <f>+ROUND(Get_Data!B1971,5)</f>
        <v>88.513630000000006</v>
      </c>
      <c r="C1972">
        <f>+ROUND(Get_Data!C1971,5)</f>
        <v>36.158349999999999</v>
      </c>
      <c r="D1972" s="4">
        <f t="shared" si="30"/>
        <v>2.4479443890553636</v>
      </c>
    </row>
    <row r="1973" spans="1:4" ht="17" hidden="1" customHeight="1" outlineLevel="1" thickBot="1">
      <c r="A1973" s="2">
        <f>+Get_Data!A1972</f>
        <v>42304</v>
      </c>
      <c r="B1973">
        <f>+ROUND(Get_Data!B1972,5)</f>
        <v>88.858919999999998</v>
      </c>
      <c r="C1973">
        <f>+ROUND(Get_Data!C1972,5)</f>
        <v>36.175339999999998</v>
      </c>
      <c r="D1973" s="4">
        <f t="shared" si="30"/>
        <v>2.4563395948731928</v>
      </c>
    </row>
    <row r="1974" spans="1:4" ht="17" hidden="1" customHeight="1" outlineLevel="1" thickBot="1">
      <c r="A1974" s="2">
        <f>+Get_Data!A1973</f>
        <v>42305</v>
      </c>
      <c r="B1974">
        <f>+ROUND(Get_Data!B1973,5)</f>
        <v>88.68629</v>
      </c>
      <c r="C1974">
        <f>+ROUND(Get_Data!C1973,5)</f>
        <v>36.277209999999997</v>
      </c>
      <c r="D1974" s="4">
        <f t="shared" si="30"/>
        <v>2.4446833149517291</v>
      </c>
    </row>
    <row r="1975" spans="1:4" ht="17" hidden="1" customHeight="1" outlineLevel="1" thickBot="1">
      <c r="A1975" s="2">
        <f>+Get_Data!A1974</f>
        <v>42306</v>
      </c>
      <c r="B1975">
        <f>+ROUND(Get_Data!B1974,5)</f>
        <v>88.738069999999993</v>
      </c>
      <c r="C1975">
        <f>+ROUND(Get_Data!C1974,5)</f>
        <v>36.328150000000001</v>
      </c>
      <c r="D1975" s="4">
        <f t="shared" si="30"/>
        <v>2.442680676004696</v>
      </c>
    </row>
    <row r="1976" spans="1:4" ht="17" hidden="1" customHeight="1" outlineLevel="1" thickBot="1">
      <c r="A1976" s="2">
        <f>+Get_Data!A1975</f>
        <v>42307</v>
      </c>
      <c r="B1976">
        <f>+ROUND(Get_Data!B1975,5)</f>
        <v>88.211510000000004</v>
      </c>
      <c r="C1976">
        <f>+ROUND(Get_Data!C1975,5)</f>
        <v>35.954599999999999</v>
      </c>
      <c r="D1976" s="4">
        <f t="shared" si="30"/>
        <v>2.4534137495619479</v>
      </c>
    </row>
    <row r="1977" spans="1:4" ht="17" hidden="1" customHeight="1" outlineLevel="1" thickBot="1">
      <c r="A1977" s="2">
        <f>+Get_Data!A1976</f>
        <v>42310</v>
      </c>
      <c r="B1977">
        <f>+ROUND(Get_Data!B1976,5)</f>
        <v>87.529579999999996</v>
      </c>
      <c r="C1977">
        <f>+ROUND(Get_Data!C1976,5)</f>
        <v>35.86121</v>
      </c>
      <c r="D1977" s="4">
        <f t="shared" si="30"/>
        <v>2.4407871346226186</v>
      </c>
    </row>
    <row r="1978" spans="1:4" ht="17" hidden="1" customHeight="1" outlineLevel="1" thickBot="1">
      <c r="A1978" s="2">
        <f>+Get_Data!A1977</f>
        <v>42311</v>
      </c>
      <c r="B1978">
        <f>+ROUND(Get_Data!B1977,5)</f>
        <v>87.115229999999997</v>
      </c>
      <c r="C1978">
        <f>+ROUND(Get_Data!C1977,5)</f>
        <v>35.793289999999999</v>
      </c>
      <c r="D1978" s="4">
        <f t="shared" si="30"/>
        <v>2.433842488354661</v>
      </c>
    </row>
    <row r="1979" spans="1:4" ht="17" hidden="1" customHeight="1" outlineLevel="1" thickBot="1">
      <c r="A1979" s="2">
        <f>+Get_Data!A1978</f>
        <v>42312</v>
      </c>
      <c r="B1979">
        <f>+ROUND(Get_Data!B1978,5)</f>
        <v>86.856269999999995</v>
      </c>
      <c r="C1979">
        <f>+ROUND(Get_Data!C1978,5)</f>
        <v>35.631990000000002</v>
      </c>
      <c r="D1979" s="4">
        <f t="shared" si="30"/>
        <v>2.4375924555434594</v>
      </c>
    </row>
    <row r="1980" spans="1:4" ht="17" hidden="1" customHeight="1" outlineLevel="1" thickBot="1">
      <c r="A1980" s="2">
        <f>+Get_Data!A1979</f>
        <v>42313</v>
      </c>
      <c r="B1980">
        <f>+ROUND(Get_Data!B1979,5)</f>
        <v>86.847629999999995</v>
      </c>
      <c r="C1980">
        <f>+ROUND(Get_Data!C1979,5)</f>
        <v>35.937620000000003</v>
      </c>
      <c r="D1980" s="4">
        <f t="shared" si="30"/>
        <v>2.4166216349329752</v>
      </c>
    </row>
    <row r="1981" spans="1:4" ht="17" hidden="1" customHeight="1" outlineLevel="1" thickBot="1">
      <c r="A1981" s="2">
        <f>+Get_Data!A1980</f>
        <v>42314</v>
      </c>
      <c r="B1981">
        <f>+ROUND(Get_Data!B1980,5)</f>
        <v>86.079390000000004</v>
      </c>
      <c r="C1981">
        <f>+ROUND(Get_Data!C1980,5)</f>
        <v>35.623489999999997</v>
      </c>
      <c r="D1981" s="4">
        <f t="shared" si="30"/>
        <v>2.4163659989518154</v>
      </c>
    </row>
    <row r="1982" spans="1:4" ht="17" hidden="1" customHeight="1" outlineLevel="1" thickBot="1">
      <c r="A1982" s="2">
        <f>+Get_Data!A1981</f>
        <v>42317</v>
      </c>
      <c r="B1982">
        <f>+ROUND(Get_Data!B1981,5)</f>
        <v>85.354280000000003</v>
      </c>
      <c r="C1982">
        <f>+ROUND(Get_Data!C1981,5)</f>
        <v>35.266930000000002</v>
      </c>
      <c r="D1982" s="4">
        <f t="shared" si="30"/>
        <v>2.4202356144977744</v>
      </c>
    </row>
    <row r="1983" spans="1:4" ht="17" hidden="1" customHeight="1" outlineLevel="1" thickBot="1">
      <c r="A1983" s="2">
        <f>+Get_Data!A1982</f>
        <v>42318</v>
      </c>
      <c r="B1983">
        <f>+ROUND(Get_Data!B1982,5)</f>
        <v>85.311120000000003</v>
      </c>
      <c r="C1983">
        <f>+ROUND(Get_Data!C1982,5)</f>
        <v>35.46219</v>
      </c>
      <c r="D1983" s="4">
        <f t="shared" si="30"/>
        <v>2.4056923726368846</v>
      </c>
    </row>
    <row r="1984" spans="1:4" ht="17" hidden="1" customHeight="1" outlineLevel="1" thickBot="1">
      <c r="A1984" s="2">
        <f>+Get_Data!A1983</f>
        <v>42319</v>
      </c>
      <c r="B1984">
        <f>+ROUND(Get_Data!B1983,5)</f>
        <v>85.829040000000006</v>
      </c>
      <c r="C1984">
        <f>+ROUND(Get_Data!C1983,5)</f>
        <v>35.691420000000001</v>
      </c>
      <c r="D1984" s="4">
        <f t="shared" si="30"/>
        <v>2.4047527388935492</v>
      </c>
    </row>
    <row r="1985" spans="1:4" ht="17" hidden="1" customHeight="1" outlineLevel="1" thickBot="1">
      <c r="A1985" s="2">
        <f>+Get_Data!A1984</f>
        <v>42320</v>
      </c>
      <c r="B1985">
        <f>+ROUND(Get_Data!B1984,5)</f>
        <v>84.914050000000003</v>
      </c>
      <c r="C1985">
        <f>+ROUND(Get_Data!C1984,5)</f>
        <v>35.300890000000003</v>
      </c>
      <c r="D1985" s="4">
        <f t="shared" si="30"/>
        <v>2.4054365201557242</v>
      </c>
    </row>
    <row r="1986" spans="1:4" ht="17" hidden="1" customHeight="1" outlineLevel="1" thickBot="1">
      <c r="A1986" s="2">
        <f>+Get_Data!A1985</f>
        <v>42321</v>
      </c>
      <c r="B1986">
        <f>+ROUND(Get_Data!B1985,5)</f>
        <v>84.629199999999997</v>
      </c>
      <c r="C1986">
        <f>+ROUND(Get_Data!C1985,5)</f>
        <v>35.131079999999997</v>
      </c>
      <c r="D1986" s="4">
        <f t="shared" si="30"/>
        <v>2.4089552612672311</v>
      </c>
    </row>
    <row r="1987" spans="1:4" ht="17" hidden="1" customHeight="1" outlineLevel="1" thickBot="1">
      <c r="A1987" s="2">
        <f>+Get_Data!A1986</f>
        <v>42324</v>
      </c>
      <c r="B1987">
        <f>+ROUND(Get_Data!B1986,5)</f>
        <v>85.94126</v>
      </c>
      <c r="C1987">
        <f>+ROUND(Get_Data!C1986,5)</f>
        <v>35.623489999999997</v>
      </c>
      <c r="D1987" s="4">
        <f t="shared" si="30"/>
        <v>2.4124885012670014</v>
      </c>
    </row>
    <row r="1988" spans="1:4" ht="17" hidden="1" customHeight="1" outlineLevel="1" thickBot="1">
      <c r="A1988" s="2">
        <f>+Get_Data!A1987</f>
        <v>42325</v>
      </c>
      <c r="B1988">
        <f>+ROUND(Get_Data!B1987,5)</f>
        <v>85.311120000000003</v>
      </c>
      <c r="C1988">
        <f>+ROUND(Get_Data!C1987,5)</f>
        <v>35.377290000000002</v>
      </c>
      <c r="D1988" s="4">
        <f t="shared" ref="D1988:D2051" si="31">IFERROR(B1988/C1988,"")</f>
        <v>2.4114656605975187</v>
      </c>
    </row>
    <row r="1989" spans="1:4" ht="17" hidden="1" customHeight="1" outlineLevel="1" thickBot="1">
      <c r="A1989" s="2">
        <f>+Get_Data!A1988</f>
        <v>42326</v>
      </c>
      <c r="B1989">
        <f>+ROUND(Get_Data!B1988,5)</f>
        <v>86.554140000000004</v>
      </c>
      <c r="C1989">
        <f>+ROUND(Get_Data!C1988,5)</f>
        <v>35.89517</v>
      </c>
      <c r="D1989" s="4">
        <f t="shared" si="31"/>
        <v>2.4113032477628606</v>
      </c>
    </row>
    <row r="1990" spans="1:4" ht="17" hidden="1" customHeight="1" outlineLevel="1" thickBot="1">
      <c r="A1990" s="2">
        <f>+Get_Data!A1989</f>
        <v>42327</v>
      </c>
      <c r="B1990">
        <f>+ROUND(Get_Data!B1989,5)</f>
        <v>87.123859999999993</v>
      </c>
      <c r="C1990">
        <f>+ROUND(Get_Data!C1989,5)</f>
        <v>36.599829999999997</v>
      </c>
      <c r="D1990" s="4">
        <f t="shared" si="31"/>
        <v>2.3804443900422489</v>
      </c>
    </row>
    <row r="1991" spans="1:4" ht="17" hidden="1" customHeight="1" outlineLevel="1" thickBot="1">
      <c r="A1991" s="2">
        <f>+Get_Data!A1990</f>
        <v>42328</v>
      </c>
      <c r="B1991">
        <f>+ROUND(Get_Data!B1990,5)</f>
        <v>86.407380000000003</v>
      </c>
      <c r="C1991">
        <f>+ROUND(Get_Data!C1990,5)</f>
        <v>36.02252</v>
      </c>
      <c r="D1991" s="4">
        <f t="shared" si="31"/>
        <v>2.3987044770882218</v>
      </c>
    </row>
    <row r="1992" spans="1:4" ht="17" hidden="1" customHeight="1" outlineLevel="1" thickBot="1">
      <c r="A1992" s="2">
        <f>+Get_Data!A1991</f>
        <v>42331</v>
      </c>
      <c r="B1992">
        <f>+ROUND(Get_Data!B1991,5)</f>
        <v>87.054789999999997</v>
      </c>
      <c r="C1992">
        <f>+ROUND(Get_Data!C1991,5)</f>
        <v>36.472479999999997</v>
      </c>
      <c r="D1992" s="4">
        <f t="shared" si="31"/>
        <v>2.3868623685584311</v>
      </c>
    </row>
    <row r="1993" spans="1:4" ht="17" hidden="1" customHeight="1" outlineLevel="1" thickBot="1">
      <c r="A1993" s="2">
        <f>+Get_Data!A1992</f>
        <v>42332</v>
      </c>
      <c r="B1993">
        <f>+ROUND(Get_Data!B1992,5)</f>
        <v>86.864909999999995</v>
      </c>
      <c r="C1993">
        <f>+ROUND(Get_Data!C1992,5)</f>
        <v>36.812080000000002</v>
      </c>
      <c r="D1993" s="4">
        <f t="shared" si="31"/>
        <v>2.3596849186462703</v>
      </c>
    </row>
    <row r="1994" spans="1:4" ht="17" hidden="1" customHeight="1" outlineLevel="1" thickBot="1">
      <c r="A1994" s="2">
        <f>+Get_Data!A1993</f>
        <v>42333</v>
      </c>
      <c r="B1994">
        <f>+ROUND(Get_Data!B1993,5)</f>
        <v>86.752679999999998</v>
      </c>
      <c r="C1994">
        <f>+ROUND(Get_Data!C1993,5)</f>
        <v>36.812080000000002</v>
      </c>
      <c r="D1994" s="4">
        <f t="shared" si="31"/>
        <v>2.3566361911633353</v>
      </c>
    </row>
    <row r="1995" spans="1:4" ht="17" hidden="1" customHeight="1" outlineLevel="1" thickBot="1">
      <c r="A1995" s="2">
        <f>+Get_Data!A1994</f>
        <v>42335</v>
      </c>
      <c r="B1995">
        <f>+ROUND(Get_Data!B1994,5)</f>
        <v>86.959860000000006</v>
      </c>
      <c r="C1995">
        <f>+ROUND(Get_Data!C1994,5)</f>
        <v>36.914749999999998</v>
      </c>
      <c r="D1995" s="4">
        <f t="shared" si="31"/>
        <v>2.3556941331039765</v>
      </c>
    </row>
    <row r="1996" spans="1:4" ht="17" hidden="1" customHeight="1" outlineLevel="1" thickBot="1">
      <c r="A1996" s="2">
        <f>+Get_Data!A1995</f>
        <v>42338</v>
      </c>
      <c r="B1996">
        <f>+ROUND(Get_Data!B1995,5)</f>
        <v>86.459190000000007</v>
      </c>
      <c r="C1996">
        <f>+ROUND(Get_Data!C1995,5)</f>
        <v>36.461329999999997</v>
      </c>
      <c r="D1996" s="4">
        <f t="shared" si="31"/>
        <v>2.3712571647825249</v>
      </c>
    </row>
    <row r="1997" spans="1:4" ht="17" hidden="1" customHeight="1" outlineLevel="1" thickBot="1">
      <c r="A1997" s="2">
        <f>+Get_Data!A1996</f>
        <v>42339</v>
      </c>
      <c r="B1997">
        <f>+ROUND(Get_Data!B1996,5)</f>
        <v>87.236050000000006</v>
      </c>
      <c r="C1997">
        <f>+ROUND(Get_Data!C1996,5)</f>
        <v>36.692309999999999</v>
      </c>
      <c r="D1997" s="4">
        <f t="shared" si="31"/>
        <v>2.3775022613730235</v>
      </c>
    </row>
    <row r="1998" spans="1:4" ht="17" hidden="1" customHeight="1" outlineLevel="1" thickBot="1">
      <c r="A1998" s="2">
        <f>+Get_Data!A1997</f>
        <v>42340</v>
      </c>
      <c r="B1998">
        <f>+ROUND(Get_Data!B1997,5)</f>
        <v>86.473749999999995</v>
      </c>
      <c r="C1998">
        <f>+ROUND(Get_Data!C1997,5)</f>
        <v>36.589649999999999</v>
      </c>
      <c r="D1998" s="4">
        <f t="shared" si="31"/>
        <v>2.3633390863263246</v>
      </c>
    </row>
    <row r="1999" spans="1:4" ht="17" hidden="1" customHeight="1" outlineLevel="1" thickBot="1">
      <c r="A1999" s="2">
        <f>+Get_Data!A1998</f>
        <v>42341</v>
      </c>
      <c r="B1999">
        <f>+ROUND(Get_Data!B1998,5)</f>
        <v>86.134709999999998</v>
      </c>
      <c r="C1999">
        <f>+ROUND(Get_Data!C1998,5)</f>
        <v>36.324440000000003</v>
      </c>
      <c r="D1999" s="4">
        <f t="shared" si="31"/>
        <v>2.371260506700172</v>
      </c>
    </row>
    <row r="2000" spans="1:4" ht="17" hidden="1" customHeight="1" outlineLevel="1" thickBot="1">
      <c r="A2000" s="2">
        <f>+Get_Data!A1999</f>
        <v>42342</v>
      </c>
      <c r="B2000">
        <f>+ROUND(Get_Data!B1999,5)</f>
        <v>87.847149999999999</v>
      </c>
      <c r="C2000">
        <f>+ROUND(Get_Data!C1999,5)</f>
        <v>37.034509999999997</v>
      </c>
      <c r="D2000" s="4">
        <f t="shared" si="31"/>
        <v>2.3720348939408136</v>
      </c>
    </row>
    <row r="2001" spans="1:4" ht="17" hidden="1" customHeight="1" outlineLevel="1" thickBot="1">
      <c r="A2001" s="2">
        <f>+Get_Data!A2000</f>
        <v>42345</v>
      </c>
      <c r="B2001">
        <f>+ROUND(Get_Data!B2000,5)</f>
        <v>87.508160000000004</v>
      </c>
      <c r="C2001">
        <f>+ROUND(Get_Data!C2000,5)</f>
        <v>36.957509999999999</v>
      </c>
      <c r="D2001" s="4">
        <f t="shared" si="31"/>
        <v>2.3678045409444524</v>
      </c>
    </row>
    <row r="2002" spans="1:4" ht="17" hidden="1" customHeight="1" outlineLevel="1" thickBot="1">
      <c r="A2002" s="2">
        <f>+Get_Data!A2001</f>
        <v>42346</v>
      </c>
      <c r="B2002">
        <f>+ROUND(Get_Data!B2001,5)</f>
        <v>87.073530000000005</v>
      </c>
      <c r="C2002">
        <f>+ROUND(Get_Data!C2001,5)</f>
        <v>36.794960000000003</v>
      </c>
      <c r="D2002" s="4">
        <f t="shared" si="31"/>
        <v>2.3664526337302716</v>
      </c>
    </row>
    <row r="2003" spans="1:4" ht="17" hidden="1" customHeight="1" outlineLevel="1" thickBot="1">
      <c r="A2003" s="2">
        <f>+Get_Data!A2002</f>
        <v>42347</v>
      </c>
      <c r="B2003">
        <f>+ROUND(Get_Data!B2002,5)</f>
        <v>86.169499999999999</v>
      </c>
      <c r="C2003">
        <f>+ROUND(Get_Data!C2002,5)</f>
        <v>36.495550000000001</v>
      </c>
      <c r="D2003" s="4">
        <f t="shared" si="31"/>
        <v>2.3610960788370088</v>
      </c>
    </row>
    <row r="2004" spans="1:4" ht="17" hidden="1" customHeight="1" outlineLevel="1" thickBot="1">
      <c r="A2004" s="2">
        <f>+Get_Data!A2003</f>
        <v>42348</v>
      </c>
      <c r="B2004">
        <f>+ROUND(Get_Data!B2003,5)</f>
        <v>85.969579999999993</v>
      </c>
      <c r="C2004">
        <f>+ROUND(Get_Data!C2003,5)</f>
        <v>36.581090000000003</v>
      </c>
      <c r="D2004" s="4">
        <f t="shared" si="31"/>
        <v>2.35010985183875</v>
      </c>
    </row>
    <row r="2005" spans="1:4" ht="17" hidden="1" customHeight="1" outlineLevel="1" thickBot="1">
      <c r="A2005" s="2">
        <f>+Get_Data!A2004</f>
        <v>42349</v>
      </c>
      <c r="B2005">
        <f>+ROUND(Get_Data!B2004,5)</f>
        <v>84.996009999999998</v>
      </c>
      <c r="C2005">
        <f>+ROUND(Get_Data!C2004,5)</f>
        <v>36.161900000000003</v>
      </c>
      <c r="D2005" s="4">
        <f t="shared" si="31"/>
        <v>2.3504298723241863</v>
      </c>
    </row>
    <row r="2006" spans="1:4" ht="17" hidden="1" customHeight="1" outlineLevel="1" thickBot="1">
      <c r="A2006" s="2">
        <f>+Get_Data!A2005</f>
        <v>42352</v>
      </c>
      <c r="B2006">
        <f>+ROUND(Get_Data!B2005,5)</f>
        <v>85.143780000000007</v>
      </c>
      <c r="C2006">
        <f>+ROUND(Get_Data!C2005,5)</f>
        <v>36.315890000000003</v>
      </c>
      <c r="D2006" s="4">
        <f t="shared" si="31"/>
        <v>2.3445323796277608</v>
      </c>
    </row>
    <row r="2007" spans="1:4" ht="17" hidden="1" customHeight="1" outlineLevel="1" thickBot="1">
      <c r="A2007" s="2">
        <f>+Get_Data!A2006</f>
        <v>42353</v>
      </c>
      <c r="B2007">
        <f>+ROUND(Get_Data!B2006,5)</f>
        <v>86.395510000000002</v>
      </c>
      <c r="C2007">
        <f>+ROUND(Get_Data!C2006,5)</f>
        <v>36.846299999999999</v>
      </c>
      <c r="D2007" s="4">
        <f t="shared" si="31"/>
        <v>2.3447540187210114</v>
      </c>
    </row>
    <row r="2008" spans="1:4" ht="17" hidden="1" customHeight="1" outlineLevel="1" thickBot="1">
      <c r="A2008" s="2">
        <f>+Get_Data!A2007</f>
        <v>42354</v>
      </c>
      <c r="B2008">
        <f>+ROUND(Get_Data!B2007,5)</f>
        <v>87.864549999999994</v>
      </c>
      <c r="C2008">
        <f>+ROUND(Get_Data!C2007,5)</f>
        <v>37.505029999999998</v>
      </c>
      <c r="D2008" s="4">
        <f t="shared" si="31"/>
        <v>2.3427404270840473</v>
      </c>
    </row>
    <row r="2009" spans="1:4" ht="17" hidden="1" customHeight="1" outlineLevel="1" thickBot="1">
      <c r="A2009" s="2">
        <f>+Get_Data!A2008</f>
        <v>42355</v>
      </c>
      <c r="B2009">
        <f>+ROUND(Get_Data!B2008,5)</f>
        <v>87.099590000000006</v>
      </c>
      <c r="C2009">
        <f>+ROUND(Get_Data!C2008,5)</f>
        <v>37.205620000000003</v>
      </c>
      <c r="D2009" s="4">
        <f t="shared" si="31"/>
        <v>2.3410331557436752</v>
      </c>
    </row>
    <row r="2010" spans="1:4" ht="17" hidden="1" customHeight="1" outlineLevel="1" thickBot="1">
      <c r="A2010" s="2">
        <f>+Get_Data!A2009</f>
        <v>42356</v>
      </c>
      <c r="B2010">
        <f>+ROUND(Get_Data!B2009,5)</f>
        <v>85.100309999999993</v>
      </c>
      <c r="C2010">
        <f>+ROUND(Get_Data!C2009,5)</f>
        <v>36.358669999999996</v>
      </c>
      <c r="D2010" s="4">
        <f t="shared" si="31"/>
        <v>2.3405781894662265</v>
      </c>
    </row>
    <row r="2011" spans="1:4" ht="17" hidden="1" customHeight="1" outlineLevel="1" thickBot="1">
      <c r="A2011" s="2">
        <f>+Get_Data!A2010</f>
        <v>42359</v>
      </c>
      <c r="B2011">
        <f>+ROUND(Get_Data!B2010,5)</f>
        <v>85.726200000000006</v>
      </c>
      <c r="C2011">
        <f>+ROUND(Get_Data!C2010,5)</f>
        <v>36.598199999999999</v>
      </c>
      <c r="D2011" s="4">
        <f t="shared" si="31"/>
        <v>2.3423610997262161</v>
      </c>
    </row>
    <row r="2012" spans="1:4" ht="17" hidden="1" customHeight="1" outlineLevel="1" thickBot="1">
      <c r="A2012" s="2">
        <f>+Get_Data!A2011</f>
        <v>42360</v>
      </c>
      <c r="B2012">
        <f>+ROUND(Get_Data!B2011,5)</f>
        <v>86.751909999999995</v>
      </c>
      <c r="C2012">
        <f>+ROUND(Get_Data!C2011,5)</f>
        <v>37.034509999999997</v>
      </c>
      <c r="D2012" s="4">
        <f t="shared" si="31"/>
        <v>2.3424613961410587</v>
      </c>
    </row>
    <row r="2013" spans="1:4" ht="17" hidden="1" customHeight="1" outlineLevel="1" thickBot="1">
      <c r="A2013" s="2">
        <f>+Get_Data!A2012</f>
        <v>42361</v>
      </c>
      <c r="B2013">
        <f>+ROUND(Get_Data!B2012,5)</f>
        <v>87.482069999999993</v>
      </c>
      <c r="C2013">
        <f>+ROUND(Get_Data!C2012,5)</f>
        <v>37.359589999999997</v>
      </c>
      <c r="D2013" s="4">
        <f t="shared" si="31"/>
        <v>2.3416228604221834</v>
      </c>
    </row>
    <row r="2014" spans="1:4" ht="17" hidden="1" customHeight="1" outlineLevel="1" thickBot="1">
      <c r="A2014" s="2">
        <f>+Get_Data!A2013</f>
        <v>42362</v>
      </c>
      <c r="B2014">
        <f>+ROUND(Get_Data!B2013,5)</f>
        <v>87.395150000000001</v>
      </c>
      <c r="C2014">
        <f>+ROUND(Get_Data!C2013,5)</f>
        <v>37.248379999999997</v>
      </c>
      <c r="D2014" s="4">
        <f t="shared" si="31"/>
        <v>2.3462805630741528</v>
      </c>
    </row>
    <row r="2015" spans="1:4" ht="17" hidden="1" customHeight="1" outlineLevel="1" thickBot="1">
      <c r="A2015" s="2">
        <f>+Get_Data!A2014</f>
        <v>42366</v>
      </c>
      <c r="B2015">
        <f>+ROUND(Get_Data!B2014,5)</f>
        <v>87.516850000000005</v>
      </c>
      <c r="C2015">
        <f>+ROUND(Get_Data!C2014,5)</f>
        <v>37.205620000000003</v>
      </c>
      <c r="D2015" s="4">
        <f t="shared" si="31"/>
        <v>2.3522481281053778</v>
      </c>
    </row>
    <row r="2016" spans="1:4" ht="17" hidden="1" customHeight="1" outlineLevel="1" thickBot="1">
      <c r="A2016" s="2">
        <f>+Get_Data!A2015</f>
        <v>42367</v>
      </c>
      <c r="B2016">
        <f>+ROUND(Get_Data!B2015,5)</f>
        <v>88.186179999999993</v>
      </c>
      <c r="C2016">
        <f>+ROUND(Get_Data!C2015,5)</f>
        <v>37.393819999999998</v>
      </c>
      <c r="D2016" s="4">
        <f t="shared" si="31"/>
        <v>2.3583089398194677</v>
      </c>
    </row>
    <row r="2017" spans="1:4" ht="17" hidden="1" customHeight="1" outlineLevel="1" thickBot="1">
      <c r="A2017" s="2">
        <f>+Get_Data!A2016</f>
        <v>42368</v>
      </c>
      <c r="B2017">
        <f>+ROUND(Get_Data!B2016,5)</f>
        <v>87.925409999999999</v>
      </c>
      <c r="C2017">
        <f>+ROUND(Get_Data!C2016,5)</f>
        <v>37.274050000000003</v>
      </c>
      <c r="D2017" s="4">
        <f t="shared" si="31"/>
        <v>2.3588907027811574</v>
      </c>
    </row>
    <row r="2018" spans="1:4" ht="17" hidden="1" customHeight="1" outlineLevel="1" thickBot="1">
      <c r="A2018" s="2">
        <f>+Get_Data!A2017</f>
        <v>42369</v>
      </c>
      <c r="B2018">
        <f>+ROUND(Get_Data!B2017,5)</f>
        <v>86.856219999999993</v>
      </c>
      <c r="C2018">
        <f>+ROUND(Get_Data!C2017,5)</f>
        <v>36.752189999999999</v>
      </c>
      <c r="D2018" s="4">
        <f t="shared" si="31"/>
        <v>2.3632937248093242</v>
      </c>
    </row>
    <row r="2019" spans="1:4" ht="17" hidden="1" customHeight="1" outlineLevel="1" thickBot="1">
      <c r="A2019" s="2">
        <f>+Get_Data!A2018</f>
        <v>42373</v>
      </c>
      <c r="B2019">
        <f>+ROUND(Get_Data!B2018,5)</f>
        <v>85.856579999999994</v>
      </c>
      <c r="C2019">
        <f>+ROUND(Get_Data!C2018,5)</f>
        <v>36.273119999999999</v>
      </c>
      <c r="D2019" s="4">
        <f t="shared" si="31"/>
        <v>2.3669477563551191</v>
      </c>
    </row>
    <row r="2020" spans="1:4" ht="17" hidden="1" customHeight="1" outlineLevel="1" thickBot="1">
      <c r="A2020" s="2">
        <f>+Get_Data!A2019</f>
        <v>42374</v>
      </c>
      <c r="B2020">
        <f>+ROUND(Get_Data!B2019,5)</f>
        <v>86.447649999999996</v>
      </c>
      <c r="C2020">
        <f>+ROUND(Get_Data!C2019,5)</f>
        <v>36.401440000000001</v>
      </c>
      <c r="D2020" s="4">
        <f t="shared" si="31"/>
        <v>2.374841489787217</v>
      </c>
    </row>
    <row r="2021" spans="1:4" ht="17" hidden="1" customHeight="1" outlineLevel="1" thickBot="1">
      <c r="A2021" s="2">
        <f>+Get_Data!A2020</f>
        <v>42375</v>
      </c>
      <c r="B2021">
        <f>+ROUND(Get_Data!B2020,5)</f>
        <v>86.473749999999995</v>
      </c>
      <c r="C2021">
        <f>+ROUND(Get_Data!C2020,5)</f>
        <v>36.20467</v>
      </c>
      <c r="D2021" s="4">
        <f t="shared" si="31"/>
        <v>2.3884694985481154</v>
      </c>
    </row>
    <row r="2022" spans="1:4" ht="17" hidden="1" customHeight="1" outlineLevel="1" thickBot="1">
      <c r="A2022" s="2">
        <f>+Get_Data!A2021</f>
        <v>42376</v>
      </c>
      <c r="B2022">
        <f>+ROUND(Get_Data!B2021,5)</f>
        <v>84.813460000000006</v>
      </c>
      <c r="C2022">
        <f>+ROUND(Get_Data!C2021,5)</f>
        <v>35.605829999999997</v>
      </c>
      <c r="D2022" s="4">
        <f t="shared" si="31"/>
        <v>2.3820104741274113</v>
      </c>
    </row>
    <row r="2023" spans="1:4" ht="17" hidden="1" customHeight="1" outlineLevel="1" thickBot="1">
      <c r="A2023" s="2">
        <f>+Get_Data!A2022</f>
        <v>42377</v>
      </c>
      <c r="B2023">
        <f>+ROUND(Get_Data!B2022,5)</f>
        <v>84.500519999999995</v>
      </c>
      <c r="C2023">
        <f>+ROUND(Get_Data!C2022,5)</f>
        <v>35.511719999999997</v>
      </c>
      <c r="D2023" s="4">
        <f t="shared" si="31"/>
        <v>2.379510764333578</v>
      </c>
    </row>
    <row r="2024" spans="1:4" ht="17" hidden="1" customHeight="1" outlineLevel="1" thickBot="1">
      <c r="A2024" s="2">
        <f>+Get_Data!A2023</f>
        <v>42380</v>
      </c>
      <c r="B2024">
        <f>+ROUND(Get_Data!B2023,5)</f>
        <v>84.700469999999996</v>
      </c>
      <c r="C2024">
        <f>+ROUND(Get_Data!C2023,5)</f>
        <v>35.57161</v>
      </c>
      <c r="D2024" s="4">
        <f t="shared" si="31"/>
        <v>2.3811255661467108</v>
      </c>
    </row>
    <row r="2025" spans="1:4" ht="17" hidden="1" customHeight="1" outlineLevel="1" thickBot="1">
      <c r="A2025" s="2">
        <f>+Get_Data!A2024</f>
        <v>42381</v>
      </c>
      <c r="B2025">
        <f>+ROUND(Get_Data!B2024,5)</f>
        <v>84.856920000000002</v>
      </c>
      <c r="C2025">
        <f>+ROUND(Get_Data!C2024,5)</f>
        <v>36.033569999999997</v>
      </c>
      <c r="D2025" s="4">
        <f t="shared" si="31"/>
        <v>2.3549406844783909</v>
      </c>
    </row>
    <row r="2026" spans="1:4" ht="17" hidden="1" customHeight="1" outlineLevel="1" thickBot="1">
      <c r="A2026" s="2">
        <f>+Get_Data!A2025</f>
        <v>42382</v>
      </c>
      <c r="B2026">
        <f>+ROUND(Get_Data!B2025,5)</f>
        <v>83.883349999999993</v>
      </c>
      <c r="C2026">
        <f>+ROUND(Get_Data!C2025,5)</f>
        <v>35.802590000000002</v>
      </c>
      <c r="D2026" s="4">
        <f t="shared" si="31"/>
        <v>2.3429408319342255</v>
      </c>
    </row>
    <row r="2027" spans="1:4" ht="17" hidden="1" customHeight="1" outlineLevel="1" thickBot="1">
      <c r="A2027" s="2">
        <f>+Get_Data!A2026</f>
        <v>42383</v>
      </c>
      <c r="B2027">
        <f>+ROUND(Get_Data!B2026,5)</f>
        <v>83.283569999999997</v>
      </c>
      <c r="C2027">
        <f>+ROUND(Get_Data!C2026,5)</f>
        <v>35.82826</v>
      </c>
      <c r="D2027" s="4">
        <f t="shared" si="31"/>
        <v>2.324521760197118</v>
      </c>
    </row>
    <row r="2028" spans="1:4" ht="17" hidden="1" customHeight="1" outlineLevel="1" thickBot="1">
      <c r="A2028" s="2">
        <f>+Get_Data!A2027</f>
        <v>42384</v>
      </c>
      <c r="B2028">
        <f>+ROUND(Get_Data!B2027,5)</f>
        <v>81.649370000000005</v>
      </c>
      <c r="C2028">
        <f>+ROUND(Get_Data!C2027,5)</f>
        <v>35.503169999999997</v>
      </c>
      <c r="D2028" s="4">
        <f t="shared" si="31"/>
        <v>2.2997768931619347</v>
      </c>
    </row>
    <row r="2029" spans="1:4" ht="17" hidden="1" customHeight="1" outlineLevel="1" thickBot="1">
      <c r="A2029" s="2">
        <f>+Get_Data!A2028</f>
        <v>42388</v>
      </c>
      <c r="B2029">
        <f>+ROUND(Get_Data!B2028,5)</f>
        <v>83.248800000000003</v>
      </c>
      <c r="C2029">
        <f>+ROUND(Get_Data!C2028,5)</f>
        <v>35.862479999999998</v>
      </c>
      <c r="D2029" s="4">
        <f t="shared" si="31"/>
        <v>2.321334163169976</v>
      </c>
    </row>
    <row r="2030" spans="1:4" ht="17" hidden="1" customHeight="1" outlineLevel="1" thickBot="1">
      <c r="A2030" s="2">
        <f>+Get_Data!A2029</f>
        <v>42389</v>
      </c>
      <c r="B2030">
        <f>+ROUND(Get_Data!B2029,5)</f>
        <v>81.510279999999995</v>
      </c>
      <c r="C2030">
        <f>+ROUND(Get_Data!C2029,5)</f>
        <v>35.400509999999997</v>
      </c>
      <c r="D2030" s="4">
        <f t="shared" si="31"/>
        <v>2.3025171106291973</v>
      </c>
    </row>
    <row r="2031" spans="1:4" ht="17" hidden="1" customHeight="1" outlineLevel="1" thickBot="1">
      <c r="A2031" s="2">
        <f>+Get_Data!A2030</f>
        <v>42390</v>
      </c>
      <c r="B2031">
        <f>+ROUND(Get_Data!B2030,5)</f>
        <v>82.118759999999995</v>
      </c>
      <c r="C2031">
        <f>+ROUND(Get_Data!C2030,5)</f>
        <v>35.409059999999997</v>
      </c>
      <c r="D2031" s="4">
        <f t="shared" si="31"/>
        <v>2.3191454390486501</v>
      </c>
    </row>
    <row r="2032" spans="1:4" ht="17" hidden="1" customHeight="1" outlineLevel="1" thickBot="1">
      <c r="A2032" s="2">
        <f>+Get_Data!A2031</f>
        <v>42391</v>
      </c>
      <c r="B2032">
        <f>+ROUND(Get_Data!B2031,5)</f>
        <v>83.318330000000003</v>
      </c>
      <c r="C2032">
        <f>+ROUND(Get_Data!C2031,5)</f>
        <v>35.982250000000001</v>
      </c>
      <c r="D2032" s="4">
        <f t="shared" si="31"/>
        <v>2.3155397452910811</v>
      </c>
    </row>
    <row r="2033" spans="1:4" ht="17" hidden="1" customHeight="1" outlineLevel="1" thickBot="1">
      <c r="A2033" s="2">
        <f>+Get_Data!A2032</f>
        <v>42394</v>
      </c>
      <c r="B2033">
        <f>+ROUND(Get_Data!B2032,5)</f>
        <v>83.396569999999997</v>
      </c>
      <c r="C2033">
        <f>+ROUND(Get_Data!C2032,5)</f>
        <v>36.067790000000002</v>
      </c>
      <c r="D2033" s="4">
        <f t="shared" si="31"/>
        <v>2.3122173551526166</v>
      </c>
    </row>
    <row r="2034" spans="1:4" ht="17" hidden="1" customHeight="1" outlineLevel="1" thickBot="1">
      <c r="A2034" s="2">
        <f>+Get_Data!A2033</f>
        <v>42395</v>
      </c>
      <c r="B2034">
        <f>+ROUND(Get_Data!B2033,5)</f>
        <v>83.726889999999997</v>
      </c>
      <c r="C2034">
        <f>+ROUND(Get_Data!C2033,5)</f>
        <v>35.999360000000003</v>
      </c>
      <c r="D2034" s="4">
        <f t="shared" si="31"/>
        <v>2.325788291791854</v>
      </c>
    </row>
    <row r="2035" spans="1:4" ht="17" hidden="1" customHeight="1" outlineLevel="1" thickBot="1">
      <c r="A2035" s="2">
        <f>+Get_Data!A2034</f>
        <v>42396</v>
      </c>
      <c r="B2035">
        <f>+ROUND(Get_Data!B2034,5)</f>
        <v>83.396569999999997</v>
      </c>
      <c r="C2035">
        <f>+ROUND(Get_Data!C2034,5)</f>
        <v>36.007910000000003</v>
      </c>
      <c r="D2035" s="4">
        <f t="shared" si="31"/>
        <v>2.3160624984899147</v>
      </c>
    </row>
    <row r="2036" spans="1:4" ht="17" hidden="1" customHeight="1" outlineLevel="1" thickBot="1">
      <c r="A2036" s="2">
        <f>+Get_Data!A2035</f>
        <v>42397</v>
      </c>
      <c r="B2036">
        <f>+ROUND(Get_Data!B2035,5)</f>
        <v>84.709140000000005</v>
      </c>
      <c r="C2036">
        <f>+ROUND(Get_Data!C2035,5)</f>
        <v>36.418550000000003</v>
      </c>
      <c r="D2036" s="4">
        <f t="shared" si="31"/>
        <v>2.3259888161390281</v>
      </c>
    </row>
    <row r="2037" spans="1:4" ht="17" hidden="1" customHeight="1" outlineLevel="1" thickBot="1">
      <c r="A2037" s="2">
        <f>+Get_Data!A2036</f>
        <v>42398</v>
      </c>
      <c r="B2037">
        <f>+ROUND(Get_Data!B2036,5)</f>
        <v>86.317279999999997</v>
      </c>
      <c r="C2037">
        <f>+ROUND(Get_Data!C2036,5)</f>
        <v>36.717970000000001</v>
      </c>
      <c r="D2037" s="4">
        <f t="shared" si="31"/>
        <v>2.3508184139809472</v>
      </c>
    </row>
    <row r="2038" spans="1:4" ht="17" hidden="1" customHeight="1" outlineLevel="1" thickBot="1">
      <c r="A2038" s="2">
        <f>+Get_Data!A2037</f>
        <v>42401</v>
      </c>
      <c r="B2038">
        <f>+ROUND(Get_Data!B2037,5)</f>
        <v>86.082579999999993</v>
      </c>
      <c r="C2038">
        <f>+ROUND(Get_Data!C2037,5)</f>
        <v>36.786409999999997</v>
      </c>
      <c r="D2038" s="4">
        <f t="shared" si="31"/>
        <v>2.3400647141158921</v>
      </c>
    </row>
    <row r="2039" spans="1:4" ht="17" hidden="1" customHeight="1" outlineLevel="1" thickBot="1">
      <c r="A2039" s="2">
        <f>+Get_Data!A2038</f>
        <v>42402</v>
      </c>
      <c r="B2039">
        <f>+ROUND(Get_Data!B2038,5)</f>
        <v>85.369789999999995</v>
      </c>
      <c r="C2039">
        <f>+ROUND(Get_Data!C2038,5)</f>
        <v>36.30733</v>
      </c>
      <c r="D2039" s="4">
        <f t="shared" si="31"/>
        <v>2.3513100522676824</v>
      </c>
    </row>
    <row r="2040" spans="1:4" ht="17" hidden="1" customHeight="1" outlineLevel="1" thickBot="1">
      <c r="A2040" s="2">
        <f>+Get_Data!A2039</f>
        <v>42403</v>
      </c>
      <c r="B2040">
        <f>+ROUND(Get_Data!B2039,5)</f>
        <v>85.813090000000003</v>
      </c>
      <c r="C2040">
        <f>+ROUND(Get_Data!C2039,5)</f>
        <v>36.546880000000002</v>
      </c>
      <c r="D2040" s="4">
        <f t="shared" si="31"/>
        <v>2.3480277933437819</v>
      </c>
    </row>
    <row r="2041" spans="1:4" ht="17" hidden="1" customHeight="1" outlineLevel="1" thickBot="1">
      <c r="A2041" s="2">
        <f>+Get_Data!A2040</f>
        <v>42404</v>
      </c>
      <c r="B2041">
        <f>+ROUND(Get_Data!B2040,5)</f>
        <v>84.65701</v>
      </c>
      <c r="C2041">
        <f>+ROUND(Get_Data!C2040,5)</f>
        <v>36.384329999999999</v>
      </c>
      <c r="D2041" s="4">
        <f t="shared" si="31"/>
        <v>2.3267436833384041</v>
      </c>
    </row>
    <row r="2042" spans="1:4" ht="17" hidden="1" customHeight="1" outlineLevel="1" thickBot="1">
      <c r="A2042" s="2">
        <f>+Get_Data!A2041</f>
        <v>42405</v>
      </c>
      <c r="B2042">
        <f>+ROUND(Get_Data!B2041,5)</f>
        <v>84.596140000000005</v>
      </c>
      <c r="C2042">
        <f>+ROUND(Get_Data!C2041,5)</f>
        <v>36.30733</v>
      </c>
      <c r="D2042" s="4">
        <f t="shared" si="31"/>
        <v>2.3300016828557761</v>
      </c>
    </row>
    <row r="2043" spans="1:4" ht="17" hidden="1" customHeight="1" outlineLevel="1" thickBot="1">
      <c r="A2043" s="2">
        <f>+Get_Data!A2042</f>
        <v>42408</v>
      </c>
      <c r="B2043">
        <f>+ROUND(Get_Data!B2042,5)</f>
        <v>84.77</v>
      </c>
      <c r="C2043">
        <f>+ROUND(Get_Data!C2042,5)</f>
        <v>36.486980000000003</v>
      </c>
      <c r="D2043" s="4">
        <f t="shared" si="31"/>
        <v>2.3232945012165982</v>
      </c>
    </row>
    <row r="2044" spans="1:4" ht="17" hidden="1" customHeight="1" outlineLevel="1" thickBot="1">
      <c r="A2044" s="2">
        <f>+Get_Data!A2043</f>
        <v>42409</v>
      </c>
      <c r="B2044">
        <f>+ROUND(Get_Data!B2043,5)</f>
        <v>85.430620000000005</v>
      </c>
      <c r="C2044">
        <f>+ROUND(Get_Data!C2043,5)</f>
        <v>37.04307</v>
      </c>
      <c r="D2044" s="4">
        <f t="shared" si="31"/>
        <v>2.3062510747624319</v>
      </c>
    </row>
    <row r="2045" spans="1:4" ht="17" hidden="1" customHeight="1" outlineLevel="1" thickBot="1">
      <c r="A2045" s="2">
        <f>+Get_Data!A2044</f>
        <v>42410</v>
      </c>
      <c r="B2045">
        <f>+ROUND(Get_Data!B2044,5)</f>
        <v>84.856920000000002</v>
      </c>
      <c r="C2045">
        <f>+ROUND(Get_Data!C2044,5)</f>
        <v>36.401440000000001</v>
      </c>
      <c r="D2045" s="4">
        <f t="shared" si="31"/>
        <v>2.3311418449380024</v>
      </c>
    </row>
    <row r="2046" spans="1:4" ht="17" hidden="1" customHeight="1" outlineLevel="1" thickBot="1">
      <c r="A2046" s="2">
        <f>+Get_Data!A2045</f>
        <v>42411</v>
      </c>
      <c r="B2046">
        <f>+ROUND(Get_Data!B2045,5)</f>
        <v>84.231059999999999</v>
      </c>
      <c r="C2046">
        <f>+ROUND(Get_Data!C2045,5)</f>
        <v>36.281669999999998</v>
      </c>
      <c r="D2046" s="4">
        <f t="shared" si="31"/>
        <v>2.3215871816264246</v>
      </c>
    </row>
    <row r="2047" spans="1:4" ht="17" hidden="1" customHeight="1" outlineLevel="1" thickBot="1">
      <c r="A2047" s="2">
        <f>+Get_Data!A2046</f>
        <v>42412</v>
      </c>
      <c r="B2047">
        <f>+ROUND(Get_Data!B2046,5)</f>
        <v>85.613190000000003</v>
      </c>
      <c r="C2047">
        <f>+ROUND(Get_Data!C2046,5)</f>
        <v>36.880519999999997</v>
      </c>
      <c r="D2047" s="4">
        <f t="shared" si="31"/>
        <v>2.321366130412478</v>
      </c>
    </row>
    <row r="2048" spans="1:4" ht="17" hidden="1" customHeight="1" outlineLevel="1" thickBot="1">
      <c r="A2048" s="2">
        <f>+Get_Data!A2047</f>
        <v>42416</v>
      </c>
      <c r="B2048">
        <f>+ROUND(Get_Data!B2047,5)</f>
        <v>85.708789999999993</v>
      </c>
      <c r="C2048">
        <f>+ROUND(Get_Data!C2047,5)</f>
        <v>37.094389999999997</v>
      </c>
      <c r="D2048" s="4">
        <f t="shared" si="31"/>
        <v>2.3105593595150102</v>
      </c>
    </row>
    <row r="2049" spans="1:4" ht="17" hidden="1" customHeight="1" outlineLevel="1" thickBot="1">
      <c r="A2049" s="2">
        <f>+Get_Data!A2048</f>
        <v>42417</v>
      </c>
      <c r="B2049">
        <f>+ROUND(Get_Data!B2048,5)</f>
        <v>86.534589999999994</v>
      </c>
      <c r="C2049">
        <f>+ROUND(Get_Data!C2048,5)</f>
        <v>37.205620000000003</v>
      </c>
      <c r="D2049" s="4">
        <f t="shared" si="31"/>
        <v>2.3258472779112398</v>
      </c>
    </row>
    <row r="2050" spans="1:4" ht="17" hidden="1" customHeight="1" outlineLevel="1" thickBot="1">
      <c r="A2050" s="2">
        <f>+Get_Data!A2049</f>
        <v>42418</v>
      </c>
      <c r="B2050">
        <f>+ROUND(Get_Data!B2049,5)</f>
        <v>86.595439999999996</v>
      </c>
      <c r="C2050">
        <f>+ROUND(Get_Data!C2049,5)</f>
        <v>37.30827</v>
      </c>
      <c r="D2050" s="4">
        <f t="shared" si="31"/>
        <v>2.321078945767252</v>
      </c>
    </row>
    <row r="2051" spans="1:4" ht="17" hidden="1" customHeight="1" outlineLevel="1" thickBot="1">
      <c r="A2051" s="2">
        <f>+Get_Data!A2050</f>
        <v>42419</v>
      </c>
      <c r="B2051">
        <f>+ROUND(Get_Data!B2050,5)</f>
        <v>86.560680000000005</v>
      </c>
      <c r="C2051">
        <f>+ROUND(Get_Data!C2050,5)</f>
        <v>37.445140000000002</v>
      </c>
      <c r="D2051" s="4">
        <f t="shared" si="31"/>
        <v>2.3116666141453872</v>
      </c>
    </row>
    <row r="2052" spans="1:4" ht="17" hidden="1" customHeight="1" outlineLevel="1" thickBot="1">
      <c r="A2052" s="2">
        <f>+Get_Data!A2051</f>
        <v>42422</v>
      </c>
      <c r="B2052">
        <f>+ROUND(Get_Data!B2051,5)</f>
        <v>86.812740000000005</v>
      </c>
      <c r="C2052">
        <f>+ROUND(Get_Data!C2051,5)</f>
        <v>37.590580000000003</v>
      </c>
      <c r="D2052" s="4">
        <f t="shared" ref="D2052:D2115" si="32">IFERROR(B2052/C2052,"")</f>
        <v>2.3094280535176632</v>
      </c>
    </row>
    <row r="2053" spans="1:4" ht="17" hidden="1" customHeight="1" outlineLevel="1" thickBot="1">
      <c r="A2053" s="2">
        <f>+Get_Data!A2052</f>
        <v>42423</v>
      </c>
      <c r="B2053">
        <f>+ROUND(Get_Data!B2052,5)</f>
        <v>86.525890000000004</v>
      </c>
      <c r="C2053">
        <f>+ROUND(Get_Data!C2052,5)</f>
        <v>37.3767</v>
      </c>
      <c r="D2053" s="4">
        <f t="shared" si="32"/>
        <v>2.3149686836986678</v>
      </c>
    </row>
    <row r="2054" spans="1:4" ht="17" hidden="1" customHeight="1" outlineLevel="1" thickBot="1">
      <c r="A2054" s="2">
        <f>+Get_Data!A2053</f>
        <v>42424</v>
      </c>
      <c r="B2054">
        <f>+ROUND(Get_Data!B2053,5)</f>
        <v>86.647599999999997</v>
      </c>
      <c r="C2054">
        <f>+ROUND(Get_Data!C2053,5)</f>
        <v>37.564909999999998</v>
      </c>
      <c r="D2054" s="4">
        <f t="shared" si="32"/>
        <v>2.3066100783949701</v>
      </c>
    </row>
    <row r="2055" spans="1:4" ht="17" hidden="1" customHeight="1" outlineLevel="1" thickBot="1">
      <c r="A2055" s="2">
        <f>+Get_Data!A2054</f>
        <v>42425</v>
      </c>
      <c r="B2055">
        <f>+ROUND(Get_Data!B2054,5)</f>
        <v>87.508160000000004</v>
      </c>
      <c r="C2055">
        <f>+ROUND(Get_Data!C2054,5)</f>
        <v>37.778790000000001</v>
      </c>
      <c r="D2055" s="4">
        <f t="shared" si="32"/>
        <v>2.3163304065588126</v>
      </c>
    </row>
    <row r="2056" spans="1:4" ht="17" hidden="1" customHeight="1" outlineLevel="1" thickBot="1">
      <c r="A2056" s="2">
        <f>+Get_Data!A2055</f>
        <v>42426</v>
      </c>
      <c r="B2056">
        <f>+ROUND(Get_Data!B2055,5)</f>
        <v>85.50018</v>
      </c>
      <c r="C2056">
        <f>+ROUND(Get_Data!C2055,5)</f>
        <v>36.906190000000002</v>
      </c>
      <c r="D2056" s="4">
        <f t="shared" si="32"/>
        <v>2.3166894225602803</v>
      </c>
    </row>
    <row r="2057" spans="1:4" ht="17" hidden="1" customHeight="1" outlineLevel="1" thickBot="1">
      <c r="A2057" s="2">
        <f>+Get_Data!A2056</f>
        <v>42429</v>
      </c>
      <c r="B2057">
        <f>+ROUND(Get_Data!B2056,5)</f>
        <v>85.030779999999993</v>
      </c>
      <c r="C2057">
        <f>+ROUND(Get_Data!C2056,5)</f>
        <v>36.897629999999999</v>
      </c>
      <c r="D2057" s="4">
        <f t="shared" si="32"/>
        <v>2.3045051945070725</v>
      </c>
    </row>
    <row r="2058" spans="1:4" ht="17" hidden="1" customHeight="1" outlineLevel="1" thickBot="1">
      <c r="A2058" s="2">
        <f>+Get_Data!A2057</f>
        <v>42430</v>
      </c>
      <c r="B2058">
        <f>+ROUND(Get_Data!B2057,5)</f>
        <v>86.134709999999998</v>
      </c>
      <c r="C2058">
        <f>+ROUND(Get_Data!C2057,5)</f>
        <v>37.3767</v>
      </c>
      <c r="D2058" s="4">
        <f t="shared" si="32"/>
        <v>2.3045028052235752</v>
      </c>
    </row>
    <row r="2059" spans="1:4" ht="17" hidden="1" customHeight="1" outlineLevel="1" thickBot="1">
      <c r="A2059" s="2">
        <f>+Get_Data!A2058</f>
        <v>42431</v>
      </c>
      <c r="B2059">
        <f>+ROUND(Get_Data!B2058,5)</f>
        <v>86.084850000000003</v>
      </c>
      <c r="C2059">
        <f>+ROUND(Get_Data!C2058,5)</f>
        <v>37.445140000000002</v>
      </c>
      <c r="D2059" s="4">
        <f t="shared" si="32"/>
        <v>2.2989592240808818</v>
      </c>
    </row>
    <row r="2060" spans="1:4" ht="17" hidden="1" customHeight="1" outlineLevel="1" thickBot="1">
      <c r="A2060" s="2">
        <f>+Get_Data!A2059</f>
        <v>42432</v>
      </c>
      <c r="B2060">
        <f>+ROUND(Get_Data!B2059,5)</f>
        <v>86.811459999999997</v>
      </c>
      <c r="C2060">
        <f>+ROUND(Get_Data!C2059,5)</f>
        <v>37.607689999999998</v>
      </c>
      <c r="D2060" s="4">
        <f t="shared" si="32"/>
        <v>2.3083433202092443</v>
      </c>
    </row>
    <row r="2061" spans="1:4" ht="17" hidden="1" customHeight="1" outlineLevel="1" thickBot="1">
      <c r="A2061" s="2">
        <f>+Get_Data!A2060</f>
        <v>42433</v>
      </c>
      <c r="B2061">
        <f>+ROUND(Get_Data!B2060,5)</f>
        <v>87.546869999999998</v>
      </c>
      <c r="C2061">
        <f>+ROUND(Get_Data!C2060,5)</f>
        <v>37.736020000000003</v>
      </c>
      <c r="D2061" s="4">
        <f t="shared" si="32"/>
        <v>2.3199815454835986</v>
      </c>
    </row>
    <row r="2062" spans="1:4" ht="17" hidden="1" customHeight="1" outlineLevel="1" thickBot="1">
      <c r="A2062" s="2">
        <f>+Get_Data!A2061</f>
        <v>42436</v>
      </c>
      <c r="B2062">
        <f>+ROUND(Get_Data!B2061,5)</f>
        <v>86.890270000000001</v>
      </c>
      <c r="C2062">
        <f>+ROUND(Get_Data!C2061,5)</f>
        <v>37.650469999999999</v>
      </c>
      <c r="D2062" s="4">
        <f t="shared" si="32"/>
        <v>2.3078136873191757</v>
      </c>
    </row>
    <row r="2063" spans="1:4" ht="17" hidden="1" customHeight="1" outlineLevel="1" thickBot="1">
      <c r="A2063" s="2">
        <f>+Get_Data!A2062</f>
        <v>42437</v>
      </c>
      <c r="B2063">
        <f>+ROUND(Get_Data!B2062,5)</f>
        <v>87.319220000000001</v>
      </c>
      <c r="C2063">
        <f>+ROUND(Get_Data!C2062,5)</f>
        <v>37.915669999999999</v>
      </c>
      <c r="D2063" s="4">
        <f t="shared" si="32"/>
        <v>2.3029850191227004</v>
      </c>
    </row>
    <row r="2064" spans="1:4" ht="17" hidden="1" customHeight="1" outlineLevel="1" thickBot="1">
      <c r="A2064" s="2">
        <f>+Get_Data!A2063</f>
        <v>42438</v>
      </c>
      <c r="B2064">
        <f>+ROUND(Get_Data!B2063,5)</f>
        <v>87.721950000000007</v>
      </c>
      <c r="C2064">
        <f>+ROUND(Get_Data!C2063,5)</f>
        <v>38.334870000000002</v>
      </c>
      <c r="D2064" s="4">
        <f t="shared" si="32"/>
        <v>2.2883069643903839</v>
      </c>
    </row>
    <row r="2065" spans="1:4" ht="17" hidden="1" customHeight="1" outlineLevel="1" thickBot="1">
      <c r="A2065" s="2">
        <f>+Get_Data!A2064</f>
        <v>42439</v>
      </c>
      <c r="B2065">
        <f>+ROUND(Get_Data!B2064,5)</f>
        <v>88.229730000000004</v>
      </c>
      <c r="C2065">
        <f>+ROUND(Get_Data!C2064,5)</f>
        <v>38.69417</v>
      </c>
      <c r="D2065" s="4">
        <f t="shared" si="32"/>
        <v>2.2801814847042849</v>
      </c>
    </row>
    <row r="2066" spans="1:4" ht="17" hidden="1" customHeight="1" outlineLevel="1" thickBot="1">
      <c r="A2066" s="2">
        <f>+Get_Data!A2065</f>
        <v>42440</v>
      </c>
      <c r="B2066">
        <f>+ROUND(Get_Data!B2065,5)</f>
        <v>88.693730000000002</v>
      </c>
      <c r="C2066">
        <f>+ROUND(Get_Data!C2065,5)</f>
        <v>38.97007</v>
      </c>
      <c r="D2066" s="4">
        <f t="shared" si="32"/>
        <v>2.275944846904304</v>
      </c>
    </row>
    <row r="2067" spans="1:4" ht="17" hidden="1" customHeight="1" outlineLevel="1" thickBot="1">
      <c r="A2067" s="2">
        <f>+Get_Data!A2066</f>
        <v>42443</v>
      </c>
      <c r="B2067">
        <f>+ROUND(Get_Data!B2066,5)</f>
        <v>88.115920000000003</v>
      </c>
      <c r="C2067">
        <f>+ROUND(Get_Data!C2066,5)</f>
        <v>39.04766</v>
      </c>
      <c r="D2067" s="4">
        <f t="shared" si="32"/>
        <v>2.2566248528080814</v>
      </c>
    </row>
    <row r="2068" spans="1:4" ht="17" hidden="1" customHeight="1" outlineLevel="1" thickBot="1">
      <c r="A2068" s="2">
        <f>+Get_Data!A2067</f>
        <v>42444</v>
      </c>
      <c r="B2068">
        <f>+ROUND(Get_Data!B2067,5)</f>
        <v>88.553659999999994</v>
      </c>
      <c r="C2068">
        <f>+ROUND(Get_Data!C2067,5)</f>
        <v>39.004559999999998</v>
      </c>
      <c r="D2068" s="4">
        <f t="shared" si="32"/>
        <v>2.2703412113865662</v>
      </c>
    </row>
    <row r="2069" spans="1:4" ht="17" hidden="1" customHeight="1" outlineLevel="1" thickBot="1">
      <c r="A2069" s="2">
        <f>+Get_Data!A2068</f>
        <v>42445</v>
      </c>
      <c r="B2069">
        <f>+ROUND(Get_Data!B2068,5)</f>
        <v>88.273499999999999</v>
      </c>
      <c r="C2069">
        <f>+ROUND(Get_Data!C2068,5)</f>
        <v>38.840739999999997</v>
      </c>
      <c r="D2069" s="4">
        <f t="shared" si="32"/>
        <v>2.2727038671250859</v>
      </c>
    </row>
    <row r="2070" spans="1:4" ht="17" hidden="1" customHeight="1" outlineLevel="1" thickBot="1">
      <c r="A2070" s="2">
        <f>+Get_Data!A2069</f>
        <v>42446</v>
      </c>
      <c r="B2070">
        <f>+ROUND(Get_Data!B2069,5)</f>
        <v>89.183980000000005</v>
      </c>
      <c r="C2070">
        <f>+ROUND(Get_Data!C2069,5)</f>
        <v>39.461509999999997</v>
      </c>
      <c r="D2070" s="4">
        <f t="shared" si="32"/>
        <v>2.2600245150274283</v>
      </c>
    </row>
    <row r="2071" spans="1:4" ht="17" hidden="1" customHeight="1" outlineLevel="1" thickBot="1">
      <c r="A2071" s="2">
        <f>+Get_Data!A2070</f>
        <v>42447</v>
      </c>
      <c r="B2071">
        <f>+ROUND(Get_Data!B2070,5)</f>
        <v>88.676209999999998</v>
      </c>
      <c r="C2071">
        <f>+ROUND(Get_Data!C2070,5)</f>
        <v>39.31494</v>
      </c>
      <c r="D2071" s="4">
        <f t="shared" si="32"/>
        <v>2.2555346644303667</v>
      </c>
    </row>
    <row r="2072" spans="1:4" ht="17" hidden="1" customHeight="1" outlineLevel="1" thickBot="1">
      <c r="A2072" s="2">
        <f>+Get_Data!A2071</f>
        <v>42450</v>
      </c>
      <c r="B2072">
        <f>+ROUND(Get_Data!B2071,5)</f>
        <v>88.895079999999993</v>
      </c>
      <c r="C2072">
        <f>+ROUND(Get_Data!C2071,5)</f>
        <v>39.37529</v>
      </c>
      <c r="D2072" s="4">
        <f t="shared" si="32"/>
        <v>2.2576361977270514</v>
      </c>
    </row>
    <row r="2073" spans="1:4" ht="17" hidden="1" customHeight="1" outlineLevel="1" thickBot="1">
      <c r="A2073" s="2">
        <f>+Get_Data!A2072</f>
        <v>42451</v>
      </c>
      <c r="B2073">
        <f>+ROUND(Get_Data!B2072,5)</f>
        <v>88.220969999999994</v>
      </c>
      <c r="C2073">
        <f>+ROUND(Get_Data!C2072,5)</f>
        <v>39.228720000000003</v>
      </c>
      <c r="D2073" s="4">
        <f t="shared" si="32"/>
        <v>2.2488872948186938</v>
      </c>
    </row>
    <row r="2074" spans="1:4" ht="17" hidden="1" customHeight="1" outlineLevel="1" thickBot="1">
      <c r="A2074" s="2">
        <f>+Get_Data!A2073</f>
        <v>42452</v>
      </c>
      <c r="B2074">
        <f>+ROUND(Get_Data!B2073,5)</f>
        <v>88.255979999999994</v>
      </c>
      <c r="C2074">
        <f>+ROUND(Get_Data!C2073,5)</f>
        <v>39.194229999999997</v>
      </c>
      <c r="D2074" s="4">
        <f t="shared" si="32"/>
        <v>2.2517595064375548</v>
      </c>
    </row>
    <row r="2075" spans="1:4" ht="17" hidden="1" customHeight="1" outlineLevel="1" thickBot="1">
      <c r="A2075" s="2">
        <f>+Get_Data!A2074</f>
        <v>42453</v>
      </c>
      <c r="B2075">
        <f>+ROUND(Get_Data!B2074,5)</f>
        <v>88.142169999999993</v>
      </c>
      <c r="C2075">
        <f>+ROUND(Get_Data!C2074,5)</f>
        <v>39.297699999999999</v>
      </c>
      <c r="D2075" s="4">
        <f t="shared" si="32"/>
        <v>2.2429345737791269</v>
      </c>
    </row>
    <row r="2076" spans="1:4" ht="17" hidden="1" customHeight="1" outlineLevel="1" thickBot="1">
      <c r="A2076" s="2">
        <f>+Get_Data!A2075</f>
        <v>42457</v>
      </c>
      <c r="B2076">
        <f>+ROUND(Get_Data!B2075,5)</f>
        <v>88.404809999999998</v>
      </c>
      <c r="C2076">
        <f>+ROUND(Get_Data!C2075,5)</f>
        <v>39.487380000000002</v>
      </c>
      <c r="D2076" s="4">
        <f t="shared" si="32"/>
        <v>2.2388117418780378</v>
      </c>
    </row>
    <row r="2077" spans="1:4" ht="17" hidden="1" customHeight="1" outlineLevel="1" thickBot="1">
      <c r="A2077" s="2">
        <f>+Get_Data!A2076</f>
        <v>42458</v>
      </c>
      <c r="B2077">
        <f>+ROUND(Get_Data!B2076,5)</f>
        <v>88.746250000000003</v>
      </c>
      <c r="C2077">
        <f>+ROUND(Get_Data!C2076,5)</f>
        <v>40.073639999999997</v>
      </c>
      <c r="D2077" s="4">
        <f t="shared" si="32"/>
        <v>2.2145792096749886</v>
      </c>
    </row>
    <row r="2078" spans="1:4" ht="17" hidden="1" customHeight="1" outlineLevel="1" thickBot="1">
      <c r="A2078" s="2">
        <f>+Get_Data!A2077</f>
        <v>42459</v>
      </c>
      <c r="B2078">
        <f>+ROUND(Get_Data!B2077,5)</f>
        <v>89.901870000000002</v>
      </c>
      <c r="C2078">
        <f>+ROUND(Get_Data!C2077,5)</f>
        <v>40.159860000000002</v>
      </c>
      <c r="D2078" s="4">
        <f t="shared" si="32"/>
        <v>2.2386001843631926</v>
      </c>
    </row>
    <row r="2079" spans="1:4" ht="17" hidden="1" customHeight="1" outlineLevel="1" thickBot="1">
      <c r="A2079" s="2">
        <f>+Get_Data!A2078</f>
        <v>42460</v>
      </c>
      <c r="B2079">
        <f>+ROUND(Get_Data!B2078,5)</f>
        <v>89.718029999999999</v>
      </c>
      <c r="C2079">
        <f>+ROUND(Get_Data!C2078,5)</f>
        <v>39.996040000000001</v>
      </c>
      <c r="D2079" s="4">
        <f t="shared" si="32"/>
        <v>2.2431728241095867</v>
      </c>
    </row>
    <row r="2080" spans="1:4" ht="17" hidden="1" customHeight="1" outlineLevel="1" thickBot="1">
      <c r="A2080" s="2">
        <f>+Get_Data!A2079</f>
        <v>42461</v>
      </c>
      <c r="B2080">
        <f>+ROUND(Get_Data!B2079,5)</f>
        <v>90.856129999999993</v>
      </c>
      <c r="C2080">
        <f>+ROUND(Get_Data!C2079,5)</f>
        <v>40.375410000000002</v>
      </c>
      <c r="D2080" s="4">
        <f t="shared" si="32"/>
        <v>2.2502837742081132</v>
      </c>
    </row>
    <row r="2081" spans="1:4" ht="17" hidden="1" customHeight="1" outlineLevel="1" thickBot="1">
      <c r="A2081" s="2">
        <f>+Get_Data!A2080</f>
        <v>42464</v>
      </c>
      <c r="B2081">
        <f>+ROUND(Get_Data!B2080,5)</f>
        <v>90.891139999999993</v>
      </c>
      <c r="C2081">
        <f>+ROUND(Get_Data!C2080,5)</f>
        <v>40.427140000000001</v>
      </c>
      <c r="D2081" s="4">
        <f t="shared" si="32"/>
        <v>2.2482703451196397</v>
      </c>
    </row>
    <row r="2082" spans="1:4" ht="17" hidden="1" customHeight="1" outlineLevel="1" thickBot="1">
      <c r="A2082" s="2">
        <f>+Get_Data!A2081</f>
        <v>42465</v>
      </c>
      <c r="B2082">
        <f>+ROUND(Get_Data!B2081,5)</f>
        <v>90.260800000000003</v>
      </c>
      <c r="C2082">
        <f>+ROUND(Get_Data!C2081,5)</f>
        <v>40.116759999999999</v>
      </c>
      <c r="D2082" s="4">
        <f t="shared" si="32"/>
        <v>2.2499523889765776</v>
      </c>
    </row>
    <row r="2083" spans="1:4" ht="17" hidden="1" customHeight="1" outlineLevel="1" thickBot="1">
      <c r="A2083" s="2">
        <f>+Get_Data!A2082</f>
        <v>42466</v>
      </c>
      <c r="B2083">
        <f>+ROUND(Get_Data!B2082,5)</f>
        <v>90.97869</v>
      </c>
      <c r="C2083">
        <f>+ROUND(Get_Data!C2082,5)</f>
        <v>40.271949999999997</v>
      </c>
      <c r="D2083" s="4">
        <f t="shared" si="32"/>
        <v>2.2591081385430805</v>
      </c>
    </row>
    <row r="2084" spans="1:4" ht="17" hidden="1" customHeight="1" outlineLevel="1" thickBot="1">
      <c r="A2084" s="2">
        <f>+Get_Data!A2083</f>
        <v>42467</v>
      </c>
      <c r="B2084">
        <f>+ROUND(Get_Data!B2083,5)</f>
        <v>90.698549999999997</v>
      </c>
      <c r="C2084">
        <f>+ROUND(Get_Data!C2083,5)</f>
        <v>39.970190000000002</v>
      </c>
      <c r="D2084" s="4">
        <f t="shared" si="32"/>
        <v>2.2691548376427533</v>
      </c>
    </row>
    <row r="2085" spans="1:4" ht="17" hidden="1" customHeight="1" outlineLevel="1" thickBot="1">
      <c r="A2085" s="2">
        <f>+Get_Data!A2084</f>
        <v>42468</v>
      </c>
      <c r="B2085">
        <f>+ROUND(Get_Data!B2084,5)</f>
        <v>91.994259999999997</v>
      </c>
      <c r="C2085">
        <f>+ROUND(Get_Data!C2084,5)</f>
        <v>40.409889999999997</v>
      </c>
      <c r="D2085" s="4">
        <f t="shared" si="32"/>
        <v>2.2765283449175437</v>
      </c>
    </row>
    <row r="2086" spans="1:4" ht="17" hidden="1" customHeight="1" outlineLevel="1" thickBot="1">
      <c r="A2086" s="2">
        <f>+Get_Data!A2085</f>
        <v>42471</v>
      </c>
      <c r="B2086">
        <f>+ROUND(Get_Data!B2085,5)</f>
        <v>91.311390000000003</v>
      </c>
      <c r="C2086">
        <f>+ROUND(Get_Data!C2085,5)</f>
        <v>40.039160000000003</v>
      </c>
      <c r="D2086" s="4">
        <f t="shared" si="32"/>
        <v>2.2805520895043752</v>
      </c>
    </row>
    <row r="2087" spans="1:4" ht="17" hidden="1" customHeight="1" outlineLevel="1" thickBot="1">
      <c r="A2087" s="2">
        <f>+Get_Data!A2086</f>
        <v>42472</v>
      </c>
      <c r="B2087">
        <f>+ROUND(Get_Data!B2086,5)</f>
        <v>91.845410000000001</v>
      </c>
      <c r="C2087">
        <f>+ROUND(Get_Data!C2086,5)</f>
        <v>40.220210000000002</v>
      </c>
      <c r="D2087" s="4">
        <f t="shared" si="32"/>
        <v>2.2835636611544294</v>
      </c>
    </row>
    <row r="2088" spans="1:4" ht="17" hidden="1" customHeight="1" outlineLevel="1" thickBot="1">
      <c r="A2088" s="2">
        <f>+Get_Data!A2087</f>
        <v>42473</v>
      </c>
      <c r="B2088">
        <f>+ROUND(Get_Data!B2087,5)</f>
        <v>91.153790000000001</v>
      </c>
      <c r="C2088">
        <f>+ROUND(Get_Data!C2087,5)</f>
        <v>39.694290000000002</v>
      </c>
      <c r="D2088" s="4">
        <f t="shared" si="32"/>
        <v>2.2963955269133165</v>
      </c>
    </row>
    <row r="2089" spans="1:4" ht="17" hidden="1" customHeight="1" outlineLevel="1" thickBot="1">
      <c r="A2089" s="2">
        <f>+Get_Data!A2088</f>
        <v>42474</v>
      </c>
      <c r="B2089">
        <f>+ROUND(Get_Data!B2088,5)</f>
        <v>90.313339999999997</v>
      </c>
      <c r="C2089">
        <f>+ROUND(Get_Data!C2088,5)</f>
        <v>39.513240000000003</v>
      </c>
      <c r="D2089" s="4">
        <f t="shared" si="32"/>
        <v>2.2856475449747982</v>
      </c>
    </row>
    <row r="2090" spans="1:4" ht="17" hidden="1" customHeight="1" outlineLevel="1" thickBot="1">
      <c r="A2090" s="2">
        <f>+Get_Data!A2089</f>
        <v>42475</v>
      </c>
      <c r="B2090">
        <f>+ROUND(Get_Data!B2089,5)</f>
        <v>90.847369999999998</v>
      </c>
      <c r="C2090">
        <f>+ROUND(Get_Data!C2089,5)</f>
        <v>39.746029999999998</v>
      </c>
      <c r="D2090" s="4">
        <f t="shared" si="32"/>
        <v>2.2856967098349195</v>
      </c>
    </row>
    <row r="2091" spans="1:4" ht="17" hidden="1" customHeight="1" outlineLevel="1" thickBot="1">
      <c r="A2091" s="2">
        <f>+Get_Data!A2090</f>
        <v>42478</v>
      </c>
      <c r="B2091">
        <f>+ROUND(Get_Data!B2090,5)</f>
        <v>90.803600000000003</v>
      </c>
      <c r="C2091">
        <f>+ROUND(Get_Data!C2090,5)</f>
        <v>39.84948</v>
      </c>
      <c r="D2091" s="4">
        <f t="shared" si="32"/>
        <v>2.2786646149460421</v>
      </c>
    </row>
    <row r="2092" spans="1:4" ht="17" hidden="1" customHeight="1" outlineLevel="1" thickBot="1">
      <c r="A2092" s="2">
        <f>+Get_Data!A2091</f>
        <v>42479</v>
      </c>
      <c r="B2092">
        <f>+ROUND(Get_Data!B2091,5)</f>
        <v>91.328900000000004</v>
      </c>
      <c r="C2092">
        <f>+ROUND(Get_Data!C2091,5)</f>
        <v>40.177100000000003</v>
      </c>
      <c r="D2092" s="4">
        <f t="shared" si="32"/>
        <v>2.2731580925452559</v>
      </c>
    </row>
    <row r="2093" spans="1:4" ht="17" hidden="1" customHeight="1" outlineLevel="1" thickBot="1">
      <c r="A2093" s="2">
        <f>+Get_Data!A2092</f>
        <v>42480</v>
      </c>
      <c r="B2093">
        <f>+ROUND(Get_Data!B2092,5)</f>
        <v>89.683009999999996</v>
      </c>
      <c r="C2093">
        <f>+ROUND(Get_Data!C2092,5)</f>
        <v>38.254460000000002</v>
      </c>
      <c r="D2093" s="4">
        <f t="shared" si="32"/>
        <v>2.3443804983784897</v>
      </c>
    </row>
    <row r="2094" spans="1:4" ht="17" hidden="1" customHeight="1" outlineLevel="1" thickBot="1">
      <c r="A2094" s="2">
        <f>+Get_Data!A2093</f>
        <v>42481</v>
      </c>
      <c r="B2094">
        <f>+ROUND(Get_Data!B2093,5)</f>
        <v>88.413570000000007</v>
      </c>
      <c r="C2094">
        <f>+ROUND(Get_Data!C2093,5)</f>
        <v>37.642330000000001</v>
      </c>
      <c r="D2094" s="4">
        <f t="shared" si="32"/>
        <v>2.3487804819733529</v>
      </c>
    </row>
    <row r="2095" spans="1:4" ht="17" hidden="1" customHeight="1" outlineLevel="1" thickBot="1">
      <c r="A2095" s="2">
        <f>+Get_Data!A2094</f>
        <v>42482</v>
      </c>
      <c r="B2095">
        <f>+ROUND(Get_Data!B2094,5)</f>
        <v>89.280299999999997</v>
      </c>
      <c r="C2095">
        <f>+ROUND(Get_Data!C2094,5)</f>
        <v>38.401040000000002</v>
      </c>
      <c r="D2095" s="4">
        <f t="shared" si="32"/>
        <v>2.3249448452437744</v>
      </c>
    </row>
    <row r="2096" spans="1:4" ht="17" hidden="1" customHeight="1" outlineLevel="1" thickBot="1">
      <c r="A2096" s="2">
        <f>+Get_Data!A2095</f>
        <v>42485</v>
      </c>
      <c r="B2096">
        <f>+ROUND(Get_Data!B2095,5)</f>
        <v>89.998180000000005</v>
      </c>
      <c r="C2096">
        <f>+ROUND(Get_Data!C2095,5)</f>
        <v>38.547600000000003</v>
      </c>
      <c r="D2096" s="4">
        <f t="shared" si="32"/>
        <v>2.3347284915273585</v>
      </c>
    </row>
    <row r="2097" spans="1:4" ht="17" hidden="1" customHeight="1" outlineLevel="1" thickBot="1">
      <c r="A2097" s="2">
        <f>+Get_Data!A2096</f>
        <v>42486</v>
      </c>
      <c r="B2097">
        <f>+ROUND(Get_Data!B2096,5)</f>
        <v>89.823080000000004</v>
      </c>
      <c r="C2097">
        <f>+ROUND(Get_Data!C2096,5)</f>
        <v>38.392409999999998</v>
      </c>
      <c r="D2097" s="4">
        <f t="shared" si="32"/>
        <v>2.3396051459129552</v>
      </c>
    </row>
    <row r="2098" spans="1:4" ht="17" hidden="1" customHeight="1" outlineLevel="1" thickBot="1">
      <c r="A2098" s="2">
        <f>+Get_Data!A2097</f>
        <v>42487</v>
      </c>
      <c r="B2098">
        <f>+ROUND(Get_Data!B2097,5)</f>
        <v>89.849350000000001</v>
      </c>
      <c r="C2098">
        <f>+ROUND(Get_Data!C2097,5)</f>
        <v>38.521740000000001</v>
      </c>
      <c r="D2098" s="4">
        <f t="shared" si="32"/>
        <v>2.3324322836922735</v>
      </c>
    </row>
    <row r="2099" spans="1:4" ht="17" hidden="1" customHeight="1" outlineLevel="1" thickBot="1">
      <c r="A2099" s="2">
        <f>+Get_Data!A2098</f>
        <v>42488</v>
      </c>
      <c r="B2099">
        <f>+ROUND(Get_Data!B2098,5)</f>
        <v>90.147019999999998</v>
      </c>
      <c r="C2099">
        <f>+ROUND(Get_Data!C2098,5)</f>
        <v>38.478630000000003</v>
      </c>
      <c r="D2099" s="4">
        <f t="shared" si="32"/>
        <v>2.3427814347860094</v>
      </c>
    </row>
    <row r="2100" spans="1:4" ht="17" hidden="1" customHeight="1" outlineLevel="1" thickBot="1">
      <c r="A2100" s="2">
        <f>+Get_Data!A2099</f>
        <v>42489</v>
      </c>
      <c r="B2100">
        <f>+ROUND(Get_Data!B2099,5)</f>
        <v>90.138249999999999</v>
      </c>
      <c r="C2100">
        <f>+ROUND(Get_Data!C2099,5)</f>
        <v>38.6252</v>
      </c>
      <c r="D2100" s="4">
        <f t="shared" si="32"/>
        <v>2.3336642917059329</v>
      </c>
    </row>
    <row r="2101" spans="1:4" ht="17" hidden="1" customHeight="1" outlineLevel="1" thickBot="1">
      <c r="A2101" s="2">
        <f>+Get_Data!A2100</f>
        <v>42492</v>
      </c>
      <c r="B2101">
        <f>+ROUND(Get_Data!B2100,5)</f>
        <v>90.549719999999994</v>
      </c>
      <c r="C2101">
        <f>+ROUND(Get_Data!C2100,5)</f>
        <v>38.780389999999997</v>
      </c>
      <c r="D2101" s="4">
        <f t="shared" si="32"/>
        <v>2.334935775529849</v>
      </c>
    </row>
    <row r="2102" spans="1:4" ht="17" hidden="1" customHeight="1" outlineLevel="1" thickBot="1">
      <c r="A2102" s="2">
        <f>+Get_Data!A2101</f>
        <v>42493</v>
      </c>
      <c r="B2102">
        <f>+ROUND(Get_Data!B2101,5)</f>
        <v>90.663539999999998</v>
      </c>
      <c r="C2102">
        <f>+ROUND(Get_Data!C2101,5)</f>
        <v>38.659680000000002</v>
      </c>
      <c r="D2102" s="4">
        <f t="shared" si="32"/>
        <v>2.34517047218187</v>
      </c>
    </row>
    <row r="2103" spans="1:4" ht="17" hidden="1" customHeight="1" outlineLevel="1" thickBot="1">
      <c r="A2103" s="2">
        <f>+Get_Data!A2102</f>
        <v>42494</v>
      </c>
      <c r="B2103">
        <f>+ROUND(Get_Data!B2102,5)</f>
        <v>91.066239999999993</v>
      </c>
      <c r="C2103">
        <f>+ROUND(Get_Data!C2102,5)</f>
        <v>38.780389999999997</v>
      </c>
      <c r="D2103" s="4">
        <f t="shared" si="32"/>
        <v>2.3482548783031838</v>
      </c>
    </row>
    <row r="2104" spans="1:4" ht="17" hidden="1" customHeight="1" outlineLevel="1" thickBot="1">
      <c r="A2104" s="2">
        <f>+Get_Data!A2103</f>
        <v>42495</v>
      </c>
      <c r="B2104">
        <f>+ROUND(Get_Data!B2103,5)</f>
        <v>91.232590000000002</v>
      </c>
      <c r="C2104">
        <f>+ROUND(Get_Data!C2103,5)</f>
        <v>38.84937</v>
      </c>
      <c r="D2104" s="4">
        <f t="shared" si="32"/>
        <v>2.3483672965610509</v>
      </c>
    </row>
    <row r="2105" spans="1:4" ht="17" hidden="1" customHeight="1" outlineLevel="1" thickBot="1">
      <c r="A2105" s="2">
        <f>+Get_Data!A2104</f>
        <v>42496</v>
      </c>
      <c r="B2105">
        <f>+ROUND(Get_Data!B2104,5)</f>
        <v>91.889200000000002</v>
      </c>
      <c r="C2105">
        <f>+ROUND(Get_Data!C2104,5)</f>
        <v>39.073540000000001</v>
      </c>
      <c r="D2105" s="4">
        <f t="shared" si="32"/>
        <v>2.3516988734575879</v>
      </c>
    </row>
    <row r="2106" spans="1:4" ht="17" hidden="1" customHeight="1" outlineLevel="1" thickBot="1">
      <c r="A2106" s="2">
        <f>+Get_Data!A2105</f>
        <v>42499</v>
      </c>
      <c r="B2106">
        <f>+ROUND(Get_Data!B2105,5)</f>
        <v>92.169330000000002</v>
      </c>
      <c r="C2106">
        <f>+ROUND(Get_Data!C2105,5)</f>
        <v>39.004559999999998</v>
      </c>
      <c r="D2106" s="4">
        <f t="shared" si="32"/>
        <v>2.3630398599548363</v>
      </c>
    </row>
    <row r="2107" spans="1:4" ht="17" hidden="1" customHeight="1" outlineLevel="1" thickBot="1">
      <c r="A2107" s="2">
        <f>+Get_Data!A2106</f>
        <v>42500</v>
      </c>
      <c r="B2107">
        <f>+ROUND(Get_Data!B2106,5)</f>
        <v>93.298699999999997</v>
      </c>
      <c r="C2107">
        <f>+ROUND(Get_Data!C2106,5)</f>
        <v>39.44426</v>
      </c>
      <c r="D2107" s="4">
        <f t="shared" si="32"/>
        <v>2.3653302153469222</v>
      </c>
    </row>
    <row r="2108" spans="1:4" ht="17" hidden="1" customHeight="1" outlineLevel="1" thickBot="1">
      <c r="A2108" s="2">
        <f>+Get_Data!A2107</f>
        <v>42501</v>
      </c>
      <c r="B2108">
        <f>+ROUND(Get_Data!B2107,5)</f>
        <v>92.55453</v>
      </c>
      <c r="C2108">
        <f>+ROUND(Get_Data!C2107,5)</f>
        <v>39.194229999999997</v>
      </c>
      <c r="D2108" s="4">
        <f t="shared" si="32"/>
        <v>2.3614325373913458</v>
      </c>
    </row>
    <row r="2109" spans="1:4" ht="17" hidden="1" customHeight="1" outlineLevel="1" thickBot="1">
      <c r="A2109" s="2">
        <f>+Get_Data!A2108</f>
        <v>42502</v>
      </c>
      <c r="B2109">
        <f>+ROUND(Get_Data!B2108,5)</f>
        <v>92.887209999999996</v>
      </c>
      <c r="C2109">
        <f>+ROUND(Get_Data!C2108,5)</f>
        <v>39.513240000000003</v>
      </c>
      <c r="D2109" s="4">
        <f t="shared" si="32"/>
        <v>2.3507869767197018</v>
      </c>
    </row>
    <row r="2110" spans="1:4" ht="17" hidden="1" customHeight="1" outlineLevel="1" thickBot="1">
      <c r="A2110" s="2">
        <f>+Get_Data!A2109</f>
        <v>42503</v>
      </c>
      <c r="B2110">
        <f>+ROUND(Get_Data!B2109,5)</f>
        <v>91.206329999999994</v>
      </c>
      <c r="C2110">
        <f>+ROUND(Get_Data!C2109,5)</f>
        <v>39.099379999999996</v>
      </c>
      <c r="D2110" s="4">
        <f t="shared" si="32"/>
        <v>2.3326796997804058</v>
      </c>
    </row>
    <row r="2111" spans="1:4" ht="17" hidden="1" customHeight="1" outlineLevel="1" thickBot="1">
      <c r="A2111" s="2">
        <f>+Get_Data!A2110</f>
        <v>42506</v>
      </c>
      <c r="B2111">
        <f>+ROUND(Get_Data!B2110,5)</f>
        <v>91.162549999999996</v>
      </c>
      <c r="C2111">
        <f>+ROUND(Get_Data!C2110,5)</f>
        <v>39.332180000000001</v>
      </c>
      <c r="D2111" s="4">
        <f t="shared" si="32"/>
        <v>2.3177599105872084</v>
      </c>
    </row>
    <row r="2112" spans="1:4" ht="17" hidden="1" customHeight="1" outlineLevel="1" thickBot="1">
      <c r="A2112" s="2">
        <f>+Get_Data!A2111</f>
        <v>42507</v>
      </c>
      <c r="B2112">
        <f>+ROUND(Get_Data!B2111,5)</f>
        <v>89.621719999999996</v>
      </c>
      <c r="C2112">
        <f>+ROUND(Get_Data!C2111,5)</f>
        <v>38.582099999999997</v>
      </c>
      <c r="D2112" s="4">
        <f t="shared" si="32"/>
        <v>2.3228834096640671</v>
      </c>
    </row>
    <row r="2113" spans="1:4" ht="17" hidden="1" customHeight="1" outlineLevel="1" thickBot="1">
      <c r="A2113" s="2">
        <f>+Get_Data!A2112</f>
        <v>42508</v>
      </c>
      <c r="B2113">
        <f>+ROUND(Get_Data!B2112,5)</f>
        <v>88.343559999999997</v>
      </c>
      <c r="C2113">
        <f>+ROUND(Get_Data!C2112,5)</f>
        <v>38.349319999999999</v>
      </c>
      <c r="D2113" s="4">
        <f t="shared" si="32"/>
        <v>2.3036538848667982</v>
      </c>
    </row>
    <row r="2114" spans="1:4" ht="17" hidden="1" customHeight="1" outlineLevel="1" thickBot="1">
      <c r="A2114" s="2">
        <f>+Get_Data!A2113</f>
        <v>42509</v>
      </c>
      <c r="B2114">
        <f>+ROUND(Get_Data!B2113,5)</f>
        <v>88.711240000000004</v>
      </c>
      <c r="C2114">
        <f>+ROUND(Get_Data!C2113,5)</f>
        <v>38.211359999999999</v>
      </c>
      <c r="D2114" s="4">
        <f t="shared" si="32"/>
        <v>2.3215933690923327</v>
      </c>
    </row>
    <row r="2115" spans="1:4" ht="17" hidden="1" customHeight="1" outlineLevel="1" thickBot="1">
      <c r="A2115" s="2">
        <f>+Get_Data!A2114</f>
        <v>42510</v>
      </c>
      <c r="B2115">
        <f>+ROUND(Get_Data!B2114,5)</f>
        <v>87.634410000000003</v>
      </c>
      <c r="C2115">
        <f>+ROUND(Get_Data!C2114,5)</f>
        <v>37.892359999999996</v>
      </c>
      <c r="D2115" s="4">
        <f t="shared" si="32"/>
        <v>2.3127197672565134</v>
      </c>
    </row>
    <row r="2116" spans="1:4" ht="17" hidden="1" customHeight="1" outlineLevel="1" thickBot="1">
      <c r="A2116" s="2">
        <f>+Get_Data!A2115</f>
        <v>42513</v>
      </c>
      <c r="B2116">
        <f>+ROUND(Get_Data!B2115,5)</f>
        <v>87.914559999999994</v>
      </c>
      <c r="C2116">
        <f>+ROUND(Get_Data!C2115,5)</f>
        <v>37.909599999999998</v>
      </c>
      <c r="D2116" s="4">
        <f t="shared" ref="D2116:D2179" si="33">IFERROR(B2116/C2116,"")</f>
        <v>2.3190579694853017</v>
      </c>
    </row>
    <row r="2117" spans="1:4" ht="17" hidden="1" customHeight="1" outlineLevel="1" thickBot="1">
      <c r="A2117" s="2">
        <f>+Get_Data!A2116</f>
        <v>42514</v>
      </c>
      <c r="B2117">
        <f>+ROUND(Get_Data!B2116,5)</f>
        <v>88.501109999999997</v>
      </c>
      <c r="C2117">
        <f>+ROUND(Get_Data!C2116,5)</f>
        <v>38.254460000000002</v>
      </c>
      <c r="D2117" s="4">
        <f t="shared" si="33"/>
        <v>2.3134847544573884</v>
      </c>
    </row>
    <row r="2118" spans="1:4" ht="17" hidden="1" customHeight="1" outlineLevel="1" thickBot="1">
      <c r="A2118" s="2">
        <f>+Get_Data!A2117</f>
        <v>42515</v>
      </c>
      <c r="B2118">
        <f>+ROUND(Get_Data!B2117,5)</f>
        <v>88.501109999999997</v>
      </c>
      <c r="C2118">
        <f>+ROUND(Get_Data!C2117,5)</f>
        <v>38.263100000000001</v>
      </c>
      <c r="D2118" s="4">
        <f t="shared" si="33"/>
        <v>2.3129623579898126</v>
      </c>
    </row>
    <row r="2119" spans="1:4" ht="17" hidden="1" customHeight="1" outlineLevel="1" thickBot="1">
      <c r="A2119" s="2">
        <f>+Get_Data!A2118</f>
        <v>42516</v>
      </c>
      <c r="B2119">
        <f>+ROUND(Get_Data!B2118,5)</f>
        <v>89.210269999999994</v>
      </c>
      <c r="C2119">
        <f>+ROUND(Get_Data!C2118,5)</f>
        <v>38.530360000000002</v>
      </c>
      <c r="D2119" s="4">
        <f t="shared" si="33"/>
        <v>2.3153240717190284</v>
      </c>
    </row>
    <row r="2120" spans="1:4" ht="17" hidden="1" customHeight="1" outlineLevel="1" thickBot="1">
      <c r="A2120" s="2">
        <f>+Get_Data!A2119</f>
        <v>42517</v>
      </c>
      <c r="B2120">
        <f>+ROUND(Get_Data!B2119,5)</f>
        <v>89.262770000000003</v>
      </c>
      <c r="C2120">
        <f>+ROUND(Get_Data!C2119,5)</f>
        <v>38.607959999999999</v>
      </c>
      <c r="D2120" s="4">
        <f t="shared" si="33"/>
        <v>2.3120302134585717</v>
      </c>
    </row>
    <row r="2121" spans="1:4" ht="17" hidden="1" customHeight="1" outlineLevel="1" thickBot="1">
      <c r="A2121" s="2">
        <f>+Get_Data!A2120</f>
        <v>42521</v>
      </c>
      <c r="B2121">
        <f>+ROUND(Get_Data!B2120,5)</f>
        <v>88.571169999999995</v>
      </c>
      <c r="C2121">
        <f>+ROUND(Get_Data!C2120,5)</f>
        <v>38.452759999999998</v>
      </c>
      <c r="D2121" s="4">
        <f t="shared" si="33"/>
        <v>2.3033761425707802</v>
      </c>
    </row>
    <row r="2122" spans="1:4" ht="17" hidden="1" customHeight="1" outlineLevel="1" thickBot="1">
      <c r="A2122" s="2">
        <f>+Get_Data!A2121</f>
        <v>42522</v>
      </c>
      <c r="B2122">
        <f>+ROUND(Get_Data!B2121,5)</f>
        <v>89.588139999999996</v>
      </c>
      <c r="C2122">
        <f>+ROUND(Get_Data!C2121,5)</f>
        <v>38.538980000000002</v>
      </c>
      <c r="D2122" s="4">
        <f t="shared" si="33"/>
        <v>2.3246110820784565</v>
      </c>
    </row>
    <row r="2123" spans="1:4" ht="17" hidden="1" customHeight="1" outlineLevel="1" thickBot="1">
      <c r="A2123" s="2">
        <f>+Get_Data!A2122</f>
        <v>42523</v>
      </c>
      <c r="B2123">
        <f>+ROUND(Get_Data!B2122,5)</f>
        <v>89.967420000000004</v>
      </c>
      <c r="C2123">
        <f>+ROUND(Get_Data!C2122,5)</f>
        <v>38.556220000000003</v>
      </c>
      <c r="D2123" s="4">
        <f t="shared" si="33"/>
        <v>2.3334087210831354</v>
      </c>
    </row>
    <row r="2124" spans="1:4" ht="17" hidden="1" customHeight="1" outlineLevel="1" thickBot="1">
      <c r="A2124" s="2">
        <f>+Get_Data!A2123</f>
        <v>42524</v>
      </c>
      <c r="B2124">
        <f>+ROUND(Get_Data!B2123,5)</f>
        <v>90.434910000000002</v>
      </c>
      <c r="C2124">
        <f>+ROUND(Get_Data!C2123,5)</f>
        <v>38.832120000000003</v>
      </c>
      <c r="D2124" s="4">
        <f t="shared" si="33"/>
        <v>2.3288687303191273</v>
      </c>
    </row>
    <row r="2125" spans="1:4" ht="17" hidden="1" customHeight="1" outlineLevel="1" thickBot="1">
      <c r="A2125" s="2">
        <f>+Get_Data!A2124</f>
        <v>42527</v>
      </c>
      <c r="B2125">
        <f>+ROUND(Get_Data!B2124,5)</f>
        <v>90.58484</v>
      </c>
      <c r="C2125">
        <f>+ROUND(Get_Data!C2124,5)</f>
        <v>39.116639999999997</v>
      </c>
      <c r="D2125" s="4">
        <f t="shared" si="33"/>
        <v>2.3157622945120031</v>
      </c>
    </row>
    <row r="2126" spans="1:4" ht="17" hidden="1" customHeight="1" outlineLevel="1" thickBot="1">
      <c r="A2126" s="2">
        <f>+Get_Data!A2125</f>
        <v>42528</v>
      </c>
      <c r="B2126">
        <f>+ROUND(Get_Data!B2125,5)</f>
        <v>90.399600000000007</v>
      </c>
      <c r="C2126">
        <f>+ROUND(Get_Data!C2125,5)</f>
        <v>39.073540000000001</v>
      </c>
      <c r="D2126" s="4">
        <f t="shared" si="33"/>
        <v>2.3135758879282502</v>
      </c>
    </row>
    <row r="2127" spans="1:4" ht="17" hidden="1" customHeight="1" outlineLevel="1" thickBot="1">
      <c r="A2127" s="2">
        <f>+Get_Data!A2126</f>
        <v>42529</v>
      </c>
      <c r="B2127">
        <f>+ROUND(Get_Data!B2126,5)</f>
        <v>91.008219999999994</v>
      </c>
      <c r="C2127">
        <f>+ROUND(Get_Data!C2126,5)</f>
        <v>39.271830000000001</v>
      </c>
      <c r="D2127" s="4">
        <f t="shared" si="33"/>
        <v>2.3173918811524694</v>
      </c>
    </row>
    <row r="2128" spans="1:4" ht="17" hidden="1" customHeight="1" outlineLevel="1" thickBot="1">
      <c r="A2128" s="2">
        <f>+Get_Data!A2127</f>
        <v>42530</v>
      </c>
      <c r="B2128">
        <f>+ROUND(Get_Data!B2127,5)</f>
        <v>91.431579999999997</v>
      </c>
      <c r="C2128">
        <f>+ROUND(Get_Data!C2127,5)</f>
        <v>39.45288</v>
      </c>
      <c r="D2128" s="4">
        <f t="shared" si="33"/>
        <v>2.3174881022627498</v>
      </c>
    </row>
    <row r="2129" spans="1:4" ht="17" hidden="1" customHeight="1" outlineLevel="1" thickBot="1">
      <c r="A2129" s="2">
        <f>+Get_Data!A2128</f>
        <v>42531</v>
      </c>
      <c r="B2129">
        <f>+ROUND(Get_Data!B2128,5)</f>
        <v>91.122870000000006</v>
      </c>
      <c r="C2129">
        <f>+ROUND(Get_Data!C2128,5)</f>
        <v>39.65119</v>
      </c>
      <c r="D2129" s="4">
        <f t="shared" si="33"/>
        <v>2.2981118599467005</v>
      </c>
    </row>
    <row r="2130" spans="1:4" ht="17" hidden="1" customHeight="1" outlineLevel="1" thickBot="1">
      <c r="A2130" s="2">
        <f>+Get_Data!A2129</f>
        <v>42534</v>
      </c>
      <c r="B2130">
        <f>+ROUND(Get_Data!B2129,5)</f>
        <v>90.902370000000005</v>
      </c>
      <c r="C2130">
        <f>+ROUND(Get_Data!C2129,5)</f>
        <v>39.199420000000003</v>
      </c>
      <c r="D2130" s="4">
        <f t="shared" si="33"/>
        <v>2.3189723215292468</v>
      </c>
    </row>
    <row r="2131" spans="1:4" ht="17" hidden="1" customHeight="1" outlineLevel="1" thickBot="1">
      <c r="A2131" s="2">
        <f>+Get_Data!A2130</f>
        <v>42535</v>
      </c>
      <c r="B2131">
        <f>+ROUND(Get_Data!B2130,5)</f>
        <v>91.052329999999998</v>
      </c>
      <c r="C2131">
        <f>+ROUND(Get_Data!C2130,5)</f>
        <v>39.129910000000002</v>
      </c>
      <c r="D2131" s="4">
        <f t="shared" si="33"/>
        <v>2.3269240844152206</v>
      </c>
    </row>
    <row r="2132" spans="1:4" ht="17" hidden="1" customHeight="1" outlineLevel="1" thickBot="1">
      <c r="A2132" s="2">
        <f>+Get_Data!A2131</f>
        <v>42536</v>
      </c>
      <c r="B2132">
        <f>+ROUND(Get_Data!B2131,5)</f>
        <v>90.725980000000007</v>
      </c>
      <c r="C2132">
        <f>+ROUND(Get_Data!C2131,5)</f>
        <v>39.103850000000001</v>
      </c>
      <c r="D2132" s="4">
        <f t="shared" si="33"/>
        <v>2.3201290921482158</v>
      </c>
    </row>
    <row r="2133" spans="1:4" ht="17" hidden="1" customHeight="1" outlineLevel="1" thickBot="1">
      <c r="A2133" s="2">
        <f>+Get_Data!A2132</f>
        <v>42537</v>
      </c>
      <c r="B2133">
        <f>+ROUND(Get_Data!B2132,5)</f>
        <v>91.599189999999993</v>
      </c>
      <c r="C2133">
        <f>+ROUND(Get_Data!C2132,5)</f>
        <v>39.364490000000004</v>
      </c>
      <c r="D2133" s="4">
        <f t="shared" si="33"/>
        <v>2.3269497458242183</v>
      </c>
    </row>
    <row r="2134" spans="1:4" ht="17" hidden="1" customHeight="1" outlineLevel="1" thickBot="1">
      <c r="A2134" s="2">
        <f>+Get_Data!A2133</f>
        <v>42538</v>
      </c>
      <c r="B2134">
        <f>+ROUND(Get_Data!B2133,5)</f>
        <v>91.211070000000007</v>
      </c>
      <c r="C2134">
        <f>+ROUND(Get_Data!C2133,5)</f>
        <v>38.912709999999997</v>
      </c>
      <c r="D2134" s="4">
        <f t="shared" si="33"/>
        <v>2.3439917189010999</v>
      </c>
    </row>
    <row r="2135" spans="1:4" ht="17" hidden="1" customHeight="1" outlineLevel="1" thickBot="1">
      <c r="A2135" s="2">
        <f>+Get_Data!A2134</f>
        <v>42541</v>
      </c>
      <c r="B2135">
        <f>+ROUND(Get_Data!B2134,5)</f>
        <v>91.175809999999998</v>
      </c>
      <c r="C2135">
        <f>+ROUND(Get_Data!C2134,5)</f>
        <v>39.077779999999997</v>
      </c>
      <c r="D2135" s="4">
        <f t="shared" si="33"/>
        <v>2.3331880674900161</v>
      </c>
    </row>
    <row r="2136" spans="1:4" ht="17" hidden="1" customHeight="1" outlineLevel="1" thickBot="1">
      <c r="A2136" s="2">
        <f>+Get_Data!A2135</f>
        <v>42542</v>
      </c>
      <c r="B2136">
        <f>+ROUND(Get_Data!B2135,5)</f>
        <v>91.802059999999997</v>
      </c>
      <c r="C2136">
        <f>+ROUND(Get_Data!C2135,5)</f>
        <v>39.208089999999999</v>
      </c>
      <c r="D2136" s="4">
        <f t="shared" si="33"/>
        <v>2.3414060720631888</v>
      </c>
    </row>
    <row r="2137" spans="1:4" ht="17" hidden="1" customHeight="1" outlineLevel="1" thickBot="1">
      <c r="A2137" s="2">
        <f>+Get_Data!A2136</f>
        <v>42543</v>
      </c>
      <c r="B2137">
        <f>+ROUND(Get_Data!B2136,5)</f>
        <v>91.50215</v>
      </c>
      <c r="C2137">
        <f>+ROUND(Get_Data!C2136,5)</f>
        <v>38.973529999999997</v>
      </c>
      <c r="D2137" s="4">
        <f t="shared" si="33"/>
        <v>2.3478024700354321</v>
      </c>
    </row>
    <row r="2138" spans="1:4" ht="17" hidden="1" customHeight="1" outlineLevel="1" thickBot="1">
      <c r="A2138" s="2">
        <f>+Get_Data!A2137</f>
        <v>42544</v>
      </c>
      <c r="B2138">
        <f>+ROUND(Get_Data!B2137,5)</f>
        <v>92.119569999999996</v>
      </c>
      <c r="C2138">
        <f>+ROUND(Get_Data!C2137,5)</f>
        <v>39.164659999999998</v>
      </c>
      <c r="D2138" s="4">
        <f t="shared" si="33"/>
        <v>2.3521095293563126</v>
      </c>
    </row>
    <row r="2139" spans="1:4" ht="17" hidden="1" customHeight="1" outlineLevel="1" thickBot="1">
      <c r="A2139" s="2">
        <f>+Get_Data!A2138</f>
        <v>42545</v>
      </c>
      <c r="B2139">
        <f>+ROUND(Get_Data!B2138,5)</f>
        <v>89.949789999999993</v>
      </c>
      <c r="C2139">
        <f>+ROUND(Get_Data!C2138,5)</f>
        <v>38.165570000000002</v>
      </c>
      <c r="D2139" s="4">
        <f t="shared" si="33"/>
        <v>2.3568307770590087</v>
      </c>
    </row>
    <row r="2140" spans="1:4" ht="17" hidden="1" customHeight="1" outlineLevel="1" thickBot="1">
      <c r="A2140" s="2">
        <f>+Get_Data!A2139</f>
        <v>42548</v>
      </c>
      <c r="B2140">
        <f>+ROUND(Get_Data!B2139,5)</f>
        <v>90.082080000000005</v>
      </c>
      <c r="C2140">
        <f>+ROUND(Get_Data!C2139,5)</f>
        <v>38.035249999999998</v>
      </c>
      <c r="D2140" s="4">
        <f t="shared" si="33"/>
        <v>2.3683840647820116</v>
      </c>
    </row>
    <row r="2141" spans="1:4" ht="17" hidden="1" customHeight="1" outlineLevel="1" thickBot="1">
      <c r="A2141" s="2">
        <f>+Get_Data!A2140</f>
        <v>42549</v>
      </c>
      <c r="B2141">
        <f>+ROUND(Get_Data!B2140,5)</f>
        <v>90.090900000000005</v>
      </c>
      <c r="C2141">
        <f>+ROUND(Get_Data!C2140,5)</f>
        <v>38.382759999999998</v>
      </c>
      <c r="D2141" s="4">
        <f t="shared" si="33"/>
        <v>2.3471709694665002</v>
      </c>
    </row>
    <row r="2142" spans="1:4" ht="17" hidden="1" customHeight="1" outlineLevel="1" thickBot="1">
      <c r="A2142" s="2">
        <f>+Get_Data!A2141</f>
        <v>42550</v>
      </c>
      <c r="B2142">
        <f>+ROUND(Get_Data!B2141,5)</f>
        <v>90.955280000000002</v>
      </c>
      <c r="C2142">
        <f>+ROUND(Get_Data!C2141,5)</f>
        <v>38.608640000000001</v>
      </c>
      <c r="D2142" s="4">
        <f t="shared" si="33"/>
        <v>2.3558270894804894</v>
      </c>
    </row>
    <row r="2143" spans="1:4" ht="17" hidden="1" customHeight="1" outlineLevel="1" thickBot="1">
      <c r="A2143" s="2">
        <f>+Get_Data!A2142</f>
        <v>42551</v>
      </c>
      <c r="B2143">
        <f>+ROUND(Get_Data!B2142,5)</f>
        <v>93.442629999999994</v>
      </c>
      <c r="C2143">
        <f>+ROUND(Get_Data!C2142,5)</f>
        <v>39.381860000000003</v>
      </c>
      <c r="D2143" s="4">
        <f t="shared" si="33"/>
        <v>2.3727327759531924</v>
      </c>
    </row>
    <row r="2144" spans="1:4" ht="17" hidden="1" customHeight="1" outlineLevel="1" thickBot="1">
      <c r="A2144" s="2">
        <f>+Get_Data!A2143</f>
        <v>42552</v>
      </c>
      <c r="B2144">
        <f>+ROUND(Get_Data!B2143,5)</f>
        <v>93.169200000000004</v>
      </c>
      <c r="C2144">
        <f>+ROUND(Get_Data!C2143,5)</f>
        <v>39.199420000000003</v>
      </c>
      <c r="D2144" s="4">
        <f t="shared" si="33"/>
        <v>2.376800473068224</v>
      </c>
    </row>
    <row r="2145" spans="1:4" ht="17" hidden="1" customHeight="1" outlineLevel="1" thickBot="1">
      <c r="A2145" s="2">
        <f>+Get_Data!A2144</f>
        <v>42556</v>
      </c>
      <c r="B2145">
        <f>+ROUND(Get_Data!B2144,5)</f>
        <v>93.866</v>
      </c>
      <c r="C2145">
        <f>+ROUND(Get_Data!C2144,5)</f>
        <v>39.468730000000001</v>
      </c>
      <c r="D2145" s="4">
        <f t="shared" si="33"/>
        <v>2.378237151284067</v>
      </c>
    </row>
    <row r="2146" spans="1:4" ht="17" hidden="1" customHeight="1" outlineLevel="1" thickBot="1">
      <c r="A2146" s="2">
        <f>+Get_Data!A2145</f>
        <v>42557</v>
      </c>
      <c r="B2146">
        <f>+ROUND(Get_Data!B2145,5)</f>
        <v>93.424989999999994</v>
      </c>
      <c r="C2146">
        <f>+ROUND(Get_Data!C2145,5)</f>
        <v>39.329729999999998</v>
      </c>
      <c r="D2146" s="4">
        <f t="shared" si="33"/>
        <v>2.3754292236432848</v>
      </c>
    </row>
    <row r="2147" spans="1:4" ht="17" hidden="1" customHeight="1" outlineLevel="1" thickBot="1">
      <c r="A2147" s="2">
        <f>+Get_Data!A2146</f>
        <v>42558</v>
      </c>
      <c r="B2147">
        <f>+ROUND(Get_Data!B2146,5)</f>
        <v>94.809759999999997</v>
      </c>
      <c r="C2147">
        <f>+ROUND(Get_Data!C2146,5)</f>
        <v>39.173360000000002</v>
      </c>
      <c r="D2147" s="4">
        <f t="shared" si="33"/>
        <v>2.4202611162279668</v>
      </c>
    </row>
    <row r="2148" spans="1:4" ht="17" hidden="1" customHeight="1" outlineLevel="1" thickBot="1">
      <c r="A2148" s="2">
        <f>+Get_Data!A2147</f>
        <v>42559</v>
      </c>
      <c r="B2148">
        <f>+ROUND(Get_Data!B2147,5)</f>
        <v>95.49776</v>
      </c>
      <c r="C2148">
        <f>+ROUND(Get_Data!C2147,5)</f>
        <v>39.4253</v>
      </c>
      <c r="D2148" s="4">
        <f t="shared" si="33"/>
        <v>2.4222456138570916</v>
      </c>
    </row>
    <row r="2149" spans="1:4" ht="17" hidden="1" customHeight="1" outlineLevel="1" thickBot="1">
      <c r="A2149" s="2">
        <f>+Get_Data!A2148</f>
        <v>42562</v>
      </c>
      <c r="B2149">
        <f>+ROUND(Get_Data!B2148,5)</f>
        <v>96.062280000000001</v>
      </c>
      <c r="C2149">
        <f>+ROUND(Get_Data!C2148,5)</f>
        <v>39.590359999999997</v>
      </c>
      <c r="D2149" s="4">
        <f t="shared" si="33"/>
        <v>2.4264058220233413</v>
      </c>
    </row>
    <row r="2150" spans="1:4" ht="17" hidden="1" customHeight="1" outlineLevel="1" thickBot="1">
      <c r="A2150" s="2">
        <f>+Get_Data!A2149</f>
        <v>42563</v>
      </c>
      <c r="B2150">
        <f>+ROUND(Get_Data!B2149,5)</f>
        <v>95.956440000000001</v>
      </c>
      <c r="C2150">
        <f>+ROUND(Get_Data!C2149,5)</f>
        <v>39.599060000000001</v>
      </c>
      <c r="D2150" s="4">
        <f t="shared" si="33"/>
        <v>2.4231999446451504</v>
      </c>
    </row>
    <row r="2151" spans="1:4" ht="17" hidden="1" customHeight="1" outlineLevel="1" thickBot="1">
      <c r="A2151" s="2">
        <f>+Get_Data!A2150</f>
        <v>42564</v>
      </c>
      <c r="B2151">
        <f>+ROUND(Get_Data!B2150,5)</f>
        <v>96.944310000000002</v>
      </c>
      <c r="C2151">
        <f>+ROUND(Get_Data!C2150,5)</f>
        <v>39.738059999999997</v>
      </c>
      <c r="D2151" s="4">
        <f t="shared" si="33"/>
        <v>2.4395833616437241</v>
      </c>
    </row>
    <row r="2152" spans="1:4" ht="17" hidden="1" customHeight="1" outlineLevel="1" thickBot="1">
      <c r="A2152" s="2">
        <f>+Get_Data!A2151</f>
        <v>42565</v>
      </c>
      <c r="B2152">
        <f>+ROUND(Get_Data!B2151,5)</f>
        <v>96.988399999999999</v>
      </c>
      <c r="C2152">
        <f>+ROUND(Get_Data!C2151,5)</f>
        <v>39.69462</v>
      </c>
      <c r="D2152" s="4">
        <f t="shared" si="33"/>
        <v>2.443363861399857</v>
      </c>
    </row>
    <row r="2153" spans="1:4" ht="17" hidden="1" customHeight="1" outlineLevel="1" thickBot="1">
      <c r="A2153" s="2">
        <f>+Get_Data!A2152</f>
        <v>42566</v>
      </c>
      <c r="B2153">
        <f>+ROUND(Get_Data!B2152,5)</f>
        <v>96.723799999999997</v>
      </c>
      <c r="C2153">
        <f>+ROUND(Get_Data!C2152,5)</f>
        <v>39.642490000000002</v>
      </c>
      <c r="D2153" s="4">
        <f t="shared" si="33"/>
        <v>2.4399022362117009</v>
      </c>
    </row>
    <row r="2154" spans="1:4" ht="17" hidden="1" customHeight="1" outlineLevel="1" thickBot="1">
      <c r="A2154" s="2">
        <f>+Get_Data!A2153</f>
        <v>42569</v>
      </c>
      <c r="B2154">
        <f>+ROUND(Get_Data!B2153,5)</f>
        <v>96.32687</v>
      </c>
      <c r="C2154">
        <f>+ROUND(Get_Data!C2153,5)</f>
        <v>39.642490000000002</v>
      </c>
      <c r="D2154" s="4">
        <f t="shared" si="33"/>
        <v>2.4298894948324383</v>
      </c>
    </row>
    <row r="2155" spans="1:4" ht="17" hidden="1" customHeight="1" outlineLevel="1" thickBot="1">
      <c r="A2155" s="2">
        <f>+Get_Data!A2154</f>
        <v>42570</v>
      </c>
      <c r="B2155">
        <f>+ROUND(Get_Data!B2154,5)</f>
        <v>96.609120000000004</v>
      </c>
      <c r="C2155">
        <f>+ROUND(Get_Data!C2154,5)</f>
        <v>39.642490000000002</v>
      </c>
      <c r="D2155" s="4">
        <f t="shared" si="33"/>
        <v>2.4370093805913804</v>
      </c>
    </row>
    <row r="2156" spans="1:4" ht="17" hidden="1" customHeight="1" outlineLevel="1" thickBot="1">
      <c r="A2156" s="2">
        <f>+Get_Data!A2155</f>
        <v>42571</v>
      </c>
      <c r="B2156">
        <f>+ROUND(Get_Data!B2155,5)</f>
        <v>96.071089999999998</v>
      </c>
      <c r="C2156">
        <f>+ROUND(Get_Data!C2155,5)</f>
        <v>39.538240000000002</v>
      </c>
      <c r="D2156" s="4">
        <f t="shared" si="33"/>
        <v>2.4298271749071279</v>
      </c>
    </row>
    <row r="2157" spans="1:4" ht="17" hidden="1" customHeight="1" outlineLevel="1" thickBot="1">
      <c r="A2157" s="2">
        <f>+Get_Data!A2156</f>
        <v>42572</v>
      </c>
      <c r="B2157">
        <f>+ROUND(Get_Data!B2156,5)</f>
        <v>95.77122</v>
      </c>
      <c r="C2157">
        <f>+ROUND(Get_Data!C2156,5)</f>
        <v>39.486109999999996</v>
      </c>
      <c r="D2157" s="4">
        <f t="shared" si="33"/>
        <v>2.4254407435931271</v>
      </c>
    </row>
    <row r="2158" spans="1:4" ht="17" hidden="1" customHeight="1" outlineLevel="1" thickBot="1">
      <c r="A2158" s="2">
        <f>+Get_Data!A2157</f>
        <v>42573</v>
      </c>
      <c r="B2158">
        <f>+ROUND(Get_Data!B2157,5)</f>
        <v>96.309240000000003</v>
      </c>
      <c r="C2158">
        <f>+ROUND(Get_Data!C2157,5)</f>
        <v>39.81626</v>
      </c>
      <c r="D2158" s="4">
        <f t="shared" si="33"/>
        <v>2.4188419504996199</v>
      </c>
    </row>
    <row r="2159" spans="1:4" ht="17" hidden="1" customHeight="1" outlineLevel="1" thickBot="1">
      <c r="A2159" s="2">
        <f>+Get_Data!A2158</f>
        <v>42576</v>
      </c>
      <c r="B2159">
        <f>+ROUND(Get_Data!B2158,5)</f>
        <v>96.159289999999999</v>
      </c>
      <c r="C2159">
        <f>+ROUND(Get_Data!C2158,5)</f>
        <v>39.590359999999997</v>
      </c>
      <c r="D2159" s="4">
        <f t="shared" si="33"/>
        <v>2.4288561659959647</v>
      </c>
    </row>
    <row r="2160" spans="1:4" ht="17" hidden="1" customHeight="1" outlineLevel="1" thickBot="1">
      <c r="A2160" s="2">
        <f>+Get_Data!A2159</f>
        <v>42577</v>
      </c>
      <c r="B2160">
        <f>+ROUND(Get_Data!B2159,5)</f>
        <v>95.436000000000007</v>
      </c>
      <c r="C2160">
        <f>+ROUND(Get_Data!C2159,5)</f>
        <v>38.99091</v>
      </c>
      <c r="D2160" s="4">
        <f t="shared" si="33"/>
        <v>2.4476474132047703</v>
      </c>
    </row>
    <row r="2161" spans="1:4" ht="17" hidden="1" customHeight="1" outlineLevel="1" thickBot="1">
      <c r="A2161" s="2">
        <f>+Get_Data!A2160</f>
        <v>42578</v>
      </c>
      <c r="B2161">
        <f>+ROUND(Get_Data!B2160,5)</f>
        <v>94.800960000000003</v>
      </c>
      <c r="C2161">
        <f>+ROUND(Get_Data!C2160,5)</f>
        <v>37.705109999999998</v>
      </c>
      <c r="D2161" s="4">
        <f t="shared" si="33"/>
        <v>2.5142735295030305</v>
      </c>
    </row>
    <row r="2162" spans="1:4" ht="17" hidden="1" customHeight="1" outlineLevel="1" thickBot="1">
      <c r="A2162" s="2">
        <f>+Get_Data!A2161</f>
        <v>42579</v>
      </c>
      <c r="B2162">
        <f>+ROUND(Get_Data!B2161,5)</f>
        <v>95.374279999999999</v>
      </c>
      <c r="C2162">
        <f>+ROUND(Get_Data!C2161,5)</f>
        <v>37.922310000000003</v>
      </c>
      <c r="D2162" s="4">
        <f t="shared" si="33"/>
        <v>2.5149913072278558</v>
      </c>
    </row>
    <row r="2163" spans="1:4" ht="17" hidden="1" customHeight="1" outlineLevel="1" thickBot="1">
      <c r="A2163" s="2">
        <f>+Get_Data!A2162</f>
        <v>42580</v>
      </c>
      <c r="B2163">
        <f>+ROUND(Get_Data!B2162,5)</f>
        <v>96.071089999999998</v>
      </c>
      <c r="C2163">
        <f>+ROUND(Get_Data!C2162,5)</f>
        <v>37.90493</v>
      </c>
      <c r="D2163" s="4">
        <f t="shared" si="33"/>
        <v>2.5345275667307656</v>
      </c>
    </row>
    <row r="2164" spans="1:4" ht="17" hidden="1" customHeight="1" outlineLevel="1" thickBot="1">
      <c r="A2164" s="2">
        <f>+Get_Data!A2163</f>
        <v>42583</v>
      </c>
      <c r="B2164">
        <f>+ROUND(Get_Data!B2163,5)</f>
        <v>96.079899999999995</v>
      </c>
      <c r="C2164">
        <f>+ROUND(Get_Data!C2163,5)</f>
        <v>37.748550000000002</v>
      </c>
      <c r="D2164" s="4">
        <f t="shared" si="33"/>
        <v>2.5452606788870034</v>
      </c>
    </row>
    <row r="2165" spans="1:4" ht="17" hidden="1" customHeight="1" outlineLevel="1" thickBot="1">
      <c r="A2165" s="2">
        <f>+Get_Data!A2164</f>
        <v>42584</v>
      </c>
      <c r="B2165">
        <f>+ROUND(Get_Data!B2164,5)</f>
        <v>95.894689999999997</v>
      </c>
      <c r="C2165">
        <f>+ROUND(Get_Data!C2164,5)</f>
        <v>37.818049999999999</v>
      </c>
      <c r="D2165" s="4">
        <f t="shared" si="33"/>
        <v>2.5356857373661517</v>
      </c>
    </row>
    <row r="2166" spans="1:4" ht="17" hidden="1" customHeight="1" outlineLevel="1" thickBot="1">
      <c r="A2166" s="2">
        <f>+Get_Data!A2165</f>
        <v>42585</v>
      </c>
      <c r="B2166">
        <f>+ROUND(Get_Data!B2165,5)</f>
        <v>95.294899999999998</v>
      </c>
      <c r="C2166">
        <f>+ROUND(Get_Data!C2165,5)</f>
        <v>37.913609999999998</v>
      </c>
      <c r="D2166" s="4">
        <f t="shared" si="33"/>
        <v>2.5134747126427688</v>
      </c>
    </row>
    <row r="2167" spans="1:4" ht="17" hidden="1" customHeight="1" outlineLevel="1" thickBot="1">
      <c r="A2167" s="2">
        <f>+Get_Data!A2166</f>
        <v>42586</v>
      </c>
      <c r="B2167">
        <f>+ROUND(Get_Data!B2166,5)</f>
        <v>95.63006</v>
      </c>
      <c r="C2167">
        <f>+ROUND(Get_Data!C2166,5)</f>
        <v>37.800669999999997</v>
      </c>
      <c r="D2167" s="4">
        <f t="shared" si="33"/>
        <v>2.5298509259227417</v>
      </c>
    </row>
    <row r="2168" spans="1:4" ht="17" hidden="1" customHeight="1" outlineLevel="1" thickBot="1">
      <c r="A2168" s="2">
        <f>+Get_Data!A2167</f>
        <v>42587</v>
      </c>
      <c r="B2168">
        <f>+ROUND(Get_Data!B2167,5)</f>
        <v>95.841750000000005</v>
      </c>
      <c r="C2168">
        <f>+ROUND(Get_Data!C2167,5)</f>
        <v>37.774610000000003</v>
      </c>
      <c r="D2168" s="4">
        <f t="shared" si="33"/>
        <v>2.5372002517034589</v>
      </c>
    </row>
    <row r="2169" spans="1:4" ht="17" hidden="1" customHeight="1" outlineLevel="1" thickBot="1">
      <c r="A2169" s="2">
        <f>+Get_Data!A2168</f>
        <v>42590</v>
      </c>
      <c r="B2169">
        <f>+ROUND(Get_Data!B2168,5)</f>
        <v>95.383099999999999</v>
      </c>
      <c r="C2169">
        <f>+ROUND(Get_Data!C2168,5)</f>
        <v>37.73986</v>
      </c>
      <c r="D2169" s="4">
        <f t="shared" si="33"/>
        <v>2.5273835144062535</v>
      </c>
    </row>
    <row r="2170" spans="1:4" ht="17" hidden="1" customHeight="1" outlineLevel="1" thickBot="1">
      <c r="A2170" s="2">
        <f>+Get_Data!A2169</f>
        <v>42591</v>
      </c>
      <c r="B2170">
        <f>+ROUND(Get_Data!B2169,5)</f>
        <v>95.50658</v>
      </c>
      <c r="C2170">
        <f>+ROUND(Get_Data!C2169,5)</f>
        <v>37.765929999999997</v>
      </c>
      <c r="D2170" s="4">
        <f t="shared" si="33"/>
        <v>2.5289084632630523</v>
      </c>
    </row>
    <row r="2171" spans="1:4" ht="17" hidden="1" customHeight="1" outlineLevel="1" thickBot="1">
      <c r="A2171" s="2">
        <f>+Get_Data!A2170</f>
        <v>42592</v>
      </c>
      <c r="B2171">
        <f>+ROUND(Get_Data!B2170,5)</f>
        <v>95.982889999999998</v>
      </c>
      <c r="C2171">
        <f>+ROUND(Get_Data!C2170,5)</f>
        <v>37.887549999999997</v>
      </c>
      <c r="D2171" s="4">
        <f t="shared" si="33"/>
        <v>2.5333622786377057</v>
      </c>
    </row>
    <row r="2172" spans="1:4" ht="17" hidden="1" customHeight="1" outlineLevel="1" thickBot="1">
      <c r="A2172" s="2">
        <f>+Get_Data!A2171</f>
        <v>42593</v>
      </c>
      <c r="B2172">
        <f>+ROUND(Get_Data!B2171,5)</f>
        <v>95.683000000000007</v>
      </c>
      <c r="C2172">
        <f>+ROUND(Get_Data!C2171,5)</f>
        <v>38.009180000000001</v>
      </c>
      <c r="D2172" s="4">
        <f t="shared" si="33"/>
        <v>2.5173655416928229</v>
      </c>
    </row>
    <row r="2173" spans="1:4" ht="17" hidden="1" customHeight="1" outlineLevel="1" thickBot="1">
      <c r="A2173" s="2">
        <f>+Get_Data!A2172</f>
        <v>42594</v>
      </c>
      <c r="B2173">
        <f>+ROUND(Get_Data!B2172,5)</f>
        <v>95.780010000000004</v>
      </c>
      <c r="C2173">
        <f>+ROUND(Get_Data!C2172,5)</f>
        <v>38.25244</v>
      </c>
      <c r="D2173" s="4">
        <f t="shared" si="33"/>
        <v>2.503892823568902</v>
      </c>
    </row>
    <row r="2174" spans="1:4" ht="17" hidden="1" customHeight="1" outlineLevel="1" thickBot="1">
      <c r="A2174" s="2">
        <f>+Get_Data!A2173</f>
        <v>42597</v>
      </c>
      <c r="B2174">
        <f>+ROUND(Get_Data!B2173,5)</f>
        <v>95.894689999999997</v>
      </c>
      <c r="C2174">
        <f>+ROUND(Get_Data!C2173,5)</f>
        <v>38.434890000000003</v>
      </c>
      <c r="D2174" s="4">
        <f t="shared" si="33"/>
        <v>2.494990619200419</v>
      </c>
    </row>
    <row r="2175" spans="1:4" ht="17" hidden="1" customHeight="1" outlineLevel="1" thickBot="1">
      <c r="A2175" s="2">
        <f>+Get_Data!A2174</f>
        <v>42598</v>
      </c>
      <c r="B2175">
        <f>+ROUND(Get_Data!B2174,5)</f>
        <v>95.259619999999998</v>
      </c>
      <c r="C2175">
        <f>+ROUND(Get_Data!C2174,5)</f>
        <v>38.078679999999999</v>
      </c>
      <c r="D2175" s="4">
        <f t="shared" si="33"/>
        <v>2.5016523682018388</v>
      </c>
    </row>
    <row r="2176" spans="1:4" ht="17" hidden="1" customHeight="1" outlineLevel="1" thickBot="1">
      <c r="A2176" s="2">
        <f>+Get_Data!A2175</f>
        <v>42599</v>
      </c>
      <c r="B2176">
        <f>+ROUND(Get_Data!B2175,5)</f>
        <v>95.674170000000004</v>
      </c>
      <c r="C2176">
        <f>+ROUND(Get_Data!C2175,5)</f>
        <v>38.278509999999997</v>
      </c>
      <c r="D2176" s="4">
        <f t="shared" si="33"/>
        <v>2.499422521932019</v>
      </c>
    </row>
    <row r="2177" spans="1:4" ht="17" hidden="1" customHeight="1" outlineLevel="1" thickBot="1">
      <c r="A2177" s="2">
        <f>+Get_Data!A2176</f>
        <v>42600</v>
      </c>
      <c r="B2177">
        <f>+ROUND(Get_Data!B2176,5)</f>
        <v>95.50658</v>
      </c>
      <c r="C2177">
        <f>+ROUND(Get_Data!C2176,5)</f>
        <v>38.31326</v>
      </c>
      <c r="D2177" s="4">
        <f t="shared" si="33"/>
        <v>2.492781350373213</v>
      </c>
    </row>
    <row r="2178" spans="1:4" ht="17" hidden="1" customHeight="1" outlineLevel="1" thickBot="1">
      <c r="A2178" s="2">
        <f>+Get_Data!A2177</f>
        <v>42601</v>
      </c>
      <c r="B2178">
        <f>+ROUND(Get_Data!B2177,5)</f>
        <v>95.409549999999996</v>
      </c>
      <c r="C2178">
        <f>+ROUND(Get_Data!C2177,5)</f>
        <v>38.156880000000001</v>
      </c>
      <c r="D2178" s="4">
        <f t="shared" si="33"/>
        <v>2.500454701747103</v>
      </c>
    </row>
    <row r="2179" spans="1:4" ht="17" hidden="1" customHeight="1" outlineLevel="1" thickBot="1">
      <c r="A2179" s="2">
        <f>+Get_Data!A2178</f>
        <v>42604</v>
      </c>
      <c r="B2179">
        <f>+ROUND(Get_Data!B2178,5)</f>
        <v>95.224329999999995</v>
      </c>
      <c r="C2179">
        <f>+ROUND(Get_Data!C2178,5)</f>
        <v>38.000500000000002</v>
      </c>
      <c r="D2179" s="4">
        <f t="shared" si="33"/>
        <v>2.5058704490730381</v>
      </c>
    </row>
    <row r="2180" spans="1:4" ht="17" hidden="1" customHeight="1" outlineLevel="1" thickBot="1">
      <c r="A2180" s="2">
        <f>+Get_Data!A2179</f>
        <v>42605</v>
      </c>
      <c r="B2180">
        <f>+ROUND(Get_Data!B2179,5)</f>
        <v>95.153790000000001</v>
      </c>
      <c r="C2180">
        <f>+ROUND(Get_Data!C2179,5)</f>
        <v>38.096069999999997</v>
      </c>
      <c r="D2180" s="4">
        <f t="shared" ref="D2180:D2243" si="34">IFERROR(B2180/C2180,"")</f>
        <v>2.4977324432677701</v>
      </c>
    </row>
    <row r="2181" spans="1:4" ht="17" hidden="1" customHeight="1" outlineLevel="1" thickBot="1">
      <c r="A2181" s="2">
        <f>+Get_Data!A2180</f>
        <v>42606</v>
      </c>
      <c r="B2181">
        <f>+ROUND(Get_Data!B2180,5)</f>
        <v>95.356650000000002</v>
      </c>
      <c r="C2181">
        <f>+ROUND(Get_Data!C2180,5)</f>
        <v>38.096069999999997</v>
      </c>
      <c r="D2181" s="4">
        <f t="shared" si="34"/>
        <v>2.5030574019839844</v>
      </c>
    </row>
    <row r="2182" spans="1:4" ht="17" hidden="1" customHeight="1" outlineLevel="1" thickBot="1">
      <c r="A2182" s="2">
        <f>+Get_Data!A2181</f>
        <v>42607</v>
      </c>
      <c r="B2182">
        <f>+ROUND(Get_Data!B2181,5)</f>
        <v>95.153790000000001</v>
      </c>
      <c r="C2182">
        <f>+ROUND(Get_Data!C2181,5)</f>
        <v>37.939680000000003</v>
      </c>
      <c r="D2182" s="4">
        <f t="shared" si="34"/>
        <v>2.5080282701382823</v>
      </c>
    </row>
    <row r="2183" spans="1:4" ht="17" hidden="1" customHeight="1" outlineLevel="1" thickBot="1">
      <c r="A2183" s="2">
        <f>+Get_Data!A2182</f>
        <v>42608</v>
      </c>
      <c r="B2183">
        <f>+ROUND(Get_Data!B2182,5)</f>
        <v>94.774510000000006</v>
      </c>
      <c r="C2183">
        <f>+ROUND(Get_Data!C2182,5)</f>
        <v>37.635599999999997</v>
      </c>
      <c r="D2183" s="4">
        <f t="shared" si="34"/>
        <v>2.5182144033840306</v>
      </c>
    </row>
    <row r="2184" spans="1:4" ht="17" hidden="1" customHeight="1" outlineLevel="1" thickBot="1">
      <c r="A2184" s="2">
        <f>+Get_Data!A2183</f>
        <v>42611</v>
      </c>
      <c r="B2184">
        <f>+ROUND(Get_Data!B2183,5)</f>
        <v>95.250789999999995</v>
      </c>
      <c r="C2184">
        <f>+ROUND(Get_Data!C2183,5)</f>
        <v>37.826740000000001</v>
      </c>
      <c r="D2184" s="4">
        <f t="shared" si="34"/>
        <v>2.5180808602591709</v>
      </c>
    </row>
    <row r="2185" spans="1:4" ht="17" hidden="1" customHeight="1" outlineLevel="1" thickBot="1">
      <c r="A2185" s="2">
        <f>+Get_Data!A2184</f>
        <v>42612</v>
      </c>
      <c r="B2185">
        <f>+ROUND(Get_Data!B2184,5)</f>
        <v>94.562809999999999</v>
      </c>
      <c r="C2185">
        <f>+ROUND(Get_Data!C2184,5)</f>
        <v>37.566110000000002</v>
      </c>
      <c r="D2185" s="4">
        <f t="shared" si="34"/>
        <v>2.5172372119444892</v>
      </c>
    </row>
    <row r="2186" spans="1:4" ht="17" hidden="1" customHeight="1" outlineLevel="1" thickBot="1">
      <c r="A2186" s="2">
        <f>+Get_Data!A2185</f>
        <v>42613</v>
      </c>
      <c r="B2186">
        <f>+ROUND(Get_Data!B2185,5)</f>
        <v>94.823070000000001</v>
      </c>
      <c r="C2186">
        <f>+ROUND(Get_Data!C2185,5)</f>
        <v>37.731180000000002</v>
      </c>
      <c r="D2186" s="4">
        <f t="shared" si="34"/>
        <v>2.5131223036226271</v>
      </c>
    </row>
    <row r="2187" spans="1:4" ht="17" hidden="1" customHeight="1" outlineLevel="1" thickBot="1">
      <c r="A2187" s="2">
        <f>+Get_Data!A2186</f>
        <v>42614</v>
      </c>
      <c r="B2187">
        <f>+ROUND(Get_Data!B2186,5)</f>
        <v>95.302750000000003</v>
      </c>
      <c r="C2187">
        <f>+ROUND(Get_Data!C2186,5)</f>
        <v>37.661679999999997</v>
      </c>
      <c r="D2187" s="4">
        <f t="shared" si="34"/>
        <v>2.5304965152908743</v>
      </c>
    </row>
    <row r="2188" spans="1:4" ht="17" hidden="1" customHeight="1" outlineLevel="1" thickBot="1">
      <c r="A2188" s="2">
        <f>+Get_Data!A2187</f>
        <v>42615</v>
      </c>
      <c r="B2188">
        <f>+ROUND(Get_Data!B2187,5)</f>
        <v>95.817939999999993</v>
      </c>
      <c r="C2188">
        <f>+ROUND(Get_Data!C2187,5)</f>
        <v>37.930990000000001</v>
      </c>
      <c r="D2188" s="4">
        <f t="shared" si="34"/>
        <v>2.5261122897135033</v>
      </c>
    </row>
    <row r="2189" spans="1:4" ht="17" hidden="1" customHeight="1" outlineLevel="1" thickBot="1">
      <c r="A2189" s="2">
        <f>+Get_Data!A2188</f>
        <v>42619</v>
      </c>
      <c r="B2189">
        <f>+ROUND(Get_Data!B2188,5)</f>
        <v>95.862369999999999</v>
      </c>
      <c r="C2189">
        <f>+ROUND(Get_Data!C2188,5)</f>
        <v>38.043930000000003</v>
      </c>
      <c r="D2189" s="4">
        <f t="shared" si="34"/>
        <v>2.5197809479725146</v>
      </c>
    </row>
    <row r="2190" spans="1:4" ht="17" hidden="1" customHeight="1" outlineLevel="1" thickBot="1">
      <c r="A2190" s="2">
        <f>+Get_Data!A2189</f>
        <v>42620</v>
      </c>
      <c r="B2190">
        <f>+ROUND(Get_Data!B2189,5)</f>
        <v>95.231679999999997</v>
      </c>
      <c r="C2190">
        <f>+ROUND(Get_Data!C2189,5)</f>
        <v>37.913609999999998</v>
      </c>
      <c r="D2190" s="4">
        <f t="shared" si="34"/>
        <v>2.511807237559283</v>
      </c>
    </row>
    <row r="2191" spans="1:4" ht="17" hidden="1" customHeight="1" outlineLevel="1" thickBot="1">
      <c r="A2191" s="2">
        <f>+Get_Data!A2190</f>
        <v>42621</v>
      </c>
      <c r="B2191">
        <f>+ROUND(Get_Data!B2190,5)</f>
        <v>94.938559999999995</v>
      </c>
      <c r="C2191">
        <f>+ROUND(Get_Data!C2190,5)</f>
        <v>37.90493</v>
      </c>
      <c r="D2191" s="4">
        <f t="shared" si="34"/>
        <v>2.5046493952105964</v>
      </c>
    </row>
    <row r="2192" spans="1:4" ht="17" hidden="1" customHeight="1" outlineLevel="1" thickBot="1">
      <c r="A2192" s="2">
        <f>+Get_Data!A2191</f>
        <v>42622</v>
      </c>
      <c r="B2192">
        <f>+ROUND(Get_Data!B2191,5)</f>
        <v>92.424750000000003</v>
      </c>
      <c r="C2192">
        <f>+ROUND(Get_Data!C2191,5)</f>
        <v>36.723379999999999</v>
      </c>
      <c r="D2192" s="4">
        <f t="shared" si="34"/>
        <v>2.5167822242941691</v>
      </c>
    </row>
    <row r="2193" spans="1:4" ht="17" hidden="1" customHeight="1" outlineLevel="1" thickBot="1">
      <c r="A2193" s="2">
        <f>+Get_Data!A2192</f>
        <v>42625</v>
      </c>
      <c r="B2193">
        <f>+ROUND(Get_Data!B2192,5)</f>
        <v>94.174620000000004</v>
      </c>
      <c r="C2193">
        <f>+ROUND(Get_Data!C2192,5)</f>
        <v>37.522669999999998</v>
      </c>
      <c r="D2193" s="4">
        <f t="shared" si="34"/>
        <v>2.5098059386498885</v>
      </c>
    </row>
    <row r="2194" spans="1:4" ht="17" hidden="1" customHeight="1" outlineLevel="1" thickBot="1">
      <c r="A2194" s="2">
        <f>+Get_Data!A2193</f>
        <v>42626</v>
      </c>
      <c r="B2194">
        <f>+ROUND(Get_Data!B2193,5)</f>
        <v>92.904399999999995</v>
      </c>
      <c r="C2194">
        <f>+ROUND(Get_Data!C2193,5)</f>
        <v>37.032179999999997</v>
      </c>
      <c r="D2194" s="4">
        <f t="shared" si="34"/>
        <v>2.508747797186123</v>
      </c>
    </row>
    <row r="2195" spans="1:4" ht="17" hidden="1" customHeight="1" outlineLevel="1" thickBot="1">
      <c r="A2195" s="2">
        <f>+Get_Data!A2194</f>
        <v>42627</v>
      </c>
      <c r="B2195">
        <f>+ROUND(Get_Data!B2194,5)</f>
        <v>93.313000000000002</v>
      </c>
      <c r="C2195">
        <f>+ROUND(Get_Data!C2194,5)</f>
        <v>36.883270000000003</v>
      </c>
      <c r="D2195" s="4">
        <f t="shared" si="34"/>
        <v>2.5299546379700062</v>
      </c>
    </row>
    <row r="2196" spans="1:4" ht="17" hidden="1" customHeight="1" outlineLevel="1" thickBot="1">
      <c r="A2196" s="2">
        <f>+Get_Data!A2195</f>
        <v>42628</v>
      </c>
      <c r="B2196">
        <f>+ROUND(Get_Data!B2195,5)</f>
        <v>93.694980000000001</v>
      </c>
      <c r="C2196">
        <f>+ROUND(Get_Data!C2195,5)</f>
        <v>37.102249999999998</v>
      </c>
      <c r="D2196" s="4">
        <f t="shared" si="34"/>
        <v>2.5253180063203717</v>
      </c>
    </row>
    <row r="2197" spans="1:4" ht="17" hidden="1" customHeight="1" outlineLevel="1" thickBot="1">
      <c r="A2197" s="2">
        <f>+Get_Data!A2196</f>
        <v>42629</v>
      </c>
      <c r="B2197">
        <f>+ROUND(Get_Data!B2196,5)</f>
        <v>93.517300000000006</v>
      </c>
      <c r="C2197">
        <f>+ROUND(Get_Data!C2196,5)</f>
        <v>36.909550000000003</v>
      </c>
      <c r="D2197" s="4">
        <f t="shared" si="34"/>
        <v>2.5336884356487683</v>
      </c>
    </row>
    <row r="2198" spans="1:4" ht="17" hidden="1" customHeight="1" outlineLevel="1" thickBot="1">
      <c r="A2198" s="2">
        <f>+Get_Data!A2197</f>
        <v>42632</v>
      </c>
      <c r="B2198">
        <f>+ROUND(Get_Data!B2197,5)</f>
        <v>93.863730000000004</v>
      </c>
      <c r="C2198">
        <f>+ROUND(Get_Data!C2197,5)</f>
        <v>36.874519999999997</v>
      </c>
      <c r="D2198" s="4">
        <f t="shared" si="34"/>
        <v>2.5454902192625153</v>
      </c>
    </row>
    <row r="2199" spans="1:4" ht="17" hidden="1" customHeight="1" outlineLevel="1" thickBot="1">
      <c r="A2199" s="2">
        <f>+Get_Data!A2198</f>
        <v>42633</v>
      </c>
      <c r="B2199">
        <f>+ROUND(Get_Data!B2198,5)</f>
        <v>94.423349999999999</v>
      </c>
      <c r="C2199">
        <f>+ROUND(Get_Data!C2198,5)</f>
        <v>37.08473</v>
      </c>
      <c r="D2199" s="4">
        <f t="shared" si="34"/>
        <v>2.5461517449365276</v>
      </c>
    </row>
    <row r="2200" spans="1:4" ht="17" hidden="1" customHeight="1" outlineLevel="1" thickBot="1">
      <c r="A2200" s="2">
        <f>+Get_Data!A2199</f>
        <v>42634</v>
      </c>
      <c r="B2200">
        <f>+ROUND(Get_Data!B2199,5)</f>
        <v>95.160610000000005</v>
      </c>
      <c r="C2200">
        <f>+ROUND(Get_Data!C2199,5)</f>
        <v>37.251139999999999</v>
      </c>
      <c r="D2200" s="4">
        <f t="shared" si="34"/>
        <v>2.554569068221805</v>
      </c>
    </row>
    <row r="2201" spans="1:4" ht="17" hidden="1" customHeight="1" outlineLevel="1" thickBot="1">
      <c r="A2201" s="2">
        <f>+Get_Data!A2200</f>
        <v>42635</v>
      </c>
      <c r="B2201">
        <f>+ROUND(Get_Data!B2200,5)</f>
        <v>95.773529999999994</v>
      </c>
      <c r="C2201">
        <f>+ROUND(Get_Data!C2200,5)</f>
        <v>37.627769999999998</v>
      </c>
      <c r="D2201" s="4">
        <f t="shared" si="34"/>
        <v>2.5452884930464919</v>
      </c>
    </row>
    <row r="2202" spans="1:4" ht="17" hidden="1" customHeight="1" outlineLevel="1" thickBot="1">
      <c r="A2202" s="2">
        <f>+Get_Data!A2201</f>
        <v>42636</v>
      </c>
      <c r="B2202">
        <f>+ROUND(Get_Data!B2201,5)</f>
        <v>95.347130000000007</v>
      </c>
      <c r="C2202">
        <f>+ROUND(Get_Data!C2201,5)</f>
        <v>37.435090000000002</v>
      </c>
      <c r="D2202" s="4">
        <f t="shared" si="34"/>
        <v>2.5469988184882153</v>
      </c>
    </row>
    <row r="2203" spans="1:4" ht="17" hidden="1" customHeight="1" outlineLevel="1" thickBot="1">
      <c r="A2203" s="2">
        <f>+Get_Data!A2202</f>
        <v>42639</v>
      </c>
      <c r="B2203">
        <f>+ROUND(Get_Data!B2202,5)</f>
        <v>95.071780000000004</v>
      </c>
      <c r="C2203">
        <f>+ROUND(Get_Data!C2202,5)</f>
        <v>36.830719999999999</v>
      </c>
      <c r="D2203" s="4">
        <f t="shared" si="34"/>
        <v>2.5813174436991728</v>
      </c>
    </row>
    <row r="2204" spans="1:4" ht="17" hidden="1" customHeight="1" outlineLevel="1" thickBot="1">
      <c r="A2204" s="2">
        <f>+Get_Data!A2203</f>
        <v>42640</v>
      </c>
      <c r="B2204">
        <f>+ROUND(Get_Data!B2203,5)</f>
        <v>95.48039</v>
      </c>
      <c r="C2204">
        <f>+ROUND(Get_Data!C2203,5)</f>
        <v>37.303690000000003</v>
      </c>
      <c r="D2204" s="4">
        <f t="shared" si="34"/>
        <v>2.5595427690933521</v>
      </c>
    </row>
    <row r="2205" spans="1:4" ht="17" hidden="1" customHeight="1" outlineLevel="1" thickBot="1">
      <c r="A2205" s="2">
        <f>+Get_Data!A2204</f>
        <v>42641</v>
      </c>
      <c r="B2205">
        <f>+ROUND(Get_Data!B2204,5)</f>
        <v>95.382689999999997</v>
      </c>
      <c r="C2205">
        <f>+ROUND(Get_Data!C2204,5)</f>
        <v>36.918309999999998</v>
      </c>
      <c r="D2205" s="4">
        <f t="shared" si="34"/>
        <v>2.5836147429283733</v>
      </c>
    </row>
    <row r="2206" spans="1:4" ht="17" hidden="1" customHeight="1" outlineLevel="1" thickBot="1">
      <c r="A2206" s="2">
        <f>+Get_Data!A2205</f>
        <v>42642</v>
      </c>
      <c r="B2206">
        <f>+ROUND(Get_Data!B2205,5)</f>
        <v>95.720230000000001</v>
      </c>
      <c r="C2206">
        <f>+ROUND(Get_Data!C2205,5)</f>
        <v>36.813200000000002</v>
      </c>
      <c r="D2206" s="4">
        <f t="shared" si="34"/>
        <v>2.6001605402410002</v>
      </c>
    </row>
    <row r="2207" spans="1:4" ht="17" hidden="1" customHeight="1" outlineLevel="1" thickBot="1">
      <c r="A2207" s="2">
        <f>+Get_Data!A2206</f>
        <v>42643</v>
      </c>
      <c r="B2207">
        <f>+ROUND(Get_Data!B2206,5)</f>
        <v>96.617379999999997</v>
      </c>
      <c r="C2207">
        <f>+ROUND(Get_Data!C2206,5)</f>
        <v>37.067210000000003</v>
      </c>
      <c r="D2207" s="4">
        <f t="shared" si="34"/>
        <v>2.6065457853450527</v>
      </c>
    </row>
    <row r="2208" spans="1:4" ht="17" hidden="1" customHeight="1" outlineLevel="1" thickBot="1">
      <c r="A2208" s="2">
        <f>+Get_Data!A2207</f>
        <v>42646</v>
      </c>
      <c r="B2208">
        <f>+ROUND(Get_Data!B2207,5)</f>
        <v>96.15549</v>
      </c>
      <c r="C2208">
        <f>+ROUND(Get_Data!C2207,5)</f>
        <v>36.813200000000002</v>
      </c>
      <c r="D2208" s="4">
        <f t="shared" si="34"/>
        <v>2.6119840166027402</v>
      </c>
    </row>
    <row r="2209" spans="1:4" ht="17" hidden="1" customHeight="1" outlineLevel="1" thickBot="1">
      <c r="A2209" s="2">
        <f>+Get_Data!A2208</f>
        <v>42647</v>
      </c>
      <c r="B2209">
        <f>+ROUND(Get_Data!B2208,5)</f>
        <v>95.133960000000002</v>
      </c>
      <c r="C2209">
        <f>+ROUND(Get_Data!C2208,5)</f>
        <v>36.646790000000003</v>
      </c>
      <c r="D2209" s="4">
        <f t="shared" si="34"/>
        <v>2.5959697970818181</v>
      </c>
    </row>
    <row r="2210" spans="1:4" ht="17" hidden="1" customHeight="1" outlineLevel="1" thickBot="1">
      <c r="A2210" s="2">
        <f>+Get_Data!A2209</f>
        <v>42648</v>
      </c>
      <c r="B2210">
        <f>+ROUND(Get_Data!B2209,5)</f>
        <v>94.165760000000006</v>
      </c>
      <c r="C2210">
        <f>+ROUND(Get_Data!C2209,5)</f>
        <v>36.620519999999999</v>
      </c>
      <c r="D2210" s="4">
        <f t="shared" si="34"/>
        <v>2.5713933062665415</v>
      </c>
    </row>
    <row r="2211" spans="1:4" ht="17" hidden="1" customHeight="1" outlineLevel="1" thickBot="1">
      <c r="A2211" s="2">
        <f>+Get_Data!A2210</f>
        <v>42649</v>
      </c>
      <c r="B2211">
        <f>+ROUND(Get_Data!B2210,5)</f>
        <v>94.512180000000001</v>
      </c>
      <c r="C2211">
        <f>+ROUND(Get_Data!C2210,5)</f>
        <v>36.53293</v>
      </c>
      <c r="D2211" s="4">
        <f t="shared" si="34"/>
        <v>2.5870407875853374</v>
      </c>
    </row>
    <row r="2212" spans="1:4" ht="17" hidden="1" customHeight="1" outlineLevel="1" thickBot="1">
      <c r="A2212" s="2">
        <f>+Get_Data!A2211</f>
        <v>42650</v>
      </c>
      <c r="B2212">
        <f>+ROUND(Get_Data!B2211,5)</f>
        <v>94.147989999999993</v>
      </c>
      <c r="C2212">
        <f>+ROUND(Get_Data!C2211,5)</f>
        <v>36.550449999999998</v>
      </c>
      <c r="D2212" s="4">
        <f t="shared" si="34"/>
        <v>2.5758366860052337</v>
      </c>
    </row>
    <row r="2213" spans="1:4" ht="17" hidden="1" customHeight="1" outlineLevel="1" thickBot="1">
      <c r="A2213" s="2">
        <f>+Get_Data!A2212</f>
        <v>42653</v>
      </c>
      <c r="B2213">
        <f>+ROUND(Get_Data!B2212,5)</f>
        <v>94.352289999999996</v>
      </c>
      <c r="C2213">
        <f>+ROUND(Get_Data!C2212,5)</f>
        <v>36.550449999999998</v>
      </c>
      <c r="D2213" s="4">
        <f t="shared" si="34"/>
        <v>2.5814262204706098</v>
      </c>
    </row>
    <row r="2214" spans="1:4" ht="17" hidden="1" customHeight="1" outlineLevel="1" thickBot="1">
      <c r="A2214" s="2">
        <f>+Get_Data!A2213</f>
        <v>42654</v>
      </c>
      <c r="B2214">
        <f>+ROUND(Get_Data!B2213,5)</f>
        <v>93.774919999999995</v>
      </c>
      <c r="C2214">
        <f>+ROUND(Get_Data!C2213,5)</f>
        <v>36.384030000000003</v>
      </c>
      <c r="D2214" s="4">
        <f t="shared" si="34"/>
        <v>2.5773648493583581</v>
      </c>
    </row>
    <row r="2215" spans="1:4" ht="17" hidden="1" customHeight="1" outlineLevel="1" thickBot="1">
      <c r="A2215" s="2">
        <f>+Get_Data!A2214</f>
        <v>42655</v>
      </c>
      <c r="B2215">
        <f>+ROUND(Get_Data!B2214,5)</f>
        <v>94.227930000000001</v>
      </c>
      <c r="C2215">
        <f>+ROUND(Get_Data!C2214,5)</f>
        <v>36.594239999999999</v>
      </c>
      <c r="D2215" s="4">
        <f t="shared" si="34"/>
        <v>2.5749388428342823</v>
      </c>
    </row>
    <row r="2216" spans="1:4" ht="17" hidden="1" customHeight="1" outlineLevel="1" thickBot="1">
      <c r="A2216" s="2">
        <f>+Get_Data!A2215</f>
        <v>42656</v>
      </c>
      <c r="B2216">
        <f>+ROUND(Get_Data!B2215,5)</f>
        <v>94.085819999999998</v>
      </c>
      <c r="C2216">
        <f>+ROUND(Get_Data!C2215,5)</f>
        <v>36.576720000000002</v>
      </c>
      <c r="D2216" s="4">
        <f t="shared" si="34"/>
        <v>2.5722869628550615</v>
      </c>
    </row>
    <row r="2217" spans="1:4" ht="17" hidden="1" customHeight="1" outlineLevel="1" thickBot="1">
      <c r="A2217" s="2">
        <f>+Get_Data!A2216</f>
        <v>42657</v>
      </c>
      <c r="B2217">
        <f>+ROUND(Get_Data!B2216,5)</f>
        <v>94.894130000000004</v>
      </c>
      <c r="C2217">
        <f>+ROUND(Get_Data!C2216,5)</f>
        <v>36.497880000000002</v>
      </c>
      <c r="D2217" s="4">
        <f t="shared" si="34"/>
        <v>2.5999901912111061</v>
      </c>
    </row>
    <row r="2218" spans="1:4" ht="17" hidden="1" customHeight="1" outlineLevel="1" thickBot="1">
      <c r="A2218" s="2">
        <f>+Get_Data!A2217</f>
        <v>42660</v>
      </c>
      <c r="B2218">
        <f>+ROUND(Get_Data!B2217,5)</f>
        <v>94.91189</v>
      </c>
      <c r="C2218">
        <f>+ROUND(Get_Data!C2217,5)</f>
        <v>36.436579999999999</v>
      </c>
      <c r="D2218" s="4">
        <f t="shared" si="34"/>
        <v>2.6048517725867795</v>
      </c>
    </row>
    <row r="2219" spans="1:4" ht="17" hidden="1" customHeight="1" outlineLevel="1" thickBot="1">
      <c r="A2219" s="2">
        <f>+Get_Data!A2218</f>
        <v>42661</v>
      </c>
      <c r="B2219">
        <f>+ROUND(Get_Data!B2218,5)</f>
        <v>95.000720000000001</v>
      </c>
      <c r="C2219">
        <f>+ROUND(Get_Data!C2218,5)</f>
        <v>36.760649999999998</v>
      </c>
      <c r="D2219" s="4">
        <f t="shared" si="34"/>
        <v>2.5843046844927935</v>
      </c>
    </row>
    <row r="2220" spans="1:4" ht="17" hidden="1" customHeight="1" outlineLevel="1" thickBot="1">
      <c r="A2220" s="2">
        <f>+Get_Data!A2219</f>
        <v>42662</v>
      </c>
      <c r="B2220">
        <f>+ROUND(Get_Data!B2219,5)</f>
        <v>94.387810000000002</v>
      </c>
      <c r="C2220">
        <f>+ROUND(Get_Data!C2219,5)</f>
        <v>36.830719999999999</v>
      </c>
      <c r="D2220" s="4">
        <f t="shared" si="34"/>
        <v>2.5627468048411761</v>
      </c>
    </row>
    <row r="2221" spans="1:4" ht="17" hidden="1" customHeight="1" outlineLevel="1" thickBot="1">
      <c r="A2221" s="2">
        <f>+Get_Data!A2220</f>
        <v>42663</v>
      </c>
      <c r="B2221">
        <f>+ROUND(Get_Data!B2220,5)</f>
        <v>94.041390000000007</v>
      </c>
      <c r="C2221">
        <f>+ROUND(Get_Data!C2220,5)</f>
        <v>36.725619999999999</v>
      </c>
      <c r="D2221" s="4">
        <f t="shared" si="34"/>
        <v>2.5606481252052387</v>
      </c>
    </row>
    <row r="2222" spans="1:4" ht="17" hidden="1" customHeight="1" outlineLevel="1" thickBot="1">
      <c r="A2222" s="2">
        <f>+Get_Data!A2221</f>
        <v>42664</v>
      </c>
      <c r="B2222">
        <f>+ROUND(Get_Data!B2221,5)</f>
        <v>93.819329999999994</v>
      </c>
      <c r="C2222">
        <f>+ROUND(Get_Data!C2221,5)</f>
        <v>36.900790000000001</v>
      </c>
      <c r="D2222" s="4">
        <f t="shared" si="34"/>
        <v>2.542474835904597</v>
      </c>
    </row>
    <row r="2223" spans="1:4" ht="17" hidden="1" customHeight="1" outlineLevel="1" thickBot="1">
      <c r="A2223" s="2">
        <f>+Get_Data!A2222</f>
        <v>42667</v>
      </c>
      <c r="B2223">
        <f>+ROUND(Get_Data!B2222,5)</f>
        <v>95.320520000000002</v>
      </c>
      <c r="C2223">
        <f>+ROUND(Get_Data!C2222,5)</f>
        <v>37.277419999999999</v>
      </c>
      <c r="D2223" s="4">
        <f t="shared" si="34"/>
        <v>2.557057865056112</v>
      </c>
    </row>
    <row r="2224" spans="1:4" ht="17" hidden="1" customHeight="1" outlineLevel="1" thickBot="1">
      <c r="A2224" s="2">
        <f>+Get_Data!A2223</f>
        <v>42668</v>
      </c>
      <c r="B2224">
        <f>+ROUND(Get_Data!B2223,5)</f>
        <v>95.249440000000007</v>
      </c>
      <c r="C2224">
        <f>+ROUND(Get_Data!C2223,5)</f>
        <v>37.259900000000002</v>
      </c>
      <c r="D2224" s="4">
        <f t="shared" si="34"/>
        <v>2.5563525398618889</v>
      </c>
    </row>
    <row r="2225" spans="1:4" ht="17" hidden="1" customHeight="1" outlineLevel="1" thickBot="1">
      <c r="A2225" s="2">
        <f>+Get_Data!A2224</f>
        <v>42669</v>
      </c>
      <c r="B2225">
        <f>+ROUND(Get_Data!B2224,5)</f>
        <v>95.107320000000001</v>
      </c>
      <c r="C2225">
        <f>+ROUND(Get_Data!C2224,5)</f>
        <v>37.172310000000003</v>
      </c>
      <c r="D2225" s="4">
        <f t="shared" si="34"/>
        <v>2.5585528582969417</v>
      </c>
    </row>
    <row r="2226" spans="1:4" ht="17" hidden="1" customHeight="1" outlineLevel="1" thickBot="1">
      <c r="A2226" s="2">
        <f>+Get_Data!A2225</f>
        <v>42670</v>
      </c>
      <c r="B2226">
        <f>+ROUND(Get_Data!B2225,5)</f>
        <v>94.716489999999993</v>
      </c>
      <c r="C2226">
        <f>+ROUND(Get_Data!C2225,5)</f>
        <v>36.892029999999998</v>
      </c>
      <c r="D2226" s="4">
        <f t="shared" si="34"/>
        <v>2.5673970773633221</v>
      </c>
    </row>
    <row r="2227" spans="1:4" ht="17" hidden="1" customHeight="1" outlineLevel="1" thickBot="1">
      <c r="A2227" s="2">
        <f>+Get_Data!A2226</f>
        <v>42671</v>
      </c>
      <c r="B2227">
        <f>+ROUND(Get_Data!B2226,5)</f>
        <v>95.107320000000001</v>
      </c>
      <c r="C2227">
        <f>+ROUND(Get_Data!C2226,5)</f>
        <v>36.988390000000003</v>
      </c>
      <c r="D2227" s="4">
        <f t="shared" si="34"/>
        <v>2.5712749324855717</v>
      </c>
    </row>
    <row r="2228" spans="1:4" ht="17" hidden="1" customHeight="1" outlineLevel="1" thickBot="1">
      <c r="A2228" s="2">
        <f>+Get_Data!A2227</f>
        <v>42674</v>
      </c>
      <c r="B2228">
        <f>+ROUND(Get_Data!B2227,5)</f>
        <v>95.222809999999996</v>
      </c>
      <c r="C2228">
        <f>+ROUND(Get_Data!C2227,5)</f>
        <v>37.13729</v>
      </c>
      <c r="D2228" s="4">
        <f t="shared" si="34"/>
        <v>2.5640753539097765</v>
      </c>
    </row>
    <row r="2229" spans="1:4" ht="17" hidden="1" customHeight="1" outlineLevel="1" thickBot="1">
      <c r="A2229" s="2">
        <f>+Get_Data!A2228</f>
        <v>42675</v>
      </c>
      <c r="B2229">
        <f>+ROUND(Get_Data!B2228,5)</f>
        <v>94.787540000000007</v>
      </c>
      <c r="C2229">
        <f>+ROUND(Get_Data!C2228,5)</f>
        <v>36.892029999999998</v>
      </c>
      <c r="D2229" s="4">
        <f t="shared" si="34"/>
        <v>2.5693229675894771</v>
      </c>
    </row>
    <row r="2230" spans="1:4" ht="17" hidden="1" customHeight="1" outlineLevel="1" thickBot="1">
      <c r="A2230" s="2">
        <f>+Get_Data!A2229</f>
        <v>42676</v>
      </c>
      <c r="B2230">
        <f>+ROUND(Get_Data!B2229,5)</f>
        <v>94.787540000000007</v>
      </c>
      <c r="C2230">
        <f>+ROUND(Get_Data!C2229,5)</f>
        <v>36.830719999999999</v>
      </c>
      <c r="D2230" s="4">
        <f t="shared" si="34"/>
        <v>2.5735999730659627</v>
      </c>
    </row>
    <row r="2231" spans="1:4" ht="17" hidden="1" customHeight="1" outlineLevel="1" thickBot="1">
      <c r="A2231" s="2">
        <f>+Get_Data!A2230</f>
        <v>42677</v>
      </c>
      <c r="B2231">
        <f>+ROUND(Get_Data!B2230,5)</f>
        <v>94.716489999999993</v>
      </c>
      <c r="C2231">
        <f>+ROUND(Get_Data!C2230,5)</f>
        <v>36.813200000000002</v>
      </c>
      <c r="D2231" s="4">
        <f t="shared" si="34"/>
        <v>2.5728947768735124</v>
      </c>
    </row>
    <row r="2232" spans="1:4" ht="17" hidden="1" customHeight="1" outlineLevel="1" thickBot="1">
      <c r="A2232" s="2">
        <f>+Get_Data!A2231</f>
        <v>42678</v>
      </c>
      <c r="B2232">
        <f>+ROUND(Get_Data!B2231,5)</f>
        <v>93.988110000000006</v>
      </c>
      <c r="C2232">
        <f>+ROUND(Get_Data!C2231,5)</f>
        <v>36.5154</v>
      </c>
      <c r="D2232" s="4">
        <f t="shared" si="34"/>
        <v>2.5739307251187173</v>
      </c>
    </row>
    <row r="2233" spans="1:4" ht="17" hidden="1" customHeight="1" outlineLevel="1" thickBot="1">
      <c r="A2233" s="2">
        <f>+Get_Data!A2232</f>
        <v>42681</v>
      </c>
      <c r="B2233">
        <f>+ROUND(Get_Data!B2232,5)</f>
        <v>95.009600000000006</v>
      </c>
      <c r="C2233">
        <f>+ROUND(Get_Data!C2232,5)</f>
        <v>37.189830000000001</v>
      </c>
      <c r="D2233" s="4">
        <f t="shared" si="34"/>
        <v>2.5547199328418548</v>
      </c>
    </row>
    <row r="2234" spans="1:4" ht="17" hidden="1" customHeight="1" outlineLevel="1" thickBot="1">
      <c r="A2234" s="2">
        <f>+Get_Data!A2233</f>
        <v>42682</v>
      </c>
      <c r="B2234">
        <f>+ROUND(Get_Data!B2233,5)</f>
        <v>96.572969999999998</v>
      </c>
      <c r="C2234">
        <f>+ROUND(Get_Data!C2233,5)</f>
        <v>37.557699999999997</v>
      </c>
      <c r="D2234" s="4">
        <f t="shared" si="34"/>
        <v>2.5713227913317378</v>
      </c>
    </row>
    <row r="2235" spans="1:4" ht="17" hidden="1" customHeight="1" outlineLevel="1" thickBot="1">
      <c r="A2235" s="2">
        <f>+Get_Data!A2234</f>
        <v>42683</v>
      </c>
      <c r="B2235">
        <f>+ROUND(Get_Data!B2234,5)</f>
        <v>95.267200000000003</v>
      </c>
      <c r="C2235">
        <f>+ROUND(Get_Data!C2234,5)</f>
        <v>37.023409999999998</v>
      </c>
      <c r="D2235" s="4">
        <f t="shared" si="34"/>
        <v>2.5731611431794104</v>
      </c>
    </row>
    <row r="2236" spans="1:4" ht="17" hidden="1" customHeight="1" outlineLevel="1" thickBot="1">
      <c r="A2236" s="2">
        <f>+Get_Data!A2235</f>
        <v>42684</v>
      </c>
      <c r="B2236">
        <f>+ROUND(Get_Data!B2235,5)</f>
        <v>91.714129999999997</v>
      </c>
      <c r="C2236">
        <f>+ROUND(Get_Data!C2235,5)</f>
        <v>35.858499999999999</v>
      </c>
      <c r="D2236" s="4">
        <f t="shared" si="34"/>
        <v>2.5576677775143968</v>
      </c>
    </row>
    <row r="2237" spans="1:4" ht="17" hidden="1" customHeight="1" outlineLevel="1" thickBot="1">
      <c r="A2237" s="2">
        <f>+Get_Data!A2236</f>
        <v>42685</v>
      </c>
      <c r="B2237">
        <f>+ROUND(Get_Data!B2236,5)</f>
        <v>91.660820000000001</v>
      </c>
      <c r="C2237">
        <f>+ROUND(Get_Data!C2236,5)</f>
        <v>35.937330000000003</v>
      </c>
      <c r="D2237" s="4">
        <f t="shared" si="34"/>
        <v>2.550574013150114</v>
      </c>
    </row>
    <row r="2238" spans="1:4" ht="17" hidden="1" customHeight="1" outlineLevel="1" thickBot="1">
      <c r="A2238" s="2">
        <f>+Get_Data!A2237</f>
        <v>42688</v>
      </c>
      <c r="B2238">
        <f>+ROUND(Get_Data!B2237,5)</f>
        <v>90.061920000000001</v>
      </c>
      <c r="C2238">
        <f>+ROUND(Get_Data!C2237,5)</f>
        <v>36.059939999999997</v>
      </c>
      <c r="D2238" s="4">
        <f t="shared" si="34"/>
        <v>2.497561560002596</v>
      </c>
    </row>
    <row r="2239" spans="1:4" ht="17" hidden="1" customHeight="1" outlineLevel="1" thickBot="1">
      <c r="A2239" s="2">
        <f>+Get_Data!A2238</f>
        <v>42689</v>
      </c>
      <c r="B2239">
        <f>+ROUND(Get_Data!B2238,5)</f>
        <v>90.47054</v>
      </c>
      <c r="C2239">
        <f>+ROUND(Get_Data!C2238,5)</f>
        <v>36.296439999999997</v>
      </c>
      <c r="D2239" s="4">
        <f t="shared" si="34"/>
        <v>2.4925458254308137</v>
      </c>
    </row>
    <row r="2240" spans="1:4" ht="17" hidden="1" customHeight="1" outlineLevel="1" thickBot="1">
      <c r="A2240" s="2">
        <f>+Get_Data!A2239</f>
        <v>42690</v>
      </c>
      <c r="B2240">
        <f>+ROUND(Get_Data!B2239,5)</f>
        <v>90.346180000000004</v>
      </c>
      <c r="C2240">
        <f>+ROUND(Get_Data!C2239,5)</f>
        <v>36.138770000000001</v>
      </c>
      <c r="D2240" s="4">
        <f t="shared" si="34"/>
        <v>2.4999793850205747</v>
      </c>
    </row>
    <row r="2241" spans="1:4" ht="17" hidden="1" customHeight="1" outlineLevel="1" thickBot="1">
      <c r="A2241" s="2">
        <f>+Get_Data!A2240</f>
        <v>42691</v>
      </c>
      <c r="B2241">
        <f>+ROUND(Get_Data!B2240,5)</f>
        <v>90.266229999999993</v>
      </c>
      <c r="C2241">
        <f>+ROUND(Get_Data!C2240,5)</f>
        <v>36.016150000000003</v>
      </c>
      <c r="D2241" s="4">
        <f t="shared" si="34"/>
        <v>2.5062709367880793</v>
      </c>
    </row>
    <row r="2242" spans="1:4" ht="17" hidden="1" customHeight="1" outlineLevel="1" thickBot="1">
      <c r="A2242" s="2">
        <f>+Get_Data!A2241</f>
        <v>42692</v>
      </c>
      <c r="B2242">
        <f>+ROUND(Get_Data!B2241,5)</f>
        <v>89.990870000000001</v>
      </c>
      <c r="C2242">
        <f>+ROUND(Get_Data!C2241,5)</f>
        <v>35.832230000000003</v>
      </c>
      <c r="D2242" s="4">
        <f t="shared" si="34"/>
        <v>2.511450445590464</v>
      </c>
    </row>
    <row r="2243" spans="1:4" ht="17" hidden="1" customHeight="1" outlineLevel="1" thickBot="1">
      <c r="A2243" s="2">
        <f>+Get_Data!A2242</f>
        <v>42695</v>
      </c>
      <c r="B2243">
        <f>+ROUND(Get_Data!B2242,5)</f>
        <v>90.83475</v>
      </c>
      <c r="C2243">
        <f>+ROUND(Get_Data!C2242,5)</f>
        <v>36.226379999999999</v>
      </c>
      <c r="D2243" s="4">
        <f t="shared" si="34"/>
        <v>2.5074200071881321</v>
      </c>
    </row>
    <row r="2244" spans="1:4" ht="17" hidden="1" customHeight="1" outlineLevel="1" thickBot="1">
      <c r="A2244" s="2">
        <f>+Get_Data!A2243</f>
        <v>42696</v>
      </c>
      <c r="B2244">
        <f>+ROUND(Get_Data!B2243,5)</f>
        <v>91.394350000000003</v>
      </c>
      <c r="C2244">
        <f>+ROUND(Get_Data!C2243,5)</f>
        <v>36.235120000000002</v>
      </c>
      <c r="D2244" s="4">
        <f t="shared" ref="D2244:D2307" si="35">IFERROR(B2244/C2244,"")</f>
        <v>2.5222587920227668</v>
      </c>
    </row>
    <row r="2245" spans="1:4" ht="17" hidden="1" customHeight="1" outlineLevel="1" thickBot="1">
      <c r="A2245" s="2">
        <f>+Get_Data!A2244</f>
        <v>42697</v>
      </c>
      <c r="B2245">
        <f>+ROUND(Get_Data!B2244,5)</f>
        <v>90.18629</v>
      </c>
      <c r="C2245">
        <f>+ROUND(Get_Data!C2244,5)</f>
        <v>36.016150000000003</v>
      </c>
      <c r="D2245" s="4">
        <f t="shared" si="35"/>
        <v>2.5040513769517285</v>
      </c>
    </row>
    <row r="2246" spans="1:4" ht="17" hidden="1" customHeight="1" outlineLevel="1" thickBot="1">
      <c r="A2246" s="2">
        <f>+Get_Data!A2245</f>
        <v>42699</v>
      </c>
      <c r="B2246">
        <f>+ROUND(Get_Data!B2245,5)</f>
        <v>90.75479</v>
      </c>
      <c r="C2246">
        <f>+ROUND(Get_Data!C2245,5)</f>
        <v>36.375259999999997</v>
      </c>
      <c r="D2246" s="4">
        <f t="shared" si="35"/>
        <v>2.494959211288112</v>
      </c>
    </row>
    <row r="2247" spans="1:4" ht="17" hidden="1" customHeight="1" outlineLevel="1" thickBot="1">
      <c r="A2247" s="2">
        <f>+Get_Data!A2246</f>
        <v>42702</v>
      </c>
      <c r="B2247">
        <f>+ROUND(Get_Data!B2246,5)</f>
        <v>91.305520000000001</v>
      </c>
      <c r="C2247">
        <f>+ROUND(Get_Data!C2246,5)</f>
        <v>36.567950000000003</v>
      </c>
      <c r="D2247" s="4">
        <f t="shared" si="35"/>
        <v>2.4968728080190439</v>
      </c>
    </row>
    <row r="2248" spans="1:4" ht="17" hidden="1" customHeight="1" outlineLevel="1" thickBot="1">
      <c r="A2248" s="2">
        <f>+Get_Data!A2247</f>
        <v>42703</v>
      </c>
      <c r="B2248">
        <f>+ROUND(Get_Data!B2247,5)</f>
        <v>91.083449999999999</v>
      </c>
      <c r="C2248">
        <f>+ROUND(Get_Data!C2247,5)</f>
        <v>36.347140000000003</v>
      </c>
      <c r="D2248" s="4">
        <f t="shared" si="35"/>
        <v>2.5059316909115816</v>
      </c>
    </row>
    <row r="2249" spans="1:4" ht="17" hidden="1" customHeight="1" outlineLevel="1" thickBot="1">
      <c r="A2249" s="2">
        <f>+Get_Data!A2248</f>
        <v>42704</v>
      </c>
      <c r="B2249">
        <f>+ROUND(Get_Data!B2248,5)</f>
        <v>89.573840000000004</v>
      </c>
      <c r="C2249">
        <f>+ROUND(Get_Data!C2248,5)</f>
        <v>35.640509999999999</v>
      </c>
      <c r="D2249" s="4">
        <f t="shared" si="35"/>
        <v>2.5132592098148989</v>
      </c>
    </row>
    <row r="2250" spans="1:4" ht="17" hidden="1" customHeight="1" outlineLevel="1" thickBot="1">
      <c r="A2250" s="2">
        <f>+Get_Data!A2249</f>
        <v>42705</v>
      </c>
      <c r="B2250">
        <f>+ROUND(Get_Data!B2249,5)</f>
        <v>88.616380000000007</v>
      </c>
      <c r="C2250">
        <f>+ROUND(Get_Data!C2249,5)</f>
        <v>35.481520000000003</v>
      </c>
      <c r="D2250" s="4">
        <f t="shared" si="35"/>
        <v>2.4975361822154181</v>
      </c>
    </row>
    <row r="2251" spans="1:4" ht="17" hidden="1" customHeight="1" outlineLevel="1" thickBot="1">
      <c r="A2251" s="2">
        <f>+Get_Data!A2250</f>
        <v>42706</v>
      </c>
      <c r="B2251">
        <f>+ROUND(Get_Data!B2250,5)</f>
        <v>90.021270000000001</v>
      </c>
      <c r="C2251">
        <f>+ROUND(Get_Data!C2250,5)</f>
        <v>35.649340000000002</v>
      </c>
      <c r="D2251" s="4">
        <f t="shared" si="35"/>
        <v>2.5251875630797089</v>
      </c>
    </row>
    <row r="2252" spans="1:4" ht="17" hidden="1" customHeight="1" outlineLevel="1" thickBot="1">
      <c r="A2252" s="2">
        <f>+Get_Data!A2251</f>
        <v>42709</v>
      </c>
      <c r="B2252">
        <f>+ROUND(Get_Data!B2251,5)</f>
        <v>90.119699999999995</v>
      </c>
      <c r="C2252">
        <f>+ROUND(Get_Data!C2251,5)</f>
        <v>35.879010000000001</v>
      </c>
      <c r="D2252" s="4">
        <f t="shared" si="35"/>
        <v>2.5117666290123388</v>
      </c>
    </row>
    <row r="2253" spans="1:4" ht="17" hidden="1" customHeight="1" outlineLevel="1" thickBot="1">
      <c r="A2253" s="2">
        <f>+Get_Data!A2252</f>
        <v>42710</v>
      </c>
      <c r="B2253">
        <f>+ROUND(Get_Data!B2252,5)</f>
        <v>90.871390000000005</v>
      </c>
      <c r="C2253">
        <f>+ROUND(Get_Data!C2252,5)</f>
        <v>35.83484</v>
      </c>
      <c r="D2253" s="4">
        <f t="shared" si="35"/>
        <v>2.5358391442517951</v>
      </c>
    </row>
    <row r="2254" spans="1:4" ht="17" hidden="1" customHeight="1" outlineLevel="1" thickBot="1">
      <c r="A2254" s="2">
        <f>+Get_Data!A2253</f>
        <v>42711</v>
      </c>
      <c r="B2254">
        <f>+ROUND(Get_Data!B2253,5)</f>
        <v>91.99888</v>
      </c>
      <c r="C2254">
        <f>+ROUND(Get_Data!C2253,5)</f>
        <v>36.470799999999997</v>
      </c>
      <c r="D2254" s="4">
        <f t="shared" si="35"/>
        <v>2.5225352885047765</v>
      </c>
    </row>
    <row r="2255" spans="1:4" ht="17" hidden="1" customHeight="1" outlineLevel="1" thickBot="1">
      <c r="A2255" s="2">
        <f>+Get_Data!A2254</f>
        <v>42712</v>
      </c>
      <c r="B2255">
        <f>+ROUND(Get_Data!B2254,5)</f>
        <v>91.408280000000005</v>
      </c>
      <c r="C2255">
        <f>+ROUND(Get_Data!C2254,5)</f>
        <v>36.19697</v>
      </c>
      <c r="D2255" s="4">
        <f t="shared" si="35"/>
        <v>2.5253019796960907</v>
      </c>
    </row>
    <row r="2256" spans="1:4" ht="17" hidden="1" customHeight="1" outlineLevel="1" thickBot="1">
      <c r="A2256" s="2">
        <f>+Get_Data!A2255</f>
        <v>42713</v>
      </c>
      <c r="B2256">
        <f>+ROUND(Get_Data!B2255,5)</f>
        <v>92.678960000000004</v>
      </c>
      <c r="C2256">
        <f>+ROUND(Get_Data!C2255,5)</f>
        <v>37.097929999999998</v>
      </c>
      <c r="D2256" s="4">
        <f t="shared" si="35"/>
        <v>2.4982245640120624</v>
      </c>
    </row>
    <row r="2257" spans="1:4" ht="17" hidden="1" customHeight="1" outlineLevel="1" thickBot="1">
      <c r="A2257" s="2">
        <f>+Get_Data!A2256</f>
        <v>42716</v>
      </c>
      <c r="B2257">
        <f>+ROUND(Get_Data!B2256,5)</f>
        <v>93.708020000000005</v>
      </c>
      <c r="C2257">
        <f>+ROUND(Get_Data!C2256,5)</f>
        <v>37.009590000000003</v>
      </c>
      <c r="D2257" s="4">
        <f t="shared" si="35"/>
        <v>2.5319929239961856</v>
      </c>
    </row>
    <row r="2258" spans="1:4" ht="17" hidden="1" customHeight="1" outlineLevel="1" thickBot="1">
      <c r="A2258" s="2">
        <f>+Get_Data!A2257</f>
        <v>42717</v>
      </c>
      <c r="B2258">
        <f>+ROUND(Get_Data!B2257,5)</f>
        <v>94.522319999999993</v>
      </c>
      <c r="C2258">
        <f>+ROUND(Get_Data!C2257,5)</f>
        <v>36.885939999999998</v>
      </c>
      <c r="D2258" s="4">
        <f t="shared" si="35"/>
        <v>2.5625568983737437</v>
      </c>
    </row>
    <row r="2259" spans="1:4" ht="17" hidden="1" customHeight="1" outlineLevel="1" thickBot="1">
      <c r="A2259" s="2">
        <f>+Get_Data!A2258</f>
        <v>42718</v>
      </c>
      <c r="B2259">
        <f>+ROUND(Get_Data!B2258,5)</f>
        <v>93.484319999999997</v>
      </c>
      <c r="C2259">
        <f>+ROUND(Get_Data!C2258,5)</f>
        <v>36.400120000000001</v>
      </c>
      <c r="D2259" s="4">
        <f t="shared" si="35"/>
        <v>2.5682420827184083</v>
      </c>
    </row>
    <row r="2260" spans="1:4" ht="17" hidden="1" customHeight="1" outlineLevel="1" thickBot="1">
      <c r="A2260" s="2">
        <f>+Get_Data!A2259</f>
        <v>42719</v>
      </c>
      <c r="B2260">
        <f>+ROUND(Get_Data!B2259,5)</f>
        <v>94.227029999999999</v>
      </c>
      <c r="C2260">
        <f>+ROUND(Get_Data!C2259,5)</f>
        <v>36.700449999999996</v>
      </c>
      <c r="D2260" s="4">
        <f t="shared" si="35"/>
        <v>2.5674625243014733</v>
      </c>
    </row>
    <row r="2261" spans="1:4" ht="17" hidden="1" customHeight="1" outlineLevel="1" thickBot="1">
      <c r="A2261" s="2">
        <f>+Get_Data!A2260</f>
        <v>42720</v>
      </c>
      <c r="B2261">
        <f>+ROUND(Get_Data!B2260,5)</f>
        <v>94.737110000000001</v>
      </c>
      <c r="C2261">
        <f>+ROUND(Get_Data!C2260,5)</f>
        <v>36.868270000000003</v>
      </c>
      <c r="D2261" s="4">
        <f t="shared" si="35"/>
        <v>2.5696109418749509</v>
      </c>
    </row>
    <row r="2262" spans="1:4" ht="17" hidden="1" customHeight="1" outlineLevel="1" thickBot="1">
      <c r="A2262" s="2">
        <f>+Get_Data!A2261</f>
        <v>42723</v>
      </c>
      <c r="B2262">
        <f>+ROUND(Get_Data!B2261,5)</f>
        <v>94.325460000000007</v>
      </c>
      <c r="C2262">
        <f>+ROUND(Get_Data!C2261,5)</f>
        <v>36.806440000000002</v>
      </c>
      <c r="D2262" s="4">
        <f t="shared" si="35"/>
        <v>2.5627433677367333</v>
      </c>
    </row>
    <row r="2263" spans="1:4" ht="17" hidden="1" customHeight="1" outlineLevel="1" thickBot="1">
      <c r="A2263" s="2">
        <f>+Get_Data!A2262</f>
        <v>42724</v>
      </c>
      <c r="B2263">
        <f>+ROUND(Get_Data!B2262,5)</f>
        <v>93.86909</v>
      </c>
      <c r="C2263">
        <f>+ROUND(Get_Data!C2262,5)</f>
        <v>36.797620000000002</v>
      </c>
      <c r="D2263" s="4">
        <f t="shared" si="35"/>
        <v>2.5509554694026404</v>
      </c>
    </row>
    <row r="2264" spans="1:4" ht="17" hidden="1" customHeight="1" outlineLevel="1" thickBot="1">
      <c r="A2264" s="2">
        <f>+Get_Data!A2263</f>
        <v>42725</v>
      </c>
      <c r="B2264">
        <f>+ROUND(Get_Data!B2263,5)</f>
        <v>93.690129999999996</v>
      </c>
      <c r="C2264">
        <f>+ROUND(Get_Data!C2263,5)</f>
        <v>36.718119999999999</v>
      </c>
      <c r="D2264" s="4">
        <f t="shared" si="35"/>
        <v>2.5516047662570958</v>
      </c>
    </row>
    <row r="2265" spans="1:4" ht="17" hidden="1" customHeight="1" outlineLevel="1" thickBot="1">
      <c r="A2265" s="2">
        <f>+Get_Data!A2264</f>
        <v>42726</v>
      </c>
      <c r="B2265">
        <f>+ROUND(Get_Data!B2264,5)</f>
        <v>94.271770000000004</v>
      </c>
      <c r="C2265">
        <f>+ROUND(Get_Data!C2264,5)</f>
        <v>36.700449999999996</v>
      </c>
      <c r="D2265" s="4">
        <f t="shared" si="35"/>
        <v>2.5686815829233707</v>
      </c>
    </row>
    <row r="2266" spans="1:4" ht="17" hidden="1" customHeight="1" outlineLevel="1" thickBot="1">
      <c r="A2266" s="2">
        <f>+Get_Data!A2265</f>
        <v>42727</v>
      </c>
      <c r="B2266">
        <f>+ROUND(Get_Data!B2265,5)</f>
        <v>94.039119999999997</v>
      </c>
      <c r="C2266">
        <f>+ROUND(Get_Data!C2265,5)</f>
        <v>36.744610000000002</v>
      </c>
      <c r="D2266" s="4">
        <f t="shared" si="35"/>
        <v>2.5592629776176694</v>
      </c>
    </row>
    <row r="2267" spans="1:4" ht="17" hidden="1" customHeight="1" outlineLevel="1" thickBot="1">
      <c r="A2267" s="2">
        <f>+Get_Data!A2266</f>
        <v>42731</v>
      </c>
      <c r="B2267">
        <f>+ROUND(Get_Data!B2266,5)</f>
        <v>94.074910000000003</v>
      </c>
      <c r="C2267">
        <f>+ROUND(Get_Data!C2266,5)</f>
        <v>36.753439999999998</v>
      </c>
      <c r="D2267" s="4">
        <f t="shared" si="35"/>
        <v>2.5596219020586917</v>
      </c>
    </row>
    <row r="2268" spans="1:4" ht="17" hidden="1" customHeight="1" outlineLevel="1" thickBot="1">
      <c r="A2268" s="2">
        <f>+Get_Data!A2267</f>
        <v>42732</v>
      </c>
      <c r="B2268">
        <f>+ROUND(Get_Data!B2267,5)</f>
        <v>93.618549999999999</v>
      </c>
      <c r="C2268">
        <f>+ROUND(Get_Data!C2267,5)</f>
        <v>36.55912</v>
      </c>
      <c r="D2268" s="4">
        <f t="shared" si="35"/>
        <v>2.5607440769909124</v>
      </c>
    </row>
    <row r="2269" spans="1:4" ht="17" hidden="1" customHeight="1" outlineLevel="1" thickBot="1">
      <c r="A2269" s="2">
        <f>+Get_Data!A2268</f>
        <v>42733</v>
      </c>
      <c r="B2269">
        <f>+ROUND(Get_Data!B2268,5)</f>
        <v>93.949629999999999</v>
      </c>
      <c r="C2269">
        <f>+ROUND(Get_Data!C2268,5)</f>
        <v>36.744610000000002</v>
      </c>
      <c r="D2269" s="4">
        <f t="shared" si="35"/>
        <v>2.5568275183761644</v>
      </c>
    </row>
    <row r="2270" spans="1:4" ht="17" hidden="1" customHeight="1" outlineLevel="1" thickBot="1">
      <c r="A2270" s="2">
        <f>+Get_Data!A2269</f>
        <v>42734</v>
      </c>
      <c r="B2270">
        <f>+ROUND(Get_Data!B2269,5)</f>
        <v>93.627489999999995</v>
      </c>
      <c r="C2270">
        <f>+ROUND(Get_Data!C2269,5)</f>
        <v>36.620959999999997</v>
      </c>
      <c r="D2270" s="4">
        <f t="shared" si="35"/>
        <v>2.556663997885364</v>
      </c>
    </row>
    <row r="2271" spans="1:4" ht="17" hidden="1" customHeight="1" outlineLevel="1" thickBot="1">
      <c r="A2271" s="2">
        <f>+Get_Data!A2270</f>
        <v>42738</v>
      </c>
      <c r="B2271">
        <f>+ROUND(Get_Data!B2270,5)</f>
        <v>93.645390000000006</v>
      </c>
      <c r="C2271">
        <f>+ROUND(Get_Data!C2270,5)</f>
        <v>36.921259999999997</v>
      </c>
      <c r="D2271" s="4">
        <f t="shared" si="35"/>
        <v>2.5363541222591</v>
      </c>
    </row>
    <row r="2272" spans="1:4" ht="17" hidden="1" customHeight="1" outlineLevel="1" thickBot="1">
      <c r="A2272" s="2">
        <f>+Get_Data!A2271</f>
        <v>42739</v>
      </c>
      <c r="B2272">
        <f>+ROUND(Get_Data!B2271,5)</f>
        <v>93.824349999999995</v>
      </c>
      <c r="C2272">
        <f>+ROUND(Get_Data!C2271,5)</f>
        <v>36.788780000000003</v>
      </c>
      <c r="D2272" s="4">
        <f t="shared" si="35"/>
        <v>2.5503523085027551</v>
      </c>
    </row>
    <row r="2273" spans="1:4" ht="17" hidden="1" customHeight="1" outlineLevel="1" thickBot="1">
      <c r="A2273" s="2">
        <f>+Get_Data!A2272</f>
        <v>42740</v>
      </c>
      <c r="B2273">
        <f>+ROUND(Get_Data!B2272,5)</f>
        <v>93.699070000000006</v>
      </c>
      <c r="C2273">
        <f>+ROUND(Get_Data!C2272,5)</f>
        <v>36.877099999999999</v>
      </c>
      <c r="D2273" s="4">
        <f t="shared" si="35"/>
        <v>2.5408470297284769</v>
      </c>
    </row>
    <row r="2274" spans="1:4" ht="17" hidden="1" customHeight="1" outlineLevel="1" thickBot="1">
      <c r="A2274" s="2">
        <f>+Get_Data!A2273</f>
        <v>42741</v>
      </c>
      <c r="B2274">
        <f>+ROUND(Get_Data!B2273,5)</f>
        <v>93.564830000000001</v>
      </c>
      <c r="C2274">
        <f>+ROUND(Get_Data!C2273,5)</f>
        <v>36.868270000000003</v>
      </c>
      <c r="D2274" s="4">
        <f t="shared" si="35"/>
        <v>2.537814494686081</v>
      </c>
    </row>
    <row r="2275" spans="1:4" ht="17" hidden="1" customHeight="1" outlineLevel="1" thickBot="1">
      <c r="A2275" s="2">
        <f>+Get_Data!A2274</f>
        <v>42744</v>
      </c>
      <c r="B2275">
        <f>+ROUND(Get_Data!B2274,5)</f>
        <v>92.580529999999996</v>
      </c>
      <c r="C2275">
        <f>+ROUND(Get_Data!C2274,5)</f>
        <v>36.49729</v>
      </c>
      <c r="D2275" s="4">
        <f t="shared" si="35"/>
        <v>2.5366412136353138</v>
      </c>
    </row>
    <row r="2276" spans="1:4" ht="17" hidden="1" customHeight="1" outlineLevel="1" thickBot="1">
      <c r="A2276" s="2">
        <f>+Get_Data!A2275</f>
        <v>42745</v>
      </c>
      <c r="B2276">
        <f>+ROUND(Get_Data!B2275,5)</f>
        <v>91.247209999999995</v>
      </c>
      <c r="C2276">
        <f>+ROUND(Get_Data!C2275,5)</f>
        <v>36.249980000000001</v>
      </c>
      <c r="D2276" s="4">
        <f t="shared" si="35"/>
        <v>2.5171658025742358</v>
      </c>
    </row>
    <row r="2277" spans="1:4" ht="17" hidden="1" customHeight="1" outlineLevel="1" thickBot="1">
      <c r="A2277" s="2">
        <f>+Get_Data!A2276</f>
        <v>42746</v>
      </c>
      <c r="B2277">
        <f>+ROUND(Get_Data!B2276,5)</f>
        <v>91.104020000000006</v>
      </c>
      <c r="C2277">
        <f>+ROUND(Get_Data!C2276,5)</f>
        <v>36.258800000000001</v>
      </c>
      <c r="D2277" s="4">
        <f t="shared" si="35"/>
        <v>2.5126043884519071</v>
      </c>
    </row>
    <row r="2278" spans="1:4" ht="17" hidden="1" customHeight="1" outlineLevel="1" thickBot="1">
      <c r="A2278" s="2">
        <f>+Get_Data!A2277</f>
        <v>42747</v>
      </c>
      <c r="B2278">
        <f>+ROUND(Get_Data!B2277,5)</f>
        <v>91.130870000000002</v>
      </c>
      <c r="C2278">
        <f>+ROUND(Get_Data!C2277,5)</f>
        <v>36.170479999999998</v>
      </c>
      <c r="D2278" s="4">
        <f t="shared" si="35"/>
        <v>2.5194819090042491</v>
      </c>
    </row>
    <row r="2279" spans="1:4" ht="17" hidden="1" customHeight="1" outlineLevel="1" thickBot="1">
      <c r="A2279" s="2">
        <f>+Get_Data!A2278</f>
        <v>42748</v>
      </c>
      <c r="B2279">
        <f>+ROUND(Get_Data!B2278,5)</f>
        <v>90.871390000000005</v>
      </c>
      <c r="C2279">
        <f>+ROUND(Get_Data!C2278,5)</f>
        <v>36.10866</v>
      </c>
      <c r="D2279" s="4">
        <f t="shared" si="35"/>
        <v>2.5166093120043782</v>
      </c>
    </row>
    <row r="2280" spans="1:4" ht="17" hidden="1" customHeight="1" outlineLevel="1" thickBot="1">
      <c r="A2280" s="2">
        <f>+Get_Data!A2279</f>
        <v>42752</v>
      </c>
      <c r="B2280">
        <f>+ROUND(Get_Data!B2279,5)</f>
        <v>91.444069999999996</v>
      </c>
      <c r="C2280">
        <f>+ROUND(Get_Data!C2279,5)</f>
        <v>36.408969999999997</v>
      </c>
      <c r="D2280" s="4">
        <f t="shared" si="35"/>
        <v>2.5115808000061524</v>
      </c>
    </row>
    <row r="2281" spans="1:4" ht="17" hidden="1" customHeight="1" outlineLevel="1" thickBot="1">
      <c r="A2281" s="2">
        <f>+Get_Data!A2280</f>
        <v>42753</v>
      </c>
      <c r="B2281">
        <f>+ROUND(Get_Data!B2280,5)</f>
        <v>91.936220000000006</v>
      </c>
      <c r="C2281">
        <f>+ROUND(Get_Data!C2280,5)</f>
        <v>36.470799999999997</v>
      </c>
      <c r="D2281" s="4">
        <f t="shared" si="35"/>
        <v>2.5208172017065711</v>
      </c>
    </row>
    <row r="2282" spans="1:4" ht="17" hidden="1" customHeight="1" outlineLevel="1" thickBot="1">
      <c r="A2282" s="2">
        <f>+Get_Data!A2281</f>
        <v>42754</v>
      </c>
      <c r="B2282">
        <f>+ROUND(Get_Data!B2281,5)</f>
        <v>91.596199999999996</v>
      </c>
      <c r="C2282">
        <f>+ROUND(Get_Data!C2281,5)</f>
        <v>36.338299999999997</v>
      </c>
      <c r="D2282" s="4">
        <f t="shared" si="35"/>
        <v>2.5206517641166486</v>
      </c>
    </row>
    <row r="2283" spans="1:4" ht="17" hidden="1" customHeight="1" outlineLevel="1" thickBot="1">
      <c r="A2283" s="2">
        <f>+Get_Data!A2282</f>
        <v>42755</v>
      </c>
      <c r="B2283">
        <f>+ROUND(Get_Data!B2282,5)</f>
        <v>92.38364</v>
      </c>
      <c r="C2283">
        <f>+ROUND(Get_Data!C2282,5)</f>
        <v>36.49729</v>
      </c>
      <c r="D2283" s="4">
        <f t="shared" si="35"/>
        <v>2.5312465665258981</v>
      </c>
    </row>
    <row r="2284" spans="1:4" ht="17" hidden="1" customHeight="1" outlineLevel="1" thickBot="1">
      <c r="A2284" s="2">
        <f>+Get_Data!A2283</f>
        <v>42758</v>
      </c>
      <c r="B2284">
        <f>+ROUND(Get_Data!B2283,5)</f>
        <v>93.072689999999994</v>
      </c>
      <c r="C2284">
        <f>+ROUND(Get_Data!C2283,5)</f>
        <v>36.594459999999998</v>
      </c>
      <c r="D2284" s="4">
        <f t="shared" si="35"/>
        <v>2.5433546498568362</v>
      </c>
    </row>
    <row r="2285" spans="1:4" ht="17" hidden="1" customHeight="1" outlineLevel="1" thickBot="1">
      <c r="A2285" s="2">
        <f>+Get_Data!A2284</f>
        <v>42759</v>
      </c>
      <c r="B2285">
        <f>+ROUND(Get_Data!B2284,5)</f>
        <v>93.699070000000006</v>
      </c>
      <c r="C2285">
        <f>+ROUND(Get_Data!C2284,5)</f>
        <v>37.009590000000003</v>
      </c>
      <c r="D2285" s="4">
        <f t="shared" si="35"/>
        <v>2.5317510947838113</v>
      </c>
    </row>
    <row r="2286" spans="1:4" ht="17" hidden="1" customHeight="1" outlineLevel="1" thickBot="1">
      <c r="A2286" s="2">
        <f>+Get_Data!A2285</f>
        <v>42760</v>
      </c>
      <c r="B2286">
        <f>+ROUND(Get_Data!B2285,5)</f>
        <v>93.609589999999997</v>
      </c>
      <c r="C2286">
        <f>+ROUND(Get_Data!C2285,5)</f>
        <v>37.203919999999997</v>
      </c>
      <c r="D2286" s="4">
        <f t="shared" si="35"/>
        <v>2.5161216882522059</v>
      </c>
    </row>
    <row r="2287" spans="1:4" ht="17" hidden="1" customHeight="1" outlineLevel="1" thickBot="1">
      <c r="A2287" s="2">
        <f>+Get_Data!A2286</f>
        <v>42761</v>
      </c>
      <c r="B2287">
        <f>+ROUND(Get_Data!B2286,5)</f>
        <v>93.189030000000002</v>
      </c>
      <c r="C2287">
        <f>+ROUND(Get_Data!C2286,5)</f>
        <v>36.930109999999999</v>
      </c>
      <c r="D2287" s="4">
        <f t="shared" si="35"/>
        <v>2.5233889094833457</v>
      </c>
    </row>
    <row r="2288" spans="1:4" ht="17" hidden="1" customHeight="1" outlineLevel="1" thickBot="1">
      <c r="A2288" s="2">
        <f>+Get_Data!A2287</f>
        <v>42762</v>
      </c>
      <c r="B2288">
        <f>+ROUND(Get_Data!B2287,5)</f>
        <v>92.598429999999993</v>
      </c>
      <c r="C2288">
        <f>+ROUND(Get_Data!C2287,5)</f>
        <v>36.612119999999997</v>
      </c>
      <c r="D2288" s="4">
        <f t="shared" si="35"/>
        <v>2.5291742188106014</v>
      </c>
    </row>
    <row r="2289" spans="1:4" ht="17" hidden="1" customHeight="1" outlineLevel="1" thickBot="1">
      <c r="A2289" s="2">
        <f>+Get_Data!A2288</f>
        <v>42765</v>
      </c>
      <c r="B2289">
        <f>+ROUND(Get_Data!B2288,5)</f>
        <v>92.786339999999996</v>
      </c>
      <c r="C2289">
        <f>+ROUND(Get_Data!C2288,5)</f>
        <v>36.550289999999997</v>
      </c>
      <c r="D2289" s="4">
        <f t="shared" si="35"/>
        <v>2.5385938114307711</v>
      </c>
    </row>
    <row r="2290" spans="1:4" ht="17" hidden="1" customHeight="1" outlineLevel="1" thickBot="1">
      <c r="A2290" s="2">
        <f>+Get_Data!A2289</f>
        <v>42766</v>
      </c>
      <c r="B2290">
        <f>+ROUND(Get_Data!B2289,5)</f>
        <v>92.866860000000003</v>
      </c>
      <c r="C2290">
        <f>+ROUND(Get_Data!C2289,5)</f>
        <v>36.718119999999999</v>
      </c>
      <c r="D2290" s="4">
        <f t="shared" si="35"/>
        <v>2.5291834113511258</v>
      </c>
    </row>
    <row r="2291" spans="1:4" ht="17" hidden="1" customHeight="1" outlineLevel="1" thickBot="1">
      <c r="A2291" s="2">
        <f>+Get_Data!A2290</f>
        <v>42767</v>
      </c>
      <c r="B2291">
        <f>+ROUND(Get_Data!B2290,5)</f>
        <v>92.177850000000007</v>
      </c>
      <c r="C2291">
        <f>+ROUND(Get_Data!C2290,5)</f>
        <v>36.444290000000002</v>
      </c>
      <c r="D2291" s="4">
        <f t="shared" si="35"/>
        <v>2.5292809929895741</v>
      </c>
    </row>
    <row r="2292" spans="1:4" ht="17" hidden="1" customHeight="1" outlineLevel="1" thickBot="1">
      <c r="A2292" s="2">
        <f>+Get_Data!A2291</f>
        <v>42768</v>
      </c>
      <c r="B2292">
        <f>+ROUND(Get_Data!B2291,5)</f>
        <v>93.090580000000003</v>
      </c>
      <c r="C2292">
        <f>+ROUND(Get_Data!C2291,5)</f>
        <v>36.567959999999999</v>
      </c>
      <c r="D2292" s="4">
        <f t="shared" si="35"/>
        <v>2.5456869893753988</v>
      </c>
    </row>
    <row r="2293" spans="1:4" ht="17" hidden="1" customHeight="1" outlineLevel="1" thickBot="1">
      <c r="A2293" s="2">
        <f>+Get_Data!A2292</f>
        <v>42769</v>
      </c>
      <c r="B2293">
        <f>+ROUND(Get_Data!B2292,5)</f>
        <v>94.057010000000005</v>
      </c>
      <c r="C2293">
        <f>+ROUND(Get_Data!C2292,5)</f>
        <v>36.69162</v>
      </c>
      <c r="D2293" s="4">
        <f t="shared" si="35"/>
        <v>2.563446639859456</v>
      </c>
    </row>
    <row r="2294" spans="1:4" ht="17" hidden="1" customHeight="1" outlineLevel="1" thickBot="1">
      <c r="A2294" s="2">
        <f>+Get_Data!A2293</f>
        <v>42772</v>
      </c>
      <c r="B2294">
        <f>+ROUND(Get_Data!B2293,5)</f>
        <v>93.573800000000006</v>
      </c>
      <c r="C2294">
        <f>+ROUND(Get_Data!C2293,5)</f>
        <v>36.709269999999997</v>
      </c>
      <c r="D2294" s="4">
        <f t="shared" si="35"/>
        <v>2.5490509617870369</v>
      </c>
    </row>
    <row r="2295" spans="1:4" ht="17" hidden="1" customHeight="1" outlineLevel="1" thickBot="1">
      <c r="A2295" s="2">
        <f>+Get_Data!A2294</f>
        <v>42773</v>
      </c>
      <c r="B2295">
        <f>+ROUND(Get_Data!B2294,5)</f>
        <v>94.504429999999999</v>
      </c>
      <c r="C2295">
        <f>+ROUND(Get_Data!C2294,5)</f>
        <v>37.009590000000003</v>
      </c>
      <c r="D2295" s="4">
        <f t="shared" si="35"/>
        <v>2.5535119410941864</v>
      </c>
    </row>
    <row r="2296" spans="1:4" ht="17" hidden="1" customHeight="1" outlineLevel="1" thickBot="1">
      <c r="A2296" s="2">
        <f>+Get_Data!A2295</f>
        <v>42774</v>
      </c>
      <c r="B2296">
        <f>+ROUND(Get_Data!B2295,5)</f>
        <v>94.576030000000003</v>
      </c>
      <c r="C2296">
        <f>+ROUND(Get_Data!C2295,5)</f>
        <v>37.115589999999997</v>
      </c>
      <c r="D2296" s="4">
        <f t="shared" si="35"/>
        <v>2.5481483656867643</v>
      </c>
    </row>
    <row r="2297" spans="1:4" ht="17" hidden="1" customHeight="1" outlineLevel="1" thickBot="1">
      <c r="A2297" s="2">
        <f>+Get_Data!A2296</f>
        <v>42775</v>
      </c>
      <c r="B2297">
        <f>+ROUND(Get_Data!B2296,5)</f>
        <v>94.826580000000007</v>
      </c>
      <c r="C2297">
        <f>+ROUND(Get_Data!C2296,5)</f>
        <v>36.435470000000002</v>
      </c>
      <c r="D2297" s="4">
        <f t="shared" si="35"/>
        <v>2.6025897291842264</v>
      </c>
    </row>
    <row r="2298" spans="1:4" ht="17" hidden="1" customHeight="1" outlineLevel="1" thickBot="1">
      <c r="A2298" s="2">
        <f>+Get_Data!A2297</f>
        <v>42776</v>
      </c>
      <c r="B2298">
        <f>+ROUND(Get_Data!B2297,5)</f>
        <v>94.942909999999998</v>
      </c>
      <c r="C2298">
        <f>+ROUND(Get_Data!C2297,5)</f>
        <v>35.84366</v>
      </c>
      <c r="D2298" s="4">
        <f t="shared" si="35"/>
        <v>2.6488062323992585</v>
      </c>
    </row>
    <row r="2299" spans="1:4" ht="17" hidden="1" customHeight="1" outlineLevel="1" thickBot="1">
      <c r="A2299" s="2">
        <f>+Get_Data!A2298</f>
        <v>42779</v>
      </c>
      <c r="B2299">
        <f>+ROUND(Get_Data!B2298,5)</f>
        <v>95.318730000000002</v>
      </c>
      <c r="C2299">
        <f>+ROUND(Get_Data!C2298,5)</f>
        <v>35.879010000000001</v>
      </c>
      <c r="D2299" s="4">
        <f t="shared" si="35"/>
        <v>2.6566711288856633</v>
      </c>
    </row>
    <row r="2300" spans="1:4" ht="17" hidden="1" customHeight="1" outlineLevel="1" thickBot="1">
      <c r="A2300" s="2">
        <f>+Get_Data!A2299</f>
        <v>42780</v>
      </c>
      <c r="B2300">
        <f>+ROUND(Get_Data!B2299,5)</f>
        <v>95.676680000000005</v>
      </c>
      <c r="C2300">
        <f>+ROUND(Get_Data!C2299,5)</f>
        <v>35.799500000000002</v>
      </c>
      <c r="D2300" s="4">
        <f t="shared" si="35"/>
        <v>2.6725702872945152</v>
      </c>
    </row>
    <row r="2301" spans="1:4" ht="17" hidden="1" customHeight="1" outlineLevel="1" thickBot="1">
      <c r="A2301" s="2">
        <f>+Get_Data!A2300</f>
        <v>42781</v>
      </c>
      <c r="B2301">
        <f>+ROUND(Get_Data!B2300,5)</f>
        <v>95.50667</v>
      </c>
      <c r="C2301">
        <f>+ROUND(Get_Data!C2300,5)</f>
        <v>35.72</v>
      </c>
      <c r="D2301" s="4">
        <f t="shared" si="35"/>
        <v>2.6737589585666295</v>
      </c>
    </row>
    <row r="2302" spans="1:4" ht="17" hidden="1" customHeight="1" outlineLevel="1" thickBot="1">
      <c r="A2302" s="2">
        <f>+Get_Data!A2301</f>
        <v>42782</v>
      </c>
      <c r="B2302">
        <f>+ROUND(Get_Data!B2301,5)</f>
        <v>96.750510000000006</v>
      </c>
      <c r="C2302">
        <f>+ROUND(Get_Data!C2301,5)</f>
        <v>36.391309999999997</v>
      </c>
      <c r="D2302" s="4">
        <f t="shared" si="35"/>
        <v>2.6586157519473748</v>
      </c>
    </row>
    <row r="2303" spans="1:4" ht="17" hidden="1" customHeight="1" outlineLevel="1" thickBot="1">
      <c r="A2303" s="2">
        <f>+Get_Data!A2302</f>
        <v>42783</v>
      </c>
      <c r="B2303">
        <f>+ROUND(Get_Data!B2302,5)</f>
        <v>96.777339999999995</v>
      </c>
      <c r="C2303">
        <f>+ROUND(Get_Data!C2302,5)</f>
        <v>36.4178</v>
      </c>
      <c r="D2303" s="4">
        <f t="shared" si="35"/>
        <v>2.6574186249581246</v>
      </c>
    </row>
    <row r="2304" spans="1:4" ht="17" hidden="1" customHeight="1" outlineLevel="1" thickBot="1">
      <c r="A2304" s="2">
        <f>+Get_Data!A2303</f>
        <v>42787</v>
      </c>
      <c r="B2304">
        <f>+ROUND(Get_Data!B2303,5)</f>
        <v>97.860079999999996</v>
      </c>
      <c r="C2304">
        <f>+ROUND(Get_Data!C2303,5)</f>
        <v>36.620959999999997</v>
      </c>
      <c r="D2304" s="4">
        <f t="shared" si="35"/>
        <v>2.6722423442749728</v>
      </c>
    </row>
    <row r="2305" spans="1:4" ht="17" hidden="1" customHeight="1" outlineLevel="1" thickBot="1">
      <c r="A2305" s="2">
        <f>+Get_Data!A2304</f>
        <v>42788</v>
      </c>
      <c r="B2305">
        <f>+ROUND(Get_Data!B2304,5)</f>
        <v>97.904849999999996</v>
      </c>
      <c r="C2305">
        <f>+ROUND(Get_Data!C2304,5)</f>
        <v>36.744610000000002</v>
      </c>
      <c r="D2305" s="4">
        <f t="shared" si="35"/>
        <v>2.6644683397102322</v>
      </c>
    </row>
    <row r="2306" spans="1:4" ht="17" hidden="1" customHeight="1" outlineLevel="1" thickBot="1">
      <c r="A2306" s="2">
        <f>+Get_Data!A2305</f>
        <v>42789</v>
      </c>
      <c r="B2306">
        <f>+ROUND(Get_Data!B2305,5)</f>
        <v>98.021180000000001</v>
      </c>
      <c r="C2306">
        <f>+ROUND(Get_Data!C2305,5)</f>
        <v>36.797620000000002</v>
      </c>
      <c r="D2306" s="4">
        <f t="shared" si="35"/>
        <v>2.6637912995460029</v>
      </c>
    </row>
    <row r="2307" spans="1:4" ht="17" hidden="1" customHeight="1" outlineLevel="1" thickBot="1">
      <c r="A2307" s="2">
        <f>+Get_Data!A2306</f>
        <v>42790</v>
      </c>
      <c r="B2307">
        <f>+ROUND(Get_Data!B2306,5)</f>
        <v>98.280680000000004</v>
      </c>
      <c r="C2307">
        <f>+ROUND(Get_Data!C2306,5)</f>
        <v>36.90361</v>
      </c>
      <c r="D2307" s="4">
        <f t="shared" si="35"/>
        <v>2.663172518894493</v>
      </c>
    </row>
    <row r="2308" spans="1:4" ht="17" hidden="1" customHeight="1" outlineLevel="1" thickBot="1">
      <c r="A2308" s="2">
        <f>+Get_Data!A2307</f>
        <v>42793</v>
      </c>
      <c r="B2308">
        <f>+ROUND(Get_Data!B2307,5)</f>
        <v>97.779560000000004</v>
      </c>
      <c r="C2308">
        <f>+ROUND(Get_Data!C2307,5)</f>
        <v>36.806440000000002</v>
      </c>
      <c r="D2308" s="4">
        <f t="shared" ref="D2308:D2352" si="36">IFERROR(B2308/C2308,"")</f>
        <v>2.6565883579069314</v>
      </c>
    </row>
    <row r="2309" spans="1:4" ht="17" hidden="1" customHeight="1" outlineLevel="1" thickBot="1">
      <c r="A2309" s="2">
        <f>+Get_Data!A2308</f>
        <v>42794</v>
      </c>
      <c r="B2309">
        <f>+ROUND(Get_Data!B2308,5)</f>
        <v>98.772829999999999</v>
      </c>
      <c r="C2309">
        <f>+ROUND(Get_Data!C2308,5)</f>
        <v>37.062600000000003</v>
      </c>
      <c r="D2309" s="4">
        <f t="shared" si="36"/>
        <v>2.6650270083588303</v>
      </c>
    </row>
    <row r="2310" spans="1:4" ht="17" hidden="1" customHeight="1" outlineLevel="1" thickBot="1">
      <c r="A2310" s="2">
        <f>+Get_Data!A2309</f>
        <v>42795</v>
      </c>
      <c r="B2310">
        <f>+ROUND(Get_Data!B2309,5)</f>
        <v>98.865639999999999</v>
      </c>
      <c r="C2310">
        <f>+ROUND(Get_Data!C2309,5)</f>
        <v>37.239249999999998</v>
      </c>
      <c r="D2310" s="4">
        <f t="shared" si="36"/>
        <v>2.6548773135871429</v>
      </c>
    </row>
    <row r="2311" spans="1:4" ht="17" hidden="1" customHeight="1" outlineLevel="1" thickBot="1">
      <c r="A2311" s="2">
        <f>+Get_Data!A2310</f>
        <v>42796</v>
      </c>
      <c r="B2311">
        <f>+ROUND(Get_Data!B2310,5)</f>
        <v>99.208020000000005</v>
      </c>
      <c r="C2311">
        <f>+ROUND(Get_Data!C2310,5)</f>
        <v>37.513080000000002</v>
      </c>
      <c r="D2311" s="4">
        <f t="shared" si="36"/>
        <v>2.6446247548854958</v>
      </c>
    </row>
    <row r="2312" spans="1:4" ht="17" hidden="1" customHeight="1" outlineLevel="1" thickBot="1">
      <c r="A2312" s="2">
        <f>+Get_Data!A2311</f>
        <v>42797</v>
      </c>
      <c r="B2312">
        <f>+ROUND(Get_Data!B2311,5)</f>
        <v>99.61345</v>
      </c>
      <c r="C2312">
        <f>+ROUND(Get_Data!C2311,5)</f>
        <v>37.521909999999998</v>
      </c>
      <c r="D2312" s="4">
        <f t="shared" si="36"/>
        <v>2.6548075511081395</v>
      </c>
    </row>
    <row r="2313" spans="1:4" ht="17" hidden="1" customHeight="1" outlineLevel="1" thickBot="1">
      <c r="A2313" s="2">
        <f>+Get_Data!A2312</f>
        <v>42800</v>
      </c>
      <c r="B2313">
        <f>+ROUND(Get_Data!B2312,5)</f>
        <v>98.775540000000007</v>
      </c>
      <c r="C2313">
        <f>+ROUND(Get_Data!C2312,5)</f>
        <v>37.256920000000001</v>
      </c>
      <c r="D2313" s="4">
        <f t="shared" si="36"/>
        <v>2.6511998307965339</v>
      </c>
    </row>
    <row r="2314" spans="1:4" ht="17" hidden="1" customHeight="1" outlineLevel="1" thickBot="1">
      <c r="A2314" s="2">
        <f>+Get_Data!A2313</f>
        <v>42801</v>
      </c>
      <c r="B2314">
        <f>+ROUND(Get_Data!B2313,5)</f>
        <v>98.496229999999997</v>
      </c>
      <c r="C2314">
        <f>+ROUND(Get_Data!C2313,5)</f>
        <v>37.089100000000002</v>
      </c>
      <c r="D2314" s="4">
        <f t="shared" si="36"/>
        <v>2.6556651415105783</v>
      </c>
    </row>
    <row r="2315" spans="1:4" ht="17" hidden="1" customHeight="1" outlineLevel="1" thickBot="1">
      <c r="A2315" s="2">
        <f>+Get_Data!A2314</f>
        <v>42802</v>
      </c>
      <c r="B2315">
        <f>+ROUND(Get_Data!B2314,5)</f>
        <v>98.478229999999996</v>
      </c>
      <c r="C2315">
        <f>+ROUND(Get_Data!C2314,5)</f>
        <v>37.089100000000002</v>
      </c>
      <c r="D2315" s="4">
        <f t="shared" si="36"/>
        <v>2.6551798237217938</v>
      </c>
    </row>
    <row r="2316" spans="1:4" ht="17" hidden="1" customHeight="1" outlineLevel="1" thickBot="1">
      <c r="A2316" s="2">
        <f>+Get_Data!A2315</f>
        <v>42803</v>
      </c>
      <c r="B2316">
        <f>+ROUND(Get_Data!B2315,5)</f>
        <v>98.225939999999994</v>
      </c>
      <c r="C2316">
        <f>+ROUND(Get_Data!C2315,5)</f>
        <v>37.124420000000001</v>
      </c>
      <c r="D2316" s="4">
        <f t="shared" si="36"/>
        <v>2.6458579016183954</v>
      </c>
    </row>
    <row r="2317" spans="1:4" ht="17" hidden="1" customHeight="1" outlineLevel="1" thickBot="1">
      <c r="A2317" s="2">
        <f>+Get_Data!A2316</f>
        <v>42804</v>
      </c>
      <c r="B2317">
        <f>+ROUND(Get_Data!B2316,5)</f>
        <v>98.739490000000004</v>
      </c>
      <c r="C2317">
        <f>+ROUND(Get_Data!C2316,5)</f>
        <v>37.354089999999999</v>
      </c>
      <c r="D2317" s="4">
        <f t="shared" si="36"/>
        <v>2.6433381190654091</v>
      </c>
    </row>
    <row r="2318" spans="1:4" ht="17" hidden="1" customHeight="1" outlineLevel="1" thickBot="1">
      <c r="A2318" s="2">
        <f>+Get_Data!A2317</f>
        <v>42807</v>
      </c>
      <c r="B2318">
        <f>+ROUND(Get_Data!B2317,5)</f>
        <v>98.57732</v>
      </c>
      <c r="C2318">
        <f>+ROUND(Get_Data!C2317,5)</f>
        <v>37.452100000000002</v>
      </c>
      <c r="D2318" s="4">
        <f t="shared" si="36"/>
        <v>2.6320905903807796</v>
      </c>
    </row>
    <row r="2319" spans="1:4" ht="17" hidden="1" customHeight="1" outlineLevel="1" thickBot="1">
      <c r="A2319" s="2">
        <f>+Get_Data!A2318</f>
        <v>42808</v>
      </c>
      <c r="B2319">
        <f>+ROUND(Get_Data!B2318,5)</f>
        <v>98.514250000000004</v>
      </c>
      <c r="C2319">
        <f>+ROUND(Get_Data!C2318,5)</f>
        <v>37.39864</v>
      </c>
      <c r="D2319" s="4">
        <f t="shared" si="36"/>
        <v>2.6341666434929185</v>
      </c>
    </row>
    <row r="2320" spans="1:4" ht="17" hidden="1" customHeight="1" outlineLevel="1" thickBot="1">
      <c r="A2320" s="2">
        <f>+Get_Data!A2319</f>
        <v>42809</v>
      </c>
      <c r="B2320">
        <f>+ROUND(Get_Data!B2319,5)</f>
        <v>100.10901</v>
      </c>
      <c r="C2320">
        <f>+ROUND(Get_Data!C2319,5)</f>
        <v>37.532299999999999</v>
      </c>
      <c r="D2320" s="4">
        <f t="shared" si="36"/>
        <v>2.6672761861116956</v>
      </c>
    </row>
    <row r="2321" spans="1:4" ht="17" hidden="1" customHeight="1" outlineLevel="1" thickBot="1">
      <c r="A2321" s="2">
        <f>+Get_Data!A2320</f>
        <v>42810</v>
      </c>
      <c r="B2321">
        <f>+ROUND(Get_Data!B2320,5)</f>
        <v>100.13603000000001</v>
      </c>
      <c r="C2321">
        <f>+ROUND(Get_Data!C2320,5)</f>
        <v>37.648130000000002</v>
      </c>
      <c r="D2321" s="4">
        <f t="shared" si="36"/>
        <v>2.6597876176054429</v>
      </c>
    </row>
    <row r="2322" spans="1:4" ht="17" hidden="1" customHeight="1" outlineLevel="1" thickBot="1">
      <c r="A2322" s="2">
        <f>+Get_Data!A2321</f>
        <v>42811</v>
      </c>
      <c r="B2322">
        <f>+ROUND(Get_Data!B2321,5)</f>
        <v>100.36127999999999</v>
      </c>
      <c r="C2322">
        <f>+ROUND(Get_Data!C2321,5)</f>
        <v>37.452100000000002</v>
      </c>
      <c r="D2322" s="4">
        <f t="shared" si="36"/>
        <v>2.6797237004066523</v>
      </c>
    </row>
    <row r="2323" spans="1:4" ht="17" hidden="1" customHeight="1" outlineLevel="1" thickBot="1">
      <c r="A2323" s="2">
        <f>+Get_Data!A2322</f>
        <v>42814</v>
      </c>
      <c r="B2323">
        <f>+ROUND(Get_Data!B2322,5)</f>
        <v>100.14503999999999</v>
      </c>
      <c r="C2323">
        <f>+ROUND(Get_Data!C2322,5)</f>
        <v>37.585760000000001</v>
      </c>
      <c r="D2323" s="4">
        <f t="shared" si="36"/>
        <v>2.6644410010599757</v>
      </c>
    </row>
    <row r="2324" spans="1:4" ht="17" hidden="1" customHeight="1" outlineLevel="1" thickBot="1">
      <c r="A2324" s="2">
        <f>+Get_Data!A2323</f>
        <v>42815</v>
      </c>
      <c r="B2324">
        <f>+ROUND(Get_Data!B2323,5)</f>
        <v>100.70365</v>
      </c>
      <c r="C2324">
        <f>+ROUND(Get_Data!C2323,5)</f>
        <v>37.870910000000002</v>
      </c>
      <c r="D2324" s="4">
        <f t="shared" si="36"/>
        <v>2.6591293950950741</v>
      </c>
    </row>
    <row r="2325" spans="1:4" ht="17" hidden="1" customHeight="1" outlineLevel="1" thickBot="1">
      <c r="A2325" s="2">
        <f>+Get_Data!A2324</f>
        <v>42816</v>
      </c>
      <c r="B2325">
        <f>+ROUND(Get_Data!B2324,5)</f>
        <v>100.92892000000001</v>
      </c>
      <c r="C2325">
        <f>+ROUND(Get_Data!C2324,5)</f>
        <v>37.763979999999997</v>
      </c>
      <c r="D2325" s="4">
        <f t="shared" si="36"/>
        <v>2.6726240189725767</v>
      </c>
    </row>
    <row r="2326" spans="1:4" ht="17" hidden="1" customHeight="1" outlineLevel="1" thickBot="1">
      <c r="A2326" s="2">
        <f>+Get_Data!A2325</f>
        <v>42817</v>
      </c>
      <c r="B2326">
        <f>+ROUND(Get_Data!B2325,5)</f>
        <v>100.71267</v>
      </c>
      <c r="C2326">
        <f>+ROUND(Get_Data!C2325,5)</f>
        <v>37.57685</v>
      </c>
      <c r="D2326" s="4">
        <f t="shared" si="36"/>
        <v>2.6801786206134897</v>
      </c>
    </row>
    <row r="2327" spans="1:4" ht="17" hidden="1" customHeight="1" outlineLevel="1" thickBot="1">
      <c r="A2327" s="2">
        <f>+Get_Data!A2326</f>
        <v>42818</v>
      </c>
      <c r="B2327">
        <f>+ROUND(Get_Data!B2326,5)</f>
        <v>101.01900000000001</v>
      </c>
      <c r="C2327">
        <f>+ROUND(Get_Data!C2326,5)</f>
        <v>37.532299999999999</v>
      </c>
      <c r="D2327" s="4">
        <f t="shared" si="36"/>
        <v>2.6915217026401264</v>
      </c>
    </row>
    <row r="2328" spans="1:4" ht="17" hidden="1" customHeight="1" outlineLevel="1" thickBot="1">
      <c r="A2328" s="2">
        <f>+Get_Data!A2327</f>
        <v>42821</v>
      </c>
      <c r="B2328">
        <f>+ROUND(Get_Data!B2327,5)</f>
        <v>100.75774</v>
      </c>
      <c r="C2328">
        <f>+ROUND(Get_Data!C2327,5)</f>
        <v>37.710509999999999</v>
      </c>
      <c r="D2328" s="4">
        <f t="shared" si="36"/>
        <v>2.6718742334696612</v>
      </c>
    </row>
    <row r="2329" spans="1:4" ht="17" hidden="1" customHeight="1" outlineLevel="1" thickBot="1">
      <c r="A2329" s="2">
        <f>+Get_Data!A2328</f>
        <v>42822</v>
      </c>
      <c r="B2329">
        <f>+ROUND(Get_Data!B2328,5)</f>
        <v>101.31632999999999</v>
      </c>
      <c r="C2329">
        <f>+ROUND(Get_Data!C2328,5)</f>
        <v>37.808529999999998</v>
      </c>
      <c r="D2329" s="4">
        <f t="shared" si="36"/>
        <v>2.6797214808404348</v>
      </c>
    </row>
    <row r="2330" spans="1:4" ht="17" hidden="1" customHeight="1" outlineLevel="1" thickBot="1">
      <c r="A2330" s="2">
        <f>+Get_Data!A2329</f>
        <v>42823</v>
      </c>
      <c r="B2330">
        <f>+ROUND(Get_Data!B2329,5)</f>
        <v>101.29832</v>
      </c>
      <c r="C2330">
        <f>+ROUND(Get_Data!C2329,5)</f>
        <v>37.799619999999997</v>
      </c>
      <c r="D2330" s="4">
        <f t="shared" si="36"/>
        <v>2.6798766760089126</v>
      </c>
    </row>
    <row r="2331" spans="1:4" ht="17" hidden="1" customHeight="1" outlineLevel="1" thickBot="1">
      <c r="A2331" s="2">
        <f>+Get_Data!A2330</f>
        <v>42824</v>
      </c>
      <c r="B2331">
        <f>+ROUND(Get_Data!B2330,5)</f>
        <v>101.07306</v>
      </c>
      <c r="C2331">
        <f>+ROUND(Get_Data!C2330,5)</f>
        <v>37.960009999999997</v>
      </c>
      <c r="D2331" s="4">
        <f t="shared" si="36"/>
        <v>2.6626194250212265</v>
      </c>
    </row>
    <row r="2332" spans="1:4" ht="17" hidden="1" customHeight="1" outlineLevel="1" thickBot="1">
      <c r="A2332" s="2">
        <f>+Get_Data!A2331</f>
        <v>42825</v>
      </c>
      <c r="B2332">
        <f>+ROUND(Get_Data!B2331,5)</f>
        <v>100.78474</v>
      </c>
      <c r="C2332">
        <f>+ROUND(Get_Data!C2331,5)</f>
        <v>37.817439999999998</v>
      </c>
      <c r="D2332" s="4">
        <f t="shared" si="36"/>
        <v>2.6650333814240206</v>
      </c>
    </row>
    <row r="2333" spans="1:4" ht="17" hidden="1" customHeight="1" outlineLevel="1" thickBot="1">
      <c r="A2333" s="2">
        <f>+Get_Data!A2332</f>
        <v>42828</v>
      </c>
      <c r="B2333">
        <f>+ROUND(Get_Data!B2332,5)</f>
        <v>100.78474</v>
      </c>
      <c r="C2333">
        <f>+ROUND(Get_Data!C2332,5)</f>
        <v>37.790709999999997</v>
      </c>
      <c r="D2333" s="4">
        <f t="shared" si="36"/>
        <v>2.6669184040204592</v>
      </c>
    </row>
    <row r="2334" spans="1:4" ht="17" hidden="1" customHeight="1" outlineLevel="1" thickBot="1">
      <c r="A2334" s="2">
        <f>+Get_Data!A2333</f>
        <v>42829</v>
      </c>
      <c r="B2334">
        <f>+ROUND(Get_Data!B2333,5)</f>
        <v>100.98296000000001</v>
      </c>
      <c r="C2334">
        <f>+ROUND(Get_Data!C2333,5)</f>
        <v>38.031300000000002</v>
      </c>
      <c r="D2334" s="4">
        <f t="shared" si="36"/>
        <v>2.6552592206945334</v>
      </c>
    </row>
    <row r="2335" spans="1:4" ht="17" hidden="1" customHeight="1" outlineLevel="1" thickBot="1">
      <c r="A2335" s="2">
        <f>+Get_Data!A2334</f>
        <v>42830</v>
      </c>
      <c r="B2335">
        <f>+ROUND(Get_Data!B2334,5)</f>
        <v>100.85683</v>
      </c>
      <c r="C2335">
        <f>+ROUND(Get_Data!C2334,5)</f>
        <v>37.933280000000003</v>
      </c>
      <c r="D2335" s="4">
        <f t="shared" si="36"/>
        <v>2.6587953902219894</v>
      </c>
    </row>
    <row r="2336" spans="1:4" ht="17" hidden="1" customHeight="1" outlineLevel="1" thickBot="1">
      <c r="A2336" s="2">
        <f>+Get_Data!A2335</f>
        <v>42831</v>
      </c>
      <c r="B2336">
        <f>+ROUND(Get_Data!B2335,5)</f>
        <v>100.53248000000001</v>
      </c>
      <c r="C2336">
        <f>+ROUND(Get_Data!C2335,5)</f>
        <v>38.022399999999998</v>
      </c>
      <c r="D2336" s="4">
        <f t="shared" si="36"/>
        <v>2.6440329910789431</v>
      </c>
    </row>
    <row r="2337" spans="1:4" ht="17" hidden="1" customHeight="1" outlineLevel="1" thickBot="1">
      <c r="A2337" s="2">
        <f>+Get_Data!A2336</f>
        <v>42832</v>
      </c>
      <c r="B2337">
        <f>+ROUND(Get_Data!B2336,5)</f>
        <v>100.5595</v>
      </c>
      <c r="C2337">
        <f>+ROUND(Get_Data!C2336,5)</f>
        <v>37.96893</v>
      </c>
      <c r="D2337" s="4">
        <f t="shared" si="36"/>
        <v>2.648468102735579</v>
      </c>
    </row>
    <row r="2338" spans="1:4" ht="17" hidden="1" customHeight="1" outlineLevel="1" thickBot="1">
      <c r="A2338" s="2">
        <f>+Get_Data!A2337</f>
        <v>42835</v>
      </c>
      <c r="B2338">
        <f>+ROUND(Get_Data!B2337,5)</f>
        <v>100.92892000000001</v>
      </c>
      <c r="C2338">
        <f>+ROUND(Get_Data!C2337,5)</f>
        <v>38.040210000000002</v>
      </c>
      <c r="D2338" s="4">
        <f t="shared" si="36"/>
        <v>2.6532166883411001</v>
      </c>
    </row>
    <row r="2339" spans="1:4" ht="17" hidden="1" customHeight="1" outlineLevel="1" thickBot="1">
      <c r="A2339" s="2">
        <f>+Get_Data!A2338</f>
        <v>42836</v>
      </c>
      <c r="B2339">
        <f>+ROUND(Get_Data!B2338,5)</f>
        <v>100.66763</v>
      </c>
      <c r="C2339">
        <f>+ROUND(Get_Data!C2338,5)</f>
        <v>38.013480000000001</v>
      </c>
      <c r="D2339" s="4">
        <f t="shared" si="36"/>
        <v>2.6482087406888293</v>
      </c>
    </row>
    <row r="2340" spans="1:4" ht="17" hidden="1" customHeight="1" outlineLevel="1" thickBot="1">
      <c r="A2340" s="2">
        <f>+Get_Data!A2339</f>
        <v>42837</v>
      </c>
      <c r="B2340">
        <f>+ROUND(Get_Data!B2339,5)</f>
        <v>102.36147</v>
      </c>
      <c r="C2340">
        <f>+ROUND(Get_Data!C2339,5)</f>
        <v>38.262970000000003</v>
      </c>
      <c r="D2340" s="4">
        <f t="shared" si="36"/>
        <v>2.6752097393380594</v>
      </c>
    </row>
    <row r="2341" spans="1:4" ht="17" hidden="1" customHeight="1" outlineLevel="1" thickBot="1">
      <c r="A2341" s="2">
        <f>+Get_Data!A2340</f>
        <v>42838</v>
      </c>
      <c r="B2341">
        <f>+ROUND(Get_Data!B2340,5)</f>
        <v>101.52356</v>
      </c>
      <c r="C2341">
        <f>+ROUND(Get_Data!C2340,5)</f>
        <v>38.129309999999997</v>
      </c>
      <c r="D2341" s="4">
        <f t="shared" si="36"/>
        <v>2.662612043071328</v>
      </c>
    </row>
    <row r="2342" spans="1:4" ht="17" hidden="1" customHeight="1" outlineLevel="1" thickBot="1">
      <c r="A2342" s="2">
        <f>+Get_Data!A2341</f>
        <v>42842</v>
      </c>
      <c r="B2342">
        <f>+ROUND(Get_Data!B2341,5)</f>
        <v>102.1002</v>
      </c>
      <c r="C2342">
        <f>+ROUND(Get_Data!C2341,5)</f>
        <v>38.378819999999997</v>
      </c>
      <c r="D2342" s="4">
        <f t="shared" si="36"/>
        <v>2.6603267114517855</v>
      </c>
    </row>
    <row r="2343" spans="1:4" ht="17" hidden="1" customHeight="1" outlineLevel="1" thickBot="1">
      <c r="A2343" s="2">
        <f>+Get_Data!A2342</f>
        <v>42843</v>
      </c>
      <c r="B2343">
        <f>+ROUND(Get_Data!B2342,5)</f>
        <v>102.96514000000001</v>
      </c>
      <c r="C2343">
        <f>+ROUND(Get_Data!C2342,5)</f>
        <v>38.744160000000001</v>
      </c>
      <c r="D2343" s="4">
        <f t="shared" si="36"/>
        <v>2.6575654240535864</v>
      </c>
    </row>
    <row r="2344" spans="1:4" ht="17" hidden="1" customHeight="1" outlineLevel="1" thickBot="1">
      <c r="A2344" s="2">
        <f>+Get_Data!A2343</f>
        <v>42844</v>
      </c>
      <c r="B2344">
        <f>+ROUND(Get_Data!B2343,5)</f>
        <v>102.37049</v>
      </c>
      <c r="C2344">
        <f>+ROUND(Get_Data!C2343,5)</f>
        <v>38.521389999999997</v>
      </c>
      <c r="D2344" s="4">
        <f t="shared" si="36"/>
        <v>2.6574973021482355</v>
      </c>
    </row>
    <row r="2345" spans="1:4" ht="17" hidden="1" customHeight="1" outlineLevel="1" thickBot="1">
      <c r="A2345" s="2">
        <f>+Get_Data!A2344</f>
        <v>42845</v>
      </c>
      <c r="B2345">
        <f>+ROUND(Get_Data!B2344,5)</f>
        <v>102.34347</v>
      </c>
      <c r="C2345">
        <f>+ROUND(Get_Data!C2344,5)</f>
        <v>38.396659999999997</v>
      </c>
      <c r="D2345" s="4">
        <f t="shared" si="36"/>
        <v>2.665426367814284</v>
      </c>
    </row>
    <row r="2346" spans="1:4" ht="17" hidden="1" customHeight="1" outlineLevel="1" thickBot="1">
      <c r="A2346" s="2">
        <f>+Get_Data!A2345</f>
        <v>42846</v>
      </c>
      <c r="B2346">
        <f>+ROUND(Get_Data!B2345,5)</f>
        <v>102.19932</v>
      </c>
      <c r="C2346">
        <f>+ROUND(Get_Data!C2345,5)</f>
        <v>38.378819999999997</v>
      </c>
      <c r="D2346" s="4">
        <f t="shared" si="36"/>
        <v>2.6629093859581929</v>
      </c>
    </row>
    <row r="2347" spans="1:4" ht="17" hidden="1" customHeight="1" outlineLevel="1" thickBot="1">
      <c r="A2347" s="2">
        <f>+Get_Data!A2346</f>
        <v>42849</v>
      </c>
      <c r="B2347">
        <f>+ROUND(Get_Data!B2346,5)</f>
        <v>103.00118000000001</v>
      </c>
      <c r="C2347">
        <f>+ROUND(Get_Data!C2346,5)</f>
        <v>38.565950000000001</v>
      </c>
      <c r="D2347" s="4">
        <f t="shared" si="36"/>
        <v>2.6707803126851535</v>
      </c>
    </row>
    <row r="2348" spans="1:4" ht="17" hidden="1" customHeight="1" outlineLevel="1" thickBot="1">
      <c r="A2348" s="2">
        <f>+Get_Data!A2347</f>
        <v>42850</v>
      </c>
      <c r="B2348">
        <f>+ROUND(Get_Data!B2347,5)</f>
        <v>102.85704</v>
      </c>
      <c r="C2348">
        <f>+ROUND(Get_Data!C2347,5)</f>
        <v>38.414470000000001</v>
      </c>
      <c r="D2348" s="4">
        <f t="shared" si="36"/>
        <v>2.6775597841126011</v>
      </c>
    </row>
    <row r="2349" spans="1:4" ht="17" hidden="1" customHeight="1" outlineLevel="1" thickBot="1">
      <c r="A2349" s="2">
        <f>+Get_Data!A2348</f>
        <v>42851</v>
      </c>
      <c r="B2349">
        <f>+ROUND(Get_Data!B2348,5)</f>
        <v>102.1092</v>
      </c>
      <c r="C2349">
        <f>+ROUND(Get_Data!C2348,5)</f>
        <v>38.53031</v>
      </c>
      <c r="D2349" s="4">
        <f t="shared" si="36"/>
        <v>2.650100661012071</v>
      </c>
    </row>
    <row r="2350" spans="1:4" ht="17" hidden="1" customHeight="1" outlineLevel="1" thickBot="1">
      <c r="A2350" s="2">
        <f>+Get_Data!A2349</f>
        <v>42852</v>
      </c>
      <c r="B2350">
        <f>+ROUND(Get_Data!B2349,5)</f>
        <v>101.48754</v>
      </c>
      <c r="C2350">
        <f>+ROUND(Get_Data!C2349,5)</f>
        <v>38.325360000000003</v>
      </c>
      <c r="D2350" s="4">
        <f t="shared" si="36"/>
        <v>2.6480518382606189</v>
      </c>
    </row>
    <row r="2351" spans="1:4" ht="17" hidden="1" customHeight="1" outlineLevel="1" thickBot="1">
      <c r="A2351" s="2">
        <f>+Get_Data!A2350</f>
        <v>42853</v>
      </c>
      <c r="B2351">
        <f>+ROUND(Get_Data!B2350,5)</f>
        <v>102.06415</v>
      </c>
      <c r="C2351">
        <f>+ROUND(Get_Data!C2350,5)</f>
        <v>38.450110000000002</v>
      </c>
      <c r="D2351" s="4">
        <f t="shared" si="36"/>
        <v>2.6544566452475689</v>
      </c>
    </row>
    <row r="2352" spans="1:4" ht="17" hidden="1" customHeight="1" outlineLevel="1" thickBot="1">
      <c r="A2352" s="2">
        <f>+Get_Data!A2351</f>
        <v>42856</v>
      </c>
      <c r="B2352">
        <f>+ROUND(Get_Data!B2351,5)</f>
        <v>101.16316</v>
      </c>
      <c r="C2352">
        <f>+ROUND(Get_Data!C2351,5)</f>
        <v>38.512479999999996</v>
      </c>
      <c r="D2352" s="4">
        <f t="shared" si="36"/>
        <v>2.6267630648558602</v>
      </c>
    </row>
    <row r="2353" spans="1:23" ht="17" collapsed="1" thickBot="1">
      <c r="A2353" s="2">
        <f>+Get_Data!A2352</f>
        <v>42857</v>
      </c>
      <c r="B2353">
        <f>+ROUND(Get_Data!B2352,5)</f>
        <v>101.17218</v>
      </c>
      <c r="C2353">
        <f>+ROUND(Get_Data!C2352,5)</f>
        <v>38.663969999999999</v>
      </c>
      <c r="D2353" s="4">
        <f>IFERROR(ROUND(B2353/C2353,5),"")</f>
        <v>2.6166999999999998</v>
      </c>
      <c r="F2353" s="12" t="s">
        <v>24</v>
      </c>
      <c r="G2353" s="10">
        <v>10</v>
      </c>
      <c r="L2353" s="7" t="s">
        <v>30</v>
      </c>
      <c r="M2353" s="8">
        <f ca="1">+COUNT($Y$2373:$Y$3574)</f>
        <v>57</v>
      </c>
      <c r="N2353" s="9"/>
    </row>
    <row r="2354" spans="1:23" ht="17" thickBot="1">
      <c r="A2354" s="2">
        <f>+Get_Data!A2353</f>
        <v>42858</v>
      </c>
      <c r="B2354">
        <f>+ROUND(Get_Data!B2353,5)</f>
        <v>100.72169</v>
      </c>
      <c r="C2354">
        <f>+ROUND(Get_Data!C2353,5)</f>
        <v>38.601590000000002</v>
      </c>
      <c r="D2354" s="4">
        <f t="shared" ref="D2354:D2417" si="37">IFERROR(ROUND(B2354/C2354,5),"")</f>
        <v>2.6092599999999999</v>
      </c>
      <c r="L2354" s="48" t="s">
        <v>34</v>
      </c>
      <c r="M2354" s="52">
        <f ca="1">+COUNTIF($Y$2373:$Y$3574,"&gt;0")</f>
        <v>31</v>
      </c>
      <c r="N2354" s="53">
        <f ca="1">+M2354/M2353</f>
        <v>0.54385964912280704</v>
      </c>
      <c r="Q2354" s="33"/>
      <c r="R2354" s="33"/>
      <c r="S2354" s="33"/>
      <c r="T2354" s="33"/>
      <c r="U2354" s="34"/>
      <c r="V2354" s="11"/>
    </row>
    <row r="2355" spans="1:23" ht="17" thickTop="1">
      <c r="A2355" s="2">
        <f>+Get_Data!A2354</f>
        <v>42859</v>
      </c>
      <c r="B2355">
        <f>+ROUND(Get_Data!B2354,5)</f>
        <v>101.77583</v>
      </c>
      <c r="C2355">
        <f>+ROUND(Get_Data!C2354,5)</f>
        <v>38.904559999999996</v>
      </c>
      <c r="D2355" s="4">
        <f t="shared" si="37"/>
        <v>2.6160399999999999</v>
      </c>
      <c r="L2355"/>
      <c r="M2355"/>
      <c r="N2355"/>
      <c r="T2355" s="11"/>
      <c r="U2355" s="35"/>
      <c r="V2355" s="11"/>
    </row>
    <row r="2356" spans="1:23">
      <c r="A2356" s="2">
        <f>+Get_Data!A2355</f>
        <v>42860</v>
      </c>
      <c r="B2356">
        <f>+ROUND(Get_Data!B2355,5)</f>
        <v>102.01009000000001</v>
      </c>
      <c r="C2356">
        <f>+ROUND(Get_Data!C2355,5)</f>
        <v>38.931289999999997</v>
      </c>
      <c r="D2356" s="4">
        <f t="shared" si="37"/>
        <v>2.62026</v>
      </c>
      <c r="L2356"/>
      <c r="M2356"/>
      <c r="N2356" t="s">
        <v>36</v>
      </c>
      <c r="O2356" s="54">
        <f ca="1">+SUM(Y2372:Y3574)</f>
        <v>-0.14351540102878724</v>
      </c>
      <c r="T2356" s="11"/>
      <c r="U2356" s="35"/>
      <c r="V2356" s="11"/>
    </row>
    <row r="2357" spans="1:23">
      <c r="A2357" s="2">
        <f>+Get_Data!A2356</f>
        <v>42863</v>
      </c>
      <c r="B2357">
        <f>+ROUND(Get_Data!B2356,5)</f>
        <v>102.01009000000001</v>
      </c>
      <c r="C2357">
        <f>+ROUND(Get_Data!C2356,5)</f>
        <v>39.109499999999997</v>
      </c>
      <c r="D2357" s="4">
        <f t="shared" si="37"/>
        <v>2.60832</v>
      </c>
      <c r="L2357" s="42" t="s">
        <v>31</v>
      </c>
      <c r="M2357" s="43">
        <f ca="1">+AVERAGE($Y$2373:$Y$3574)</f>
        <v>-2.5178140531366181E-3</v>
      </c>
      <c r="N2357"/>
      <c r="S2357" s="29" t="s">
        <v>21</v>
      </c>
      <c r="T2357" s="29" t="s">
        <v>20</v>
      </c>
      <c r="U2357" s="35"/>
      <c r="V2357" s="11"/>
      <c r="W2357" s="32"/>
    </row>
    <row r="2358" spans="1:23">
      <c r="A2358" s="2">
        <f>+Get_Data!A2357</f>
        <v>42864</v>
      </c>
      <c r="B2358">
        <f>+ROUND(Get_Data!B2357,5)</f>
        <v>101.55961000000001</v>
      </c>
      <c r="C2358">
        <f>+ROUND(Get_Data!C2357,5)</f>
        <v>38.770890000000001</v>
      </c>
      <c r="D2358" s="4">
        <f t="shared" si="37"/>
        <v>2.6194799999999998</v>
      </c>
      <c r="L2358" s="44" t="s">
        <v>32</v>
      </c>
      <c r="M2358" s="45">
        <f ca="1">_xlfn.STDEV.S($Y$2373:$Y$3574)</f>
        <v>3.4693250382028071E-2</v>
      </c>
      <c r="N2358"/>
      <c r="T2358" s="11"/>
      <c r="U2358" s="35"/>
      <c r="V2358" s="11"/>
      <c r="W2358" s="32"/>
    </row>
    <row r="2359" spans="1:23">
      <c r="A2359" s="2">
        <f>+Get_Data!A2358</f>
        <v>42865</v>
      </c>
      <c r="B2359">
        <f>+ROUND(Get_Data!B2358,5)</f>
        <v>101.6677</v>
      </c>
      <c r="C2359">
        <f>+ROUND(Get_Data!C2358,5)</f>
        <v>38.824370000000002</v>
      </c>
      <c r="D2359" s="4">
        <f t="shared" si="37"/>
        <v>2.6186600000000002</v>
      </c>
      <c r="L2359" s="50" t="s">
        <v>33</v>
      </c>
      <c r="M2359" s="51">
        <f ca="1">+M2357/M2358</f>
        <v>-7.2573599343142142E-2</v>
      </c>
      <c r="N2359"/>
      <c r="T2359" s="11"/>
      <c r="U2359" s="35"/>
      <c r="V2359" s="11"/>
      <c r="W2359" s="32"/>
    </row>
    <row r="2360" spans="1:23">
      <c r="A2360" s="2">
        <f>+Get_Data!A2359</f>
        <v>42866</v>
      </c>
      <c r="B2360">
        <f>+ROUND(Get_Data!B2359,5)</f>
        <v>101.84792</v>
      </c>
      <c r="C2360">
        <f>+ROUND(Get_Data!C2359,5)</f>
        <v>38.913460000000001</v>
      </c>
      <c r="D2360" s="4">
        <f t="shared" si="37"/>
        <v>2.6172900000000001</v>
      </c>
      <c r="L2360"/>
      <c r="M2360"/>
      <c r="N2360"/>
      <c r="T2360" s="11"/>
      <c r="U2360" s="35"/>
      <c r="V2360" s="11"/>
      <c r="W2360" s="32"/>
    </row>
    <row r="2361" spans="1:23" ht="17" thickBot="1">
      <c r="A2361" s="2">
        <f>+Get_Data!A2360</f>
        <v>42867</v>
      </c>
      <c r="B2361">
        <f>+ROUND(Get_Data!B2360,5)</f>
        <v>101.73079</v>
      </c>
      <c r="C2361">
        <f>+ROUND(Get_Data!C2360,5)</f>
        <v>38.842190000000002</v>
      </c>
      <c r="D2361" s="4">
        <f t="shared" si="37"/>
        <v>2.6190799999999999</v>
      </c>
      <c r="L2361" s="7" t="s">
        <v>35</v>
      </c>
      <c r="M2361" s="46">
        <f ca="1">+QUARTILE($Y$2373:$Y$3574,4)</f>
        <v>6.0190497630258917E-2</v>
      </c>
      <c r="N2361"/>
      <c r="Q2361" s="28"/>
      <c r="R2361" s="28"/>
      <c r="S2361" s="28"/>
      <c r="T2361" s="28"/>
      <c r="U2361" s="36"/>
      <c r="V2361" s="11"/>
      <c r="W2361" s="32"/>
    </row>
    <row r="2362" spans="1:23">
      <c r="A2362" s="2">
        <f>+Get_Data!A2361</f>
        <v>42870</v>
      </c>
      <c r="B2362">
        <f>+ROUND(Get_Data!B2361,5)</f>
        <v>102.65881</v>
      </c>
      <c r="C2362">
        <f>+ROUND(Get_Data!C2361,5)</f>
        <v>38.966929999999998</v>
      </c>
      <c r="D2362" s="4">
        <f t="shared" si="37"/>
        <v>2.6345100000000001</v>
      </c>
      <c r="L2362" s="10" t="s">
        <v>8</v>
      </c>
      <c r="M2362" s="47">
        <f ca="1">+QUARTILE($Y$2373:$Y$3574,2)</f>
        <v>2.4304249464882259E-3</v>
      </c>
      <c r="N2362"/>
      <c r="W2362" s="32"/>
    </row>
    <row r="2363" spans="1:23">
      <c r="A2363" s="2">
        <f>+Get_Data!A2362</f>
        <v>42871</v>
      </c>
      <c r="B2363">
        <f>+ROUND(Get_Data!B2362,5)</f>
        <v>102.52366000000001</v>
      </c>
      <c r="C2363">
        <f>+ROUND(Get_Data!C2362,5)</f>
        <v>39.073869999999999</v>
      </c>
      <c r="D2363" s="4">
        <f t="shared" si="37"/>
        <v>2.62384</v>
      </c>
      <c r="L2363" s="48" t="s">
        <v>10</v>
      </c>
      <c r="M2363" s="49">
        <f ca="1">+QUARTILE($Y$2373:$Y$3574,0)</f>
        <v>-0.13977847318257802</v>
      </c>
      <c r="N2363"/>
      <c r="W2363" s="32"/>
    </row>
    <row r="2364" spans="1:23">
      <c r="A2364" s="2">
        <f>+Get_Data!A2363</f>
        <v>42872</v>
      </c>
      <c r="B2364">
        <f>+ROUND(Get_Data!B2363,5)</f>
        <v>102.4786</v>
      </c>
      <c r="C2364">
        <f>+ROUND(Get_Data!C2363,5)</f>
        <v>39.145150000000001</v>
      </c>
      <c r="D2364" s="4">
        <f t="shared" si="37"/>
        <v>2.6179100000000002</v>
      </c>
      <c r="W2364" s="32"/>
    </row>
    <row r="2365" spans="1:23">
      <c r="A2365" s="2">
        <f>+Get_Data!A2364</f>
        <v>42873</v>
      </c>
      <c r="B2365">
        <f>+ROUND(Get_Data!B2364,5)</f>
        <v>102.73990000000001</v>
      </c>
      <c r="C2365">
        <f>+ROUND(Get_Data!C2364,5)</f>
        <v>39.029310000000002</v>
      </c>
      <c r="D2365" s="4">
        <f t="shared" si="37"/>
        <v>2.6323799999999999</v>
      </c>
      <c r="L2365" s="11" t="s">
        <v>23</v>
      </c>
      <c r="W2365" s="32"/>
    </row>
    <row r="2366" spans="1:23">
      <c r="A2366" s="2">
        <f>+Get_Data!A2365</f>
        <v>42874</v>
      </c>
      <c r="B2366">
        <f>+ROUND(Get_Data!B2365,5)</f>
        <v>102.43356</v>
      </c>
      <c r="C2366">
        <f>+ROUND(Get_Data!C2365,5)</f>
        <v>39.11842</v>
      </c>
      <c r="D2366" s="4">
        <f t="shared" si="37"/>
        <v>2.6185499999999999</v>
      </c>
      <c r="W2366" s="32"/>
    </row>
    <row r="2367" spans="1:23">
      <c r="A2367" s="2">
        <f>+Get_Data!A2366</f>
        <v>42877</v>
      </c>
      <c r="B2367">
        <f>+ROUND(Get_Data!B2366,5)</f>
        <v>103.34354999999999</v>
      </c>
      <c r="C2367">
        <f>+ROUND(Get_Data!C2366,5)</f>
        <v>39.367919999999998</v>
      </c>
      <c r="D2367" s="4">
        <f t="shared" si="37"/>
        <v>2.62507</v>
      </c>
      <c r="K2367" s="13" t="s">
        <v>17</v>
      </c>
      <c r="L2367" s="14"/>
      <c r="M2367" s="14"/>
      <c r="N2367" s="14"/>
      <c r="O2367" s="14"/>
      <c r="W2367" s="32"/>
    </row>
    <row r="2368" spans="1:23">
      <c r="A2368" s="2">
        <f>+Get_Data!A2367</f>
        <v>42878</v>
      </c>
      <c r="B2368">
        <f>+ROUND(Get_Data!B2367,5)</f>
        <v>103.6589</v>
      </c>
      <c r="C2368">
        <f>+ROUND(Get_Data!C2367,5)</f>
        <v>39.555050000000001</v>
      </c>
      <c r="D2368" s="4">
        <f t="shared" si="37"/>
        <v>2.6206200000000002</v>
      </c>
      <c r="W2368" s="32"/>
    </row>
    <row r="2369" spans="1:27">
      <c r="A2369" s="2">
        <f>+Get_Data!A2368</f>
        <v>42879</v>
      </c>
      <c r="B2369">
        <f>+ROUND(Get_Data!B2368,5)</f>
        <v>104.56891</v>
      </c>
      <c r="C2369">
        <f>+ROUND(Get_Data!C2368,5)</f>
        <v>40.125329999999998</v>
      </c>
      <c r="D2369" s="4">
        <f t="shared" si="37"/>
        <v>2.6060599999999998</v>
      </c>
      <c r="W2369" s="32"/>
    </row>
    <row r="2370" spans="1:27">
      <c r="A2370" s="2">
        <f>+Get_Data!A2369</f>
        <v>42880</v>
      </c>
      <c r="B2370">
        <f>+ROUND(Get_Data!B2369,5)</f>
        <v>105.89336</v>
      </c>
      <c r="C2370">
        <f>+ROUND(Get_Data!C2369,5)</f>
        <v>40.463949999999997</v>
      </c>
      <c r="D2370" s="4">
        <f t="shared" si="37"/>
        <v>2.6169799999999999</v>
      </c>
      <c r="F2370" s="21"/>
      <c r="I2370" s="11" t="s">
        <v>40</v>
      </c>
      <c r="K2370" s="59" t="s">
        <v>16</v>
      </c>
      <c r="L2370" s="60"/>
      <c r="M2370" s="6"/>
      <c r="N2370" s="6"/>
      <c r="O2370" s="6"/>
      <c r="Q2370" s="6" t="s">
        <v>26</v>
      </c>
      <c r="R2370" s="6"/>
      <c r="S2370" s="6"/>
      <c r="V2370" s="56" t="s">
        <v>28</v>
      </c>
      <c r="W2370" s="57"/>
      <c r="X2370" s="58"/>
    </row>
    <row r="2371" spans="1:27" ht="17" thickBot="1">
      <c r="A2371" s="2">
        <f>+Get_Data!A2370</f>
        <v>42881</v>
      </c>
      <c r="B2371">
        <f>+ROUND(Get_Data!B2370,5)</f>
        <v>106.23573</v>
      </c>
      <c r="C2371">
        <f>+ROUND(Get_Data!C2370,5)</f>
        <v>40.446129999999997</v>
      </c>
      <c r="D2371" s="4">
        <f t="shared" si="37"/>
        <v>2.6265999999999998</v>
      </c>
      <c r="E2371" s="24" t="str">
        <f>"MAX_"&amp;G2</f>
        <v>MAX_25</v>
      </c>
      <c r="F2371" s="25" t="str">
        <f>"MIN_"&amp;G2</f>
        <v>MIN_25</v>
      </c>
      <c r="G2371" s="26" t="s">
        <v>12</v>
      </c>
      <c r="H2371" s="27" t="s">
        <v>13</v>
      </c>
      <c r="I2371" s="28" t="s">
        <v>39</v>
      </c>
      <c r="J2371" s="28" t="s">
        <v>41</v>
      </c>
      <c r="K2371" s="26" t="s">
        <v>14</v>
      </c>
      <c r="L2371" s="28" t="s">
        <v>15</v>
      </c>
      <c r="M2371" s="28" t="s">
        <v>19</v>
      </c>
      <c r="N2371" s="55" t="s">
        <v>24</v>
      </c>
      <c r="O2371" s="55"/>
      <c r="P2371" s="27" t="s">
        <v>18</v>
      </c>
      <c r="Q2371" s="26" t="s">
        <v>14</v>
      </c>
      <c r="R2371" s="28" t="s">
        <v>15</v>
      </c>
      <c r="S2371" s="28" t="s">
        <v>19</v>
      </c>
      <c r="T2371" s="55" t="s">
        <v>25</v>
      </c>
      <c r="U2371" s="55"/>
      <c r="V2371" s="31" t="s">
        <v>14</v>
      </c>
      <c r="W2371" s="30" t="s">
        <v>15</v>
      </c>
      <c r="X2371" s="41" t="s">
        <v>27</v>
      </c>
      <c r="Y2371" s="63" t="s">
        <v>29</v>
      </c>
    </row>
    <row r="2372" spans="1:27">
      <c r="A2372" s="2">
        <f>+Get_Data!A2371</f>
        <v>42885</v>
      </c>
      <c r="B2372">
        <f>+ROUND(Get_Data!B2371,5)</f>
        <v>106.32584</v>
      </c>
      <c r="C2372">
        <f>+ROUND(Get_Data!C2371,5)</f>
        <v>40.481780000000001</v>
      </c>
      <c r="D2372" s="4">
        <f t="shared" si="37"/>
        <v>2.6265100000000001</v>
      </c>
      <c r="E2372" s="22">
        <f ca="1">+MAX(OFFSET(D2372,-$G$2+1,,$G$2))</f>
        <v>2.6775597841126011</v>
      </c>
      <c r="F2372" s="23">
        <f ca="1">+MIN(OFFSET(D2372,-$G$2+1,,$G$2))</f>
        <v>2.6060599999999998</v>
      </c>
      <c r="G2372" s="10">
        <f ca="1">+IF(E2372=D2372,1,0)</f>
        <v>0</v>
      </c>
      <c r="H2372" s="12">
        <f ca="1">+IF(F2372=D2372,1,0)</f>
        <v>0</v>
      </c>
      <c r="I2372" s="11">
        <f ca="1">+G2372-H2372</f>
        <v>0</v>
      </c>
      <c r="J2372" s="11">
        <f ca="1">+I2372</f>
        <v>0</v>
      </c>
      <c r="W2372" s="32"/>
    </row>
    <row r="2373" spans="1:27">
      <c r="A2373" s="2">
        <f>+Get_Data!A2372</f>
        <v>42886</v>
      </c>
      <c r="B2373">
        <f>+ROUND(Get_Data!B2372,5)</f>
        <v>106.02193</v>
      </c>
      <c r="C2373">
        <f>+ROUND(Get_Data!C2372,5)</f>
        <v>40.517409999999998</v>
      </c>
      <c r="D2373" s="4">
        <f t="shared" si="37"/>
        <v>2.6166999999999998</v>
      </c>
      <c r="E2373" s="22">
        <f t="shared" ref="E2373:E2436" ca="1" si="38">+MAX(OFFSET(D2373,-$G$2+1,,$G$2))</f>
        <v>2.6544566452475689</v>
      </c>
      <c r="F2373" s="23">
        <f t="shared" ref="F2373:F2436" ca="1" si="39">+MIN(OFFSET(D2373,-$G$2+1,,$G$2))</f>
        <v>2.6060599999999998</v>
      </c>
      <c r="G2373" s="10">
        <f t="shared" ref="G2373:G2436" ca="1" si="40">+IF(E2373=D2373,1,0)</f>
        <v>0</v>
      </c>
      <c r="H2373" s="12">
        <f t="shared" ref="H2373:H2436" ca="1" si="41">+IF(F2373=D2373,1,0)</f>
        <v>0</v>
      </c>
      <c r="I2373" s="11">
        <f t="shared" ref="I2373:I2436" ca="1" si="42">+G2373-H2373</f>
        <v>0</v>
      </c>
      <c r="J2373" s="11">
        <f ca="1">+IF(AND(ABS(J2372)=2,ABS(I2373)=1),0,J2372+I2373)</f>
        <v>0</v>
      </c>
      <c r="K2373" s="10" t="str">
        <f ca="1">+IF($J2372=0,"",IF(AND(ABS($J2372)=1,ABS($I2372)=1),-$J2372*B2373,K2372))</f>
        <v/>
      </c>
      <c r="L2373" s="11" t="str">
        <f ca="1">+IF($J2372=0,"",IF(AND(ABS($J2372)=1,ABS($I2372)=1),$J2372*C2373,L2372))</f>
        <v/>
      </c>
      <c r="M2373" s="11" t="str">
        <f ca="1">+IF($J2372=0,"",IF(AND(ABS($J2372)=1,ABS($I2372)=1),D2373,M2372))</f>
        <v/>
      </c>
      <c r="W2373" s="32"/>
      <c r="Y2373" s="64" t="str">
        <f>+IF(ISNUMBER(X2373),X2373/MAX(#REF!*#REF!,#REF!,#REF!),"")</f>
        <v/>
      </c>
    </row>
    <row r="2374" spans="1:27">
      <c r="A2374" s="2">
        <f>+Get_Data!A2373</f>
        <v>42887</v>
      </c>
      <c r="B2374">
        <f>+ROUND(Get_Data!B2373,5)</f>
        <v>106.34851999999999</v>
      </c>
      <c r="C2374">
        <f>+ROUND(Get_Data!C2373,5)</f>
        <v>40.80256</v>
      </c>
      <c r="D2374" s="4">
        <f t="shared" si="37"/>
        <v>2.60642</v>
      </c>
      <c r="E2374" s="22">
        <f t="shared" ca="1" si="38"/>
        <v>2.6544566452475689</v>
      </c>
      <c r="F2374" s="23">
        <f t="shared" ca="1" si="39"/>
        <v>2.6060599999999998</v>
      </c>
      <c r="G2374" s="10">
        <f t="shared" ca="1" si="40"/>
        <v>0</v>
      </c>
      <c r="H2374" s="12">
        <f t="shared" ca="1" si="41"/>
        <v>0</v>
      </c>
      <c r="I2374" s="11">
        <f t="shared" ca="1" si="42"/>
        <v>0</v>
      </c>
      <c r="J2374" s="11">
        <f t="shared" ref="J2374:J2437" ca="1" si="43">+IF(AND(ABS(J2373)=2,ABS(I2374)=1),0,J2373+I2374)</f>
        <v>0</v>
      </c>
      <c r="K2374" s="10" t="str">
        <f t="shared" ref="K2374:K2393" ca="1" si="44">+IF($J2373=0,"",IF(AND(ABS($J2373)=1,ABS($I2373)=1),-$J2373*B2374,K2373))</f>
        <v/>
      </c>
      <c r="L2374" s="11" t="str">
        <f t="shared" ref="L2374:L2393" ca="1" si="45">+IF($J2373=0,"",IF(AND(ABS($J2373)=1,ABS($I2373)=1),$J2373*C2374,L2373))</f>
        <v/>
      </c>
      <c r="M2374" s="11" t="str">
        <f t="shared" ref="M2374:M2393" ca="1" si="46">+IF($J2373=0,"",IF(AND(ABS($J2373)=1,ABS($I2373)=1),D2374,M2373))</f>
        <v/>
      </c>
      <c r="N2374" s="15" t="str">
        <f t="shared" ref="N2374:N2393" ca="1" si="47">+IF(ISNUMBER(K2374),stocks,"")</f>
        <v/>
      </c>
      <c r="O2374" s="15" t="str">
        <f ca="1">+IFERROR(ROUND(N2374*M2374,0),"")</f>
        <v/>
      </c>
      <c r="P2374" s="16" t="str">
        <f ca="1">IFERROR(+N2374*K2374+O2374*L2374,"")</f>
        <v/>
      </c>
      <c r="S2374" s="11" t="str">
        <f>+IF(ISNUMBER($Q2374),#REF!,"")</f>
        <v/>
      </c>
      <c r="T2374" s="11" t="str">
        <f>+IF(ISNUMBER($Q2374),#REF!,"")</f>
        <v/>
      </c>
      <c r="U2374" s="11" t="str">
        <f>+IF(ISNUMBER($Q2374),#REF!,"")</f>
        <v/>
      </c>
      <c r="V2374" s="10" t="str">
        <f>IFERROR((+#REF!+Q2374)*T2374,"")</f>
        <v/>
      </c>
      <c r="W2374" s="11" t="str">
        <f>+IFERROR((R2374+#REF!)*U2374,"")</f>
        <v/>
      </c>
      <c r="X2374" s="11" t="str">
        <f>IF(ISNUMBER(V2374),+SUM(V2374:W2374),"")</f>
        <v/>
      </c>
      <c r="Y2374" s="64" t="str">
        <f>+IF(ISNUMBER(X2374),X2374/MAX(#REF!*#REF!,#REF!,#REF!),"")</f>
        <v/>
      </c>
    </row>
    <row r="2375" spans="1:27">
      <c r="A2375" s="2">
        <f>+Get_Data!A2374</f>
        <v>42888</v>
      </c>
      <c r="B2375">
        <f>+ROUND(Get_Data!B2374,5)</f>
        <v>106.74767</v>
      </c>
      <c r="C2375">
        <f>+ROUND(Get_Data!C2374,5)</f>
        <v>40.891669999999998</v>
      </c>
      <c r="D2375" s="4">
        <f t="shared" si="37"/>
        <v>2.6105</v>
      </c>
      <c r="E2375" s="22">
        <f t="shared" ca="1" si="38"/>
        <v>2.6544566452475689</v>
      </c>
      <c r="F2375" s="23">
        <f t="shared" ca="1" si="39"/>
        <v>2.6060599999999998</v>
      </c>
      <c r="G2375" s="10">
        <f t="shared" ca="1" si="40"/>
        <v>0</v>
      </c>
      <c r="H2375" s="12">
        <f t="shared" ca="1" si="41"/>
        <v>0</v>
      </c>
      <c r="I2375" s="11">
        <f t="shared" ca="1" si="42"/>
        <v>0</v>
      </c>
      <c r="J2375" s="11">
        <f t="shared" ca="1" si="43"/>
        <v>0</v>
      </c>
      <c r="K2375" s="10" t="str">
        <f t="shared" ca="1" si="44"/>
        <v/>
      </c>
      <c r="L2375" s="11" t="str">
        <f t="shared" ca="1" si="45"/>
        <v/>
      </c>
      <c r="M2375" s="11" t="str">
        <f t="shared" ca="1" si="46"/>
        <v/>
      </c>
      <c r="N2375" s="15" t="str">
        <f t="shared" ca="1" si="47"/>
        <v/>
      </c>
      <c r="O2375" s="15" t="str">
        <f t="shared" ref="O2375:O2393" ca="1" si="48">+IFERROR(ROUND(N2375*M2375,0),"")</f>
        <v/>
      </c>
      <c r="P2375" s="16" t="str">
        <f t="shared" ref="P2375:P2393" ca="1" si="49">IFERROR(+N2375*K2375+O2375*L2375,"")</f>
        <v/>
      </c>
      <c r="S2375" s="11" t="str">
        <f>+IF(ISNUMBER($Q2375),#REF!,"")</f>
        <v/>
      </c>
      <c r="T2375" s="11" t="str">
        <f>+IF(ISNUMBER($Q2375),#REF!,"")</f>
        <v/>
      </c>
      <c r="U2375" s="11" t="str">
        <f>+IF(ISNUMBER($Q2375),#REF!,"")</f>
        <v/>
      </c>
      <c r="V2375" s="10" t="str">
        <f>IFERROR((+#REF!+Q2375)*T2375,"")</f>
        <v/>
      </c>
      <c r="W2375" s="11" t="str">
        <f>+IFERROR((R2375+#REF!)*U2375,"")</f>
        <v/>
      </c>
      <c r="X2375" s="11" t="str">
        <f t="shared" ref="X2375:X2385" si="50">IF(ISNUMBER(V2375),+SUM(V2375:W2375),"")</f>
        <v/>
      </c>
      <c r="Y2375" s="64" t="str">
        <f>+IF(ISNUMBER(X2375),X2375/MAX(#REF!*#REF!,#REF!,#REF!),"")</f>
        <v/>
      </c>
    </row>
    <row r="2376" spans="1:27">
      <c r="A2376" s="2">
        <f>+Get_Data!A2375</f>
        <v>42891</v>
      </c>
      <c r="B2376">
        <f>+ROUND(Get_Data!B2375,5)</f>
        <v>106.93817</v>
      </c>
      <c r="C2376">
        <f>+ROUND(Get_Data!C2375,5)</f>
        <v>40.980780000000003</v>
      </c>
      <c r="D2376" s="4">
        <f t="shared" si="37"/>
        <v>2.60947</v>
      </c>
      <c r="E2376" s="22">
        <f t="shared" ca="1" si="38"/>
        <v>2.6345100000000001</v>
      </c>
      <c r="F2376" s="23">
        <f t="shared" ca="1" si="39"/>
        <v>2.6060599999999998</v>
      </c>
      <c r="G2376" s="10">
        <f t="shared" ca="1" si="40"/>
        <v>0</v>
      </c>
      <c r="H2376" s="12">
        <f t="shared" ca="1" si="41"/>
        <v>0</v>
      </c>
      <c r="I2376" s="11">
        <f t="shared" ca="1" si="42"/>
        <v>0</v>
      </c>
      <c r="J2376" s="11">
        <f t="shared" ca="1" si="43"/>
        <v>0</v>
      </c>
      <c r="K2376" s="10" t="str">
        <f t="shared" ca="1" si="44"/>
        <v/>
      </c>
      <c r="L2376" s="11" t="str">
        <f t="shared" ca="1" si="45"/>
        <v/>
      </c>
      <c r="M2376" s="11" t="str">
        <f t="shared" ca="1" si="46"/>
        <v/>
      </c>
      <c r="N2376" s="15" t="str">
        <f t="shared" ca="1" si="47"/>
        <v/>
      </c>
      <c r="O2376" s="15" t="str">
        <f t="shared" ca="1" si="48"/>
        <v/>
      </c>
      <c r="P2376" s="16" t="str">
        <f t="shared" ca="1" si="49"/>
        <v/>
      </c>
      <c r="S2376" s="11" t="str">
        <f>+IF(ISNUMBER($Q2376),#REF!,"")</f>
        <v/>
      </c>
      <c r="T2376" s="11" t="str">
        <f>+IF(ISNUMBER($Q2376),#REF!,"")</f>
        <v/>
      </c>
      <c r="U2376" s="11" t="str">
        <f>+IF(ISNUMBER($Q2376),#REF!,"")</f>
        <v/>
      </c>
      <c r="V2376" s="10" t="str">
        <f>IFERROR((+#REF!+Q2376)*T2376,"")</f>
        <v/>
      </c>
      <c r="W2376" s="11" t="str">
        <f>+IFERROR((R2376+#REF!)*U2376,"")</f>
        <v/>
      </c>
      <c r="X2376" s="11" t="str">
        <f t="shared" si="50"/>
        <v/>
      </c>
      <c r="Y2376" s="64" t="str">
        <f>+IF(ISNUMBER(X2376),X2376/MAX(#REF!*#REF!,#REF!,#REF!),"")</f>
        <v/>
      </c>
    </row>
    <row r="2377" spans="1:27">
      <c r="A2377" s="2">
        <f>+Get_Data!A2376</f>
        <v>42892</v>
      </c>
      <c r="B2377">
        <f>+ROUND(Get_Data!B2376,5)</f>
        <v>106.77489</v>
      </c>
      <c r="C2377">
        <f>+ROUND(Get_Data!C2376,5)</f>
        <v>40.97186</v>
      </c>
      <c r="D2377" s="4">
        <f t="shared" si="37"/>
        <v>2.6060500000000002</v>
      </c>
      <c r="E2377" s="22">
        <f t="shared" ca="1" si="38"/>
        <v>2.6345100000000001</v>
      </c>
      <c r="F2377" s="23">
        <f t="shared" ca="1" si="39"/>
        <v>2.6060500000000002</v>
      </c>
      <c r="G2377" s="10">
        <f t="shared" ca="1" si="40"/>
        <v>0</v>
      </c>
      <c r="H2377" s="12">
        <f t="shared" ca="1" si="41"/>
        <v>1</v>
      </c>
      <c r="I2377" s="11">
        <f t="shared" ca="1" si="42"/>
        <v>-1</v>
      </c>
      <c r="J2377" s="11">
        <f t="shared" ca="1" si="43"/>
        <v>-1</v>
      </c>
      <c r="K2377" s="10" t="str">
        <f t="shared" ca="1" si="44"/>
        <v/>
      </c>
      <c r="L2377" s="11" t="str">
        <f t="shared" ca="1" si="45"/>
        <v/>
      </c>
      <c r="M2377" s="11" t="str">
        <f t="shared" ca="1" si="46"/>
        <v/>
      </c>
      <c r="N2377" s="15" t="str">
        <f t="shared" ca="1" si="47"/>
        <v/>
      </c>
      <c r="O2377" s="15" t="str">
        <f t="shared" ca="1" si="48"/>
        <v/>
      </c>
      <c r="P2377" s="16" t="str">
        <f t="shared" ca="1" si="49"/>
        <v/>
      </c>
      <c r="S2377" s="11" t="str">
        <f>+IF(ISNUMBER($Q2377),#REF!,"")</f>
        <v/>
      </c>
      <c r="T2377" s="11" t="str">
        <f>+IF(ISNUMBER($Q2377),#REF!,"")</f>
        <v/>
      </c>
      <c r="U2377" s="11" t="str">
        <f>+IF(ISNUMBER($Q2377),#REF!,"")</f>
        <v/>
      </c>
      <c r="V2377" s="10" t="str">
        <f>IFERROR((+#REF!+Q2377)*T2377,"")</f>
        <v/>
      </c>
      <c r="W2377" s="11" t="str">
        <f>+IFERROR((R2377+#REF!)*U2377,"")</f>
        <v/>
      </c>
      <c r="X2377" s="11" t="str">
        <f t="shared" si="50"/>
        <v/>
      </c>
      <c r="Y2377" s="64" t="str">
        <f>+IF(ISNUMBER(X2377),X2377/MAX(#REF!*#REF!,#REF!,#REF!),"")</f>
        <v/>
      </c>
    </row>
    <row r="2378" spans="1:27">
      <c r="A2378" s="2">
        <f>+Get_Data!A2377</f>
        <v>42893</v>
      </c>
      <c r="B2378">
        <f>+ROUND(Get_Data!B2377,5)</f>
        <v>106.18523</v>
      </c>
      <c r="C2378">
        <f>+ROUND(Get_Data!C2377,5)</f>
        <v>40.553060000000002</v>
      </c>
      <c r="D2378" s="4">
        <f t="shared" si="37"/>
        <v>2.61843</v>
      </c>
      <c r="E2378" s="22">
        <f t="shared" ca="1" si="38"/>
        <v>2.6345100000000001</v>
      </c>
      <c r="F2378" s="23">
        <f t="shared" ca="1" si="39"/>
        <v>2.6060500000000002</v>
      </c>
      <c r="G2378" s="10">
        <f t="shared" ca="1" si="40"/>
        <v>0</v>
      </c>
      <c r="H2378" s="12">
        <f t="shared" ca="1" si="41"/>
        <v>0</v>
      </c>
      <c r="I2378" s="11">
        <f t="shared" ca="1" si="42"/>
        <v>0</v>
      </c>
      <c r="J2378" s="11">
        <f t="shared" ca="1" si="43"/>
        <v>-1</v>
      </c>
      <c r="K2378" s="10">
        <f t="shared" ca="1" si="44"/>
        <v>106.18523</v>
      </c>
      <c r="L2378" s="11">
        <f t="shared" ca="1" si="45"/>
        <v>-40.553060000000002</v>
      </c>
      <c r="M2378" s="11">
        <f t="shared" ca="1" si="46"/>
        <v>2.61843</v>
      </c>
      <c r="N2378" s="15">
        <f ca="1">+IF(ISNUMBER(K2378),stocks,"")</f>
        <v>10</v>
      </c>
      <c r="O2378" s="15">
        <f ca="1">+IFERROR(ROUND(N2378*M2378,0),"")</f>
        <v>26</v>
      </c>
      <c r="P2378" s="16">
        <f t="shared" ca="1" si="49"/>
        <v>7.4727399999999307</v>
      </c>
      <c r="Q2378" s="11" t="str">
        <f ca="1">+IF(ISNUMBER(T2378),B2378,"")</f>
        <v/>
      </c>
      <c r="R2378" s="11" t="str">
        <f ca="1">+IF(ISNUMBER(U2378),C2378,"")</f>
        <v/>
      </c>
      <c r="S2378" s="11" t="str">
        <f ca="1">+IF(ISNUMBER($Q2378),#REF!,"")</f>
        <v/>
      </c>
      <c r="T2378" s="11" t="str">
        <f ca="1">+IF(AND(ISNUMBER(N2377),NOT(ISNUMBER(N2378))),N2377,"")</f>
        <v/>
      </c>
      <c r="U2378" s="11" t="str">
        <f ca="1">+IF(AND(ISNUMBER(O2377),NOT(ISNUMBER(O2378))),O2377,"")</f>
        <v/>
      </c>
      <c r="V2378" s="10" t="str">
        <f ca="1">IFERROR((+#REF!+Q2378)*T2378,"")</f>
        <v/>
      </c>
      <c r="W2378" s="11" t="str">
        <f ca="1">+IFERROR((R2378+#REF!)*U2378,"")</f>
        <v/>
      </c>
      <c r="X2378" s="11" t="str">
        <f t="shared" ca="1" si="50"/>
        <v/>
      </c>
      <c r="Y2378" s="64" t="str">
        <f ca="1">+IF(ISNUMBER(X2378),X2378/MAX(#REF!*#REF!,#REF!,#REF!),"")</f>
        <v/>
      </c>
      <c r="AA2378" s="66"/>
    </row>
    <row r="2379" spans="1:27">
      <c r="A2379" s="2">
        <f>+Get_Data!A2378</f>
        <v>42894</v>
      </c>
      <c r="B2379">
        <f>+ROUND(Get_Data!B2378,5)</f>
        <v>105.13290000000001</v>
      </c>
      <c r="C2379">
        <f>+ROUND(Get_Data!C2378,5)</f>
        <v>40.214440000000003</v>
      </c>
      <c r="D2379" s="4">
        <f t="shared" si="37"/>
        <v>2.6143100000000001</v>
      </c>
      <c r="E2379" s="22">
        <f t="shared" ca="1" si="38"/>
        <v>2.6345100000000001</v>
      </c>
      <c r="F2379" s="23">
        <f t="shared" ca="1" si="39"/>
        <v>2.6060500000000002</v>
      </c>
      <c r="G2379" s="10">
        <f t="shared" ca="1" si="40"/>
        <v>0</v>
      </c>
      <c r="H2379" s="12">
        <f t="shared" ca="1" si="41"/>
        <v>0</v>
      </c>
      <c r="I2379" s="11">
        <f t="shared" ca="1" si="42"/>
        <v>0</v>
      </c>
      <c r="J2379" s="11">
        <f t="shared" ca="1" si="43"/>
        <v>-1</v>
      </c>
      <c r="K2379" s="10">
        <f t="shared" ca="1" si="44"/>
        <v>106.18523</v>
      </c>
      <c r="L2379" s="11">
        <f t="shared" ca="1" si="45"/>
        <v>-40.553060000000002</v>
      </c>
      <c r="M2379" s="11">
        <f t="shared" ca="1" si="46"/>
        <v>2.61843</v>
      </c>
      <c r="N2379" s="15">
        <f t="shared" ca="1" si="47"/>
        <v>10</v>
      </c>
      <c r="O2379" s="15">
        <f t="shared" ca="1" si="48"/>
        <v>26</v>
      </c>
      <c r="P2379" s="16">
        <f t="shared" ca="1" si="49"/>
        <v>7.4727399999999307</v>
      </c>
      <c r="Q2379" s="11" t="str">
        <f t="shared" ref="Q2379:Q2386" ca="1" si="51">+IF(ISNUMBER(T2379),B2379,"")</f>
        <v/>
      </c>
      <c r="R2379" s="11" t="str">
        <f t="shared" ref="R2379:R2386" ca="1" si="52">+IF(ISNUMBER(U2379),C2379,"")</f>
        <v/>
      </c>
      <c r="S2379" s="11" t="str">
        <f ca="1">+IF(ISNUMBER($Q2379),#REF!,"")</f>
        <v/>
      </c>
      <c r="T2379" s="11" t="str">
        <f t="shared" ref="T2379:T2386" ca="1" si="53">+IF(AND(ISNUMBER(N2378),NOT(ISNUMBER(N2379))),N2378,"")</f>
        <v/>
      </c>
      <c r="U2379" s="11" t="str">
        <f t="shared" ref="U2379:U2386" ca="1" si="54">+IF(AND(ISNUMBER(O2378),NOT(ISNUMBER(O2379))),O2378,"")</f>
        <v/>
      </c>
      <c r="V2379" s="10" t="str">
        <f ca="1">IFERROR((+#REF!+Q2379)*T2379,"")</f>
        <v/>
      </c>
      <c r="W2379" s="11" t="str">
        <f ca="1">+IFERROR((R2379+#REF!)*U2379,"")</f>
        <v/>
      </c>
      <c r="X2379" s="11" t="str">
        <f t="shared" ca="1" si="50"/>
        <v/>
      </c>
      <c r="Y2379" s="64" t="str">
        <f ca="1">+IF(ISNUMBER(X2379),X2379/MAX(#REF!*#REF!,#REF!,#REF!),"")</f>
        <v/>
      </c>
      <c r="AA2379" s="66"/>
    </row>
    <row r="2380" spans="1:27">
      <c r="A2380" s="2">
        <f>+Get_Data!A2379</f>
        <v>42895</v>
      </c>
      <c r="B2380">
        <f>+ROUND(Get_Data!B2379,5)</f>
        <v>105.17825999999999</v>
      </c>
      <c r="C2380">
        <f>+ROUND(Get_Data!C2379,5)</f>
        <v>40.383760000000002</v>
      </c>
      <c r="D2380" s="4">
        <f t="shared" si="37"/>
        <v>2.6044700000000001</v>
      </c>
      <c r="E2380" s="22">
        <f t="shared" ca="1" si="38"/>
        <v>2.6345100000000001</v>
      </c>
      <c r="F2380" s="23">
        <f t="shared" ca="1" si="39"/>
        <v>2.6044700000000001</v>
      </c>
      <c r="G2380" s="10">
        <f t="shared" ca="1" si="40"/>
        <v>0</v>
      </c>
      <c r="H2380" s="12">
        <f t="shared" ca="1" si="41"/>
        <v>1</v>
      </c>
      <c r="I2380" s="11">
        <f t="shared" ca="1" si="42"/>
        <v>-1</v>
      </c>
      <c r="J2380" s="11">
        <f t="shared" ca="1" si="43"/>
        <v>-2</v>
      </c>
      <c r="K2380" s="10">
        <f t="shared" ca="1" si="44"/>
        <v>106.18523</v>
      </c>
      <c r="L2380" s="11">
        <f t="shared" ca="1" si="45"/>
        <v>-40.553060000000002</v>
      </c>
      <c r="M2380" s="11">
        <f t="shared" ca="1" si="46"/>
        <v>2.61843</v>
      </c>
      <c r="N2380" s="15">
        <f t="shared" ca="1" si="47"/>
        <v>10</v>
      </c>
      <c r="O2380" s="15">
        <f t="shared" ca="1" si="48"/>
        <v>26</v>
      </c>
      <c r="P2380" s="16">
        <f t="shared" ca="1" si="49"/>
        <v>7.4727399999999307</v>
      </c>
      <c r="Q2380" s="11" t="str">
        <f t="shared" ca="1" si="51"/>
        <v/>
      </c>
      <c r="R2380" s="11" t="str">
        <f t="shared" ca="1" si="52"/>
        <v/>
      </c>
      <c r="S2380" s="11" t="str">
        <f ca="1">+IF(ISNUMBER($Q2380),#REF!,"")</f>
        <v/>
      </c>
      <c r="T2380" s="11" t="str">
        <f t="shared" ca="1" si="53"/>
        <v/>
      </c>
      <c r="U2380" s="11" t="str">
        <f t="shared" ca="1" si="54"/>
        <v/>
      </c>
      <c r="V2380" s="10" t="str">
        <f ca="1">IFERROR((+#REF!+Q2380)*T2380,"")</f>
        <v/>
      </c>
      <c r="W2380" s="11" t="str">
        <f ca="1">+IFERROR((R2380+#REF!)*U2380,"")</f>
        <v/>
      </c>
      <c r="X2380" s="11" t="str">
        <f t="shared" ca="1" si="50"/>
        <v/>
      </c>
      <c r="Y2380" s="64" t="str">
        <f ca="1">+IF(ISNUMBER(X2380),X2380/MAX(#REF!*#REF!,#REF!,#REF!),"")</f>
        <v/>
      </c>
      <c r="AA2380" s="66"/>
    </row>
    <row r="2381" spans="1:27">
      <c r="A2381" s="2">
        <f>+Get_Data!A2380</f>
        <v>42898</v>
      </c>
      <c r="B2381">
        <f>+ROUND(Get_Data!B2380,5)</f>
        <v>105.44135</v>
      </c>
      <c r="C2381">
        <f>+ROUND(Get_Data!C2380,5)</f>
        <v>40.392670000000003</v>
      </c>
      <c r="D2381" s="4">
        <f t="shared" si="37"/>
        <v>2.6104099999999999</v>
      </c>
      <c r="E2381" s="22">
        <f t="shared" ca="1" si="38"/>
        <v>2.6345100000000001</v>
      </c>
      <c r="F2381" s="23">
        <f t="shared" ca="1" si="39"/>
        <v>2.6044700000000001</v>
      </c>
      <c r="G2381" s="10">
        <f t="shared" ca="1" si="40"/>
        <v>0</v>
      </c>
      <c r="H2381" s="12">
        <f t="shared" ca="1" si="41"/>
        <v>0</v>
      </c>
      <c r="I2381" s="11">
        <f t="shared" ca="1" si="42"/>
        <v>0</v>
      </c>
      <c r="J2381" s="11">
        <f t="shared" ca="1" si="43"/>
        <v>-2</v>
      </c>
      <c r="K2381" s="10">
        <f t="shared" ca="1" si="44"/>
        <v>106.18523</v>
      </c>
      <c r="L2381" s="11">
        <f t="shared" ca="1" si="45"/>
        <v>-40.553060000000002</v>
      </c>
      <c r="M2381" s="11">
        <f t="shared" ca="1" si="46"/>
        <v>2.61843</v>
      </c>
      <c r="N2381" s="15">
        <f t="shared" ca="1" si="47"/>
        <v>10</v>
      </c>
      <c r="O2381" s="15">
        <f t="shared" ca="1" si="48"/>
        <v>26</v>
      </c>
      <c r="P2381" s="16">
        <f t="shared" ca="1" si="49"/>
        <v>7.4727399999999307</v>
      </c>
      <c r="Q2381" s="11" t="str">
        <f t="shared" ca="1" si="51"/>
        <v/>
      </c>
      <c r="R2381" s="11" t="str">
        <f t="shared" ca="1" si="52"/>
        <v/>
      </c>
      <c r="S2381" s="11" t="str">
        <f ca="1">+IF(ISNUMBER($Q2381),#REF!,"")</f>
        <v/>
      </c>
      <c r="T2381" s="11" t="str">
        <f t="shared" ca="1" si="53"/>
        <v/>
      </c>
      <c r="U2381" s="11" t="str">
        <f t="shared" ca="1" si="54"/>
        <v/>
      </c>
      <c r="V2381" s="10" t="str">
        <f ca="1">IFERROR((+#REF!+Q2381)*T2381,"")</f>
        <v/>
      </c>
      <c r="W2381" s="11" t="str">
        <f ca="1">+IFERROR((R2381+#REF!)*U2381,"")</f>
        <v/>
      </c>
      <c r="X2381" s="11" t="str">
        <f t="shared" ca="1" si="50"/>
        <v/>
      </c>
      <c r="Y2381" s="64" t="str">
        <f ca="1">+IF(ISNUMBER(X2381),X2381/MAX(#REF!*#REF!,#REF!,#REF!),"")</f>
        <v/>
      </c>
    </row>
    <row r="2382" spans="1:27">
      <c r="A2382" s="2">
        <f>+Get_Data!A2381</f>
        <v>42899</v>
      </c>
      <c r="B2382">
        <f>+ROUND(Get_Data!B2381,5)</f>
        <v>105.52298</v>
      </c>
      <c r="C2382">
        <f>+ROUND(Get_Data!C2381,5)</f>
        <v>40.455550000000002</v>
      </c>
      <c r="D2382" s="4">
        <f t="shared" si="37"/>
        <v>2.6083699999999999</v>
      </c>
      <c r="E2382" s="22">
        <f t="shared" ca="1" si="38"/>
        <v>2.6345100000000001</v>
      </c>
      <c r="F2382" s="23">
        <f t="shared" ca="1" si="39"/>
        <v>2.6044700000000001</v>
      </c>
      <c r="G2382" s="10">
        <f t="shared" ca="1" si="40"/>
        <v>0</v>
      </c>
      <c r="H2382" s="12">
        <f t="shared" ca="1" si="41"/>
        <v>0</v>
      </c>
      <c r="I2382" s="11">
        <f t="shared" ca="1" si="42"/>
        <v>0</v>
      </c>
      <c r="J2382" s="11">
        <f t="shared" ca="1" si="43"/>
        <v>-2</v>
      </c>
      <c r="K2382" s="10">
        <f t="shared" ca="1" si="44"/>
        <v>106.18523</v>
      </c>
      <c r="L2382" s="11">
        <f t="shared" ca="1" si="45"/>
        <v>-40.553060000000002</v>
      </c>
      <c r="M2382" s="11">
        <f t="shared" ca="1" si="46"/>
        <v>2.61843</v>
      </c>
      <c r="N2382" s="15">
        <f t="shared" ca="1" si="47"/>
        <v>10</v>
      </c>
      <c r="O2382" s="15">
        <f t="shared" ca="1" si="48"/>
        <v>26</v>
      </c>
      <c r="P2382" s="16">
        <f t="shared" ca="1" si="49"/>
        <v>7.4727399999999307</v>
      </c>
      <c r="Q2382" s="11" t="str">
        <f t="shared" ca="1" si="51"/>
        <v/>
      </c>
      <c r="R2382" s="11" t="str">
        <f t="shared" ca="1" si="52"/>
        <v/>
      </c>
      <c r="S2382" s="11" t="str">
        <f ca="1">+IF(ISNUMBER($Q2382),#REF!,"")</f>
        <v/>
      </c>
      <c r="T2382" s="11" t="str">
        <f t="shared" ca="1" si="53"/>
        <v/>
      </c>
      <c r="U2382" s="11" t="str">
        <f t="shared" ca="1" si="54"/>
        <v/>
      </c>
      <c r="V2382" s="10" t="str">
        <f ca="1">IFERROR((+#REF!+Q2382)*T2382,"")</f>
        <v/>
      </c>
      <c r="W2382" s="11" t="str">
        <f ca="1">+IFERROR((R2382+#REF!)*U2382,"")</f>
        <v/>
      </c>
      <c r="X2382" s="11" t="str">
        <f t="shared" ca="1" si="50"/>
        <v/>
      </c>
      <c r="Y2382" s="64" t="str">
        <f ca="1">+IF(ISNUMBER(X2382),X2382/MAX(#REF!*#REF!,#REF!,#REF!),"")</f>
        <v/>
      </c>
    </row>
    <row r="2383" spans="1:27">
      <c r="A2383" s="2">
        <f>+Get_Data!A2382</f>
        <v>42900</v>
      </c>
      <c r="B2383">
        <f>+ROUND(Get_Data!B2382,5)</f>
        <v>106.47553000000001</v>
      </c>
      <c r="C2383">
        <f>+ROUND(Get_Data!C2382,5)</f>
        <v>40.698120000000003</v>
      </c>
      <c r="D2383" s="4">
        <f t="shared" si="37"/>
        <v>2.6162299999999998</v>
      </c>
      <c r="E2383" s="22">
        <f t="shared" ca="1" si="38"/>
        <v>2.6345100000000001</v>
      </c>
      <c r="F2383" s="23">
        <f t="shared" ca="1" si="39"/>
        <v>2.6044700000000001</v>
      </c>
      <c r="G2383" s="10">
        <f t="shared" ca="1" si="40"/>
        <v>0</v>
      </c>
      <c r="H2383" s="12">
        <f t="shared" ca="1" si="41"/>
        <v>0</v>
      </c>
      <c r="I2383" s="11">
        <f t="shared" ca="1" si="42"/>
        <v>0</v>
      </c>
      <c r="J2383" s="11">
        <f t="shared" ca="1" si="43"/>
        <v>-2</v>
      </c>
      <c r="K2383" s="10">
        <f t="shared" ca="1" si="44"/>
        <v>106.18523</v>
      </c>
      <c r="L2383" s="11">
        <f t="shared" ca="1" si="45"/>
        <v>-40.553060000000002</v>
      </c>
      <c r="M2383" s="11">
        <f t="shared" ca="1" si="46"/>
        <v>2.61843</v>
      </c>
      <c r="N2383" s="15">
        <f t="shared" ca="1" si="47"/>
        <v>10</v>
      </c>
      <c r="O2383" s="15">
        <f t="shared" ca="1" si="48"/>
        <v>26</v>
      </c>
      <c r="P2383" s="16">
        <f t="shared" ca="1" si="49"/>
        <v>7.4727399999999307</v>
      </c>
      <c r="Q2383" s="11" t="str">
        <f t="shared" ca="1" si="51"/>
        <v/>
      </c>
      <c r="R2383" s="11" t="str">
        <f t="shared" ca="1" si="52"/>
        <v/>
      </c>
      <c r="S2383" s="11" t="str">
        <f ca="1">+IF(ISNUMBER($Q2383),#REF!,"")</f>
        <v/>
      </c>
      <c r="T2383" s="11" t="str">
        <f t="shared" ca="1" si="53"/>
        <v/>
      </c>
      <c r="U2383" s="11" t="str">
        <f t="shared" ca="1" si="54"/>
        <v/>
      </c>
      <c r="V2383" s="10" t="str">
        <f ca="1">IFERROR((+#REF!+Q2383)*T2383,"")</f>
        <v/>
      </c>
      <c r="W2383" s="11" t="str">
        <f ca="1">+IFERROR((R2383+#REF!)*U2383,"")</f>
        <v/>
      </c>
      <c r="X2383" s="11" t="str">
        <f t="shared" ca="1" si="50"/>
        <v/>
      </c>
      <c r="Y2383" s="64" t="str">
        <f ca="1">+IF(ISNUMBER(X2383),X2383/MAX(#REF!*#REF!,#REF!,#REF!),"")</f>
        <v/>
      </c>
    </row>
    <row r="2384" spans="1:27">
      <c r="A2384" s="2">
        <f>+Get_Data!A2383</f>
        <v>42901</v>
      </c>
      <c r="B2384">
        <f>+ROUND(Get_Data!B2383,5)</f>
        <v>106.33037</v>
      </c>
      <c r="C2384">
        <f>+ROUND(Get_Data!C2383,5)</f>
        <v>40.653210000000001</v>
      </c>
      <c r="D2384" s="4">
        <f t="shared" si="37"/>
        <v>2.6155499999999998</v>
      </c>
      <c r="E2384" s="22">
        <f t="shared" ca="1" si="38"/>
        <v>2.6345100000000001</v>
      </c>
      <c r="F2384" s="23">
        <f t="shared" ca="1" si="39"/>
        <v>2.6044700000000001</v>
      </c>
      <c r="G2384" s="10">
        <f t="shared" ca="1" si="40"/>
        <v>0</v>
      </c>
      <c r="H2384" s="12">
        <f t="shared" ca="1" si="41"/>
        <v>0</v>
      </c>
      <c r="I2384" s="11">
        <f t="shared" ca="1" si="42"/>
        <v>0</v>
      </c>
      <c r="J2384" s="11">
        <f t="shared" ca="1" si="43"/>
        <v>-2</v>
      </c>
      <c r="K2384" s="10">
        <f t="shared" ca="1" si="44"/>
        <v>106.18523</v>
      </c>
      <c r="L2384" s="11">
        <f t="shared" ca="1" si="45"/>
        <v>-40.553060000000002</v>
      </c>
      <c r="M2384" s="11">
        <f t="shared" ca="1" si="46"/>
        <v>2.61843</v>
      </c>
      <c r="N2384" s="15">
        <f t="shared" ca="1" si="47"/>
        <v>10</v>
      </c>
      <c r="O2384" s="15">
        <f t="shared" ca="1" si="48"/>
        <v>26</v>
      </c>
      <c r="P2384" s="16">
        <f t="shared" ca="1" si="49"/>
        <v>7.4727399999999307</v>
      </c>
      <c r="Q2384" s="11" t="str">
        <f t="shared" ca="1" si="51"/>
        <v/>
      </c>
      <c r="R2384" s="11" t="str">
        <f t="shared" ca="1" si="52"/>
        <v/>
      </c>
      <c r="S2384" s="11" t="str">
        <f ca="1">+IF(ISNUMBER($Q2384),#REF!,"")</f>
        <v/>
      </c>
      <c r="T2384" s="11" t="str">
        <f t="shared" ca="1" si="53"/>
        <v/>
      </c>
      <c r="U2384" s="11" t="str">
        <f t="shared" ca="1" si="54"/>
        <v/>
      </c>
      <c r="V2384" s="10" t="str">
        <f ca="1">IFERROR((+#REF!+Q2384)*T2384,"")</f>
        <v/>
      </c>
      <c r="W2384" s="11" t="str">
        <f ca="1">+IFERROR((R2384+#REF!)*U2384,"")</f>
        <v/>
      </c>
      <c r="X2384" s="11" t="str">
        <f t="shared" ca="1" si="50"/>
        <v/>
      </c>
      <c r="Y2384" s="64" t="str">
        <f ca="1">+IF(ISNUMBER(X2384),X2384/MAX(#REF!*#REF!,#REF!,#REF!),"")</f>
        <v/>
      </c>
    </row>
    <row r="2385" spans="1:25">
      <c r="A2385" s="2">
        <f>+Get_Data!A2384</f>
        <v>42902</v>
      </c>
      <c r="B2385">
        <f>+ROUND(Get_Data!B2384,5)</f>
        <v>106.01287000000001</v>
      </c>
      <c r="C2385">
        <f>+ROUND(Get_Data!C2384,5)</f>
        <v>40.70711</v>
      </c>
      <c r="D2385" s="4">
        <f t="shared" si="37"/>
        <v>2.6042800000000002</v>
      </c>
      <c r="E2385" s="22">
        <f t="shared" ca="1" si="38"/>
        <v>2.6345100000000001</v>
      </c>
      <c r="F2385" s="23">
        <f t="shared" ca="1" si="39"/>
        <v>2.6042800000000002</v>
      </c>
      <c r="G2385" s="10">
        <f t="shared" ca="1" si="40"/>
        <v>0</v>
      </c>
      <c r="H2385" s="12">
        <f t="shared" ca="1" si="41"/>
        <v>1</v>
      </c>
      <c r="I2385" s="11">
        <f t="shared" ca="1" si="42"/>
        <v>-1</v>
      </c>
      <c r="J2385" s="11">
        <f t="shared" ca="1" si="43"/>
        <v>0</v>
      </c>
      <c r="K2385" s="10">
        <f t="shared" ca="1" si="44"/>
        <v>106.18523</v>
      </c>
      <c r="L2385" s="11">
        <f t="shared" ca="1" si="45"/>
        <v>-40.553060000000002</v>
      </c>
      <c r="M2385" s="11">
        <f t="shared" ca="1" si="46"/>
        <v>2.61843</v>
      </c>
      <c r="N2385" s="15">
        <f t="shared" ca="1" si="47"/>
        <v>10</v>
      </c>
      <c r="O2385" s="15">
        <f t="shared" ca="1" si="48"/>
        <v>26</v>
      </c>
      <c r="P2385" s="16">
        <f t="shared" ca="1" si="49"/>
        <v>7.4727399999999307</v>
      </c>
      <c r="Q2385" s="11" t="str">
        <f t="shared" ca="1" si="51"/>
        <v/>
      </c>
      <c r="R2385" s="11" t="str">
        <f t="shared" ca="1" si="52"/>
        <v/>
      </c>
      <c r="S2385" s="11" t="str">
        <f ca="1">+IF(ISNUMBER($Q2385),#REF!,"")</f>
        <v/>
      </c>
      <c r="T2385" s="11" t="str">
        <f t="shared" ca="1" si="53"/>
        <v/>
      </c>
      <c r="U2385" s="11" t="str">
        <f t="shared" ca="1" si="54"/>
        <v/>
      </c>
      <c r="V2385" s="10" t="str">
        <f ca="1">IFERROR((+#REF!+Q2385)*T2385,"")</f>
        <v/>
      </c>
      <c r="W2385" s="11" t="str">
        <f ca="1">+IFERROR((R2385+#REF!)*U2385,"")</f>
        <v/>
      </c>
      <c r="X2385" s="11" t="str">
        <f t="shared" ca="1" si="50"/>
        <v/>
      </c>
      <c r="Y2385" s="64" t="str">
        <f ca="1">+IF(ISNUMBER(X2385),X2385/MAX(#REF!*#REF!,#REF!,#REF!),"")</f>
        <v/>
      </c>
    </row>
    <row r="2386" spans="1:25">
      <c r="A2386" s="2">
        <f>+Get_Data!A2385</f>
        <v>42905</v>
      </c>
      <c r="B2386">
        <f>+ROUND(Get_Data!B2385,5)</f>
        <v>106.40293</v>
      </c>
      <c r="C2386">
        <f>+ROUND(Get_Data!C2385,5)</f>
        <v>40.770000000000003</v>
      </c>
      <c r="D2386" s="4">
        <f t="shared" si="37"/>
        <v>2.6098300000000001</v>
      </c>
      <c r="E2386" s="22">
        <f t="shared" ca="1" si="38"/>
        <v>2.6345100000000001</v>
      </c>
      <c r="F2386" s="23">
        <f t="shared" ca="1" si="39"/>
        <v>2.6042800000000002</v>
      </c>
      <c r="G2386" s="10">
        <f t="shared" ca="1" si="40"/>
        <v>0</v>
      </c>
      <c r="H2386" s="12">
        <f t="shared" ca="1" si="41"/>
        <v>0</v>
      </c>
      <c r="I2386" s="11">
        <f t="shared" ca="1" si="42"/>
        <v>0</v>
      </c>
      <c r="J2386" s="11">
        <f t="shared" ca="1" si="43"/>
        <v>0</v>
      </c>
      <c r="K2386" s="10" t="str">
        <f t="shared" ca="1" si="44"/>
        <v/>
      </c>
      <c r="L2386" s="11" t="str">
        <f t="shared" ca="1" si="45"/>
        <v/>
      </c>
      <c r="M2386" s="11" t="str">
        <f t="shared" ca="1" si="46"/>
        <v/>
      </c>
      <c r="N2386" s="15" t="str">
        <f t="shared" ca="1" si="47"/>
        <v/>
      </c>
      <c r="O2386" s="15" t="str">
        <f t="shared" ca="1" si="48"/>
        <v/>
      </c>
      <c r="P2386" s="16" t="str">
        <f t="shared" ca="1" si="49"/>
        <v/>
      </c>
      <c r="Q2386" s="11">
        <f t="shared" ca="1" si="51"/>
        <v>106.40293</v>
      </c>
      <c r="R2386" s="11">
        <f t="shared" ca="1" si="52"/>
        <v>40.770000000000003</v>
      </c>
      <c r="S2386" s="61">
        <f ca="1">+IF(ISNUMBER(T2386),D2386,"")</f>
        <v>2.6098300000000001</v>
      </c>
      <c r="T2386" s="11">
        <f t="shared" ca="1" si="53"/>
        <v>10</v>
      </c>
      <c r="U2386" s="11">
        <f t="shared" ca="1" si="54"/>
        <v>26</v>
      </c>
      <c r="V2386" s="18">
        <f ca="1">+IFERROR(T2386*(K2385-Q2386),"")</f>
        <v>-2.1769999999999357</v>
      </c>
      <c r="W2386" s="61">
        <f ca="1">+IFERROR(U2386*(L2385+R2386),"")</f>
        <v>5.6404400000000265</v>
      </c>
      <c r="X2386" s="61">
        <f ca="1">+IFERROR(SUM(V2386:W2386),"")</f>
        <v>3.4634400000000909</v>
      </c>
      <c r="Y2386" s="64">
        <f ca="1">IFERROR(+X2386/ABS(R2386*U2386),"")</f>
        <v>3.2673345785929424E-3</v>
      </c>
    </row>
    <row r="2387" spans="1:25">
      <c r="A2387" s="2">
        <f>+Get_Data!A2386</f>
        <v>42906</v>
      </c>
      <c r="B2387">
        <f>+ROUND(Get_Data!B2386,5)</f>
        <v>107.00167999999999</v>
      </c>
      <c r="C2387">
        <f>+ROUND(Get_Data!C2386,5)</f>
        <v>40.97663</v>
      </c>
      <c r="D2387" s="4">
        <f t="shared" si="37"/>
        <v>2.6112899999999999</v>
      </c>
      <c r="E2387" s="22">
        <f t="shared" ca="1" si="38"/>
        <v>2.6323799999999999</v>
      </c>
      <c r="F2387" s="23">
        <f t="shared" ca="1" si="39"/>
        <v>2.6042800000000002</v>
      </c>
      <c r="G2387" s="10">
        <f t="shared" ca="1" si="40"/>
        <v>0</v>
      </c>
      <c r="H2387" s="12">
        <f t="shared" ca="1" si="41"/>
        <v>0</v>
      </c>
      <c r="I2387" s="11">
        <f t="shared" ca="1" si="42"/>
        <v>0</v>
      </c>
      <c r="J2387" s="11">
        <f t="shared" ca="1" si="43"/>
        <v>0</v>
      </c>
      <c r="K2387" s="10" t="str">
        <f t="shared" ca="1" si="44"/>
        <v/>
      </c>
      <c r="L2387" s="11" t="str">
        <f t="shared" ca="1" si="45"/>
        <v/>
      </c>
      <c r="M2387" s="11" t="str">
        <f t="shared" ca="1" si="46"/>
        <v/>
      </c>
      <c r="N2387" s="15" t="str">
        <f t="shared" ca="1" si="47"/>
        <v/>
      </c>
      <c r="O2387" s="15" t="str">
        <f t="shared" ca="1" si="48"/>
        <v/>
      </c>
      <c r="P2387" s="16" t="str">
        <f t="shared" ca="1" si="49"/>
        <v/>
      </c>
      <c r="Q2387" s="11" t="str">
        <f t="shared" ref="Q2387:Q2450" ca="1" si="55">+IF(ISNUMBER(T2387),B2387,"")</f>
        <v/>
      </c>
      <c r="R2387" s="11" t="str">
        <f t="shared" ref="R2387:R2450" ca="1" si="56">+IF(ISNUMBER(U2387),C2387,"")</f>
        <v/>
      </c>
      <c r="S2387" s="61" t="str">
        <f t="shared" ref="S2387:S2450" ca="1" si="57">+IF(ISNUMBER(T2387),D2387,"")</f>
        <v/>
      </c>
      <c r="T2387" s="11" t="str">
        <f t="shared" ref="T2387:T2450" ca="1" si="58">+IF(AND(ISNUMBER(N2386),NOT(ISNUMBER(N2387))),N2386,"")</f>
        <v/>
      </c>
      <c r="U2387" s="11" t="str">
        <f t="shared" ref="U2387:U2450" ca="1" si="59">+IF(AND(ISNUMBER(O2386),NOT(ISNUMBER(O2387))),O2386,"")</f>
        <v/>
      </c>
      <c r="V2387" s="18" t="str">
        <f t="shared" ref="V2387:V2450" ca="1" si="60">+IFERROR(T2387*(K2386-Q2387),"")</f>
        <v/>
      </c>
      <c r="W2387" s="61" t="str">
        <f t="shared" ref="W2387:W2450" ca="1" si="61">+IFERROR(U2387*(L2386+R2387),"")</f>
        <v/>
      </c>
      <c r="X2387" s="61">
        <f t="shared" ref="X2387:X2450" ca="1" si="62">+IFERROR(SUM(V2387:W2387),"")</f>
        <v>0</v>
      </c>
      <c r="Y2387" s="64" t="str">
        <f t="shared" ref="Y2387:Y2450" ca="1" si="63">IFERROR(+X2387/ABS(R2387*U2387),"")</f>
        <v/>
      </c>
    </row>
    <row r="2388" spans="1:25">
      <c r="A2388" s="2">
        <f>+Get_Data!A2387</f>
        <v>42907</v>
      </c>
      <c r="B2388">
        <f>+ROUND(Get_Data!B2387,5)</f>
        <v>106.52087</v>
      </c>
      <c r="C2388">
        <f>+ROUND(Get_Data!C2387,5)</f>
        <v>40.626260000000002</v>
      </c>
      <c r="D2388" s="4">
        <f t="shared" si="37"/>
        <v>2.6219700000000001</v>
      </c>
      <c r="E2388" s="22">
        <f t="shared" ca="1" si="38"/>
        <v>2.6323799999999999</v>
      </c>
      <c r="F2388" s="23">
        <f t="shared" ca="1" si="39"/>
        <v>2.6042800000000002</v>
      </c>
      <c r="G2388" s="10">
        <f t="shared" ca="1" si="40"/>
        <v>0</v>
      </c>
      <c r="H2388" s="12">
        <f t="shared" ca="1" si="41"/>
        <v>0</v>
      </c>
      <c r="I2388" s="11">
        <f t="shared" ca="1" si="42"/>
        <v>0</v>
      </c>
      <c r="J2388" s="11">
        <f t="shared" ca="1" si="43"/>
        <v>0</v>
      </c>
      <c r="K2388" s="10" t="str">
        <f t="shared" ca="1" si="44"/>
        <v/>
      </c>
      <c r="L2388" s="11" t="str">
        <f t="shared" ca="1" si="45"/>
        <v/>
      </c>
      <c r="M2388" s="11" t="str">
        <f t="shared" ca="1" si="46"/>
        <v/>
      </c>
      <c r="N2388" s="15" t="str">
        <f t="shared" ca="1" si="47"/>
        <v/>
      </c>
      <c r="O2388" s="15" t="str">
        <f t="shared" ca="1" si="48"/>
        <v/>
      </c>
      <c r="P2388" s="16" t="str">
        <f t="shared" ca="1" si="49"/>
        <v/>
      </c>
      <c r="Q2388" s="11" t="str">
        <f t="shared" ca="1" si="55"/>
        <v/>
      </c>
      <c r="R2388" s="11" t="str">
        <f t="shared" ca="1" si="56"/>
        <v/>
      </c>
      <c r="S2388" s="61" t="str">
        <f t="shared" ca="1" si="57"/>
        <v/>
      </c>
      <c r="T2388" s="11" t="str">
        <f t="shared" ca="1" si="58"/>
        <v/>
      </c>
      <c r="U2388" s="11" t="str">
        <f t="shared" ca="1" si="59"/>
        <v/>
      </c>
      <c r="V2388" s="18" t="str">
        <f t="shared" ca="1" si="60"/>
        <v/>
      </c>
      <c r="W2388" s="61" t="str">
        <f t="shared" ca="1" si="61"/>
        <v/>
      </c>
      <c r="X2388" s="61">
        <f t="shared" ca="1" si="62"/>
        <v>0</v>
      </c>
      <c r="Y2388" s="64" t="str">
        <f t="shared" ca="1" si="63"/>
        <v/>
      </c>
    </row>
    <row r="2389" spans="1:25">
      <c r="A2389" s="2">
        <f>+Get_Data!A2388</f>
        <v>42908</v>
      </c>
      <c r="B2389">
        <f>+ROUND(Get_Data!B2388,5)</f>
        <v>105.36877</v>
      </c>
      <c r="C2389">
        <f>+ROUND(Get_Data!C2388,5)</f>
        <v>40.491489999999999</v>
      </c>
      <c r="D2389" s="4">
        <f t="shared" si="37"/>
        <v>2.6022400000000001</v>
      </c>
      <c r="E2389" s="22">
        <f t="shared" ca="1" si="38"/>
        <v>2.6323799999999999</v>
      </c>
      <c r="F2389" s="23">
        <f t="shared" ca="1" si="39"/>
        <v>2.6022400000000001</v>
      </c>
      <c r="G2389" s="10">
        <f t="shared" ca="1" si="40"/>
        <v>0</v>
      </c>
      <c r="H2389" s="12">
        <f t="shared" ca="1" si="41"/>
        <v>1</v>
      </c>
      <c r="I2389" s="11">
        <f t="shared" ca="1" si="42"/>
        <v>-1</v>
      </c>
      <c r="J2389" s="11">
        <f t="shared" ca="1" si="43"/>
        <v>-1</v>
      </c>
      <c r="K2389" s="10" t="str">
        <f t="shared" ca="1" si="44"/>
        <v/>
      </c>
      <c r="L2389" s="11" t="str">
        <f t="shared" ca="1" si="45"/>
        <v/>
      </c>
      <c r="M2389" s="11" t="str">
        <f t="shared" ca="1" si="46"/>
        <v/>
      </c>
      <c r="N2389" s="15" t="str">
        <f t="shared" ca="1" si="47"/>
        <v/>
      </c>
      <c r="O2389" s="15" t="str">
        <f t="shared" ca="1" si="48"/>
        <v/>
      </c>
      <c r="P2389" s="16" t="str">
        <f t="shared" ca="1" si="49"/>
        <v/>
      </c>
      <c r="Q2389" s="11" t="str">
        <f t="shared" ca="1" si="55"/>
        <v/>
      </c>
      <c r="R2389" s="11" t="str">
        <f t="shared" ca="1" si="56"/>
        <v/>
      </c>
      <c r="S2389" s="61" t="str">
        <f t="shared" ca="1" si="57"/>
        <v/>
      </c>
      <c r="T2389" s="11" t="str">
        <f t="shared" ca="1" si="58"/>
        <v/>
      </c>
      <c r="U2389" s="11" t="str">
        <f t="shared" ca="1" si="59"/>
        <v/>
      </c>
      <c r="V2389" s="18" t="str">
        <f t="shared" ca="1" si="60"/>
        <v/>
      </c>
      <c r="W2389" s="61" t="str">
        <f t="shared" ca="1" si="61"/>
        <v/>
      </c>
      <c r="X2389" s="61">
        <f t="shared" ca="1" si="62"/>
        <v>0</v>
      </c>
      <c r="Y2389" s="64" t="str">
        <f t="shared" ca="1" si="63"/>
        <v/>
      </c>
    </row>
    <row r="2390" spans="1:25">
      <c r="A2390" s="2">
        <f>+Get_Data!A2389</f>
        <v>42909</v>
      </c>
      <c r="B2390">
        <f>+ROUND(Get_Data!B2389,5)</f>
        <v>106.10357999999999</v>
      </c>
      <c r="C2390">
        <f>+ROUND(Get_Data!C2389,5)</f>
        <v>40.653210000000001</v>
      </c>
      <c r="D2390" s="4">
        <f t="shared" si="37"/>
        <v>2.6099700000000001</v>
      </c>
      <c r="E2390" s="22">
        <f t="shared" ca="1" si="38"/>
        <v>2.6265999999999998</v>
      </c>
      <c r="F2390" s="23">
        <f t="shared" ca="1" si="39"/>
        <v>2.6022400000000001</v>
      </c>
      <c r="G2390" s="10">
        <f t="shared" ca="1" si="40"/>
        <v>0</v>
      </c>
      <c r="H2390" s="12">
        <f t="shared" ca="1" si="41"/>
        <v>0</v>
      </c>
      <c r="I2390" s="11">
        <f t="shared" ca="1" si="42"/>
        <v>0</v>
      </c>
      <c r="J2390" s="11">
        <f t="shared" ca="1" si="43"/>
        <v>-1</v>
      </c>
      <c r="K2390" s="10">
        <f t="shared" ca="1" si="44"/>
        <v>106.10357999999999</v>
      </c>
      <c r="L2390" s="11">
        <f t="shared" ca="1" si="45"/>
        <v>-40.653210000000001</v>
      </c>
      <c r="M2390" s="11">
        <f t="shared" ca="1" si="46"/>
        <v>2.6099700000000001</v>
      </c>
      <c r="N2390" s="15">
        <f t="shared" ca="1" si="47"/>
        <v>10</v>
      </c>
      <c r="O2390" s="15">
        <f t="shared" ca="1" si="48"/>
        <v>26</v>
      </c>
      <c r="P2390" s="16">
        <f t="shared" ca="1" si="49"/>
        <v>4.0523399999999583</v>
      </c>
      <c r="Q2390" s="11" t="str">
        <f t="shared" ca="1" si="55"/>
        <v/>
      </c>
      <c r="R2390" s="11" t="str">
        <f t="shared" ca="1" si="56"/>
        <v/>
      </c>
      <c r="S2390" s="61" t="str">
        <f t="shared" ca="1" si="57"/>
        <v/>
      </c>
      <c r="T2390" s="11" t="str">
        <f t="shared" ca="1" si="58"/>
        <v/>
      </c>
      <c r="U2390" s="11" t="str">
        <f t="shared" ca="1" si="59"/>
        <v/>
      </c>
      <c r="V2390" s="18" t="str">
        <f t="shared" ca="1" si="60"/>
        <v/>
      </c>
      <c r="W2390" s="61" t="str">
        <f t="shared" ca="1" si="61"/>
        <v/>
      </c>
      <c r="X2390" s="61">
        <f t="shared" ca="1" si="62"/>
        <v>0</v>
      </c>
      <c r="Y2390" s="64" t="str">
        <f t="shared" ca="1" si="63"/>
        <v/>
      </c>
    </row>
    <row r="2391" spans="1:25">
      <c r="A2391" s="2">
        <f>+Get_Data!A2390</f>
        <v>42912</v>
      </c>
      <c r="B2391">
        <f>+ROUND(Get_Data!B2390,5)</f>
        <v>106.24872000000001</v>
      </c>
      <c r="C2391">
        <f>+ROUND(Get_Data!C2390,5)</f>
        <v>40.814920000000001</v>
      </c>
      <c r="D2391" s="4">
        <f t="shared" si="37"/>
        <v>2.60318</v>
      </c>
      <c r="E2391" s="22">
        <f t="shared" ca="1" si="38"/>
        <v>2.6265999999999998</v>
      </c>
      <c r="F2391" s="23">
        <f t="shared" ca="1" si="39"/>
        <v>2.6022400000000001</v>
      </c>
      <c r="G2391" s="10">
        <f t="shared" ca="1" si="40"/>
        <v>0</v>
      </c>
      <c r="H2391" s="12">
        <f t="shared" ca="1" si="41"/>
        <v>0</v>
      </c>
      <c r="I2391" s="11">
        <f t="shared" ca="1" si="42"/>
        <v>0</v>
      </c>
      <c r="J2391" s="11">
        <f t="shared" ca="1" si="43"/>
        <v>-1</v>
      </c>
      <c r="K2391" s="10">
        <f t="shared" ca="1" si="44"/>
        <v>106.10357999999999</v>
      </c>
      <c r="L2391" s="11">
        <f t="shared" ca="1" si="45"/>
        <v>-40.653210000000001</v>
      </c>
      <c r="M2391" s="11">
        <f t="shared" ca="1" si="46"/>
        <v>2.6099700000000001</v>
      </c>
      <c r="N2391" s="15">
        <f t="shared" ca="1" si="47"/>
        <v>10</v>
      </c>
      <c r="O2391" s="15">
        <f t="shared" ca="1" si="48"/>
        <v>26</v>
      </c>
      <c r="P2391" s="16">
        <f t="shared" ca="1" si="49"/>
        <v>4.0523399999999583</v>
      </c>
      <c r="Q2391" s="11" t="str">
        <f t="shared" ca="1" si="55"/>
        <v/>
      </c>
      <c r="R2391" s="11" t="str">
        <f t="shared" ca="1" si="56"/>
        <v/>
      </c>
      <c r="S2391" s="61" t="str">
        <f t="shared" ca="1" si="57"/>
        <v/>
      </c>
      <c r="T2391" s="11" t="str">
        <f t="shared" ca="1" si="58"/>
        <v/>
      </c>
      <c r="U2391" s="11" t="str">
        <f t="shared" ca="1" si="59"/>
        <v/>
      </c>
      <c r="V2391" s="18" t="str">
        <f t="shared" ca="1" si="60"/>
        <v/>
      </c>
      <c r="W2391" s="61" t="str">
        <f t="shared" ca="1" si="61"/>
        <v/>
      </c>
      <c r="X2391" s="61">
        <f t="shared" ca="1" si="62"/>
        <v>0</v>
      </c>
      <c r="Y2391" s="64" t="str">
        <f t="shared" ca="1" si="63"/>
        <v/>
      </c>
    </row>
    <row r="2392" spans="1:25">
      <c r="A2392" s="2">
        <f>+Get_Data!A2391</f>
        <v>42913</v>
      </c>
      <c r="B2392">
        <f>+ROUND(Get_Data!B2391,5)</f>
        <v>105.17825999999999</v>
      </c>
      <c r="C2392">
        <f>+ROUND(Get_Data!C2391,5)</f>
        <v>40.473520000000001</v>
      </c>
      <c r="D2392" s="4">
        <f t="shared" si="37"/>
        <v>2.5986899999999999</v>
      </c>
      <c r="E2392" s="22">
        <f t="shared" ca="1" si="38"/>
        <v>2.6265999999999998</v>
      </c>
      <c r="F2392" s="23">
        <f t="shared" ca="1" si="39"/>
        <v>2.5986899999999999</v>
      </c>
      <c r="G2392" s="10">
        <f t="shared" ca="1" si="40"/>
        <v>0</v>
      </c>
      <c r="H2392" s="12">
        <f t="shared" ca="1" si="41"/>
        <v>1</v>
      </c>
      <c r="I2392" s="11">
        <f t="shared" ca="1" si="42"/>
        <v>-1</v>
      </c>
      <c r="J2392" s="11">
        <f t="shared" ca="1" si="43"/>
        <v>-2</v>
      </c>
      <c r="K2392" s="10">
        <f t="shared" ca="1" si="44"/>
        <v>106.10357999999999</v>
      </c>
      <c r="L2392" s="11">
        <f t="shared" ca="1" si="45"/>
        <v>-40.653210000000001</v>
      </c>
      <c r="M2392" s="11">
        <f t="shared" ca="1" si="46"/>
        <v>2.6099700000000001</v>
      </c>
      <c r="N2392" s="15">
        <f t="shared" ca="1" si="47"/>
        <v>10</v>
      </c>
      <c r="O2392" s="15">
        <f t="shared" ca="1" si="48"/>
        <v>26</v>
      </c>
      <c r="P2392" s="16">
        <f t="shared" ca="1" si="49"/>
        <v>4.0523399999999583</v>
      </c>
      <c r="Q2392" s="11" t="str">
        <f t="shared" ca="1" si="55"/>
        <v/>
      </c>
      <c r="R2392" s="11" t="str">
        <f t="shared" ca="1" si="56"/>
        <v/>
      </c>
      <c r="S2392" s="61" t="str">
        <f t="shared" ca="1" si="57"/>
        <v/>
      </c>
      <c r="T2392" s="11" t="str">
        <f t="shared" ca="1" si="58"/>
        <v/>
      </c>
      <c r="U2392" s="11" t="str">
        <f t="shared" ca="1" si="59"/>
        <v/>
      </c>
      <c r="V2392" s="18" t="str">
        <f t="shared" ca="1" si="60"/>
        <v/>
      </c>
      <c r="W2392" s="61" t="str">
        <f t="shared" ca="1" si="61"/>
        <v/>
      </c>
      <c r="X2392" s="61">
        <f t="shared" ca="1" si="62"/>
        <v>0</v>
      </c>
      <c r="Y2392" s="64" t="str">
        <f t="shared" ca="1" si="63"/>
        <v/>
      </c>
    </row>
    <row r="2393" spans="1:25">
      <c r="A2393" s="2">
        <f>+Get_Data!A2392</f>
        <v>42914</v>
      </c>
      <c r="B2393">
        <f>+ROUND(Get_Data!B2392,5)</f>
        <v>105.57741</v>
      </c>
      <c r="C2393">
        <f>+ROUND(Get_Data!C2392,5)</f>
        <v>40.716090000000001</v>
      </c>
      <c r="D2393" s="4">
        <f t="shared" si="37"/>
        <v>2.59301</v>
      </c>
      <c r="E2393" s="22">
        <f t="shared" ca="1" si="38"/>
        <v>2.6265999999999998</v>
      </c>
      <c r="F2393" s="23">
        <f t="shared" ca="1" si="39"/>
        <v>2.59301</v>
      </c>
      <c r="G2393" s="10">
        <f t="shared" ca="1" si="40"/>
        <v>0</v>
      </c>
      <c r="H2393" s="12">
        <f t="shared" ca="1" si="41"/>
        <v>1</v>
      </c>
      <c r="I2393" s="11">
        <f t="shared" ca="1" si="42"/>
        <v>-1</v>
      </c>
      <c r="J2393" s="11">
        <f t="shared" ca="1" si="43"/>
        <v>0</v>
      </c>
      <c r="K2393" s="10">
        <f t="shared" ca="1" si="44"/>
        <v>106.10357999999999</v>
      </c>
      <c r="L2393" s="11">
        <f t="shared" ca="1" si="45"/>
        <v>-40.653210000000001</v>
      </c>
      <c r="M2393" s="11">
        <f t="shared" ca="1" si="46"/>
        <v>2.6099700000000001</v>
      </c>
      <c r="N2393" s="15">
        <f t="shared" ca="1" si="47"/>
        <v>10</v>
      </c>
      <c r="O2393" s="15">
        <f t="shared" ca="1" si="48"/>
        <v>26</v>
      </c>
      <c r="P2393" s="16">
        <f t="shared" ca="1" si="49"/>
        <v>4.0523399999999583</v>
      </c>
      <c r="Q2393" s="11" t="str">
        <f t="shared" ca="1" si="55"/>
        <v/>
      </c>
      <c r="R2393" s="11" t="str">
        <f t="shared" ca="1" si="56"/>
        <v/>
      </c>
      <c r="S2393" s="61" t="str">
        <f t="shared" ca="1" si="57"/>
        <v/>
      </c>
      <c r="T2393" s="11" t="str">
        <f t="shared" ca="1" si="58"/>
        <v/>
      </c>
      <c r="U2393" s="11" t="str">
        <f t="shared" ca="1" si="59"/>
        <v/>
      </c>
      <c r="V2393" s="18" t="str">
        <f t="shared" ca="1" si="60"/>
        <v/>
      </c>
      <c r="W2393" s="61" t="str">
        <f t="shared" ca="1" si="61"/>
        <v/>
      </c>
      <c r="X2393" s="61">
        <f t="shared" ca="1" si="62"/>
        <v>0</v>
      </c>
      <c r="Y2393" s="64" t="str">
        <f t="shared" ca="1" si="63"/>
        <v/>
      </c>
    </row>
    <row r="2394" spans="1:25">
      <c r="A2394" s="2">
        <f>+Get_Data!A2393</f>
        <v>42915</v>
      </c>
      <c r="B2394">
        <f>+ROUND(Get_Data!B2393,5)</f>
        <v>104.48878999999999</v>
      </c>
      <c r="C2394">
        <f>+ROUND(Get_Data!C2393,5)</f>
        <v>40.275869999999998</v>
      </c>
      <c r="D2394" s="4">
        <f t="shared" si="37"/>
        <v>2.5943299999999998</v>
      </c>
      <c r="E2394" s="22">
        <f t="shared" ca="1" si="38"/>
        <v>2.6265999999999998</v>
      </c>
      <c r="F2394" s="23">
        <f t="shared" ca="1" si="39"/>
        <v>2.59301</v>
      </c>
      <c r="G2394" s="10">
        <f t="shared" ca="1" si="40"/>
        <v>0</v>
      </c>
      <c r="H2394" s="12">
        <f t="shared" ca="1" si="41"/>
        <v>0</v>
      </c>
      <c r="I2394" s="11">
        <f t="shared" ca="1" si="42"/>
        <v>0</v>
      </c>
      <c r="J2394" s="11">
        <f t="shared" ca="1" si="43"/>
        <v>0</v>
      </c>
      <c r="K2394" s="10" t="str">
        <f t="shared" ref="K2394:K2457" ca="1" si="64">+IF($J2393=0,"",IF(AND(ABS($J2393)=1,ABS($I2393)=1),-$J2393*B2394,K2393))</f>
        <v/>
      </c>
      <c r="L2394" s="11" t="str">
        <f t="shared" ref="L2394:L2457" ca="1" si="65">+IF($J2393=0,"",IF(AND(ABS($J2393)=1,ABS($I2393)=1),$J2393*C2394,L2393))</f>
        <v/>
      </c>
      <c r="M2394" s="11" t="str">
        <f t="shared" ref="M2394:M2457" ca="1" si="66">+IF($J2393=0,"",IF(AND(ABS($J2393)=1,ABS($I2393)=1),D2394,M2393))</f>
        <v/>
      </c>
      <c r="N2394" s="15" t="str">
        <f t="shared" ref="N2394:N2457" ca="1" si="67">+IF(ISNUMBER(K2394),stocks,"")</f>
        <v/>
      </c>
      <c r="O2394" s="15" t="str">
        <f t="shared" ref="O2394:O2457" ca="1" si="68">+IFERROR(ROUND(N2394*M2394,0),"")</f>
        <v/>
      </c>
      <c r="P2394" s="16" t="str">
        <f t="shared" ref="P2394:P2457" ca="1" si="69">IFERROR(+N2394*K2394+O2394*L2394,"")</f>
        <v/>
      </c>
      <c r="Q2394" s="11">
        <f t="shared" ca="1" si="55"/>
        <v>104.48878999999999</v>
      </c>
      <c r="R2394" s="11">
        <f t="shared" ca="1" si="56"/>
        <v>40.275869999999998</v>
      </c>
      <c r="S2394" s="61">
        <f t="shared" ca="1" si="57"/>
        <v>2.5943299999999998</v>
      </c>
      <c r="T2394" s="11">
        <f t="shared" ca="1" si="58"/>
        <v>10</v>
      </c>
      <c r="U2394" s="11">
        <f t="shared" ca="1" si="59"/>
        <v>26</v>
      </c>
      <c r="V2394" s="18">
        <f t="shared" ca="1" si="60"/>
        <v>16.147899999999993</v>
      </c>
      <c r="W2394" s="61">
        <f t="shared" ca="1" si="61"/>
        <v>-9.8108400000000984</v>
      </c>
      <c r="X2394" s="61">
        <f t="shared" ca="1" si="62"/>
        <v>6.3370599999998944</v>
      </c>
      <c r="Y2394" s="64">
        <f t="shared" ca="1" si="63"/>
        <v>6.0515906154993771E-3</v>
      </c>
    </row>
    <row r="2395" spans="1:25">
      <c r="A2395" s="2">
        <f>+Get_Data!A2394</f>
        <v>42916</v>
      </c>
      <c r="B2395">
        <f>+ROUND(Get_Data!B2394,5)</f>
        <v>104.77002</v>
      </c>
      <c r="C2395">
        <f>+ROUND(Get_Data!C2394,5)</f>
        <v>40.29383</v>
      </c>
      <c r="D2395" s="4">
        <f t="shared" si="37"/>
        <v>2.6001500000000002</v>
      </c>
      <c r="E2395" s="22">
        <f t="shared" ca="1" si="38"/>
        <v>2.6265999999999998</v>
      </c>
      <c r="F2395" s="23">
        <f t="shared" ca="1" si="39"/>
        <v>2.59301</v>
      </c>
      <c r="G2395" s="10">
        <f t="shared" ca="1" si="40"/>
        <v>0</v>
      </c>
      <c r="H2395" s="12">
        <f t="shared" ca="1" si="41"/>
        <v>0</v>
      </c>
      <c r="I2395" s="11">
        <f t="shared" ca="1" si="42"/>
        <v>0</v>
      </c>
      <c r="J2395" s="11">
        <f t="shared" ca="1" si="43"/>
        <v>0</v>
      </c>
      <c r="K2395" s="10" t="str">
        <f t="shared" ca="1" si="64"/>
        <v/>
      </c>
      <c r="L2395" s="11" t="str">
        <f t="shared" ca="1" si="65"/>
        <v/>
      </c>
      <c r="M2395" s="11" t="str">
        <f t="shared" ca="1" si="66"/>
        <v/>
      </c>
      <c r="N2395" s="15" t="str">
        <f t="shared" ca="1" si="67"/>
        <v/>
      </c>
      <c r="O2395" s="15" t="str">
        <f t="shared" ca="1" si="68"/>
        <v/>
      </c>
      <c r="P2395" s="16" t="str">
        <f t="shared" ca="1" si="69"/>
        <v/>
      </c>
      <c r="Q2395" s="11" t="str">
        <f t="shared" ca="1" si="55"/>
        <v/>
      </c>
      <c r="R2395" s="11" t="str">
        <f t="shared" ca="1" si="56"/>
        <v/>
      </c>
      <c r="S2395" s="61" t="str">
        <f t="shared" ca="1" si="57"/>
        <v/>
      </c>
      <c r="T2395" s="11" t="str">
        <f t="shared" ca="1" si="58"/>
        <v/>
      </c>
      <c r="U2395" s="11" t="str">
        <f t="shared" ca="1" si="59"/>
        <v/>
      </c>
      <c r="V2395" s="18" t="str">
        <f t="shared" ca="1" si="60"/>
        <v/>
      </c>
      <c r="W2395" s="61" t="str">
        <f t="shared" ca="1" si="61"/>
        <v/>
      </c>
      <c r="X2395" s="61">
        <f t="shared" ca="1" si="62"/>
        <v>0</v>
      </c>
      <c r="Y2395" s="64" t="str">
        <f t="shared" ca="1" si="63"/>
        <v/>
      </c>
    </row>
    <row r="2396" spans="1:25">
      <c r="A2396" s="2">
        <f>+Get_Data!A2395</f>
        <v>42919</v>
      </c>
      <c r="B2396">
        <f>+ROUND(Get_Data!B2395,5)</f>
        <v>104.72466</v>
      </c>
      <c r="C2396">
        <f>+ROUND(Get_Data!C2395,5)</f>
        <v>40.212980000000002</v>
      </c>
      <c r="D2396" s="4">
        <f t="shared" si="37"/>
        <v>2.60425</v>
      </c>
      <c r="E2396" s="22">
        <f t="shared" ca="1" si="38"/>
        <v>2.6265100000000001</v>
      </c>
      <c r="F2396" s="23">
        <f t="shared" ca="1" si="39"/>
        <v>2.59301</v>
      </c>
      <c r="G2396" s="10">
        <f t="shared" ca="1" si="40"/>
        <v>0</v>
      </c>
      <c r="H2396" s="12">
        <f t="shared" ca="1" si="41"/>
        <v>0</v>
      </c>
      <c r="I2396" s="11">
        <f t="shared" ca="1" si="42"/>
        <v>0</v>
      </c>
      <c r="J2396" s="11">
        <f t="shared" ca="1" si="43"/>
        <v>0</v>
      </c>
      <c r="K2396" s="10" t="str">
        <f t="shared" ca="1" si="64"/>
        <v/>
      </c>
      <c r="L2396" s="11" t="str">
        <f t="shared" ca="1" si="65"/>
        <v/>
      </c>
      <c r="M2396" s="11" t="str">
        <f t="shared" ca="1" si="66"/>
        <v/>
      </c>
      <c r="N2396" s="15" t="str">
        <f t="shared" ca="1" si="67"/>
        <v/>
      </c>
      <c r="O2396" s="15" t="str">
        <f t="shared" ca="1" si="68"/>
        <v/>
      </c>
      <c r="P2396" s="16" t="str">
        <f t="shared" ca="1" si="69"/>
        <v/>
      </c>
      <c r="Q2396" s="11" t="str">
        <f t="shared" ca="1" si="55"/>
        <v/>
      </c>
      <c r="R2396" s="11" t="str">
        <f t="shared" ca="1" si="56"/>
        <v/>
      </c>
      <c r="S2396" s="61" t="str">
        <f t="shared" ca="1" si="57"/>
        <v/>
      </c>
      <c r="T2396" s="11" t="str">
        <f t="shared" ca="1" si="58"/>
        <v/>
      </c>
      <c r="U2396" s="11" t="str">
        <f t="shared" ca="1" si="59"/>
        <v/>
      </c>
      <c r="V2396" s="18" t="str">
        <f t="shared" ca="1" si="60"/>
        <v/>
      </c>
      <c r="W2396" s="61" t="str">
        <f t="shared" ca="1" si="61"/>
        <v/>
      </c>
      <c r="X2396" s="61">
        <f t="shared" ca="1" si="62"/>
        <v>0</v>
      </c>
      <c r="Y2396" s="64" t="str">
        <f t="shared" ca="1" si="63"/>
        <v/>
      </c>
    </row>
    <row r="2397" spans="1:25">
      <c r="A2397" s="2">
        <f>+Get_Data!A2396</f>
        <v>42921</v>
      </c>
      <c r="B2397">
        <f>+ROUND(Get_Data!B2396,5)</f>
        <v>104.59766</v>
      </c>
      <c r="C2397">
        <f>+ROUND(Get_Data!C2396,5)</f>
        <v>40.2669</v>
      </c>
      <c r="D2397" s="4">
        <f t="shared" si="37"/>
        <v>2.59761</v>
      </c>
      <c r="E2397" s="22">
        <f t="shared" ca="1" si="38"/>
        <v>2.6219700000000001</v>
      </c>
      <c r="F2397" s="23">
        <f t="shared" ca="1" si="39"/>
        <v>2.59301</v>
      </c>
      <c r="G2397" s="10">
        <f t="shared" ca="1" si="40"/>
        <v>0</v>
      </c>
      <c r="H2397" s="12">
        <f t="shared" ca="1" si="41"/>
        <v>0</v>
      </c>
      <c r="I2397" s="11">
        <f t="shared" ca="1" si="42"/>
        <v>0</v>
      </c>
      <c r="J2397" s="11">
        <f t="shared" ca="1" si="43"/>
        <v>0</v>
      </c>
      <c r="K2397" s="10" t="str">
        <f t="shared" ca="1" si="64"/>
        <v/>
      </c>
      <c r="L2397" s="11" t="str">
        <f t="shared" ca="1" si="65"/>
        <v/>
      </c>
      <c r="M2397" s="11" t="str">
        <f t="shared" ca="1" si="66"/>
        <v/>
      </c>
      <c r="N2397" s="15" t="str">
        <f t="shared" ca="1" si="67"/>
        <v/>
      </c>
      <c r="O2397" s="15" t="str">
        <f t="shared" ca="1" si="68"/>
        <v/>
      </c>
      <c r="P2397" s="16" t="str">
        <f t="shared" ca="1" si="69"/>
        <v/>
      </c>
      <c r="Q2397" s="11" t="str">
        <f t="shared" ca="1" si="55"/>
        <v/>
      </c>
      <c r="R2397" s="11" t="str">
        <f t="shared" ca="1" si="56"/>
        <v/>
      </c>
      <c r="S2397" s="61" t="str">
        <f t="shared" ca="1" si="57"/>
        <v/>
      </c>
      <c r="T2397" s="11" t="str">
        <f t="shared" ca="1" si="58"/>
        <v/>
      </c>
      <c r="U2397" s="11" t="str">
        <f t="shared" ca="1" si="59"/>
        <v/>
      </c>
      <c r="V2397" s="18" t="str">
        <f t="shared" ca="1" si="60"/>
        <v/>
      </c>
      <c r="W2397" s="61" t="str">
        <f t="shared" ca="1" si="61"/>
        <v/>
      </c>
      <c r="X2397" s="61">
        <f t="shared" ca="1" si="62"/>
        <v>0</v>
      </c>
      <c r="Y2397" s="64" t="str">
        <f t="shared" ca="1" si="63"/>
        <v/>
      </c>
    </row>
    <row r="2398" spans="1:25">
      <c r="A2398" s="2">
        <f>+Get_Data!A2397</f>
        <v>42922</v>
      </c>
      <c r="B2398">
        <f>+ROUND(Get_Data!B2397,5)</f>
        <v>104.44344</v>
      </c>
      <c r="C2398">
        <f>+ROUND(Get_Data!C2397,5)</f>
        <v>39.88955</v>
      </c>
      <c r="D2398" s="4">
        <f t="shared" si="37"/>
        <v>2.6183200000000002</v>
      </c>
      <c r="E2398" s="22">
        <f t="shared" ca="1" si="38"/>
        <v>2.6219700000000001</v>
      </c>
      <c r="F2398" s="23">
        <f t="shared" ca="1" si="39"/>
        <v>2.59301</v>
      </c>
      <c r="G2398" s="10">
        <f t="shared" ca="1" si="40"/>
        <v>0</v>
      </c>
      <c r="H2398" s="12">
        <f t="shared" ca="1" si="41"/>
        <v>0</v>
      </c>
      <c r="I2398" s="11">
        <f t="shared" ca="1" si="42"/>
        <v>0</v>
      </c>
      <c r="J2398" s="11">
        <f t="shared" ca="1" si="43"/>
        <v>0</v>
      </c>
      <c r="K2398" s="10" t="str">
        <f t="shared" ca="1" si="64"/>
        <v/>
      </c>
      <c r="L2398" s="11" t="str">
        <f t="shared" ca="1" si="65"/>
        <v/>
      </c>
      <c r="M2398" s="11" t="str">
        <f t="shared" ca="1" si="66"/>
        <v/>
      </c>
      <c r="N2398" s="15" t="str">
        <f t="shared" ca="1" si="67"/>
        <v/>
      </c>
      <c r="O2398" s="15" t="str">
        <f t="shared" ca="1" si="68"/>
        <v/>
      </c>
      <c r="P2398" s="16" t="str">
        <f t="shared" ca="1" si="69"/>
        <v/>
      </c>
      <c r="Q2398" s="11" t="str">
        <f t="shared" ca="1" si="55"/>
        <v/>
      </c>
      <c r="R2398" s="11" t="str">
        <f t="shared" ca="1" si="56"/>
        <v/>
      </c>
      <c r="S2398" s="61" t="str">
        <f t="shared" ca="1" si="57"/>
        <v/>
      </c>
      <c r="T2398" s="11" t="str">
        <f t="shared" ca="1" si="58"/>
        <v/>
      </c>
      <c r="U2398" s="11" t="str">
        <f t="shared" ca="1" si="59"/>
        <v/>
      </c>
      <c r="V2398" s="18" t="str">
        <f t="shared" ca="1" si="60"/>
        <v/>
      </c>
      <c r="W2398" s="61" t="str">
        <f t="shared" ca="1" si="61"/>
        <v/>
      </c>
      <c r="X2398" s="61">
        <f t="shared" ca="1" si="62"/>
        <v>0</v>
      </c>
      <c r="Y2398" s="64" t="str">
        <f t="shared" ca="1" si="63"/>
        <v/>
      </c>
    </row>
    <row r="2399" spans="1:25">
      <c r="A2399" s="2">
        <f>+Get_Data!A2398</f>
        <v>42923</v>
      </c>
      <c r="B2399">
        <f>+ROUND(Get_Data!B2398,5)</f>
        <v>104.78818</v>
      </c>
      <c r="C2399">
        <f>+ROUND(Get_Data!C2398,5)</f>
        <v>39.880580000000002</v>
      </c>
      <c r="D2399" s="4">
        <f t="shared" si="37"/>
        <v>2.6275499999999998</v>
      </c>
      <c r="E2399" s="22">
        <f t="shared" ca="1" si="38"/>
        <v>2.6275499999999998</v>
      </c>
      <c r="F2399" s="23">
        <f t="shared" ca="1" si="39"/>
        <v>2.59301</v>
      </c>
      <c r="G2399" s="10">
        <f t="shared" ca="1" si="40"/>
        <v>1</v>
      </c>
      <c r="H2399" s="12">
        <f t="shared" ca="1" si="41"/>
        <v>0</v>
      </c>
      <c r="I2399" s="11">
        <f t="shared" ca="1" si="42"/>
        <v>1</v>
      </c>
      <c r="J2399" s="11">
        <f t="shared" ca="1" si="43"/>
        <v>1</v>
      </c>
      <c r="K2399" s="10" t="str">
        <f t="shared" ca="1" si="64"/>
        <v/>
      </c>
      <c r="L2399" s="11" t="str">
        <f t="shared" ca="1" si="65"/>
        <v/>
      </c>
      <c r="M2399" s="11" t="str">
        <f t="shared" ca="1" si="66"/>
        <v/>
      </c>
      <c r="N2399" s="15" t="str">
        <f t="shared" ca="1" si="67"/>
        <v/>
      </c>
      <c r="O2399" s="15" t="str">
        <f t="shared" ca="1" si="68"/>
        <v/>
      </c>
      <c r="P2399" s="16" t="str">
        <f t="shared" ca="1" si="69"/>
        <v/>
      </c>
      <c r="Q2399" s="11" t="str">
        <f t="shared" ca="1" si="55"/>
        <v/>
      </c>
      <c r="R2399" s="11" t="str">
        <f t="shared" ca="1" si="56"/>
        <v/>
      </c>
      <c r="S2399" s="61" t="str">
        <f t="shared" ca="1" si="57"/>
        <v/>
      </c>
      <c r="T2399" s="11" t="str">
        <f t="shared" ca="1" si="58"/>
        <v/>
      </c>
      <c r="U2399" s="11" t="str">
        <f t="shared" ca="1" si="59"/>
        <v/>
      </c>
      <c r="V2399" s="18" t="str">
        <f t="shared" ca="1" si="60"/>
        <v/>
      </c>
      <c r="W2399" s="61" t="str">
        <f t="shared" ca="1" si="61"/>
        <v/>
      </c>
      <c r="X2399" s="61">
        <f t="shared" ca="1" si="62"/>
        <v>0</v>
      </c>
      <c r="Y2399" s="64" t="str">
        <f t="shared" ca="1" si="63"/>
        <v/>
      </c>
    </row>
    <row r="2400" spans="1:25">
      <c r="A2400" s="2">
        <f>+Get_Data!A2399</f>
        <v>42926</v>
      </c>
      <c r="B2400">
        <f>+ROUND(Get_Data!B2399,5)</f>
        <v>103.66328</v>
      </c>
      <c r="C2400">
        <f>+ROUND(Get_Data!C2399,5)</f>
        <v>39.871589999999998</v>
      </c>
      <c r="D2400" s="4">
        <f t="shared" si="37"/>
        <v>2.5999300000000001</v>
      </c>
      <c r="E2400" s="22">
        <f t="shared" ca="1" si="38"/>
        <v>2.6275499999999998</v>
      </c>
      <c r="F2400" s="23">
        <f t="shared" ca="1" si="39"/>
        <v>2.59301</v>
      </c>
      <c r="G2400" s="10">
        <f t="shared" ca="1" si="40"/>
        <v>0</v>
      </c>
      <c r="H2400" s="12">
        <f t="shared" ca="1" si="41"/>
        <v>0</v>
      </c>
      <c r="I2400" s="11">
        <f t="shared" ca="1" si="42"/>
        <v>0</v>
      </c>
      <c r="J2400" s="11">
        <f t="shared" ca="1" si="43"/>
        <v>1</v>
      </c>
      <c r="K2400" s="10">
        <f t="shared" ca="1" si="64"/>
        <v>-103.66328</v>
      </c>
      <c r="L2400" s="11">
        <f t="shared" ca="1" si="65"/>
        <v>39.871589999999998</v>
      </c>
      <c r="M2400" s="11">
        <f t="shared" ca="1" si="66"/>
        <v>2.5999300000000001</v>
      </c>
      <c r="N2400" s="15">
        <f t="shared" ca="1" si="67"/>
        <v>10</v>
      </c>
      <c r="O2400" s="15">
        <f t="shared" ca="1" si="68"/>
        <v>26</v>
      </c>
      <c r="P2400" s="16">
        <f t="shared" ca="1" si="69"/>
        <v>2.8539999999793508E-2</v>
      </c>
      <c r="Q2400" s="11" t="str">
        <f t="shared" ca="1" si="55"/>
        <v/>
      </c>
      <c r="R2400" s="11" t="str">
        <f t="shared" ca="1" si="56"/>
        <v/>
      </c>
      <c r="S2400" s="61" t="str">
        <f t="shared" ca="1" si="57"/>
        <v/>
      </c>
      <c r="T2400" s="11" t="str">
        <f t="shared" ca="1" si="58"/>
        <v/>
      </c>
      <c r="U2400" s="11" t="str">
        <f t="shared" ca="1" si="59"/>
        <v/>
      </c>
      <c r="V2400" s="18" t="str">
        <f t="shared" ca="1" si="60"/>
        <v/>
      </c>
      <c r="W2400" s="61" t="str">
        <f t="shared" ca="1" si="61"/>
        <v/>
      </c>
      <c r="X2400" s="61">
        <f t="shared" ca="1" si="62"/>
        <v>0</v>
      </c>
      <c r="Y2400" s="64" t="str">
        <f t="shared" ca="1" si="63"/>
        <v/>
      </c>
    </row>
    <row r="2401" spans="1:25">
      <c r="A2401" s="2">
        <f>+Get_Data!A2400</f>
        <v>42927</v>
      </c>
      <c r="B2401">
        <f>+ROUND(Get_Data!B2400,5)</f>
        <v>103.18246000000001</v>
      </c>
      <c r="C2401">
        <f>+ROUND(Get_Data!C2400,5)</f>
        <v>39.82667</v>
      </c>
      <c r="D2401" s="4">
        <f t="shared" si="37"/>
        <v>2.5907900000000001</v>
      </c>
      <c r="E2401" s="22">
        <f t="shared" ca="1" si="38"/>
        <v>2.6275499999999998</v>
      </c>
      <c r="F2401" s="23">
        <f t="shared" ca="1" si="39"/>
        <v>2.5907900000000001</v>
      </c>
      <c r="G2401" s="10">
        <f t="shared" ca="1" si="40"/>
        <v>0</v>
      </c>
      <c r="H2401" s="12">
        <f t="shared" ca="1" si="41"/>
        <v>1</v>
      </c>
      <c r="I2401" s="11">
        <f t="shared" ca="1" si="42"/>
        <v>-1</v>
      </c>
      <c r="J2401" s="11">
        <f t="shared" ca="1" si="43"/>
        <v>0</v>
      </c>
      <c r="K2401" s="10">
        <f t="shared" ca="1" si="64"/>
        <v>-103.66328</v>
      </c>
      <c r="L2401" s="11">
        <f t="shared" ca="1" si="65"/>
        <v>39.871589999999998</v>
      </c>
      <c r="M2401" s="11">
        <f t="shared" ca="1" si="66"/>
        <v>2.5999300000000001</v>
      </c>
      <c r="N2401" s="15">
        <f t="shared" ca="1" si="67"/>
        <v>10</v>
      </c>
      <c r="O2401" s="15">
        <f t="shared" ca="1" si="68"/>
        <v>26</v>
      </c>
      <c r="P2401" s="16">
        <f t="shared" ca="1" si="69"/>
        <v>2.8539999999793508E-2</v>
      </c>
      <c r="Q2401" s="11" t="str">
        <f t="shared" ca="1" si="55"/>
        <v/>
      </c>
      <c r="R2401" s="11" t="str">
        <f t="shared" ca="1" si="56"/>
        <v/>
      </c>
      <c r="S2401" s="61" t="str">
        <f t="shared" ca="1" si="57"/>
        <v/>
      </c>
      <c r="T2401" s="11" t="str">
        <f t="shared" ca="1" si="58"/>
        <v/>
      </c>
      <c r="U2401" s="11" t="str">
        <f t="shared" ca="1" si="59"/>
        <v/>
      </c>
      <c r="V2401" s="18" t="str">
        <f t="shared" ca="1" si="60"/>
        <v/>
      </c>
      <c r="W2401" s="61" t="str">
        <f t="shared" ca="1" si="61"/>
        <v/>
      </c>
      <c r="X2401" s="61">
        <f t="shared" ca="1" si="62"/>
        <v>0</v>
      </c>
      <c r="Y2401" s="64" t="str">
        <f t="shared" ca="1" si="63"/>
        <v/>
      </c>
    </row>
    <row r="2402" spans="1:25">
      <c r="A2402" s="2">
        <f>+Get_Data!A2401</f>
        <v>42928</v>
      </c>
      <c r="B2402">
        <f>+ROUND(Get_Data!B2401,5)</f>
        <v>104.11684</v>
      </c>
      <c r="C2402">
        <f>+ROUND(Get_Data!C2401,5)</f>
        <v>39.988370000000003</v>
      </c>
      <c r="D2402" s="4">
        <f t="shared" si="37"/>
        <v>2.6036800000000002</v>
      </c>
      <c r="E2402" s="22">
        <f t="shared" ca="1" si="38"/>
        <v>2.6275499999999998</v>
      </c>
      <c r="F2402" s="23">
        <f t="shared" ca="1" si="39"/>
        <v>2.5907900000000001</v>
      </c>
      <c r="G2402" s="10">
        <f t="shared" ca="1" si="40"/>
        <v>0</v>
      </c>
      <c r="H2402" s="12">
        <f t="shared" ca="1" si="41"/>
        <v>0</v>
      </c>
      <c r="I2402" s="11">
        <f t="shared" ca="1" si="42"/>
        <v>0</v>
      </c>
      <c r="J2402" s="11">
        <f t="shared" ca="1" si="43"/>
        <v>0</v>
      </c>
      <c r="K2402" s="10" t="str">
        <f t="shared" ca="1" si="64"/>
        <v/>
      </c>
      <c r="L2402" s="11" t="str">
        <f t="shared" ca="1" si="65"/>
        <v/>
      </c>
      <c r="M2402" s="11" t="str">
        <f t="shared" ca="1" si="66"/>
        <v/>
      </c>
      <c r="N2402" s="15" t="str">
        <f t="shared" ca="1" si="67"/>
        <v/>
      </c>
      <c r="O2402" s="15" t="str">
        <f t="shared" ca="1" si="68"/>
        <v/>
      </c>
      <c r="P2402" s="16" t="str">
        <f t="shared" ca="1" si="69"/>
        <v/>
      </c>
      <c r="Q2402" s="11">
        <f t="shared" ca="1" si="55"/>
        <v>104.11684</v>
      </c>
      <c r="R2402" s="11">
        <f t="shared" ca="1" si="56"/>
        <v>39.988370000000003</v>
      </c>
      <c r="S2402" s="61">
        <f t="shared" ca="1" si="57"/>
        <v>2.6036800000000002</v>
      </c>
      <c r="T2402" s="11">
        <f t="shared" ca="1" si="58"/>
        <v>10</v>
      </c>
      <c r="U2402" s="11">
        <f t="shared" ca="1" si="59"/>
        <v>26</v>
      </c>
      <c r="V2402" s="18">
        <f t="shared" ca="1" si="60"/>
        <v>-2077.8011999999999</v>
      </c>
      <c r="W2402" s="61">
        <f t="shared" ca="1" si="61"/>
        <v>2076.35896</v>
      </c>
      <c r="X2402" s="61">
        <f t="shared" ca="1" si="62"/>
        <v>-1.4422399999998561</v>
      </c>
      <c r="Y2402" s="64">
        <f t="shared" ca="1" si="63"/>
        <v>-1.3871725511883503E-3</v>
      </c>
    </row>
    <row r="2403" spans="1:25">
      <c r="A2403" s="2">
        <f>+Get_Data!A2402</f>
        <v>42929</v>
      </c>
      <c r="B2403">
        <f>+ROUND(Get_Data!B2402,5)</f>
        <v>103.43647</v>
      </c>
      <c r="C2403">
        <f>+ROUND(Get_Data!C2402,5)</f>
        <v>39.916510000000002</v>
      </c>
      <c r="D2403" s="4">
        <f t="shared" si="37"/>
        <v>2.5913200000000001</v>
      </c>
      <c r="E2403" s="22">
        <f t="shared" ca="1" si="38"/>
        <v>2.6275499999999998</v>
      </c>
      <c r="F2403" s="23">
        <f t="shared" ca="1" si="39"/>
        <v>2.5907900000000001</v>
      </c>
      <c r="G2403" s="10">
        <f t="shared" ca="1" si="40"/>
        <v>0</v>
      </c>
      <c r="H2403" s="12">
        <f t="shared" ca="1" si="41"/>
        <v>0</v>
      </c>
      <c r="I2403" s="11">
        <f t="shared" ca="1" si="42"/>
        <v>0</v>
      </c>
      <c r="J2403" s="11">
        <f t="shared" ca="1" si="43"/>
        <v>0</v>
      </c>
      <c r="K2403" s="10" t="str">
        <f t="shared" ca="1" si="64"/>
        <v/>
      </c>
      <c r="L2403" s="11" t="str">
        <f t="shared" ca="1" si="65"/>
        <v/>
      </c>
      <c r="M2403" s="11" t="str">
        <f t="shared" ca="1" si="66"/>
        <v/>
      </c>
      <c r="N2403" s="15" t="str">
        <f t="shared" ca="1" si="67"/>
        <v/>
      </c>
      <c r="O2403" s="15" t="str">
        <f t="shared" ca="1" si="68"/>
        <v/>
      </c>
      <c r="P2403" s="16" t="str">
        <f t="shared" ca="1" si="69"/>
        <v/>
      </c>
      <c r="Q2403" s="11" t="str">
        <f t="shared" ca="1" si="55"/>
        <v/>
      </c>
      <c r="R2403" s="11" t="str">
        <f t="shared" ca="1" si="56"/>
        <v/>
      </c>
      <c r="S2403" s="61" t="str">
        <f t="shared" ca="1" si="57"/>
        <v/>
      </c>
      <c r="T2403" s="11" t="str">
        <f t="shared" ca="1" si="58"/>
        <v/>
      </c>
      <c r="U2403" s="11" t="str">
        <f t="shared" ca="1" si="59"/>
        <v/>
      </c>
      <c r="V2403" s="18" t="str">
        <f t="shared" ca="1" si="60"/>
        <v/>
      </c>
      <c r="W2403" s="61" t="str">
        <f t="shared" ca="1" si="61"/>
        <v/>
      </c>
      <c r="X2403" s="61">
        <f t="shared" ca="1" si="62"/>
        <v>0</v>
      </c>
      <c r="Y2403" s="64" t="str">
        <f t="shared" ca="1" si="63"/>
        <v/>
      </c>
    </row>
    <row r="2404" spans="1:25">
      <c r="A2404" s="2">
        <f>+Get_Data!A2403</f>
        <v>42930</v>
      </c>
      <c r="B2404">
        <f>+ROUND(Get_Data!B2403,5)</f>
        <v>104.26201</v>
      </c>
      <c r="C2404">
        <f>+ROUND(Get_Data!C2403,5)</f>
        <v>40.141109999999998</v>
      </c>
      <c r="D2404" s="4">
        <f t="shared" si="37"/>
        <v>2.5973899999999999</v>
      </c>
      <c r="E2404" s="22">
        <f t="shared" ca="1" si="38"/>
        <v>2.6275499999999998</v>
      </c>
      <c r="F2404" s="23">
        <f t="shared" ca="1" si="39"/>
        <v>2.5907900000000001</v>
      </c>
      <c r="G2404" s="10">
        <f t="shared" ca="1" si="40"/>
        <v>0</v>
      </c>
      <c r="H2404" s="12">
        <f t="shared" ca="1" si="41"/>
        <v>0</v>
      </c>
      <c r="I2404" s="11">
        <f t="shared" ca="1" si="42"/>
        <v>0</v>
      </c>
      <c r="J2404" s="11">
        <f t="shared" ca="1" si="43"/>
        <v>0</v>
      </c>
      <c r="K2404" s="10" t="str">
        <f t="shared" ca="1" si="64"/>
        <v/>
      </c>
      <c r="L2404" s="11" t="str">
        <f t="shared" ca="1" si="65"/>
        <v/>
      </c>
      <c r="M2404" s="11" t="str">
        <f t="shared" ca="1" si="66"/>
        <v/>
      </c>
      <c r="N2404" s="15" t="str">
        <f t="shared" ca="1" si="67"/>
        <v/>
      </c>
      <c r="O2404" s="15" t="str">
        <f t="shared" ca="1" si="68"/>
        <v/>
      </c>
      <c r="P2404" s="16" t="str">
        <f t="shared" ca="1" si="69"/>
        <v/>
      </c>
      <c r="Q2404" s="11" t="str">
        <f t="shared" ca="1" si="55"/>
        <v/>
      </c>
      <c r="R2404" s="11" t="str">
        <f t="shared" ca="1" si="56"/>
        <v/>
      </c>
      <c r="S2404" s="61" t="str">
        <f t="shared" ca="1" si="57"/>
        <v/>
      </c>
      <c r="T2404" s="11" t="str">
        <f t="shared" ca="1" si="58"/>
        <v/>
      </c>
      <c r="U2404" s="11" t="str">
        <f t="shared" ca="1" si="59"/>
        <v/>
      </c>
      <c r="V2404" s="18" t="str">
        <f t="shared" ca="1" si="60"/>
        <v/>
      </c>
      <c r="W2404" s="61" t="str">
        <f t="shared" ca="1" si="61"/>
        <v/>
      </c>
      <c r="X2404" s="61">
        <f t="shared" ca="1" si="62"/>
        <v>0</v>
      </c>
      <c r="Y2404" s="64" t="str">
        <f t="shared" ca="1" si="63"/>
        <v/>
      </c>
    </row>
    <row r="2405" spans="1:25">
      <c r="A2405" s="2">
        <f>+Get_Data!A2404</f>
        <v>42933</v>
      </c>
      <c r="B2405">
        <f>+ROUND(Get_Data!B2404,5)</f>
        <v>104.26201</v>
      </c>
      <c r="C2405">
        <f>+ROUND(Get_Data!C2404,5)</f>
        <v>40.186030000000002</v>
      </c>
      <c r="D2405" s="4">
        <f t="shared" si="37"/>
        <v>2.5944799999999999</v>
      </c>
      <c r="E2405" s="22">
        <f t="shared" ca="1" si="38"/>
        <v>2.6275499999999998</v>
      </c>
      <c r="F2405" s="23">
        <f t="shared" ca="1" si="39"/>
        <v>2.5907900000000001</v>
      </c>
      <c r="G2405" s="10">
        <f t="shared" ca="1" si="40"/>
        <v>0</v>
      </c>
      <c r="H2405" s="12">
        <f t="shared" ca="1" si="41"/>
        <v>0</v>
      </c>
      <c r="I2405" s="11">
        <f t="shared" ca="1" si="42"/>
        <v>0</v>
      </c>
      <c r="J2405" s="11">
        <f t="shared" ca="1" si="43"/>
        <v>0</v>
      </c>
      <c r="K2405" s="10" t="str">
        <f t="shared" ca="1" si="64"/>
        <v/>
      </c>
      <c r="L2405" s="11" t="str">
        <f t="shared" ca="1" si="65"/>
        <v/>
      </c>
      <c r="M2405" s="11" t="str">
        <f t="shared" ca="1" si="66"/>
        <v/>
      </c>
      <c r="N2405" s="15" t="str">
        <f t="shared" ca="1" si="67"/>
        <v/>
      </c>
      <c r="O2405" s="15" t="str">
        <f t="shared" ca="1" si="68"/>
        <v/>
      </c>
      <c r="P2405" s="16" t="str">
        <f t="shared" ca="1" si="69"/>
        <v/>
      </c>
      <c r="Q2405" s="11" t="str">
        <f t="shared" ca="1" si="55"/>
        <v/>
      </c>
      <c r="R2405" s="11" t="str">
        <f t="shared" ca="1" si="56"/>
        <v/>
      </c>
      <c r="S2405" s="61" t="str">
        <f t="shared" ca="1" si="57"/>
        <v/>
      </c>
      <c r="T2405" s="11" t="str">
        <f t="shared" ca="1" si="58"/>
        <v/>
      </c>
      <c r="U2405" s="11" t="str">
        <f t="shared" ca="1" si="59"/>
        <v/>
      </c>
      <c r="V2405" s="18" t="str">
        <f t="shared" ca="1" si="60"/>
        <v/>
      </c>
      <c r="W2405" s="61" t="str">
        <f t="shared" ca="1" si="61"/>
        <v/>
      </c>
      <c r="X2405" s="61">
        <f t="shared" ca="1" si="62"/>
        <v>0</v>
      </c>
      <c r="Y2405" s="64" t="str">
        <f t="shared" ca="1" si="63"/>
        <v/>
      </c>
    </row>
    <row r="2406" spans="1:25">
      <c r="A2406" s="2">
        <f>+Get_Data!A2405</f>
        <v>42934</v>
      </c>
      <c r="B2406">
        <f>+ROUND(Get_Data!B2405,5)</f>
        <v>104.33459000000001</v>
      </c>
      <c r="C2406">
        <f>+ROUND(Get_Data!C2405,5)</f>
        <v>40.132129999999997</v>
      </c>
      <c r="D2406" s="4">
        <f t="shared" si="37"/>
        <v>2.59978</v>
      </c>
      <c r="E2406" s="22">
        <f t="shared" ca="1" si="38"/>
        <v>2.6275499999999998</v>
      </c>
      <c r="F2406" s="23">
        <f t="shared" ca="1" si="39"/>
        <v>2.5907900000000001</v>
      </c>
      <c r="G2406" s="10">
        <f t="shared" ca="1" si="40"/>
        <v>0</v>
      </c>
      <c r="H2406" s="12">
        <f t="shared" ca="1" si="41"/>
        <v>0</v>
      </c>
      <c r="I2406" s="11">
        <f t="shared" ca="1" si="42"/>
        <v>0</v>
      </c>
      <c r="J2406" s="11">
        <f t="shared" ca="1" si="43"/>
        <v>0</v>
      </c>
      <c r="K2406" s="10" t="str">
        <f t="shared" ca="1" si="64"/>
        <v/>
      </c>
      <c r="L2406" s="11" t="str">
        <f t="shared" ca="1" si="65"/>
        <v/>
      </c>
      <c r="M2406" s="11" t="str">
        <f t="shared" ca="1" si="66"/>
        <v/>
      </c>
      <c r="N2406" s="15" t="str">
        <f t="shared" ca="1" si="67"/>
        <v/>
      </c>
      <c r="O2406" s="15" t="str">
        <f t="shared" ca="1" si="68"/>
        <v/>
      </c>
      <c r="P2406" s="16" t="str">
        <f t="shared" ca="1" si="69"/>
        <v/>
      </c>
      <c r="Q2406" s="11" t="str">
        <f t="shared" ca="1" si="55"/>
        <v/>
      </c>
      <c r="R2406" s="11" t="str">
        <f t="shared" ca="1" si="56"/>
        <v/>
      </c>
      <c r="S2406" s="61" t="str">
        <f t="shared" ca="1" si="57"/>
        <v/>
      </c>
      <c r="T2406" s="11" t="str">
        <f t="shared" ca="1" si="58"/>
        <v/>
      </c>
      <c r="U2406" s="11" t="str">
        <f t="shared" ca="1" si="59"/>
        <v/>
      </c>
      <c r="V2406" s="18" t="str">
        <f t="shared" ca="1" si="60"/>
        <v/>
      </c>
      <c r="W2406" s="61" t="str">
        <f t="shared" ca="1" si="61"/>
        <v/>
      </c>
      <c r="X2406" s="61">
        <f t="shared" ca="1" si="62"/>
        <v>0</v>
      </c>
      <c r="Y2406" s="64" t="str">
        <f t="shared" ca="1" si="63"/>
        <v/>
      </c>
    </row>
    <row r="2407" spans="1:25">
      <c r="A2407" s="2">
        <f>+Get_Data!A2406</f>
        <v>42935</v>
      </c>
      <c r="B2407">
        <f>+ROUND(Get_Data!B2406,5)</f>
        <v>104.63394</v>
      </c>
      <c r="C2407">
        <f>+ROUND(Get_Data!C2406,5)</f>
        <v>40.275869999999998</v>
      </c>
      <c r="D2407" s="4">
        <f t="shared" si="37"/>
        <v>2.5979299999999999</v>
      </c>
      <c r="E2407" s="22">
        <f t="shared" ca="1" si="38"/>
        <v>2.6275499999999998</v>
      </c>
      <c r="F2407" s="23">
        <f t="shared" ca="1" si="39"/>
        <v>2.5907900000000001</v>
      </c>
      <c r="G2407" s="10">
        <f t="shared" ca="1" si="40"/>
        <v>0</v>
      </c>
      <c r="H2407" s="12">
        <f t="shared" ca="1" si="41"/>
        <v>0</v>
      </c>
      <c r="I2407" s="11">
        <f t="shared" ca="1" si="42"/>
        <v>0</v>
      </c>
      <c r="J2407" s="11">
        <f t="shared" ca="1" si="43"/>
        <v>0</v>
      </c>
      <c r="K2407" s="10" t="str">
        <f t="shared" ca="1" si="64"/>
        <v/>
      </c>
      <c r="L2407" s="11" t="str">
        <f t="shared" ca="1" si="65"/>
        <v/>
      </c>
      <c r="M2407" s="11" t="str">
        <f t="shared" ca="1" si="66"/>
        <v/>
      </c>
      <c r="N2407" s="15" t="str">
        <f t="shared" ca="1" si="67"/>
        <v/>
      </c>
      <c r="O2407" s="15" t="str">
        <f t="shared" ca="1" si="68"/>
        <v/>
      </c>
      <c r="P2407" s="16" t="str">
        <f t="shared" ca="1" si="69"/>
        <v/>
      </c>
      <c r="Q2407" s="11" t="str">
        <f t="shared" ca="1" si="55"/>
        <v/>
      </c>
      <c r="R2407" s="11" t="str">
        <f t="shared" ca="1" si="56"/>
        <v/>
      </c>
      <c r="S2407" s="61" t="str">
        <f t="shared" ca="1" si="57"/>
        <v/>
      </c>
      <c r="T2407" s="11" t="str">
        <f t="shared" ca="1" si="58"/>
        <v/>
      </c>
      <c r="U2407" s="11" t="str">
        <f t="shared" ca="1" si="59"/>
        <v/>
      </c>
      <c r="V2407" s="18" t="str">
        <f t="shared" ca="1" si="60"/>
        <v/>
      </c>
      <c r="W2407" s="61" t="str">
        <f t="shared" ca="1" si="61"/>
        <v/>
      </c>
      <c r="X2407" s="61">
        <f t="shared" ca="1" si="62"/>
        <v>0</v>
      </c>
      <c r="Y2407" s="64" t="str">
        <f t="shared" ca="1" si="63"/>
        <v/>
      </c>
    </row>
    <row r="2408" spans="1:25">
      <c r="A2408" s="2">
        <f>+Get_Data!A2407</f>
        <v>42936</v>
      </c>
      <c r="B2408">
        <f>+ROUND(Get_Data!B2407,5)</f>
        <v>104.78818</v>
      </c>
      <c r="C2408">
        <f>+ROUND(Get_Data!C2407,5)</f>
        <v>40.2669</v>
      </c>
      <c r="D2408" s="4">
        <f t="shared" si="37"/>
        <v>2.6023399999999999</v>
      </c>
      <c r="E2408" s="22">
        <f t="shared" ca="1" si="38"/>
        <v>2.6275499999999998</v>
      </c>
      <c r="F2408" s="23">
        <f t="shared" ca="1" si="39"/>
        <v>2.5907900000000001</v>
      </c>
      <c r="G2408" s="10">
        <f t="shared" ca="1" si="40"/>
        <v>0</v>
      </c>
      <c r="H2408" s="12">
        <f t="shared" ca="1" si="41"/>
        <v>0</v>
      </c>
      <c r="I2408" s="11">
        <f t="shared" ca="1" si="42"/>
        <v>0</v>
      </c>
      <c r="J2408" s="11">
        <f t="shared" ca="1" si="43"/>
        <v>0</v>
      </c>
      <c r="K2408" s="10" t="str">
        <f t="shared" ca="1" si="64"/>
        <v/>
      </c>
      <c r="L2408" s="11" t="str">
        <f t="shared" ca="1" si="65"/>
        <v/>
      </c>
      <c r="M2408" s="11" t="str">
        <f t="shared" ca="1" si="66"/>
        <v/>
      </c>
      <c r="N2408" s="15" t="str">
        <f t="shared" ca="1" si="67"/>
        <v/>
      </c>
      <c r="O2408" s="15" t="str">
        <f t="shared" ca="1" si="68"/>
        <v/>
      </c>
      <c r="P2408" s="16" t="str">
        <f t="shared" ca="1" si="69"/>
        <v/>
      </c>
      <c r="Q2408" s="11" t="str">
        <f t="shared" ca="1" si="55"/>
        <v/>
      </c>
      <c r="R2408" s="11" t="str">
        <f t="shared" ca="1" si="56"/>
        <v/>
      </c>
      <c r="S2408" s="61" t="str">
        <f t="shared" ca="1" si="57"/>
        <v/>
      </c>
      <c r="T2408" s="11" t="str">
        <f t="shared" ca="1" si="58"/>
        <v/>
      </c>
      <c r="U2408" s="11" t="str">
        <f t="shared" ca="1" si="59"/>
        <v/>
      </c>
      <c r="V2408" s="18" t="str">
        <f t="shared" ca="1" si="60"/>
        <v/>
      </c>
      <c r="W2408" s="61" t="str">
        <f t="shared" ca="1" si="61"/>
        <v/>
      </c>
      <c r="X2408" s="61">
        <f t="shared" ca="1" si="62"/>
        <v>0</v>
      </c>
      <c r="Y2408" s="64" t="str">
        <f t="shared" ca="1" si="63"/>
        <v/>
      </c>
    </row>
    <row r="2409" spans="1:25">
      <c r="A2409" s="2">
        <f>+Get_Data!A2408</f>
        <v>42937</v>
      </c>
      <c r="B2409">
        <f>+ROUND(Get_Data!B2408,5)</f>
        <v>105.80421</v>
      </c>
      <c r="C2409">
        <f>+ROUND(Get_Data!C2408,5)</f>
        <v>40.455550000000002</v>
      </c>
      <c r="D2409" s="4">
        <f t="shared" si="37"/>
        <v>2.6153200000000001</v>
      </c>
      <c r="E2409" s="22">
        <f t="shared" ca="1" si="38"/>
        <v>2.6275499999999998</v>
      </c>
      <c r="F2409" s="23">
        <f t="shared" ca="1" si="39"/>
        <v>2.5907900000000001</v>
      </c>
      <c r="G2409" s="10">
        <f t="shared" ca="1" si="40"/>
        <v>0</v>
      </c>
      <c r="H2409" s="12">
        <f t="shared" ca="1" si="41"/>
        <v>0</v>
      </c>
      <c r="I2409" s="11">
        <f t="shared" ca="1" si="42"/>
        <v>0</v>
      </c>
      <c r="J2409" s="11">
        <f t="shared" ca="1" si="43"/>
        <v>0</v>
      </c>
      <c r="K2409" s="10" t="str">
        <f t="shared" ca="1" si="64"/>
        <v/>
      </c>
      <c r="L2409" s="11" t="str">
        <f t="shared" ca="1" si="65"/>
        <v/>
      </c>
      <c r="M2409" s="11" t="str">
        <f t="shared" ca="1" si="66"/>
        <v/>
      </c>
      <c r="N2409" s="15" t="str">
        <f t="shared" ca="1" si="67"/>
        <v/>
      </c>
      <c r="O2409" s="15" t="str">
        <f t="shared" ca="1" si="68"/>
        <v/>
      </c>
      <c r="P2409" s="16" t="str">
        <f t="shared" ca="1" si="69"/>
        <v/>
      </c>
      <c r="Q2409" s="11" t="str">
        <f t="shared" ca="1" si="55"/>
        <v/>
      </c>
      <c r="R2409" s="11" t="str">
        <f t="shared" ca="1" si="56"/>
        <v/>
      </c>
      <c r="S2409" s="61" t="str">
        <f t="shared" ca="1" si="57"/>
        <v/>
      </c>
      <c r="T2409" s="11" t="str">
        <f t="shared" ca="1" si="58"/>
        <v/>
      </c>
      <c r="U2409" s="11" t="str">
        <f t="shared" ca="1" si="59"/>
        <v/>
      </c>
      <c r="V2409" s="18" t="str">
        <f t="shared" ca="1" si="60"/>
        <v/>
      </c>
      <c r="W2409" s="61" t="str">
        <f t="shared" ca="1" si="61"/>
        <v/>
      </c>
      <c r="X2409" s="61">
        <f t="shared" ca="1" si="62"/>
        <v>0</v>
      </c>
      <c r="Y2409" s="64" t="str">
        <f t="shared" ca="1" si="63"/>
        <v/>
      </c>
    </row>
    <row r="2410" spans="1:25">
      <c r="A2410" s="2">
        <f>+Get_Data!A2409</f>
        <v>42940</v>
      </c>
      <c r="B2410">
        <f>+ROUND(Get_Data!B2409,5)</f>
        <v>105.35062000000001</v>
      </c>
      <c r="C2410">
        <f>+ROUND(Get_Data!C2409,5)</f>
        <v>40.284849999999999</v>
      </c>
      <c r="D2410" s="4">
        <f t="shared" si="37"/>
        <v>2.6151399999999998</v>
      </c>
      <c r="E2410" s="22">
        <f t="shared" ca="1" si="38"/>
        <v>2.6275499999999998</v>
      </c>
      <c r="F2410" s="23">
        <f t="shared" ca="1" si="39"/>
        <v>2.5907900000000001</v>
      </c>
      <c r="G2410" s="10">
        <f t="shared" ca="1" si="40"/>
        <v>0</v>
      </c>
      <c r="H2410" s="12">
        <f t="shared" ca="1" si="41"/>
        <v>0</v>
      </c>
      <c r="I2410" s="11">
        <f t="shared" ca="1" si="42"/>
        <v>0</v>
      </c>
      <c r="J2410" s="11">
        <f t="shared" ca="1" si="43"/>
        <v>0</v>
      </c>
      <c r="K2410" s="10" t="str">
        <f t="shared" ca="1" si="64"/>
        <v/>
      </c>
      <c r="L2410" s="11" t="str">
        <f t="shared" ca="1" si="65"/>
        <v/>
      </c>
      <c r="M2410" s="11" t="str">
        <f t="shared" ca="1" si="66"/>
        <v/>
      </c>
      <c r="N2410" s="15" t="str">
        <f t="shared" ca="1" si="67"/>
        <v/>
      </c>
      <c r="O2410" s="15" t="str">
        <f t="shared" ca="1" si="68"/>
        <v/>
      </c>
      <c r="P2410" s="16" t="str">
        <f t="shared" ca="1" si="69"/>
        <v/>
      </c>
      <c r="Q2410" s="11" t="str">
        <f t="shared" ca="1" si="55"/>
        <v/>
      </c>
      <c r="R2410" s="11" t="str">
        <f t="shared" ca="1" si="56"/>
        <v/>
      </c>
      <c r="S2410" s="61" t="str">
        <f t="shared" ca="1" si="57"/>
        <v/>
      </c>
      <c r="T2410" s="11" t="str">
        <f t="shared" ca="1" si="58"/>
        <v/>
      </c>
      <c r="U2410" s="11" t="str">
        <f t="shared" ca="1" si="59"/>
        <v/>
      </c>
      <c r="V2410" s="18" t="str">
        <f t="shared" ca="1" si="60"/>
        <v/>
      </c>
      <c r="W2410" s="61" t="str">
        <f t="shared" ca="1" si="61"/>
        <v/>
      </c>
      <c r="X2410" s="61">
        <f t="shared" ca="1" si="62"/>
        <v>0</v>
      </c>
      <c r="Y2410" s="64" t="str">
        <f t="shared" ca="1" si="63"/>
        <v/>
      </c>
    </row>
    <row r="2411" spans="1:25">
      <c r="A2411" s="2">
        <f>+Get_Data!A2410</f>
        <v>42941</v>
      </c>
      <c r="B2411">
        <f>+ROUND(Get_Data!B2410,5)</f>
        <v>105.64091999999999</v>
      </c>
      <c r="C2411">
        <f>+ROUND(Get_Data!C2410,5)</f>
        <v>40.644219999999997</v>
      </c>
      <c r="D2411" s="4">
        <f t="shared" si="37"/>
        <v>2.5991599999999999</v>
      </c>
      <c r="E2411" s="22">
        <f t="shared" ca="1" si="38"/>
        <v>2.6275499999999998</v>
      </c>
      <c r="F2411" s="23">
        <f t="shared" ca="1" si="39"/>
        <v>2.5907900000000001</v>
      </c>
      <c r="G2411" s="10">
        <f t="shared" ca="1" si="40"/>
        <v>0</v>
      </c>
      <c r="H2411" s="12">
        <f t="shared" ca="1" si="41"/>
        <v>0</v>
      </c>
      <c r="I2411" s="11">
        <f t="shared" ca="1" si="42"/>
        <v>0</v>
      </c>
      <c r="J2411" s="11">
        <f t="shared" ca="1" si="43"/>
        <v>0</v>
      </c>
      <c r="K2411" s="10" t="str">
        <f t="shared" ca="1" si="64"/>
        <v/>
      </c>
      <c r="L2411" s="11" t="str">
        <f t="shared" ca="1" si="65"/>
        <v/>
      </c>
      <c r="M2411" s="11" t="str">
        <f t="shared" ca="1" si="66"/>
        <v/>
      </c>
      <c r="N2411" s="15" t="str">
        <f t="shared" ca="1" si="67"/>
        <v/>
      </c>
      <c r="O2411" s="15" t="str">
        <f t="shared" ca="1" si="68"/>
        <v/>
      </c>
      <c r="P2411" s="16" t="str">
        <f t="shared" ca="1" si="69"/>
        <v/>
      </c>
      <c r="Q2411" s="11" t="str">
        <f t="shared" ca="1" si="55"/>
        <v/>
      </c>
      <c r="R2411" s="11" t="str">
        <f t="shared" ca="1" si="56"/>
        <v/>
      </c>
      <c r="S2411" s="61" t="str">
        <f t="shared" ca="1" si="57"/>
        <v/>
      </c>
      <c r="T2411" s="11" t="str">
        <f t="shared" ca="1" si="58"/>
        <v/>
      </c>
      <c r="U2411" s="11" t="str">
        <f t="shared" ca="1" si="59"/>
        <v/>
      </c>
      <c r="V2411" s="18" t="str">
        <f t="shared" ca="1" si="60"/>
        <v/>
      </c>
      <c r="W2411" s="61" t="str">
        <f t="shared" ca="1" si="61"/>
        <v/>
      </c>
      <c r="X2411" s="61">
        <f t="shared" ca="1" si="62"/>
        <v>0</v>
      </c>
      <c r="Y2411" s="64" t="str">
        <f t="shared" ca="1" si="63"/>
        <v/>
      </c>
    </row>
    <row r="2412" spans="1:25">
      <c r="A2412" s="2">
        <f>+Get_Data!A2411</f>
        <v>42942</v>
      </c>
      <c r="B2412">
        <f>+ROUND(Get_Data!B2411,5)</f>
        <v>106.31223</v>
      </c>
      <c r="C2412">
        <f>+ROUND(Get_Data!C2411,5)</f>
        <v>41.093429999999998</v>
      </c>
      <c r="D2412" s="4">
        <f t="shared" si="37"/>
        <v>2.5870899999999999</v>
      </c>
      <c r="E2412" s="22">
        <f t="shared" ca="1" si="38"/>
        <v>2.6275499999999998</v>
      </c>
      <c r="F2412" s="23">
        <f t="shared" ca="1" si="39"/>
        <v>2.5870899999999999</v>
      </c>
      <c r="G2412" s="10">
        <f t="shared" ca="1" si="40"/>
        <v>0</v>
      </c>
      <c r="H2412" s="12">
        <f t="shared" ca="1" si="41"/>
        <v>1</v>
      </c>
      <c r="I2412" s="11">
        <f t="shared" ca="1" si="42"/>
        <v>-1</v>
      </c>
      <c r="J2412" s="11">
        <f t="shared" ca="1" si="43"/>
        <v>-1</v>
      </c>
      <c r="K2412" s="10" t="str">
        <f t="shared" ca="1" si="64"/>
        <v/>
      </c>
      <c r="L2412" s="11" t="str">
        <f t="shared" ca="1" si="65"/>
        <v/>
      </c>
      <c r="M2412" s="11" t="str">
        <f t="shared" ca="1" si="66"/>
        <v/>
      </c>
      <c r="N2412" s="15" t="str">
        <f t="shared" ca="1" si="67"/>
        <v/>
      </c>
      <c r="O2412" s="15" t="str">
        <f t="shared" ca="1" si="68"/>
        <v/>
      </c>
      <c r="P2412" s="16" t="str">
        <f t="shared" ca="1" si="69"/>
        <v/>
      </c>
      <c r="Q2412" s="11" t="str">
        <f t="shared" ca="1" si="55"/>
        <v/>
      </c>
      <c r="R2412" s="11" t="str">
        <f t="shared" ca="1" si="56"/>
        <v/>
      </c>
      <c r="S2412" s="61" t="str">
        <f t="shared" ca="1" si="57"/>
        <v/>
      </c>
      <c r="T2412" s="11" t="str">
        <f t="shared" ca="1" si="58"/>
        <v/>
      </c>
      <c r="U2412" s="11" t="str">
        <f t="shared" ca="1" si="59"/>
        <v/>
      </c>
      <c r="V2412" s="18" t="str">
        <f t="shared" ca="1" si="60"/>
        <v/>
      </c>
      <c r="W2412" s="61" t="str">
        <f t="shared" ca="1" si="61"/>
        <v/>
      </c>
      <c r="X2412" s="61">
        <f t="shared" ca="1" si="62"/>
        <v>0</v>
      </c>
      <c r="Y2412" s="64" t="str">
        <f t="shared" ca="1" si="63"/>
        <v/>
      </c>
    </row>
    <row r="2413" spans="1:25">
      <c r="A2413" s="2">
        <f>+Get_Data!A2412</f>
        <v>42943</v>
      </c>
      <c r="B2413">
        <f>+ROUND(Get_Data!B2412,5)</f>
        <v>106.44829</v>
      </c>
      <c r="C2413">
        <f>+ROUND(Get_Data!C2412,5)</f>
        <v>41.434820000000002</v>
      </c>
      <c r="D2413" s="4">
        <f t="shared" si="37"/>
        <v>2.5690499999999998</v>
      </c>
      <c r="E2413" s="22">
        <f t="shared" ca="1" si="38"/>
        <v>2.6275499999999998</v>
      </c>
      <c r="F2413" s="23">
        <f t="shared" ca="1" si="39"/>
        <v>2.5690499999999998</v>
      </c>
      <c r="G2413" s="10">
        <f t="shared" ca="1" si="40"/>
        <v>0</v>
      </c>
      <c r="H2413" s="12">
        <f t="shared" ca="1" si="41"/>
        <v>1</v>
      </c>
      <c r="I2413" s="11">
        <f t="shared" ca="1" si="42"/>
        <v>-1</v>
      </c>
      <c r="J2413" s="11">
        <f t="shared" ca="1" si="43"/>
        <v>-2</v>
      </c>
      <c r="K2413" s="10">
        <f t="shared" ca="1" si="64"/>
        <v>106.44829</v>
      </c>
      <c r="L2413" s="11">
        <f t="shared" ca="1" si="65"/>
        <v>-41.434820000000002</v>
      </c>
      <c r="M2413" s="11">
        <f t="shared" ca="1" si="66"/>
        <v>2.5690499999999998</v>
      </c>
      <c r="N2413" s="15">
        <f t="shared" ca="1" si="67"/>
        <v>10</v>
      </c>
      <c r="O2413" s="15">
        <f t="shared" ca="1" si="68"/>
        <v>26</v>
      </c>
      <c r="P2413" s="16">
        <f t="shared" ca="1" si="69"/>
        <v>-12.822419999999966</v>
      </c>
      <c r="Q2413" s="11" t="str">
        <f t="shared" ca="1" si="55"/>
        <v/>
      </c>
      <c r="R2413" s="11" t="str">
        <f t="shared" ca="1" si="56"/>
        <v/>
      </c>
      <c r="S2413" s="61" t="str">
        <f t="shared" ca="1" si="57"/>
        <v/>
      </c>
      <c r="T2413" s="11" t="str">
        <f t="shared" ca="1" si="58"/>
        <v/>
      </c>
      <c r="U2413" s="11" t="str">
        <f t="shared" ca="1" si="59"/>
        <v/>
      </c>
      <c r="V2413" s="18" t="str">
        <f t="shared" ca="1" si="60"/>
        <v/>
      </c>
      <c r="W2413" s="61" t="str">
        <f t="shared" ca="1" si="61"/>
        <v/>
      </c>
      <c r="X2413" s="61">
        <f t="shared" ca="1" si="62"/>
        <v>0</v>
      </c>
      <c r="Y2413" s="64" t="str">
        <f t="shared" ca="1" si="63"/>
        <v/>
      </c>
    </row>
    <row r="2414" spans="1:25">
      <c r="A2414" s="2">
        <f>+Get_Data!A2413</f>
        <v>42944</v>
      </c>
      <c r="B2414">
        <f>+ROUND(Get_Data!B2413,5)</f>
        <v>105.78606000000001</v>
      </c>
      <c r="C2414">
        <f>+ROUND(Get_Data!C2413,5)</f>
        <v>41.335990000000002</v>
      </c>
      <c r="D2414" s="4">
        <f t="shared" si="37"/>
        <v>2.55918</v>
      </c>
      <c r="E2414" s="22">
        <f t="shared" ca="1" si="38"/>
        <v>2.6275499999999998</v>
      </c>
      <c r="F2414" s="23">
        <f t="shared" ca="1" si="39"/>
        <v>2.55918</v>
      </c>
      <c r="G2414" s="10">
        <f t="shared" ca="1" si="40"/>
        <v>0</v>
      </c>
      <c r="H2414" s="12">
        <f t="shared" ca="1" si="41"/>
        <v>1</v>
      </c>
      <c r="I2414" s="11">
        <f t="shared" ca="1" si="42"/>
        <v>-1</v>
      </c>
      <c r="J2414" s="11">
        <f t="shared" ca="1" si="43"/>
        <v>0</v>
      </c>
      <c r="K2414" s="10">
        <f t="shared" ca="1" si="64"/>
        <v>106.44829</v>
      </c>
      <c r="L2414" s="11">
        <f t="shared" ca="1" si="65"/>
        <v>-41.434820000000002</v>
      </c>
      <c r="M2414" s="11">
        <f t="shared" ca="1" si="66"/>
        <v>2.5690499999999998</v>
      </c>
      <c r="N2414" s="15">
        <f t="shared" ca="1" si="67"/>
        <v>10</v>
      </c>
      <c r="O2414" s="15">
        <f t="shared" ca="1" si="68"/>
        <v>26</v>
      </c>
      <c r="P2414" s="16">
        <f t="shared" ca="1" si="69"/>
        <v>-12.822419999999966</v>
      </c>
      <c r="Q2414" s="11" t="str">
        <f t="shared" ca="1" si="55"/>
        <v/>
      </c>
      <c r="R2414" s="11" t="str">
        <f t="shared" ca="1" si="56"/>
        <v/>
      </c>
      <c r="S2414" s="61" t="str">
        <f t="shared" ca="1" si="57"/>
        <v/>
      </c>
      <c r="T2414" s="11" t="str">
        <f t="shared" ca="1" si="58"/>
        <v/>
      </c>
      <c r="U2414" s="11" t="str">
        <f t="shared" ca="1" si="59"/>
        <v/>
      </c>
      <c r="V2414" s="18" t="str">
        <f t="shared" ca="1" si="60"/>
        <v/>
      </c>
      <c r="W2414" s="61" t="str">
        <f t="shared" ca="1" si="61"/>
        <v/>
      </c>
      <c r="X2414" s="61">
        <f t="shared" ca="1" si="62"/>
        <v>0</v>
      </c>
      <c r="Y2414" s="64" t="str">
        <f t="shared" ca="1" si="63"/>
        <v/>
      </c>
    </row>
    <row r="2415" spans="1:25">
      <c r="A2415" s="2">
        <f>+Get_Data!A2414</f>
        <v>42947</v>
      </c>
      <c r="B2415">
        <f>+ROUND(Get_Data!B2414,5)</f>
        <v>105.78606000000001</v>
      </c>
      <c r="C2415">
        <f>+ROUND(Get_Data!C2414,5)</f>
        <v>41.18327</v>
      </c>
      <c r="D2415" s="4">
        <f t="shared" si="37"/>
        <v>2.56867</v>
      </c>
      <c r="E2415" s="22">
        <f t="shared" ca="1" si="38"/>
        <v>2.6275499999999998</v>
      </c>
      <c r="F2415" s="23">
        <f t="shared" ca="1" si="39"/>
        <v>2.55918</v>
      </c>
      <c r="G2415" s="10">
        <f t="shared" ca="1" si="40"/>
        <v>0</v>
      </c>
      <c r="H2415" s="12">
        <f t="shared" ca="1" si="41"/>
        <v>0</v>
      </c>
      <c r="I2415" s="11">
        <f t="shared" ca="1" si="42"/>
        <v>0</v>
      </c>
      <c r="J2415" s="11">
        <f t="shared" ca="1" si="43"/>
        <v>0</v>
      </c>
      <c r="K2415" s="10" t="str">
        <f t="shared" ca="1" si="64"/>
        <v/>
      </c>
      <c r="L2415" s="11" t="str">
        <f t="shared" ca="1" si="65"/>
        <v/>
      </c>
      <c r="M2415" s="11" t="str">
        <f t="shared" ca="1" si="66"/>
        <v/>
      </c>
      <c r="N2415" s="15" t="str">
        <f t="shared" ca="1" si="67"/>
        <v/>
      </c>
      <c r="O2415" s="15" t="str">
        <f t="shared" ca="1" si="68"/>
        <v/>
      </c>
      <c r="P2415" s="16" t="str">
        <f t="shared" ca="1" si="69"/>
        <v/>
      </c>
      <c r="Q2415" s="11">
        <f t="shared" ca="1" si="55"/>
        <v>105.78606000000001</v>
      </c>
      <c r="R2415" s="11">
        <f t="shared" ca="1" si="56"/>
        <v>41.18327</v>
      </c>
      <c r="S2415" s="61">
        <f t="shared" ca="1" si="57"/>
        <v>2.56867</v>
      </c>
      <c r="T2415" s="11">
        <f t="shared" ca="1" si="58"/>
        <v>10</v>
      </c>
      <c r="U2415" s="11">
        <f t="shared" ca="1" si="59"/>
        <v>26</v>
      </c>
      <c r="V2415" s="18">
        <f t="shared" ca="1" si="60"/>
        <v>6.6222999999999388</v>
      </c>
      <c r="W2415" s="61">
        <f t="shared" ca="1" si="61"/>
        <v>-6.5403000000000446</v>
      </c>
      <c r="X2415" s="61">
        <f t="shared" ca="1" si="62"/>
        <v>8.1999999999894158E-2</v>
      </c>
      <c r="Y2415" s="64">
        <f t="shared" ca="1" si="63"/>
        <v>7.6580760921657825E-5</v>
      </c>
    </row>
    <row r="2416" spans="1:25">
      <c r="A2416" s="2">
        <f>+Get_Data!A2415</f>
        <v>42948</v>
      </c>
      <c r="B2416">
        <f>+ROUND(Get_Data!B2415,5)</f>
        <v>105.16011</v>
      </c>
      <c r="C2416">
        <f>+ROUND(Get_Data!C2415,5)</f>
        <v>41.057490000000001</v>
      </c>
      <c r="D2416" s="4">
        <f t="shared" si="37"/>
        <v>2.5612900000000001</v>
      </c>
      <c r="E2416" s="22">
        <f t="shared" ca="1" si="38"/>
        <v>2.6275499999999998</v>
      </c>
      <c r="F2416" s="23">
        <f t="shared" ca="1" si="39"/>
        <v>2.55918</v>
      </c>
      <c r="G2416" s="10">
        <f t="shared" ca="1" si="40"/>
        <v>0</v>
      </c>
      <c r="H2416" s="12">
        <f t="shared" ca="1" si="41"/>
        <v>0</v>
      </c>
      <c r="I2416" s="11">
        <f t="shared" ca="1" si="42"/>
        <v>0</v>
      </c>
      <c r="J2416" s="11">
        <f t="shared" ca="1" si="43"/>
        <v>0</v>
      </c>
      <c r="K2416" s="10" t="str">
        <f t="shared" ca="1" si="64"/>
        <v/>
      </c>
      <c r="L2416" s="11" t="str">
        <f t="shared" ca="1" si="65"/>
        <v/>
      </c>
      <c r="M2416" s="11" t="str">
        <f t="shared" ca="1" si="66"/>
        <v/>
      </c>
      <c r="N2416" s="15" t="str">
        <f t="shared" ca="1" si="67"/>
        <v/>
      </c>
      <c r="O2416" s="15" t="str">
        <f t="shared" ca="1" si="68"/>
        <v/>
      </c>
      <c r="P2416" s="16" t="str">
        <f t="shared" ca="1" si="69"/>
        <v/>
      </c>
      <c r="Q2416" s="11" t="str">
        <f t="shared" ca="1" si="55"/>
        <v/>
      </c>
      <c r="R2416" s="11" t="str">
        <f t="shared" ca="1" si="56"/>
        <v/>
      </c>
      <c r="S2416" s="61" t="str">
        <f t="shared" ca="1" si="57"/>
        <v/>
      </c>
      <c r="T2416" s="11" t="str">
        <f t="shared" ca="1" si="58"/>
        <v/>
      </c>
      <c r="U2416" s="11" t="str">
        <f t="shared" ca="1" si="59"/>
        <v/>
      </c>
      <c r="V2416" s="18" t="str">
        <f t="shared" ca="1" si="60"/>
        <v/>
      </c>
      <c r="W2416" s="61" t="str">
        <f t="shared" ca="1" si="61"/>
        <v/>
      </c>
      <c r="X2416" s="61">
        <f t="shared" ca="1" si="62"/>
        <v>0</v>
      </c>
      <c r="Y2416" s="64" t="str">
        <f t="shared" ca="1" si="63"/>
        <v/>
      </c>
    </row>
    <row r="2417" spans="1:25">
      <c r="A2417" s="2">
        <f>+Get_Data!A2416</f>
        <v>42949</v>
      </c>
      <c r="B2417">
        <f>+ROUND(Get_Data!B2416,5)</f>
        <v>104.87889</v>
      </c>
      <c r="C2417">
        <f>+ROUND(Get_Data!C2416,5)</f>
        <v>40.958669999999998</v>
      </c>
      <c r="D2417" s="4">
        <f t="shared" si="37"/>
        <v>2.5606</v>
      </c>
      <c r="E2417" s="22">
        <f t="shared" ca="1" si="38"/>
        <v>2.6275499999999998</v>
      </c>
      <c r="F2417" s="23">
        <f t="shared" ca="1" si="39"/>
        <v>2.55918</v>
      </c>
      <c r="G2417" s="10">
        <f t="shared" ca="1" si="40"/>
        <v>0</v>
      </c>
      <c r="H2417" s="12">
        <f t="shared" ca="1" si="41"/>
        <v>0</v>
      </c>
      <c r="I2417" s="11">
        <f t="shared" ca="1" si="42"/>
        <v>0</v>
      </c>
      <c r="J2417" s="11">
        <f t="shared" ca="1" si="43"/>
        <v>0</v>
      </c>
      <c r="K2417" s="10" t="str">
        <f t="shared" ca="1" si="64"/>
        <v/>
      </c>
      <c r="L2417" s="11" t="str">
        <f t="shared" ca="1" si="65"/>
        <v/>
      </c>
      <c r="M2417" s="11" t="str">
        <f t="shared" ca="1" si="66"/>
        <v/>
      </c>
      <c r="N2417" s="15" t="str">
        <f t="shared" ca="1" si="67"/>
        <v/>
      </c>
      <c r="O2417" s="15" t="str">
        <f t="shared" ca="1" si="68"/>
        <v/>
      </c>
      <c r="P2417" s="16" t="str">
        <f t="shared" ca="1" si="69"/>
        <v/>
      </c>
      <c r="Q2417" s="11" t="str">
        <f t="shared" ca="1" si="55"/>
        <v/>
      </c>
      <c r="R2417" s="11" t="str">
        <f t="shared" ca="1" si="56"/>
        <v/>
      </c>
      <c r="S2417" s="61" t="str">
        <f t="shared" ca="1" si="57"/>
        <v/>
      </c>
      <c r="T2417" s="11" t="str">
        <f t="shared" ca="1" si="58"/>
        <v/>
      </c>
      <c r="U2417" s="11" t="str">
        <f t="shared" ca="1" si="59"/>
        <v/>
      </c>
      <c r="V2417" s="18" t="str">
        <f t="shared" ca="1" si="60"/>
        <v/>
      </c>
      <c r="W2417" s="61" t="str">
        <f t="shared" ca="1" si="61"/>
        <v/>
      </c>
      <c r="X2417" s="61">
        <f t="shared" ca="1" si="62"/>
        <v>0</v>
      </c>
      <c r="Y2417" s="64" t="str">
        <f t="shared" ca="1" si="63"/>
        <v/>
      </c>
    </row>
    <row r="2418" spans="1:25">
      <c r="A2418" s="2">
        <f>+Get_Data!A2417</f>
        <v>42950</v>
      </c>
      <c r="B2418">
        <f>+ROUND(Get_Data!B2417,5)</f>
        <v>105.50485</v>
      </c>
      <c r="C2418">
        <f>+ROUND(Get_Data!C2417,5)</f>
        <v>41.030540000000002</v>
      </c>
      <c r="D2418" s="4">
        <f t="shared" ref="D2418:D2481" si="70">IFERROR(ROUND(B2418/C2418,5),"")</f>
        <v>2.5713699999999999</v>
      </c>
      <c r="E2418" s="22">
        <f t="shared" ca="1" si="38"/>
        <v>2.6275499999999998</v>
      </c>
      <c r="F2418" s="23">
        <f t="shared" ca="1" si="39"/>
        <v>2.55918</v>
      </c>
      <c r="G2418" s="10">
        <f t="shared" ca="1" si="40"/>
        <v>0</v>
      </c>
      <c r="H2418" s="12">
        <f t="shared" ca="1" si="41"/>
        <v>0</v>
      </c>
      <c r="I2418" s="11">
        <f t="shared" ca="1" si="42"/>
        <v>0</v>
      </c>
      <c r="J2418" s="11">
        <f t="shared" ca="1" si="43"/>
        <v>0</v>
      </c>
      <c r="K2418" s="10" t="str">
        <f t="shared" ca="1" si="64"/>
        <v/>
      </c>
      <c r="L2418" s="11" t="str">
        <f t="shared" ca="1" si="65"/>
        <v/>
      </c>
      <c r="M2418" s="11" t="str">
        <f t="shared" ca="1" si="66"/>
        <v/>
      </c>
      <c r="N2418" s="15" t="str">
        <f t="shared" ca="1" si="67"/>
        <v/>
      </c>
      <c r="O2418" s="15" t="str">
        <f t="shared" ca="1" si="68"/>
        <v/>
      </c>
      <c r="P2418" s="16" t="str">
        <f t="shared" ca="1" si="69"/>
        <v/>
      </c>
      <c r="Q2418" s="11" t="str">
        <f t="shared" ca="1" si="55"/>
        <v/>
      </c>
      <c r="R2418" s="11" t="str">
        <f t="shared" ca="1" si="56"/>
        <v/>
      </c>
      <c r="S2418" s="61" t="str">
        <f t="shared" ca="1" si="57"/>
        <v/>
      </c>
      <c r="T2418" s="11" t="str">
        <f t="shared" ca="1" si="58"/>
        <v/>
      </c>
      <c r="U2418" s="11" t="str">
        <f t="shared" ca="1" si="59"/>
        <v/>
      </c>
      <c r="V2418" s="18" t="str">
        <f t="shared" ca="1" si="60"/>
        <v/>
      </c>
      <c r="W2418" s="61" t="str">
        <f t="shared" ca="1" si="61"/>
        <v/>
      </c>
      <c r="X2418" s="61">
        <f t="shared" ca="1" si="62"/>
        <v>0</v>
      </c>
      <c r="Y2418" s="64" t="str">
        <f t="shared" ca="1" si="63"/>
        <v/>
      </c>
    </row>
    <row r="2419" spans="1:25">
      <c r="A2419" s="2">
        <f>+Get_Data!A2418</f>
        <v>42951</v>
      </c>
      <c r="B2419">
        <f>+ROUND(Get_Data!B2418,5)</f>
        <v>105.56834000000001</v>
      </c>
      <c r="C2419">
        <f>+ROUND(Get_Data!C2418,5)</f>
        <v>40.877809999999997</v>
      </c>
      <c r="D2419" s="4">
        <f t="shared" si="70"/>
        <v>2.5825300000000002</v>
      </c>
      <c r="E2419" s="22">
        <f t="shared" ca="1" si="38"/>
        <v>2.6275499999999998</v>
      </c>
      <c r="F2419" s="23">
        <f t="shared" ca="1" si="39"/>
        <v>2.55918</v>
      </c>
      <c r="G2419" s="10">
        <f t="shared" ca="1" si="40"/>
        <v>0</v>
      </c>
      <c r="H2419" s="12">
        <f t="shared" ca="1" si="41"/>
        <v>0</v>
      </c>
      <c r="I2419" s="11">
        <f t="shared" ca="1" si="42"/>
        <v>0</v>
      </c>
      <c r="J2419" s="11">
        <f t="shared" ca="1" si="43"/>
        <v>0</v>
      </c>
      <c r="K2419" s="10" t="str">
        <f t="shared" ca="1" si="64"/>
        <v/>
      </c>
      <c r="L2419" s="11" t="str">
        <f t="shared" ca="1" si="65"/>
        <v/>
      </c>
      <c r="M2419" s="11" t="str">
        <f t="shared" ca="1" si="66"/>
        <v/>
      </c>
      <c r="N2419" s="15" t="str">
        <f t="shared" ca="1" si="67"/>
        <v/>
      </c>
      <c r="O2419" s="15" t="str">
        <f t="shared" ca="1" si="68"/>
        <v/>
      </c>
      <c r="P2419" s="16" t="str">
        <f t="shared" ca="1" si="69"/>
        <v/>
      </c>
      <c r="Q2419" s="11" t="str">
        <f t="shared" ca="1" si="55"/>
        <v/>
      </c>
      <c r="R2419" s="11" t="str">
        <f t="shared" ca="1" si="56"/>
        <v/>
      </c>
      <c r="S2419" s="61" t="str">
        <f t="shared" ca="1" si="57"/>
        <v/>
      </c>
      <c r="T2419" s="11" t="str">
        <f t="shared" ca="1" si="58"/>
        <v/>
      </c>
      <c r="U2419" s="11" t="str">
        <f t="shared" ca="1" si="59"/>
        <v/>
      </c>
      <c r="V2419" s="18" t="str">
        <f t="shared" ca="1" si="60"/>
        <v/>
      </c>
      <c r="W2419" s="61" t="str">
        <f t="shared" ca="1" si="61"/>
        <v/>
      </c>
      <c r="X2419" s="61">
        <f t="shared" ca="1" si="62"/>
        <v>0</v>
      </c>
      <c r="Y2419" s="64" t="str">
        <f t="shared" ca="1" si="63"/>
        <v/>
      </c>
    </row>
    <row r="2420" spans="1:25">
      <c r="A2420" s="2">
        <f>+Get_Data!A2419</f>
        <v>42954</v>
      </c>
      <c r="B2420">
        <f>+ROUND(Get_Data!B2419,5)</f>
        <v>106.10357999999999</v>
      </c>
      <c r="C2420">
        <f>+ROUND(Get_Data!C2419,5)</f>
        <v>41.003590000000003</v>
      </c>
      <c r="D2420" s="4">
        <f t="shared" si="70"/>
        <v>2.5876700000000001</v>
      </c>
      <c r="E2420" s="22">
        <f t="shared" ca="1" si="38"/>
        <v>2.6275499999999998</v>
      </c>
      <c r="F2420" s="23">
        <f t="shared" ca="1" si="39"/>
        <v>2.55918</v>
      </c>
      <c r="G2420" s="10">
        <f t="shared" ca="1" si="40"/>
        <v>0</v>
      </c>
      <c r="H2420" s="12">
        <f t="shared" ca="1" si="41"/>
        <v>0</v>
      </c>
      <c r="I2420" s="11">
        <f t="shared" ca="1" si="42"/>
        <v>0</v>
      </c>
      <c r="J2420" s="11">
        <f t="shared" ca="1" si="43"/>
        <v>0</v>
      </c>
      <c r="K2420" s="10" t="str">
        <f t="shared" ca="1" si="64"/>
        <v/>
      </c>
      <c r="L2420" s="11" t="str">
        <f t="shared" ca="1" si="65"/>
        <v/>
      </c>
      <c r="M2420" s="11" t="str">
        <f t="shared" ca="1" si="66"/>
        <v/>
      </c>
      <c r="N2420" s="15" t="str">
        <f t="shared" ca="1" si="67"/>
        <v/>
      </c>
      <c r="O2420" s="15" t="str">
        <f t="shared" ca="1" si="68"/>
        <v/>
      </c>
      <c r="P2420" s="16" t="str">
        <f t="shared" ca="1" si="69"/>
        <v/>
      </c>
      <c r="Q2420" s="11" t="str">
        <f t="shared" ca="1" si="55"/>
        <v/>
      </c>
      <c r="R2420" s="11" t="str">
        <f t="shared" ca="1" si="56"/>
        <v/>
      </c>
      <c r="S2420" s="61" t="str">
        <f t="shared" ca="1" si="57"/>
        <v/>
      </c>
      <c r="T2420" s="11" t="str">
        <f t="shared" ca="1" si="58"/>
        <v/>
      </c>
      <c r="U2420" s="11" t="str">
        <f t="shared" ca="1" si="59"/>
        <v/>
      </c>
      <c r="V2420" s="18" t="str">
        <f t="shared" ca="1" si="60"/>
        <v/>
      </c>
      <c r="W2420" s="61" t="str">
        <f t="shared" ca="1" si="61"/>
        <v/>
      </c>
      <c r="X2420" s="61">
        <f t="shared" ca="1" si="62"/>
        <v>0</v>
      </c>
      <c r="Y2420" s="64" t="str">
        <f t="shared" ca="1" si="63"/>
        <v/>
      </c>
    </row>
    <row r="2421" spans="1:25">
      <c r="A2421" s="2">
        <f>+Get_Data!A2420</f>
        <v>42955</v>
      </c>
      <c r="B2421">
        <f>+ROUND(Get_Data!B2420,5)</f>
        <v>105.87679</v>
      </c>
      <c r="C2421">
        <f>+ROUND(Get_Data!C2420,5)</f>
        <v>40.967649999999999</v>
      </c>
      <c r="D2421" s="4">
        <f t="shared" si="70"/>
        <v>2.5844</v>
      </c>
      <c r="E2421" s="22">
        <f t="shared" ca="1" si="38"/>
        <v>2.6275499999999998</v>
      </c>
      <c r="F2421" s="23">
        <f t="shared" ca="1" si="39"/>
        <v>2.55918</v>
      </c>
      <c r="G2421" s="10">
        <f t="shared" ca="1" si="40"/>
        <v>0</v>
      </c>
      <c r="H2421" s="12">
        <f t="shared" ca="1" si="41"/>
        <v>0</v>
      </c>
      <c r="I2421" s="11">
        <f t="shared" ca="1" si="42"/>
        <v>0</v>
      </c>
      <c r="J2421" s="11">
        <f t="shared" ca="1" si="43"/>
        <v>0</v>
      </c>
      <c r="K2421" s="10" t="str">
        <f t="shared" ca="1" si="64"/>
        <v/>
      </c>
      <c r="L2421" s="11" t="str">
        <f t="shared" ca="1" si="65"/>
        <v/>
      </c>
      <c r="M2421" s="11" t="str">
        <f t="shared" ca="1" si="66"/>
        <v/>
      </c>
      <c r="N2421" s="15" t="str">
        <f t="shared" ca="1" si="67"/>
        <v/>
      </c>
      <c r="O2421" s="15" t="str">
        <f t="shared" ca="1" si="68"/>
        <v/>
      </c>
      <c r="P2421" s="16" t="str">
        <f t="shared" ca="1" si="69"/>
        <v/>
      </c>
      <c r="Q2421" s="11" t="str">
        <f t="shared" ca="1" si="55"/>
        <v/>
      </c>
      <c r="R2421" s="11" t="str">
        <f t="shared" ca="1" si="56"/>
        <v/>
      </c>
      <c r="S2421" s="61" t="str">
        <f t="shared" ca="1" si="57"/>
        <v/>
      </c>
      <c r="T2421" s="11" t="str">
        <f t="shared" ca="1" si="58"/>
        <v/>
      </c>
      <c r="U2421" s="11" t="str">
        <f t="shared" ca="1" si="59"/>
        <v/>
      </c>
      <c r="V2421" s="18" t="str">
        <f t="shared" ca="1" si="60"/>
        <v/>
      </c>
      <c r="W2421" s="61" t="str">
        <f t="shared" ca="1" si="61"/>
        <v/>
      </c>
      <c r="X2421" s="61">
        <f t="shared" ca="1" si="62"/>
        <v>0</v>
      </c>
      <c r="Y2421" s="64" t="str">
        <f t="shared" ca="1" si="63"/>
        <v/>
      </c>
    </row>
    <row r="2422" spans="1:25">
      <c r="A2422" s="2">
        <f>+Get_Data!A2421</f>
        <v>42956</v>
      </c>
      <c r="B2422">
        <f>+ROUND(Get_Data!B2421,5)</f>
        <v>105.80421</v>
      </c>
      <c r="C2422">
        <f>+ROUND(Get_Data!C2421,5)</f>
        <v>40.958669999999998</v>
      </c>
      <c r="D2422" s="4">
        <f t="shared" si="70"/>
        <v>2.5831900000000001</v>
      </c>
      <c r="E2422" s="22">
        <f t="shared" ca="1" si="38"/>
        <v>2.6275499999999998</v>
      </c>
      <c r="F2422" s="23">
        <f t="shared" ca="1" si="39"/>
        <v>2.55918</v>
      </c>
      <c r="G2422" s="10">
        <f t="shared" ca="1" si="40"/>
        <v>0</v>
      </c>
      <c r="H2422" s="12">
        <f t="shared" ca="1" si="41"/>
        <v>0</v>
      </c>
      <c r="I2422" s="11">
        <f t="shared" ca="1" si="42"/>
        <v>0</v>
      </c>
      <c r="J2422" s="11">
        <f t="shared" ca="1" si="43"/>
        <v>0</v>
      </c>
      <c r="K2422" s="10" t="str">
        <f t="shared" ca="1" si="64"/>
        <v/>
      </c>
      <c r="L2422" s="11" t="str">
        <f t="shared" ca="1" si="65"/>
        <v/>
      </c>
      <c r="M2422" s="11" t="str">
        <f t="shared" ca="1" si="66"/>
        <v/>
      </c>
      <c r="N2422" s="15" t="str">
        <f t="shared" ca="1" si="67"/>
        <v/>
      </c>
      <c r="O2422" s="15" t="str">
        <f t="shared" ca="1" si="68"/>
        <v/>
      </c>
      <c r="P2422" s="16" t="str">
        <f t="shared" ca="1" si="69"/>
        <v/>
      </c>
      <c r="Q2422" s="11" t="str">
        <f t="shared" ca="1" si="55"/>
        <v/>
      </c>
      <c r="R2422" s="11" t="str">
        <f t="shared" ca="1" si="56"/>
        <v/>
      </c>
      <c r="S2422" s="61" t="str">
        <f t="shared" ca="1" si="57"/>
        <v/>
      </c>
      <c r="T2422" s="11" t="str">
        <f t="shared" ca="1" si="58"/>
        <v/>
      </c>
      <c r="U2422" s="11" t="str">
        <f t="shared" ca="1" si="59"/>
        <v/>
      </c>
      <c r="V2422" s="18" t="str">
        <f t="shared" ca="1" si="60"/>
        <v/>
      </c>
      <c r="W2422" s="61" t="str">
        <f t="shared" ca="1" si="61"/>
        <v/>
      </c>
      <c r="X2422" s="61">
        <f t="shared" ca="1" si="62"/>
        <v>0</v>
      </c>
      <c r="Y2422" s="64" t="str">
        <f t="shared" ca="1" si="63"/>
        <v/>
      </c>
    </row>
    <row r="2423" spans="1:25">
      <c r="A2423" s="2">
        <f>+Get_Data!A2422</f>
        <v>42957</v>
      </c>
      <c r="B2423">
        <f>+ROUND(Get_Data!B2422,5)</f>
        <v>105.57741</v>
      </c>
      <c r="C2423">
        <f>+ROUND(Get_Data!C2422,5)</f>
        <v>41.093429999999998</v>
      </c>
      <c r="D2423" s="4">
        <f t="shared" si="70"/>
        <v>2.5691999999999999</v>
      </c>
      <c r="E2423" s="22">
        <f t="shared" ca="1" si="38"/>
        <v>2.6275499999999998</v>
      </c>
      <c r="F2423" s="23">
        <f t="shared" ca="1" si="39"/>
        <v>2.55918</v>
      </c>
      <c r="G2423" s="10">
        <f t="shared" ca="1" si="40"/>
        <v>0</v>
      </c>
      <c r="H2423" s="12">
        <f t="shared" ca="1" si="41"/>
        <v>0</v>
      </c>
      <c r="I2423" s="11">
        <f t="shared" ca="1" si="42"/>
        <v>0</v>
      </c>
      <c r="J2423" s="11">
        <f t="shared" ca="1" si="43"/>
        <v>0</v>
      </c>
      <c r="K2423" s="10" t="str">
        <f t="shared" ca="1" si="64"/>
        <v/>
      </c>
      <c r="L2423" s="11" t="str">
        <f t="shared" ca="1" si="65"/>
        <v/>
      </c>
      <c r="M2423" s="11" t="str">
        <f t="shared" ca="1" si="66"/>
        <v/>
      </c>
      <c r="N2423" s="15" t="str">
        <f t="shared" ca="1" si="67"/>
        <v/>
      </c>
      <c r="O2423" s="15" t="str">
        <f t="shared" ca="1" si="68"/>
        <v/>
      </c>
      <c r="P2423" s="16" t="str">
        <f t="shared" ca="1" si="69"/>
        <v/>
      </c>
      <c r="Q2423" s="11" t="str">
        <f t="shared" ca="1" si="55"/>
        <v/>
      </c>
      <c r="R2423" s="11" t="str">
        <f t="shared" ca="1" si="56"/>
        <v/>
      </c>
      <c r="S2423" s="61" t="str">
        <f t="shared" ca="1" si="57"/>
        <v/>
      </c>
      <c r="T2423" s="11" t="str">
        <f t="shared" ca="1" si="58"/>
        <v/>
      </c>
      <c r="U2423" s="11" t="str">
        <f t="shared" ca="1" si="59"/>
        <v/>
      </c>
      <c r="V2423" s="18" t="str">
        <f t="shared" ca="1" si="60"/>
        <v/>
      </c>
      <c r="W2423" s="61" t="str">
        <f t="shared" ca="1" si="61"/>
        <v/>
      </c>
      <c r="X2423" s="61">
        <f t="shared" ca="1" si="62"/>
        <v>0</v>
      </c>
      <c r="Y2423" s="64" t="str">
        <f t="shared" ca="1" si="63"/>
        <v/>
      </c>
    </row>
    <row r="2424" spans="1:25">
      <c r="A2424" s="2">
        <f>+Get_Data!A2423</f>
        <v>42958</v>
      </c>
      <c r="B2424">
        <f>+ROUND(Get_Data!B2423,5)</f>
        <v>105.69534</v>
      </c>
      <c r="C2424">
        <f>+ROUND(Get_Data!C2423,5)</f>
        <v>40.958669999999998</v>
      </c>
      <c r="D2424" s="4">
        <f t="shared" si="70"/>
        <v>2.5805400000000001</v>
      </c>
      <c r="E2424" s="22">
        <f t="shared" ca="1" si="38"/>
        <v>2.6153200000000001</v>
      </c>
      <c r="F2424" s="23">
        <f t="shared" ca="1" si="39"/>
        <v>2.55918</v>
      </c>
      <c r="G2424" s="10">
        <f t="shared" ca="1" si="40"/>
        <v>0</v>
      </c>
      <c r="H2424" s="12">
        <f t="shared" ca="1" si="41"/>
        <v>0</v>
      </c>
      <c r="I2424" s="11">
        <f t="shared" ca="1" si="42"/>
        <v>0</v>
      </c>
      <c r="J2424" s="11">
        <f t="shared" ca="1" si="43"/>
        <v>0</v>
      </c>
      <c r="K2424" s="10" t="str">
        <f t="shared" ca="1" si="64"/>
        <v/>
      </c>
      <c r="L2424" s="11" t="str">
        <f t="shared" ca="1" si="65"/>
        <v/>
      </c>
      <c r="M2424" s="11" t="str">
        <f t="shared" ca="1" si="66"/>
        <v/>
      </c>
      <c r="N2424" s="15" t="str">
        <f t="shared" ca="1" si="67"/>
        <v/>
      </c>
      <c r="O2424" s="15" t="str">
        <f t="shared" ca="1" si="68"/>
        <v/>
      </c>
      <c r="P2424" s="16" t="str">
        <f t="shared" ca="1" si="69"/>
        <v/>
      </c>
      <c r="Q2424" s="11" t="str">
        <f t="shared" ca="1" si="55"/>
        <v/>
      </c>
      <c r="R2424" s="11" t="str">
        <f t="shared" ca="1" si="56"/>
        <v/>
      </c>
      <c r="S2424" s="61" t="str">
        <f t="shared" ca="1" si="57"/>
        <v/>
      </c>
      <c r="T2424" s="11" t="str">
        <f t="shared" ca="1" si="58"/>
        <v/>
      </c>
      <c r="U2424" s="11" t="str">
        <f t="shared" ca="1" si="59"/>
        <v/>
      </c>
      <c r="V2424" s="18" t="str">
        <f t="shared" ca="1" si="60"/>
        <v/>
      </c>
      <c r="W2424" s="61" t="str">
        <f t="shared" ca="1" si="61"/>
        <v/>
      </c>
      <c r="X2424" s="61">
        <f t="shared" ca="1" si="62"/>
        <v>0</v>
      </c>
      <c r="Y2424" s="64" t="str">
        <f t="shared" ca="1" si="63"/>
        <v/>
      </c>
    </row>
    <row r="2425" spans="1:25">
      <c r="A2425" s="2">
        <f>+Get_Data!A2424</f>
        <v>42961</v>
      </c>
      <c r="B2425">
        <f>+ROUND(Get_Data!B2424,5)</f>
        <v>106.90191</v>
      </c>
      <c r="C2425">
        <f>+ROUND(Get_Data!C2424,5)</f>
        <v>41.14734</v>
      </c>
      <c r="D2425" s="4">
        <f t="shared" si="70"/>
        <v>2.5980300000000001</v>
      </c>
      <c r="E2425" s="22">
        <f t="shared" ca="1" si="38"/>
        <v>2.6153200000000001</v>
      </c>
      <c r="F2425" s="23">
        <f t="shared" ca="1" si="39"/>
        <v>2.55918</v>
      </c>
      <c r="G2425" s="10">
        <f t="shared" ca="1" si="40"/>
        <v>0</v>
      </c>
      <c r="H2425" s="12">
        <f t="shared" ca="1" si="41"/>
        <v>0</v>
      </c>
      <c r="I2425" s="11">
        <f t="shared" ca="1" si="42"/>
        <v>0</v>
      </c>
      <c r="J2425" s="11">
        <f t="shared" ca="1" si="43"/>
        <v>0</v>
      </c>
      <c r="K2425" s="10" t="str">
        <f t="shared" ca="1" si="64"/>
        <v/>
      </c>
      <c r="L2425" s="11" t="str">
        <f t="shared" ca="1" si="65"/>
        <v/>
      </c>
      <c r="M2425" s="11" t="str">
        <f t="shared" ca="1" si="66"/>
        <v/>
      </c>
      <c r="N2425" s="15" t="str">
        <f t="shared" ca="1" si="67"/>
        <v/>
      </c>
      <c r="O2425" s="15" t="str">
        <f t="shared" ca="1" si="68"/>
        <v/>
      </c>
      <c r="P2425" s="16" t="str">
        <f t="shared" ca="1" si="69"/>
        <v/>
      </c>
      <c r="Q2425" s="11" t="str">
        <f t="shared" ca="1" si="55"/>
        <v/>
      </c>
      <c r="R2425" s="11" t="str">
        <f t="shared" ca="1" si="56"/>
        <v/>
      </c>
      <c r="S2425" s="61" t="str">
        <f t="shared" ca="1" si="57"/>
        <v/>
      </c>
      <c r="T2425" s="11" t="str">
        <f t="shared" ca="1" si="58"/>
        <v/>
      </c>
      <c r="U2425" s="11" t="str">
        <f t="shared" ca="1" si="59"/>
        <v/>
      </c>
      <c r="V2425" s="18" t="str">
        <f t="shared" ca="1" si="60"/>
        <v/>
      </c>
      <c r="W2425" s="61" t="str">
        <f t="shared" ca="1" si="61"/>
        <v/>
      </c>
      <c r="X2425" s="61">
        <f t="shared" ca="1" si="62"/>
        <v>0</v>
      </c>
      <c r="Y2425" s="64" t="str">
        <f t="shared" ca="1" si="63"/>
        <v/>
      </c>
    </row>
    <row r="2426" spans="1:25">
      <c r="A2426" s="2">
        <f>+Get_Data!A2425</f>
        <v>42962</v>
      </c>
      <c r="B2426">
        <f>+ROUND(Get_Data!B2425,5)</f>
        <v>107.92700000000001</v>
      </c>
      <c r="C2426">
        <f>+ROUND(Get_Data!C2425,5)</f>
        <v>41.497709999999998</v>
      </c>
      <c r="D2426" s="4">
        <f t="shared" si="70"/>
        <v>2.6007899999999999</v>
      </c>
      <c r="E2426" s="22">
        <f t="shared" ca="1" si="38"/>
        <v>2.6153200000000001</v>
      </c>
      <c r="F2426" s="23">
        <f t="shared" ca="1" si="39"/>
        <v>2.55918</v>
      </c>
      <c r="G2426" s="10">
        <f t="shared" ca="1" si="40"/>
        <v>0</v>
      </c>
      <c r="H2426" s="12">
        <f t="shared" ca="1" si="41"/>
        <v>0</v>
      </c>
      <c r="I2426" s="11">
        <f t="shared" ca="1" si="42"/>
        <v>0</v>
      </c>
      <c r="J2426" s="11">
        <f t="shared" ca="1" si="43"/>
        <v>0</v>
      </c>
      <c r="K2426" s="10" t="str">
        <f t="shared" ca="1" si="64"/>
        <v/>
      </c>
      <c r="L2426" s="11" t="str">
        <f t="shared" ca="1" si="65"/>
        <v/>
      </c>
      <c r="M2426" s="11" t="str">
        <f t="shared" ca="1" si="66"/>
        <v/>
      </c>
      <c r="N2426" s="15" t="str">
        <f t="shared" ca="1" si="67"/>
        <v/>
      </c>
      <c r="O2426" s="15" t="str">
        <f t="shared" ca="1" si="68"/>
        <v/>
      </c>
      <c r="P2426" s="16" t="str">
        <f t="shared" ca="1" si="69"/>
        <v/>
      </c>
      <c r="Q2426" s="11" t="str">
        <f t="shared" ca="1" si="55"/>
        <v/>
      </c>
      <c r="R2426" s="11" t="str">
        <f t="shared" ca="1" si="56"/>
        <v/>
      </c>
      <c r="S2426" s="61" t="str">
        <f t="shared" ca="1" si="57"/>
        <v/>
      </c>
      <c r="T2426" s="11" t="str">
        <f t="shared" ca="1" si="58"/>
        <v/>
      </c>
      <c r="U2426" s="11" t="str">
        <f t="shared" ca="1" si="59"/>
        <v/>
      </c>
      <c r="V2426" s="18" t="str">
        <f t="shared" ca="1" si="60"/>
        <v/>
      </c>
      <c r="W2426" s="61" t="str">
        <f t="shared" ca="1" si="61"/>
        <v/>
      </c>
      <c r="X2426" s="61">
        <f t="shared" ca="1" si="62"/>
        <v>0</v>
      </c>
      <c r="Y2426" s="64" t="str">
        <f t="shared" ca="1" si="63"/>
        <v/>
      </c>
    </row>
    <row r="2427" spans="1:25">
      <c r="A2427" s="2">
        <f>+Get_Data!A2426</f>
        <v>42963</v>
      </c>
      <c r="B2427">
        <f>+ROUND(Get_Data!B2426,5)</f>
        <v>108.04494</v>
      </c>
      <c r="C2427">
        <f>+ROUND(Get_Data!C2426,5)</f>
        <v>41.506700000000002</v>
      </c>
      <c r="D2427" s="4">
        <f t="shared" si="70"/>
        <v>2.6030700000000002</v>
      </c>
      <c r="E2427" s="22">
        <f t="shared" ca="1" si="38"/>
        <v>2.6153200000000001</v>
      </c>
      <c r="F2427" s="23">
        <f t="shared" ca="1" si="39"/>
        <v>2.55918</v>
      </c>
      <c r="G2427" s="10">
        <f t="shared" ca="1" si="40"/>
        <v>0</v>
      </c>
      <c r="H2427" s="12">
        <f t="shared" ca="1" si="41"/>
        <v>0</v>
      </c>
      <c r="I2427" s="11">
        <f t="shared" ca="1" si="42"/>
        <v>0</v>
      </c>
      <c r="J2427" s="11">
        <f t="shared" ca="1" si="43"/>
        <v>0</v>
      </c>
      <c r="K2427" s="10" t="str">
        <f t="shared" ca="1" si="64"/>
        <v/>
      </c>
      <c r="L2427" s="11" t="str">
        <f t="shared" ca="1" si="65"/>
        <v/>
      </c>
      <c r="M2427" s="11" t="str">
        <f t="shared" ca="1" si="66"/>
        <v/>
      </c>
      <c r="N2427" s="15" t="str">
        <f t="shared" ca="1" si="67"/>
        <v/>
      </c>
      <c r="O2427" s="15" t="str">
        <f t="shared" ca="1" si="68"/>
        <v/>
      </c>
      <c r="P2427" s="16" t="str">
        <f t="shared" ca="1" si="69"/>
        <v/>
      </c>
      <c r="Q2427" s="11" t="str">
        <f t="shared" ca="1" si="55"/>
        <v/>
      </c>
      <c r="R2427" s="11" t="str">
        <f t="shared" ca="1" si="56"/>
        <v/>
      </c>
      <c r="S2427" s="61" t="str">
        <f t="shared" ca="1" si="57"/>
        <v/>
      </c>
      <c r="T2427" s="11" t="str">
        <f t="shared" ca="1" si="58"/>
        <v/>
      </c>
      <c r="U2427" s="11" t="str">
        <f t="shared" ca="1" si="59"/>
        <v/>
      </c>
      <c r="V2427" s="18" t="str">
        <f t="shared" ca="1" si="60"/>
        <v/>
      </c>
      <c r="W2427" s="61" t="str">
        <f t="shared" ca="1" si="61"/>
        <v/>
      </c>
      <c r="X2427" s="61">
        <f t="shared" ca="1" si="62"/>
        <v>0</v>
      </c>
      <c r="Y2427" s="64" t="str">
        <f t="shared" ca="1" si="63"/>
        <v/>
      </c>
    </row>
    <row r="2428" spans="1:25">
      <c r="A2428" s="2">
        <f>+Get_Data!A2427</f>
        <v>42964</v>
      </c>
      <c r="B2428">
        <f>+ROUND(Get_Data!B2427,5)</f>
        <v>107.40085000000001</v>
      </c>
      <c r="C2428">
        <f>+ROUND(Get_Data!C2427,5)</f>
        <v>41.201239999999999</v>
      </c>
      <c r="D2428" s="4">
        <f t="shared" si="70"/>
        <v>2.6067399999999998</v>
      </c>
      <c r="E2428" s="22">
        <f t="shared" ca="1" si="38"/>
        <v>2.6153200000000001</v>
      </c>
      <c r="F2428" s="23">
        <f t="shared" ca="1" si="39"/>
        <v>2.55918</v>
      </c>
      <c r="G2428" s="10">
        <f t="shared" ca="1" si="40"/>
        <v>0</v>
      </c>
      <c r="H2428" s="12">
        <f t="shared" ca="1" si="41"/>
        <v>0</v>
      </c>
      <c r="I2428" s="11">
        <f t="shared" ca="1" si="42"/>
        <v>0</v>
      </c>
      <c r="J2428" s="11">
        <f t="shared" ca="1" si="43"/>
        <v>0</v>
      </c>
      <c r="K2428" s="10" t="str">
        <f t="shared" ca="1" si="64"/>
        <v/>
      </c>
      <c r="L2428" s="11" t="str">
        <f t="shared" ca="1" si="65"/>
        <v/>
      </c>
      <c r="M2428" s="11" t="str">
        <f t="shared" ca="1" si="66"/>
        <v/>
      </c>
      <c r="N2428" s="15" t="str">
        <f t="shared" ca="1" si="67"/>
        <v/>
      </c>
      <c r="O2428" s="15" t="str">
        <f t="shared" ca="1" si="68"/>
        <v/>
      </c>
      <c r="P2428" s="16" t="str">
        <f t="shared" ca="1" si="69"/>
        <v/>
      </c>
      <c r="Q2428" s="11" t="str">
        <f t="shared" ca="1" si="55"/>
        <v/>
      </c>
      <c r="R2428" s="11" t="str">
        <f t="shared" ca="1" si="56"/>
        <v/>
      </c>
      <c r="S2428" s="61" t="str">
        <f t="shared" ca="1" si="57"/>
        <v/>
      </c>
      <c r="T2428" s="11" t="str">
        <f t="shared" ca="1" si="58"/>
        <v/>
      </c>
      <c r="U2428" s="11" t="str">
        <f t="shared" ca="1" si="59"/>
        <v/>
      </c>
      <c r="V2428" s="18" t="str">
        <f t="shared" ca="1" si="60"/>
        <v/>
      </c>
      <c r="W2428" s="61" t="str">
        <f t="shared" ca="1" si="61"/>
        <v/>
      </c>
      <c r="X2428" s="61">
        <f t="shared" ca="1" si="62"/>
        <v>0</v>
      </c>
      <c r="Y2428" s="64" t="str">
        <f t="shared" ca="1" si="63"/>
        <v/>
      </c>
    </row>
    <row r="2429" spans="1:25">
      <c r="A2429" s="2">
        <f>+Get_Data!A2428</f>
        <v>42965</v>
      </c>
      <c r="B2429">
        <f>+ROUND(Get_Data!B2428,5)</f>
        <v>106.68416000000001</v>
      </c>
      <c r="C2429">
        <f>+ROUND(Get_Data!C2428,5)</f>
        <v>41.030540000000002</v>
      </c>
      <c r="D2429" s="4">
        <f t="shared" si="70"/>
        <v>2.60012</v>
      </c>
      <c r="E2429" s="22">
        <f t="shared" ca="1" si="38"/>
        <v>2.6153200000000001</v>
      </c>
      <c r="F2429" s="23">
        <f t="shared" ca="1" si="39"/>
        <v>2.55918</v>
      </c>
      <c r="G2429" s="10">
        <f t="shared" ca="1" si="40"/>
        <v>0</v>
      </c>
      <c r="H2429" s="12">
        <f t="shared" ca="1" si="41"/>
        <v>0</v>
      </c>
      <c r="I2429" s="11">
        <f t="shared" ca="1" si="42"/>
        <v>0</v>
      </c>
      <c r="J2429" s="11">
        <f t="shared" ca="1" si="43"/>
        <v>0</v>
      </c>
      <c r="K2429" s="10" t="str">
        <f t="shared" ca="1" si="64"/>
        <v/>
      </c>
      <c r="L2429" s="11" t="str">
        <f t="shared" ca="1" si="65"/>
        <v/>
      </c>
      <c r="M2429" s="11" t="str">
        <f t="shared" ca="1" si="66"/>
        <v/>
      </c>
      <c r="N2429" s="15" t="str">
        <f t="shared" ca="1" si="67"/>
        <v/>
      </c>
      <c r="O2429" s="15" t="str">
        <f t="shared" ca="1" si="68"/>
        <v/>
      </c>
      <c r="P2429" s="16" t="str">
        <f t="shared" ca="1" si="69"/>
        <v/>
      </c>
      <c r="Q2429" s="11" t="str">
        <f t="shared" ca="1" si="55"/>
        <v/>
      </c>
      <c r="R2429" s="11" t="str">
        <f t="shared" ca="1" si="56"/>
        <v/>
      </c>
      <c r="S2429" s="61" t="str">
        <f t="shared" ca="1" si="57"/>
        <v/>
      </c>
      <c r="T2429" s="11" t="str">
        <f t="shared" ca="1" si="58"/>
        <v/>
      </c>
      <c r="U2429" s="11" t="str">
        <f t="shared" ca="1" si="59"/>
        <v/>
      </c>
      <c r="V2429" s="18" t="str">
        <f t="shared" ca="1" si="60"/>
        <v/>
      </c>
      <c r="W2429" s="61" t="str">
        <f t="shared" ca="1" si="61"/>
        <v/>
      </c>
      <c r="X2429" s="61">
        <f t="shared" ca="1" si="62"/>
        <v>0</v>
      </c>
      <c r="Y2429" s="64" t="str">
        <f t="shared" ca="1" si="63"/>
        <v/>
      </c>
    </row>
    <row r="2430" spans="1:25">
      <c r="A2430" s="2">
        <f>+Get_Data!A2429</f>
        <v>42968</v>
      </c>
      <c r="B2430">
        <f>+ROUND(Get_Data!B2429,5)</f>
        <v>107.28291</v>
      </c>
      <c r="C2430">
        <f>+ROUND(Get_Data!C2429,5)</f>
        <v>41.039520000000003</v>
      </c>
      <c r="D2430" s="4">
        <f t="shared" si="70"/>
        <v>2.6141399999999999</v>
      </c>
      <c r="E2430" s="22">
        <f t="shared" ca="1" si="38"/>
        <v>2.6153200000000001</v>
      </c>
      <c r="F2430" s="23">
        <f t="shared" ca="1" si="39"/>
        <v>2.55918</v>
      </c>
      <c r="G2430" s="10">
        <f t="shared" ca="1" si="40"/>
        <v>0</v>
      </c>
      <c r="H2430" s="12">
        <f t="shared" ca="1" si="41"/>
        <v>0</v>
      </c>
      <c r="I2430" s="11">
        <f t="shared" ca="1" si="42"/>
        <v>0</v>
      </c>
      <c r="J2430" s="11">
        <f t="shared" ca="1" si="43"/>
        <v>0</v>
      </c>
      <c r="K2430" s="10" t="str">
        <f t="shared" ca="1" si="64"/>
        <v/>
      </c>
      <c r="L2430" s="11" t="str">
        <f t="shared" ca="1" si="65"/>
        <v/>
      </c>
      <c r="M2430" s="11" t="str">
        <f t="shared" ca="1" si="66"/>
        <v/>
      </c>
      <c r="N2430" s="15" t="str">
        <f t="shared" ca="1" si="67"/>
        <v/>
      </c>
      <c r="O2430" s="15" t="str">
        <f t="shared" ca="1" si="68"/>
        <v/>
      </c>
      <c r="P2430" s="16" t="str">
        <f t="shared" ca="1" si="69"/>
        <v/>
      </c>
      <c r="Q2430" s="11" t="str">
        <f t="shared" ca="1" si="55"/>
        <v/>
      </c>
      <c r="R2430" s="11" t="str">
        <f t="shared" ca="1" si="56"/>
        <v/>
      </c>
      <c r="S2430" s="61" t="str">
        <f t="shared" ca="1" si="57"/>
        <v/>
      </c>
      <c r="T2430" s="11" t="str">
        <f t="shared" ca="1" si="58"/>
        <v/>
      </c>
      <c r="U2430" s="11" t="str">
        <f t="shared" ca="1" si="59"/>
        <v/>
      </c>
      <c r="V2430" s="18" t="str">
        <f t="shared" ca="1" si="60"/>
        <v/>
      </c>
      <c r="W2430" s="61" t="str">
        <f t="shared" ca="1" si="61"/>
        <v/>
      </c>
      <c r="X2430" s="61">
        <f t="shared" ca="1" si="62"/>
        <v>0</v>
      </c>
      <c r="Y2430" s="64" t="str">
        <f t="shared" ca="1" si="63"/>
        <v/>
      </c>
    </row>
    <row r="2431" spans="1:25">
      <c r="A2431" s="2">
        <f>+Get_Data!A2430</f>
        <v>42969</v>
      </c>
      <c r="B2431">
        <f>+ROUND(Get_Data!B2430,5)</f>
        <v>106.97448</v>
      </c>
      <c r="C2431">
        <f>+ROUND(Get_Data!C2430,5)</f>
        <v>40.967649999999999</v>
      </c>
      <c r="D2431" s="4">
        <f t="shared" si="70"/>
        <v>2.6111900000000001</v>
      </c>
      <c r="E2431" s="22">
        <f t="shared" ca="1" si="38"/>
        <v>2.6153200000000001</v>
      </c>
      <c r="F2431" s="23">
        <f t="shared" ca="1" si="39"/>
        <v>2.55918</v>
      </c>
      <c r="G2431" s="10">
        <f t="shared" ca="1" si="40"/>
        <v>0</v>
      </c>
      <c r="H2431" s="12">
        <f t="shared" ca="1" si="41"/>
        <v>0</v>
      </c>
      <c r="I2431" s="11">
        <f t="shared" ca="1" si="42"/>
        <v>0</v>
      </c>
      <c r="J2431" s="11">
        <f t="shared" ca="1" si="43"/>
        <v>0</v>
      </c>
      <c r="K2431" s="10" t="str">
        <f t="shared" ca="1" si="64"/>
        <v/>
      </c>
      <c r="L2431" s="11" t="str">
        <f t="shared" ca="1" si="65"/>
        <v/>
      </c>
      <c r="M2431" s="11" t="str">
        <f t="shared" ca="1" si="66"/>
        <v/>
      </c>
      <c r="N2431" s="15" t="str">
        <f t="shared" ca="1" si="67"/>
        <v/>
      </c>
      <c r="O2431" s="15" t="str">
        <f t="shared" ca="1" si="68"/>
        <v/>
      </c>
      <c r="P2431" s="16" t="str">
        <f t="shared" ca="1" si="69"/>
        <v/>
      </c>
      <c r="Q2431" s="11" t="str">
        <f t="shared" ca="1" si="55"/>
        <v/>
      </c>
      <c r="R2431" s="11" t="str">
        <f t="shared" ca="1" si="56"/>
        <v/>
      </c>
      <c r="S2431" s="61" t="str">
        <f t="shared" ca="1" si="57"/>
        <v/>
      </c>
      <c r="T2431" s="11" t="str">
        <f t="shared" ca="1" si="58"/>
        <v/>
      </c>
      <c r="U2431" s="11" t="str">
        <f t="shared" ca="1" si="59"/>
        <v/>
      </c>
      <c r="V2431" s="18" t="str">
        <f t="shared" ca="1" si="60"/>
        <v/>
      </c>
      <c r="W2431" s="61" t="str">
        <f t="shared" ca="1" si="61"/>
        <v/>
      </c>
      <c r="X2431" s="61">
        <f t="shared" ca="1" si="62"/>
        <v>0</v>
      </c>
      <c r="Y2431" s="64" t="str">
        <f t="shared" ca="1" si="63"/>
        <v/>
      </c>
    </row>
    <row r="2432" spans="1:25">
      <c r="A2432" s="2">
        <f>+Get_Data!A2431</f>
        <v>42970</v>
      </c>
      <c r="B2432">
        <f>+ROUND(Get_Data!B2431,5)</f>
        <v>106.40293</v>
      </c>
      <c r="C2432">
        <f>+ROUND(Get_Data!C2431,5)</f>
        <v>40.91375</v>
      </c>
      <c r="D2432" s="4">
        <f t="shared" si="70"/>
        <v>2.60066</v>
      </c>
      <c r="E2432" s="22">
        <f t="shared" ca="1" si="38"/>
        <v>2.6153200000000001</v>
      </c>
      <c r="F2432" s="23">
        <f t="shared" ca="1" si="39"/>
        <v>2.55918</v>
      </c>
      <c r="G2432" s="10">
        <f t="shared" ca="1" si="40"/>
        <v>0</v>
      </c>
      <c r="H2432" s="12">
        <f t="shared" ca="1" si="41"/>
        <v>0</v>
      </c>
      <c r="I2432" s="11">
        <f t="shared" ca="1" si="42"/>
        <v>0</v>
      </c>
      <c r="J2432" s="11">
        <f t="shared" ca="1" si="43"/>
        <v>0</v>
      </c>
      <c r="K2432" s="10" t="str">
        <f t="shared" ca="1" si="64"/>
        <v/>
      </c>
      <c r="L2432" s="11" t="str">
        <f t="shared" ca="1" si="65"/>
        <v/>
      </c>
      <c r="M2432" s="11" t="str">
        <f t="shared" ca="1" si="66"/>
        <v/>
      </c>
      <c r="N2432" s="15" t="str">
        <f t="shared" ca="1" si="67"/>
        <v/>
      </c>
      <c r="O2432" s="15" t="str">
        <f t="shared" ca="1" si="68"/>
        <v/>
      </c>
      <c r="P2432" s="16" t="str">
        <f t="shared" ca="1" si="69"/>
        <v/>
      </c>
      <c r="Q2432" s="11" t="str">
        <f t="shared" ca="1" si="55"/>
        <v/>
      </c>
      <c r="R2432" s="11" t="str">
        <f t="shared" ca="1" si="56"/>
        <v/>
      </c>
      <c r="S2432" s="61" t="str">
        <f t="shared" ca="1" si="57"/>
        <v/>
      </c>
      <c r="T2432" s="11" t="str">
        <f t="shared" ca="1" si="58"/>
        <v/>
      </c>
      <c r="U2432" s="11" t="str">
        <f t="shared" ca="1" si="59"/>
        <v/>
      </c>
      <c r="V2432" s="18" t="str">
        <f t="shared" ca="1" si="60"/>
        <v/>
      </c>
      <c r="W2432" s="61" t="str">
        <f t="shared" ca="1" si="61"/>
        <v/>
      </c>
      <c r="X2432" s="61">
        <f t="shared" ca="1" si="62"/>
        <v>0</v>
      </c>
      <c r="Y2432" s="64" t="str">
        <f t="shared" ca="1" si="63"/>
        <v/>
      </c>
    </row>
    <row r="2433" spans="1:25">
      <c r="A2433" s="2">
        <f>+Get_Data!A2432</f>
        <v>42971</v>
      </c>
      <c r="B2433">
        <f>+ROUND(Get_Data!B2432,5)</f>
        <v>105.43227</v>
      </c>
      <c r="C2433">
        <f>+ROUND(Get_Data!C2432,5)</f>
        <v>40.796959999999999</v>
      </c>
      <c r="D2433" s="4">
        <f t="shared" si="70"/>
        <v>2.58432</v>
      </c>
      <c r="E2433" s="22">
        <f t="shared" ca="1" si="38"/>
        <v>2.6153200000000001</v>
      </c>
      <c r="F2433" s="23">
        <f t="shared" ca="1" si="39"/>
        <v>2.55918</v>
      </c>
      <c r="G2433" s="10">
        <f t="shared" ca="1" si="40"/>
        <v>0</v>
      </c>
      <c r="H2433" s="12">
        <f t="shared" ca="1" si="41"/>
        <v>0</v>
      </c>
      <c r="I2433" s="11">
        <f t="shared" ca="1" si="42"/>
        <v>0</v>
      </c>
      <c r="J2433" s="11">
        <f t="shared" ca="1" si="43"/>
        <v>0</v>
      </c>
      <c r="K2433" s="10" t="str">
        <f t="shared" ca="1" si="64"/>
        <v/>
      </c>
      <c r="L2433" s="11" t="str">
        <f t="shared" ca="1" si="65"/>
        <v/>
      </c>
      <c r="M2433" s="11" t="str">
        <f t="shared" ca="1" si="66"/>
        <v/>
      </c>
      <c r="N2433" s="15" t="str">
        <f t="shared" ca="1" si="67"/>
        <v/>
      </c>
      <c r="O2433" s="15" t="str">
        <f t="shared" ca="1" si="68"/>
        <v/>
      </c>
      <c r="P2433" s="16" t="str">
        <f t="shared" ca="1" si="69"/>
        <v/>
      </c>
      <c r="Q2433" s="11" t="str">
        <f t="shared" ca="1" si="55"/>
        <v/>
      </c>
      <c r="R2433" s="11" t="str">
        <f t="shared" ca="1" si="56"/>
        <v/>
      </c>
      <c r="S2433" s="61" t="str">
        <f t="shared" ca="1" si="57"/>
        <v/>
      </c>
      <c r="T2433" s="11" t="str">
        <f t="shared" ca="1" si="58"/>
        <v/>
      </c>
      <c r="U2433" s="11" t="str">
        <f t="shared" ca="1" si="59"/>
        <v/>
      </c>
      <c r="V2433" s="18" t="str">
        <f t="shared" ca="1" si="60"/>
        <v/>
      </c>
      <c r="W2433" s="61" t="str">
        <f t="shared" ca="1" si="61"/>
        <v/>
      </c>
      <c r="X2433" s="61">
        <f t="shared" ca="1" si="62"/>
        <v>0</v>
      </c>
      <c r="Y2433" s="64" t="str">
        <f t="shared" ca="1" si="63"/>
        <v/>
      </c>
    </row>
    <row r="2434" spans="1:25">
      <c r="A2434" s="2">
        <f>+Get_Data!A2433</f>
        <v>42972</v>
      </c>
      <c r="B2434">
        <f>+ROUND(Get_Data!B2433,5)</f>
        <v>105.09662</v>
      </c>
      <c r="C2434">
        <f>+ROUND(Get_Data!C2433,5)</f>
        <v>40.9407</v>
      </c>
      <c r="D2434" s="4">
        <f t="shared" si="70"/>
        <v>2.5670500000000001</v>
      </c>
      <c r="E2434" s="22">
        <f t="shared" ca="1" si="38"/>
        <v>2.6151399999999998</v>
      </c>
      <c r="F2434" s="23">
        <f t="shared" ca="1" si="39"/>
        <v>2.55918</v>
      </c>
      <c r="G2434" s="10">
        <f t="shared" ca="1" si="40"/>
        <v>0</v>
      </c>
      <c r="H2434" s="12">
        <f t="shared" ca="1" si="41"/>
        <v>0</v>
      </c>
      <c r="I2434" s="11">
        <f t="shared" ca="1" si="42"/>
        <v>0</v>
      </c>
      <c r="J2434" s="11">
        <f t="shared" ca="1" si="43"/>
        <v>0</v>
      </c>
      <c r="K2434" s="10" t="str">
        <f t="shared" ca="1" si="64"/>
        <v/>
      </c>
      <c r="L2434" s="11" t="str">
        <f t="shared" ca="1" si="65"/>
        <v/>
      </c>
      <c r="M2434" s="11" t="str">
        <f t="shared" ca="1" si="66"/>
        <v/>
      </c>
      <c r="N2434" s="15" t="str">
        <f t="shared" ca="1" si="67"/>
        <v/>
      </c>
      <c r="O2434" s="15" t="str">
        <f t="shared" ca="1" si="68"/>
        <v/>
      </c>
      <c r="P2434" s="16" t="str">
        <f t="shared" ca="1" si="69"/>
        <v/>
      </c>
      <c r="Q2434" s="11" t="str">
        <f t="shared" ca="1" si="55"/>
        <v/>
      </c>
      <c r="R2434" s="11" t="str">
        <f t="shared" ca="1" si="56"/>
        <v/>
      </c>
      <c r="S2434" s="61" t="str">
        <f t="shared" ca="1" si="57"/>
        <v/>
      </c>
      <c r="T2434" s="11" t="str">
        <f t="shared" ca="1" si="58"/>
        <v/>
      </c>
      <c r="U2434" s="11" t="str">
        <f t="shared" ca="1" si="59"/>
        <v/>
      </c>
      <c r="V2434" s="18" t="str">
        <f t="shared" ca="1" si="60"/>
        <v/>
      </c>
      <c r="W2434" s="61" t="str">
        <f t="shared" ca="1" si="61"/>
        <v/>
      </c>
      <c r="X2434" s="61">
        <f t="shared" ca="1" si="62"/>
        <v>0</v>
      </c>
      <c r="Y2434" s="64" t="str">
        <f t="shared" ca="1" si="63"/>
        <v/>
      </c>
    </row>
    <row r="2435" spans="1:25">
      <c r="A2435" s="2">
        <f>+Get_Data!A2434</f>
        <v>42975</v>
      </c>
      <c r="B2435">
        <f>+ROUND(Get_Data!B2434,5)</f>
        <v>104.81538999999999</v>
      </c>
      <c r="C2435">
        <f>+ROUND(Get_Data!C2434,5)</f>
        <v>40.805929999999996</v>
      </c>
      <c r="D2435" s="4">
        <f t="shared" si="70"/>
        <v>2.5686300000000002</v>
      </c>
      <c r="E2435" s="22">
        <f t="shared" ca="1" si="38"/>
        <v>2.6141399999999999</v>
      </c>
      <c r="F2435" s="23">
        <f t="shared" ca="1" si="39"/>
        <v>2.55918</v>
      </c>
      <c r="G2435" s="10">
        <f t="shared" ca="1" si="40"/>
        <v>0</v>
      </c>
      <c r="H2435" s="12">
        <f t="shared" ca="1" si="41"/>
        <v>0</v>
      </c>
      <c r="I2435" s="11">
        <f t="shared" ca="1" si="42"/>
        <v>0</v>
      </c>
      <c r="J2435" s="11">
        <f t="shared" ca="1" si="43"/>
        <v>0</v>
      </c>
      <c r="K2435" s="10" t="str">
        <f t="shared" ca="1" si="64"/>
        <v/>
      </c>
      <c r="L2435" s="11" t="str">
        <f t="shared" ca="1" si="65"/>
        <v/>
      </c>
      <c r="M2435" s="11" t="str">
        <f t="shared" ca="1" si="66"/>
        <v/>
      </c>
      <c r="N2435" s="15" t="str">
        <f t="shared" ca="1" si="67"/>
        <v/>
      </c>
      <c r="O2435" s="15" t="str">
        <f t="shared" ca="1" si="68"/>
        <v/>
      </c>
      <c r="P2435" s="16" t="str">
        <f t="shared" ca="1" si="69"/>
        <v/>
      </c>
      <c r="Q2435" s="11" t="str">
        <f t="shared" ca="1" si="55"/>
        <v/>
      </c>
      <c r="R2435" s="11" t="str">
        <f t="shared" ca="1" si="56"/>
        <v/>
      </c>
      <c r="S2435" s="61" t="str">
        <f t="shared" ca="1" si="57"/>
        <v/>
      </c>
      <c r="T2435" s="11" t="str">
        <f t="shared" ca="1" si="58"/>
        <v/>
      </c>
      <c r="U2435" s="11" t="str">
        <f t="shared" ca="1" si="59"/>
        <v/>
      </c>
      <c r="V2435" s="18" t="str">
        <f t="shared" ca="1" si="60"/>
        <v/>
      </c>
      <c r="W2435" s="61" t="str">
        <f t="shared" ca="1" si="61"/>
        <v/>
      </c>
      <c r="X2435" s="61">
        <f t="shared" ca="1" si="62"/>
        <v>0</v>
      </c>
      <c r="Y2435" s="64" t="str">
        <f t="shared" ca="1" si="63"/>
        <v/>
      </c>
    </row>
    <row r="2436" spans="1:25">
      <c r="A2436" s="2">
        <f>+Get_Data!A2435</f>
        <v>42976</v>
      </c>
      <c r="B2436">
        <f>+ROUND(Get_Data!B2435,5)</f>
        <v>105.08754</v>
      </c>
      <c r="C2436">
        <f>+ROUND(Get_Data!C2435,5)</f>
        <v>40.832889999999999</v>
      </c>
      <c r="D2436" s="4">
        <f t="shared" si="70"/>
        <v>2.5735999999999999</v>
      </c>
      <c r="E2436" s="22">
        <f t="shared" ca="1" si="38"/>
        <v>2.6141399999999999</v>
      </c>
      <c r="F2436" s="23">
        <f t="shared" ca="1" si="39"/>
        <v>2.55918</v>
      </c>
      <c r="G2436" s="10">
        <f t="shared" ca="1" si="40"/>
        <v>0</v>
      </c>
      <c r="H2436" s="12">
        <f t="shared" ca="1" si="41"/>
        <v>0</v>
      </c>
      <c r="I2436" s="11">
        <f t="shared" ca="1" si="42"/>
        <v>0</v>
      </c>
      <c r="J2436" s="11">
        <f t="shared" ca="1" si="43"/>
        <v>0</v>
      </c>
      <c r="K2436" s="10" t="str">
        <f t="shared" ca="1" si="64"/>
        <v/>
      </c>
      <c r="L2436" s="11" t="str">
        <f t="shared" ca="1" si="65"/>
        <v/>
      </c>
      <c r="M2436" s="11" t="str">
        <f t="shared" ca="1" si="66"/>
        <v/>
      </c>
      <c r="N2436" s="15" t="str">
        <f t="shared" ca="1" si="67"/>
        <v/>
      </c>
      <c r="O2436" s="15" t="str">
        <f t="shared" ca="1" si="68"/>
        <v/>
      </c>
      <c r="P2436" s="16" t="str">
        <f t="shared" ca="1" si="69"/>
        <v/>
      </c>
      <c r="Q2436" s="11" t="str">
        <f t="shared" ca="1" si="55"/>
        <v/>
      </c>
      <c r="R2436" s="11" t="str">
        <f t="shared" ca="1" si="56"/>
        <v/>
      </c>
      <c r="S2436" s="61" t="str">
        <f t="shared" ca="1" si="57"/>
        <v/>
      </c>
      <c r="T2436" s="11" t="str">
        <f t="shared" ca="1" si="58"/>
        <v/>
      </c>
      <c r="U2436" s="11" t="str">
        <f t="shared" ca="1" si="59"/>
        <v/>
      </c>
      <c r="V2436" s="18" t="str">
        <f t="shared" ca="1" si="60"/>
        <v/>
      </c>
      <c r="W2436" s="61" t="str">
        <f t="shared" ca="1" si="61"/>
        <v/>
      </c>
      <c r="X2436" s="61">
        <f t="shared" ca="1" si="62"/>
        <v>0</v>
      </c>
      <c r="Y2436" s="64" t="str">
        <f t="shared" ca="1" si="63"/>
        <v/>
      </c>
    </row>
    <row r="2437" spans="1:25">
      <c r="A2437" s="2">
        <f>+Get_Data!A2436</f>
        <v>42977</v>
      </c>
      <c r="B2437">
        <f>+ROUND(Get_Data!B2436,5)</f>
        <v>105.19259</v>
      </c>
      <c r="C2437">
        <f>+ROUND(Get_Data!C2436,5)</f>
        <v>40.778979999999997</v>
      </c>
      <c r="D2437" s="4">
        <f t="shared" si="70"/>
        <v>2.57958</v>
      </c>
      <c r="E2437" s="22">
        <f t="shared" ref="E2437:E2500" ca="1" si="71">+MAX(OFFSET(D2437,-$G$2+1,,$G$2))</f>
        <v>2.6141399999999999</v>
      </c>
      <c r="F2437" s="23">
        <f t="shared" ref="F2437:F2500" ca="1" si="72">+MIN(OFFSET(D2437,-$G$2+1,,$G$2))</f>
        <v>2.55918</v>
      </c>
      <c r="G2437" s="10">
        <f t="shared" ref="G2437:G2500" ca="1" si="73">+IF(E2437=D2437,1,0)</f>
        <v>0</v>
      </c>
      <c r="H2437" s="12">
        <f t="shared" ref="H2437:H2500" ca="1" si="74">+IF(F2437=D2437,1,0)</f>
        <v>0</v>
      </c>
      <c r="I2437" s="11">
        <f t="shared" ref="I2437:I2500" ca="1" si="75">+G2437-H2437</f>
        <v>0</v>
      </c>
      <c r="J2437" s="11">
        <f t="shared" ca="1" si="43"/>
        <v>0</v>
      </c>
      <c r="K2437" s="10" t="str">
        <f t="shared" ca="1" si="64"/>
        <v/>
      </c>
      <c r="L2437" s="11" t="str">
        <f t="shared" ca="1" si="65"/>
        <v/>
      </c>
      <c r="M2437" s="11" t="str">
        <f t="shared" ca="1" si="66"/>
        <v/>
      </c>
      <c r="N2437" s="15" t="str">
        <f t="shared" ca="1" si="67"/>
        <v/>
      </c>
      <c r="O2437" s="15" t="str">
        <f t="shared" ca="1" si="68"/>
        <v/>
      </c>
      <c r="P2437" s="16" t="str">
        <f t="shared" ca="1" si="69"/>
        <v/>
      </c>
      <c r="Q2437" s="11" t="str">
        <f t="shared" ca="1" si="55"/>
        <v/>
      </c>
      <c r="R2437" s="11" t="str">
        <f t="shared" ca="1" si="56"/>
        <v/>
      </c>
      <c r="S2437" s="61" t="str">
        <f t="shared" ca="1" si="57"/>
        <v/>
      </c>
      <c r="T2437" s="11" t="str">
        <f t="shared" ca="1" si="58"/>
        <v/>
      </c>
      <c r="U2437" s="11" t="str">
        <f t="shared" ca="1" si="59"/>
        <v/>
      </c>
      <c r="V2437" s="18" t="str">
        <f t="shared" ca="1" si="60"/>
        <v/>
      </c>
      <c r="W2437" s="61" t="str">
        <f t="shared" ca="1" si="61"/>
        <v/>
      </c>
      <c r="X2437" s="61">
        <f t="shared" ca="1" si="62"/>
        <v>0</v>
      </c>
      <c r="Y2437" s="64" t="str">
        <f t="shared" ca="1" si="63"/>
        <v/>
      </c>
    </row>
    <row r="2438" spans="1:25">
      <c r="A2438" s="2">
        <f>+Get_Data!A2437</f>
        <v>42978</v>
      </c>
      <c r="B2438">
        <f>+ROUND(Get_Data!B2437,5)</f>
        <v>105.72243</v>
      </c>
      <c r="C2438">
        <f>+ROUND(Get_Data!C2437,5)</f>
        <v>40.922730000000001</v>
      </c>
      <c r="D2438" s="4">
        <f t="shared" si="70"/>
        <v>2.5834600000000001</v>
      </c>
      <c r="E2438" s="22">
        <f t="shared" ca="1" si="71"/>
        <v>2.6141399999999999</v>
      </c>
      <c r="F2438" s="23">
        <f t="shared" ca="1" si="72"/>
        <v>2.55918</v>
      </c>
      <c r="G2438" s="10">
        <f t="shared" ca="1" si="73"/>
        <v>0</v>
      </c>
      <c r="H2438" s="12">
        <f t="shared" ca="1" si="74"/>
        <v>0</v>
      </c>
      <c r="I2438" s="11">
        <f t="shared" ca="1" si="75"/>
        <v>0</v>
      </c>
      <c r="J2438" s="11">
        <f t="shared" ref="J2438:J2501" ca="1" si="76">+IF(AND(ABS(J2437)=2,ABS(I2438)=1),0,J2437+I2438)</f>
        <v>0</v>
      </c>
      <c r="K2438" s="10" t="str">
        <f t="shared" ca="1" si="64"/>
        <v/>
      </c>
      <c r="L2438" s="11" t="str">
        <f t="shared" ca="1" si="65"/>
        <v/>
      </c>
      <c r="M2438" s="11" t="str">
        <f t="shared" ca="1" si="66"/>
        <v/>
      </c>
      <c r="N2438" s="15" t="str">
        <f t="shared" ca="1" si="67"/>
        <v/>
      </c>
      <c r="O2438" s="15" t="str">
        <f t="shared" ca="1" si="68"/>
        <v/>
      </c>
      <c r="P2438" s="16" t="str">
        <f t="shared" ca="1" si="69"/>
        <v/>
      </c>
      <c r="Q2438" s="11" t="str">
        <f t="shared" ca="1" si="55"/>
        <v/>
      </c>
      <c r="R2438" s="11" t="str">
        <f t="shared" ca="1" si="56"/>
        <v/>
      </c>
      <c r="S2438" s="61" t="str">
        <f t="shared" ca="1" si="57"/>
        <v/>
      </c>
      <c r="T2438" s="11" t="str">
        <f t="shared" ca="1" si="58"/>
        <v/>
      </c>
      <c r="U2438" s="11" t="str">
        <f t="shared" ca="1" si="59"/>
        <v/>
      </c>
      <c r="V2438" s="18" t="str">
        <f t="shared" ca="1" si="60"/>
        <v/>
      </c>
      <c r="W2438" s="61" t="str">
        <f t="shared" ca="1" si="61"/>
        <v/>
      </c>
      <c r="X2438" s="61">
        <f t="shared" ca="1" si="62"/>
        <v>0</v>
      </c>
      <c r="Y2438" s="64" t="str">
        <f t="shared" ca="1" si="63"/>
        <v/>
      </c>
    </row>
    <row r="2439" spans="1:25">
      <c r="A2439" s="2">
        <f>+Get_Data!A2438</f>
        <v>42979</v>
      </c>
      <c r="B2439">
        <f>+ROUND(Get_Data!B2438,5)</f>
        <v>105.82292</v>
      </c>
      <c r="C2439">
        <f>+ROUND(Get_Data!C2438,5)</f>
        <v>41.129370000000002</v>
      </c>
      <c r="D2439" s="4">
        <f t="shared" si="70"/>
        <v>2.5729299999999999</v>
      </c>
      <c r="E2439" s="22">
        <f t="shared" ca="1" si="71"/>
        <v>2.6141399999999999</v>
      </c>
      <c r="F2439" s="23">
        <f t="shared" ca="1" si="72"/>
        <v>2.5606</v>
      </c>
      <c r="G2439" s="10">
        <f t="shared" ca="1" si="73"/>
        <v>0</v>
      </c>
      <c r="H2439" s="12">
        <f t="shared" ca="1" si="74"/>
        <v>0</v>
      </c>
      <c r="I2439" s="11">
        <f t="shared" ca="1" si="75"/>
        <v>0</v>
      </c>
      <c r="J2439" s="11">
        <f t="shared" ca="1" si="76"/>
        <v>0</v>
      </c>
      <c r="K2439" s="10" t="str">
        <f t="shared" ca="1" si="64"/>
        <v/>
      </c>
      <c r="L2439" s="11" t="str">
        <f t="shared" ca="1" si="65"/>
        <v/>
      </c>
      <c r="M2439" s="11" t="str">
        <f t="shared" ca="1" si="66"/>
        <v/>
      </c>
      <c r="N2439" s="15" t="str">
        <f t="shared" ca="1" si="67"/>
        <v/>
      </c>
      <c r="O2439" s="15" t="str">
        <f t="shared" ca="1" si="68"/>
        <v/>
      </c>
      <c r="P2439" s="16" t="str">
        <f t="shared" ca="1" si="69"/>
        <v/>
      </c>
      <c r="Q2439" s="11" t="str">
        <f t="shared" ca="1" si="55"/>
        <v/>
      </c>
      <c r="R2439" s="11" t="str">
        <f t="shared" ca="1" si="56"/>
        <v/>
      </c>
      <c r="S2439" s="61" t="str">
        <f t="shared" ca="1" si="57"/>
        <v/>
      </c>
      <c r="T2439" s="11" t="str">
        <f t="shared" ca="1" si="58"/>
        <v/>
      </c>
      <c r="U2439" s="11" t="str">
        <f t="shared" ca="1" si="59"/>
        <v/>
      </c>
      <c r="V2439" s="18" t="str">
        <f t="shared" ca="1" si="60"/>
        <v/>
      </c>
      <c r="W2439" s="61" t="str">
        <f t="shared" ca="1" si="61"/>
        <v/>
      </c>
      <c r="X2439" s="61">
        <f t="shared" ca="1" si="62"/>
        <v>0</v>
      </c>
      <c r="Y2439" s="64" t="str">
        <f t="shared" ca="1" si="63"/>
        <v/>
      </c>
    </row>
    <row r="2440" spans="1:25">
      <c r="A2440" s="2">
        <f>+Get_Data!A2439</f>
        <v>42983</v>
      </c>
      <c r="B2440">
        <f>+ROUND(Get_Data!B2439,5)</f>
        <v>105.85033</v>
      </c>
      <c r="C2440">
        <f>+ROUND(Get_Data!C2439,5)</f>
        <v>41.255139999999997</v>
      </c>
      <c r="D2440" s="4">
        <f t="shared" si="70"/>
        <v>2.56575</v>
      </c>
      <c r="E2440" s="22">
        <f t="shared" ca="1" si="71"/>
        <v>2.6141399999999999</v>
      </c>
      <c r="F2440" s="23">
        <f t="shared" ca="1" si="72"/>
        <v>2.5606</v>
      </c>
      <c r="G2440" s="10">
        <f t="shared" ca="1" si="73"/>
        <v>0</v>
      </c>
      <c r="H2440" s="12">
        <f t="shared" ca="1" si="74"/>
        <v>0</v>
      </c>
      <c r="I2440" s="11">
        <f t="shared" ca="1" si="75"/>
        <v>0</v>
      </c>
      <c r="J2440" s="11">
        <f t="shared" ca="1" si="76"/>
        <v>0</v>
      </c>
      <c r="K2440" s="10" t="str">
        <f t="shared" ca="1" si="64"/>
        <v/>
      </c>
      <c r="L2440" s="11" t="str">
        <f t="shared" ca="1" si="65"/>
        <v/>
      </c>
      <c r="M2440" s="11" t="str">
        <f t="shared" ca="1" si="66"/>
        <v/>
      </c>
      <c r="N2440" s="15" t="str">
        <f t="shared" ca="1" si="67"/>
        <v/>
      </c>
      <c r="O2440" s="15" t="str">
        <f t="shared" ca="1" si="68"/>
        <v/>
      </c>
      <c r="P2440" s="16" t="str">
        <f t="shared" ca="1" si="69"/>
        <v/>
      </c>
      <c r="Q2440" s="11" t="str">
        <f t="shared" ca="1" si="55"/>
        <v/>
      </c>
      <c r="R2440" s="11" t="str">
        <f t="shared" ca="1" si="56"/>
        <v/>
      </c>
      <c r="S2440" s="61" t="str">
        <f t="shared" ca="1" si="57"/>
        <v/>
      </c>
      <c r="T2440" s="11" t="str">
        <f t="shared" ca="1" si="58"/>
        <v/>
      </c>
      <c r="U2440" s="11" t="str">
        <f t="shared" ca="1" si="59"/>
        <v/>
      </c>
      <c r="V2440" s="18" t="str">
        <f t="shared" ca="1" si="60"/>
        <v/>
      </c>
      <c r="W2440" s="61" t="str">
        <f t="shared" ca="1" si="61"/>
        <v/>
      </c>
      <c r="X2440" s="61">
        <f t="shared" ca="1" si="62"/>
        <v>0</v>
      </c>
      <c r="Y2440" s="64" t="str">
        <f t="shared" ca="1" si="63"/>
        <v/>
      </c>
    </row>
    <row r="2441" spans="1:25">
      <c r="A2441" s="2">
        <f>+Get_Data!A2440</f>
        <v>42984</v>
      </c>
      <c r="B2441">
        <f>+ROUND(Get_Data!B2440,5)</f>
        <v>106.28883</v>
      </c>
      <c r="C2441">
        <f>+ROUND(Get_Data!C2440,5)</f>
        <v>41.291080000000001</v>
      </c>
      <c r="D2441" s="4">
        <f t="shared" si="70"/>
        <v>2.5741399999999999</v>
      </c>
      <c r="E2441" s="22">
        <f t="shared" ca="1" si="71"/>
        <v>2.6141399999999999</v>
      </c>
      <c r="F2441" s="23">
        <f t="shared" ca="1" si="72"/>
        <v>2.5606</v>
      </c>
      <c r="G2441" s="10">
        <f t="shared" ca="1" si="73"/>
        <v>0</v>
      </c>
      <c r="H2441" s="12">
        <f t="shared" ca="1" si="74"/>
        <v>0</v>
      </c>
      <c r="I2441" s="11">
        <f t="shared" ca="1" si="75"/>
        <v>0</v>
      </c>
      <c r="J2441" s="11">
        <f t="shared" ca="1" si="76"/>
        <v>0</v>
      </c>
      <c r="K2441" s="10" t="str">
        <f t="shared" ca="1" si="64"/>
        <v/>
      </c>
      <c r="L2441" s="11" t="str">
        <f t="shared" ca="1" si="65"/>
        <v/>
      </c>
      <c r="M2441" s="11" t="str">
        <f t="shared" ca="1" si="66"/>
        <v/>
      </c>
      <c r="N2441" s="15" t="str">
        <f t="shared" ca="1" si="67"/>
        <v/>
      </c>
      <c r="O2441" s="15" t="str">
        <f t="shared" ca="1" si="68"/>
        <v/>
      </c>
      <c r="P2441" s="16" t="str">
        <f t="shared" ca="1" si="69"/>
        <v/>
      </c>
      <c r="Q2441" s="11" t="str">
        <f t="shared" ca="1" si="55"/>
        <v/>
      </c>
      <c r="R2441" s="11" t="str">
        <f t="shared" ca="1" si="56"/>
        <v/>
      </c>
      <c r="S2441" s="61" t="str">
        <f t="shared" ca="1" si="57"/>
        <v/>
      </c>
      <c r="T2441" s="11" t="str">
        <f t="shared" ca="1" si="58"/>
        <v/>
      </c>
      <c r="U2441" s="11" t="str">
        <f t="shared" ca="1" si="59"/>
        <v/>
      </c>
      <c r="V2441" s="18" t="str">
        <f t="shared" ca="1" si="60"/>
        <v/>
      </c>
      <c r="W2441" s="61" t="str">
        <f t="shared" ca="1" si="61"/>
        <v/>
      </c>
      <c r="X2441" s="61">
        <f t="shared" ca="1" si="62"/>
        <v>0</v>
      </c>
      <c r="Y2441" s="64" t="str">
        <f t="shared" ca="1" si="63"/>
        <v/>
      </c>
    </row>
    <row r="2442" spans="1:25">
      <c r="A2442" s="2">
        <f>+Get_Data!A2441</f>
        <v>42985</v>
      </c>
      <c r="B2442">
        <f>+ROUND(Get_Data!B2441,5)</f>
        <v>106.87349</v>
      </c>
      <c r="C2442">
        <f>+ROUND(Get_Data!C2441,5)</f>
        <v>41.578569999999999</v>
      </c>
      <c r="D2442" s="4">
        <f t="shared" si="70"/>
        <v>2.5703999999999998</v>
      </c>
      <c r="E2442" s="22">
        <f t="shared" ca="1" si="71"/>
        <v>2.6141399999999999</v>
      </c>
      <c r="F2442" s="23">
        <f t="shared" ca="1" si="72"/>
        <v>2.56575</v>
      </c>
      <c r="G2442" s="10">
        <f t="shared" ca="1" si="73"/>
        <v>0</v>
      </c>
      <c r="H2442" s="12">
        <f t="shared" ca="1" si="74"/>
        <v>0</v>
      </c>
      <c r="I2442" s="11">
        <f t="shared" ca="1" si="75"/>
        <v>0</v>
      </c>
      <c r="J2442" s="11">
        <f t="shared" ca="1" si="76"/>
        <v>0</v>
      </c>
      <c r="K2442" s="10" t="str">
        <f t="shared" ca="1" si="64"/>
        <v/>
      </c>
      <c r="L2442" s="11" t="str">
        <f t="shared" ca="1" si="65"/>
        <v/>
      </c>
      <c r="M2442" s="11" t="str">
        <f t="shared" ca="1" si="66"/>
        <v/>
      </c>
      <c r="N2442" s="15" t="str">
        <f t="shared" ca="1" si="67"/>
        <v/>
      </c>
      <c r="O2442" s="15" t="str">
        <f t="shared" ca="1" si="68"/>
        <v/>
      </c>
      <c r="P2442" s="16" t="str">
        <f t="shared" ca="1" si="69"/>
        <v/>
      </c>
      <c r="Q2442" s="11" t="str">
        <f t="shared" ca="1" si="55"/>
        <v/>
      </c>
      <c r="R2442" s="11" t="str">
        <f t="shared" ca="1" si="56"/>
        <v/>
      </c>
      <c r="S2442" s="61" t="str">
        <f t="shared" ca="1" si="57"/>
        <v/>
      </c>
      <c r="T2442" s="11" t="str">
        <f t="shared" ca="1" si="58"/>
        <v/>
      </c>
      <c r="U2442" s="11" t="str">
        <f t="shared" ca="1" si="59"/>
        <v/>
      </c>
      <c r="V2442" s="18" t="str">
        <f t="shared" ca="1" si="60"/>
        <v/>
      </c>
      <c r="W2442" s="61" t="str">
        <f t="shared" ca="1" si="61"/>
        <v/>
      </c>
      <c r="X2442" s="61">
        <f t="shared" ca="1" si="62"/>
        <v>0</v>
      </c>
      <c r="Y2442" s="64" t="str">
        <f t="shared" ca="1" si="63"/>
        <v/>
      </c>
    </row>
    <row r="2443" spans="1:25">
      <c r="A2443" s="2">
        <f>+Get_Data!A2442</f>
        <v>42986</v>
      </c>
      <c r="B2443">
        <f>+ROUND(Get_Data!B2442,5)</f>
        <v>105.09211000000001</v>
      </c>
      <c r="C2443">
        <f>+ROUND(Get_Data!C2442,5)</f>
        <v>41.596530000000001</v>
      </c>
      <c r="D2443" s="4">
        <f t="shared" si="70"/>
        <v>2.5264600000000002</v>
      </c>
      <c r="E2443" s="22">
        <f t="shared" ca="1" si="71"/>
        <v>2.6141399999999999</v>
      </c>
      <c r="F2443" s="23">
        <f t="shared" ca="1" si="72"/>
        <v>2.5264600000000002</v>
      </c>
      <c r="G2443" s="10">
        <f t="shared" ca="1" si="73"/>
        <v>0</v>
      </c>
      <c r="H2443" s="12">
        <f t="shared" ca="1" si="74"/>
        <v>1</v>
      </c>
      <c r="I2443" s="11">
        <f t="shared" ca="1" si="75"/>
        <v>-1</v>
      </c>
      <c r="J2443" s="11">
        <f t="shared" ca="1" si="76"/>
        <v>-1</v>
      </c>
      <c r="K2443" s="10" t="str">
        <f t="shared" ca="1" si="64"/>
        <v/>
      </c>
      <c r="L2443" s="11" t="str">
        <f t="shared" ca="1" si="65"/>
        <v/>
      </c>
      <c r="M2443" s="11" t="str">
        <f t="shared" ca="1" si="66"/>
        <v/>
      </c>
      <c r="N2443" s="15" t="str">
        <f t="shared" ca="1" si="67"/>
        <v/>
      </c>
      <c r="O2443" s="15" t="str">
        <f t="shared" ca="1" si="68"/>
        <v/>
      </c>
      <c r="P2443" s="16" t="str">
        <f t="shared" ca="1" si="69"/>
        <v/>
      </c>
      <c r="Q2443" s="11" t="str">
        <f t="shared" ca="1" si="55"/>
        <v/>
      </c>
      <c r="R2443" s="11" t="str">
        <f t="shared" ca="1" si="56"/>
        <v/>
      </c>
      <c r="S2443" s="61" t="str">
        <f t="shared" ca="1" si="57"/>
        <v/>
      </c>
      <c r="T2443" s="11" t="str">
        <f t="shared" ca="1" si="58"/>
        <v/>
      </c>
      <c r="U2443" s="11" t="str">
        <f t="shared" ca="1" si="59"/>
        <v/>
      </c>
      <c r="V2443" s="18" t="str">
        <f t="shared" ca="1" si="60"/>
        <v/>
      </c>
      <c r="W2443" s="61" t="str">
        <f t="shared" ca="1" si="61"/>
        <v/>
      </c>
      <c r="X2443" s="61">
        <f t="shared" ca="1" si="62"/>
        <v>0</v>
      </c>
      <c r="Y2443" s="64" t="str">
        <f t="shared" ca="1" si="63"/>
        <v/>
      </c>
    </row>
    <row r="2444" spans="1:25">
      <c r="A2444" s="2">
        <f>+Get_Data!A2443</f>
        <v>42989</v>
      </c>
      <c r="B2444">
        <f>+ROUND(Get_Data!B2443,5)</f>
        <v>105.6859</v>
      </c>
      <c r="C2444">
        <f>+ROUND(Get_Data!C2443,5)</f>
        <v>41.79419</v>
      </c>
      <c r="D2444" s="4">
        <f t="shared" si="70"/>
        <v>2.5287199999999999</v>
      </c>
      <c r="E2444" s="22">
        <f t="shared" ca="1" si="71"/>
        <v>2.6141399999999999</v>
      </c>
      <c r="F2444" s="23">
        <f t="shared" ca="1" si="72"/>
        <v>2.5264600000000002</v>
      </c>
      <c r="G2444" s="10">
        <f t="shared" ca="1" si="73"/>
        <v>0</v>
      </c>
      <c r="H2444" s="12">
        <f t="shared" ca="1" si="74"/>
        <v>0</v>
      </c>
      <c r="I2444" s="11">
        <f t="shared" ca="1" si="75"/>
        <v>0</v>
      </c>
      <c r="J2444" s="11">
        <f t="shared" ca="1" si="76"/>
        <v>-1</v>
      </c>
      <c r="K2444" s="10">
        <f t="shared" ca="1" si="64"/>
        <v>105.6859</v>
      </c>
      <c r="L2444" s="11">
        <f t="shared" ca="1" si="65"/>
        <v>-41.79419</v>
      </c>
      <c r="M2444" s="11">
        <f t="shared" ca="1" si="66"/>
        <v>2.5287199999999999</v>
      </c>
      <c r="N2444" s="15">
        <f t="shared" ca="1" si="67"/>
        <v>10</v>
      </c>
      <c r="O2444" s="15">
        <f t="shared" ca="1" si="68"/>
        <v>25</v>
      </c>
      <c r="P2444" s="16">
        <f t="shared" ca="1" si="69"/>
        <v>12.004249999999956</v>
      </c>
      <c r="Q2444" s="11" t="str">
        <f t="shared" ca="1" si="55"/>
        <v/>
      </c>
      <c r="R2444" s="11" t="str">
        <f t="shared" ca="1" si="56"/>
        <v/>
      </c>
      <c r="S2444" s="61" t="str">
        <f t="shared" ca="1" si="57"/>
        <v/>
      </c>
      <c r="T2444" s="11" t="str">
        <f t="shared" ca="1" si="58"/>
        <v/>
      </c>
      <c r="U2444" s="11" t="str">
        <f t="shared" ca="1" si="59"/>
        <v/>
      </c>
      <c r="V2444" s="18" t="str">
        <f t="shared" ca="1" si="60"/>
        <v/>
      </c>
      <c r="W2444" s="61" t="str">
        <f t="shared" ca="1" si="61"/>
        <v/>
      </c>
      <c r="X2444" s="61">
        <f t="shared" ca="1" si="62"/>
        <v>0</v>
      </c>
      <c r="Y2444" s="64" t="str">
        <f t="shared" ca="1" si="63"/>
        <v/>
      </c>
    </row>
    <row r="2445" spans="1:25">
      <c r="A2445" s="2">
        <f>+Get_Data!A2444</f>
        <v>42990</v>
      </c>
      <c r="B2445">
        <f>+ROUND(Get_Data!B2444,5)</f>
        <v>105.05556</v>
      </c>
      <c r="C2445">
        <f>+ROUND(Get_Data!C2444,5)</f>
        <v>41.973880000000001</v>
      </c>
      <c r="D2445" s="4">
        <f t="shared" si="70"/>
        <v>2.5028800000000002</v>
      </c>
      <c r="E2445" s="22">
        <f t="shared" ca="1" si="71"/>
        <v>2.6141399999999999</v>
      </c>
      <c r="F2445" s="23">
        <f t="shared" ca="1" si="72"/>
        <v>2.5028800000000002</v>
      </c>
      <c r="G2445" s="10">
        <f t="shared" ca="1" si="73"/>
        <v>0</v>
      </c>
      <c r="H2445" s="12">
        <f t="shared" ca="1" si="74"/>
        <v>1</v>
      </c>
      <c r="I2445" s="11">
        <f t="shared" ca="1" si="75"/>
        <v>-1</v>
      </c>
      <c r="J2445" s="11">
        <f t="shared" ca="1" si="76"/>
        <v>-2</v>
      </c>
      <c r="K2445" s="10">
        <f t="shared" ca="1" si="64"/>
        <v>105.6859</v>
      </c>
      <c r="L2445" s="11">
        <f t="shared" ca="1" si="65"/>
        <v>-41.79419</v>
      </c>
      <c r="M2445" s="11">
        <f t="shared" ca="1" si="66"/>
        <v>2.5287199999999999</v>
      </c>
      <c r="N2445" s="15">
        <f t="shared" ca="1" si="67"/>
        <v>10</v>
      </c>
      <c r="O2445" s="15">
        <f t="shared" ca="1" si="68"/>
        <v>25</v>
      </c>
      <c r="P2445" s="16">
        <f t="shared" ca="1" si="69"/>
        <v>12.004249999999956</v>
      </c>
      <c r="Q2445" s="11" t="str">
        <f t="shared" ca="1" si="55"/>
        <v/>
      </c>
      <c r="R2445" s="11" t="str">
        <f t="shared" ca="1" si="56"/>
        <v/>
      </c>
      <c r="S2445" s="61" t="str">
        <f t="shared" ca="1" si="57"/>
        <v/>
      </c>
      <c r="T2445" s="11" t="str">
        <f t="shared" ca="1" si="58"/>
        <v/>
      </c>
      <c r="U2445" s="11" t="str">
        <f t="shared" ca="1" si="59"/>
        <v/>
      </c>
      <c r="V2445" s="18" t="str">
        <f t="shared" ca="1" si="60"/>
        <v/>
      </c>
      <c r="W2445" s="61" t="str">
        <f t="shared" ca="1" si="61"/>
        <v/>
      </c>
      <c r="X2445" s="61">
        <f t="shared" ca="1" si="62"/>
        <v>0</v>
      </c>
      <c r="Y2445" s="64" t="str">
        <f t="shared" ca="1" si="63"/>
        <v/>
      </c>
    </row>
    <row r="2446" spans="1:25">
      <c r="A2446" s="2">
        <f>+Get_Data!A2445</f>
        <v>42991</v>
      </c>
      <c r="B2446">
        <f>+ROUND(Get_Data!B2445,5)</f>
        <v>104.55312000000001</v>
      </c>
      <c r="C2446">
        <f>+ROUND(Get_Data!C2445,5)</f>
        <v>42.108629999999998</v>
      </c>
      <c r="D2446" s="4">
        <f t="shared" si="70"/>
        <v>2.4829400000000001</v>
      </c>
      <c r="E2446" s="22">
        <f t="shared" ca="1" si="71"/>
        <v>2.6141399999999999</v>
      </c>
      <c r="F2446" s="23">
        <f t="shared" ca="1" si="72"/>
        <v>2.4829400000000001</v>
      </c>
      <c r="G2446" s="10">
        <f t="shared" ca="1" si="73"/>
        <v>0</v>
      </c>
      <c r="H2446" s="12">
        <f t="shared" ca="1" si="74"/>
        <v>1</v>
      </c>
      <c r="I2446" s="11">
        <f t="shared" ca="1" si="75"/>
        <v>-1</v>
      </c>
      <c r="J2446" s="11">
        <f t="shared" ca="1" si="76"/>
        <v>0</v>
      </c>
      <c r="K2446" s="10">
        <f t="shared" ca="1" si="64"/>
        <v>105.6859</v>
      </c>
      <c r="L2446" s="11">
        <f t="shared" ca="1" si="65"/>
        <v>-41.79419</v>
      </c>
      <c r="M2446" s="11">
        <f t="shared" ca="1" si="66"/>
        <v>2.5287199999999999</v>
      </c>
      <c r="N2446" s="15">
        <f t="shared" ca="1" si="67"/>
        <v>10</v>
      </c>
      <c r="O2446" s="15">
        <f t="shared" ca="1" si="68"/>
        <v>25</v>
      </c>
      <c r="P2446" s="16">
        <f t="shared" ca="1" si="69"/>
        <v>12.004249999999956</v>
      </c>
      <c r="Q2446" s="11" t="str">
        <f t="shared" ca="1" si="55"/>
        <v/>
      </c>
      <c r="R2446" s="11" t="str">
        <f t="shared" ca="1" si="56"/>
        <v/>
      </c>
      <c r="S2446" s="61" t="str">
        <f t="shared" ca="1" si="57"/>
        <v/>
      </c>
      <c r="T2446" s="11" t="str">
        <f t="shared" ca="1" si="58"/>
        <v/>
      </c>
      <c r="U2446" s="11" t="str">
        <f t="shared" ca="1" si="59"/>
        <v/>
      </c>
      <c r="V2446" s="18" t="str">
        <f t="shared" ca="1" si="60"/>
        <v/>
      </c>
      <c r="W2446" s="61" t="str">
        <f t="shared" ca="1" si="61"/>
        <v/>
      </c>
      <c r="X2446" s="61">
        <f t="shared" ca="1" si="62"/>
        <v>0</v>
      </c>
      <c r="Y2446" s="64" t="str">
        <f t="shared" ca="1" si="63"/>
        <v/>
      </c>
    </row>
    <row r="2447" spans="1:25">
      <c r="A2447" s="2">
        <f>+Get_Data!A2446</f>
        <v>42992</v>
      </c>
      <c r="B2447">
        <f>+ROUND(Get_Data!B2446,5)</f>
        <v>104.31563</v>
      </c>
      <c r="C2447">
        <f>+ROUND(Get_Data!C2446,5)</f>
        <v>41.755459999999999</v>
      </c>
      <c r="D2447" s="4">
        <f t="shared" si="70"/>
        <v>2.4982500000000001</v>
      </c>
      <c r="E2447" s="22">
        <f t="shared" ca="1" si="71"/>
        <v>2.6141399999999999</v>
      </c>
      <c r="F2447" s="23">
        <f t="shared" ca="1" si="72"/>
        <v>2.4829400000000001</v>
      </c>
      <c r="G2447" s="10">
        <f t="shared" ca="1" si="73"/>
        <v>0</v>
      </c>
      <c r="H2447" s="12">
        <f t="shared" ca="1" si="74"/>
        <v>0</v>
      </c>
      <c r="I2447" s="11">
        <f t="shared" ca="1" si="75"/>
        <v>0</v>
      </c>
      <c r="J2447" s="11">
        <f t="shared" ca="1" si="76"/>
        <v>0</v>
      </c>
      <c r="K2447" s="10" t="str">
        <f t="shared" ca="1" si="64"/>
        <v/>
      </c>
      <c r="L2447" s="11" t="str">
        <f t="shared" ca="1" si="65"/>
        <v/>
      </c>
      <c r="M2447" s="11" t="str">
        <f t="shared" ca="1" si="66"/>
        <v/>
      </c>
      <c r="N2447" s="15" t="str">
        <f t="shared" ca="1" si="67"/>
        <v/>
      </c>
      <c r="O2447" s="15" t="str">
        <f t="shared" ca="1" si="68"/>
        <v/>
      </c>
      <c r="P2447" s="16" t="str">
        <f t="shared" ca="1" si="69"/>
        <v/>
      </c>
      <c r="Q2447" s="11">
        <f t="shared" ca="1" si="55"/>
        <v>104.31563</v>
      </c>
      <c r="R2447" s="11">
        <f t="shared" ca="1" si="56"/>
        <v>41.755459999999999</v>
      </c>
      <c r="S2447" s="61">
        <f t="shared" ca="1" si="57"/>
        <v>2.4982500000000001</v>
      </c>
      <c r="T2447" s="11">
        <f t="shared" ca="1" si="58"/>
        <v>10</v>
      </c>
      <c r="U2447" s="11">
        <f t="shared" ca="1" si="59"/>
        <v>25</v>
      </c>
      <c r="V2447" s="18">
        <f t="shared" ca="1" si="60"/>
        <v>13.70270000000005</v>
      </c>
      <c r="W2447" s="61">
        <f t="shared" ca="1" si="61"/>
        <v>-0.96825000000002603</v>
      </c>
      <c r="X2447" s="61">
        <f t="shared" ca="1" si="62"/>
        <v>12.734450000000024</v>
      </c>
      <c r="Y2447" s="64">
        <f t="shared" ca="1" si="63"/>
        <v>1.2199075282609769E-2</v>
      </c>
    </row>
    <row r="2448" spans="1:25">
      <c r="A2448" s="2">
        <f>+Get_Data!A2447</f>
        <v>42993</v>
      </c>
      <c r="B2448">
        <f>+ROUND(Get_Data!B2447,5)</f>
        <v>104.91853</v>
      </c>
      <c r="C2448">
        <f>+ROUND(Get_Data!C2447,5)</f>
        <v>41.818860000000001</v>
      </c>
      <c r="D2448" s="4">
        <f t="shared" si="70"/>
        <v>2.50888</v>
      </c>
      <c r="E2448" s="22">
        <f t="shared" ca="1" si="71"/>
        <v>2.6141399999999999</v>
      </c>
      <c r="F2448" s="23">
        <f t="shared" ca="1" si="72"/>
        <v>2.4829400000000001</v>
      </c>
      <c r="G2448" s="10">
        <f t="shared" ca="1" si="73"/>
        <v>0</v>
      </c>
      <c r="H2448" s="12">
        <f t="shared" ca="1" si="74"/>
        <v>0</v>
      </c>
      <c r="I2448" s="11">
        <f t="shared" ca="1" si="75"/>
        <v>0</v>
      </c>
      <c r="J2448" s="11">
        <f t="shared" ca="1" si="76"/>
        <v>0</v>
      </c>
      <c r="K2448" s="10" t="str">
        <f t="shared" ca="1" si="64"/>
        <v/>
      </c>
      <c r="L2448" s="11" t="str">
        <f t="shared" ca="1" si="65"/>
        <v/>
      </c>
      <c r="M2448" s="11" t="str">
        <f t="shared" ca="1" si="66"/>
        <v/>
      </c>
      <c r="N2448" s="15" t="str">
        <f t="shared" ca="1" si="67"/>
        <v/>
      </c>
      <c r="O2448" s="15" t="str">
        <f t="shared" ca="1" si="68"/>
        <v/>
      </c>
      <c r="P2448" s="16" t="str">
        <f t="shared" ca="1" si="69"/>
        <v/>
      </c>
      <c r="Q2448" s="11" t="str">
        <f t="shared" ca="1" si="55"/>
        <v/>
      </c>
      <c r="R2448" s="11" t="str">
        <f t="shared" ca="1" si="56"/>
        <v/>
      </c>
      <c r="S2448" s="61" t="str">
        <f t="shared" ca="1" si="57"/>
        <v/>
      </c>
      <c r="T2448" s="11" t="str">
        <f t="shared" ca="1" si="58"/>
        <v/>
      </c>
      <c r="U2448" s="11" t="str">
        <f t="shared" ca="1" si="59"/>
        <v/>
      </c>
      <c r="V2448" s="18" t="str">
        <f t="shared" ca="1" si="60"/>
        <v/>
      </c>
      <c r="W2448" s="61" t="str">
        <f t="shared" ca="1" si="61"/>
        <v/>
      </c>
      <c r="X2448" s="61">
        <f t="shared" ca="1" si="62"/>
        <v>0</v>
      </c>
      <c r="Y2448" s="64" t="str">
        <f t="shared" ca="1" si="63"/>
        <v/>
      </c>
    </row>
    <row r="2449" spans="1:25">
      <c r="A2449" s="2">
        <f>+Get_Data!A2448</f>
        <v>42996</v>
      </c>
      <c r="B2449">
        <f>+ROUND(Get_Data!B2448,5)</f>
        <v>105.04642</v>
      </c>
      <c r="C2449">
        <f>+ROUND(Get_Data!C2448,5)</f>
        <v>41.755459999999999</v>
      </c>
      <c r="D2449" s="4">
        <f t="shared" si="70"/>
        <v>2.5157500000000002</v>
      </c>
      <c r="E2449" s="22">
        <f t="shared" ca="1" si="71"/>
        <v>2.6141399999999999</v>
      </c>
      <c r="F2449" s="23">
        <f t="shared" ca="1" si="72"/>
        <v>2.4829400000000001</v>
      </c>
      <c r="G2449" s="10">
        <f t="shared" ca="1" si="73"/>
        <v>0</v>
      </c>
      <c r="H2449" s="12">
        <f t="shared" ca="1" si="74"/>
        <v>0</v>
      </c>
      <c r="I2449" s="11">
        <f t="shared" ca="1" si="75"/>
        <v>0</v>
      </c>
      <c r="J2449" s="11">
        <f t="shared" ca="1" si="76"/>
        <v>0</v>
      </c>
      <c r="K2449" s="10" t="str">
        <f t="shared" ca="1" si="64"/>
        <v/>
      </c>
      <c r="L2449" s="11" t="str">
        <f t="shared" ca="1" si="65"/>
        <v/>
      </c>
      <c r="M2449" s="11" t="str">
        <f t="shared" ca="1" si="66"/>
        <v/>
      </c>
      <c r="N2449" s="15" t="str">
        <f t="shared" ca="1" si="67"/>
        <v/>
      </c>
      <c r="O2449" s="15" t="str">
        <f t="shared" ca="1" si="68"/>
        <v/>
      </c>
      <c r="P2449" s="16" t="str">
        <f t="shared" ca="1" si="69"/>
        <v/>
      </c>
      <c r="Q2449" s="11" t="str">
        <f t="shared" ca="1" si="55"/>
        <v/>
      </c>
      <c r="R2449" s="11" t="str">
        <f t="shared" ca="1" si="56"/>
        <v/>
      </c>
      <c r="S2449" s="61" t="str">
        <f t="shared" ca="1" si="57"/>
        <v/>
      </c>
      <c r="T2449" s="11" t="str">
        <f t="shared" ca="1" si="58"/>
        <v/>
      </c>
      <c r="U2449" s="11" t="str">
        <f t="shared" ca="1" si="59"/>
        <v/>
      </c>
      <c r="V2449" s="18" t="str">
        <f t="shared" ca="1" si="60"/>
        <v/>
      </c>
      <c r="W2449" s="61" t="str">
        <f t="shared" ca="1" si="61"/>
        <v/>
      </c>
      <c r="X2449" s="61">
        <f t="shared" ca="1" si="62"/>
        <v>0</v>
      </c>
      <c r="Y2449" s="64" t="str">
        <f t="shared" ca="1" si="63"/>
        <v/>
      </c>
    </row>
    <row r="2450" spans="1:25">
      <c r="A2450" s="2">
        <f>+Get_Data!A2449</f>
        <v>42997</v>
      </c>
      <c r="B2450">
        <f>+ROUND(Get_Data!B2449,5)</f>
        <v>104.58965999999999</v>
      </c>
      <c r="C2450">
        <f>+ROUND(Get_Data!C2449,5)</f>
        <v>41.637740000000001</v>
      </c>
      <c r="D2450" s="4">
        <f t="shared" si="70"/>
        <v>2.5118999999999998</v>
      </c>
      <c r="E2450" s="22">
        <f t="shared" ca="1" si="71"/>
        <v>2.6141399999999999</v>
      </c>
      <c r="F2450" s="23">
        <f t="shared" ca="1" si="72"/>
        <v>2.4829400000000001</v>
      </c>
      <c r="G2450" s="10">
        <f t="shared" ca="1" si="73"/>
        <v>0</v>
      </c>
      <c r="H2450" s="12">
        <f t="shared" ca="1" si="74"/>
        <v>0</v>
      </c>
      <c r="I2450" s="11">
        <f t="shared" ca="1" si="75"/>
        <v>0</v>
      </c>
      <c r="J2450" s="11">
        <f t="shared" ca="1" si="76"/>
        <v>0</v>
      </c>
      <c r="K2450" s="10" t="str">
        <f t="shared" ca="1" si="64"/>
        <v/>
      </c>
      <c r="L2450" s="11" t="str">
        <f t="shared" ca="1" si="65"/>
        <v/>
      </c>
      <c r="M2450" s="11" t="str">
        <f t="shared" ca="1" si="66"/>
        <v/>
      </c>
      <c r="N2450" s="15" t="str">
        <f t="shared" ca="1" si="67"/>
        <v/>
      </c>
      <c r="O2450" s="15" t="str">
        <f t="shared" ca="1" si="68"/>
        <v/>
      </c>
      <c r="P2450" s="16" t="str">
        <f t="shared" ca="1" si="69"/>
        <v/>
      </c>
      <c r="Q2450" s="11" t="str">
        <f t="shared" ca="1" si="55"/>
        <v/>
      </c>
      <c r="R2450" s="11" t="str">
        <f t="shared" ca="1" si="56"/>
        <v/>
      </c>
      <c r="S2450" s="61" t="str">
        <f t="shared" ca="1" si="57"/>
        <v/>
      </c>
      <c r="T2450" s="11" t="str">
        <f t="shared" ca="1" si="58"/>
        <v/>
      </c>
      <c r="U2450" s="11" t="str">
        <f t="shared" ca="1" si="59"/>
        <v/>
      </c>
      <c r="V2450" s="18" t="str">
        <f t="shared" ca="1" si="60"/>
        <v/>
      </c>
      <c r="W2450" s="61" t="str">
        <f t="shared" ca="1" si="61"/>
        <v/>
      </c>
      <c r="X2450" s="61">
        <f t="shared" ca="1" si="62"/>
        <v>0</v>
      </c>
      <c r="Y2450" s="64" t="str">
        <f t="shared" ca="1" si="63"/>
        <v/>
      </c>
    </row>
    <row r="2451" spans="1:25">
      <c r="A2451" s="2">
        <f>+Get_Data!A2450</f>
        <v>42998</v>
      </c>
      <c r="B2451">
        <f>+ROUND(Get_Data!B2450,5)</f>
        <v>103.75837</v>
      </c>
      <c r="C2451">
        <f>+ROUND(Get_Data!C2450,5)</f>
        <v>41.456629999999997</v>
      </c>
      <c r="D2451" s="4">
        <f t="shared" si="70"/>
        <v>2.5028199999999998</v>
      </c>
      <c r="E2451" s="22">
        <f t="shared" ca="1" si="71"/>
        <v>2.6141399999999999</v>
      </c>
      <c r="F2451" s="23">
        <f t="shared" ca="1" si="72"/>
        <v>2.4829400000000001</v>
      </c>
      <c r="G2451" s="10">
        <f t="shared" ca="1" si="73"/>
        <v>0</v>
      </c>
      <c r="H2451" s="12">
        <f t="shared" ca="1" si="74"/>
        <v>0</v>
      </c>
      <c r="I2451" s="11">
        <f t="shared" ca="1" si="75"/>
        <v>0</v>
      </c>
      <c r="J2451" s="11">
        <f t="shared" ca="1" si="76"/>
        <v>0</v>
      </c>
      <c r="K2451" s="10" t="str">
        <f t="shared" ca="1" si="64"/>
        <v/>
      </c>
      <c r="L2451" s="11" t="str">
        <f t="shared" ca="1" si="65"/>
        <v/>
      </c>
      <c r="M2451" s="11" t="str">
        <f t="shared" ca="1" si="66"/>
        <v/>
      </c>
      <c r="N2451" s="15" t="str">
        <f t="shared" ca="1" si="67"/>
        <v/>
      </c>
      <c r="O2451" s="15" t="str">
        <f t="shared" ca="1" si="68"/>
        <v/>
      </c>
      <c r="P2451" s="16" t="str">
        <f t="shared" ca="1" si="69"/>
        <v/>
      </c>
      <c r="Q2451" s="11" t="str">
        <f t="shared" ref="Q2451:Q2514" ca="1" si="77">+IF(ISNUMBER(T2451),B2451,"")</f>
        <v/>
      </c>
      <c r="R2451" s="11" t="str">
        <f t="shared" ref="R2451:R2514" ca="1" si="78">+IF(ISNUMBER(U2451),C2451,"")</f>
        <v/>
      </c>
      <c r="S2451" s="61" t="str">
        <f t="shared" ref="S2451:S2514" ca="1" si="79">+IF(ISNUMBER(T2451),D2451,"")</f>
        <v/>
      </c>
      <c r="T2451" s="11" t="str">
        <f t="shared" ref="T2451:T2514" ca="1" si="80">+IF(AND(ISNUMBER(N2450),NOT(ISNUMBER(N2451))),N2450,"")</f>
        <v/>
      </c>
      <c r="U2451" s="11" t="str">
        <f t="shared" ref="U2451:U2514" ca="1" si="81">+IF(AND(ISNUMBER(O2450),NOT(ISNUMBER(O2451))),O2450,"")</f>
        <v/>
      </c>
      <c r="V2451" s="18" t="str">
        <f t="shared" ref="V2451:V2514" ca="1" si="82">+IFERROR(T2451*(K2450-Q2451),"")</f>
        <v/>
      </c>
      <c r="W2451" s="61" t="str">
        <f t="shared" ref="W2451:W2514" ca="1" si="83">+IFERROR(U2451*(L2450+R2451),"")</f>
        <v/>
      </c>
      <c r="X2451" s="61">
        <f t="shared" ref="X2451:X2514" ca="1" si="84">+IFERROR(SUM(V2451:W2451),"")</f>
        <v>0</v>
      </c>
      <c r="Y2451" s="64" t="str">
        <f t="shared" ref="Y2451:Y2514" ca="1" si="85">IFERROR(+X2451/ABS(R2451*U2451),"")</f>
        <v/>
      </c>
    </row>
    <row r="2452" spans="1:25">
      <c r="A2452" s="2">
        <f>+Get_Data!A2451</f>
        <v>42999</v>
      </c>
      <c r="B2452">
        <f>+ROUND(Get_Data!B2451,5)</f>
        <v>103.04581</v>
      </c>
      <c r="C2452">
        <f>+ROUND(Get_Data!C2451,5)</f>
        <v>41.112520000000004</v>
      </c>
      <c r="D2452" s="4">
        <f t="shared" si="70"/>
        <v>2.5064299999999999</v>
      </c>
      <c r="E2452" s="22">
        <f t="shared" ca="1" si="71"/>
        <v>2.6141399999999999</v>
      </c>
      <c r="F2452" s="23">
        <f t="shared" ca="1" si="72"/>
        <v>2.4829400000000001</v>
      </c>
      <c r="G2452" s="10">
        <f t="shared" ca="1" si="73"/>
        <v>0</v>
      </c>
      <c r="H2452" s="12">
        <f t="shared" ca="1" si="74"/>
        <v>0</v>
      </c>
      <c r="I2452" s="11">
        <f t="shared" ca="1" si="75"/>
        <v>0</v>
      </c>
      <c r="J2452" s="11">
        <f t="shared" ca="1" si="76"/>
        <v>0</v>
      </c>
      <c r="K2452" s="10" t="str">
        <f t="shared" ca="1" si="64"/>
        <v/>
      </c>
      <c r="L2452" s="11" t="str">
        <f t="shared" ca="1" si="65"/>
        <v/>
      </c>
      <c r="M2452" s="11" t="str">
        <f t="shared" ca="1" si="66"/>
        <v/>
      </c>
      <c r="N2452" s="15" t="str">
        <f t="shared" ca="1" si="67"/>
        <v/>
      </c>
      <c r="O2452" s="15" t="str">
        <f t="shared" ca="1" si="68"/>
        <v/>
      </c>
      <c r="P2452" s="16" t="str">
        <f t="shared" ca="1" si="69"/>
        <v/>
      </c>
      <c r="Q2452" s="11" t="str">
        <f t="shared" ca="1" si="77"/>
        <v/>
      </c>
      <c r="R2452" s="11" t="str">
        <f t="shared" ca="1" si="78"/>
        <v/>
      </c>
      <c r="S2452" s="61" t="str">
        <f t="shared" ca="1" si="79"/>
        <v/>
      </c>
      <c r="T2452" s="11" t="str">
        <f t="shared" ca="1" si="80"/>
        <v/>
      </c>
      <c r="U2452" s="11" t="str">
        <f t="shared" ca="1" si="81"/>
        <v/>
      </c>
      <c r="V2452" s="18" t="str">
        <f t="shared" ca="1" si="82"/>
        <v/>
      </c>
      <c r="W2452" s="61" t="str">
        <f t="shared" ca="1" si="83"/>
        <v/>
      </c>
      <c r="X2452" s="61">
        <f t="shared" ca="1" si="84"/>
        <v>0</v>
      </c>
      <c r="Y2452" s="64" t="str">
        <f t="shared" ca="1" si="85"/>
        <v/>
      </c>
    </row>
    <row r="2453" spans="1:25">
      <c r="A2453" s="2">
        <f>+Get_Data!A2452</f>
        <v>43000</v>
      </c>
      <c r="B2453">
        <f>+ROUND(Get_Data!B2452,5)</f>
        <v>102.17796</v>
      </c>
      <c r="C2453">
        <f>+ROUND(Get_Data!C2452,5)</f>
        <v>41.194020000000002</v>
      </c>
      <c r="D2453" s="4">
        <f t="shared" si="70"/>
        <v>2.48041</v>
      </c>
      <c r="E2453" s="22">
        <f t="shared" ca="1" si="71"/>
        <v>2.6141399999999999</v>
      </c>
      <c r="F2453" s="23">
        <f t="shared" ca="1" si="72"/>
        <v>2.48041</v>
      </c>
      <c r="G2453" s="10">
        <f t="shared" ca="1" si="73"/>
        <v>0</v>
      </c>
      <c r="H2453" s="12">
        <f t="shared" ca="1" si="74"/>
        <v>1</v>
      </c>
      <c r="I2453" s="11">
        <f t="shared" ca="1" si="75"/>
        <v>-1</v>
      </c>
      <c r="J2453" s="11">
        <f t="shared" ca="1" si="76"/>
        <v>-1</v>
      </c>
      <c r="K2453" s="10" t="str">
        <f t="shared" ca="1" si="64"/>
        <v/>
      </c>
      <c r="L2453" s="11" t="str">
        <f t="shared" ca="1" si="65"/>
        <v/>
      </c>
      <c r="M2453" s="11" t="str">
        <f t="shared" ca="1" si="66"/>
        <v/>
      </c>
      <c r="N2453" s="15" t="str">
        <f t="shared" ca="1" si="67"/>
        <v/>
      </c>
      <c r="O2453" s="15" t="str">
        <f t="shared" ca="1" si="68"/>
        <v/>
      </c>
      <c r="P2453" s="16" t="str">
        <f t="shared" ca="1" si="69"/>
        <v/>
      </c>
      <c r="Q2453" s="11" t="str">
        <f t="shared" ca="1" si="77"/>
        <v/>
      </c>
      <c r="R2453" s="11" t="str">
        <f t="shared" ca="1" si="78"/>
        <v/>
      </c>
      <c r="S2453" s="61" t="str">
        <f t="shared" ca="1" si="79"/>
        <v/>
      </c>
      <c r="T2453" s="11" t="str">
        <f t="shared" ca="1" si="80"/>
        <v/>
      </c>
      <c r="U2453" s="11" t="str">
        <f t="shared" ca="1" si="81"/>
        <v/>
      </c>
      <c r="V2453" s="18" t="str">
        <f t="shared" ca="1" si="82"/>
        <v/>
      </c>
      <c r="W2453" s="61" t="str">
        <f t="shared" ca="1" si="83"/>
        <v/>
      </c>
      <c r="X2453" s="61">
        <f t="shared" ca="1" si="84"/>
        <v>0</v>
      </c>
      <c r="Y2453" s="64" t="str">
        <f t="shared" ca="1" si="85"/>
        <v/>
      </c>
    </row>
    <row r="2454" spans="1:25">
      <c r="A2454" s="2">
        <f>+Get_Data!A2453</f>
        <v>43003</v>
      </c>
      <c r="B2454">
        <f>+ROUND(Get_Data!B2453,5)</f>
        <v>102.26017</v>
      </c>
      <c r="C2454">
        <f>+ROUND(Get_Data!C2453,5)</f>
        <v>41.375129999999999</v>
      </c>
      <c r="D2454" s="4">
        <f t="shared" si="70"/>
        <v>2.4715400000000001</v>
      </c>
      <c r="E2454" s="22">
        <f t="shared" ca="1" si="71"/>
        <v>2.6141399999999999</v>
      </c>
      <c r="F2454" s="23">
        <f t="shared" ca="1" si="72"/>
        <v>2.4715400000000001</v>
      </c>
      <c r="G2454" s="10">
        <f t="shared" ca="1" si="73"/>
        <v>0</v>
      </c>
      <c r="H2454" s="12">
        <f t="shared" ca="1" si="74"/>
        <v>1</v>
      </c>
      <c r="I2454" s="11">
        <f t="shared" ca="1" si="75"/>
        <v>-1</v>
      </c>
      <c r="J2454" s="11">
        <f t="shared" ca="1" si="76"/>
        <v>-2</v>
      </c>
      <c r="K2454" s="10">
        <f t="shared" ca="1" si="64"/>
        <v>102.26017</v>
      </c>
      <c r="L2454" s="11">
        <f t="shared" ca="1" si="65"/>
        <v>-41.375129999999999</v>
      </c>
      <c r="M2454" s="11">
        <f t="shared" ca="1" si="66"/>
        <v>2.4715400000000001</v>
      </c>
      <c r="N2454" s="15">
        <f t="shared" ca="1" si="67"/>
        <v>10</v>
      </c>
      <c r="O2454" s="15">
        <f t="shared" ca="1" si="68"/>
        <v>25</v>
      </c>
      <c r="P2454" s="16">
        <f t="shared" ca="1" si="69"/>
        <v>-11.776549999999929</v>
      </c>
      <c r="Q2454" s="11" t="str">
        <f t="shared" ca="1" si="77"/>
        <v/>
      </c>
      <c r="R2454" s="11" t="str">
        <f t="shared" ca="1" si="78"/>
        <v/>
      </c>
      <c r="S2454" s="61" t="str">
        <f t="shared" ca="1" si="79"/>
        <v/>
      </c>
      <c r="T2454" s="11" t="str">
        <f t="shared" ca="1" si="80"/>
        <v/>
      </c>
      <c r="U2454" s="11" t="str">
        <f t="shared" ca="1" si="81"/>
        <v/>
      </c>
      <c r="V2454" s="18" t="str">
        <f t="shared" ca="1" si="82"/>
        <v/>
      </c>
      <c r="W2454" s="61" t="str">
        <f t="shared" ca="1" si="83"/>
        <v/>
      </c>
      <c r="X2454" s="61">
        <f t="shared" ca="1" si="84"/>
        <v>0</v>
      </c>
      <c r="Y2454" s="64" t="str">
        <f t="shared" ca="1" si="85"/>
        <v/>
      </c>
    </row>
    <row r="2455" spans="1:25">
      <c r="A2455" s="2">
        <f>+Get_Data!A2454</f>
        <v>43004</v>
      </c>
      <c r="B2455">
        <f>+ROUND(Get_Data!B2454,5)</f>
        <v>102.1414</v>
      </c>
      <c r="C2455">
        <f>+ROUND(Get_Data!C2454,5)</f>
        <v>41.266460000000002</v>
      </c>
      <c r="D2455" s="4">
        <f t="shared" si="70"/>
        <v>2.4751699999999999</v>
      </c>
      <c r="E2455" s="22">
        <f t="shared" ca="1" si="71"/>
        <v>2.6111900000000001</v>
      </c>
      <c r="F2455" s="23">
        <f t="shared" ca="1" si="72"/>
        <v>2.4715400000000001</v>
      </c>
      <c r="G2455" s="10">
        <f t="shared" ca="1" si="73"/>
        <v>0</v>
      </c>
      <c r="H2455" s="12">
        <f t="shared" ca="1" si="74"/>
        <v>0</v>
      </c>
      <c r="I2455" s="11">
        <f t="shared" ca="1" si="75"/>
        <v>0</v>
      </c>
      <c r="J2455" s="11">
        <f t="shared" ca="1" si="76"/>
        <v>-2</v>
      </c>
      <c r="K2455" s="10">
        <f t="shared" ca="1" si="64"/>
        <v>102.26017</v>
      </c>
      <c r="L2455" s="11">
        <f t="shared" ca="1" si="65"/>
        <v>-41.375129999999999</v>
      </c>
      <c r="M2455" s="11">
        <f t="shared" ca="1" si="66"/>
        <v>2.4715400000000001</v>
      </c>
      <c r="N2455" s="15">
        <f t="shared" ca="1" si="67"/>
        <v>10</v>
      </c>
      <c r="O2455" s="15">
        <f t="shared" ca="1" si="68"/>
        <v>25</v>
      </c>
      <c r="P2455" s="16">
        <f t="shared" ca="1" si="69"/>
        <v>-11.776549999999929</v>
      </c>
      <c r="Q2455" s="11" t="str">
        <f t="shared" ca="1" si="77"/>
        <v/>
      </c>
      <c r="R2455" s="11" t="str">
        <f t="shared" ca="1" si="78"/>
        <v/>
      </c>
      <c r="S2455" s="61" t="str">
        <f t="shared" ca="1" si="79"/>
        <v/>
      </c>
      <c r="T2455" s="11" t="str">
        <f t="shared" ca="1" si="80"/>
        <v/>
      </c>
      <c r="U2455" s="11" t="str">
        <f t="shared" ca="1" si="81"/>
        <v/>
      </c>
      <c r="V2455" s="18" t="str">
        <f t="shared" ca="1" si="82"/>
        <v/>
      </c>
      <c r="W2455" s="61" t="str">
        <f t="shared" ca="1" si="83"/>
        <v/>
      </c>
      <c r="X2455" s="61">
        <f t="shared" ca="1" si="84"/>
        <v>0</v>
      </c>
      <c r="Y2455" s="64" t="str">
        <f t="shared" ca="1" si="85"/>
        <v/>
      </c>
    </row>
    <row r="2456" spans="1:25">
      <c r="A2456" s="2">
        <f>+Get_Data!A2455</f>
        <v>43005</v>
      </c>
      <c r="B2456">
        <f>+ROUND(Get_Data!B2455,5)</f>
        <v>101.49281000000001</v>
      </c>
      <c r="C2456">
        <f>+ROUND(Get_Data!C2455,5)</f>
        <v>40.424289999999999</v>
      </c>
      <c r="D2456" s="4">
        <f t="shared" si="70"/>
        <v>2.5106899999999999</v>
      </c>
      <c r="E2456" s="22">
        <f t="shared" ca="1" si="71"/>
        <v>2.60066</v>
      </c>
      <c r="F2456" s="23">
        <f t="shared" ca="1" si="72"/>
        <v>2.4715400000000001</v>
      </c>
      <c r="G2456" s="10">
        <f t="shared" ca="1" si="73"/>
        <v>0</v>
      </c>
      <c r="H2456" s="12">
        <f t="shared" ca="1" si="74"/>
        <v>0</v>
      </c>
      <c r="I2456" s="11">
        <f t="shared" ca="1" si="75"/>
        <v>0</v>
      </c>
      <c r="J2456" s="11">
        <f t="shared" ca="1" si="76"/>
        <v>-2</v>
      </c>
      <c r="K2456" s="10">
        <f t="shared" ca="1" si="64"/>
        <v>102.26017</v>
      </c>
      <c r="L2456" s="11">
        <f t="shared" ca="1" si="65"/>
        <v>-41.375129999999999</v>
      </c>
      <c r="M2456" s="11">
        <f t="shared" ca="1" si="66"/>
        <v>2.4715400000000001</v>
      </c>
      <c r="N2456" s="15">
        <f t="shared" ca="1" si="67"/>
        <v>10</v>
      </c>
      <c r="O2456" s="15">
        <f t="shared" ca="1" si="68"/>
        <v>25</v>
      </c>
      <c r="P2456" s="16">
        <f t="shared" ca="1" si="69"/>
        <v>-11.776549999999929</v>
      </c>
      <c r="Q2456" s="11" t="str">
        <f t="shared" ca="1" si="77"/>
        <v/>
      </c>
      <c r="R2456" s="11" t="str">
        <f t="shared" ca="1" si="78"/>
        <v/>
      </c>
      <c r="S2456" s="61" t="str">
        <f t="shared" ca="1" si="79"/>
        <v/>
      </c>
      <c r="T2456" s="11" t="str">
        <f t="shared" ca="1" si="80"/>
        <v/>
      </c>
      <c r="U2456" s="11" t="str">
        <f t="shared" ca="1" si="81"/>
        <v/>
      </c>
      <c r="V2456" s="18" t="str">
        <f t="shared" ca="1" si="82"/>
        <v/>
      </c>
      <c r="W2456" s="61" t="str">
        <f t="shared" ca="1" si="83"/>
        <v/>
      </c>
      <c r="X2456" s="61">
        <f t="shared" ca="1" si="84"/>
        <v>0</v>
      </c>
      <c r="Y2456" s="64" t="str">
        <f t="shared" ca="1" si="85"/>
        <v/>
      </c>
    </row>
    <row r="2457" spans="1:25">
      <c r="A2457" s="2">
        <f>+Get_Data!A2456</f>
        <v>43006</v>
      </c>
      <c r="B2457">
        <f>+ROUND(Get_Data!B2456,5)</f>
        <v>101.98612</v>
      </c>
      <c r="C2457">
        <f>+ROUND(Get_Data!C2456,5)</f>
        <v>40.668790000000001</v>
      </c>
      <c r="D2457" s="4">
        <f t="shared" si="70"/>
        <v>2.5077199999999999</v>
      </c>
      <c r="E2457" s="22">
        <f t="shared" ca="1" si="71"/>
        <v>2.58432</v>
      </c>
      <c r="F2457" s="23">
        <f t="shared" ca="1" si="72"/>
        <v>2.4715400000000001</v>
      </c>
      <c r="G2457" s="10">
        <f t="shared" ca="1" si="73"/>
        <v>0</v>
      </c>
      <c r="H2457" s="12">
        <f t="shared" ca="1" si="74"/>
        <v>0</v>
      </c>
      <c r="I2457" s="11">
        <f t="shared" ca="1" si="75"/>
        <v>0</v>
      </c>
      <c r="J2457" s="11">
        <f t="shared" ca="1" si="76"/>
        <v>-2</v>
      </c>
      <c r="K2457" s="10">
        <f t="shared" ca="1" si="64"/>
        <v>102.26017</v>
      </c>
      <c r="L2457" s="11">
        <f t="shared" ca="1" si="65"/>
        <v>-41.375129999999999</v>
      </c>
      <c r="M2457" s="11">
        <f t="shared" ca="1" si="66"/>
        <v>2.4715400000000001</v>
      </c>
      <c r="N2457" s="15">
        <f t="shared" ca="1" si="67"/>
        <v>10</v>
      </c>
      <c r="O2457" s="15">
        <f t="shared" ca="1" si="68"/>
        <v>25</v>
      </c>
      <c r="P2457" s="16">
        <f t="shared" ca="1" si="69"/>
        <v>-11.776549999999929</v>
      </c>
      <c r="Q2457" s="11" t="str">
        <f t="shared" ca="1" si="77"/>
        <v/>
      </c>
      <c r="R2457" s="11" t="str">
        <f t="shared" ca="1" si="78"/>
        <v/>
      </c>
      <c r="S2457" s="61" t="str">
        <f t="shared" ca="1" si="79"/>
        <v/>
      </c>
      <c r="T2457" s="11" t="str">
        <f t="shared" ca="1" si="80"/>
        <v/>
      </c>
      <c r="U2457" s="11" t="str">
        <f t="shared" ca="1" si="81"/>
        <v/>
      </c>
      <c r="V2457" s="18" t="str">
        <f t="shared" ca="1" si="82"/>
        <v/>
      </c>
      <c r="W2457" s="61" t="str">
        <f t="shared" ca="1" si="83"/>
        <v/>
      </c>
      <c r="X2457" s="61">
        <f t="shared" ca="1" si="84"/>
        <v>0</v>
      </c>
      <c r="Y2457" s="64" t="str">
        <f t="shared" ca="1" si="85"/>
        <v/>
      </c>
    </row>
    <row r="2458" spans="1:25">
      <c r="A2458" s="2">
        <f>+Get_Data!A2457</f>
        <v>43007</v>
      </c>
      <c r="B2458">
        <f>+ROUND(Get_Data!B2457,5)</f>
        <v>101.79427</v>
      </c>
      <c r="C2458">
        <f>+ROUND(Get_Data!C2457,5)</f>
        <v>40.759349999999998</v>
      </c>
      <c r="D2458" s="4">
        <f t="shared" si="70"/>
        <v>2.4974500000000002</v>
      </c>
      <c r="E2458" s="22">
        <f t="shared" ca="1" si="71"/>
        <v>2.5834600000000001</v>
      </c>
      <c r="F2458" s="23">
        <f t="shared" ca="1" si="72"/>
        <v>2.4715400000000001</v>
      </c>
      <c r="G2458" s="10">
        <f t="shared" ca="1" si="73"/>
        <v>0</v>
      </c>
      <c r="H2458" s="12">
        <f t="shared" ca="1" si="74"/>
        <v>0</v>
      </c>
      <c r="I2458" s="11">
        <f t="shared" ca="1" si="75"/>
        <v>0</v>
      </c>
      <c r="J2458" s="11">
        <f t="shared" ca="1" si="76"/>
        <v>-2</v>
      </c>
      <c r="K2458" s="10">
        <f t="shared" ref="K2458:K2521" ca="1" si="86">+IF($J2457=0,"",IF(AND(ABS($J2457)=1,ABS($I2457)=1),-$J2457*B2458,K2457))</f>
        <v>102.26017</v>
      </c>
      <c r="L2458" s="11">
        <f t="shared" ref="L2458:L2521" ca="1" si="87">+IF($J2457=0,"",IF(AND(ABS($J2457)=1,ABS($I2457)=1),$J2457*C2458,L2457))</f>
        <v>-41.375129999999999</v>
      </c>
      <c r="M2458" s="11">
        <f t="shared" ref="M2458:M2521" ca="1" si="88">+IF($J2457=0,"",IF(AND(ABS($J2457)=1,ABS($I2457)=1),D2458,M2457))</f>
        <v>2.4715400000000001</v>
      </c>
      <c r="N2458" s="15">
        <f t="shared" ref="N2458:N2521" ca="1" si="89">+IF(ISNUMBER(K2458),stocks,"")</f>
        <v>10</v>
      </c>
      <c r="O2458" s="15">
        <f t="shared" ref="O2458:O2521" ca="1" si="90">+IFERROR(ROUND(N2458*M2458,0),"")</f>
        <v>25</v>
      </c>
      <c r="P2458" s="16">
        <f t="shared" ref="P2458:P2521" ca="1" si="91">IFERROR(+N2458*K2458+O2458*L2458,"")</f>
        <v>-11.776549999999929</v>
      </c>
      <c r="Q2458" s="11" t="str">
        <f t="shared" ca="1" si="77"/>
        <v/>
      </c>
      <c r="R2458" s="11" t="str">
        <f t="shared" ca="1" si="78"/>
        <v/>
      </c>
      <c r="S2458" s="61" t="str">
        <f t="shared" ca="1" si="79"/>
        <v/>
      </c>
      <c r="T2458" s="11" t="str">
        <f t="shared" ca="1" si="80"/>
        <v/>
      </c>
      <c r="U2458" s="11" t="str">
        <f t="shared" ca="1" si="81"/>
        <v/>
      </c>
      <c r="V2458" s="18" t="str">
        <f t="shared" ca="1" si="82"/>
        <v/>
      </c>
      <c r="W2458" s="61" t="str">
        <f t="shared" ca="1" si="83"/>
        <v/>
      </c>
      <c r="X2458" s="61">
        <f t="shared" ca="1" si="84"/>
        <v>0</v>
      </c>
      <c r="Y2458" s="64" t="str">
        <f t="shared" ca="1" si="85"/>
        <v/>
      </c>
    </row>
    <row r="2459" spans="1:25">
      <c r="A2459" s="2">
        <f>+Get_Data!A2458</f>
        <v>43010</v>
      </c>
      <c r="B2459">
        <f>+ROUND(Get_Data!B2458,5)</f>
        <v>99.684020000000004</v>
      </c>
      <c r="C2459">
        <f>+ROUND(Get_Data!C2458,5)</f>
        <v>40.569180000000003</v>
      </c>
      <c r="D2459" s="4">
        <f t="shared" si="70"/>
        <v>2.4571399999999999</v>
      </c>
      <c r="E2459" s="22">
        <f t="shared" ca="1" si="71"/>
        <v>2.5834600000000001</v>
      </c>
      <c r="F2459" s="23">
        <f t="shared" ca="1" si="72"/>
        <v>2.4571399999999999</v>
      </c>
      <c r="G2459" s="10">
        <f t="shared" ca="1" si="73"/>
        <v>0</v>
      </c>
      <c r="H2459" s="12">
        <f t="shared" ca="1" si="74"/>
        <v>1</v>
      </c>
      <c r="I2459" s="11">
        <f t="shared" ca="1" si="75"/>
        <v>-1</v>
      </c>
      <c r="J2459" s="11">
        <f t="shared" ca="1" si="76"/>
        <v>0</v>
      </c>
      <c r="K2459" s="10">
        <f t="shared" ca="1" si="86"/>
        <v>102.26017</v>
      </c>
      <c r="L2459" s="11">
        <f t="shared" ca="1" si="87"/>
        <v>-41.375129999999999</v>
      </c>
      <c r="M2459" s="11">
        <f t="shared" ca="1" si="88"/>
        <v>2.4715400000000001</v>
      </c>
      <c r="N2459" s="15">
        <f t="shared" ca="1" si="89"/>
        <v>10</v>
      </c>
      <c r="O2459" s="15">
        <f t="shared" ca="1" si="90"/>
        <v>25</v>
      </c>
      <c r="P2459" s="16">
        <f t="shared" ca="1" si="91"/>
        <v>-11.776549999999929</v>
      </c>
      <c r="Q2459" s="11" t="str">
        <f t="shared" ca="1" si="77"/>
        <v/>
      </c>
      <c r="R2459" s="11" t="str">
        <f t="shared" ca="1" si="78"/>
        <v/>
      </c>
      <c r="S2459" s="61" t="str">
        <f t="shared" ca="1" si="79"/>
        <v/>
      </c>
      <c r="T2459" s="11" t="str">
        <f t="shared" ca="1" si="80"/>
        <v/>
      </c>
      <c r="U2459" s="11" t="str">
        <f t="shared" ca="1" si="81"/>
        <v/>
      </c>
      <c r="V2459" s="18" t="str">
        <f t="shared" ca="1" si="82"/>
        <v/>
      </c>
      <c r="W2459" s="61" t="str">
        <f t="shared" ca="1" si="83"/>
        <v/>
      </c>
      <c r="X2459" s="61">
        <f t="shared" ca="1" si="84"/>
        <v>0</v>
      </c>
      <c r="Y2459" s="64" t="str">
        <f t="shared" ca="1" si="85"/>
        <v/>
      </c>
    </row>
    <row r="2460" spans="1:25">
      <c r="A2460" s="2">
        <f>+Get_Data!A2459</f>
        <v>43011</v>
      </c>
      <c r="B2460">
        <f>+ROUND(Get_Data!B2459,5)</f>
        <v>99.693150000000003</v>
      </c>
      <c r="C2460">
        <f>+ROUND(Get_Data!C2459,5)</f>
        <v>40.922350000000002</v>
      </c>
      <c r="D2460" s="4">
        <f t="shared" si="70"/>
        <v>2.43615</v>
      </c>
      <c r="E2460" s="22">
        <f t="shared" ca="1" si="71"/>
        <v>2.5834600000000001</v>
      </c>
      <c r="F2460" s="23">
        <f t="shared" ca="1" si="72"/>
        <v>2.43615</v>
      </c>
      <c r="G2460" s="10">
        <f t="shared" ca="1" si="73"/>
        <v>0</v>
      </c>
      <c r="H2460" s="12">
        <f t="shared" ca="1" si="74"/>
        <v>1</v>
      </c>
      <c r="I2460" s="11">
        <f t="shared" ca="1" si="75"/>
        <v>-1</v>
      </c>
      <c r="J2460" s="11">
        <f t="shared" ca="1" si="76"/>
        <v>-1</v>
      </c>
      <c r="K2460" s="10" t="str">
        <f t="shared" ca="1" si="86"/>
        <v/>
      </c>
      <c r="L2460" s="11" t="str">
        <f t="shared" ca="1" si="87"/>
        <v/>
      </c>
      <c r="M2460" s="11" t="str">
        <f t="shared" ca="1" si="88"/>
        <v/>
      </c>
      <c r="N2460" s="15" t="str">
        <f t="shared" ca="1" si="89"/>
        <v/>
      </c>
      <c r="O2460" s="15" t="str">
        <f t="shared" ca="1" si="90"/>
        <v/>
      </c>
      <c r="P2460" s="16" t="str">
        <f t="shared" ca="1" si="91"/>
        <v/>
      </c>
      <c r="Q2460" s="11">
        <f t="shared" ca="1" si="77"/>
        <v>99.693150000000003</v>
      </c>
      <c r="R2460" s="11">
        <f t="shared" ca="1" si="78"/>
        <v>40.922350000000002</v>
      </c>
      <c r="S2460" s="61">
        <f t="shared" ca="1" si="79"/>
        <v>2.43615</v>
      </c>
      <c r="T2460" s="11">
        <f t="shared" ca="1" si="80"/>
        <v>10</v>
      </c>
      <c r="U2460" s="11">
        <f t="shared" ca="1" si="81"/>
        <v>25</v>
      </c>
      <c r="V2460" s="18">
        <f t="shared" ca="1" si="82"/>
        <v>25.670199999999994</v>
      </c>
      <c r="W2460" s="61">
        <f t="shared" ca="1" si="83"/>
        <v>-11.319499999999927</v>
      </c>
      <c r="X2460" s="61">
        <f t="shared" ca="1" si="84"/>
        <v>14.350700000000067</v>
      </c>
      <c r="Y2460" s="64">
        <f t="shared" ca="1" si="85"/>
        <v>1.402724916824187E-2</v>
      </c>
    </row>
    <row r="2461" spans="1:25">
      <c r="A2461" s="2">
        <f>+Get_Data!A2460</f>
        <v>43012</v>
      </c>
      <c r="B2461">
        <f>+ROUND(Get_Data!B2460,5)</f>
        <v>99.885009999999994</v>
      </c>
      <c r="C2461">
        <f>+ROUND(Get_Data!C2460,5)</f>
        <v>41.20308</v>
      </c>
      <c r="D2461" s="4">
        <f t="shared" si="70"/>
        <v>2.42421</v>
      </c>
      <c r="E2461" s="22">
        <f t="shared" ca="1" si="71"/>
        <v>2.5834600000000001</v>
      </c>
      <c r="F2461" s="23">
        <f t="shared" ca="1" si="72"/>
        <v>2.42421</v>
      </c>
      <c r="G2461" s="10">
        <f t="shared" ca="1" si="73"/>
        <v>0</v>
      </c>
      <c r="H2461" s="12">
        <f t="shared" ca="1" si="74"/>
        <v>1</v>
      </c>
      <c r="I2461" s="11">
        <f t="shared" ca="1" si="75"/>
        <v>-1</v>
      </c>
      <c r="J2461" s="11">
        <f t="shared" ca="1" si="76"/>
        <v>-2</v>
      </c>
      <c r="K2461" s="10">
        <f t="shared" ca="1" si="86"/>
        <v>99.885009999999994</v>
      </c>
      <c r="L2461" s="11">
        <f t="shared" ca="1" si="87"/>
        <v>-41.20308</v>
      </c>
      <c r="M2461" s="11">
        <f t="shared" ca="1" si="88"/>
        <v>2.42421</v>
      </c>
      <c r="N2461" s="15">
        <f t="shared" ca="1" si="89"/>
        <v>10</v>
      </c>
      <c r="O2461" s="15">
        <f t="shared" ca="1" si="90"/>
        <v>24</v>
      </c>
      <c r="P2461" s="16">
        <f t="shared" ca="1" si="91"/>
        <v>9.9761799999998857</v>
      </c>
      <c r="Q2461" s="11" t="str">
        <f t="shared" ca="1" si="77"/>
        <v/>
      </c>
      <c r="R2461" s="11" t="str">
        <f t="shared" ca="1" si="78"/>
        <v/>
      </c>
      <c r="S2461" s="61" t="str">
        <f t="shared" ca="1" si="79"/>
        <v/>
      </c>
      <c r="T2461" s="11" t="str">
        <f t="shared" ca="1" si="80"/>
        <v/>
      </c>
      <c r="U2461" s="11" t="str">
        <f t="shared" ca="1" si="81"/>
        <v/>
      </c>
      <c r="V2461" s="18" t="str">
        <f t="shared" ca="1" si="82"/>
        <v/>
      </c>
      <c r="W2461" s="61" t="str">
        <f t="shared" ca="1" si="83"/>
        <v/>
      </c>
      <c r="X2461" s="61">
        <f t="shared" ca="1" si="84"/>
        <v>0</v>
      </c>
      <c r="Y2461" s="64" t="str">
        <f t="shared" ca="1" si="85"/>
        <v/>
      </c>
    </row>
    <row r="2462" spans="1:25">
      <c r="A2462" s="2">
        <f>+Get_Data!A2461</f>
        <v>43013</v>
      </c>
      <c r="B2462">
        <f>+ROUND(Get_Data!B2461,5)</f>
        <v>100.899</v>
      </c>
      <c r="C2462">
        <f>+ROUND(Get_Data!C2461,5)</f>
        <v>41.221179999999997</v>
      </c>
      <c r="D2462" s="4">
        <f t="shared" si="70"/>
        <v>2.4477500000000001</v>
      </c>
      <c r="E2462" s="22">
        <f t="shared" ca="1" si="71"/>
        <v>2.5834600000000001</v>
      </c>
      <c r="F2462" s="23">
        <f t="shared" ca="1" si="72"/>
        <v>2.42421</v>
      </c>
      <c r="G2462" s="10">
        <f t="shared" ca="1" si="73"/>
        <v>0</v>
      </c>
      <c r="H2462" s="12">
        <f t="shared" ca="1" si="74"/>
        <v>0</v>
      </c>
      <c r="I2462" s="11">
        <f t="shared" ca="1" si="75"/>
        <v>0</v>
      </c>
      <c r="J2462" s="11">
        <f t="shared" ca="1" si="76"/>
        <v>-2</v>
      </c>
      <c r="K2462" s="10">
        <f t="shared" ca="1" si="86"/>
        <v>99.885009999999994</v>
      </c>
      <c r="L2462" s="11">
        <f t="shared" ca="1" si="87"/>
        <v>-41.20308</v>
      </c>
      <c r="M2462" s="11">
        <f t="shared" ca="1" si="88"/>
        <v>2.42421</v>
      </c>
      <c r="N2462" s="15">
        <f t="shared" ca="1" si="89"/>
        <v>10</v>
      </c>
      <c r="O2462" s="15">
        <f t="shared" ca="1" si="90"/>
        <v>24</v>
      </c>
      <c r="P2462" s="16">
        <f t="shared" ca="1" si="91"/>
        <v>9.9761799999998857</v>
      </c>
      <c r="Q2462" s="11" t="str">
        <f t="shared" ca="1" si="77"/>
        <v/>
      </c>
      <c r="R2462" s="11" t="str">
        <f t="shared" ca="1" si="78"/>
        <v/>
      </c>
      <c r="S2462" s="61" t="str">
        <f t="shared" ca="1" si="79"/>
        <v/>
      </c>
      <c r="T2462" s="11" t="str">
        <f t="shared" ca="1" si="80"/>
        <v/>
      </c>
      <c r="U2462" s="11" t="str">
        <f t="shared" ca="1" si="81"/>
        <v/>
      </c>
      <c r="V2462" s="18" t="str">
        <f t="shared" ca="1" si="82"/>
        <v/>
      </c>
      <c r="W2462" s="61" t="str">
        <f t="shared" ca="1" si="83"/>
        <v/>
      </c>
      <c r="X2462" s="61">
        <f t="shared" ca="1" si="84"/>
        <v>0</v>
      </c>
      <c r="Y2462" s="64" t="str">
        <f t="shared" ca="1" si="85"/>
        <v/>
      </c>
    </row>
    <row r="2463" spans="1:25">
      <c r="A2463" s="2">
        <f>+Get_Data!A2462</f>
        <v>43014</v>
      </c>
      <c r="B2463">
        <f>+ROUND(Get_Data!B2462,5)</f>
        <v>100.85334</v>
      </c>
      <c r="C2463">
        <f>+ROUND(Get_Data!C2462,5)</f>
        <v>41.194020000000002</v>
      </c>
      <c r="D2463" s="4">
        <f t="shared" si="70"/>
        <v>2.4482499999999998</v>
      </c>
      <c r="E2463" s="22">
        <f t="shared" ca="1" si="71"/>
        <v>2.5741399999999999</v>
      </c>
      <c r="F2463" s="23">
        <f t="shared" ca="1" si="72"/>
        <v>2.42421</v>
      </c>
      <c r="G2463" s="10">
        <f t="shared" ca="1" si="73"/>
        <v>0</v>
      </c>
      <c r="H2463" s="12">
        <f t="shared" ca="1" si="74"/>
        <v>0</v>
      </c>
      <c r="I2463" s="11">
        <f t="shared" ca="1" si="75"/>
        <v>0</v>
      </c>
      <c r="J2463" s="11">
        <f t="shared" ca="1" si="76"/>
        <v>-2</v>
      </c>
      <c r="K2463" s="10">
        <f t="shared" ca="1" si="86"/>
        <v>99.885009999999994</v>
      </c>
      <c r="L2463" s="11">
        <f t="shared" ca="1" si="87"/>
        <v>-41.20308</v>
      </c>
      <c r="M2463" s="11">
        <f t="shared" ca="1" si="88"/>
        <v>2.42421</v>
      </c>
      <c r="N2463" s="15">
        <f t="shared" ca="1" si="89"/>
        <v>10</v>
      </c>
      <c r="O2463" s="15">
        <f t="shared" ca="1" si="90"/>
        <v>24</v>
      </c>
      <c r="P2463" s="16">
        <f t="shared" ca="1" si="91"/>
        <v>9.9761799999998857</v>
      </c>
      <c r="Q2463" s="11" t="str">
        <f t="shared" ca="1" si="77"/>
        <v/>
      </c>
      <c r="R2463" s="11" t="str">
        <f t="shared" ca="1" si="78"/>
        <v/>
      </c>
      <c r="S2463" s="61" t="str">
        <f t="shared" ca="1" si="79"/>
        <v/>
      </c>
      <c r="T2463" s="11" t="str">
        <f t="shared" ca="1" si="80"/>
        <v/>
      </c>
      <c r="U2463" s="11" t="str">
        <f t="shared" ca="1" si="81"/>
        <v/>
      </c>
      <c r="V2463" s="18" t="str">
        <f t="shared" ca="1" si="82"/>
        <v/>
      </c>
      <c r="W2463" s="61" t="str">
        <f t="shared" ca="1" si="83"/>
        <v/>
      </c>
      <c r="X2463" s="61">
        <f t="shared" ca="1" si="84"/>
        <v>0</v>
      </c>
      <c r="Y2463" s="64" t="str">
        <f t="shared" ca="1" si="85"/>
        <v/>
      </c>
    </row>
    <row r="2464" spans="1:25">
      <c r="A2464" s="2">
        <f>+Get_Data!A2463</f>
        <v>43017</v>
      </c>
      <c r="B2464">
        <f>+ROUND(Get_Data!B2463,5)</f>
        <v>100.49706</v>
      </c>
      <c r="C2464">
        <f>+ROUND(Get_Data!C2463,5)</f>
        <v>41.121569999999998</v>
      </c>
      <c r="D2464" s="4">
        <f t="shared" si="70"/>
        <v>2.4439000000000002</v>
      </c>
      <c r="E2464" s="22">
        <f t="shared" ca="1" si="71"/>
        <v>2.5741399999999999</v>
      </c>
      <c r="F2464" s="23">
        <f t="shared" ca="1" si="72"/>
        <v>2.42421</v>
      </c>
      <c r="G2464" s="10">
        <f t="shared" ca="1" si="73"/>
        <v>0</v>
      </c>
      <c r="H2464" s="12">
        <f t="shared" ca="1" si="74"/>
        <v>0</v>
      </c>
      <c r="I2464" s="11">
        <f t="shared" ca="1" si="75"/>
        <v>0</v>
      </c>
      <c r="J2464" s="11">
        <f t="shared" ca="1" si="76"/>
        <v>-2</v>
      </c>
      <c r="K2464" s="10">
        <f t="shared" ca="1" si="86"/>
        <v>99.885009999999994</v>
      </c>
      <c r="L2464" s="11">
        <f t="shared" ca="1" si="87"/>
        <v>-41.20308</v>
      </c>
      <c r="M2464" s="11">
        <f t="shared" ca="1" si="88"/>
        <v>2.42421</v>
      </c>
      <c r="N2464" s="15">
        <f t="shared" ca="1" si="89"/>
        <v>10</v>
      </c>
      <c r="O2464" s="15">
        <f t="shared" ca="1" si="90"/>
        <v>24</v>
      </c>
      <c r="P2464" s="16">
        <f t="shared" ca="1" si="91"/>
        <v>9.9761799999998857</v>
      </c>
      <c r="Q2464" s="11" t="str">
        <f t="shared" ca="1" si="77"/>
        <v/>
      </c>
      <c r="R2464" s="11" t="str">
        <f t="shared" ca="1" si="78"/>
        <v/>
      </c>
      <c r="S2464" s="61" t="str">
        <f t="shared" ca="1" si="79"/>
        <v/>
      </c>
      <c r="T2464" s="11" t="str">
        <f t="shared" ca="1" si="80"/>
        <v/>
      </c>
      <c r="U2464" s="11" t="str">
        <f t="shared" ca="1" si="81"/>
        <v/>
      </c>
      <c r="V2464" s="18" t="str">
        <f t="shared" ca="1" si="82"/>
        <v/>
      </c>
      <c r="W2464" s="61" t="str">
        <f t="shared" ca="1" si="83"/>
        <v/>
      </c>
      <c r="X2464" s="61">
        <f t="shared" ca="1" si="84"/>
        <v>0</v>
      </c>
      <c r="Y2464" s="64" t="str">
        <f t="shared" ca="1" si="85"/>
        <v/>
      </c>
    </row>
    <row r="2465" spans="1:25">
      <c r="A2465" s="2">
        <f>+Get_Data!A2464</f>
        <v>43018</v>
      </c>
      <c r="B2465">
        <f>+ROUND(Get_Data!B2464,5)</f>
        <v>101.20049</v>
      </c>
      <c r="C2465">
        <f>+ROUND(Get_Data!C2464,5)</f>
        <v>41.538130000000002</v>
      </c>
      <c r="D2465" s="4">
        <f t="shared" si="70"/>
        <v>2.4363299999999999</v>
      </c>
      <c r="E2465" s="22">
        <f t="shared" ca="1" si="71"/>
        <v>2.5741399999999999</v>
      </c>
      <c r="F2465" s="23">
        <f t="shared" ca="1" si="72"/>
        <v>2.42421</v>
      </c>
      <c r="G2465" s="10">
        <f t="shared" ca="1" si="73"/>
        <v>0</v>
      </c>
      <c r="H2465" s="12">
        <f t="shared" ca="1" si="74"/>
        <v>0</v>
      </c>
      <c r="I2465" s="11">
        <f t="shared" ca="1" si="75"/>
        <v>0</v>
      </c>
      <c r="J2465" s="11">
        <f t="shared" ca="1" si="76"/>
        <v>-2</v>
      </c>
      <c r="K2465" s="10">
        <f t="shared" ca="1" si="86"/>
        <v>99.885009999999994</v>
      </c>
      <c r="L2465" s="11">
        <f t="shared" ca="1" si="87"/>
        <v>-41.20308</v>
      </c>
      <c r="M2465" s="11">
        <f t="shared" ca="1" si="88"/>
        <v>2.42421</v>
      </c>
      <c r="N2465" s="15">
        <f t="shared" ca="1" si="89"/>
        <v>10</v>
      </c>
      <c r="O2465" s="15">
        <f t="shared" ca="1" si="90"/>
        <v>24</v>
      </c>
      <c r="P2465" s="16">
        <f t="shared" ca="1" si="91"/>
        <v>9.9761799999998857</v>
      </c>
      <c r="Q2465" s="11" t="str">
        <f t="shared" ca="1" si="77"/>
        <v/>
      </c>
      <c r="R2465" s="11" t="str">
        <f t="shared" ca="1" si="78"/>
        <v/>
      </c>
      <c r="S2465" s="61" t="str">
        <f t="shared" ca="1" si="79"/>
        <v/>
      </c>
      <c r="T2465" s="11" t="str">
        <f t="shared" ca="1" si="80"/>
        <v/>
      </c>
      <c r="U2465" s="11" t="str">
        <f t="shared" ca="1" si="81"/>
        <v/>
      </c>
      <c r="V2465" s="18" t="str">
        <f t="shared" ca="1" si="82"/>
        <v/>
      </c>
      <c r="W2465" s="61" t="str">
        <f t="shared" ca="1" si="83"/>
        <v/>
      </c>
      <c r="X2465" s="61">
        <f t="shared" ca="1" si="84"/>
        <v>0</v>
      </c>
      <c r="Y2465" s="64" t="str">
        <f t="shared" ca="1" si="85"/>
        <v/>
      </c>
    </row>
    <row r="2466" spans="1:25">
      <c r="A2466" s="2">
        <f>+Get_Data!A2465</f>
        <v>43019</v>
      </c>
      <c r="B2466">
        <f>+ROUND(Get_Data!B2465,5)</f>
        <v>101.86736000000001</v>
      </c>
      <c r="C2466">
        <f>+ROUND(Get_Data!C2465,5)</f>
        <v>41.746409999999997</v>
      </c>
      <c r="D2466" s="4">
        <f t="shared" si="70"/>
        <v>2.44015</v>
      </c>
      <c r="E2466" s="22">
        <f t="shared" ca="1" si="71"/>
        <v>2.5703999999999998</v>
      </c>
      <c r="F2466" s="23">
        <f t="shared" ca="1" si="72"/>
        <v>2.42421</v>
      </c>
      <c r="G2466" s="10">
        <f t="shared" ca="1" si="73"/>
        <v>0</v>
      </c>
      <c r="H2466" s="12">
        <f t="shared" ca="1" si="74"/>
        <v>0</v>
      </c>
      <c r="I2466" s="11">
        <f t="shared" ca="1" si="75"/>
        <v>0</v>
      </c>
      <c r="J2466" s="11">
        <f t="shared" ca="1" si="76"/>
        <v>-2</v>
      </c>
      <c r="K2466" s="10">
        <f t="shared" ca="1" si="86"/>
        <v>99.885009999999994</v>
      </c>
      <c r="L2466" s="11">
        <f t="shared" ca="1" si="87"/>
        <v>-41.20308</v>
      </c>
      <c r="M2466" s="11">
        <f t="shared" ca="1" si="88"/>
        <v>2.42421</v>
      </c>
      <c r="N2466" s="15">
        <f t="shared" ca="1" si="89"/>
        <v>10</v>
      </c>
      <c r="O2466" s="15">
        <f t="shared" ca="1" si="90"/>
        <v>24</v>
      </c>
      <c r="P2466" s="16">
        <f t="shared" ca="1" si="91"/>
        <v>9.9761799999998857</v>
      </c>
      <c r="Q2466" s="11" t="str">
        <f t="shared" ca="1" si="77"/>
        <v/>
      </c>
      <c r="R2466" s="11" t="str">
        <f t="shared" ca="1" si="78"/>
        <v/>
      </c>
      <c r="S2466" s="61" t="str">
        <f t="shared" ca="1" si="79"/>
        <v/>
      </c>
      <c r="T2466" s="11" t="str">
        <f t="shared" ca="1" si="80"/>
        <v/>
      </c>
      <c r="U2466" s="11" t="str">
        <f t="shared" ca="1" si="81"/>
        <v/>
      </c>
      <c r="V2466" s="18" t="str">
        <f t="shared" ca="1" si="82"/>
        <v/>
      </c>
      <c r="W2466" s="61" t="str">
        <f t="shared" ca="1" si="83"/>
        <v/>
      </c>
      <c r="X2466" s="61">
        <f t="shared" ca="1" si="84"/>
        <v>0</v>
      </c>
      <c r="Y2466" s="64" t="str">
        <f t="shared" ca="1" si="85"/>
        <v/>
      </c>
    </row>
    <row r="2467" spans="1:25">
      <c r="A2467" s="2">
        <f>+Get_Data!A2466</f>
        <v>43020</v>
      </c>
      <c r="B2467">
        <f>+ROUND(Get_Data!B2466,5)</f>
        <v>102.72607000000001</v>
      </c>
      <c r="C2467">
        <f>+ROUND(Get_Data!C2466,5)</f>
        <v>41.755459999999999</v>
      </c>
      <c r="D2467" s="4">
        <f t="shared" si="70"/>
        <v>2.4601799999999998</v>
      </c>
      <c r="E2467" s="22">
        <f t="shared" ca="1" si="71"/>
        <v>2.5287199999999999</v>
      </c>
      <c r="F2467" s="23">
        <f t="shared" ca="1" si="72"/>
        <v>2.42421</v>
      </c>
      <c r="G2467" s="10">
        <f t="shared" ca="1" si="73"/>
        <v>0</v>
      </c>
      <c r="H2467" s="12">
        <f t="shared" ca="1" si="74"/>
        <v>0</v>
      </c>
      <c r="I2467" s="11">
        <f t="shared" ca="1" si="75"/>
        <v>0</v>
      </c>
      <c r="J2467" s="11">
        <f t="shared" ca="1" si="76"/>
        <v>-2</v>
      </c>
      <c r="K2467" s="10">
        <f t="shared" ca="1" si="86"/>
        <v>99.885009999999994</v>
      </c>
      <c r="L2467" s="11">
        <f t="shared" ca="1" si="87"/>
        <v>-41.20308</v>
      </c>
      <c r="M2467" s="11">
        <f t="shared" ca="1" si="88"/>
        <v>2.42421</v>
      </c>
      <c r="N2467" s="15">
        <f t="shared" ca="1" si="89"/>
        <v>10</v>
      </c>
      <c r="O2467" s="15">
        <f t="shared" ca="1" si="90"/>
        <v>24</v>
      </c>
      <c r="P2467" s="16">
        <f t="shared" ca="1" si="91"/>
        <v>9.9761799999998857</v>
      </c>
      <c r="Q2467" s="11" t="str">
        <f t="shared" ca="1" si="77"/>
        <v/>
      </c>
      <c r="R2467" s="11" t="str">
        <f t="shared" ca="1" si="78"/>
        <v/>
      </c>
      <c r="S2467" s="61" t="str">
        <f t="shared" ca="1" si="79"/>
        <v/>
      </c>
      <c r="T2467" s="11" t="str">
        <f t="shared" ca="1" si="80"/>
        <v/>
      </c>
      <c r="U2467" s="11" t="str">
        <f t="shared" ca="1" si="81"/>
        <v/>
      </c>
      <c r="V2467" s="18" t="str">
        <f t="shared" ca="1" si="82"/>
        <v/>
      </c>
      <c r="W2467" s="61" t="str">
        <f t="shared" ca="1" si="83"/>
        <v/>
      </c>
      <c r="X2467" s="61">
        <f t="shared" ca="1" si="84"/>
        <v>0</v>
      </c>
      <c r="Y2467" s="64" t="str">
        <f t="shared" ca="1" si="85"/>
        <v/>
      </c>
    </row>
    <row r="2468" spans="1:25">
      <c r="A2468" s="2">
        <f>+Get_Data!A2467</f>
        <v>43021</v>
      </c>
      <c r="B2468">
        <f>+ROUND(Get_Data!B2467,5)</f>
        <v>102.88137</v>
      </c>
      <c r="C2468">
        <f>+ROUND(Get_Data!C2467,5)</f>
        <v>41.818860000000001</v>
      </c>
      <c r="D2468" s="4">
        <f t="shared" si="70"/>
        <v>2.4601700000000002</v>
      </c>
      <c r="E2468" s="22">
        <f t="shared" ca="1" si="71"/>
        <v>2.5287199999999999</v>
      </c>
      <c r="F2468" s="23">
        <f t="shared" ca="1" si="72"/>
        <v>2.42421</v>
      </c>
      <c r="G2468" s="10">
        <f t="shared" ca="1" si="73"/>
        <v>0</v>
      </c>
      <c r="H2468" s="12">
        <f t="shared" ca="1" si="74"/>
        <v>0</v>
      </c>
      <c r="I2468" s="11">
        <f t="shared" ca="1" si="75"/>
        <v>0</v>
      </c>
      <c r="J2468" s="11">
        <f t="shared" ca="1" si="76"/>
        <v>-2</v>
      </c>
      <c r="K2468" s="10">
        <f t="shared" ca="1" si="86"/>
        <v>99.885009999999994</v>
      </c>
      <c r="L2468" s="11">
        <f t="shared" ca="1" si="87"/>
        <v>-41.20308</v>
      </c>
      <c r="M2468" s="11">
        <f t="shared" ca="1" si="88"/>
        <v>2.42421</v>
      </c>
      <c r="N2468" s="15">
        <f t="shared" ca="1" si="89"/>
        <v>10</v>
      </c>
      <c r="O2468" s="15">
        <f t="shared" ca="1" si="90"/>
        <v>24</v>
      </c>
      <c r="P2468" s="16">
        <f t="shared" ca="1" si="91"/>
        <v>9.9761799999998857</v>
      </c>
      <c r="Q2468" s="11" t="str">
        <f t="shared" ca="1" si="77"/>
        <v/>
      </c>
      <c r="R2468" s="11" t="str">
        <f t="shared" ca="1" si="78"/>
        <v/>
      </c>
      <c r="S2468" s="61" t="str">
        <f t="shared" ca="1" si="79"/>
        <v/>
      </c>
      <c r="T2468" s="11" t="str">
        <f t="shared" ca="1" si="80"/>
        <v/>
      </c>
      <c r="U2468" s="11" t="str">
        <f t="shared" ca="1" si="81"/>
        <v/>
      </c>
      <c r="V2468" s="18" t="str">
        <f t="shared" ca="1" si="82"/>
        <v/>
      </c>
      <c r="W2468" s="61" t="str">
        <f t="shared" ca="1" si="83"/>
        <v/>
      </c>
      <c r="X2468" s="61">
        <f t="shared" ca="1" si="84"/>
        <v>0</v>
      </c>
      <c r="Y2468" s="64" t="str">
        <f t="shared" ca="1" si="85"/>
        <v/>
      </c>
    </row>
    <row r="2469" spans="1:25">
      <c r="A2469" s="2">
        <f>+Get_Data!A2468</f>
        <v>43024</v>
      </c>
      <c r="B2469">
        <f>+ROUND(Get_Data!B2468,5)</f>
        <v>103.74921000000001</v>
      </c>
      <c r="C2469">
        <f>+ROUND(Get_Data!C2468,5)</f>
        <v>42.217300000000002</v>
      </c>
      <c r="D2469" s="4">
        <f t="shared" si="70"/>
        <v>2.4575</v>
      </c>
      <c r="E2469" s="22">
        <f t="shared" ca="1" si="71"/>
        <v>2.5157500000000002</v>
      </c>
      <c r="F2469" s="23">
        <f t="shared" ca="1" si="72"/>
        <v>2.42421</v>
      </c>
      <c r="G2469" s="10">
        <f t="shared" ca="1" si="73"/>
        <v>0</v>
      </c>
      <c r="H2469" s="12">
        <f t="shared" ca="1" si="74"/>
        <v>0</v>
      </c>
      <c r="I2469" s="11">
        <f t="shared" ca="1" si="75"/>
        <v>0</v>
      </c>
      <c r="J2469" s="11">
        <f t="shared" ca="1" si="76"/>
        <v>-2</v>
      </c>
      <c r="K2469" s="10">
        <f t="shared" ca="1" si="86"/>
        <v>99.885009999999994</v>
      </c>
      <c r="L2469" s="11">
        <f t="shared" ca="1" si="87"/>
        <v>-41.20308</v>
      </c>
      <c r="M2469" s="11">
        <f t="shared" ca="1" si="88"/>
        <v>2.42421</v>
      </c>
      <c r="N2469" s="15">
        <f t="shared" ca="1" si="89"/>
        <v>10</v>
      </c>
      <c r="O2469" s="15">
        <f t="shared" ca="1" si="90"/>
        <v>24</v>
      </c>
      <c r="P2469" s="16">
        <f t="shared" ca="1" si="91"/>
        <v>9.9761799999998857</v>
      </c>
      <c r="Q2469" s="11" t="str">
        <f t="shared" ca="1" si="77"/>
        <v/>
      </c>
      <c r="R2469" s="11" t="str">
        <f t="shared" ca="1" si="78"/>
        <v/>
      </c>
      <c r="S2469" s="61" t="str">
        <f t="shared" ca="1" si="79"/>
        <v/>
      </c>
      <c r="T2469" s="11" t="str">
        <f t="shared" ca="1" si="80"/>
        <v/>
      </c>
      <c r="U2469" s="11" t="str">
        <f t="shared" ca="1" si="81"/>
        <v/>
      </c>
      <c r="V2469" s="18" t="str">
        <f t="shared" ca="1" si="82"/>
        <v/>
      </c>
      <c r="W2469" s="61" t="str">
        <f t="shared" ca="1" si="83"/>
        <v/>
      </c>
      <c r="X2469" s="61">
        <f t="shared" ca="1" si="84"/>
        <v>0</v>
      </c>
      <c r="Y2469" s="64" t="str">
        <f t="shared" ca="1" si="85"/>
        <v/>
      </c>
    </row>
    <row r="2470" spans="1:25">
      <c r="A2470" s="2">
        <f>+Get_Data!A2469</f>
        <v>43025</v>
      </c>
      <c r="B2470">
        <f>+ROUND(Get_Data!B2469,5)</f>
        <v>102.48856000000001</v>
      </c>
      <c r="C2470">
        <f>+ROUND(Get_Data!C2469,5)</f>
        <v>42.126739999999998</v>
      </c>
      <c r="D2470" s="4">
        <f t="shared" si="70"/>
        <v>2.4328599999999998</v>
      </c>
      <c r="E2470" s="22">
        <f t="shared" ca="1" si="71"/>
        <v>2.5157500000000002</v>
      </c>
      <c r="F2470" s="23">
        <f t="shared" ca="1" si="72"/>
        <v>2.42421</v>
      </c>
      <c r="G2470" s="10">
        <f t="shared" ca="1" si="73"/>
        <v>0</v>
      </c>
      <c r="H2470" s="12">
        <f t="shared" ca="1" si="74"/>
        <v>0</v>
      </c>
      <c r="I2470" s="11">
        <f t="shared" ca="1" si="75"/>
        <v>0</v>
      </c>
      <c r="J2470" s="11">
        <f t="shared" ca="1" si="76"/>
        <v>-2</v>
      </c>
      <c r="K2470" s="10">
        <f t="shared" ca="1" si="86"/>
        <v>99.885009999999994</v>
      </c>
      <c r="L2470" s="11">
        <f t="shared" ca="1" si="87"/>
        <v>-41.20308</v>
      </c>
      <c r="M2470" s="11">
        <f t="shared" ca="1" si="88"/>
        <v>2.42421</v>
      </c>
      <c r="N2470" s="15">
        <f t="shared" ca="1" si="89"/>
        <v>10</v>
      </c>
      <c r="O2470" s="15">
        <f t="shared" ca="1" si="90"/>
        <v>24</v>
      </c>
      <c r="P2470" s="16">
        <f t="shared" ca="1" si="91"/>
        <v>9.9761799999998857</v>
      </c>
      <c r="Q2470" s="11" t="str">
        <f t="shared" ca="1" si="77"/>
        <v/>
      </c>
      <c r="R2470" s="11" t="str">
        <f t="shared" ca="1" si="78"/>
        <v/>
      </c>
      <c r="S2470" s="61" t="str">
        <f t="shared" ca="1" si="79"/>
        <v/>
      </c>
      <c r="T2470" s="11" t="str">
        <f t="shared" ca="1" si="80"/>
        <v/>
      </c>
      <c r="U2470" s="11" t="str">
        <f t="shared" ca="1" si="81"/>
        <v/>
      </c>
      <c r="V2470" s="18" t="str">
        <f t="shared" ca="1" si="82"/>
        <v/>
      </c>
      <c r="W2470" s="61" t="str">
        <f t="shared" ca="1" si="83"/>
        <v/>
      </c>
      <c r="X2470" s="61">
        <f t="shared" ca="1" si="84"/>
        <v>0</v>
      </c>
      <c r="Y2470" s="64" t="str">
        <f t="shared" ca="1" si="85"/>
        <v/>
      </c>
    </row>
    <row r="2471" spans="1:25">
      <c r="A2471" s="2">
        <f>+Get_Data!A2470</f>
        <v>43026</v>
      </c>
      <c r="B2471">
        <f>+ROUND(Get_Data!B2470,5)</f>
        <v>102.2693</v>
      </c>
      <c r="C2471">
        <f>+ROUND(Get_Data!C2470,5)</f>
        <v>42.018079999999998</v>
      </c>
      <c r="D2471" s="4">
        <f t="shared" si="70"/>
        <v>2.4339400000000002</v>
      </c>
      <c r="E2471" s="22">
        <f t="shared" ca="1" si="71"/>
        <v>2.5157500000000002</v>
      </c>
      <c r="F2471" s="23">
        <f t="shared" ca="1" si="72"/>
        <v>2.42421</v>
      </c>
      <c r="G2471" s="10">
        <f t="shared" ca="1" si="73"/>
        <v>0</v>
      </c>
      <c r="H2471" s="12">
        <f t="shared" ca="1" si="74"/>
        <v>0</v>
      </c>
      <c r="I2471" s="11">
        <f t="shared" ca="1" si="75"/>
        <v>0</v>
      </c>
      <c r="J2471" s="11">
        <f t="shared" ca="1" si="76"/>
        <v>-2</v>
      </c>
      <c r="K2471" s="10">
        <f t="shared" ca="1" si="86"/>
        <v>99.885009999999994</v>
      </c>
      <c r="L2471" s="11">
        <f t="shared" ca="1" si="87"/>
        <v>-41.20308</v>
      </c>
      <c r="M2471" s="11">
        <f t="shared" ca="1" si="88"/>
        <v>2.42421</v>
      </c>
      <c r="N2471" s="15">
        <f t="shared" ca="1" si="89"/>
        <v>10</v>
      </c>
      <c r="O2471" s="15">
        <f t="shared" ca="1" si="90"/>
        <v>24</v>
      </c>
      <c r="P2471" s="16">
        <f t="shared" ca="1" si="91"/>
        <v>9.9761799999998857</v>
      </c>
      <c r="Q2471" s="11" t="str">
        <f t="shared" ca="1" si="77"/>
        <v/>
      </c>
      <c r="R2471" s="11" t="str">
        <f t="shared" ca="1" si="78"/>
        <v/>
      </c>
      <c r="S2471" s="61" t="str">
        <f t="shared" ca="1" si="79"/>
        <v/>
      </c>
      <c r="T2471" s="11" t="str">
        <f t="shared" ca="1" si="80"/>
        <v/>
      </c>
      <c r="U2471" s="11" t="str">
        <f t="shared" ca="1" si="81"/>
        <v/>
      </c>
      <c r="V2471" s="18" t="str">
        <f t="shared" ca="1" si="82"/>
        <v/>
      </c>
      <c r="W2471" s="61" t="str">
        <f t="shared" ca="1" si="83"/>
        <v/>
      </c>
      <c r="X2471" s="61">
        <f t="shared" ca="1" si="84"/>
        <v>0</v>
      </c>
      <c r="Y2471" s="64" t="str">
        <f t="shared" ca="1" si="85"/>
        <v/>
      </c>
    </row>
    <row r="2472" spans="1:25">
      <c r="A2472" s="2">
        <f>+Get_Data!A2471</f>
        <v>43027</v>
      </c>
      <c r="B2472">
        <f>+ROUND(Get_Data!B2471,5)</f>
        <v>102.92706</v>
      </c>
      <c r="C2472">
        <f>+ROUND(Get_Data!C2471,5)</f>
        <v>42.190130000000003</v>
      </c>
      <c r="D2472" s="4">
        <f t="shared" si="70"/>
        <v>2.4396</v>
      </c>
      <c r="E2472" s="22">
        <f t="shared" ca="1" si="71"/>
        <v>2.5157500000000002</v>
      </c>
      <c r="F2472" s="23">
        <f t="shared" ca="1" si="72"/>
        <v>2.42421</v>
      </c>
      <c r="G2472" s="10">
        <f t="shared" ca="1" si="73"/>
        <v>0</v>
      </c>
      <c r="H2472" s="12">
        <f t="shared" ca="1" si="74"/>
        <v>0</v>
      </c>
      <c r="I2472" s="11">
        <f t="shared" ca="1" si="75"/>
        <v>0</v>
      </c>
      <c r="J2472" s="11">
        <f t="shared" ca="1" si="76"/>
        <v>-2</v>
      </c>
      <c r="K2472" s="10">
        <f t="shared" ca="1" si="86"/>
        <v>99.885009999999994</v>
      </c>
      <c r="L2472" s="11">
        <f t="shared" ca="1" si="87"/>
        <v>-41.20308</v>
      </c>
      <c r="M2472" s="11">
        <f t="shared" ca="1" si="88"/>
        <v>2.42421</v>
      </c>
      <c r="N2472" s="15">
        <f t="shared" ca="1" si="89"/>
        <v>10</v>
      </c>
      <c r="O2472" s="15">
        <f t="shared" ca="1" si="90"/>
        <v>24</v>
      </c>
      <c r="P2472" s="16">
        <f t="shared" ca="1" si="91"/>
        <v>9.9761799999998857</v>
      </c>
      <c r="Q2472" s="11" t="str">
        <f t="shared" ca="1" si="77"/>
        <v/>
      </c>
      <c r="R2472" s="11" t="str">
        <f t="shared" ca="1" si="78"/>
        <v/>
      </c>
      <c r="S2472" s="61" t="str">
        <f t="shared" ca="1" si="79"/>
        <v/>
      </c>
      <c r="T2472" s="11" t="str">
        <f t="shared" ca="1" si="80"/>
        <v/>
      </c>
      <c r="U2472" s="11" t="str">
        <f t="shared" ca="1" si="81"/>
        <v/>
      </c>
      <c r="V2472" s="18" t="str">
        <f t="shared" ca="1" si="82"/>
        <v/>
      </c>
      <c r="W2472" s="61" t="str">
        <f t="shared" ca="1" si="83"/>
        <v/>
      </c>
      <c r="X2472" s="61">
        <f t="shared" ca="1" si="84"/>
        <v>0</v>
      </c>
      <c r="Y2472" s="64" t="str">
        <f t="shared" ca="1" si="85"/>
        <v/>
      </c>
    </row>
    <row r="2473" spans="1:25">
      <c r="A2473" s="2">
        <f>+Get_Data!A2472</f>
        <v>43028</v>
      </c>
      <c r="B2473">
        <f>+ROUND(Get_Data!B2472,5)</f>
        <v>101.95872</v>
      </c>
      <c r="C2473">
        <f>+ROUND(Get_Data!C2472,5)</f>
        <v>41.999969999999998</v>
      </c>
      <c r="D2473" s="4">
        <f t="shared" si="70"/>
        <v>2.4275899999999999</v>
      </c>
      <c r="E2473" s="22">
        <f t="shared" ca="1" si="71"/>
        <v>2.5157500000000002</v>
      </c>
      <c r="F2473" s="23">
        <f t="shared" ca="1" si="72"/>
        <v>2.42421</v>
      </c>
      <c r="G2473" s="10">
        <f t="shared" ca="1" si="73"/>
        <v>0</v>
      </c>
      <c r="H2473" s="12">
        <f t="shared" ca="1" si="74"/>
        <v>0</v>
      </c>
      <c r="I2473" s="11">
        <f t="shared" ca="1" si="75"/>
        <v>0</v>
      </c>
      <c r="J2473" s="11">
        <f t="shared" ca="1" si="76"/>
        <v>-2</v>
      </c>
      <c r="K2473" s="10">
        <f t="shared" ca="1" si="86"/>
        <v>99.885009999999994</v>
      </c>
      <c r="L2473" s="11">
        <f t="shared" ca="1" si="87"/>
        <v>-41.20308</v>
      </c>
      <c r="M2473" s="11">
        <f t="shared" ca="1" si="88"/>
        <v>2.42421</v>
      </c>
      <c r="N2473" s="15">
        <f t="shared" ca="1" si="89"/>
        <v>10</v>
      </c>
      <c r="O2473" s="15">
        <f t="shared" ca="1" si="90"/>
        <v>24</v>
      </c>
      <c r="P2473" s="16">
        <f t="shared" ca="1" si="91"/>
        <v>9.9761799999998857</v>
      </c>
      <c r="Q2473" s="11" t="str">
        <f t="shared" ca="1" si="77"/>
        <v/>
      </c>
      <c r="R2473" s="11" t="str">
        <f t="shared" ca="1" si="78"/>
        <v/>
      </c>
      <c r="S2473" s="61" t="str">
        <f t="shared" ca="1" si="79"/>
        <v/>
      </c>
      <c r="T2473" s="11" t="str">
        <f t="shared" ca="1" si="80"/>
        <v/>
      </c>
      <c r="U2473" s="11" t="str">
        <f t="shared" ca="1" si="81"/>
        <v/>
      </c>
      <c r="V2473" s="18" t="str">
        <f t="shared" ca="1" si="82"/>
        <v/>
      </c>
      <c r="W2473" s="61" t="str">
        <f t="shared" ca="1" si="83"/>
        <v/>
      </c>
      <c r="X2473" s="61">
        <f t="shared" ca="1" si="84"/>
        <v>0</v>
      </c>
      <c r="Y2473" s="64" t="str">
        <f t="shared" ca="1" si="85"/>
        <v/>
      </c>
    </row>
    <row r="2474" spans="1:25">
      <c r="A2474" s="2">
        <f>+Get_Data!A2473</f>
        <v>43031</v>
      </c>
      <c r="B2474">
        <f>+ROUND(Get_Data!B2473,5)</f>
        <v>102.0318</v>
      </c>
      <c r="C2474">
        <f>+ROUND(Get_Data!C2473,5)</f>
        <v>41.945630000000001</v>
      </c>
      <c r="D2474" s="4">
        <f t="shared" si="70"/>
        <v>2.43248</v>
      </c>
      <c r="E2474" s="22">
        <f t="shared" ca="1" si="71"/>
        <v>2.5118999999999998</v>
      </c>
      <c r="F2474" s="23">
        <f t="shared" ca="1" si="72"/>
        <v>2.42421</v>
      </c>
      <c r="G2474" s="10">
        <f t="shared" ca="1" si="73"/>
        <v>0</v>
      </c>
      <c r="H2474" s="12">
        <f t="shared" ca="1" si="74"/>
        <v>0</v>
      </c>
      <c r="I2474" s="11">
        <f t="shared" ca="1" si="75"/>
        <v>0</v>
      </c>
      <c r="J2474" s="11">
        <f t="shared" ca="1" si="76"/>
        <v>-2</v>
      </c>
      <c r="K2474" s="10">
        <f t="shared" ca="1" si="86"/>
        <v>99.885009999999994</v>
      </c>
      <c r="L2474" s="11">
        <f t="shared" ca="1" si="87"/>
        <v>-41.20308</v>
      </c>
      <c r="M2474" s="11">
        <f t="shared" ca="1" si="88"/>
        <v>2.42421</v>
      </c>
      <c r="N2474" s="15">
        <f t="shared" ca="1" si="89"/>
        <v>10</v>
      </c>
      <c r="O2474" s="15">
        <f t="shared" ca="1" si="90"/>
        <v>24</v>
      </c>
      <c r="P2474" s="16">
        <f t="shared" ca="1" si="91"/>
        <v>9.9761799999998857</v>
      </c>
      <c r="Q2474" s="11" t="str">
        <f t="shared" ca="1" si="77"/>
        <v/>
      </c>
      <c r="R2474" s="11" t="str">
        <f t="shared" ca="1" si="78"/>
        <v/>
      </c>
      <c r="S2474" s="61" t="str">
        <f t="shared" ca="1" si="79"/>
        <v/>
      </c>
      <c r="T2474" s="11" t="str">
        <f t="shared" ca="1" si="80"/>
        <v/>
      </c>
      <c r="U2474" s="11" t="str">
        <f t="shared" ca="1" si="81"/>
        <v/>
      </c>
      <c r="V2474" s="18" t="str">
        <f t="shared" ca="1" si="82"/>
        <v/>
      </c>
      <c r="W2474" s="61" t="str">
        <f t="shared" ca="1" si="83"/>
        <v/>
      </c>
      <c r="X2474" s="61">
        <f t="shared" ca="1" si="84"/>
        <v>0</v>
      </c>
      <c r="Y2474" s="64" t="str">
        <f t="shared" ca="1" si="85"/>
        <v/>
      </c>
    </row>
    <row r="2475" spans="1:25">
      <c r="A2475" s="2">
        <f>+Get_Data!A2474</f>
        <v>43032</v>
      </c>
      <c r="B2475">
        <f>+ROUND(Get_Data!B2474,5)</f>
        <v>101.17309</v>
      </c>
      <c r="C2475">
        <f>+ROUND(Get_Data!C2474,5)</f>
        <v>41.818860000000001</v>
      </c>
      <c r="D2475" s="4">
        <f t="shared" si="70"/>
        <v>2.4193199999999999</v>
      </c>
      <c r="E2475" s="22">
        <f t="shared" ca="1" si="71"/>
        <v>2.5106899999999999</v>
      </c>
      <c r="F2475" s="23">
        <f t="shared" ca="1" si="72"/>
        <v>2.4193199999999999</v>
      </c>
      <c r="G2475" s="10">
        <f t="shared" ca="1" si="73"/>
        <v>0</v>
      </c>
      <c r="H2475" s="12">
        <f t="shared" ca="1" si="74"/>
        <v>1</v>
      </c>
      <c r="I2475" s="11">
        <f t="shared" ca="1" si="75"/>
        <v>-1</v>
      </c>
      <c r="J2475" s="11">
        <f t="shared" ca="1" si="76"/>
        <v>0</v>
      </c>
      <c r="K2475" s="10">
        <f t="shared" ca="1" si="86"/>
        <v>99.885009999999994</v>
      </c>
      <c r="L2475" s="11">
        <f t="shared" ca="1" si="87"/>
        <v>-41.20308</v>
      </c>
      <c r="M2475" s="11">
        <f t="shared" ca="1" si="88"/>
        <v>2.42421</v>
      </c>
      <c r="N2475" s="15">
        <f t="shared" ca="1" si="89"/>
        <v>10</v>
      </c>
      <c r="O2475" s="15">
        <f t="shared" ca="1" si="90"/>
        <v>24</v>
      </c>
      <c r="P2475" s="16">
        <f t="shared" ca="1" si="91"/>
        <v>9.9761799999998857</v>
      </c>
      <c r="Q2475" s="11" t="str">
        <f t="shared" ca="1" si="77"/>
        <v/>
      </c>
      <c r="R2475" s="11" t="str">
        <f t="shared" ca="1" si="78"/>
        <v/>
      </c>
      <c r="S2475" s="61" t="str">
        <f t="shared" ca="1" si="79"/>
        <v/>
      </c>
      <c r="T2475" s="11" t="str">
        <f t="shared" ca="1" si="80"/>
        <v/>
      </c>
      <c r="U2475" s="11" t="str">
        <f t="shared" ca="1" si="81"/>
        <v/>
      </c>
      <c r="V2475" s="18" t="str">
        <f t="shared" ca="1" si="82"/>
        <v/>
      </c>
      <c r="W2475" s="61" t="str">
        <f t="shared" ca="1" si="83"/>
        <v/>
      </c>
      <c r="X2475" s="61">
        <f t="shared" ca="1" si="84"/>
        <v>0</v>
      </c>
      <c r="Y2475" s="64" t="str">
        <f t="shared" ca="1" si="85"/>
        <v/>
      </c>
    </row>
    <row r="2476" spans="1:25">
      <c r="A2476" s="2">
        <f>+Get_Data!A2475</f>
        <v>43033</v>
      </c>
      <c r="B2476">
        <f>+ROUND(Get_Data!B2475,5)</f>
        <v>100.55189</v>
      </c>
      <c r="C2476">
        <f>+ROUND(Get_Data!C2475,5)</f>
        <v>41.701129999999999</v>
      </c>
      <c r="D2476" s="4">
        <f t="shared" si="70"/>
        <v>2.4112499999999999</v>
      </c>
      <c r="E2476" s="22">
        <f t="shared" ca="1" si="71"/>
        <v>2.5106899999999999</v>
      </c>
      <c r="F2476" s="23">
        <f t="shared" ca="1" si="72"/>
        <v>2.4112499999999999</v>
      </c>
      <c r="G2476" s="10">
        <f t="shared" ca="1" si="73"/>
        <v>0</v>
      </c>
      <c r="H2476" s="12">
        <f t="shared" ca="1" si="74"/>
        <v>1</v>
      </c>
      <c r="I2476" s="11">
        <f t="shared" ca="1" si="75"/>
        <v>-1</v>
      </c>
      <c r="J2476" s="11">
        <f t="shared" ca="1" si="76"/>
        <v>-1</v>
      </c>
      <c r="K2476" s="10" t="str">
        <f t="shared" ca="1" si="86"/>
        <v/>
      </c>
      <c r="L2476" s="11" t="str">
        <f t="shared" ca="1" si="87"/>
        <v/>
      </c>
      <c r="M2476" s="11" t="str">
        <f t="shared" ca="1" si="88"/>
        <v/>
      </c>
      <c r="N2476" s="15" t="str">
        <f t="shared" ca="1" si="89"/>
        <v/>
      </c>
      <c r="O2476" s="15" t="str">
        <f t="shared" ca="1" si="90"/>
        <v/>
      </c>
      <c r="P2476" s="16" t="str">
        <f t="shared" ca="1" si="91"/>
        <v/>
      </c>
      <c r="Q2476" s="11">
        <f t="shared" ca="1" si="77"/>
        <v>100.55189</v>
      </c>
      <c r="R2476" s="11">
        <f t="shared" ca="1" si="78"/>
        <v>41.701129999999999</v>
      </c>
      <c r="S2476" s="61">
        <f t="shared" ca="1" si="79"/>
        <v>2.4112499999999999</v>
      </c>
      <c r="T2476" s="11">
        <f t="shared" ca="1" si="80"/>
        <v>10</v>
      </c>
      <c r="U2476" s="11">
        <f t="shared" ca="1" si="81"/>
        <v>24</v>
      </c>
      <c r="V2476" s="18">
        <f t="shared" ca="1" si="82"/>
        <v>-6.6688000000000613</v>
      </c>
      <c r="W2476" s="61">
        <f t="shared" ca="1" si="83"/>
        <v>11.953199999999981</v>
      </c>
      <c r="X2476" s="61">
        <f t="shared" ca="1" si="84"/>
        <v>5.2843999999999198</v>
      </c>
      <c r="Y2476" s="64">
        <f t="shared" ca="1" si="85"/>
        <v>5.2800327792875161E-3</v>
      </c>
    </row>
    <row r="2477" spans="1:25">
      <c r="A2477" s="2">
        <f>+Get_Data!A2476</f>
        <v>43034</v>
      </c>
      <c r="B2477">
        <f>+ROUND(Get_Data!B2476,5)</f>
        <v>101.15479999999999</v>
      </c>
      <c r="C2477">
        <f>+ROUND(Get_Data!C2476,5)</f>
        <v>41.864139999999999</v>
      </c>
      <c r="D2477" s="4">
        <f t="shared" si="70"/>
        <v>2.4162599999999999</v>
      </c>
      <c r="E2477" s="22">
        <f t="shared" ca="1" si="71"/>
        <v>2.5106899999999999</v>
      </c>
      <c r="F2477" s="23">
        <f t="shared" ca="1" si="72"/>
        <v>2.4112499999999999</v>
      </c>
      <c r="G2477" s="10">
        <f t="shared" ca="1" si="73"/>
        <v>0</v>
      </c>
      <c r="H2477" s="12">
        <f t="shared" ca="1" si="74"/>
        <v>0</v>
      </c>
      <c r="I2477" s="11">
        <f t="shared" ca="1" si="75"/>
        <v>0</v>
      </c>
      <c r="J2477" s="11">
        <f t="shared" ca="1" si="76"/>
        <v>-1</v>
      </c>
      <c r="K2477" s="10">
        <f t="shared" ca="1" si="86"/>
        <v>101.15479999999999</v>
      </c>
      <c r="L2477" s="11">
        <f t="shared" ca="1" si="87"/>
        <v>-41.864139999999999</v>
      </c>
      <c r="M2477" s="11">
        <f t="shared" ca="1" si="88"/>
        <v>2.4162599999999999</v>
      </c>
      <c r="N2477" s="15">
        <f t="shared" ca="1" si="89"/>
        <v>10</v>
      </c>
      <c r="O2477" s="15">
        <f t="shared" ca="1" si="90"/>
        <v>24</v>
      </c>
      <c r="P2477" s="16">
        <f t="shared" ca="1" si="91"/>
        <v>6.8086399999999685</v>
      </c>
      <c r="Q2477" s="11" t="str">
        <f t="shared" ca="1" si="77"/>
        <v/>
      </c>
      <c r="R2477" s="11" t="str">
        <f t="shared" ca="1" si="78"/>
        <v/>
      </c>
      <c r="S2477" s="61" t="str">
        <f t="shared" ca="1" si="79"/>
        <v/>
      </c>
      <c r="T2477" s="11" t="str">
        <f t="shared" ca="1" si="80"/>
        <v/>
      </c>
      <c r="U2477" s="11" t="str">
        <f t="shared" ca="1" si="81"/>
        <v/>
      </c>
      <c r="V2477" s="18" t="str">
        <f t="shared" ca="1" si="82"/>
        <v/>
      </c>
      <c r="W2477" s="61" t="str">
        <f t="shared" ca="1" si="83"/>
        <v/>
      </c>
      <c r="X2477" s="61">
        <f t="shared" ca="1" si="84"/>
        <v>0</v>
      </c>
      <c r="Y2477" s="64" t="str">
        <f t="shared" ca="1" si="85"/>
        <v/>
      </c>
    </row>
    <row r="2478" spans="1:25">
      <c r="A2478" s="2">
        <f>+Get_Data!A2477</f>
        <v>43035</v>
      </c>
      <c r="B2478">
        <f>+ROUND(Get_Data!B2477,5)</f>
        <v>101.03604</v>
      </c>
      <c r="C2478">
        <f>+ROUND(Get_Data!C2477,5)</f>
        <v>41.719239999999999</v>
      </c>
      <c r="D2478" s="4">
        <f t="shared" si="70"/>
        <v>2.4218099999999998</v>
      </c>
      <c r="E2478" s="22">
        <f t="shared" ca="1" si="71"/>
        <v>2.5106899999999999</v>
      </c>
      <c r="F2478" s="23">
        <f t="shared" ca="1" si="72"/>
        <v>2.4112499999999999</v>
      </c>
      <c r="G2478" s="10">
        <f t="shared" ca="1" si="73"/>
        <v>0</v>
      </c>
      <c r="H2478" s="12">
        <f t="shared" ca="1" si="74"/>
        <v>0</v>
      </c>
      <c r="I2478" s="11">
        <f t="shared" ca="1" si="75"/>
        <v>0</v>
      </c>
      <c r="J2478" s="11">
        <f t="shared" ca="1" si="76"/>
        <v>-1</v>
      </c>
      <c r="K2478" s="10">
        <f t="shared" ca="1" si="86"/>
        <v>101.15479999999999</v>
      </c>
      <c r="L2478" s="11">
        <f t="shared" ca="1" si="87"/>
        <v>-41.864139999999999</v>
      </c>
      <c r="M2478" s="11">
        <f t="shared" ca="1" si="88"/>
        <v>2.4162599999999999</v>
      </c>
      <c r="N2478" s="15">
        <f t="shared" ca="1" si="89"/>
        <v>10</v>
      </c>
      <c r="O2478" s="15">
        <f t="shared" ca="1" si="90"/>
        <v>24</v>
      </c>
      <c r="P2478" s="16">
        <f t="shared" ca="1" si="91"/>
        <v>6.8086399999999685</v>
      </c>
      <c r="Q2478" s="11" t="str">
        <f t="shared" ca="1" si="77"/>
        <v/>
      </c>
      <c r="R2478" s="11" t="str">
        <f t="shared" ca="1" si="78"/>
        <v/>
      </c>
      <c r="S2478" s="61" t="str">
        <f t="shared" ca="1" si="79"/>
        <v/>
      </c>
      <c r="T2478" s="11" t="str">
        <f t="shared" ca="1" si="80"/>
        <v/>
      </c>
      <c r="U2478" s="11" t="str">
        <f t="shared" ca="1" si="81"/>
        <v/>
      </c>
      <c r="V2478" s="18" t="str">
        <f t="shared" ca="1" si="82"/>
        <v/>
      </c>
      <c r="W2478" s="61" t="str">
        <f t="shared" ca="1" si="83"/>
        <v/>
      </c>
      <c r="X2478" s="61">
        <f t="shared" ca="1" si="84"/>
        <v>0</v>
      </c>
      <c r="Y2478" s="64" t="str">
        <f t="shared" ca="1" si="85"/>
        <v/>
      </c>
    </row>
    <row r="2479" spans="1:25">
      <c r="A2479" s="2">
        <f>+Get_Data!A2478</f>
        <v>43038</v>
      </c>
      <c r="B2479">
        <f>+ROUND(Get_Data!B2478,5)</f>
        <v>100.16821</v>
      </c>
      <c r="C2479">
        <f>+ROUND(Get_Data!C2478,5)</f>
        <v>41.52908</v>
      </c>
      <c r="D2479" s="4">
        <f t="shared" si="70"/>
        <v>2.4119999999999999</v>
      </c>
      <c r="E2479" s="22">
        <f t="shared" ca="1" si="71"/>
        <v>2.5106899999999999</v>
      </c>
      <c r="F2479" s="23">
        <f t="shared" ca="1" si="72"/>
        <v>2.4112499999999999</v>
      </c>
      <c r="G2479" s="10">
        <f t="shared" ca="1" si="73"/>
        <v>0</v>
      </c>
      <c r="H2479" s="12">
        <f t="shared" ca="1" si="74"/>
        <v>0</v>
      </c>
      <c r="I2479" s="11">
        <f t="shared" ca="1" si="75"/>
        <v>0</v>
      </c>
      <c r="J2479" s="11">
        <f t="shared" ca="1" si="76"/>
        <v>-1</v>
      </c>
      <c r="K2479" s="10">
        <f t="shared" ca="1" si="86"/>
        <v>101.15479999999999</v>
      </c>
      <c r="L2479" s="11">
        <f t="shared" ca="1" si="87"/>
        <v>-41.864139999999999</v>
      </c>
      <c r="M2479" s="11">
        <f t="shared" ca="1" si="88"/>
        <v>2.4162599999999999</v>
      </c>
      <c r="N2479" s="15">
        <f t="shared" ca="1" si="89"/>
        <v>10</v>
      </c>
      <c r="O2479" s="15">
        <f t="shared" ca="1" si="90"/>
        <v>24</v>
      </c>
      <c r="P2479" s="16">
        <f t="shared" ca="1" si="91"/>
        <v>6.8086399999999685</v>
      </c>
      <c r="Q2479" s="11" t="str">
        <f t="shared" ca="1" si="77"/>
        <v/>
      </c>
      <c r="R2479" s="11" t="str">
        <f t="shared" ca="1" si="78"/>
        <v/>
      </c>
      <c r="S2479" s="61" t="str">
        <f t="shared" ca="1" si="79"/>
        <v/>
      </c>
      <c r="T2479" s="11" t="str">
        <f t="shared" ca="1" si="80"/>
        <v/>
      </c>
      <c r="U2479" s="11" t="str">
        <f t="shared" ca="1" si="81"/>
        <v/>
      </c>
      <c r="V2479" s="18" t="str">
        <f t="shared" ca="1" si="82"/>
        <v/>
      </c>
      <c r="W2479" s="61" t="str">
        <f t="shared" ca="1" si="83"/>
        <v/>
      </c>
      <c r="X2479" s="61">
        <f t="shared" ca="1" si="84"/>
        <v>0</v>
      </c>
      <c r="Y2479" s="64" t="str">
        <f t="shared" ca="1" si="85"/>
        <v/>
      </c>
    </row>
    <row r="2480" spans="1:25">
      <c r="A2480" s="2">
        <f>+Get_Data!A2479</f>
        <v>43039</v>
      </c>
      <c r="B2480">
        <f>+ROUND(Get_Data!B2479,5)</f>
        <v>100.69804000000001</v>
      </c>
      <c r="C2480">
        <f>+ROUND(Get_Data!C2479,5)</f>
        <v>41.637740000000001</v>
      </c>
      <c r="D2480" s="4">
        <f t="shared" si="70"/>
        <v>2.4184299999999999</v>
      </c>
      <c r="E2480" s="22">
        <f t="shared" ca="1" si="71"/>
        <v>2.5106899999999999</v>
      </c>
      <c r="F2480" s="23">
        <f t="shared" ca="1" si="72"/>
        <v>2.4112499999999999</v>
      </c>
      <c r="G2480" s="10">
        <f t="shared" ca="1" si="73"/>
        <v>0</v>
      </c>
      <c r="H2480" s="12">
        <f t="shared" ca="1" si="74"/>
        <v>0</v>
      </c>
      <c r="I2480" s="11">
        <f t="shared" ca="1" si="75"/>
        <v>0</v>
      </c>
      <c r="J2480" s="11">
        <f t="shared" ca="1" si="76"/>
        <v>-1</v>
      </c>
      <c r="K2480" s="10">
        <f t="shared" ca="1" si="86"/>
        <v>101.15479999999999</v>
      </c>
      <c r="L2480" s="11">
        <f t="shared" ca="1" si="87"/>
        <v>-41.864139999999999</v>
      </c>
      <c r="M2480" s="11">
        <f t="shared" ca="1" si="88"/>
        <v>2.4162599999999999</v>
      </c>
      <c r="N2480" s="15">
        <f t="shared" ca="1" si="89"/>
        <v>10</v>
      </c>
      <c r="O2480" s="15">
        <f t="shared" ca="1" si="90"/>
        <v>24</v>
      </c>
      <c r="P2480" s="16">
        <f t="shared" ca="1" si="91"/>
        <v>6.8086399999999685</v>
      </c>
      <c r="Q2480" s="11" t="str">
        <f t="shared" ca="1" si="77"/>
        <v/>
      </c>
      <c r="R2480" s="11" t="str">
        <f t="shared" ca="1" si="78"/>
        <v/>
      </c>
      <c r="S2480" s="61" t="str">
        <f t="shared" ca="1" si="79"/>
        <v/>
      </c>
      <c r="T2480" s="11" t="str">
        <f t="shared" ca="1" si="80"/>
        <v/>
      </c>
      <c r="U2480" s="11" t="str">
        <f t="shared" ca="1" si="81"/>
        <v/>
      </c>
      <c r="V2480" s="18" t="str">
        <f t="shared" ca="1" si="82"/>
        <v/>
      </c>
      <c r="W2480" s="61" t="str">
        <f t="shared" ca="1" si="83"/>
        <v/>
      </c>
      <c r="X2480" s="61">
        <f t="shared" ca="1" si="84"/>
        <v>0</v>
      </c>
      <c r="Y2480" s="64" t="str">
        <f t="shared" ca="1" si="85"/>
        <v/>
      </c>
    </row>
    <row r="2481" spans="1:25">
      <c r="A2481" s="2">
        <f>+Get_Data!A2480</f>
        <v>43040</v>
      </c>
      <c r="B2481">
        <f>+ROUND(Get_Data!B2480,5)</f>
        <v>100.60669</v>
      </c>
      <c r="C2481">
        <f>+ROUND(Get_Data!C2480,5)</f>
        <v>41.474739999999997</v>
      </c>
      <c r="D2481" s="4">
        <f t="shared" si="70"/>
        <v>2.4257300000000002</v>
      </c>
      <c r="E2481" s="22">
        <f t="shared" ca="1" si="71"/>
        <v>2.5077199999999999</v>
      </c>
      <c r="F2481" s="23">
        <f t="shared" ca="1" si="72"/>
        <v>2.4112499999999999</v>
      </c>
      <c r="G2481" s="10">
        <f t="shared" ca="1" si="73"/>
        <v>0</v>
      </c>
      <c r="H2481" s="12">
        <f t="shared" ca="1" si="74"/>
        <v>0</v>
      </c>
      <c r="I2481" s="11">
        <f t="shared" ca="1" si="75"/>
        <v>0</v>
      </c>
      <c r="J2481" s="11">
        <f t="shared" ca="1" si="76"/>
        <v>-1</v>
      </c>
      <c r="K2481" s="10">
        <f t="shared" ca="1" si="86"/>
        <v>101.15479999999999</v>
      </c>
      <c r="L2481" s="11">
        <f t="shared" ca="1" si="87"/>
        <v>-41.864139999999999</v>
      </c>
      <c r="M2481" s="11">
        <f t="shared" ca="1" si="88"/>
        <v>2.4162599999999999</v>
      </c>
      <c r="N2481" s="15">
        <f t="shared" ca="1" si="89"/>
        <v>10</v>
      </c>
      <c r="O2481" s="15">
        <f t="shared" ca="1" si="90"/>
        <v>24</v>
      </c>
      <c r="P2481" s="16">
        <f t="shared" ca="1" si="91"/>
        <v>6.8086399999999685</v>
      </c>
      <c r="Q2481" s="11" t="str">
        <f t="shared" ca="1" si="77"/>
        <v/>
      </c>
      <c r="R2481" s="11" t="str">
        <f t="shared" ca="1" si="78"/>
        <v/>
      </c>
      <c r="S2481" s="61" t="str">
        <f t="shared" ca="1" si="79"/>
        <v/>
      </c>
      <c r="T2481" s="11" t="str">
        <f t="shared" ca="1" si="80"/>
        <v/>
      </c>
      <c r="U2481" s="11" t="str">
        <f t="shared" ca="1" si="81"/>
        <v/>
      </c>
      <c r="V2481" s="18" t="str">
        <f t="shared" ca="1" si="82"/>
        <v/>
      </c>
      <c r="W2481" s="61" t="str">
        <f t="shared" ca="1" si="83"/>
        <v/>
      </c>
      <c r="X2481" s="61">
        <f t="shared" ca="1" si="84"/>
        <v>0</v>
      </c>
      <c r="Y2481" s="64" t="str">
        <f t="shared" ca="1" si="85"/>
        <v/>
      </c>
    </row>
    <row r="2482" spans="1:25">
      <c r="A2482" s="2">
        <f>+Get_Data!A2481</f>
        <v>43041</v>
      </c>
      <c r="B2482">
        <f>+ROUND(Get_Data!B2481,5)</f>
        <v>100.53361</v>
      </c>
      <c r="C2482">
        <f>+ROUND(Get_Data!C2481,5)</f>
        <v>41.547179999999997</v>
      </c>
      <c r="D2482" s="4">
        <f t="shared" ref="D2482:D2545" si="92">IFERROR(ROUND(B2482/C2482,5),"")</f>
        <v>2.4197500000000001</v>
      </c>
      <c r="E2482" s="22">
        <f t="shared" ca="1" si="71"/>
        <v>2.4974500000000002</v>
      </c>
      <c r="F2482" s="23">
        <f t="shared" ca="1" si="72"/>
        <v>2.4112499999999999</v>
      </c>
      <c r="G2482" s="10">
        <f t="shared" ca="1" si="73"/>
        <v>0</v>
      </c>
      <c r="H2482" s="12">
        <f t="shared" ca="1" si="74"/>
        <v>0</v>
      </c>
      <c r="I2482" s="11">
        <f t="shared" ca="1" si="75"/>
        <v>0</v>
      </c>
      <c r="J2482" s="11">
        <f t="shared" ca="1" si="76"/>
        <v>-1</v>
      </c>
      <c r="K2482" s="10">
        <f t="shared" ca="1" si="86"/>
        <v>101.15479999999999</v>
      </c>
      <c r="L2482" s="11">
        <f t="shared" ca="1" si="87"/>
        <v>-41.864139999999999</v>
      </c>
      <c r="M2482" s="11">
        <f t="shared" ca="1" si="88"/>
        <v>2.4162599999999999</v>
      </c>
      <c r="N2482" s="15">
        <f t="shared" ca="1" si="89"/>
        <v>10</v>
      </c>
      <c r="O2482" s="15">
        <f t="shared" ca="1" si="90"/>
        <v>24</v>
      </c>
      <c r="P2482" s="16">
        <f t="shared" ca="1" si="91"/>
        <v>6.8086399999999685</v>
      </c>
      <c r="Q2482" s="11" t="str">
        <f t="shared" ca="1" si="77"/>
        <v/>
      </c>
      <c r="R2482" s="11" t="str">
        <f t="shared" ca="1" si="78"/>
        <v/>
      </c>
      <c r="S2482" s="61" t="str">
        <f t="shared" ca="1" si="79"/>
        <v/>
      </c>
      <c r="T2482" s="11" t="str">
        <f t="shared" ca="1" si="80"/>
        <v/>
      </c>
      <c r="U2482" s="11" t="str">
        <f t="shared" ca="1" si="81"/>
        <v/>
      </c>
      <c r="V2482" s="18" t="str">
        <f t="shared" ca="1" si="82"/>
        <v/>
      </c>
      <c r="W2482" s="61" t="str">
        <f t="shared" ca="1" si="83"/>
        <v/>
      </c>
      <c r="X2482" s="61">
        <f t="shared" ca="1" si="84"/>
        <v>0</v>
      </c>
      <c r="Y2482" s="64" t="str">
        <f t="shared" ca="1" si="85"/>
        <v/>
      </c>
    </row>
    <row r="2483" spans="1:25">
      <c r="A2483" s="2">
        <f>+Get_Data!A2482</f>
        <v>43042</v>
      </c>
      <c r="B2483">
        <f>+ROUND(Get_Data!B2482,5)</f>
        <v>100.68892</v>
      </c>
      <c r="C2483">
        <f>+ROUND(Get_Data!C2482,5)</f>
        <v>41.628680000000003</v>
      </c>
      <c r="D2483" s="4">
        <f t="shared" si="92"/>
        <v>2.4187400000000001</v>
      </c>
      <c r="E2483" s="22">
        <f t="shared" ca="1" si="71"/>
        <v>2.4601799999999998</v>
      </c>
      <c r="F2483" s="23">
        <f t="shared" ca="1" si="72"/>
        <v>2.4112499999999999</v>
      </c>
      <c r="G2483" s="10">
        <f t="shared" ca="1" si="73"/>
        <v>0</v>
      </c>
      <c r="H2483" s="12">
        <f t="shared" ca="1" si="74"/>
        <v>0</v>
      </c>
      <c r="I2483" s="11">
        <f t="shared" ca="1" si="75"/>
        <v>0</v>
      </c>
      <c r="J2483" s="11">
        <f t="shared" ca="1" si="76"/>
        <v>-1</v>
      </c>
      <c r="K2483" s="10">
        <f t="shared" ca="1" si="86"/>
        <v>101.15479999999999</v>
      </c>
      <c r="L2483" s="11">
        <f t="shared" ca="1" si="87"/>
        <v>-41.864139999999999</v>
      </c>
      <c r="M2483" s="11">
        <f t="shared" ca="1" si="88"/>
        <v>2.4162599999999999</v>
      </c>
      <c r="N2483" s="15">
        <f t="shared" ca="1" si="89"/>
        <v>10</v>
      </c>
      <c r="O2483" s="15">
        <f t="shared" ca="1" si="90"/>
        <v>24</v>
      </c>
      <c r="P2483" s="16">
        <f t="shared" ca="1" si="91"/>
        <v>6.8086399999999685</v>
      </c>
      <c r="Q2483" s="11" t="str">
        <f t="shared" ca="1" si="77"/>
        <v/>
      </c>
      <c r="R2483" s="11" t="str">
        <f t="shared" ca="1" si="78"/>
        <v/>
      </c>
      <c r="S2483" s="61" t="str">
        <f t="shared" ca="1" si="79"/>
        <v/>
      </c>
      <c r="T2483" s="11" t="str">
        <f t="shared" ca="1" si="80"/>
        <v/>
      </c>
      <c r="U2483" s="11" t="str">
        <f t="shared" ca="1" si="81"/>
        <v/>
      </c>
      <c r="V2483" s="18" t="str">
        <f t="shared" ca="1" si="82"/>
        <v/>
      </c>
      <c r="W2483" s="61" t="str">
        <f t="shared" ca="1" si="83"/>
        <v/>
      </c>
      <c r="X2483" s="61">
        <f t="shared" ca="1" si="84"/>
        <v>0</v>
      </c>
      <c r="Y2483" s="64" t="str">
        <f t="shared" ca="1" si="85"/>
        <v/>
      </c>
    </row>
    <row r="2484" spans="1:25">
      <c r="A2484" s="2">
        <f>+Get_Data!A2483</f>
        <v>43045</v>
      </c>
      <c r="B2484">
        <f>+ROUND(Get_Data!B2483,5)</f>
        <v>99.811930000000004</v>
      </c>
      <c r="C2484">
        <f>+ROUND(Get_Data!C2483,5)</f>
        <v>41.175899999999999</v>
      </c>
      <c r="D2484" s="4">
        <f t="shared" si="92"/>
        <v>2.4240400000000002</v>
      </c>
      <c r="E2484" s="22">
        <f t="shared" ca="1" si="71"/>
        <v>2.4601799999999998</v>
      </c>
      <c r="F2484" s="23">
        <f t="shared" ca="1" si="72"/>
        <v>2.4112499999999999</v>
      </c>
      <c r="G2484" s="10">
        <f t="shared" ca="1" si="73"/>
        <v>0</v>
      </c>
      <c r="H2484" s="12">
        <f t="shared" ca="1" si="74"/>
        <v>0</v>
      </c>
      <c r="I2484" s="11">
        <f t="shared" ca="1" si="75"/>
        <v>0</v>
      </c>
      <c r="J2484" s="11">
        <f t="shared" ca="1" si="76"/>
        <v>-1</v>
      </c>
      <c r="K2484" s="10">
        <f t="shared" ca="1" si="86"/>
        <v>101.15479999999999</v>
      </c>
      <c r="L2484" s="11">
        <f t="shared" ca="1" si="87"/>
        <v>-41.864139999999999</v>
      </c>
      <c r="M2484" s="11">
        <f t="shared" ca="1" si="88"/>
        <v>2.4162599999999999</v>
      </c>
      <c r="N2484" s="15">
        <f t="shared" ca="1" si="89"/>
        <v>10</v>
      </c>
      <c r="O2484" s="15">
        <f t="shared" ca="1" si="90"/>
        <v>24</v>
      </c>
      <c r="P2484" s="16">
        <f t="shared" ca="1" si="91"/>
        <v>6.8086399999999685</v>
      </c>
      <c r="Q2484" s="11" t="str">
        <f t="shared" ca="1" si="77"/>
        <v/>
      </c>
      <c r="R2484" s="11" t="str">
        <f t="shared" ca="1" si="78"/>
        <v/>
      </c>
      <c r="S2484" s="61" t="str">
        <f t="shared" ca="1" si="79"/>
        <v/>
      </c>
      <c r="T2484" s="11" t="str">
        <f t="shared" ca="1" si="80"/>
        <v/>
      </c>
      <c r="U2484" s="11" t="str">
        <f t="shared" ca="1" si="81"/>
        <v/>
      </c>
      <c r="V2484" s="18" t="str">
        <f t="shared" ca="1" si="82"/>
        <v/>
      </c>
      <c r="W2484" s="61" t="str">
        <f t="shared" ca="1" si="83"/>
        <v/>
      </c>
      <c r="X2484" s="61">
        <f t="shared" ca="1" si="84"/>
        <v>0</v>
      </c>
      <c r="Y2484" s="64" t="str">
        <f t="shared" ca="1" si="85"/>
        <v/>
      </c>
    </row>
    <row r="2485" spans="1:25">
      <c r="A2485" s="2">
        <f>+Get_Data!A2484</f>
        <v>43046</v>
      </c>
      <c r="B2485">
        <f>+ROUND(Get_Data!B2484,5)</f>
        <v>100.9173</v>
      </c>
      <c r="C2485">
        <f>+ROUND(Get_Data!C2484,5)</f>
        <v>41.601509999999998</v>
      </c>
      <c r="D2485" s="4">
        <f t="shared" si="92"/>
        <v>2.4258099999999998</v>
      </c>
      <c r="E2485" s="22">
        <f t="shared" ca="1" si="71"/>
        <v>2.4601799999999998</v>
      </c>
      <c r="F2485" s="23">
        <f t="shared" ca="1" si="72"/>
        <v>2.4112499999999999</v>
      </c>
      <c r="G2485" s="10">
        <f t="shared" ca="1" si="73"/>
        <v>0</v>
      </c>
      <c r="H2485" s="12">
        <f t="shared" ca="1" si="74"/>
        <v>0</v>
      </c>
      <c r="I2485" s="11">
        <f t="shared" ca="1" si="75"/>
        <v>0</v>
      </c>
      <c r="J2485" s="11">
        <f t="shared" ca="1" si="76"/>
        <v>-1</v>
      </c>
      <c r="K2485" s="10">
        <f t="shared" ca="1" si="86"/>
        <v>101.15479999999999</v>
      </c>
      <c r="L2485" s="11">
        <f t="shared" ca="1" si="87"/>
        <v>-41.864139999999999</v>
      </c>
      <c r="M2485" s="11">
        <f t="shared" ca="1" si="88"/>
        <v>2.4162599999999999</v>
      </c>
      <c r="N2485" s="15">
        <f t="shared" ca="1" si="89"/>
        <v>10</v>
      </c>
      <c r="O2485" s="15">
        <f t="shared" ca="1" si="90"/>
        <v>24</v>
      </c>
      <c r="P2485" s="16">
        <f t="shared" ca="1" si="91"/>
        <v>6.8086399999999685</v>
      </c>
      <c r="Q2485" s="11" t="str">
        <f t="shared" ca="1" si="77"/>
        <v/>
      </c>
      <c r="R2485" s="11" t="str">
        <f t="shared" ca="1" si="78"/>
        <v/>
      </c>
      <c r="S2485" s="61" t="str">
        <f t="shared" ca="1" si="79"/>
        <v/>
      </c>
      <c r="T2485" s="11" t="str">
        <f t="shared" ca="1" si="80"/>
        <v/>
      </c>
      <c r="U2485" s="11" t="str">
        <f t="shared" ca="1" si="81"/>
        <v/>
      </c>
      <c r="V2485" s="18" t="str">
        <f t="shared" ca="1" si="82"/>
        <v/>
      </c>
      <c r="W2485" s="61" t="str">
        <f t="shared" ca="1" si="83"/>
        <v/>
      </c>
      <c r="X2485" s="61">
        <f t="shared" ca="1" si="84"/>
        <v>0</v>
      </c>
      <c r="Y2485" s="64" t="str">
        <f t="shared" ca="1" si="85"/>
        <v/>
      </c>
    </row>
    <row r="2486" spans="1:25">
      <c r="A2486" s="2">
        <f>+Get_Data!A2485</f>
        <v>43047</v>
      </c>
      <c r="B2486">
        <f>+ROUND(Get_Data!B2485,5)</f>
        <v>102.31497</v>
      </c>
      <c r="C2486">
        <f>+ROUND(Get_Data!C2485,5)</f>
        <v>41.818860000000001</v>
      </c>
      <c r="D2486" s="4">
        <f t="shared" si="92"/>
        <v>2.4466199999999998</v>
      </c>
      <c r="E2486" s="22">
        <f t="shared" ca="1" si="71"/>
        <v>2.4601799999999998</v>
      </c>
      <c r="F2486" s="23">
        <f t="shared" ca="1" si="72"/>
        <v>2.4112499999999999</v>
      </c>
      <c r="G2486" s="10">
        <f t="shared" ca="1" si="73"/>
        <v>0</v>
      </c>
      <c r="H2486" s="12">
        <f t="shared" ca="1" si="74"/>
        <v>0</v>
      </c>
      <c r="I2486" s="11">
        <f t="shared" ca="1" si="75"/>
        <v>0</v>
      </c>
      <c r="J2486" s="11">
        <f t="shared" ca="1" si="76"/>
        <v>-1</v>
      </c>
      <c r="K2486" s="10">
        <f t="shared" ca="1" si="86"/>
        <v>101.15479999999999</v>
      </c>
      <c r="L2486" s="11">
        <f t="shared" ca="1" si="87"/>
        <v>-41.864139999999999</v>
      </c>
      <c r="M2486" s="11">
        <f t="shared" ca="1" si="88"/>
        <v>2.4162599999999999</v>
      </c>
      <c r="N2486" s="15">
        <f t="shared" ca="1" si="89"/>
        <v>10</v>
      </c>
      <c r="O2486" s="15">
        <f t="shared" ca="1" si="90"/>
        <v>24</v>
      </c>
      <c r="P2486" s="16">
        <f t="shared" ca="1" si="91"/>
        <v>6.8086399999999685</v>
      </c>
      <c r="Q2486" s="11" t="str">
        <f t="shared" ca="1" si="77"/>
        <v/>
      </c>
      <c r="R2486" s="11" t="str">
        <f t="shared" ca="1" si="78"/>
        <v/>
      </c>
      <c r="S2486" s="61" t="str">
        <f t="shared" ca="1" si="79"/>
        <v/>
      </c>
      <c r="T2486" s="11" t="str">
        <f t="shared" ca="1" si="80"/>
        <v/>
      </c>
      <c r="U2486" s="11" t="str">
        <f t="shared" ca="1" si="81"/>
        <v/>
      </c>
      <c r="V2486" s="18" t="str">
        <f t="shared" ca="1" si="82"/>
        <v/>
      </c>
      <c r="W2486" s="61" t="str">
        <f t="shared" ca="1" si="83"/>
        <v/>
      </c>
      <c r="X2486" s="61">
        <f t="shared" ca="1" si="84"/>
        <v>0</v>
      </c>
      <c r="Y2486" s="64" t="str">
        <f t="shared" ca="1" si="85"/>
        <v/>
      </c>
    </row>
    <row r="2487" spans="1:25">
      <c r="A2487" s="2">
        <f>+Get_Data!A2486</f>
        <v>43048</v>
      </c>
      <c r="B2487">
        <f>+ROUND(Get_Data!B2486,5)</f>
        <v>101.83994</v>
      </c>
      <c r="C2487">
        <f>+ROUND(Get_Data!C2486,5)</f>
        <v>41.864139999999999</v>
      </c>
      <c r="D2487" s="4">
        <f t="shared" si="92"/>
        <v>2.4326300000000001</v>
      </c>
      <c r="E2487" s="22">
        <f t="shared" ca="1" si="71"/>
        <v>2.4601799999999998</v>
      </c>
      <c r="F2487" s="23">
        <f t="shared" ca="1" si="72"/>
        <v>2.4112499999999999</v>
      </c>
      <c r="G2487" s="10">
        <f t="shared" ca="1" si="73"/>
        <v>0</v>
      </c>
      <c r="H2487" s="12">
        <f t="shared" ca="1" si="74"/>
        <v>0</v>
      </c>
      <c r="I2487" s="11">
        <f t="shared" ca="1" si="75"/>
        <v>0</v>
      </c>
      <c r="J2487" s="11">
        <f t="shared" ca="1" si="76"/>
        <v>-1</v>
      </c>
      <c r="K2487" s="10">
        <f t="shared" ca="1" si="86"/>
        <v>101.15479999999999</v>
      </c>
      <c r="L2487" s="11">
        <f t="shared" ca="1" si="87"/>
        <v>-41.864139999999999</v>
      </c>
      <c r="M2487" s="11">
        <f t="shared" ca="1" si="88"/>
        <v>2.4162599999999999</v>
      </c>
      <c r="N2487" s="15">
        <f t="shared" ca="1" si="89"/>
        <v>10</v>
      </c>
      <c r="O2487" s="15">
        <f t="shared" ca="1" si="90"/>
        <v>24</v>
      </c>
      <c r="P2487" s="16">
        <f t="shared" ca="1" si="91"/>
        <v>6.8086399999999685</v>
      </c>
      <c r="Q2487" s="11" t="str">
        <f t="shared" ca="1" si="77"/>
        <v/>
      </c>
      <c r="R2487" s="11" t="str">
        <f t="shared" ca="1" si="78"/>
        <v/>
      </c>
      <c r="S2487" s="61" t="str">
        <f t="shared" ca="1" si="79"/>
        <v/>
      </c>
      <c r="T2487" s="11" t="str">
        <f t="shared" ca="1" si="80"/>
        <v/>
      </c>
      <c r="U2487" s="11" t="str">
        <f t="shared" ca="1" si="81"/>
        <v/>
      </c>
      <c r="V2487" s="18" t="str">
        <f t="shared" ca="1" si="82"/>
        <v/>
      </c>
      <c r="W2487" s="61" t="str">
        <f t="shared" ca="1" si="83"/>
        <v/>
      </c>
      <c r="X2487" s="61">
        <f t="shared" ca="1" si="84"/>
        <v>0</v>
      </c>
      <c r="Y2487" s="64" t="str">
        <f t="shared" ca="1" si="85"/>
        <v/>
      </c>
    </row>
    <row r="2488" spans="1:25">
      <c r="A2488" s="2">
        <f>+Get_Data!A2487</f>
        <v>43049</v>
      </c>
      <c r="B2488">
        <f>+ROUND(Get_Data!B2487,5)</f>
        <v>103.00014</v>
      </c>
      <c r="C2488">
        <f>+ROUND(Get_Data!C2487,5)</f>
        <v>42.144860000000001</v>
      </c>
      <c r="D2488" s="4">
        <f t="shared" si="92"/>
        <v>2.4439500000000001</v>
      </c>
      <c r="E2488" s="22">
        <f t="shared" ca="1" si="71"/>
        <v>2.4601799999999998</v>
      </c>
      <c r="F2488" s="23">
        <f t="shared" ca="1" si="72"/>
        <v>2.4112499999999999</v>
      </c>
      <c r="G2488" s="10">
        <f t="shared" ca="1" si="73"/>
        <v>0</v>
      </c>
      <c r="H2488" s="12">
        <f t="shared" ca="1" si="74"/>
        <v>0</v>
      </c>
      <c r="I2488" s="11">
        <f t="shared" ca="1" si="75"/>
        <v>0</v>
      </c>
      <c r="J2488" s="11">
        <f t="shared" ca="1" si="76"/>
        <v>-1</v>
      </c>
      <c r="K2488" s="10">
        <f t="shared" ca="1" si="86"/>
        <v>101.15479999999999</v>
      </c>
      <c r="L2488" s="11">
        <f t="shared" ca="1" si="87"/>
        <v>-41.864139999999999</v>
      </c>
      <c r="M2488" s="11">
        <f t="shared" ca="1" si="88"/>
        <v>2.4162599999999999</v>
      </c>
      <c r="N2488" s="15">
        <f t="shared" ca="1" si="89"/>
        <v>10</v>
      </c>
      <c r="O2488" s="15">
        <f t="shared" ca="1" si="90"/>
        <v>24</v>
      </c>
      <c r="P2488" s="16">
        <f t="shared" ca="1" si="91"/>
        <v>6.8086399999999685</v>
      </c>
      <c r="Q2488" s="11" t="str">
        <f t="shared" ca="1" si="77"/>
        <v/>
      </c>
      <c r="R2488" s="11" t="str">
        <f t="shared" ca="1" si="78"/>
        <v/>
      </c>
      <c r="S2488" s="61" t="str">
        <f t="shared" ca="1" si="79"/>
        <v/>
      </c>
      <c r="T2488" s="11" t="str">
        <f t="shared" ca="1" si="80"/>
        <v/>
      </c>
      <c r="U2488" s="11" t="str">
        <f t="shared" ca="1" si="81"/>
        <v/>
      </c>
      <c r="V2488" s="18" t="str">
        <f t="shared" ca="1" si="82"/>
        <v/>
      </c>
      <c r="W2488" s="61" t="str">
        <f t="shared" ca="1" si="83"/>
        <v/>
      </c>
      <c r="X2488" s="61">
        <f t="shared" ca="1" si="84"/>
        <v>0</v>
      </c>
      <c r="Y2488" s="64" t="str">
        <f t="shared" ca="1" si="85"/>
        <v/>
      </c>
    </row>
    <row r="2489" spans="1:25">
      <c r="A2489" s="2">
        <f>+Get_Data!A2488</f>
        <v>43052</v>
      </c>
      <c r="B2489">
        <f>+ROUND(Get_Data!B2488,5)</f>
        <v>104.17856999999999</v>
      </c>
      <c r="C2489">
        <f>+ROUND(Get_Data!C2488,5)</f>
        <v>42.307859999999998</v>
      </c>
      <c r="D2489" s="4">
        <f t="shared" si="92"/>
        <v>2.4623900000000001</v>
      </c>
      <c r="E2489" s="22">
        <f t="shared" ca="1" si="71"/>
        <v>2.4623900000000001</v>
      </c>
      <c r="F2489" s="23">
        <f t="shared" ca="1" si="72"/>
        <v>2.4112499999999999</v>
      </c>
      <c r="G2489" s="10">
        <f t="shared" ca="1" si="73"/>
        <v>1</v>
      </c>
      <c r="H2489" s="12">
        <f t="shared" ca="1" si="74"/>
        <v>0</v>
      </c>
      <c r="I2489" s="11">
        <f t="shared" ca="1" si="75"/>
        <v>1</v>
      </c>
      <c r="J2489" s="11">
        <f t="shared" ca="1" si="76"/>
        <v>0</v>
      </c>
      <c r="K2489" s="10">
        <f t="shared" ca="1" si="86"/>
        <v>101.15479999999999</v>
      </c>
      <c r="L2489" s="11">
        <f t="shared" ca="1" si="87"/>
        <v>-41.864139999999999</v>
      </c>
      <c r="M2489" s="11">
        <f t="shared" ca="1" si="88"/>
        <v>2.4162599999999999</v>
      </c>
      <c r="N2489" s="15">
        <f t="shared" ca="1" si="89"/>
        <v>10</v>
      </c>
      <c r="O2489" s="15">
        <f t="shared" ca="1" si="90"/>
        <v>24</v>
      </c>
      <c r="P2489" s="16">
        <f t="shared" ca="1" si="91"/>
        <v>6.8086399999999685</v>
      </c>
      <c r="Q2489" s="11" t="str">
        <f t="shared" ca="1" si="77"/>
        <v/>
      </c>
      <c r="R2489" s="11" t="str">
        <f t="shared" ca="1" si="78"/>
        <v/>
      </c>
      <c r="S2489" s="61" t="str">
        <f t="shared" ca="1" si="79"/>
        <v/>
      </c>
      <c r="T2489" s="11" t="str">
        <f t="shared" ca="1" si="80"/>
        <v/>
      </c>
      <c r="U2489" s="11" t="str">
        <f t="shared" ca="1" si="81"/>
        <v/>
      </c>
      <c r="V2489" s="18" t="str">
        <f t="shared" ca="1" si="82"/>
        <v/>
      </c>
      <c r="W2489" s="61" t="str">
        <f t="shared" ca="1" si="83"/>
        <v/>
      </c>
      <c r="X2489" s="61">
        <f t="shared" ca="1" si="84"/>
        <v>0</v>
      </c>
      <c r="Y2489" s="64" t="str">
        <f t="shared" ca="1" si="85"/>
        <v/>
      </c>
    </row>
    <row r="2490" spans="1:25">
      <c r="A2490" s="2">
        <f>+Get_Data!A2489</f>
        <v>43053</v>
      </c>
      <c r="B2490">
        <f>+ROUND(Get_Data!B2489,5)</f>
        <v>105.74986</v>
      </c>
      <c r="C2490">
        <f>+ROUND(Get_Data!C2489,5)</f>
        <v>42.950809999999997</v>
      </c>
      <c r="D2490" s="4">
        <f t="shared" si="92"/>
        <v>2.4621200000000001</v>
      </c>
      <c r="E2490" s="22">
        <f t="shared" ca="1" si="71"/>
        <v>2.4623900000000001</v>
      </c>
      <c r="F2490" s="23">
        <f t="shared" ca="1" si="72"/>
        <v>2.4112499999999999</v>
      </c>
      <c r="G2490" s="10">
        <f t="shared" ca="1" si="73"/>
        <v>0</v>
      </c>
      <c r="H2490" s="12">
        <f t="shared" ca="1" si="74"/>
        <v>0</v>
      </c>
      <c r="I2490" s="11">
        <f t="shared" ca="1" si="75"/>
        <v>0</v>
      </c>
      <c r="J2490" s="11">
        <f t="shared" ca="1" si="76"/>
        <v>0</v>
      </c>
      <c r="K2490" s="10" t="str">
        <f t="shared" ca="1" si="86"/>
        <v/>
      </c>
      <c r="L2490" s="11" t="str">
        <f t="shared" ca="1" si="87"/>
        <v/>
      </c>
      <c r="M2490" s="11" t="str">
        <f t="shared" ca="1" si="88"/>
        <v/>
      </c>
      <c r="N2490" s="15" t="str">
        <f t="shared" ca="1" si="89"/>
        <v/>
      </c>
      <c r="O2490" s="15" t="str">
        <f t="shared" ca="1" si="90"/>
        <v/>
      </c>
      <c r="P2490" s="16" t="str">
        <f t="shared" ca="1" si="91"/>
        <v/>
      </c>
      <c r="Q2490" s="11">
        <f t="shared" ca="1" si="77"/>
        <v>105.74986</v>
      </c>
      <c r="R2490" s="11">
        <f t="shared" ca="1" si="78"/>
        <v>42.950809999999997</v>
      </c>
      <c r="S2490" s="61">
        <f t="shared" ca="1" si="79"/>
        <v>2.4621200000000001</v>
      </c>
      <c r="T2490" s="11">
        <f t="shared" ca="1" si="80"/>
        <v>10</v>
      </c>
      <c r="U2490" s="11">
        <f t="shared" ca="1" si="81"/>
        <v>24</v>
      </c>
      <c r="V2490" s="18">
        <f t="shared" ca="1" si="82"/>
        <v>-45.950600000000037</v>
      </c>
      <c r="W2490" s="61">
        <f t="shared" ca="1" si="83"/>
        <v>26.080079999999953</v>
      </c>
      <c r="X2490" s="61">
        <f t="shared" ca="1" si="84"/>
        <v>-19.870520000000084</v>
      </c>
      <c r="Y2490" s="64">
        <f t="shared" ca="1" si="85"/>
        <v>-1.9276431185659523E-2</v>
      </c>
    </row>
    <row r="2491" spans="1:25">
      <c r="A2491" s="2">
        <f>+Get_Data!A2490</f>
        <v>43054</v>
      </c>
      <c r="B2491">
        <f>+ROUND(Get_Data!B2490,5)</f>
        <v>105.14691999999999</v>
      </c>
      <c r="C2491">
        <f>+ROUND(Get_Data!C2490,5)</f>
        <v>42.389360000000003</v>
      </c>
      <c r="D2491" s="4">
        <f t="shared" si="92"/>
        <v>2.4805000000000001</v>
      </c>
      <c r="E2491" s="22">
        <f t="shared" ca="1" si="71"/>
        <v>2.4805000000000001</v>
      </c>
      <c r="F2491" s="23">
        <f t="shared" ca="1" si="72"/>
        <v>2.4112499999999999</v>
      </c>
      <c r="G2491" s="10">
        <f t="shared" ca="1" si="73"/>
        <v>1</v>
      </c>
      <c r="H2491" s="12">
        <f t="shared" ca="1" si="74"/>
        <v>0</v>
      </c>
      <c r="I2491" s="11">
        <f t="shared" ca="1" si="75"/>
        <v>1</v>
      </c>
      <c r="J2491" s="11">
        <f t="shared" ca="1" si="76"/>
        <v>1</v>
      </c>
      <c r="K2491" s="10" t="str">
        <f t="shared" ca="1" si="86"/>
        <v/>
      </c>
      <c r="L2491" s="11" t="str">
        <f t="shared" ca="1" si="87"/>
        <v/>
      </c>
      <c r="M2491" s="11" t="str">
        <f t="shared" ca="1" si="88"/>
        <v/>
      </c>
      <c r="N2491" s="15" t="str">
        <f t="shared" ca="1" si="89"/>
        <v/>
      </c>
      <c r="O2491" s="15" t="str">
        <f t="shared" ca="1" si="90"/>
        <v/>
      </c>
      <c r="P2491" s="16" t="str">
        <f t="shared" ca="1" si="91"/>
        <v/>
      </c>
      <c r="Q2491" s="11" t="str">
        <f t="shared" ca="1" si="77"/>
        <v/>
      </c>
      <c r="R2491" s="11" t="str">
        <f t="shared" ca="1" si="78"/>
        <v/>
      </c>
      <c r="S2491" s="61" t="str">
        <f t="shared" ca="1" si="79"/>
        <v/>
      </c>
      <c r="T2491" s="11" t="str">
        <f t="shared" ca="1" si="80"/>
        <v/>
      </c>
      <c r="U2491" s="11" t="str">
        <f t="shared" ca="1" si="81"/>
        <v/>
      </c>
      <c r="V2491" s="18" t="str">
        <f t="shared" ca="1" si="82"/>
        <v/>
      </c>
      <c r="W2491" s="61" t="str">
        <f t="shared" ca="1" si="83"/>
        <v/>
      </c>
      <c r="X2491" s="61">
        <f t="shared" ca="1" si="84"/>
        <v>0</v>
      </c>
      <c r="Y2491" s="64" t="str">
        <f t="shared" ca="1" si="85"/>
        <v/>
      </c>
    </row>
    <row r="2492" spans="1:25">
      <c r="A2492" s="2">
        <f>+Get_Data!A2491</f>
        <v>43055</v>
      </c>
      <c r="B2492">
        <f>+ROUND(Get_Data!B2491,5)</f>
        <v>105.26568</v>
      </c>
      <c r="C2492">
        <f>+ROUND(Get_Data!C2491,5)</f>
        <v>42.153919999999999</v>
      </c>
      <c r="D2492" s="4">
        <f t="shared" si="92"/>
        <v>2.4971700000000001</v>
      </c>
      <c r="E2492" s="22">
        <f t="shared" ca="1" si="71"/>
        <v>2.4971700000000001</v>
      </c>
      <c r="F2492" s="23">
        <f t="shared" ca="1" si="72"/>
        <v>2.4112499999999999</v>
      </c>
      <c r="G2492" s="10">
        <f t="shared" ca="1" si="73"/>
        <v>1</v>
      </c>
      <c r="H2492" s="12">
        <f t="shared" ca="1" si="74"/>
        <v>0</v>
      </c>
      <c r="I2492" s="11">
        <f t="shared" ca="1" si="75"/>
        <v>1</v>
      </c>
      <c r="J2492" s="11">
        <f t="shared" ca="1" si="76"/>
        <v>2</v>
      </c>
      <c r="K2492" s="10">
        <f t="shared" ca="1" si="86"/>
        <v>-105.26568</v>
      </c>
      <c r="L2492" s="11">
        <f t="shared" ca="1" si="87"/>
        <v>42.153919999999999</v>
      </c>
      <c r="M2492" s="11">
        <f t="shared" ca="1" si="88"/>
        <v>2.4971700000000001</v>
      </c>
      <c r="N2492" s="15">
        <f t="shared" ca="1" si="89"/>
        <v>10</v>
      </c>
      <c r="O2492" s="15">
        <f t="shared" ca="1" si="90"/>
        <v>25</v>
      </c>
      <c r="P2492" s="16">
        <f t="shared" ca="1" si="91"/>
        <v>1.1911999999999807</v>
      </c>
      <c r="Q2492" s="11" t="str">
        <f t="shared" ca="1" si="77"/>
        <v/>
      </c>
      <c r="R2492" s="11" t="str">
        <f t="shared" ca="1" si="78"/>
        <v/>
      </c>
      <c r="S2492" s="61" t="str">
        <f t="shared" ca="1" si="79"/>
        <v/>
      </c>
      <c r="T2492" s="11" t="str">
        <f t="shared" ca="1" si="80"/>
        <v/>
      </c>
      <c r="U2492" s="11" t="str">
        <f t="shared" ca="1" si="81"/>
        <v/>
      </c>
      <c r="V2492" s="18" t="str">
        <f t="shared" ca="1" si="82"/>
        <v/>
      </c>
      <c r="W2492" s="61" t="str">
        <f t="shared" ca="1" si="83"/>
        <v/>
      </c>
      <c r="X2492" s="61">
        <f t="shared" ca="1" si="84"/>
        <v>0</v>
      </c>
      <c r="Y2492" s="64" t="str">
        <f t="shared" ca="1" si="85"/>
        <v/>
      </c>
    </row>
    <row r="2493" spans="1:25">
      <c r="A2493" s="2">
        <f>+Get_Data!A2492</f>
        <v>43056</v>
      </c>
      <c r="B2493">
        <f>+ROUND(Get_Data!B2492,5)</f>
        <v>104.76324</v>
      </c>
      <c r="C2493">
        <f>+ROUND(Get_Data!C2492,5)</f>
        <v>41.393239999999999</v>
      </c>
      <c r="D2493" s="4">
        <f t="shared" si="92"/>
        <v>2.5309300000000001</v>
      </c>
      <c r="E2493" s="22">
        <f t="shared" ca="1" si="71"/>
        <v>2.5309300000000001</v>
      </c>
      <c r="F2493" s="23">
        <f t="shared" ca="1" si="72"/>
        <v>2.4112499999999999</v>
      </c>
      <c r="G2493" s="10">
        <f t="shared" ca="1" si="73"/>
        <v>1</v>
      </c>
      <c r="H2493" s="12">
        <f t="shared" ca="1" si="74"/>
        <v>0</v>
      </c>
      <c r="I2493" s="11">
        <f t="shared" ca="1" si="75"/>
        <v>1</v>
      </c>
      <c r="J2493" s="11">
        <f t="shared" ca="1" si="76"/>
        <v>0</v>
      </c>
      <c r="K2493" s="10">
        <f t="shared" ca="1" si="86"/>
        <v>-105.26568</v>
      </c>
      <c r="L2493" s="11">
        <f t="shared" ca="1" si="87"/>
        <v>42.153919999999999</v>
      </c>
      <c r="M2493" s="11">
        <f t="shared" ca="1" si="88"/>
        <v>2.4971700000000001</v>
      </c>
      <c r="N2493" s="15">
        <f t="shared" ca="1" si="89"/>
        <v>10</v>
      </c>
      <c r="O2493" s="15">
        <f t="shared" ca="1" si="90"/>
        <v>25</v>
      </c>
      <c r="P2493" s="16">
        <f t="shared" ca="1" si="91"/>
        <v>1.1911999999999807</v>
      </c>
      <c r="Q2493" s="11" t="str">
        <f t="shared" ca="1" si="77"/>
        <v/>
      </c>
      <c r="R2493" s="11" t="str">
        <f t="shared" ca="1" si="78"/>
        <v/>
      </c>
      <c r="S2493" s="61" t="str">
        <f t="shared" ca="1" si="79"/>
        <v/>
      </c>
      <c r="T2493" s="11" t="str">
        <f t="shared" ca="1" si="80"/>
        <v/>
      </c>
      <c r="U2493" s="11" t="str">
        <f t="shared" ca="1" si="81"/>
        <v/>
      </c>
      <c r="V2493" s="18" t="str">
        <f t="shared" ca="1" si="82"/>
        <v/>
      </c>
      <c r="W2493" s="61" t="str">
        <f t="shared" ca="1" si="83"/>
        <v/>
      </c>
      <c r="X2493" s="61">
        <f t="shared" ca="1" si="84"/>
        <v>0</v>
      </c>
      <c r="Y2493" s="64" t="str">
        <f t="shared" ca="1" si="85"/>
        <v/>
      </c>
    </row>
    <row r="2494" spans="1:25">
      <c r="A2494" s="2">
        <f>+Get_Data!A2493</f>
        <v>43059</v>
      </c>
      <c r="B2494">
        <f>+ROUND(Get_Data!B2493,5)</f>
        <v>104.97336</v>
      </c>
      <c r="C2494">
        <f>+ROUND(Get_Data!C2493,5)</f>
        <v>41.166849999999997</v>
      </c>
      <c r="D2494" s="4">
        <f t="shared" si="92"/>
        <v>2.5499499999999999</v>
      </c>
      <c r="E2494" s="22">
        <f t="shared" ca="1" si="71"/>
        <v>2.5499499999999999</v>
      </c>
      <c r="F2494" s="23">
        <f t="shared" ca="1" si="72"/>
        <v>2.4112499999999999</v>
      </c>
      <c r="G2494" s="10">
        <f t="shared" ca="1" si="73"/>
        <v>1</v>
      </c>
      <c r="H2494" s="12">
        <f t="shared" ca="1" si="74"/>
        <v>0</v>
      </c>
      <c r="I2494" s="11">
        <f t="shared" ca="1" si="75"/>
        <v>1</v>
      </c>
      <c r="J2494" s="11">
        <f t="shared" ca="1" si="76"/>
        <v>1</v>
      </c>
      <c r="K2494" s="10" t="str">
        <f t="shared" ca="1" si="86"/>
        <v/>
      </c>
      <c r="L2494" s="11" t="str">
        <f t="shared" ca="1" si="87"/>
        <v/>
      </c>
      <c r="M2494" s="11" t="str">
        <f t="shared" ca="1" si="88"/>
        <v/>
      </c>
      <c r="N2494" s="15" t="str">
        <f t="shared" ca="1" si="89"/>
        <v/>
      </c>
      <c r="O2494" s="15" t="str">
        <f t="shared" ca="1" si="90"/>
        <v/>
      </c>
      <c r="P2494" s="16" t="str">
        <f t="shared" ca="1" si="91"/>
        <v/>
      </c>
      <c r="Q2494" s="11">
        <f t="shared" ca="1" si="77"/>
        <v>104.97336</v>
      </c>
      <c r="R2494" s="11">
        <f t="shared" ca="1" si="78"/>
        <v>41.166849999999997</v>
      </c>
      <c r="S2494" s="61">
        <f t="shared" ca="1" si="79"/>
        <v>2.5499499999999999</v>
      </c>
      <c r="T2494" s="11">
        <f t="shared" ca="1" si="80"/>
        <v>10</v>
      </c>
      <c r="U2494" s="11">
        <f t="shared" ca="1" si="81"/>
        <v>25</v>
      </c>
      <c r="V2494" s="18">
        <f t="shared" ca="1" si="82"/>
        <v>-2102.3903999999998</v>
      </c>
      <c r="W2494" s="61">
        <f t="shared" ca="1" si="83"/>
        <v>2083.0192499999998</v>
      </c>
      <c r="X2494" s="61">
        <f t="shared" ca="1" si="84"/>
        <v>-19.371149999999943</v>
      </c>
      <c r="Y2494" s="64">
        <f t="shared" ca="1" si="85"/>
        <v>-1.882208621742975E-2</v>
      </c>
    </row>
    <row r="2495" spans="1:25">
      <c r="A2495" s="2">
        <f>+Get_Data!A2494</f>
        <v>43060</v>
      </c>
      <c r="B2495">
        <f>+ROUND(Get_Data!B2494,5)</f>
        <v>106.01476</v>
      </c>
      <c r="C2495">
        <f>+ROUND(Get_Data!C2494,5)</f>
        <v>41.456629999999997</v>
      </c>
      <c r="D2495" s="4">
        <f t="shared" si="92"/>
        <v>2.5572499999999998</v>
      </c>
      <c r="E2495" s="22">
        <f t="shared" ca="1" si="71"/>
        <v>2.5572499999999998</v>
      </c>
      <c r="F2495" s="23">
        <f t="shared" ca="1" si="72"/>
        <v>2.4112499999999999</v>
      </c>
      <c r="G2495" s="10">
        <f t="shared" ca="1" si="73"/>
        <v>1</v>
      </c>
      <c r="H2495" s="12">
        <f t="shared" ca="1" si="74"/>
        <v>0</v>
      </c>
      <c r="I2495" s="11">
        <f t="shared" ca="1" si="75"/>
        <v>1</v>
      </c>
      <c r="J2495" s="11">
        <f t="shared" ca="1" si="76"/>
        <v>2</v>
      </c>
      <c r="K2495" s="10">
        <f t="shared" ca="1" si="86"/>
        <v>-106.01476</v>
      </c>
      <c r="L2495" s="11">
        <f t="shared" ca="1" si="87"/>
        <v>41.456629999999997</v>
      </c>
      <c r="M2495" s="11">
        <f t="shared" ca="1" si="88"/>
        <v>2.5572499999999998</v>
      </c>
      <c r="N2495" s="15">
        <f t="shared" ca="1" si="89"/>
        <v>10</v>
      </c>
      <c r="O2495" s="15">
        <f t="shared" ca="1" si="90"/>
        <v>26</v>
      </c>
      <c r="P2495" s="16">
        <f t="shared" ca="1" si="91"/>
        <v>17.72478000000001</v>
      </c>
      <c r="Q2495" s="11" t="str">
        <f t="shared" ca="1" si="77"/>
        <v/>
      </c>
      <c r="R2495" s="11" t="str">
        <f t="shared" ca="1" si="78"/>
        <v/>
      </c>
      <c r="S2495" s="61" t="str">
        <f t="shared" ca="1" si="79"/>
        <v/>
      </c>
      <c r="T2495" s="11" t="str">
        <f t="shared" ca="1" si="80"/>
        <v/>
      </c>
      <c r="U2495" s="11" t="str">
        <f t="shared" ca="1" si="81"/>
        <v/>
      </c>
      <c r="V2495" s="18" t="str">
        <f t="shared" ca="1" si="82"/>
        <v/>
      </c>
      <c r="W2495" s="61" t="str">
        <f t="shared" ca="1" si="83"/>
        <v/>
      </c>
      <c r="X2495" s="61">
        <f t="shared" ca="1" si="84"/>
        <v>0</v>
      </c>
      <c r="Y2495" s="64" t="str">
        <f t="shared" ca="1" si="85"/>
        <v/>
      </c>
    </row>
    <row r="2496" spans="1:25">
      <c r="A2496" s="2">
        <f>+Get_Data!A2495</f>
        <v>43061</v>
      </c>
      <c r="B2496">
        <f>+ROUND(Get_Data!B2495,5)</f>
        <v>105.12864</v>
      </c>
      <c r="C2496">
        <f>+ROUND(Get_Data!C2495,5)</f>
        <v>41.510959999999997</v>
      </c>
      <c r="D2496" s="4">
        <f t="shared" si="92"/>
        <v>2.5325500000000001</v>
      </c>
      <c r="E2496" s="22">
        <f t="shared" ca="1" si="71"/>
        <v>2.5572499999999998</v>
      </c>
      <c r="F2496" s="23">
        <f t="shared" ca="1" si="72"/>
        <v>2.4112499999999999</v>
      </c>
      <c r="G2496" s="10">
        <f t="shared" ca="1" si="73"/>
        <v>0</v>
      </c>
      <c r="H2496" s="12">
        <f t="shared" ca="1" si="74"/>
        <v>0</v>
      </c>
      <c r="I2496" s="11">
        <f t="shared" ca="1" si="75"/>
        <v>0</v>
      </c>
      <c r="J2496" s="11">
        <f t="shared" ca="1" si="76"/>
        <v>2</v>
      </c>
      <c r="K2496" s="10">
        <f t="shared" ca="1" si="86"/>
        <v>-106.01476</v>
      </c>
      <c r="L2496" s="11">
        <f t="shared" ca="1" si="87"/>
        <v>41.456629999999997</v>
      </c>
      <c r="M2496" s="11">
        <f t="shared" ca="1" si="88"/>
        <v>2.5572499999999998</v>
      </c>
      <c r="N2496" s="15">
        <f t="shared" ca="1" si="89"/>
        <v>10</v>
      </c>
      <c r="O2496" s="15">
        <f t="shared" ca="1" si="90"/>
        <v>26</v>
      </c>
      <c r="P2496" s="16">
        <f t="shared" ca="1" si="91"/>
        <v>17.72478000000001</v>
      </c>
      <c r="Q2496" s="11" t="str">
        <f t="shared" ca="1" si="77"/>
        <v/>
      </c>
      <c r="R2496" s="11" t="str">
        <f t="shared" ca="1" si="78"/>
        <v/>
      </c>
      <c r="S2496" s="61" t="str">
        <f t="shared" ca="1" si="79"/>
        <v/>
      </c>
      <c r="T2496" s="11" t="str">
        <f t="shared" ca="1" si="80"/>
        <v/>
      </c>
      <c r="U2496" s="11" t="str">
        <f t="shared" ca="1" si="81"/>
        <v/>
      </c>
      <c r="V2496" s="18" t="str">
        <f t="shared" ca="1" si="82"/>
        <v/>
      </c>
      <c r="W2496" s="61" t="str">
        <f t="shared" ca="1" si="83"/>
        <v/>
      </c>
      <c r="X2496" s="61">
        <f t="shared" ca="1" si="84"/>
        <v>0</v>
      </c>
      <c r="Y2496" s="64" t="str">
        <f t="shared" ca="1" si="85"/>
        <v/>
      </c>
    </row>
    <row r="2497" spans="1:25">
      <c r="A2497" s="2">
        <f>+Get_Data!A2496</f>
        <v>43063</v>
      </c>
      <c r="B2497">
        <f>+ROUND(Get_Data!B2496,5)</f>
        <v>105.87775000000001</v>
      </c>
      <c r="C2497">
        <f>+ROUND(Get_Data!C2496,5)</f>
        <v>41.547179999999997</v>
      </c>
      <c r="D2497" s="4">
        <f t="shared" si="92"/>
        <v>2.5483699999999998</v>
      </c>
      <c r="E2497" s="22">
        <f t="shared" ca="1" si="71"/>
        <v>2.5572499999999998</v>
      </c>
      <c r="F2497" s="23">
        <f t="shared" ca="1" si="72"/>
        <v>2.4112499999999999</v>
      </c>
      <c r="G2497" s="10">
        <f t="shared" ca="1" si="73"/>
        <v>0</v>
      </c>
      <c r="H2497" s="12">
        <f t="shared" ca="1" si="74"/>
        <v>0</v>
      </c>
      <c r="I2497" s="11">
        <f t="shared" ca="1" si="75"/>
        <v>0</v>
      </c>
      <c r="J2497" s="11">
        <f t="shared" ca="1" si="76"/>
        <v>2</v>
      </c>
      <c r="K2497" s="10">
        <f t="shared" ca="1" si="86"/>
        <v>-106.01476</v>
      </c>
      <c r="L2497" s="11">
        <f t="shared" ca="1" si="87"/>
        <v>41.456629999999997</v>
      </c>
      <c r="M2497" s="11">
        <f t="shared" ca="1" si="88"/>
        <v>2.5572499999999998</v>
      </c>
      <c r="N2497" s="15">
        <f t="shared" ca="1" si="89"/>
        <v>10</v>
      </c>
      <c r="O2497" s="15">
        <f t="shared" ca="1" si="90"/>
        <v>26</v>
      </c>
      <c r="P2497" s="16">
        <f t="shared" ca="1" si="91"/>
        <v>17.72478000000001</v>
      </c>
      <c r="Q2497" s="11" t="str">
        <f t="shared" ca="1" si="77"/>
        <v/>
      </c>
      <c r="R2497" s="11" t="str">
        <f t="shared" ca="1" si="78"/>
        <v/>
      </c>
      <c r="S2497" s="61" t="str">
        <f t="shared" ca="1" si="79"/>
        <v/>
      </c>
      <c r="T2497" s="11" t="str">
        <f t="shared" ca="1" si="80"/>
        <v/>
      </c>
      <c r="U2497" s="11" t="str">
        <f t="shared" ca="1" si="81"/>
        <v/>
      </c>
      <c r="V2497" s="18" t="str">
        <f t="shared" ca="1" si="82"/>
        <v/>
      </c>
      <c r="W2497" s="61" t="str">
        <f t="shared" ca="1" si="83"/>
        <v/>
      </c>
      <c r="X2497" s="61">
        <f t="shared" ca="1" si="84"/>
        <v>0</v>
      </c>
      <c r="Y2497" s="64" t="str">
        <f t="shared" ca="1" si="85"/>
        <v/>
      </c>
    </row>
    <row r="2498" spans="1:25">
      <c r="A2498" s="2">
        <f>+Get_Data!A2497</f>
        <v>43066</v>
      </c>
      <c r="B2498">
        <f>+ROUND(Get_Data!B2497,5)</f>
        <v>105.83207</v>
      </c>
      <c r="C2498">
        <f>+ROUND(Get_Data!C2497,5)</f>
        <v>41.565300000000001</v>
      </c>
      <c r="D2498" s="4">
        <f t="shared" si="92"/>
        <v>2.54616</v>
      </c>
      <c r="E2498" s="22">
        <f t="shared" ca="1" si="71"/>
        <v>2.5572499999999998</v>
      </c>
      <c r="F2498" s="23">
        <f t="shared" ca="1" si="72"/>
        <v>2.4112499999999999</v>
      </c>
      <c r="G2498" s="10">
        <f t="shared" ca="1" si="73"/>
        <v>0</v>
      </c>
      <c r="H2498" s="12">
        <f t="shared" ca="1" si="74"/>
        <v>0</v>
      </c>
      <c r="I2498" s="11">
        <f t="shared" ca="1" si="75"/>
        <v>0</v>
      </c>
      <c r="J2498" s="11">
        <f t="shared" ca="1" si="76"/>
        <v>2</v>
      </c>
      <c r="K2498" s="10">
        <f t="shared" ca="1" si="86"/>
        <v>-106.01476</v>
      </c>
      <c r="L2498" s="11">
        <f t="shared" ca="1" si="87"/>
        <v>41.456629999999997</v>
      </c>
      <c r="M2498" s="11">
        <f t="shared" ca="1" si="88"/>
        <v>2.5572499999999998</v>
      </c>
      <c r="N2498" s="15">
        <f t="shared" ca="1" si="89"/>
        <v>10</v>
      </c>
      <c r="O2498" s="15">
        <f t="shared" ca="1" si="90"/>
        <v>26</v>
      </c>
      <c r="P2498" s="16">
        <f t="shared" ca="1" si="91"/>
        <v>17.72478000000001</v>
      </c>
      <c r="Q2498" s="11" t="str">
        <f t="shared" ca="1" si="77"/>
        <v/>
      </c>
      <c r="R2498" s="11" t="str">
        <f t="shared" ca="1" si="78"/>
        <v/>
      </c>
      <c r="S2498" s="61" t="str">
        <f t="shared" ca="1" si="79"/>
        <v/>
      </c>
      <c r="T2498" s="11" t="str">
        <f t="shared" ca="1" si="80"/>
        <v/>
      </c>
      <c r="U2498" s="11" t="str">
        <f t="shared" ca="1" si="81"/>
        <v/>
      </c>
      <c r="V2498" s="18" t="str">
        <f t="shared" ca="1" si="82"/>
        <v/>
      </c>
      <c r="W2498" s="61" t="str">
        <f t="shared" ca="1" si="83"/>
        <v/>
      </c>
      <c r="X2498" s="61">
        <f t="shared" ca="1" si="84"/>
        <v>0</v>
      </c>
      <c r="Y2498" s="64" t="str">
        <f t="shared" ca="1" si="85"/>
        <v/>
      </c>
    </row>
    <row r="2499" spans="1:25">
      <c r="A2499" s="2">
        <f>+Get_Data!A2498</f>
        <v>43067</v>
      </c>
      <c r="B2499">
        <f>+ROUND(Get_Data!B2498,5)</f>
        <v>106.6725</v>
      </c>
      <c r="C2499">
        <f>+ROUND(Get_Data!C2498,5)</f>
        <v>41.501910000000002</v>
      </c>
      <c r="D2499" s="4">
        <f t="shared" si="92"/>
        <v>2.5703</v>
      </c>
      <c r="E2499" s="22">
        <f t="shared" ca="1" si="71"/>
        <v>2.5703</v>
      </c>
      <c r="F2499" s="23">
        <f t="shared" ca="1" si="72"/>
        <v>2.4112499999999999</v>
      </c>
      <c r="G2499" s="10">
        <f t="shared" ca="1" si="73"/>
        <v>1</v>
      </c>
      <c r="H2499" s="12">
        <f t="shared" ca="1" si="74"/>
        <v>0</v>
      </c>
      <c r="I2499" s="11">
        <f t="shared" ca="1" si="75"/>
        <v>1</v>
      </c>
      <c r="J2499" s="11">
        <f t="shared" ca="1" si="76"/>
        <v>0</v>
      </c>
      <c r="K2499" s="10">
        <f t="shared" ca="1" si="86"/>
        <v>-106.01476</v>
      </c>
      <c r="L2499" s="11">
        <f t="shared" ca="1" si="87"/>
        <v>41.456629999999997</v>
      </c>
      <c r="M2499" s="11">
        <f t="shared" ca="1" si="88"/>
        <v>2.5572499999999998</v>
      </c>
      <c r="N2499" s="15">
        <f t="shared" ca="1" si="89"/>
        <v>10</v>
      </c>
      <c r="O2499" s="15">
        <f t="shared" ca="1" si="90"/>
        <v>26</v>
      </c>
      <c r="P2499" s="16">
        <f t="shared" ca="1" si="91"/>
        <v>17.72478000000001</v>
      </c>
      <c r="Q2499" s="11" t="str">
        <f t="shared" ca="1" si="77"/>
        <v/>
      </c>
      <c r="R2499" s="11" t="str">
        <f t="shared" ca="1" si="78"/>
        <v/>
      </c>
      <c r="S2499" s="61" t="str">
        <f t="shared" ca="1" si="79"/>
        <v/>
      </c>
      <c r="T2499" s="11" t="str">
        <f t="shared" ca="1" si="80"/>
        <v/>
      </c>
      <c r="U2499" s="11" t="str">
        <f t="shared" ca="1" si="81"/>
        <v/>
      </c>
      <c r="V2499" s="18" t="str">
        <f t="shared" ca="1" si="82"/>
        <v/>
      </c>
      <c r="W2499" s="61" t="str">
        <f t="shared" ca="1" si="83"/>
        <v/>
      </c>
      <c r="X2499" s="61">
        <f t="shared" ca="1" si="84"/>
        <v>0</v>
      </c>
      <c r="Y2499" s="64" t="str">
        <f t="shared" ca="1" si="85"/>
        <v/>
      </c>
    </row>
    <row r="2500" spans="1:25">
      <c r="A2500" s="2">
        <f>+Get_Data!A2499</f>
        <v>43068</v>
      </c>
      <c r="B2500">
        <f>+ROUND(Get_Data!B2499,5)</f>
        <v>106.73643</v>
      </c>
      <c r="C2500">
        <f>+ROUND(Get_Data!C2499,5)</f>
        <v>41.20308</v>
      </c>
      <c r="D2500" s="4">
        <f t="shared" si="92"/>
        <v>2.5905</v>
      </c>
      <c r="E2500" s="22">
        <f t="shared" ca="1" si="71"/>
        <v>2.5905</v>
      </c>
      <c r="F2500" s="23">
        <f t="shared" ca="1" si="72"/>
        <v>2.4112499999999999</v>
      </c>
      <c r="G2500" s="10">
        <f t="shared" ca="1" si="73"/>
        <v>1</v>
      </c>
      <c r="H2500" s="12">
        <f t="shared" ca="1" si="74"/>
        <v>0</v>
      </c>
      <c r="I2500" s="11">
        <f t="shared" ca="1" si="75"/>
        <v>1</v>
      </c>
      <c r="J2500" s="11">
        <f t="shared" ca="1" si="76"/>
        <v>1</v>
      </c>
      <c r="K2500" s="10" t="str">
        <f t="shared" ca="1" si="86"/>
        <v/>
      </c>
      <c r="L2500" s="11" t="str">
        <f t="shared" ca="1" si="87"/>
        <v/>
      </c>
      <c r="M2500" s="11" t="str">
        <f t="shared" ca="1" si="88"/>
        <v/>
      </c>
      <c r="N2500" s="15" t="str">
        <f t="shared" ca="1" si="89"/>
        <v/>
      </c>
      <c r="O2500" s="15" t="str">
        <f t="shared" ca="1" si="90"/>
        <v/>
      </c>
      <c r="P2500" s="16" t="str">
        <f t="shared" ca="1" si="91"/>
        <v/>
      </c>
      <c r="Q2500" s="11">
        <f t="shared" ca="1" si="77"/>
        <v>106.73643</v>
      </c>
      <c r="R2500" s="11">
        <f t="shared" ca="1" si="78"/>
        <v>41.20308</v>
      </c>
      <c r="S2500" s="61">
        <f t="shared" ca="1" si="79"/>
        <v>2.5905</v>
      </c>
      <c r="T2500" s="11">
        <f t="shared" ca="1" si="80"/>
        <v>10</v>
      </c>
      <c r="U2500" s="11">
        <f t="shared" ca="1" si="81"/>
        <v>26</v>
      </c>
      <c r="V2500" s="18">
        <f t="shared" ca="1" si="82"/>
        <v>-2127.5119</v>
      </c>
      <c r="W2500" s="61">
        <f t="shared" ca="1" si="83"/>
        <v>2149.1524599999998</v>
      </c>
      <c r="X2500" s="61">
        <f t="shared" ca="1" si="84"/>
        <v>21.640559999999823</v>
      </c>
      <c r="Y2500" s="64">
        <f t="shared" ca="1" si="85"/>
        <v>2.0200655649267579E-2</v>
      </c>
    </row>
    <row r="2501" spans="1:25">
      <c r="A2501" s="2">
        <f>+Get_Data!A2500</f>
        <v>43069</v>
      </c>
      <c r="B2501">
        <f>+ROUND(Get_Data!B2500,5)</f>
        <v>107.18259</v>
      </c>
      <c r="C2501">
        <f>+ROUND(Get_Data!C2500,5)</f>
        <v>41.787379999999999</v>
      </c>
      <c r="D2501" s="4">
        <f t="shared" si="92"/>
        <v>2.5649500000000001</v>
      </c>
      <c r="E2501" s="22">
        <f t="shared" ref="E2501:E2564" ca="1" si="93">+MAX(OFFSET(D2501,-$G$2+1,,$G$2))</f>
        <v>2.5905</v>
      </c>
      <c r="F2501" s="23">
        <f t="shared" ref="F2501:F2564" ca="1" si="94">+MIN(OFFSET(D2501,-$G$2+1,,$G$2))</f>
        <v>2.4119999999999999</v>
      </c>
      <c r="G2501" s="10">
        <f t="shared" ref="G2501:G2564" ca="1" si="95">+IF(E2501=D2501,1,0)</f>
        <v>0</v>
      </c>
      <c r="H2501" s="12">
        <f t="shared" ref="H2501:H2564" ca="1" si="96">+IF(F2501=D2501,1,0)</f>
        <v>0</v>
      </c>
      <c r="I2501" s="11">
        <f t="shared" ref="I2501:I2564" ca="1" si="97">+G2501-H2501</f>
        <v>0</v>
      </c>
      <c r="J2501" s="11">
        <f t="shared" ca="1" si="76"/>
        <v>1</v>
      </c>
      <c r="K2501" s="10">
        <f t="shared" ca="1" si="86"/>
        <v>-107.18259</v>
      </c>
      <c r="L2501" s="11">
        <f t="shared" ca="1" si="87"/>
        <v>41.787379999999999</v>
      </c>
      <c r="M2501" s="11">
        <f t="shared" ca="1" si="88"/>
        <v>2.5649500000000001</v>
      </c>
      <c r="N2501" s="15">
        <f t="shared" ca="1" si="89"/>
        <v>10</v>
      </c>
      <c r="O2501" s="15">
        <f t="shared" ca="1" si="90"/>
        <v>26</v>
      </c>
      <c r="P2501" s="16">
        <f t="shared" ca="1" si="91"/>
        <v>14.645980000000009</v>
      </c>
      <c r="Q2501" s="11" t="str">
        <f t="shared" ca="1" si="77"/>
        <v/>
      </c>
      <c r="R2501" s="11" t="str">
        <f t="shared" ca="1" si="78"/>
        <v/>
      </c>
      <c r="S2501" s="61" t="str">
        <f t="shared" ca="1" si="79"/>
        <v/>
      </c>
      <c r="T2501" s="11" t="str">
        <f t="shared" ca="1" si="80"/>
        <v/>
      </c>
      <c r="U2501" s="11" t="str">
        <f t="shared" ca="1" si="81"/>
        <v/>
      </c>
      <c r="V2501" s="18" t="str">
        <f t="shared" ca="1" si="82"/>
        <v/>
      </c>
      <c r="W2501" s="61" t="str">
        <f t="shared" ca="1" si="83"/>
        <v/>
      </c>
      <c r="X2501" s="61">
        <f t="shared" ca="1" si="84"/>
        <v>0</v>
      </c>
      <c r="Y2501" s="64" t="str">
        <f t="shared" ca="1" si="85"/>
        <v/>
      </c>
    </row>
    <row r="2502" spans="1:25">
      <c r="A2502" s="2">
        <f>+Get_Data!A2501</f>
        <v>43070</v>
      </c>
      <c r="B2502">
        <f>+ROUND(Get_Data!B2501,5)</f>
        <v>107.42177</v>
      </c>
      <c r="C2502">
        <f>+ROUND(Get_Data!C2501,5)</f>
        <v>41.96998</v>
      </c>
      <c r="D2502" s="4">
        <f t="shared" si="92"/>
        <v>2.5594899999999998</v>
      </c>
      <c r="E2502" s="22">
        <f t="shared" ca="1" si="93"/>
        <v>2.5905</v>
      </c>
      <c r="F2502" s="23">
        <f t="shared" ca="1" si="94"/>
        <v>2.4119999999999999</v>
      </c>
      <c r="G2502" s="10">
        <f t="shared" ca="1" si="95"/>
        <v>0</v>
      </c>
      <c r="H2502" s="12">
        <f t="shared" ca="1" si="96"/>
        <v>0</v>
      </c>
      <c r="I2502" s="11">
        <f t="shared" ca="1" si="97"/>
        <v>0</v>
      </c>
      <c r="J2502" s="11">
        <f t="shared" ref="J2502:J2565" ca="1" si="98">+IF(AND(ABS(J2501)=2,ABS(I2502)=1),0,J2501+I2502)</f>
        <v>1</v>
      </c>
      <c r="K2502" s="10">
        <f t="shared" ca="1" si="86"/>
        <v>-107.18259</v>
      </c>
      <c r="L2502" s="11">
        <f t="shared" ca="1" si="87"/>
        <v>41.787379999999999</v>
      </c>
      <c r="M2502" s="11">
        <f t="shared" ca="1" si="88"/>
        <v>2.5649500000000001</v>
      </c>
      <c r="N2502" s="15">
        <f t="shared" ca="1" si="89"/>
        <v>10</v>
      </c>
      <c r="O2502" s="15">
        <f t="shared" ca="1" si="90"/>
        <v>26</v>
      </c>
      <c r="P2502" s="16">
        <f t="shared" ca="1" si="91"/>
        <v>14.645980000000009</v>
      </c>
      <c r="Q2502" s="11" t="str">
        <f t="shared" ca="1" si="77"/>
        <v/>
      </c>
      <c r="R2502" s="11" t="str">
        <f t="shared" ca="1" si="78"/>
        <v/>
      </c>
      <c r="S2502" s="61" t="str">
        <f t="shared" ca="1" si="79"/>
        <v/>
      </c>
      <c r="T2502" s="11" t="str">
        <f t="shared" ca="1" si="80"/>
        <v/>
      </c>
      <c r="U2502" s="11" t="str">
        <f t="shared" ca="1" si="81"/>
        <v/>
      </c>
      <c r="V2502" s="18" t="str">
        <f t="shared" ca="1" si="82"/>
        <v/>
      </c>
      <c r="W2502" s="61" t="str">
        <f t="shared" ca="1" si="83"/>
        <v/>
      </c>
      <c r="X2502" s="61">
        <f t="shared" ca="1" si="84"/>
        <v>0</v>
      </c>
      <c r="Y2502" s="64" t="str">
        <f t="shared" ca="1" si="85"/>
        <v/>
      </c>
    </row>
    <row r="2503" spans="1:25">
      <c r="A2503" s="2">
        <f>+Get_Data!A2502</f>
        <v>43073</v>
      </c>
      <c r="B2503">
        <f>+ROUND(Get_Data!B2502,5)</f>
        <v>108.04725999999999</v>
      </c>
      <c r="C2503">
        <f>+ROUND(Get_Data!C2502,5)</f>
        <v>42.207360000000001</v>
      </c>
      <c r="D2503" s="4">
        <f t="shared" si="92"/>
        <v>2.55992</v>
      </c>
      <c r="E2503" s="22">
        <f t="shared" ca="1" si="93"/>
        <v>2.5905</v>
      </c>
      <c r="F2503" s="23">
        <f t="shared" ca="1" si="94"/>
        <v>2.4119999999999999</v>
      </c>
      <c r="G2503" s="10">
        <f t="shared" ca="1" si="95"/>
        <v>0</v>
      </c>
      <c r="H2503" s="12">
        <f t="shared" ca="1" si="96"/>
        <v>0</v>
      </c>
      <c r="I2503" s="11">
        <f t="shared" ca="1" si="97"/>
        <v>0</v>
      </c>
      <c r="J2503" s="11">
        <f t="shared" ca="1" si="98"/>
        <v>1</v>
      </c>
      <c r="K2503" s="10">
        <f t="shared" ca="1" si="86"/>
        <v>-107.18259</v>
      </c>
      <c r="L2503" s="11">
        <f t="shared" ca="1" si="87"/>
        <v>41.787379999999999</v>
      </c>
      <c r="M2503" s="11">
        <f t="shared" ca="1" si="88"/>
        <v>2.5649500000000001</v>
      </c>
      <c r="N2503" s="15">
        <f t="shared" ca="1" si="89"/>
        <v>10</v>
      </c>
      <c r="O2503" s="15">
        <f t="shared" ca="1" si="90"/>
        <v>26</v>
      </c>
      <c r="P2503" s="16">
        <f t="shared" ca="1" si="91"/>
        <v>14.645980000000009</v>
      </c>
      <c r="Q2503" s="11" t="str">
        <f t="shared" ca="1" si="77"/>
        <v/>
      </c>
      <c r="R2503" s="11" t="str">
        <f t="shared" ca="1" si="78"/>
        <v/>
      </c>
      <c r="S2503" s="61" t="str">
        <f t="shared" ca="1" si="79"/>
        <v/>
      </c>
      <c r="T2503" s="11" t="str">
        <f t="shared" ca="1" si="80"/>
        <v/>
      </c>
      <c r="U2503" s="11" t="str">
        <f t="shared" ca="1" si="81"/>
        <v/>
      </c>
      <c r="V2503" s="18" t="str">
        <f t="shared" ca="1" si="82"/>
        <v/>
      </c>
      <c r="W2503" s="61" t="str">
        <f t="shared" ca="1" si="83"/>
        <v/>
      </c>
      <c r="X2503" s="61">
        <f t="shared" ca="1" si="84"/>
        <v>0</v>
      </c>
      <c r="Y2503" s="64" t="str">
        <f t="shared" ca="1" si="85"/>
        <v/>
      </c>
    </row>
    <row r="2504" spans="1:25">
      <c r="A2504" s="2">
        <f>+Get_Data!A2503</f>
        <v>43074</v>
      </c>
      <c r="B2504">
        <f>+ROUND(Get_Data!B2503,5)</f>
        <v>108.16685</v>
      </c>
      <c r="C2504">
        <f>+ROUND(Get_Data!C2503,5)</f>
        <v>42.234749999999998</v>
      </c>
      <c r="D2504" s="4">
        <f t="shared" si="92"/>
        <v>2.5610900000000001</v>
      </c>
      <c r="E2504" s="22">
        <f t="shared" ca="1" si="93"/>
        <v>2.5905</v>
      </c>
      <c r="F2504" s="23">
        <f t="shared" ca="1" si="94"/>
        <v>2.4184299999999999</v>
      </c>
      <c r="G2504" s="10">
        <f t="shared" ca="1" si="95"/>
        <v>0</v>
      </c>
      <c r="H2504" s="12">
        <f t="shared" ca="1" si="96"/>
        <v>0</v>
      </c>
      <c r="I2504" s="11">
        <f t="shared" ca="1" si="97"/>
        <v>0</v>
      </c>
      <c r="J2504" s="11">
        <f t="shared" ca="1" si="98"/>
        <v>1</v>
      </c>
      <c r="K2504" s="10">
        <f t="shared" ca="1" si="86"/>
        <v>-107.18259</v>
      </c>
      <c r="L2504" s="11">
        <f t="shared" ca="1" si="87"/>
        <v>41.787379999999999</v>
      </c>
      <c r="M2504" s="11">
        <f t="shared" ca="1" si="88"/>
        <v>2.5649500000000001</v>
      </c>
      <c r="N2504" s="15">
        <f t="shared" ca="1" si="89"/>
        <v>10</v>
      </c>
      <c r="O2504" s="15">
        <f t="shared" ca="1" si="90"/>
        <v>26</v>
      </c>
      <c r="P2504" s="16">
        <f t="shared" ca="1" si="91"/>
        <v>14.645980000000009</v>
      </c>
      <c r="Q2504" s="11" t="str">
        <f t="shared" ca="1" si="77"/>
        <v/>
      </c>
      <c r="R2504" s="11" t="str">
        <f t="shared" ca="1" si="78"/>
        <v/>
      </c>
      <c r="S2504" s="61" t="str">
        <f t="shared" ca="1" si="79"/>
        <v/>
      </c>
      <c r="T2504" s="11" t="str">
        <f t="shared" ca="1" si="80"/>
        <v/>
      </c>
      <c r="U2504" s="11" t="str">
        <f t="shared" ca="1" si="81"/>
        <v/>
      </c>
      <c r="V2504" s="18" t="str">
        <f t="shared" ca="1" si="82"/>
        <v/>
      </c>
      <c r="W2504" s="61" t="str">
        <f t="shared" ca="1" si="83"/>
        <v/>
      </c>
      <c r="X2504" s="61">
        <f t="shared" ca="1" si="84"/>
        <v>0</v>
      </c>
      <c r="Y2504" s="64" t="str">
        <f t="shared" ca="1" si="85"/>
        <v/>
      </c>
    </row>
    <row r="2505" spans="1:25">
      <c r="A2505" s="2">
        <f>+Get_Data!A2504</f>
        <v>43075</v>
      </c>
      <c r="B2505">
        <f>+ROUND(Get_Data!B2504,5)</f>
        <v>109.37184999999999</v>
      </c>
      <c r="C2505">
        <f>+ROUND(Get_Data!C2504,5)</f>
        <v>42.408209999999997</v>
      </c>
      <c r="D2505" s="4">
        <f t="shared" si="92"/>
        <v>2.5790299999999999</v>
      </c>
      <c r="E2505" s="22">
        <f t="shared" ca="1" si="93"/>
        <v>2.5905</v>
      </c>
      <c r="F2505" s="23">
        <f t="shared" ca="1" si="94"/>
        <v>2.4187400000000001</v>
      </c>
      <c r="G2505" s="10">
        <f t="shared" ca="1" si="95"/>
        <v>0</v>
      </c>
      <c r="H2505" s="12">
        <f t="shared" ca="1" si="96"/>
        <v>0</v>
      </c>
      <c r="I2505" s="11">
        <f t="shared" ca="1" si="97"/>
        <v>0</v>
      </c>
      <c r="J2505" s="11">
        <f t="shared" ca="1" si="98"/>
        <v>1</v>
      </c>
      <c r="K2505" s="10">
        <f t="shared" ca="1" si="86"/>
        <v>-107.18259</v>
      </c>
      <c r="L2505" s="11">
        <f t="shared" ca="1" si="87"/>
        <v>41.787379999999999</v>
      </c>
      <c r="M2505" s="11">
        <f t="shared" ca="1" si="88"/>
        <v>2.5649500000000001</v>
      </c>
      <c r="N2505" s="15">
        <f t="shared" ca="1" si="89"/>
        <v>10</v>
      </c>
      <c r="O2505" s="15">
        <f t="shared" ca="1" si="90"/>
        <v>26</v>
      </c>
      <c r="P2505" s="16">
        <f t="shared" ca="1" si="91"/>
        <v>14.645980000000009</v>
      </c>
      <c r="Q2505" s="11" t="str">
        <f t="shared" ca="1" si="77"/>
        <v/>
      </c>
      <c r="R2505" s="11" t="str">
        <f t="shared" ca="1" si="78"/>
        <v/>
      </c>
      <c r="S2505" s="61" t="str">
        <f t="shared" ca="1" si="79"/>
        <v/>
      </c>
      <c r="T2505" s="11" t="str">
        <f t="shared" ca="1" si="80"/>
        <v/>
      </c>
      <c r="U2505" s="11" t="str">
        <f t="shared" ca="1" si="81"/>
        <v/>
      </c>
      <c r="V2505" s="18" t="str">
        <f t="shared" ca="1" si="82"/>
        <v/>
      </c>
      <c r="W2505" s="61" t="str">
        <f t="shared" ca="1" si="83"/>
        <v/>
      </c>
      <c r="X2505" s="61">
        <f t="shared" ca="1" si="84"/>
        <v>0</v>
      </c>
      <c r="Y2505" s="64" t="str">
        <f t="shared" ca="1" si="85"/>
        <v/>
      </c>
    </row>
    <row r="2506" spans="1:25">
      <c r="A2506" s="2">
        <f>+Get_Data!A2505</f>
        <v>43076</v>
      </c>
      <c r="B2506">
        <f>+ROUND(Get_Data!B2505,5)</f>
        <v>107.37576</v>
      </c>
      <c r="C2506">
        <f>+ROUND(Get_Data!C2505,5)</f>
        <v>41.796509999999998</v>
      </c>
      <c r="D2506" s="4">
        <f t="shared" si="92"/>
        <v>2.56901</v>
      </c>
      <c r="E2506" s="22">
        <f t="shared" ca="1" si="93"/>
        <v>2.5905</v>
      </c>
      <c r="F2506" s="23">
        <f t="shared" ca="1" si="94"/>
        <v>2.4187400000000001</v>
      </c>
      <c r="G2506" s="10">
        <f t="shared" ca="1" si="95"/>
        <v>0</v>
      </c>
      <c r="H2506" s="12">
        <f t="shared" ca="1" si="96"/>
        <v>0</v>
      </c>
      <c r="I2506" s="11">
        <f t="shared" ca="1" si="97"/>
        <v>0</v>
      </c>
      <c r="J2506" s="11">
        <f t="shared" ca="1" si="98"/>
        <v>1</v>
      </c>
      <c r="K2506" s="10">
        <f t="shared" ca="1" si="86"/>
        <v>-107.18259</v>
      </c>
      <c r="L2506" s="11">
        <f t="shared" ca="1" si="87"/>
        <v>41.787379999999999</v>
      </c>
      <c r="M2506" s="11">
        <f t="shared" ca="1" si="88"/>
        <v>2.5649500000000001</v>
      </c>
      <c r="N2506" s="15">
        <f t="shared" ca="1" si="89"/>
        <v>10</v>
      </c>
      <c r="O2506" s="15">
        <f t="shared" ca="1" si="90"/>
        <v>26</v>
      </c>
      <c r="P2506" s="16">
        <f t="shared" ca="1" si="91"/>
        <v>14.645980000000009</v>
      </c>
      <c r="Q2506" s="11" t="str">
        <f t="shared" ca="1" si="77"/>
        <v/>
      </c>
      <c r="R2506" s="11" t="str">
        <f t="shared" ca="1" si="78"/>
        <v/>
      </c>
      <c r="S2506" s="61" t="str">
        <f t="shared" ca="1" si="79"/>
        <v/>
      </c>
      <c r="T2506" s="11" t="str">
        <f t="shared" ca="1" si="80"/>
        <v/>
      </c>
      <c r="U2506" s="11" t="str">
        <f t="shared" ca="1" si="81"/>
        <v/>
      </c>
      <c r="V2506" s="18" t="str">
        <f t="shared" ca="1" si="82"/>
        <v/>
      </c>
      <c r="W2506" s="61" t="str">
        <f t="shared" ca="1" si="83"/>
        <v/>
      </c>
      <c r="X2506" s="61">
        <f t="shared" ca="1" si="84"/>
        <v>0</v>
      </c>
      <c r="Y2506" s="64" t="str">
        <f t="shared" ca="1" si="85"/>
        <v/>
      </c>
    </row>
    <row r="2507" spans="1:25">
      <c r="A2507" s="2">
        <f>+Get_Data!A2506</f>
        <v>43077</v>
      </c>
      <c r="B2507">
        <f>+ROUND(Get_Data!B2506,5)</f>
        <v>107.22859</v>
      </c>
      <c r="C2507">
        <f>+ROUND(Get_Data!C2506,5)</f>
        <v>41.367420000000003</v>
      </c>
      <c r="D2507" s="4">
        <f t="shared" si="92"/>
        <v>2.5920999999999998</v>
      </c>
      <c r="E2507" s="22">
        <f t="shared" ca="1" si="93"/>
        <v>2.5920999999999998</v>
      </c>
      <c r="F2507" s="23">
        <f t="shared" ca="1" si="94"/>
        <v>2.4187400000000001</v>
      </c>
      <c r="G2507" s="10">
        <f t="shared" ca="1" si="95"/>
        <v>1</v>
      </c>
      <c r="H2507" s="12">
        <f t="shared" ca="1" si="96"/>
        <v>0</v>
      </c>
      <c r="I2507" s="11">
        <f t="shared" ca="1" si="97"/>
        <v>1</v>
      </c>
      <c r="J2507" s="11">
        <f t="shared" ca="1" si="98"/>
        <v>2</v>
      </c>
      <c r="K2507" s="10">
        <f t="shared" ca="1" si="86"/>
        <v>-107.18259</v>
      </c>
      <c r="L2507" s="11">
        <f t="shared" ca="1" si="87"/>
        <v>41.787379999999999</v>
      </c>
      <c r="M2507" s="11">
        <f t="shared" ca="1" si="88"/>
        <v>2.5649500000000001</v>
      </c>
      <c r="N2507" s="15">
        <f t="shared" ca="1" si="89"/>
        <v>10</v>
      </c>
      <c r="O2507" s="15">
        <f t="shared" ca="1" si="90"/>
        <v>26</v>
      </c>
      <c r="P2507" s="16">
        <f t="shared" ca="1" si="91"/>
        <v>14.645980000000009</v>
      </c>
      <c r="Q2507" s="11" t="str">
        <f t="shared" ca="1" si="77"/>
        <v/>
      </c>
      <c r="R2507" s="11" t="str">
        <f t="shared" ca="1" si="78"/>
        <v/>
      </c>
      <c r="S2507" s="61" t="str">
        <f t="shared" ca="1" si="79"/>
        <v/>
      </c>
      <c r="T2507" s="11" t="str">
        <f t="shared" ca="1" si="80"/>
        <v/>
      </c>
      <c r="U2507" s="11" t="str">
        <f t="shared" ca="1" si="81"/>
        <v/>
      </c>
      <c r="V2507" s="18" t="str">
        <f t="shared" ca="1" si="82"/>
        <v/>
      </c>
      <c r="W2507" s="61" t="str">
        <f t="shared" ca="1" si="83"/>
        <v/>
      </c>
      <c r="X2507" s="61">
        <f t="shared" ca="1" si="84"/>
        <v>0</v>
      </c>
      <c r="Y2507" s="64" t="str">
        <f t="shared" ca="1" si="85"/>
        <v/>
      </c>
    </row>
    <row r="2508" spans="1:25">
      <c r="A2508" s="2">
        <f>+Get_Data!A2507</f>
        <v>43080</v>
      </c>
      <c r="B2508">
        <f>+ROUND(Get_Data!B2507,5)</f>
        <v>107.98287000000001</v>
      </c>
      <c r="C2508">
        <f>+ROUND(Get_Data!C2507,5)</f>
        <v>41.385669999999998</v>
      </c>
      <c r="D2508" s="4">
        <f t="shared" si="92"/>
        <v>2.6091899999999999</v>
      </c>
      <c r="E2508" s="22">
        <f t="shared" ca="1" si="93"/>
        <v>2.6091899999999999</v>
      </c>
      <c r="F2508" s="23">
        <f t="shared" ca="1" si="94"/>
        <v>2.4240400000000002</v>
      </c>
      <c r="G2508" s="10">
        <f t="shared" ca="1" si="95"/>
        <v>1</v>
      </c>
      <c r="H2508" s="12">
        <f t="shared" ca="1" si="96"/>
        <v>0</v>
      </c>
      <c r="I2508" s="11">
        <f t="shared" ca="1" si="97"/>
        <v>1</v>
      </c>
      <c r="J2508" s="11">
        <f t="shared" ca="1" si="98"/>
        <v>0</v>
      </c>
      <c r="K2508" s="10">
        <f t="shared" ca="1" si="86"/>
        <v>-107.18259</v>
      </c>
      <c r="L2508" s="11">
        <f t="shared" ca="1" si="87"/>
        <v>41.787379999999999</v>
      </c>
      <c r="M2508" s="11">
        <f t="shared" ca="1" si="88"/>
        <v>2.5649500000000001</v>
      </c>
      <c r="N2508" s="15">
        <f t="shared" ca="1" si="89"/>
        <v>10</v>
      </c>
      <c r="O2508" s="15">
        <f t="shared" ca="1" si="90"/>
        <v>26</v>
      </c>
      <c r="P2508" s="16">
        <f t="shared" ca="1" si="91"/>
        <v>14.645980000000009</v>
      </c>
      <c r="Q2508" s="11" t="str">
        <f t="shared" ca="1" si="77"/>
        <v/>
      </c>
      <c r="R2508" s="11" t="str">
        <f t="shared" ca="1" si="78"/>
        <v/>
      </c>
      <c r="S2508" s="61" t="str">
        <f t="shared" ca="1" si="79"/>
        <v/>
      </c>
      <c r="T2508" s="11" t="str">
        <f t="shared" ca="1" si="80"/>
        <v/>
      </c>
      <c r="U2508" s="11" t="str">
        <f t="shared" ca="1" si="81"/>
        <v/>
      </c>
      <c r="V2508" s="18" t="str">
        <f t="shared" ca="1" si="82"/>
        <v/>
      </c>
      <c r="W2508" s="61" t="str">
        <f t="shared" ca="1" si="83"/>
        <v/>
      </c>
      <c r="X2508" s="61">
        <f t="shared" ca="1" si="84"/>
        <v>0</v>
      </c>
      <c r="Y2508" s="64" t="str">
        <f t="shared" ca="1" si="85"/>
        <v/>
      </c>
    </row>
    <row r="2509" spans="1:25">
      <c r="A2509" s="2">
        <f>+Get_Data!A2508</f>
        <v>43081</v>
      </c>
      <c r="B2509">
        <f>+ROUND(Get_Data!B2508,5)</f>
        <v>107.99207</v>
      </c>
      <c r="C2509">
        <f>+ROUND(Get_Data!C2508,5)</f>
        <v>41.349150000000002</v>
      </c>
      <c r="D2509" s="4">
        <f t="shared" si="92"/>
        <v>2.61171</v>
      </c>
      <c r="E2509" s="22">
        <f t="shared" ca="1" si="93"/>
        <v>2.61171</v>
      </c>
      <c r="F2509" s="23">
        <f t="shared" ca="1" si="94"/>
        <v>2.4258099999999998</v>
      </c>
      <c r="G2509" s="10">
        <f t="shared" ca="1" si="95"/>
        <v>1</v>
      </c>
      <c r="H2509" s="12">
        <f t="shared" ca="1" si="96"/>
        <v>0</v>
      </c>
      <c r="I2509" s="11">
        <f t="shared" ca="1" si="97"/>
        <v>1</v>
      </c>
      <c r="J2509" s="11">
        <f t="shared" ca="1" si="98"/>
        <v>1</v>
      </c>
      <c r="K2509" s="10" t="str">
        <f t="shared" ca="1" si="86"/>
        <v/>
      </c>
      <c r="L2509" s="11" t="str">
        <f t="shared" ca="1" si="87"/>
        <v/>
      </c>
      <c r="M2509" s="11" t="str">
        <f t="shared" ca="1" si="88"/>
        <v/>
      </c>
      <c r="N2509" s="15" t="str">
        <f t="shared" ca="1" si="89"/>
        <v/>
      </c>
      <c r="O2509" s="15" t="str">
        <f t="shared" ca="1" si="90"/>
        <v/>
      </c>
      <c r="P2509" s="16" t="str">
        <f t="shared" ca="1" si="91"/>
        <v/>
      </c>
      <c r="Q2509" s="11">
        <f t="shared" ca="1" si="77"/>
        <v>107.99207</v>
      </c>
      <c r="R2509" s="11">
        <f t="shared" ca="1" si="78"/>
        <v>41.349150000000002</v>
      </c>
      <c r="S2509" s="61">
        <f t="shared" ca="1" si="79"/>
        <v>2.61171</v>
      </c>
      <c r="T2509" s="11">
        <f t="shared" ca="1" si="80"/>
        <v>10</v>
      </c>
      <c r="U2509" s="11">
        <f t="shared" ca="1" si="81"/>
        <v>26</v>
      </c>
      <c r="V2509" s="18">
        <f t="shared" ca="1" si="82"/>
        <v>-2151.7466000000004</v>
      </c>
      <c r="W2509" s="61">
        <f t="shared" ca="1" si="83"/>
        <v>2161.5497799999998</v>
      </c>
      <c r="X2509" s="61">
        <f t="shared" ca="1" si="84"/>
        <v>9.8031799999994291</v>
      </c>
      <c r="Y2509" s="64">
        <f t="shared" ca="1" si="85"/>
        <v>9.1185764306004509E-3</v>
      </c>
    </row>
    <row r="2510" spans="1:25">
      <c r="A2510" s="2">
        <f>+Get_Data!A2509</f>
        <v>43082</v>
      </c>
      <c r="B2510">
        <f>+ROUND(Get_Data!B2509,5)</f>
        <v>108.36002000000001</v>
      </c>
      <c r="C2510">
        <f>+ROUND(Get_Data!C2509,5)</f>
        <v>41.906080000000003</v>
      </c>
      <c r="D2510" s="4">
        <f t="shared" si="92"/>
        <v>2.5857800000000002</v>
      </c>
      <c r="E2510" s="22">
        <f t="shared" ca="1" si="93"/>
        <v>2.61171</v>
      </c>
      <c r="F2510" s="23">
        <f t="shared" ca="1" si="94"/>
        <v>2.4326300000000001</v>
      </c>
      <c r="G2510" s="10">
        <f t="shared" ca="1" si="95"/>
        <v>0</v>
      </c>
      <c r="H2510" s="12">
        <f t="shared" ca="1" si="96"/>
        <v>0</v>
      </c>
      <c r="I2510" s="11">
        <f t="shared" ca="1" si="97"/>
        <v>0</v>
      </c>
      <c r="J2510" s="11">
        <f t="shared" ca="1" si="98"/>
        <v>1</v>
      </c>
      <c r="K2510" s="10">
        <f t="shared" ca="1" si="86"/>
        <v>-108.36002000000001</v>
      </c>
      <c r="L2510" s="11">
        <f t="shared" ca="1" si="87"/>
        <v>41.906080000000003</v>
      </c>
      <c r="M2510" s="11">
        <f t="shared" ca="1" si="88"/>
        <v>2.5857800000000002</v>
      </c>
      <c r="N2510" s="15">
        <f t="shared" ca="1" si="89"/>
        <v>10</v>
      </c>
      <c r="O2510" s="15">
        <f t="shared" ca="1" si="90"/>
        <v>26</v>
      </c>
      <c r="P2510" s="16">
        <f t="shared" ca="1" si="91"/>
        <v>5.9578799999999319</v>
      </c>
      <c r="Q2510" s="11" t="str">
        <f t="shared" ca="1" si="77"/>
        <v/>
      </c>
      <c r="R2510" s="11" t="str">
        <f t="shared" ca="1" si="78"/>
        <v/>
      </c>
      <c r="S2510" s="61" t="str">
        <f t="shared" ca="1" si="79"/>
        <v/>
      </c>
      <c r="T2510" s="11" t="str">
        <f t="shared" ca="1" si="80"/>
        <v/>
      </c>
      <c r="U2510" s="11" t="str">
        <f t="shared" ca="1" si="81"/>
        <v/>
      </c>
      <c r="V2510" s="18" t="str">
        <f t="shared" ca="1" si="82"/>
        <v/>
      </c>
      <c r="W2510" s="61" t="str">
        <f t="shared" ca="1" si="83"/>
        <v/>
      </c>
      <c r="X2510" s="61">
        <f t="shared" ca="1" si="84"/>
        <v>0</v>
      </c>
      <c r="Y2510" s="64" t="str">
        <f t="shared" ca="1" si="85"/>
        <v/>
      </c>
    </row>
    <row r="2511" spans="1:25">
      <c r="A2511" s="2">
        <f>+Get_Data!A2510</f>
        <v>43083</v>
      </c>
      <c r="B2511">
        <f>+ROUND(Get_Data!B2510,5)</f>
        <v>108.56238</v>
      </c>
      <c r="C2511">
        <f>+ROUND(Get_Data!C2510,5)</f>
        <v>42.024760000000001</v>
      </c>
      <c r="D2511" s="4">
        <f t="shared" si="92"/>
        <v>2.5832999999999999</v>
      </c>
      <c r="E2511" s="22">
        <f t="shared" ca="1" si="93"/>
        <v>2.61171</v>
      </c>
      <c r="F2511" s="23">
        <f t="shared" ca="1" si="94"/>
        <v>2.4326300000000001</v>
      </c>
      <c r="G2511" s="10">
        <f t="shared" ca="1" si="95"/>
        <v>0</v>
      </c>
      <c r="H2511" s="12">
        <f t="shared" ca="1" si="96"/>
        <v>0</v>
      </c>
      <c r="I2511" s="11">
        <f t="shared" ca="1" si="97"/>
        <v>0</v>
      </c>
      <c r="J2511" s="11">
        <f t="shared" ca="1" si="98"/>
        <v>1</v>
      </c>
      <c r="K2511" s="10">
        <f t="shared" ca="1" si="86"/>
        <v>-108.36002000000001</v>
      </c>
      <c r="L2511" s="11">
        <f t="shared" ca="1" si="87"/>
        <v>41.906080000000003</v>
      </c>
      <c r="M2511" s="11">
        <f t="shared" ca="1" si="88"/>
        <v>2.5857800000000002</v>
      </c>
      <c r="N2511" s="15">
        <f t="shared" ca="1" si="89"/>
        <v>10</v>
      </c>
      <c r="O2511" s="15">
        <f t="shared" ca="1" si="90"/>
        <v>26</v>
      </c>
      <c r="P2511" s="16">
        <f t="shared" ca="1" si="91"/>
        <v>5.9578799999999319</v>
      </c>
      <c r="Q2511" s="11" t="str">
        <f t="shared" ca="1" si="77"/>
        <v/>
      </c>
      <c r="R2511" s="11" t="str">
        <f t="shared" ca="1" si="78"/>
        <v/>
      </c>
      <c r="S2511" s="61" t="str">
        <f t="shared" ca="1" si="79"/>
        <v/>
      </c>
      <c r="T2511" s="11" t="str">
        <f t="shared" ca="1" si="80"/>
        <v/>
      </c>
      <c r="U2511" s="11" t="str">
        <f t="shared" ca="1" si="81"/>
        <v/>
      </c>
      <c r="V2511" s="18" t="str">
        <f t="shared" ca="1" si="82"/>
        <v/>
      </c>
      <c r="W2511" s="61" t="str">
        <f t="shared" ca="1" si="83"/>
        <v/>
      </c>
      <c r="X2511" s="61">
        <f t="shared" ca="1" si="84"/>
        <v>0</v>
      </c>
      <c r="Y2511" s="64" t="str">
        <f t="shared" ca="1" si="85"/>
        <v/>
      </c>
    </row>
    <row r="2512" spans="1:25">
      <c r="A2512" s="2">
        <f>+Get_Data!A2511</f>
        <v>43084</v>
      </c>
      <c r="B2512">
        <f>+ROUND(Get_Data!B2511,5)</f>
        <v>109.66622</v>
      </c>
      <c r="C2512">
        <f>+ROUND(Get_Data!C2511,5)</f>
        <v>42.170830000000002</v>
      </c>
      <c r="D2512" s="4">
        <f t="shared" si="92"/>
        <v>2.6005199999999999</v>
      </c>
      <c r="E2512" s="22">
        <f t="shared" ca="1" si="93"/>
        <v>2.61171</v>
      </c>
      <c r="F2512" s="23">
        <f t="shared" ca="1" si="94"/>
        <v>2.4439500000000001</v>
      </c>
      <c r="G2512" s="10">
        <f t="shared" ca="1" si="95"/>
        <v>0</v>
      </c>
      <c r="H2512" s="12">
        <f t="shared" ca="1" si="96"/>
        <v>0</v>
      </c>
      <c r="I2512" s="11">
        <f t="shared" ca="1" si="97"/>
        <v>0</v>
      </c>
      <c r="J2512" s="11">
        <f t="shared" ca="1" si="98"/>
        <v>1</v>
      </c>
      <c r="K2512" s="10">
        <f t="shared" ca="1" si="86"/>
        <v>-108.36002000000001</v>
      </c>
      <c r="L2512" s="11">
        <f t="shared" ca="1" si="87"/>
        <v>41.906080000000003</v>
      </c>
      <c r="M2512" s="11">
        <f t="shared" ca="1" si="88"/>
        <v>2.5857800000000002</v>
      </c>
      <c r="N2512" s="15">
        <f t="shared" ca="1" si="89"/>
        <v>10</v>
      </c>
      <c r="O2512" s="15">
        <f t="shared" ca="1" si="90"/>
        <v>26</v>
      </c>
      <c r="P2512" s="16">
        <f t="shared" ca="1" si="91"/>
        <v>5.9578799999999319</v>
      </c>
      <c r="Q2512" s="11" t="str">
        <f t="shared" ca="1" si="77"/>
        <v/>
      </c>
      <c r="R2512" s="11" t="str">
        <f t="shared" ca="1" si="78"/>
        <v/>
      </c>
      <c r="S2512" s="61" t="str">
        <f t="shared" ca="1" si="79"/>
        <v/>
      </c>
      <c r="T2512" s="11" t="str">
        <f t="shared" ca="1" si="80"/>
        <v/>
      </c>
      <c r="U2512" s="11" t="str">
        <f t="shared" ca="1" si="81"/>
        <v/>
      </c>
      <c r="V2512" s="18" t="str">
        <f t="shared" ca="1" si="82"/>
        <v/>
      </c>
      <c r="W2512" s="61" t="str">
        <f t="shared" ca="1" si="83"/>
        <v/>
      </c>
      <c r="X2512" s="61">
        <f t="shared" ca="1" si="84"/>
        <v>0</v>
      </c>
      <c r="Y2512" s="64" t="str">
        <f t="shared" ca="1" si="85"/>
        <v/>
      </c>
    </row>
    <row r="2513" spans="1:25">
      <c r="A2513" s="2">
        <f>+Get_Data!A2512</f>
        <v>43087</v>
      </c>
      <c r="B2513">
        <f>+ROUND(Get_Data!B2512,5)</f>
        <v>108.58999</v>
      </c>
      <c r="C2513">
        <f>+ROUND(Get_Data!C2512,5)</f>
        <v>41.933459999999997</v>
      </c>
      <c r="D2513" s="4">
        <f t="shared" si="92"/>
        <v>2.5895800000000002</v>
      </c>
      <c r="E2513" s="22">
        <f t="shared" ca="1" si="93"/>
        <v>2.61171</v>
      </c>
      <c r="F2513" s="23">
        <f t="shared" ca="1" si="94"/>
        <v>2.4621200000000001</v>
      </c>
      <c r="G2513" s="10">
        <f t="shared" ca="1" si="95"/>
        <v>0</v>
      </c>
      <c r="H2513" s="12">
        <f t="shared" ca="1" si="96"/>
        <v>0</v>
      </c>
      <c r="I2513" s="11">
        <f t="shared" ca="1" si="97"/>
        <v>0</v>
      </c>
      <c r="J2513" s="11">
        <f t="shared" ca="1" si="98"/>
        <v>1</v>
      </c>
      <c r="K2513" s="10">
        <f t="shared" ca="1" si="86"/>
        <v>-108.36002000000001</v>
      </c>
      <c r="L2513" s="11">
        <f t="shared" ca="1" si="87"/>
        <v>41.906080000000003</v>
      </c>
      <c r="M2513" s="11">
        <f t="shared" ca="1" si="88"/>
        <v>2.5857800000000002</v>
      </c>
      <c r="N2513" s="15">
        <f t="shared" ca="1" si="89"/>
        <v>10</v>
      </c>
      <c r="O2513" s="15">
        <f t="shared" ca="1" si="90"/>
        <v>26</v>
      </c>
      <c r="P2513" s="16">
        <f t="shared" ca="1" si="91"/>
        <v>5.9578799999999319</v>
      </c>
      <c r="Q2513" s="11" t="str">
        <f t="shared" ca="1" si="77"/>
        <v/>
      </c>
      <c r="R2513" s="11" t="str">
        <f t="shared" ca="1" si="78"/>
        <v/>
      </c>
      <c r="S2513" s="61" t="str">
        <f t="shared" ca="1" si="79"/>
        <v/>
      </c>
      <c r="T2513" s="11" t="str">
        <f t="shared" ca="1" si="80"/>
        <v/>
      </c>
      <c r="U2513" s="11" t="str">
        <f t="shared" ca="1" si="81"/>
        <v/>
      </c>
      <c r="V2513" s="18" t="str">
        <f t="shared" ca="1" si="82"/>
        <v/>
      </c>
      <c r="W2513" s="61" t="str">
        <f t="shared" ca="1" si="83"/>
        <v/>
      </c>
      <c r="X2513" s="61">
        <f t="shared" ca="1" si="84"/>
        <v>0</v>
      </c>
      <c r="Y2513" s="64" t="str">
        <f t="shared" ca="1" si="85"/>
        <v/>
      </c>
    </row>
    <row r="2514" spans="1:25">
      <c r="A2514" s="2">
        <f>+Get_Data!A2513</f>
        <v>43088</v>
      </c>
      <c r="B2514">
        <f>+ROUND(Get_Data!B2513,5)</f>
        <v>109.10509</v>
      </c>
      <c r="C2514">
        <f>+ROUND(Get_Data!C2513,5)</f>
        <v>42.116070000000001</v>
      </c>
      <c r="D2514" s="4">
        <f t="shared" si="92"/>
        <v>2.5905800000000001</v>
      </c>
      <c r="E2514" s="22">
        <f t="shared" ca="1" si="93"/>
        <v>2.61171</v>
      </c>
      <c r="F2514" s="23">
        <f t="shared" ca="1" si="94"/>
        <v>2.4621200000000001</v>
      </c>
      <c r="G2514" s="10">
        <f t="shared" ca="1" si="95"/>
        <v>0</v>
      </c>
      <c r="H2514" s="12">
        <f t="shared" ca="1" si="96"/>
        <v>0</v>
      </c>
      <c r="I2514" s="11">
        <f t="shared" ca="1" si="97"/>
        <v>0</v>
      </c>
      <c r="J2514" s="11">
        <f t="shared" ca="1" si="98"/>
        <v>1</v>
      </c>
      <c r="K2514" s="10">
        <f t="shared" ca="1" si="86"/>
        <v>-108.36002000000001</v>
      </c>
      <c r="L2514" s="11">
        <f t="shared" ca="1" si="87"/>
        <v>41.906080000000003</v>
      </c>
      <c r="M2514" s="11">
        <f t="shared" ca="1" si="88"/>
        <v>2.5857800000000002</v>
      </c>
      <c r="N2514" s="15">
        <f t="shared" ca="1" si="89"/>
        <v>10</v>
      </c>
      <c r="O2514" s="15">
        <f t="shared" ca="1" si="90"/>
        <v>26</v>
      </c>
      <c r="P2514" s="16">
        <f t="shared" ca="1" si="91"/>
        <v>5.9578799999999319</v>
      </c>
      <c r="Q2514" s="11" t="str">
        <f t="shared" ca="1" si="77"/>
        <v/>
      </c>
      <c r="R2514" s="11" t="str">
        <f t="shared" ca="1" si="78"/>
        <v/>
      </c>
      <c r="S2514" s="61" t="str">
        <f t="shared" ca="1" si="79"/>
        <v/>
      </c>
      <c r="T2514" s="11" t="str">
        <f t="shared" ca="1" si="80"/>
        <v/>
      </c>
      <c r="U2514" s="11" t="str">
        <f t="shared" ca="1" si="81"/>
        <v/>
      </c>
      <c r="V2514" s="18" t="str">
        <f t="shared" ca="1" si="82"/>
        <v/>
      </c>
      <c r="W2514" s="61" t="str">
        <f t="shared" ca="1" si="83"/>
        <v/>
      </c>
      <c r="X2514" s="61">
        <f t="shared" ca="1" si="84"/>
        <v>0</v>
      </c>
      <c r="Y2514" s="64" t="str">
        <f t="shared" ca="1" si="85"/>
        <v/>
      </c>
    </row>
    <row r="2515" spans="1:25">
      <c r="A2515" s="2">
        <f>+Get_Data!A2514</f>
        <v>43089</v>
      </c>
      <c r="B2515">
        <f>+ROUND(Get_Data!B2514,5)</f>
        <v>109.48224</v>
      </c>
      <c r="C2515">
        <f>+ROUND(Get_Data!C2514,5)</f>
        <v>42.070419999999999</v>
      </c>
      <c r="D2515" s="4">
        <f t="shared" si="92"/>
        <v>2.60236</v>
      </c>
      <c r="E2515" s="22">
        <f t="shared" ca="1" si="93"/>
        <v>2.61171</v>
      </c>
      <c r="F2515" s="23">
        <f t="shared" ca="1" si="94"/>
        <v>2.4805000000000001</v>
      </c>
      <c r="G2515" s="10">
        <f t="shared" ca="1" si="95"/>
        <v>0</v>
      </c>
      <c r="H2515" s="12">
        <f t="shared" ca="1" si="96"/>
        <v>0</v>
      </c>
      <c r="I2515" s="11">
        <f t="shared" ca="1" si="97"/>
        <v>0</v>
      </c>
      <c r="J2515" s="11">
        <f t="shared" ca="1" si="98"/>
        <v>1</v>
      </c>
      <c r="K2515" s="10">
        <f t="shared" ca="1" si="86"/>
        <v>-108.36002000000001</v>
      </c>
      <c r="L2515" s="11">
        <f t="shared" ca="1" si="87"/>
        <v>41.906080000000003</v>
      </c>
      <c r="M2515" s="11">
        <f t="shared" ca="1" si="88"/>
        <v>2.5857800000000002</v>
      </c>
      <c r="N2515" s="15">
        <f t="shared" ca="1" si="89"/>
        <v>10</v>
      </c>
      <c r="O2515" s="15">
        <f t="shared" ca="1" si="90"/>
        <v>26</v>
      </c>
      <c r="P2515" s="16">
        <f t="shared" ca="1" si="91"/>
        <v>5.9578799999999319</v>
      </c>
      <c r="Q2515" s="11" t="str">
        <f t="shared" ref="Q2515:Q2578" ca="1" si="99">+IF(ISNUMBER(T2515),B2515,"")</f>
        <v/>
      </c>
      <c r="R2515" s="11" t="str">
        <f t="shared" ref="R2515:R2578" ca="1" si="100">+IF(ISNUMBER(U2515),C2515,"")</f>
        <v/>
      </c>
      <c r="S2515" s="61" t="str">
        <f t="shared" ref="S2515:S2578" ca="1" si="101">+IF(ISNUMBER(T2515),D2515,"")</f>
        <v/>
      </c>
      <c r="T2515" s="11" t="str">
        <f t="shared" ref="T2515:T2578" ca="1" si="102">+IF(AND(ISNUMBER(N2514),NOT(ISNUMBER(N2515))),N2514,"")</f>
        <v/>
      </c>
      <c r="U2515" s="11" t="str">
        <f t="shared" ref="U2515:U2578" ca="1" si="103">+IF(AND(ISNUMBER(O2514),NOT(ISNUMBER(O2515))),O2514,"")</f>
        <v/>
      </c>
      <c r="V2515" s="18" t="str">
        <f t="shared" ref="V2515:V2578" ca="1" si="104">+IFERROR(T2515*(K2514-Q2515),"")</f>
        <v/>
      </c>
      <c r="W2515" s="61" t="str">
        <f t="shared" ref="W2515:W2578" ca="1" si="105">+IFERROR(U2515*(L2514+R2515),"")</f>
        <v/>
      </c>
      <c r="X2515" s="61">
        <f t="shared" ref="X2515:X2578" ca="1" si="106">+IFERROR(SUM(V2515:W2515),"")</f>
        <v>0</v>
      </c>
      <c r="Y2515" s="64" t="str">
        <f t="shared" ref="Y2515:Y2578" ca="1" si="107">IFERROR(+X2515/ABS(R2515*U2515),"")</f>
        <v/>
      </c>
    </row>
    <row r="2516" spans="1:25">
      <c r="A2516" s="2">
        <f>+Get_Data!A2515</f>
        <v>43090</v>
      </c>
      <c r="B2516">
        <f>+ROUND(Get_Data!B2515,5)</f>
        <v>108.78315000000001</v>
      </c>
      <c r="C2516">
        <f>+ROUND(Get_Data!C2515,5)</f>
        <v>41.632179999999998</v>
      </c>
      <c r="D2516" s="4">
        <f t="shared" si="92"/>
        <v>2.6129600000000002</v>
      </c>
      <c r="E2516" s="22">
        <f t="shared" ca="1" si="93"/>
        <v>2.6129600000000002</v>
      </c>
      <c r="F2516" s="23">
        <f t="shared" ca="1" si="94"/>
        <v>2.4971700000000001</v>
      </c>
      <c r="G2516" s="10">
        <f t="shared" ca="1" si="95"/>
        <v>1</v>
      </c>
      <c r="H2516" s="12">
        <f t="shared" ca="1" si="96"/>
        <v>0</v>
      </c>
      <c r="I2516" s="11">
        <f t="shared" ca="1" si="97"/>
        <v>1</v>
      </c>
      <c r="J2516" s="11">
        <f t="shared" ca="1" si="98"/>
        <v>2</v>
      </c>
      <c r="K2516" s="10">
        <f t="shared" ca="1" si="86"/>
        <v>-108.36002000000001</v>
      </c>
      <c r="L2516" s="11">
        <f t="shared" ca="1" si="87"/>
        <v>41.906080000000003</v>
      </c>
      <c r="M2516" s="11">
        <f t="shared" ca="1" si="88"/>
        <v>2.5857800000000002</v>
      </c>
      <c r="N2516" s="15">
        <f t="shared" ca="1" si="89"/>
        <v>10</v>
      </c>
      <c r="O2516" s="15">
        <f t="shared" ca="1" si="90"/>
        <v>26</v>
      </c>
      <c r="P2516" s="16">
        <f t="shared" ca="1" si="91"/>
        <v>5.9578799999999319</v>
      </c>
      <c r="Q2516" s="11" t="str">
        <f t="shared" ca="1" si="99"/>
        <v/>
      </c>
      <c r="R2516" s="11" t="str">
        <f t="shared" ca="1" si="100"/>
        <v/>
      </c>
      <c r="S2516" s="61" t="str">
        <f t="shared" ca="1" si="101"/>
        <v/>
      </c>
      <c r="T2516" s="11" t="str">
        <f t="shared" ca="1" si="102"/>
        <v/>
      </c>
      <c r="U2516" s="11" t="str">
        <f t="shared" ca="1" si="103"/>
        <v/>
      </c>
      <c r="V2516" s="18" t="str">
        <f t="shared" ca="1" si="104"/>
        <v/>
      </c>
      <c r="W2516" s="61" t="str">
        <f t="shared" ca="1" si="105"/>
        <v/>
      </c>
      <c r="X2516" s="61">
        <f t="shared" ca="1" si="106"/>
        <v>0</v>
      </c>
      <c r="Y2516" s="64" t="str">
        <f t="shared" ca="1" si="107"/>
        <v/>
      </c>
    </row>
    <row r="2517" spans="1:25">
      <c r="A2517" s="2">
        <f>+Get_Data!A2516</f>
        <v>43091</v>
      </c>
      <c r="B2517">
        <f>+ROUND(Get_Data!B2516,5)</f>
        <v>109.09591</v>
      </c>
      <c r="C2517">
        <f>+ROUND(Get_Data!C2516,5)</f>
        <v>41.623049999999999</v>
      </c>
      <c r="D2517" s="4">
        <f t="shared" si="92"/>
        <v>2.6210499999999999</v>
      </c>
      <c r="E2517" s="22">
        <f t="shared" ca="1" si="93"/>
        <v>2.6210499999999999</v>
      </c>
      <c r="F2517" s="23">
        <f t="shared" ca="1" si="94"/>
        <v>2.5309300000000001</v>
      </c>
      <c r="G2517" s="10">
        <f t="shared" ca="1" si="95"/>
        <v>1</v>
      </c>
      <c r="H2517" s="12">
        <f t="shared" ca="1" si="96"/>
        <v>0</v>
      </c>
      <c r="I2517" s="11">
        <f t="shared" ca="1" si="97"/>
        <v>1</v>
      </c>
      <c r="J2517" s="11">
        <f t="shared" ca="1" si="98"/>
        <v>0</v>
      </c>
      <c r="K2517" s="10">
        <f t="shared" ca="1" si="86"/>
        <v>-108.36002000000001</v>
      </c>
      <c r="L2517" s="11">
        <f t="shared" ca="1" si="87"/>
        <v>41.906080000000003</v>
      </c>
      <c r="M2517" s="11">
        <f t="shared" ca="1" si="88"/>
        <v>2.5857800000000002</v>
      </c>
      <c r="N2517" s="15">
        <f t="shared" ca="1" si="89"/>
        <v>10</v>
      </c>
      <c r="O2517" s="15">
        <f t="shared" ca="1" si="90"/>
        <v>26</v>
      </c>
      <c r="P2517" s="16">
        <f t="shared" ca="1" si="91"/>
        <v>5.9578799999999319</v>
      </c>
      <c r="Q2517" s="11" t="str">
        <f t="shared" ca="1" si="99"/>
        <v/>
      </c>
      <c r="R2517" s="11" t="str">
        <f t="shared" ca="1" si="100"/>
        <v/>
      </c>
      <c r="S2517" s="61" t="str">
        <f t="shared" ca="1" si="101"/>
        <v/>
      </c>
      <c r="T2517" s="11" t="str">
        <f t="shared" ca="1" si="102"/>
        <v/>
      </c>
      <c r="U2517" s="11" t="str">
        <f t="shared" ca="1" si="103"/>
        <v/>
      </c>
      <c r="V2517" s="18" t="str">
        <f t="shared" ca="1" si="104"/>
        <v/>
      </c>
      <c r="W2517" s="61" t="str">
        <f t="shared" ca="1" si="105"/>
        <v/>
      </c>
      <c r="X2517" s="61">
        <f t="shared" ca="1" si="106"/>
        <v>0</v>
      </c>
      <c r="Y2517" s="64" t="str">
        <f t="shared" ca="1" si="107"/>
        <v/>
      </c>
    </row>
    <row r="2518" spans="1:25">
      <c r="A2518" s="2">
        <f>+Get_Data!A2517</f>
        <v>43095</v>
      </c>
      <c r="B2518">
        <f>+ROUND(Get_Data!B2517,5)</f>
        <v>109.36268</v>
      </c>
      <c r="C2518">
        <f>+ROUND(Get_Data!C2517,5)</f>
        <v>41.823909999999998</v>
      </c>
      <c r="D2518" s="4">
        <f t="shared" si="92"/>
        <v>2.6148400000000001</v>
      </c>
      <c r="E2518" s="22">
        <f t="shared" ca="1" si="93"/>
        <v>2.6210499999999999</v>
      </c>
      <c r="F2518" s="23">
        <f t="shared" ca="1" si="94"/>
        <v>2.5325500000000001</v>
      </c>
      <c r="G2518" s="10">
        <f t="shared" ca="1" si="95"/>
        <v>0</v>
      </c>
      <c r="H2518" s="12">
        <f t="shared" ca="1" si="96"/>
        <v>0</v>
      </c>
      <c r="I2518" s="11">
        <f t="shared" ca="1" si="97"/>
        <v>0</v>
      </c>
      <c r="J2518" s="11">
        <f t="shared" ca="1" si="98"/>
        <v>0</v>
      </c>
      <c r="K2518" s="10" t="str">
        <f t="shared" ca="1" si="86"/>
        <v/>
      </c>
      <c r="L2518" s="11" t="str">
        <f t="shared" ca="1" si="87"/>
        <v/>
      </c>
      <c r="M2518" s="11" t="str">
        <f t="shared" ca="1" si="88"/>
        <v/>
      </c>
      <c r="N2518" s="15" t="str">
        <f t="shared" ca="1" si="89"/>
        <v/>
      </c>
      <c r="O2518" s="15" t="str">
        <f t="shared" ca="1" si="90"/>
        <v/>
      </c>
      <c r="P2518" s="16" t="str">
        <f t="shared" ca="1" si="91"/>
        <v/>
      </c>
      <c r="Q2518" s="11">
        <f t="shared" ca="1" si="99"/>
        <v>109.36268</v>
      </c>
      <c r="R2518" s="11">
        <f t="shared" ca="1" si="100"/>
        <v>41.823909999999998</v>
      </c>
      <c r="S2518" s="61">
        <f t="shared" ca="1" si="101"/>
        <v>2.6148400000000001</v>
      </c>
      <c r="T2518" s="11">
        <f t="shared" ca="1" si="102"/>
        <v>10</v>
      </c>
      <c r="U2518" s="11">
        <f t="shared" ca="1" si="103"/>
        <v>26</v>
      </c>
      <c r="V2518" s="18">
        <f t="shared" ca="1" si="104"/>
        <v>-2177.2269999999999</v>
      </c>
      <c r="W2518" s="61">
        <f t="shared" ca="1" si="105"/>
        <v>2176.9797400000002</v>
      </c>
      <c r="X2518" s="61">
        <f t="shared" ca="1" si="106"/>
        <v>-0.24725999999964188</v>
      </c>
      <c r="Y2518" s="64">
        <f t="shared" ca="1" si="107"/>
        <v>-2.2738189710111336E-4</v>
      </c>
    </row>
    <row r="2519" spans="1:25">
      <c r="A2519" s="2">
        <f>+Get_Data!A2518</f>
        <v>43096</v>
      </c>
      <c r="B2519">
        <f>+ROUND(Get_Data!B2518,5)</f>
        <v>109.73981999999999</v>
      </c>
      <c r="C2519">
        <f>+ROUND(Get_Data!C2518,5)</f>
        <v>41.933459999999997</v>
      </c>
      <c r="D2519" s="4">
        <f t="shared" si="92"/>
        <v>2.617</v>
      </c>
      <c r="E2519" s="22">
        <f t="shared" ca="1" si="93"/>
        <v>2.6210499999999999</v>
      </c>
      <c r="F2519" s="23">
        <f t="shared" ca="1" si="94"/>
        <v>2.5325500000000001</v>
      </c>
      <c r="G2519" s="10">
        <f t="shared" ca="1" si="95"/>
        <v>0</v>
      </c>
      <c r="H2519" s="12">
        <f t="shared" ca="1" si="96"/>
        <v>0</v>
      </c>
      <c r="I2519" s="11">
        <f t="shared" ca="1" si="97"/>
        <v>0</v>
      </c>
      <c r="J2519" s="11">
        <f t="shared" ca="1" si="98"/>
        <v>0</v>
      </c>
      <c r="K2519" s="10" t="str">
        <f t="shared" ca="1" si="86"/>
        <v/>
      </c>
      <c r="L2519" s="11" t="str">
        <f t="shared" ca="1" si="87"/>
        <v/>
      </c>
      <c r="M2519" s="11" t="str">
        <f t="shared" ca="1" si="88"/>
        <v/>
      </c>
      <c r="N2519" s="15" t="str">
        <f t="shared" ca="1" si="89"/>
        <v/>
      </c>
      <c r="O2519" s="15" t="str">
        <f t="shared" ca="1" si="90"/>
        <v/>
      </c>
      <c r="P2519" s="16" t="str">
        <f t="shared" ca="1" si="91"/>
        <v/>
      </c>
      <c r="Q2519" s="11" t="str">
        <f t="shared" ca="1" si="99"/>
        <v/>
      </c>
      <c r="R2519" s="11" t="str">
        <f t="shared" ca="1" si="100"/>
        <v/>
      </c>
      <c r="S2519" s="61" t="str">
        <f t="shared" ca="1" si="101"/>
        <v/>
      </c>
      <c r="T2519" s="11" t="str">
        <f t="shared" ca="1" si="102"/>
        <v/>
      </c>
      <c r="U2519" s="11" t="str">
        <f t="shared" ca="1" si="103"/>
        <v/>
      </c>
      <c r="V2519" s="18" t="str">
        <f t="shared" ca="1" si="104"/>
        <v/>
      </c>
      <c r="W2519" s="61" t="str">
        <f t="shared" ca="1" si="105"/>
        <v/>
      </c>
      <c r="X2519" s="61">
        <f t="shared" ca="1" si="106"/>
        <v>0</v>
      </c>
      <c r="Y2519" s="64" t="str">
        <f t="shared" ca="1" si="107"/>
        <v/>
      </c>
    </row>
    <row r="2520" spans="1:25">
      <c r="A2520" s="2">
        <f>+Get_Data!A2519</f>
        <v>43097</v>
      </c>
      <c r="B2520">
        <f>+ROUND(Get_Data!B2519,5)</f>
        <v>109.78581</v>
      </c>
      <c r="C2520">
        <f>+ROUND(Get_Data!C2519,5)</f>
        <v>41.74174</v>
      </c>
      <c r="D2520" s="4">
        <f t="shared" si="92"/>
        <v>2.6301199999999998</v>
      </c>
      <c r="E2520" s="22">
        <f t="shared" ca="1" si="93"/>
        <v>2.6301199999999998</v>
      </c>
      <c r="F2520" s="23">
        <f t="shared" ca="1" si="94"/>
        <v>2.5325500000000001</v>
      </c>
      <c r="G2520" s="10">
        <f t="shared" ca="1" si="95"/>
        <v>1</v>
      </c>
      <c r="H2520" s="12">
        <f t="shared" ca="1" si="96"/>
        <v>0</v>
      </c>
      <c r="I2520" s="11">
        <f t="shared" ca="1" si="97"/>
        <v>1</v>
      </c>
      <c r="J2520" s="11">
        <f t="shared" ca="1" si="98"/>
        <v>1</v>
      </c>
      <c r="K2520" s="10" t="str">
        <f t="shared" ca="1" si="86"/>
        <v/>
      </c>
      <c r="L2520" s="11" t="str">
        <f t="shared" ca="1" si="87"/>
        <v/>
      </c>
      <c r="M2520" s="11" t="str">
        <f t="shared" ca="1" si="88"/>
        <v/>
      </c>
      <c r="N2520" s="15" t="str">
        <f t="shared" ca="1" si="89"/>
        <v/>
      </c>
      <c r="O2520" s="15" t="str">
        <f t="shared" ca="1" si="90"/>
        <v/>
      </c>
      <c r="P2520" s="16" t="str">
        <f t="shared" ca="1" si="91"/>
        <v/>
      </c>
      <c r="Q2520" s="11" t="str">
        <f t="shared" ca="1" si="99"/>
        <v/>
      </c>
      <c r="R2520" s="11" t="str">
        <f t="shared" ca="1" si="100"/>
        <v/>
      </c>
      <c r="S2520" s="61" t="str">
        <f t="shared" ca="1" si="101"/>
        <v/>
      </c>
      <c r="T2520" s="11" t="str">
        <f t="shared" ca="1" si="102"/>
        <v/>
      </c>
      <c r="U2520" s="11" t="str">
        <f t="shared" ca="1" si="103"/>
        <v/>
      </c>
      <c r="V2520" s="18" t="str">
        <f t="shared" ca="1" si="104"/>
        <v/>
      </c>
      <c r="W2520" s="61" t="str">
        <f t="shared" ca="1" si="105"/>
        <v/>
      </c>
      <c r="X2520" s="61">
        <f t="shared" ca="1" si="106"/>
        <v>0</v>
      </c>
      <c r="Y2520" s="64" t="str">
        <f t="shared" ca="1" si="107"/>
        <v/>
      </c>
    </row>
    <row r="2521" spans="1:25">
      <c r="A2521" s="2">
        <f>+Get_Data!A2520</f>
        <v>43098</v>
      </c>
      <c r="B2521">
        <f>+ROUND(Get_Data!B2520,5)</f>
        <v>110.31010999999999</v>
      </c>
      <c r="C2521">
        <f>+ROUND(Get_Data!C2520,5)</f>
        <v>41.887810000000002</v>
      </c>
      <c r="D2521" s="4">
        <f t="shared" si="92"/>
        <v>2.63347</v>
      </c>
      <c r="E2521" s="22">
        <f t="shared" ca="1" si="93"/>
        <v>2.63347</v>
      </c>
      <c r="F2521" s="23">
        <f t="shared" ca="1" si="94"/>
        <v>2.54616</v>
      </c>
      <c r="G2521" s="10">
        <f t="shared" ca="1" si="95"/>
        <v>1</v>
      </c>
      <c r="H2521" s="12">
        <f t="shared" ca="1" si="96"/>
        <v>0</v>
      </c>
      <c r="I2521" s="11">
        <f t="shared" ca="1" si="97"/>
        <v>1</v>
      </c>
      <c r="J2521" s="11">
        <f t="shared" ca="1" si="98"/>
        <v>2</v>
      </c>
      <c r="K2521" s="10">
        <f t="shared" ca="1" si="86"/>
        <v>-110.31010999999999</v>
      </c>
      <c r="L2521" s="11">
        <f t="shared" ca="1" si="87"/>
        <v>41.887810000000002</v>
      </c>
      <c r="M2521" s="11">
        <f t="shared" ca="1" si="88"/>
        <v>2.63347</v>
      </c>
      <c r="N2521" s="15">
        <f t="shared" ca="1" si="89"/>
        <v>10</v>
      </c>
      <c r="O2521" s="15">
        <f t="shared" ca="1" si="90"/>
        <v>26</v>
      </c>
      <c r="P2521" s="16">
        <f t="shared" ca="1" si="91"/>
        <v>-14.018039999999928</v>
      </c>
      <c r="Q2521" s="11" t="str">
        <f t="shared" ca="1" si="99"/>
        <v/>
      </c>
      <c r="R2521" s="11" t="str">
        <f t="shared" ca="1" si="100"/>
        <v/>
      </c>
      <c r="S2521" s="61" t="str">
        <f t="shared" ca="1" si="101"/>
        <v/>
      </c>
      <c r="T2521" s="11" t="str">
        <f t="shared" ca="1" si="102"/>
        <v/>
      </c>
      <c r="U2521" s="11" t="str">
        <f t="shared" ca="1" si="103"/>
        <v/>
      </c>
      <c r="V2521" s="18" t="str">
        <f t="shared" ca="1" si="104"/>
        <v/>
      </c>
      <c r="W2521" s="61" t="str">
        <f t="shared" ca="1" si="105"/>
        <v/>
      </c>
      <c r="X2521" s="61">
        <f t="shared" ca="1" si="106"/>
        <v>0</v>
      </c>
      <c r="Y2521" s="64" t="str">
        <f t="shared" ca="1" si="107"/>
        <v/>
      </c>
    </row>
    <row r="2522" spans="1:25">
      <c r="A2522" s="2">
        <f>+Get_Data!A2521</f>
        <v>43102</v>
      </c>
      <c r="B2522">
        <f>+ROUND(Get_Data!B2521,5)</f>
        <v>108.59917</v>
      </c>
      <c r="C2522">
        <f>+ROUND(Get_Data!C2521,5)</f>
        <v>41.577399999999997</v>
      </c>
      <c r="D2522" s="4">
        <f t="shared" si="92"/>
        <v>2.61198</v>
      </c>
      <c r="E2522" s="22">
        <f t="shared" ca="1" si="93"/>
        <v>2.63347</v>
      </c>
      <c r="F2522" s="23">
        <f t="shared" ca="1" si="94"/>
        <v>2.54616</v>
      </c>
      <c r="G2522" s="10">
        <f t="shared" ca="1" si="95"/>
        <v>0</v>
      </c>
      <c r="H2522" s="12">
        <f t="shared" ca="1" si="96"/>
        <v>0</v>
      </c>
      <c r="I2522" s="11">
        <f t="shared" ca="1" si="97"/>
        <v>0</v>
      </c>
      <c r="J2522" s="11">
        <f t="shared" ca="1" si="98"/>
        <v>2</v>
      </c>
      <c r="K2522" s="10">
        <f t="shared" ref="K2522:K2585" ca="1" si="108">+IF($J2521=0,"",IF(AND(ABS($J2521)=1,ABS($I2521)=1),-$J2521*B2522,K2521))</f>
        <v>-110.31010999999999</v>
      </c>
      <c r="L2522" s="11">
        <f t="shared" ref="L2522:L2585" ca="1" si="109">+IF($J2521=0,"",IF(AND(ABS($J2521)=1,ABS($I2521)=1),$J2521*C2522,L2521))</f>
        <v>41.887810000000002</v>
      </c>
      <c r="M2522" s="11">
        <f t="shared" ref="M2522:M2585" ca="1" si="110">+IF($J2521=0,"",IF(AND(ABS($J2521)=1,ABS($I2521)=1),D2522,M2521))</f>
        <v>2.63347</v>
      </c>
      <c r="N2522" s="15">
        <f t="shared" ref="N2522:N2585" ca="1" si="111">+IF(ISNUMBER(K2522),stocks,"")</f>
        <v>10</v>
      </c>
      <c r="O2522" s="15">
        <f t="shared" ref="O2522:O2585" ca="1" si="112">+IFERROR(ROUND(N2522*M2522,0),"")</f>
        <v>26</v>
      </c>
      <c r="P2522" s="16">
        <f t="shared" ref="P2522:P2585" ca="1" si="113">IFERROR(+N2522*K2522+O2522*L2522,"")</f>
        <v>-14.018039999999928</v>
      </c>
      <c r="Q2522" s="11" t="str">
        <f t="shared" ca="1" si="99"/>
        <v/>
      </c>
      <c r="R2522" s="11" t="str">
        <f t="shared" ca="1" si="100"/>
        <v/>
      </c>
      <c r="S2522" s="61" t="str">
        <f t="shared" ca="1" si="101"/>
        <v/>
      </c>
      <c r="T2522" s="11" t="str">
        <f t="shared" ca="1" si="102"/>
        <v/>
      </c>
      <c r="U2522" s="11" t="str">
        <f t="shared" ca="1" si="103"/>
        <v/>
      </c>
      <c r="V2522" s="18" t="str">
        <f t="shared" ca="1" si="104"/>
        <v/>
      </c>
      <c r="W2522" s="61" t="str">
        <f t="shared" ca="1" si="105"/>
        <v/>
      </c>
      <c r="X2522" s="61">
        <f t="shared" ca="1" si="106"/>
        <v>0</v>
      </c>
      <c r="Y2522" s="64" t="str">
        <f t="shared" ca="1" si="107"/>
        <v/>
      </c>
    </row>
    <row r="2523" spans="1:25">
      <c r="A2523" s="2">
        <f>+Get_Data!A2522</f>
        <v>43103</v>
      </c>
      <c r="B2523">
        <f>+ROUND(Get_Data!B2522,5)</f>
        <v>108.31401</v>
      </c>
      <c r="C2523">
        <f>+ROUND(Get_Data!C2522,5)</f>
        <v>41.4861</v>
      </c>
      <c r="D2523" s="4">
        <f t="shared" si="92"/>
        <v>2.6108500000000001</v>
      </c>
      <c r="E2523" s="22">
        <f t="shared" ca="1" si="93"/>
        <v>2.63347</v>
      </c>
      <c r="F2523" s="23">
        <f t="shared" ca="1" si="94"/>
        <v>2.5594899999999998</v>
      </c>
      <c r="G2523" s="10">
        <f t="shared" ca="1" si="95"/>
        <v>0</v>
      </c>
      <c r="H2523" s="12">
        <f t="shared" ca="1" si="96"/>
        <v>0</v>
      </c>
      <c r="I2523" s="11">
        <f t="shared" ca="1" si="97"/>
        <v>0</v>
      </c>
      <c r="J2523" s="11">
        <f t="shared" ca="1" si="98"/>
        <v>2</v>
      </c>
      <c r="K2523" s="10">
        <f t="shared" ca="1" si="108"/>
        <v>-110.31010999999999</v>
      </c>
      <c r="L2523" s="11">
        <f t="shared" ca="1" si="109"/>
        <v>41.887810000000002</v>
      </c>
      <c r="M2523" s="11">
        <f t="shared" ca="1" si="110"/>
        <v>2.63347</v>
      </c>
      <c r="N2523" s="15">
        <f t="shared" ca="1" si="111"/>
        <v>10</v>
      </c>
      <c r="O2523" s="15">
        <f t="shared" ca="1" si="112"/>
        <v>26</v>
      </c>
      <c r="P2523" s="16">
        <f t="shared" ca="1" si="113"/>
        <v>-14.018039999999928</v>
      </c>
      <c r="Q2523" s="11" t="str">
        <f t="shared" ca="1" si="99"/>
        <v/>
      </c>
      <c r="R2523" s="11" t="str">
        <f t="shared" ca="1" si="100"/>
        <v/>
      </c>
      <c r="S2523" s="61" t="str">
        <f t="shared" ca="1" si="101"/>
        <v/>
      </c>
      <c r="T2523" s="11" t="str">
        <f t="shared" ca="1" si="102"/>
        <v/>
      </c>
      <c r="U2523" s="11" t="str">
        <f t="shared" ca="1" si="103"/>
        <v/>
      </c>
      <c r="V2523" s="18" t="str">
        <f t="shared" ca="1" si="104"/>
        <v/>
      </c>
      <c r="W2523" s="61" t="str">
        <f t="shared" ca="1" si="105"/>
        <v/>
      </c>
      <c r="X2523" s="61">
        <f t="shared" ca="1" si="106"/>
        <v>0</v>
      </c>
      <c r="Y2523" s="64" t="str">
        <f t="shared" ca="1" si="107"/>
        <v/>
      </c>
    </row>
    <row r="2524" spans="1:25">
      <c r="A2524" s="2">
        <f>+Get_Data!A2523</f>
        <v>43104</v>
      </c>
      <c r="B2524">
        <f>+ROUND(Get_Data!B2523,5)</f>
        <v>108.84753000000001</v>
      </c>
      <c r="C2524">
        <f>+ROUND(Get_Data!C2523,5)</f>
        <v>42.070419999999999</v>
      </c>
      <c r="D2524" s="4">
        <f t="shared" si="92"/>
        <v>2.5872700000000002</v>
      </c>
      <c r="E2524" s="22">
        <f t="shared" ca="1" si="93"/>
        <v>2.63347</v>
      </c>
      <c r="F2524" s="23">
        <f t="shared" ca="1" si="94"/>
        <v>2.5594899999999998</v>
      </c>
      <c r="G2524" s="10">
        <f t="shared" ca="1" si="95"/>
        <v>0</v>
      </c>
      <c r="H2524" s="12">
        <f t="shared" ca="1" si="96"/>
        <v>0</v>
      </c>
      <c r="I2524" s="11">
        <f t="shared" ca="1" si="97"/>
        <v>0</v>
      </c>
      <c r="J2524" s="11">
        <f t="shared" ca="1" si="98"/>
        <v>2</v>
      </c>
      <c r="K2524" s="10">
        <f t="shared" ca="1" si="108"/>
        <v>-110.31010999999999</v>
      </c>
      <c r="L2524" s="11">
        <f t="shared" ca="1" si="109"/>
        <v>41.887810000000002</v>
      </c>
      <c r="M2524" s="11">
        <f t="shared" ca="1" si="110"/>
        <v>2.63347</v>
      </c>
      <c r="N2524" s="15">
        <f t="shared" ca="1" si="111"/>
        <v>10</v>
      </c>
      <c r="O2524" s="15">
        <f t="shared" ca="1" si="112"/>
        <v>26</v>
      </c>
      <c r="P2524" s="16">
        <f t="shared" ca="1" si="113"/>
        <v>-14.018039999999928</v>
      </c>
      <c r="Q2524" s="11" t="str">
        <f t="shared" ca="1" si="99"/>
        <v/>
      </c>
      <c r="R2524" s="11" t="str">
        <f t="shared" ca="1" si="100"/>
        <v/>
      </c>
      <c r="S2524" s="61" t="str">
        <f t="shared" ca="1" si="101"/>
        <v/>
      </c>
      <c r="T2524" s="11" t="str">
        <f t="shared" ca="1" si="102"/>
        <v/>
      </c>
      <c r="U2524" s="11" t="str">
        <f t="shared" ca="1" si="103"/>
        <v/>
      </c>
      <c r="V2524" s="18" t="str">
        <f t="shared" ca="1" si="104"/>
        <v/>
      </c>
      <c r="W2524" s="61" t="str">
        <f t="shared" ca="1" si="105"/>
        <v/>
      </c>
      <c r="X2524" s="61">
        <f t="shared" ca="1" si="106"/>
        <v>0</v>
      </c>
      <c r="Y2524" s="64" t="str">
        <f t="shared" ca="1" si="107"/>
        <v/>
      </c>
    </row>
    <row r="2525" spans="1:25">
      <c r="A2525" s="2">
        <f>+Get_Data!A2524</f>
        <v>43105</v>
      </c>
      <c r="B2525">
        <f>+ROUND(Get_Data!B2524,5)</f>
        <v>109.16029</v>
      </c>
      <c r="C2525">
        <f>+ROUND(Get_Data!C2524,5)</f>
        <v>42.061279999999996</v>
      </c>
      <c r="D2525" s="4">
        <f t="shared" si="92"/>
        <v>2.5952700000000002</v>
      </c>
      <c r="E2525" s="22">
        <f t="shared" ca="1" si="93"/>
        <v>2.63347</v>
      </c>
      <c r="F2525" s="23">
        <f t="shared" ca="1" si="94"/>
        <v>2.5594899999999998</v>
      </c>
      <c r="G2525" s="10">
        <f t="shared" ca="1" si="95"/>
        <v>0</v>
      </c>
      <c r="H2525" s="12">
        <f t="shared" ca="1" si="96"/>
        <v>0</v>
      </c>
      <c r="I2525" s="11">
        <f t="shared" ca="1" si="97"/>
        <v>0</v>
      </c>
      <c r="J2525" s="11">
        <f t="shared" ca="1" si="98"/>
        <v>2</v>
      </c>
      <c r="K2525" s="10">
        <f t="shared" ca="1" si="108"/>
        <v>-110.31010999999999</v>
      </c>
      <c r="L2525" s="11">
        <f t="shared" ca="1" si="109"/>
        <v>41.887810000000002</v>
      </c>
      <c r="M2525" s="11">
        <f t="shared" ca="1" si="110"/>
        <v>2.63347</v>
      </c>
      <c r="N2525" s="15">
        <f t="shared" ca="1" si="111"/>
        <v>10</v>
      </c>
      <c r="O2525" s="15">
        <f t="shared" ca="1" si="112"/>
        <v>26</v>
      </c>
      <c r="P2525" s="16">
        <f t="shared" ca="1" si="113"/>
        <v>-14.018039999999928</v>
      </c>
      <c r="Q2525" s="11" t="str">
        <f t="shared" ca="1" si="99"/>
        <v/>
      </c>
      <c r="R2525" s="11" t="str">
        <f t="shared" ca="1" si="100"/>
        <v/>
      </c>
      <c r="S2525" s="61" t="str">
        <f t="shared" ca="1" si="101"/>
        <v/>
      </c>
      <c r="T2525" s="11" t="str">
        <f t="shared" ca="1" si="102"/>
        <v/>
      </c>
      <c r="U2525" s="11" t="str">
        <f t="shared" ca="1" si="103"/>
        <v/>
      </c>
      <c r="V2525" s="18" t="str">
        <f t="shared" ca="1" si="104"/>
        <v/>
      </c>
      <c r="W2525" s="61" t="str">
        <f t="shared" ca="1" si="105"/>
        <v/>
      </c>
      <c r="X2525" s="61">
        <f t="shared" ca="1" si="106"/>
        <v>0</v>
      </c>
      <c r="Y2525" s="64" t="str">
        <f t="shared" ca="1" si="107"/>
        <v/>
      </c>
    </row>
    <row r="2526" spans="1:25">
      <c r="A2526" s="2">
        <f>+Get_Data!A2525</f>
        <v>43108</v>
      </c>
      <c r="B2526">
        <f>+ROUND(Get_Data!B2525,5)</f>
        <v>108.53476999999999</v>
      </c>
      <c r="C2526">
        <f>+ROUND(Get_Data!C2525,5)</f>
        <v>41.99738</v>
      </c>
      <c r="D2526" s="4">
        <f t="shared" si="92"/>
        <v>2.58432</v>
      </c>
      <c r="E2526" s="22">
        <f t="shared" ca="1" si="93"/>
        <v>2.63347</v>
      </c>
      <c r="F2526" s="23">
        <f t="shared" ca="1" si="94"/>
        <v>2.5594899999999998</v>
      </c>
      <c r="G2526" s="10">
        <f t="shared" ca="1" si="95"/>
        <v>0</v>
      </c>
      <c r="H2526" s="12">
        <f t="shared" ca="1" si="96"/>
        <v>0</v>
      </c>
      <c r="I2526" s="11">
        <f t="shared" ca="1" si="97"/>
        <v>0</v>
      </c>
      <c r="J2526" s="11">
        <f t="shared" ca="1" si="98"/>
        <v>2</v>
      </c>
      <c r="K2526" s="10">
        <f t="shared" ca="1" si="108"/>
        <v>-110.31010999999999</v>
      </c>
      <c r="L2526" s="11">
        <f t="shared" ca="1" si="109"/>
        <v>41.887810000000002</v>
      </c>
      <c r="M2526" s="11">
        <f t="shared" ca="1" si="110"/>
        <v>2.63347</v>
      </c>
      <c r="N2526" s="15">
        <f t="shared" ca="1" si="111"/>
        <v>10</v>
      </c>
      <c r="O2526" s="15">
        <f t="shared" ca="1" si="112"/>
        <v>26</v>
      </c>
      <c r="P2526" s="16">
        <f t="shared" ca="1" si="113"/>
        <v>-14.018039999999928</v>
      </c>
      <c r="Q2526" s="11" t="str">
        <f t="shared" ca="1" si="99"/>
        <v/>
      </c>
      <c r="R2526" s="11" t="str">
        <f t="shared" ca="1" si="100"/>
        <v/>
      </c>
      <c r="S2526" s="61" t="str">
        <f t="shared" ca="1" si="101"/>
        <v/>
      </c>
      <c r="T2526" s="11" t="str">
        <f t="shared" ca="1" si="102"/>
        <v/>
      </c>
      <c r="U2526" s="11" t="str">
        <f t="shared" ca="1" si="103"/>
        <v/>
      </c>
      <c r="V2526" s="18" t="str">
        <f t="shared" ca="1" si="104"/>
        <v/>
      </c>
      <c r="W2526" s="61" t="str">
        <f t="shared" ca="1" si="105"/>
        <v/>
      </c>
      <c r="X2526" s="61">
        <f t="shared" ca="1" si="106"/>
        <v>0</v>
      </c>
      <c r="Y2526" s="64" t="str">
        <f t="shared" ca="1" si="107"/>
        <v/>
      </c>
    </row>
    <row r="2527" spans="1:25">
      <c r="A2527" s="2">
        <f>+Get_Data!A2526</f>
        <v>43109</v>
      </c>
      <c r="B2527">
        <f>+ROUND(Get_Data!B2526,5)</f>
        <v>108.61758</v>
      </c>
      <c r="C2527">
        <f>+ROUND(Get_Data!C2526,5)</f>
        <v>42.207360000000001</v>
      </c>
      <c r="D2527" s="4">
        <f t="shared" si="92"/>
        <v>2.5734300000000001</v>
      </c>
      <c r="E2527" s="22">
        <f t="shared" ca="1" si="93"/>
        <v>2.63347</v>
      </c>
      <c r="F2527" s="23">
        <f t="shared" ca="1" si="94"/>
        <v>2.55992</v>
      </c>
      <c r="G2527" s="10">
        <f t="shared" ca="1" si="95"/>
        <v>0</v>
      </c>
      <c r="H2527" s="12">
        <f t="shared" ca="1" si="96"/>
        <v>0</v>
      </c>
      <c r="I2527" s="11">
        <f t="shared" ca="1" si="97"/>
        <v>0</v>
      </c>
      <c r="J2527" s="11">
        <f t="shared" ca="1" si="98"/>
        <v>2</v>
      </c>
      <c r="K2527" s="10">
        <f t="shared" ca="1" si="108"/>
        <v>-110.31010999999999</v>
      </c>
      <c r="L2527" s="11">
        <f t="shared" ca="1" si="109"/>
        <v>41.887810000000002</v>
      </c>
      <c r="M2527" s="11">
        <f t="shared" ca="1" si="110"/>
        <v>2.63347</v>
      </c>
      <c r="N2527" s="15">
        <f t="shared" ca="1" si="111"/>
        <v>10</v>
      </c>
      <c r="O2527" s="15">
        <f t="shared" ca="1" si="112"/>
        <v>26</v>
      </c>
      <c r="P2527" s="16">
        <f t="shared" ca="1" si="113"/>
        <v>-14.018039999999928</v>
      </c>
      <c r="Q2527" s="11" t="str">
        <f t="shared" ca="1" si="99"/>
        <v/>
      </c>
      <c r="R2527" s="11" t="str">
        <f t="shared" ca="1" si="100"/>
        <v/>
      </c>
      <c r="S2527" s="61" t="str">
        <f t="shared" ca="1" si="101"/>
        <v/>
      </c>
      <c r="T2527" s="11" t="str">
        <f t="shared" ca="1" si="102"/>
        <v/>
      </c>
      <c r="U2527" s="11" t="str">
        <f t="shared" ca="1" si="103"/>
        <v/>
      </c>
      <c r="V2527" s="18" t="str">
        <f t="shared" ca="1" si="104"/>
        <v/>
      </c>
      <c r="W2527" s="61" t="str">
        <f t="shared" ca="1" si="105"/>
        <v/>
      </c>
      <c r="X2527" s="61">
        <f t="shared" ca="1" si="106"/>
        <v>0</v>
      </c>
      <c r="Y2527" s="64" t="str">
        <f t="shared" ca="1" si="107"/>
        <v/>
      </c>
    </row>
    <row r="2528" spans="1:25">
      <c r="A2528" s="2">
        <f>+Get_Data!A2527</f>
        <v>43110</v>
      </c>
      <c r="B2528">
        <f>+ROUND(Get_Data!B2527,5)</f>
        <v>108.06565999999999</v>
      </c>
      <c r="C2528">
        <f>+ROUND(Get_Data!C2527,5)</f>
        <v>42.061279999999996</v>
      </c>
      <c r="D2528" s="4">
        <f t="shared" si="92"/>
        <v>2.5692400000000002</v>
      </c>
      <c r="E2528" s="22">
        <f t="shared" ca="1" si="93"/>
        <v>2.63347</v>
      </c>
      <c r="F2528" s="23">
        <f t="shared" ca="1" si="94"/>
        <v>2.5610900000000001</v>
      </c>
      <c r="G2528" s="10">
        <f t="shared" ca="1" si="95"/>
        <v>0</v>
      </c>
      <c r="H2528" s="12">
        <f t="shared" ca="1" si="96"/>
        <v>0</v>
      </c>
      <c r="I2528" s="11">
        <f t="shared" ca="1" si="97"/>
        <v>0</v>
      </c>
      <c r="J2528" s="11">
        <f t="shared" ca="1" si="98"/>
        <v>2</v>
      </c>
      <c r="K2528" s="10">
        <f t="shared" ca="1" si="108"/>
        <v>-110.31010999999999</v>
      </c>
      <c r="L2528" s="11">
        <f t="shared" ca="1" si="109"/>
        <v>41.887810000000002</v>
      </c>
      <c r="M2528" s="11">
        <f t="shared" ca="1" si="110"/>
        <v>2.63347</v>
      </c>
      <c r="N2528" s="15">
        <f t="shared" ca="1" si="111"/>
        <v>10</v>
      </c>
      <c r="O2528" s="15">
        <f t="shared" ca="1" si="112"/>
        <v>26</v>
      </c>
      <c r="P2528" s="16">
        <f t="shared" ca="1" si="113"/>
        <v>-14.018039999999928</v>
      </c>
      <c r="Q2528" s="11" t="str">
        <f t="shared" ca="1" si="99"/>
        <v/>
      </c>
      <c r="R2528" s="11" t="str">
        <f t="shared" ca="1" si="100"/>
        <v/>
      </c>
      <c r="S2528" s="61" t="str">
        <f t="shared" ca="1" si="101"/>
        <v/>
      </c>
      <c r="T2528" s="11" t="str">
        <f t="shared" ca="1" si="102"/>
        <v/>
      </c>
      <c r="U2528" s="11" t="str">
        <f t="shared" ca="1" si="103"/>
        <v/>
      </c>
      <c r="V2528" s="18" t="str">
        <f t="shared" ca="1" si="104"/>
        <v/>
      </c>
      <c r="W2528" s="61" t="str">
        <f t="shared" ca="1" si="105"/>
        <v/>
      </c>
      <c r="X2528" s="61">
        <f t="shared" ca="1" si="106"/>
        <v>0</v>
      </c>
      <c r="Y2528" s="64" t="str">
        <f t="shared" ca="1" si="107"/>
        <v/>
      </c>
    </row>
    <row r="2529" spans="1:25">
      <c r="A2529" s="2">
        <f>+Get_Data!A2528</f>
        <v>43111</v>
      </c>
      <c r="B2529">
        <f>+ROUND(Get_Data!B2528,5)</f>
        <v>107.51375</v>
      </c>
      <c r="C2529">
        <f>+ROUND(Get_Data!C2528,5)</f>
        <v>42.03389</v>
      </c>
      <c r="D2529" s="4">
        <f t="shared" si="92"/>
        <v>2.5577899999999998</v>
      </c>
      <c r="E2529" s="22">
        <f t="shared" ca="1" si="93"/>
        <v>2.63347</v>
      </c>
      <c r="F2529" s="23">
        <f t="shared" ca="1" si="94"/>
        <v>2.5577899999999998</v>
      </c>
      <c r="G2529" s="10">
        <f t="shared" ca="1" si="95"/>
        <v>0</v>
      </c>
      <c r="H2529" s="12">
        <f t="shared" ca="1" si="96"/>
        <v>1</v>
      </c>
      <c r="I2529" s="11">
        <f t="shared" ca="1" si="97"/>
        <v>-1</v>
      </c>
      <c r="J2529" s="11">
        <f t="shared" ca="1" si="98"/>
        <v>0</v>
      </c>
      <c r="K2529" s="10">
        <f t="shared" ca="1" si="108"/>
        <v>-110.31010999999999</v>
      </c>
      <c r="L2529" s="11">
        <f t="shared" ca="1" si="109"/>
        <v>41.887810000000002</v>
      </c>
      <c r="M2529" s="11">
        <f t="shared" ca="1" si="110"/>
        <v>2.63347</v>
      </c>
      <c r="N2529" s="15">
        <f t="shared" ca="1" si="111"/>
        <v>10</v>
      </c>
      <c r="O2529" s="15">
        <f t="shared" ca="1" si="112"/>
        <v>26</v>
      </c>
      <c r="P2529" s="16">
        <f t="shared" ca="1" si="113"/>
        <v>-14.018039999999928</v>
      </c>
      <c r="Q2529" s="11" t="str">
        <f t="shared" ca="1" si="99"/>
        <v/>
      </c>
      <c r="R2529" s="11" t="str">
        <f t="shared" ca="1" si="100"/>
        <v/>
      </c>
      <c r="S2529" s="61" t="str">
        <f t="shared" ca="1" si="101"/>
        <v/>
      </c>
      <c r="T2529" s="11" t="str">
        <f t="shared" ca="1" si="102"/>
        <v/>
      </c>
      <c r="U2529" s="11" t="str">
        <f t="shared" ca="1" si="103"/>
        <v/>
      </c>
      <c r="V2529" s="18" t="str">
        <f t="shared" ca="1" si="104"/>
        <v/>
      </c>
      <c r="W2529" s="61" t="str">
        <f t="shared" ca="1" si="105"/>
        <v/>
      </c>
      <c r="X2529" s="61">
        <f t="shared" ca="1" si="106"/>
        <v>0</v>
      </c>
      <c r="Y2529" s="64" t="str">
        <f t="shared" ca="1" si="107"/>
        <v/>
      </c>
    </row>
    <row r="2530" spans="1:25">
      <c r="A2530" s="2">
        <f>+Get_Data!A2529</f>
        <v>43112</v>
      </c>
      <c r="B2530">
        <f>+ROUND(Get_Data!B2529,5)</f>
        <v>107.97366</v>
      </c>
      <c r="C2530">
        <f>+ROUND(Get_Data!C2529,5)</f>
        <v>42.134329999999999</v>
      </c>
      <c r="D2530" s="4">
        <f t="shared" si="92"/>
        <v>2.5626099999999998</v>
      </c>
      <c r="E2530" s="22">
        <f t="shared" ca="1" si="93"/>
        <v>2.63347</v>
      </c>
      <c r="F2530" s="23">
        <f t="shared" ca="1" si="94"/>
        <v>2.5577899999999998</v>
      </c>
      <c r="G2530" s="10">
        <f t="shared" ca="1" si="95"/>
        <v>0</v>
      </c>
      <c r="H2530" s="12">
        <f t="shared" ca="1" si="96"/>
        <v>0</v>
      </c>
      <c r="I2530" s="11">
        <f t="shared" ca="1" si="97"/>
        <v>0</v>
      </c>
      <c r="J2530" s="11">
        <f t="shared" ca="1" si="98"/>
        <v>0</v>
      </c>
      <c r="K2530" s="10" t="str">
        <f t="shared" ca="1" si="108"/>
        <v/>
      </c>
      <c r="L2530" s="11" t="str">
        <f t="shared" ca="1" si="109"/>
        <v/>
      </c>
      <c r="M2530" s="11" t="str">
        <f t="shared" ca="1" si="110"/>
        <v/>
      </c>
      <c r="N2530" s="15" t="str">
        <f t="shared" ca="1" si="111"/>
        <v/>
      </c>
      <c r="O2530" s="15" t="str">
        <f t="shared" ca="1" si="112"/>
        <v/>
      </c>
      <c r="P2530" s="16" t="str">
        <f t="shared" ca="1" si="113"/>
        <v/>
      </c>
      <c r="Q2530" s="11">
        <f t="shared" ca="1" si="99"/>
        <v>107.97366</v>
      </c>
      <c r="R2530" s="11">
        <f t="shared" ca="1" si="100"/>
        <v>42.134329999999999</v>
      </c>
      <c r="S2530" s="61">
        <f t="shared" ca="1" si="101"/>
        <v>2.5626099999999998</v>
      </c>
      <c r="T2530" s="11">
        <f t="shared" ca="1" si="102"/>
        <v>10</v>
      </c>
      <c r="U2530" s="11">
        <f t="shared" ca="1" si="103"/>
        <v>26</v>
      </c>
      <c r="V2530" s="18">
        <f t="shared" ca="1" si="104"/>
        <v>-2182.8377</v>
      </c>
      <c r="W2530" s="61">
        <f t="shared" ca="1" si="105"/>
        <v>2184.57564</v>
      </c>
      <c r="X2530" s="61">
        <f t="shared" ca="1" si="106"/>
        <v>1.7379399999999805</v>
      </c>
      <c r="Y2530" s="64">
        <f t="shared" ca="1" si="107"/>
        <v>1.5864461628758643E-3</v>
      </c>
    </row>
    <row r="2531" spans="1:25">
      <c r="A2531" s="2">
        <f>+Get_Data!A2530</f>
        <v>43116</v>
      </c>
      <c r="B2531">
        <f>+ROUND(Get_Data!B2530,5)</f>
        <v>108.41521</v>
      </c>
      <c r="C2531">
        <f>+ROUND(Get_Data!C2530,5)</f>
        <v>42.481259999999999</v>
      </c>
      <c r="D2531" s="4">
        <f t="shared" si="92"/>
        <v>2.5520700000000001</v>
      </c>
      <c r="E2531" s="22">
        <f t="shared" ca="1" si="93"/>
        <v>2.63347</v>
      </c>
      <c r="F2531" s="23">
        <f t="shared" ca="1" si="94"/>
        <v>2.5520700000000001</v>
      </c>
      <c r="G2531" s="10">
        <f t="shared" ca="1" si="95"/>
        <v>0</v>
      </c>
      <c r="H2531" s="12">
        <f t="shared" ca="1" si="96"/>
        <v>1</v>
      </c>
      <c r="I2531" s="11">
        <f t="shared" ca="1" si="97"/>
        <v>-1</v>
      </c>
      <c r="J2531" s="11">
        <f t="shared" ca="1" si="98"/>
        <v>-1</v>
      </c>
      <c r="K2531" s="10" t="str">
        <f t="shared" ca="1" si="108"/>
        <v/>
      </c>
      <c r="L2531" s="11" t="str">
        <f t="shared" ca="1" si="109"/>
        <v/>
      </c>
      <c r="M2531" s="11" t="str">
        <f t="shared" ca="1" si="110"/>
        <v/>
      </c>
      <c r="N2531" s="15" t="str">
        <f t="shared" ca="1" si="111"/>
        <v/>
      </c>
      <c r="O2531" s="15" t="str">
        <f t="shared" ca="1" si="112"/>
        <v/>
      </c>
      <c r="P2531" s="16" t="str">
        <f t="shared" ca="1" si="113"/>
        <v/>
      </c>
      <c r="Q2531" s="11" t="str">
        <f t="shared" ca="1" si="99"/>
        <v/>
      </c>
      <c r="R2531" s="11" t="str">
        <f t="shared" ca="1" si="100"/>
        <v/>
      </c>
      <c r="S2531" s="61" t="str">
        <f t="shared" ca="1" si="101"/>
        <v/>
      </c>
      <c r="T2531" s="11" t="str">
        <f t="shared" ca="1" si="102"/>
        <v/>
      </c>
      <c r="U2531" s="11" t="str">
        <f t="shared" ca="1" si="103"/>
        <v/>
      </c>
      <c r="V2531" s="18" t="str">
        <f t="shared" ca="1" si="104"/>
        <v/>
      </c>
      <c r="W2531" s="61" t="str">
        <f t="shared" ca="1" si="105"/>
        <v/>
      </c>
      <c r="X2531" s="61">
        <f t="shared" ca="1" si="106"/>
        <v>0</v>
      </c>
      <c r="Y2531" s="64" t="str">
        <f t="shared" ca="1" si="107"/>
        <v/>
      </c>
    </row>
    <row r="2532" spans="1:25">
      <c r="A2532" s="2">
        <f>+Get_Data!A2531</f>
        <v>43117</v>
      </c>
      <c r="B2532">
        <f>+ROUND(Get_Data!B2531,5)</f>
        <v>109.62943</v>
      </c>
      <c r="C2532">
        <f>+ROUND(Get_Data!C2531,5)</f>
        <v>42.746020000000001</v>
      </c>
      <c r="D2532" s="4">
        <f t="shared" si="92"/>
        <v>2.56467</v>
      </c>
      <c r="E2532" s="22">
        <f t="shared" ca="1" si="93"/>
        <v>2.63347</v>
      </c>
      <c r="F2532" s="23">
        <f t="shared" ca="1" si="94"/>
        <v>2.5520700000000001</v>
      </c>
      <c r="G2532" s="10">
        <f t="shared" ca="1" si="95"/>
        <v>0</v>
      </c>
      <c r="H2532" s="12">
        <f t="shared" ca="1" si="96"/>
        <v>0</v>
      </c>
      <c r="I2532" s="11">
        <f t="shared" ca="1" si="97"/>
        <v>0</v>
      </c>
      <c r="J2532" s="11">
        <f t="shared" ca="1" si="98"/>
        <v>-1</v>
      </c>
      <c r="K2532" s="10">
        <f t="shared" ca="1" si="108"/>
        <v>109.62943</v>
      </c>
      <c r="L2532" s="11">
        <f t="shared" ca="1" si="109"/>
        <v>-42.746020000000001</v>
      </c>
      <c r="M2532" s="11">
        <f t="shared" ca="1" si="110"/>
        <v>2.56467</v>
      </c>
      <c r="N2532" s="15">
        <f t="shared" ca="1" si="111"/>
        <v>10</v>
      </c>
      <c r="O2532" s="15">
        <f t="shared" ca="1" si="112"/>
        <v>26</v>
      </c>
      <c r="P2532" s="16">
        <f t="shared" ca="1" si="113"/>
        <v>-15.102219999999988</v>
      </c>
      <c r="Q2532" s="11" t="str">
        <f t="shared" ca="1" si="99"/>
        <v/>
      </c>
      <c r="R2532" s="11" t="str">
        <f t="shared" ca="1" si="100"/>
        <v/>
      </c>
      <c r="S2532" s="61" t="str">
        <f t="shared" ca="1" si="101"/>
        <v/>
      </c>
      <c r="T2532" s="11" t="str">
        <f t="shared" ca="1" si="102"/>
        <v/>
      </c>
      <c r="U2532" s="11" t="str">
        <f t="shared" ca="1" si="103"/>
        <v/>
      </c>
      <c r="V2532" s="18" t="str">
        <f t="shared" ca="1" si="104"/>
        <v/>
      </c>
      <c r="W2532" s="61" t="str">
        <f t="shared" ca="1" si="105"/>
        <v/>
      </c>
      <c r="X2532" s="61">
        <f t="shared" ca="1" si="106"/>
        <v>0</v>
      </c>
      <c r="Y2532" s="64" t="str">
        <f t="shared" ca="1" si="107"/>
        <v/>
      </c>
    </row>
    <row r="2533" spans="1:25">
      <c r="A2533" s="2">
        <f>+Get_Data!A2532</f>
        <v>43118</v>
      </c>
      <c r="B2533">
        <f>+ROUND(Get_Data!B2532,5)</f>
        <v>109.50985</v>
      </c>
      <c r="C2533">
        <f>+ROUND(Get_Data!C2532,5)</f>
        <v>42.800800000000002</v>
      </c>
      <c r="D2533" s="4">
        <f t="shared" si="92"/>
        <v>2.5585900000000001</v>
      </c>
      <c r="E2533" s="22">
        <f t="shared" ca="1" si="93"/>
        <v>2.63347</v>
      </c>
      <c r="F2533" s="23">
        <f t="shared" ca="1" si="94"/>
        <v>2.5520700000000001</v>
      </c>
      <c r="G2533" s="10">
        <f t="shared" ca="1" si="95"/>
        <v>0</v>
      </c>
      <c r="H2533" s="12">
        <f t="shared" ca="1" si="96"/>
        <v>0</v>
      </c>
      <c r="I2533" s="11">
        <f t="shared" ca="1" si="97"/>
        <v>0</v>
      </c>
      <c r="J2533" s="11">
        <f t="shared" ca="1" si="98"/>
        <v>-1</v>
      </c>
      <c r="K2533" s="10">
        <f t="shared" ca="1" si="108"/>
        <v>109.62943</v>
      </c>
      <c r="L2533" s="11">
        <f t="shared" ca="1" si="109"/>
        <v>-42.746020000000001</v>
      </c>
      <c r="M2533" s="11">
        <f t="shared" ca="1" si="110"/>
        <v>2.56467</v>
      </c>
      <c r="N2533" s="15">
        <f t="shared" ca="1" si="111"/>
        <v>10</v>
      </c>
      <c r="O2533" s="15">
        <f t="shared" ca="1" si="112"/>
        <v>26</v>
      </c>
      <c r="P2533" s="16">
        <f t="shared" ca="1" si="113"/>
        <v>-15.102219999999988</v>
      </c>
      <c r="Q2533" s="11" t="str">
        <f t="shared" ca="1" si="99"/>
        <v/>
      </c>
      <c r="R2533" s="11" t="str">
        <f t="shared" ca="1" si="100"/>
        <v/>
      </c>
      <c r="S2533" s="61" t="str">
        <f t="shared" ca="1" si="101"/>
        <v/>
      </c>
      <c r="T2533" s="11" t="str">
        <f t="shared" ca="1" si="102"/>
        <v/>
      </c>
      <c r="U2533" s="11" t="str">
        <f t="shared" ca="1" si="103"/>
        <v/>
      </c>
      <c r="V2533" s="18" t="str">
        <f t="shared" ca="1" si="104"/>
        <v/>
      </c>
      <c r="W2533" s="61" t="str">
        <f t="shared" ca="1" si="105"/>
        <v/>
      </c>
      <c r="X2533" s="61">
        <f t="shared" ca="1" si="106"/>
        <v>0</v>
      </c>
      <c r="Y2533" s="64" t="str">
        <f t="shared" ca="1" si="107"/>
        <v/>
      </c>
    </row>
    <row r="2534" spans="1:25">
      <c r="A2534" s="2">
        <f>+Get_Data!A2533</f>
        <v>43119</v>
      </c>
      <c r="B2534">
        <f>+ROUND(Get_Data!B2533,5)</f>
        <v>110.54008</v>
      </c>
      <c r="C2534">
        <f>+ROUND(Get_Data!C2533,5)</f>
        <v>43.056440000000002</v>
      </c>
      <c r="D2534" s="4">
        <f t="shared" si="92"/>
        <v>2.5673300000000001</v>
      </c>
      <c r="E2534" s="22">
        <f t="shared" ca="1" si="93"/>
        <v>2.63347</v>
      </c>
      <c r="F2534" s="23">
        <f t="shared" ca="1" si="94"/>
        <v>2.5520700000000001</v>
      </c>
      <c r="G2534" s="10">
        <f t="shared" ca="1" si="95"/>
        <v>0</v>
      </c>
      <c r="H2534" s="12">
        <f t="shared" ca="1" si="96"/>
        <v>0</v>
      </c>
      <c r="I2534" s="11">
        <f t="shared" ca="1" si="97"/>
        <v>0</v>
      </c>
      <c r="J2534" s="11">
        <f t="shared" ca="1" si="98"/>
        <v>-1</v>
      </c>
      <c r="K2534" s="10">
        <f t="shared" ca="1" si="108"/>
        <v>109.62943</v>
      </c>
      <c r="L2534" s="11">
        <f t="shared" ca="1" si="109"/>
        <v>-42.746020000000001</v>
      </c>
      <c r="M2534" s="11">
        <f t="shared" ca="1" si="110"/>
        <v>2.56467</v>
      </c>
      <c r="N2534" s="15">
        <f t="shared" ca="1" si="111"/>
        <v>10</v>
      </c>
      <c r="O2534" s="15">
        <f t="shared" ca="1" si="112"/>
        <v>26</v>
      </c>
      <c r="P2534" s="16">
        <f t="shared" ca="1" si="113"/>
        <v>-15.102219999999988</v>
      </c>
      <c r="Q2534" s="11" t="str">
        <f t="shared" ca="1" si="99"/>
        <v/>
      </c>
      <c r="R2534" s="11" t="str">
        <f t="shared" ca="1" si="100"/>
        <v/>
      </c>
      <c r="S2534" s="61" t="str">
        <f t="shared" ca="1" si="101"/>
        <v/>
      </c>
      <c r="T2534" s="11" t="str">
        <f t="shared" ca="1" si="102"/>
        <v/>
      </c>
      <c r="U2534" s="11" t="str">
        <f t="shared" ca="1" si="103"/>
        <v/>
      </c>
      <c r="V2534" s="18" t="str">
        <f t="shared" ca="1" si="104"/>
        <v/>
      </c>
      <c r="W2534" s="61" t="str">
        <f t="shared" ca="1" si="105"/>
        <v/>
      </c>
      <c r="X2534" s="61">
        <f t="shared" ca="1" si="106"/>
        <v>0</v>
      </c>
      <c r="Y2534" s="64" t="str">
        <f t="shared" ca="1" si="107"/>
        <v/>
      </c>
    </row>
    <row r="2535" spans="1:25">
      <c r="A2535" s="2">
        <f>+Get_Data!A2534</f>
        <v>43122</v>
      </c>
      <c r="B2535">
        <f>+ROUND(Get_Data!B2534,5)</f>
        <v>111.77272000000001</v>
      </c>
      <c r="C2535">
        <f>+ROUND(Get_Data!C2534,5)</f>
        <v>43.257289999999998</v>
      </c>
      <c r="D2535" s="4">
        <f t="shared" si="92"/>
        <v>2.5838999999999999</v>
      </c>
      <c r="E2535" s="22">
        <f t="shared" ca="1" si="93"/>
        <v>2.63347</v>
      </c>
      <c r="F2535" s="23">
        <f t="shared" ca="1" si="94"/>
        <v>2.5520700000000001</v>
      </c>
      <c r="G2535" s="10">
        <f t="shared" ca="1" si="95"/>
        <v>0</v>
      </c>
      <c r="H2535" s="12">
        <f t="shared" ca="1" si="96"/>
        <v>0</v>
      </c>
      <c r="I2535" s="11">
        <f t="shared" ca="1" si="97"/>
        <v>0</v>
      </c>
      <c r="J2535" s="11">
        <f t="shared" ca="1" si="98"/>
        <v>-1</v>
      </c>
      <c r="K2535" s="10">
        <f t="shared" ca="1" si="108"/>
        <v>109.62943</v>
      </c>
      <c r="L2535" s="11">
        <f t="shared" ca="1" si="109"/>
        <v>-42.746020000000001</v>
      </c>
      <c r="M2535" s="11">
        <f t="shared" ca="1" si="110"/>
        <v>2.56467</v>
      </c>
      <c r="N2535" s="15">
        <f t="shared" ca="1" si="111"/>
        <v>10</v>
      </c>
      <c r="O2535" s="15">
        <f t="shared" ca="1" si="112"/>
        <v>26</v>
      </c>
      <c r="P2535" s="16">
        <f t="shared" ca="1" si="113"/>
        <v>-15.102219999999988</v>
      </c>
      <c r="Q2535" s="11" t="str">
        <f t="shared" ca="1" si="99"/>
        <v/>
      </c>
      <c r="R2535" s="11" t="str">
        <f t="shared" ca="1" si="100"/>
        <v/>
      </c>
      <c r="S2535" s="61" t="str">
        <f t="shared" ca="1" si="101"/>
        <v/>
      </c>
      <c r="T2535" s="11" t="str">
        <f t="shared" ca="1" si="102"/>
        <v/>
      </c>
      <c r="U2535" s="11" t="str">
        <f t="shared" ca="1" si="103"/>
        <v/>
      </c>
      <c r="V2535" s="18" t="str">
        <f t="shared" ca="1" si="104"/>
        <v/>
      </c>
      <c r="W2535" s="61" t="str">
        <f t="shared" ca="1" si="105"/>
        <v/>
      </c>
      <c r="X2535" s="61">
        <f t="shared" ca="1" si="106"/>
        <v>0</v>
      </c>
      <c r="Y2535" s="64" t="str">
        <f t="shared" ca="1" si="107"/>
        <v/>
      </c>
    </row>
    <row r="2536" spans="1:25">
      <c r="A2536" s="2">
        <f>+Get_Data!A2535</f>
        <v>43123</v>
      </c>
      <c r="B2536">
        <f>+ROUND(Get_Data!B2535,5)</f>
        <v>111.57953999999999</v>
      </c>
      <c r="C2536">
        <f>+ROUND(Get_Data!C2535,5)</f>
        <v>43.321199999999997</v>
      </c>
      <c r="D2536" s="4">
        <f t="shared" si="92"/>
        <v>2.5756299999999999</v>
      </c>
      <c r="E2536" s="22">
        <f t="shared" ca="1" si="93"/>
        <v>2.63347</v>
      </c>
      <c r="F2536" s="23">
        <f t="shared" ca="1" si="94"/>
        <v>2.5520700000000001</v>
      </c>
      <c r="G2536" s="10">
        <f t="shared" ca="1" si="95"/>
        <v>0</v>
      </c>
      <c r="H2536" s="12">
        <f t="shared" ca="1" si="96"/>
        <v>0</v>
      </c>
      <c r="I2536" s="11">
        <f t="shared" ca="1" si="97"/>
        <v>0</v>
      </c>
      <c r="J2536" s="11">
        <f t="shared" ca="1" si="98"/>
        <v>-1</v>
      </c>
      <c r="K2536" s="10">
        <f t="shared" ca="1" si="108"/>
        <v>109.62943</v>
      </c>
      <c r="L2536" s="11">
        <f t="shared" ca="1" si="109"/>
        <v>-42.746020000000001</v>
      </c>
      <c r="M2536" s="11">
        <f t="shared" ca="1" si="110"/>
        <v>2.56467</v>
      </c>
      <c r="N2536" s="15">
        <f t="shared" ca="1" si="111"/>
        <v>10</v>
      </c>
      <c r="O2536" s="15">
        <f t="shared" ca="1" si="112"/>
        <v>26</v>
      </c>
      <c r="P2536" s="16">
        <f t="shared" ca="1" si="113"/>
        <v>-15.102219999999988</v>
      </c>
      <c r="Q2536" s="11" t="str">
        <f t="shared" ca="1" si="99"/>
        <v/>
      </c>
      <c r="R2536" s="11" t="str">
        <f t="shared" ca="1" si="100"/>
        <v/>
      </c>
      <c r="S2536" s="61" t="str">
        <f t="shared" ca="1" si="101"/>
        <v/>
      </c>
      <c r="T2536" s="11" t="str">
        <f t="shared" ca="1" si="102"/>
        <v/>
      </c>
      <c r="U2536" s="11" t="str">
        <f t="shared" ca="1" si="103"/>
        <v/>
      </c>
      <c r="V2536" s="18" t="str">
        <f t="shared" ca="1" si="104"/>
        <v/>
      </c>
      <c r="W2536" s="61" t="str">
        <f t="shared" ca="1" si="105"/>
        <v/>
      </c>
      <c r="X2536" s="61">
        <f t="shared" ca="1" si="106"/>
        <v>0</v>
      </c>
      <c r="Y2536" s="64" t="str">
        <f t="shared" ca="1" si="107"/>
        <v/>
      </c>
    </row>
    <row r="2537" spans="1:25">
      <c r="A2537" s="2">
        <f>+Get_Data!A2536</f>
        <v>43124</v>
      </c>
      <c r="B2537">
        <f>+ROUND(Get_Data!B2536,5)</f>
        <v>111.43237000000001</v>
      </c>
      <c r="C2537">
        <f>+ROUND(Get_Data!C2536,5)</f>
        <v>43.668140000000001</v>
      </c>
      <c r="D2537" s="4">
        <f t="shared" si="92"/>
        <v>2.5518000000000001</v>
      </c>
      <c r="E2537" s="22">
        <f t="shared" ca="1" si="93"/>
        <v>2.63347</v>
      </c>
      <c r="F2537" s="23">
        <f t="shared" ca="1" si="94"/>
        <v>2.5518000000000001</v>
      </c>
      <c r="G2537" s="10">
        <f t="shared" ca="1" si="95"/>
        <v>0</v>
      </c>
      <c r="H2537" s="12">
        <f t="shared" ca="1" si="96"/>
        <v>1</v>
      </c>
      <c r="I2537" s="11">
        <f t="shared" ca="1" si="97"/>
        <v>-1</v>
      </c>
      <c r="J2537" s="11">
        <f t="shared" ca="1" si="98"/>
        <v>-2</v>
      </c>
      <c r="K2537" s="10">
        <f t="shared" ca="1" si="108"/>
        <v>109.62943</v>
      </c>
      <c r="L2537" s="11">
        <f t="shared" ca="1" si="109"/>
        <v>-42.746020000000001</v>
      </c>
      <c r="M2537" s="11">
        <f t="shared" ca="1" si="110"/>
        <v>2.56467</v>
      </c>
      <c r="N2537" s="15">
        <f t="shared" ca="1" si="111"/>
        <v>10</v>
      </c>
      <c r="O2537" s="15">
        <f t="shared" ca="1" si="112"/>
        <v>26</v>
      </c>
      <c r="P2537" s="16">
        <f t="shared" ca="1" si="113"/>
        <v>-15.102219999999988</v>
      </c>
      <c r="Q2537" s="11" t="str">
        <f t="shared" ca="1" si="99"/>
        <v/>
      </c>
      <c r="R2537" s="11" t="str">
        <f t="shared" ca="1" si="100"/>
        <v/>
      </c>
      <c r="S2537" s="61" t="str">
        <f t="shared" ca="1" si="101"/>
        <v/>
      </c>
      <c r="T2537" s="11" t="str">
        <f t="shared" ca="1" si="102"/>
        <v/>
      </c>
      <c r="U2537" s="11" t="str">
        <f t="shared" ca="1" si="103"/>
        <v/>
      </c>
      <c r="V2537" s="18" t="str">
        <f t="shared" ca="1" si="104"/>
        <v/>
      </c>
      <c r="W2537" s="61" t="str">
        <f t="shared" ca="1" si="105"/>
        <v/>
      </c>
      <c r="X2537" s="61">
        <f t="shared" ca="1" si="106"/>
        <v>0</v>
      </c>
      <c r="Y2537" s="64" t="str">
        <f t="shared" ca="1" si="107"/>
        <v/>
      </c>
    </row>
    <row r="2538" spans="1:25">
      <c r="A2538" s="2">
        <f>+Get_Data!A2537</f>
        <v>43125</v>
      </c>
      <c r="B2538">
        <f>+ROUND(Get_Data!B2537,5)</f>
        <v>111.21159</v>
      </c>
      <c r="C2538">
        <f>+ROUND(Get_Data!C2537,5)</f>
        <v>43.677259999999997</v>
      </c>
      <c r="D2538" s="4">
        <f t="shared" si="92"/>
        <v>2.5462099999999999</v>
      </c>
      <c r="E2538" s="22">
        <f t="shared" ca="1" si="93"/>
        <v>2.63347</v>
      </c>
      <c r="F2538" s="23">
        <f t="shared" ca="1" si="94"/>
        <v>2.5462099999999999</v>
      </c>
      <c r="G2538" s="10">
        <f t="shared" ca="1" si="95"/>
        <v>0</v>
      </c>
      <c r="H2538" s="12">
        <f t="shared" ca="1" si="96"/>
        <v>1</v>
      </c>
      <c r="I2538" s="11">
        <f t="shared" ca="1" si="97"/>
        <v>-1</v>
      </c>
      <c r="J2538" s="11">
        <f t="shared" ca="1" si="98"/>
        <v>0</v>
      </c>
      <c r="K2538" s="10">
        <f t="shared" ca="1" si="108"/>
        <v>109.62943</v>
      </c>
      <c r="L2538" s="11">
        <f t="shared" ca="1" si="109"/>
        <v>-42.746020000000001</v>
      </c>
      <c r="M2538" s="11">
        <f t="shared" ca="1" si="110"/>
        <v>2.56467</v>
      </c>
      <c r="N2538" s="15">
        <f t="shared" ca="1" si="111"/>
        <v>10</v>
      </c>
      <c r="O2538" s="15">
        <f t="shared" ca="1" si="112"/>
        <v>26</v>
      </c>
      <c r="P2538" s="16">
        <f t="shared" ca="1" si="113"/>
        <v>-15.102219999999988</v>
      </c>
      <c r="Q2538" s="11" t="str">
        <f t="shared" ca="1" si="99"/>
        <v/>
      </c>
      <c r="R2538" s="11" t="str">
        <f t="shared" ca="1" si="100"/>
        <v/>
      </c>
      <c r="S2538" s="61" t="str">
        <f t="shared" ca="1" si="101"/>
        <v/>
      </c>
      <c r="T2538" s="11" t="str">
        <f t="shared" ca="1" si="102"/>
        <v/>
      </c>
      <c r="U2538" s="11" t="str">
        <f t="shared" ca="1" si="103"/>
        <v/>
      </c>
      <c r="V2538" s="18" t="str">
        <f t="shared" ca="1" si="104"/>
        <v/>
      </c>
      <c r="W2538" s="61" t="str">
        <f t="shared" ca="1" si="105"/>
        <v/>
      </c>
      <c r="X2538" s="61">
        <f t="shared" ca="1" si="106"/>
        <v>0</v>
      </c>
      <c r="Y2538" s="64" t="str">
        <f t="shared" ca="1" si="107"/>
        <v/>
      </c>
    </row>
    <row r="2539" spans="1:25">
      <c r="A2539" s="2">
        <f>+Get_Data!A2538</f>
        <v>43126</v>
      </c>
      <c r="B2539">
        <f>+ROUND(Get_Data!B2538,5)</f>
        <v>112.00266999999999</v>
      </c>
      <c r="C2539">
        <f>+ROUND(Get_Data!C2538,5)</f>
        <v>44.307229999999997</v>
      </c>
      <c r="D2539" s="4">
        <f t="shared" si="92"/>
        <v>2.52786</v>
      </c>
      <c r="E2539" s="22">
        <f t="shared" ca="1" si="93"/>
        <v>2.63347</v>
      </c>
      <c r="F2539" s="23">
        <f t="shared" ca="1" si="94"/>
        <v>2.52786</v>
      </c>
      <c r="G2539" s="10">
        <f t="shared" ca="1" si="95"/>
        <v>0</v>
      </c>
      <c r="H2539" s="12">
        <f t="shared" ca="1" si="96"/>
        <v>1</v>
      </c>
      <c r="I2539" s="11">
        <f t="shared" ca="1" si="97"/>
        <v>-1</v>
      </c>
      <c r="J2539" s="11">
        <f t="shared" ca="1" si="98"/>
        <v>-1</v>
      </c>
      <c r="K2539" s="10" t="str">
        <f t="shared" ca="1" si="108"/>
        <v/>
      </c>
      <c r="L2539" s="11" t="str">
        <f t="shared" ca="1" si="109"/>
        <v/>
      </c>
      <c r="M2539" s="11" t="str">
        <f t="shared" ca="1" si="110"/>
        <v/>
      </c>
      <c r="N2539" s="15" t="str">
        <f t="shared" ca="1" si="111"/>
        <v/>
      </c>
      <c r="O2539" s="15" t="str">
        <f t="shared" ca="1" si="112"/>
        <v/>
      </c>
      <c r="P2539" s="16" t="str">
        <f t="shared" ca="1" si="113"/>
        <v/>
      </c>
      <c r="Q2539" s="11">
        <f t="shared" ca="1" si="99"/>
        <v>112.00266999999999</v>
      </c>
      <c r="R2539" s="11">
        <f t="shared" ca="1" si="100"/>
        <v>44.307229999999997</v>
      </c>
      <c r="S2539" s="61">
        <f t="shared" ca="1" si="101"/>
        <v>2.52786</v>
      </c>
      <c r="T2539" s="11">
        <f t="shared" ca="1" si="102"/>
        <v>10</v>
      </c>
      <c r="U2539" s="11">
        <f t="shared" ca="1" si="103"/>
        <v>26</v>
      </c>
      <c r="V2539" s="18">
        <f t="shared" ca="1" si="104"/>
        <v>-23.732399999999956</v>
      </c>
      <c r="W2539" s="61">
        <f t="shared" ca="1" si="105"/>
        <v>40.591459999999884</v>
      </c>
      <c r="X2539" s="61">
        <f t="shared" ca="1" si="106"/>
        <v>16.859059999999928</v>
      </c>
      <c r="Y2539" s="64">
        <f t="shared" ca="1" si="107"/>
        <v>1.4634753393867817E-2</v>
      </c>
    </row>
    <row r="2540" spans="1:25">
      <c r="A2540" s="2">
        <f>+Get_Data!A2539</f>
        <v>43129</v>
      </c>
      <c r="B2540">
        <f>+ROUND(Get_Data!B2539,5)</f>
        <v>110.08017</v>
      </c>
      <c r="C2540">
        <f>+ROUND(Get_Data!C2539,5)</f>
        <v>43.54945</v>
      </c>
      <c r="D2540" s="4">
        <f t="shared" si="92"/>
        <v>2.5277099999999999</v>
      </c>
      <c r="E2540" s="22">
        <f t="shared" ca="1" si="93"/>
        <v>2.63347</v>
      </c>
      <c r="F2540" s="23">
        <f t="shared" ca="1" si="94"/>
        <v>2.5277099999999999</v>
      </c>
      <c r="G2540" s="10">
        <f t="shared" ca="1" si="95"/>
        <v>0</v>
      </c>
      <c r="H2540" s="12">
        <f t="shared" ca="1" si="96"/>
        <v>1</v>
      </c>
      <c r="I2540" s="11">
        <f t="shared" ca="1" si="97"/>
        <v>-1</v>
      </c>
      <c r="J2540" s="11">
        <f t="shared" ca="1" si="98"/>
        <v>-2</v>
      </c>
      <c r="K2540" s="10">
        <f t="shared" ca="1" si="108"/>
        <v>110.08017</v>
      </c>
      <c r="L2540" s="11">
        <f t="shared" ca="1" si="109"/>
        <v>-43.54945</v>
      </c>
      <c r="M2540" s="11">
        <f t="shared" ca="1" si="110"/>
        <v>2.5277099999999999</v>
      </c>
      <c r="N2540" s="15">
        <f t="shared" ca="1" si="111"/>
        <v>10</v>
      </c>
      <c r="O2540" s="15">
        <f t="shared" ca="1" si="112"/>
        <v>25</v>
      </c>
      <c r="P2540" s="16">
        <f t="shared" ca="1" si="113"/>
        <v>12.065450000000055</v>
      </c>
      <c r="Q2540" s="11" t="str">
        <f t="shared" ca="1" si="99"/>
        <v/>
      </c>
      <c r="R2540" s="11" t="str">
        <f t="shared" ca="1" si="100"/>
        <v/>
      </c>
      <c r="S2540" s="61" t="str">
        <f t="shared" ca="1" si="101"/>
        <v/>
      </c>
      <c r="T2540" s="11" t="str">
        <f t="shared" ca="1" si="102"/>
        <v/>
      </c>
      <c r="U2540" s="11" t="str">
        <f t="shared" ca="1" si="103"/>
        <v/>
      </c>
      <c r="V2540" s="18" t="str">
        <f t="shared" ca="1" si="104"/>
        <v/>
      </c>
      <c r="W2540" s="61" t="str">
        <f t="shared" ca="1" si="105"/>
        <v/>
      </c>
      <c r="X2540" s="61">
        <f t="shared" ca="1" si="106"/>
        <v>0</v>
      </c>
      <c r="Y2540" s="64" t="str">
        <f t="shared" ca="1" si="107"/>
        <v/>
      </c>
    </row>
    <row r="2541" spans="1:25">
      <c r="A2541" s="2">
        <f>+Get_Data!A2540</f>
        <v>43130</v>
      </c>
      <c r="B2541">
        <f>+ROUND(Get_Data!B2540,5)</f>
        <v>110.28252000000001</v>
      </c>
      <c r="C2541">
        <f>+ROUND(Get_Data!C2540,5)</f>
        <v>43.284680000000002</v>
      </c>
      <c r="D2541" s="4">
        <f t="shared" si="92"/>
        <v>2.5478399999999999</v>
      </c>
      <c r="E2541" s="22">
        <f t="shared" ca="1" si="93"/>
        <v>2.63347</v>
      </c>
      <c r="F2541" s="23">
        <f t="shared" ca="1" si="94"/>
        <v>2.5277099999999999</v>
      </c>
      <c r="G2541" s="10">
        <f t="shared" ca="1" si="95"/>
        <v>0</v>
      </c>
      <c r="H2541" s="12">
        <f t="shared" ca="1" si="96"/>
        <v>0</v>
      </c>
      <c r="I2541" s="11">
        <f t="shared" ca="1" si="97"/>
        <v>0</v>
      </c>
      <c r="J2541" s="11">
        <f t="shared" ca="1" si="98"/>
        <v>-2</v>
      </c>
      <c r="K2541" s="10">
        <f t="shared" ca="1" si="108"/>
        <v>110.08017</v>
      </c>
      <c r="L2541" s="11">
        <f t="shared" ca="1" si="109"/>
        <v>-43.54945</v>
      </c>
      <c r="M2541" s="11">
        <f t="shared" ca="1" si="110"/>
        <v>2.5277099999999999</v>
      </c>
      <c r="N2541" s="15">
        <f t="shared" ca="1" si="111"/>
        <v>10</v>
      </c>
      <c r="O2541" s="15">
        <f t="shared" ca="1" si="112"/>
        <v>25</v>
      </c>
      <c r="P2541" s="16">
        <f t="shared" ca="1" si="113"/>
        <v>12.065450000000055</v>
      </c>
      <c r="Q2541" s="11" t="str">
        <f t="shared" ca="1" si="99"/>
        <v/>
      </c>
      <c r="R2541" s="11" t="str">
        <f t="shared" ca="1" si="100"/>
        <v/>
      </c>
      <c r="S2541" s="61" t="str">
        <f t="shared" ca="1" si="101"/>
        <v/>
      </c>
      <c r="T2541" s="11" t="str">
        <f t="shared" ca="1" si="102"/>
        <v/>
      </c>
      <c r="U2541" s="11" t="str">
        <f t="shared" ca="1" si="103"/>
        <v/>
      </c>
      <c r="V2541" s="18" t="str">
        <f t="shared" ca="1" si="104"/>
        <v/>
      </c>
      <c r="W2541" s="61" t="str">
        <f t="shared" ca="1" si="105"/>
        <v/>
      </c>
      <c r="X2541" s="61">
        <f t="shared" ca="1" si="106"/>
        <v>0</v>
      </c>
      <c r="Y2541" s="64" t="str">
        <f t="shared" ca="1" si="107"/>
        <v/>
      </c>
    </row>
    <row r="2542" spans="1:25">
      <c r="A2542" s="2">
        <f>+Get_Data!A2541</f>
        <v>43131</v>
      </c>
      <c r="B2542">
        <f>+ROUND(Get_Data!B2541,5)</f>
        <v>110.65967999999999</v>
      </c>
      <c r="C2542">
        <f>+ROUND(Get_Data!C2541,5)</f>
        <v>43.449019999999997</v>
      </c>
      <c r="D2542" s="4">
        <f t="shared" si="92"/>
        <v>2.5468899999999999</v>
      </c>
      <c r="E2542" s="22">
        <f t="shared" ca="1" si="93"/>
        <v>2.63347</v>
      </c>
      <c r="F2542" s="23">
        <f t="shared" ca="1" si="94"/>
        <v>2.5277099999999999</v>
      </c>
      <c r="G2542" s="10">
        <f t="shared" ca="1" si="95"/>
        <v>0</v>
      </c>
      <c r="H2542" s="12">
        <f t="shared" ca="1" si="96"/>
        <v>0</v>
      </c>
      <c r="I2542" s="11">
        <f t="shared" ca="1" si="97"/>
        <v>0</v>
      </c>
      <c r="J2542" s="11">
        <f t="shared" ca="1" si="98"/>
        <v>-2</v>
      </c>
      <c r="K2542" s="10">
        <f t="shared" ca="1" si="108"/>
        <v>110.08017</v>
      </c>
      <c r="L2542" s="11">
        <f t="shared" ca="1" si="109"/>
        <v>-43.54945</v>
      </c>
      <c r="M2542" s="11">
        <f t="shared" ca="1" si="110"/>
        <v>2.5277099999999999</v>
      </c>
      <c r="N2542" s="15">
        <f t="shared" ca="1" si="111"/>
        <v>10</v>
      </c>
      <c r="O2542" s="15">
        <f t="shared" ca="1" si="112"/>
        <v>25</v>
      </c>
      <c r="P2542" s="16">
        <f t="shared" ca="1" si="113"/>
        <v>12.065450000000055</v>
      </c>
      <c r="Q2542" s="11" t="str">
        <f t="shared" ca="1" si="99"/>
        <v/>
      </c>
      <c r="R2542" s="11" t="str">
        <f t="shared" ca="1" si="100"/>
        <v/>
      </c>
      <c r="S2542" s="61" t="str">
        <f t="shared" ca="1" si="101"/>
        <v/>
      </c>
      <c r="T2542" s="11" t="str">
        <f t="shared" ca="1" si="102"/>
        <v/>
      </c>
      <c r="U2542" s="11" t="str">
        <f t="shared" ca="1" si="103"/>
        <v/>
      </c>
      <c r="V2542" s="18" t="str">
        <f t="shared" ca="1" si="104"/>
        <v/>
      </c>
      <c r="W2542" s="61" t="str">
        <f t="shared" ca="1" si="105"/>
        <v/>
      </c>
      <c r="X2542" s="61">
        <f t="shared" ca="1" si="106"/>
        <v>0</v>
      </c>
      <c r="Y2542" s="64" t="str">
        <f t="shared" ca="1" si="107"/>
        <v/>
      </c>
    </row>
    <row r="2543" spans="1:25">
      <c r="A2543" s="2">
        <f>+Get_Data!A2542</f>
        <v>43132</v>
      </c>
      <c r="B2543">
        <f>+ROUND(Get_Data!B2542,5)</f>
        <v>110.65967999999999</v>
      </c>
      <c r="C2543">
        <f>+ROUND(Get_Data!C2542,5)</f>
        <v>43.321199999999997</v>
      </c>
      <c r="D2543" s="4">
        <f t="shared" si="92"/>
        <v>2.5543999999999998</v>
      </c>
      <c r="E2543" s="22">
        <f t="shared" ca="1" si="93"/>
        <v>2.63347</v>
      </c>
      <c r="F2543" s="23">
        <f t="shared" ca="1" si="94"/>
        <v>2.5277099999999999</v>
      </c>
      <c r="G2543" s="10">
        <f t="shared" ca="1" si="95"/>
        <v>0</v>
      </c>
      <c r="H2543" s="12">
        <f t="shared" ca="1" si="96"/>
        <v>0</v>
      </c>
      <c r="I2543" s="11">
        <f t="shared" ca="1" si="97"/>
        <v>0</v>
      </c>
      <c r="J2543" s="11">
        <f t="shared" ca="1" si="98"/>
        <v>-2</v>
      </c>
      <c r="K2543" s="10">
        <f t="shared" ca="1" si="108"/>
        <v>110.08017</v>
      </c>
      <c r="L2543" s="11">
        <f t="shared" ca="1" si="109"/>
        <v>-43.54945</v>
      </c>
      <c r="M2543" s="11">
        <f t="shared" ca="1" si="110"/>
        <v>2.5277099999999999</v>
      </c>
      <c r="N2543" s="15">
        <f t="shared" ca="1" si="111"/>
        <v>10</v>
      </c>
      <c r="O2543" s="15">
        <f t="shared" ca="1" si="112"/>
        <v>25</v>
      </c>
      <c r="P2543" s="16">
        <f t="shared" ca="1" si="113"/>
        <v>12.065450000000055</v>
      </c>
      <c r="Q2543" s="11" t="str">
        <f t="shared" ca="1" si="99"/>
        <v/>
      </c>
      <c r="R2543" s="11" t="str">
        <f t="shared" ca="1" si="100"/>
        <v/>
      </c>
      <c r="S2543" s="61" t="str">
        <f t="shared" ca="1" si="101"/>
        <v/>
      </c>
      <c r="T2543" s="11" t="str">
        <f t="shared" ca="1" si="102"/>
        <v/>
      </c>
      <c r="U2543" s="11" t="str">
        <f t="shared" ca="1" si="103"/>
        <v/>
      </c>
      <c r="V2543" s="18" t="str">
        <f t="shared" ca="1" si="104"/>
        <v/>
      </c>
      <c r="W2543" s="61" t="str">
        <f t="shared" ca="1" si="105"/>
        <v/>
      </c>
      <c r="X2543" s="61">
        <f t="shared" ca="1" si="106"/>
        <v>0</v>
      </c>
      <c r="Y2543" s="64" t="str">
        <f t="shared" ca="1" si="107"/>
        <v/>
      </c>
    </row>
    <row r="2544" spans="1:25">
      <c r="A2544" s="2">
        <f>+Get_Data!A2543</f>
        <v>43133</v>
      </c>
      <c r="B2544">
        <f>+ROUND(Get_Data!B2543,5)</f>
        <v>109.16029</v>
      </c>
      <c r="C2544">
        <f>+ROUND(Get_Data!C2543,5)</f>
        <v>42.66386</v>
      </c>
      <c r="D2544" s="4">
        <f t="shared" si="92"/>
        <v>2.5586099999999998</v>
      </c>
      <c r="E2544" s="22">
        <f t="shared" ca="1" si="93"/>
        <v>2.63347</v>
      </c>
      <c r="F2544" s="23">
        <f t="shared" ca="1" si="94"/>
        <v>2.5277099999999999</v>
      </c>
      <c r="G2544" s="10">
        <f t="shared" ca="1" si="95"/>
        <v>0</v>
      </c>
      <c r="H2544" s="12">
        <f t="shared" ca="1" si="96"/>
        <v>0</v>
      </c>
      <c r="I2544" s="11">
        <f t="shared" ca="1" si="97"/>
        <v>0</v>
      </c>
      <c r="J2544" s="11">
        <f t="shared" ca="1" si="98"/>
        <v>-2</v>
      </c>
      <c r="K2544" s="10">
        <f t="shared" ca="1" si="108"/>
        <v>110.08017</v>
      </c>
      <c r="L2544" s="11">
        <f t="shared" ca="1" si="109"/>
        <v>-43.54945</v>
      </c>
      <c r="M2544" s="11">
        <f t="shared" ca="1" si="110"/>
        <v>2.5277099999999999</v>
      </c>
      <c r="N2544" s="15">
        <f t="shared" ca="1" si="111"/>
        <v>10</v>
      </c>
      <c r="O2544" s="15">
        <f t="shared" ca="1" si="112"/>
        <v>25</v>
      </c>
      <c r="P2544" s="16">
        <f t="shared" ca="1" si="113"/>
        <v>12.065450000000055</v>
      </c>
      <c r="Q2544" s="11" t="str">
        <f t="shared" ca="1" si="99"/>
        <v/>
      </c>
      <c r="R2544" s="11" t="str">
        <f t="shared" ca="1" si="100"/>
        <v/>
      </c>
      <c r="S2544" s="61" t="str">
        <f t="shared" ca="1" si="101"/>
        <v/>
      </c>
      <c r="T2544" s="11" t="str">
        <f t="shared" ca="1" si="102"/>
        <v/>
      </c>
      <c r="U2544" s="11" t="str">
        <f t="shared" ca="1" si="103"/>
        <v/>
      </c>
      <c r="V2544" s="18" t="str">
        <f t="shared" ca="1" si="104"/>
        <v/>
      </c>
      <c r="W2544" s="61" t="str">
        <f t="shared" ca="1" si="105"/>
        <v/>
      </c>
      <c r="X2544" s="61">
        <f t="shared" ca="1" si="106"/>
        <v>0</v>
      </c>
      <c r="Y2544" s="64" t="str">
        <f t="shared" ca="1" si="107"/>
        <v/>
      </c>
    </row>
    <row r="2545" spans="1:25">
      <c r="A2545" s="2">
        <f>+Get_Data!A2544</f>
        <v>43136</v>
      </c>
      <c r="B2545">
        <f>+ROUND(Get_Data!B2544,5)</f>
        <v>105.28767000000001</v>
      </c>
      <c r="C2545">
        <f>+ROUND(Get_Data!C2544,5)</f>
        <v>40.983960000000003</v>
      </c>
      <c r="D2545" s="4">
        <f t="shared" si="92"/>
        <v>2.569</v>
      </c>
      <c r="E2545" s="22">
        <f t="shared" ca="1" si="93"/>
        <v>2.63347</v>
      </c>
      <c r="F2545" s="23">
        <f t="shared" ca="1" si="94"/>
        <v>2.5277099999999999</v>
      </c>
      <c r="G2545" s="10">
        <f t="shared" ca="1" si="95"/>
        <v>0</v>
      </c>
      <c r="H2545" s="12">
        <f t="shared" ca="1" si="96"/>
        <v>0</v>
      </c>
      <c r="I2545" s="11">
        <f t="shared" ca="1" si="97"/>
        <v>0</v>
      </c>
      <c r="J2545" s="11">
        <f t="shared" ca="1" si="98"/>
        <v>-2</v>
      </c>
      <c r="K2545" s="10">
        <f t="shared" ca="1" si="108"/>
        <v>110.08017</v>
      </c>
      <c r="L2545" s="11">
        <f t="shared" ca="1" si="109"/>
        <v>-43.54945</v>
      </c>
      <c r="M2545" s="11">
        <f t="shared" ca="1" si="110"/>
        <v>2.5277099999999999</v>
      </c>
      <c r="N2545" s="15">
        <f t="shared" ca="1" si="111"/>
        <v>10</v>
      </c>
      <c r="O2545" s="15">
        <f t="shared" ca="1" si="112"/>
        <v>25</v>
      </c>
      <c r="P2545" s="16">
        <f t="shared" ca="1" si="113"/>
        <v>12.065450000000055</v>
      </c>
      <c r="Q2545" s="11" t="str">
        <f t="shared" ca="1" si="99"/>
        <v/>
      </c>
      <c r="R2545" s="11" t="str">
        <f t="shared" ca="1" si="100"/>
        <v/>
      </c>
      <c r="S2545" s="61" t="str">
        <f t="shared" ca="1" si="101"/>
        <v/>
      </c>
      <c r="T2545" s="11" t="str">
        <f t="shared" ca="1" si="102"/>
        <v/>
      </c>
      <c r="U2545" s="11" t="str">
        <f t="shared" ca="1" si="103"/>
        <v/>
      </c>
      <c r="V2545" s="18" t="str">
        <f t="shared" ca="1" si="104"/>
        <v/>
      </c>
      <c r="W2545" s="61" t="str">
        <f t="shared" ca="1" si="105"/>
        <v/>
      </c>
      <c r="X2545" s="61">
        <f t="shared" ca="1" si="106"/>
        <v>0</v>
      </c>
      <c r="Y2545" s="64" t="str">
        <f t="shared" ca="1" si="107"/>
        <v/>
      </c>
    </row>
    <row r="2546" spans="1:25">
      <c r="A2546" s="2">
        <f>+Get_Data!A2545</f>
        <v>43137</v>
      </c>
      <c r="B2546">
        <f>+ROUND(Get_Data!B2545,5)</f>
        <v>104.45979</v>
      </c>
      <c r="C2546">
        <f>+ROUND(Get_Data!C2545,5)</f>
        <v>40.783099999999997</v>
      </c>
      <c r="D2546" s="4">
        <f t="shared" ref="D2546:D2609" si="114">IFERROR(ROUND(B2546/C2546,5),"")</f>
        <v>2.56135</v>
      </c>
      <c r="E2546" s="22">
        <f t="shared" ca="1" si="93"/>
        <v>2.61198</v>
      </c>
      <c r="F2546" s="23">
        <f t="shared" ca="1" si="94"/>
        <v>2.5277099999999999</v>
      </c>
      <c r="G2546" s="10">
        <f t="shared" ca="1" si="95"/>
        <v>0</v>
      </c>
      <c r="H2546" s="12">
        <f t="shared" ca="1" si="96"/>
        <v>0</v>
      </c>
      <c r="I2546" s="11">
        <f t="shared" ca="1" si="97"/>
        <v>0</v>
      </c>
      <c r="J2546" s="11">
        <f t="shared" ca="1" si="98"/>
        <v>-2</v>
      </c>
      <c r="K2546" s="10">
        <f t="shared" ca="1" si="108"/>
        <v>110.08017</v>
      </c>
      <c r="L2546" s="11">
        <f t="shared" ca="1" si="109"/>
        <v>-43.54945</v>
      </c>
      <c r="M2546" s="11">
        <f t="shared" ca="1" si="110"/>
        <v>2.5277099999999999</v>
      </c>
      <c r="N2546" s="15">
        <f t="shared" ca="1" si="111"/>
        <v>10</v>
      </c>
      <c r="O2546" s="15">
        <f t="shared" ca="1" si="112"/>
        <v>25</v>
      </c>
      <c r="P2546" s="16">
        <f t="shared" ca="1" si="113"/>
        <v>12.065450000000055</v>
      </c>
      <c r="Q2546" s="11" t="str">
        <f t="shared" ca="1" si="99"/>
        <v/>
      </c>
      <c r="R2546" s="11" t="str">
        <f t="shared" ca="1" si="100"/>
        <v/>
      </c>
      <c r="S2546" s="61" t="str">
        <f t="shared" ca="1" si="101"/>
        <v/>
      </c>
      <c r="T2546" s="11" t="str">
        <f t="shared" ca="1" si="102"/>
        <v/>
      </c>
      <c r="U2546" s="11" t="str">
        <f t="shared" ca="1" si="103"/>
        <v/>
      </c>
      <c r="V2546" s="18" t="str">
        <f t="shared" ca="1" si="104"/>
        <v/>
      </c>
      <c r="W2546" s="61" t="str">
        <f t="shared" ca="1" si="105"/>
        <v/>
      </c>
      <c r="X2546" s="61">
        <f t="shared" ca="1" si="106"/>
        <v>0</v>
      </c>
      <c r="Y2546" s="64" t="str">
        <f t="shared" ca="1" si="107"/>
        <v/>
      </c>
    </row>
    <row r="2547" spans="1:25">
      <c r="A2547" s="2">
        <f>+Get_Data!A2546</f>
        <v>43138</v>
      </c>
      <c r="B2547">
        <f>+ROUND(Get_Data!B2546,5)</f>
        <v>104.40459</v>
      </c>
      <c r="C2547">
        <f>+ROUND(Get_Data!C2546,5)</f>
        <v>40.682670000000002</v>
      </c>
      <c r="D2547" s="4">
        <f t="shared" si="114"/>
        <v>2.5663200000000002</v>
      </c>
      <c r="E2547" s="22">
        <f t="shared" ca="1" si="93"/>
        <v>2.6108500000000001</v>
      </c>
      <c r="F2547" s="23">
        <f t="shared" ca="1" si="94"/>
        <v>2.5277099999999999</v>
      </c>
      <c r="G2547" s="10">
        <f t="shared" ca="1" si="95"/>
        <v>0</v>
      </c>
      <c r="H2547" s="12">
        <f t="shared" ca="1" si="96"/>
        <v>0</v>
      </c>
      <c r="I2547" s="11">
        <f t="shared" ca="1" si="97"/>
        <v>0</v>
      </c>
      <c r="J2547" s="11">
        <f t="shared" ca="1" si="98"/>
        <v>-2</v>
      </c>
      <c r="K2547" s="10">
        <f t="shared" ca="1" si="108"/>
        <v>110.08017</v>
      </c>
      <c r="L2547" s="11">
        <f t="shared" ca="1" si="109"/>
        <v>-43.54945</v>
      </c>
      <c r="M2547" s="11">
        <f t="shared" ca="1" si="110"/>
        <v>2.5277099999999999</v>
      </c>
      <c r="N2547" s="15">
        <f t="shared" ca="1" si="111"/>
        <v>10</v>
      </c>
      <c r="O2547" s="15">
        <f t="shared" ca="1" si="112"/>
        <v>25</v>
      </c>
      <c r="P2547" s="16">
        <f t="shared" ca="1" si="113"/>
        <v>12.065450000000055</v>
      </c>
      <c r="Q2547" s="11" t="str">
        <f t="shared" ca="1" si="99"/>
        <v/>
      </c>
      <c r="R2547" s="11" t="str">
        <f t="shared" ca="1" si="100"/>
        <v/>
      </c>
      <c r="S2547" s="61" t="str">
        <f t="shared" ca="1" si="101"/>
        <v/>
      </c>
      <c r="T2547" s="11" t="str">
        <f t="shared" ca="1" si="102"/>
        <v/>
      </c>
      <c r="U2547" s="11" t="str">
        <f t="shared" ca="1" si="103"/>
        <v/>
      </c>
      <c r="V2547" s="18" t="str">
        <f t="shared" ca="1" si="104"/>
        <v/>
      </c>
      <c r="W2547" s="61" t="str">
        <f t="shared" ca="1" si="105"/>
        <v/>
      </c>
      <c r="X2547" s="61">
        <f t="shared" ca="1" si="106"/>
        <v>0</v>
      </c>
      <c r="Y2547" s="64" t="str">
        <f t="shared" ca="1" si="107"/>
        <v/>
      </c>
    </row>
    <row r="2548" spans="1:25">
      <c r="A2548" s="2">
        <f>+Get_Data!A2547</f>
        <v>43139</v>
      </c>
      <c r="B2548">
        <f>+ROUND(Get_Data!B2547,5)</f>
        <v>101.32304000000001</v>
      </c>
      <c r="C2548">
        <f>+ROUND(Get_Data!C2547,5)</f>
        <v>39.349710000000002</v>
      </c>
      <c r="D2548" s="4">
        <f t="shared" si="114"/>
        <v>2.5749399999999998</v>
      </c>
      <c r="E2548" s="22">
        <f t="shared" ca="1" si="93"/>
        <v>2.5952700000000002</v>
      </c>
      <c r="F2548" s="23">
        <f t="shared" ca="1" si="94"/>
        <v>2.5277099999999999</v>
      </c>
      <c r="G2548" s="10">
        <f t="shared" ca="1" si="95"/>
        <v>0</v>
      </c>
      <c r="H2548" s="12">
        <f t="shared" ca="1" si="96"/>
        <v>0</v>
      </c>
      <c r="I2548" s="11">
        <f t="shared" ca="1" si="97"/>
        <v>0</v>
      </c>
      <c r="J2548" s="11">
        <f t="shared" ca="1" si="98"/>
        <v>-2</v>
      </c>
      <c r="K2548" s="10">
        <f t="shared" ca="1" si="108"/>
        <v>110.08017</v>
      </c>
      <c r="L2548" s="11">
        <f t="shared" ca="1" si="109"/>
        <v>-43.54945</v>
      </c>
      <c r="M2548" s="11">
        <f t="shared" ca="1" si="110"/>
        <v>2.5277099999999999</v>
      </c>
      <c r="N2548" s="15">
        <f t="shared" ca="1" si="111"/>
        <v>10</v>
      </c>
      <c r="O2548" s="15">
        <f t="shared" ca="1" si="112"/>
        <v>25</v>
      </c>
      <c r="P2548" s="16">
        <f t="shared" ca="1" si="113"/>
        <v>12.065450000000055</v>
      </c>
      <c r="Q2548" s="11" t="str">
        <f t="shared" ca="1" si="99"/>
        <v/>
      </c>
      <c r="R2548" s="11" t="str">
        <f t="shared" ca="1" si="100"/>
        <v/>
      </c>
      <c r="S2548" s="61" t="str">
        <f t="shared" ca="1" si="101"/>
        <v/>
      </c>
      <c r="T2548" s="11" t="str">
        <f t="shared" ca="1" si="102"/>
        <v/>
      </c>
      <c r="U2548" s="11" t="str">
        <f t="shared" ca="1" si="103"/>
        <v/>
      </c>
      <c r="V2548" s="18" t="str">
        <f t="shared" ca="1" si="104"/>
        <v/>
      </c>
      <c r="W2548" s="61" t="str">
        <f t="shared" ca="1" si="105"/>
        <v/>
      </c>
      <c r="X2548" s="61">
        <f t="shared" ca="1" si="106"/>
        <v>0</v>
      </c>
      <c r="Y2548" s="64" t="str">
        <f t="shared" ca="1" si="107"/>
        <v/>
      </c>
    </row>
    <row r="2549" spans="1:25">
      <c r="A2549" s="2">
        <f>+Get_Data!A2548</f>
        <v>43140</v>
      </c>
      <c r="B2549">
        <f>+ROUND(Get_Data!B2548,5)</f>
        <v>102.27052</v>
      </c>
      <c r="C2549">
        <f>+ROUND(Get_Data!C2548,5)</f>
        <v>39.377090000000003</v>
      </c>
      <c r="D2549" s="4">
        <f t="shared" si="114"/>
        <v>2.59721</v>
      </c>
      <c r="E2549" s="22">
        <f t="shared" ca="1" si="93"/>
        <v>2.59721</v>
      </c>
      <c r="F2549" s="23">
        <f t="shared" ca="1" si="94"/>
        <v>2.5277099999999999</v>
      </c>
      <c r="G2549" s="10">
        <f t="shared" ca="1" si="95"/>
        <v>1</v>
      </c>
      <c r="H2549" s="12">
        <f t="shared" ca="1" si="96"/>
        <v>0</v>
      </c>
      <c r="I2549" s="11">
        <f t="shared" ca="1" si="97"/>
        <v>1</v>
      </c>
      <c r="J2549" s="11">
        <f t="shared" ca="1" si="98"/>
        <v>0</v>
      </c>
      <c r="K2549" s="10">
        <f t="shared" ca="1" si="108"/>
        <v>110.08017</v>
      </c>
      <c r="L2549" s="11">
        <f t="shared" ca="1" si="109"/>
        <v>-43.54945</v>
      </c>
      <c r="M2549" s="11">
        <f t="shared" ca="1" si="110"/>
        <v>2.5277099999999999</v>
      </c>
      <c r="N2549" s="15">
        <f t="shared" ca="1" si="111"/>
        <v>10</v>
      </c>
      <c r="O2549" s="15">
        <f t="shared" ca="1" si="112"/>
        <v>25</v>
      </c>
      <c r="P2549" s="16">
        <f t="shared" ca="1" si="113"/>
        <v>12.065450000000055</v>
      </c>
      <c r="Q2549" s="11" t="str">
        <f t="shared" ca="1" si="99"/>
        <v/>
      </c>
      <c r="R2549" s="11" t="str">
        <f t="shared" ca="1" si="100"/>
        <v/>
      </c>
      <c r="S2549" s="61" t="str">
        <f t="shared" ca="1" si="101"/>
        <v/>
      </c>
      <c r="T2549" s="11" t="str">
        <f t="shared" ca="1" si="102"/>
        <v/>
      </c>
      <c r="U2549" s="11" t="str">
        <f t="shared" ca="1" si="103"/>
        <v/>
      </c>
      <c r="V2549" s="18" t="str">
        <f t="shared" ca="1" si="104"/>
        <v/>
      </c>
      <c r="W2549" s="61" t="str">
        <f t="shared" ca="1" si="105"/>
        <v/>
      </c>
      <c r="X2549" s="61">
        <f t="shared" ca="1" si="106"/>
        <v>0</v>
      </c>
      <c r="Y2549" s="64" t="str">
        <f t="shared" ca="1" si="107"/>
        <v/>
      </c>
    </row>
    <row r="2550" spans="1:25">
      <c r="A2550" s="2">
        <f>+Get_Data!A2549</f>
        <v>43143</v>
      </c>
      <c r="B2550">
        <f>+ROUND(Get_Data!B2549,5)</f>
        <v>102.96042</v>
      </c>
      <c r="C2550">
        <f>+ROUND(Get_Data!C2549,5)</f>
        <v>40.144010000000002</v>
      </c>
      <c r="D2550" s="4">
        <f t="shared" si="114"/>
        <v>2.5647799999999998</v>
      </c>
      <c r="E2550" s="22">
        <f t="shared" ca="1" si="93"/>
        <v>2.59721</v>
      </c>
      <c r="F2550" s="23">
        <f t="shared" ca="1" si="94"/>
        <v>2.5277099999999999</v>
      </c>
      <c r="G2550" s="10">
        <f t="shared" ca="1" si="95"/>
        <v>0</v>
      </c>
      <c r="H2550" s="12">
        <f t="shared" ca="1" si="96"/>
        <v>0</v>
      </c>
      <c r="I2550" s="11">
        <f t="shared" ca="1" si="97"/>
        <v>0</v>
      </c>
      <c r="J2550" s="11">
        <f t="shared" ca="1" si="98"/>
        <v>0</v>
      </c>
      <c r="K2550" s="10" t="str">
        <f t="shared" ca="1" si="108"/>
        <v/>
      </c>
      <c r="L2550" s="11" t="str">
        <f t="shared" ca="1" si="109"/>
        <v/>
      </c>
      <c r="M2550" s="11" t="str">
        <f t="shared" ca="1" si="110"/>
        <v/>
      </c>
      <c r="N2550" s="15" t="str">
        <f t="shared" ca="1" si="111"/>
        <v/>
      </c>
      <c r="O2550" s="15" t="str">
        <f t="shared" ca="1" si="112"/>
        <v/>
      </c>
      <c r="P2550" s="16" t="str">
        <f t="shared" ca="1" si="113"/>
        <v/>
      </c>
      <c r="Q2550" s="11">
        <f t="shared" ca="1" si="99"/>
        <v>102.96042</v>
      </c>
      <c r="R2550" s="11">
        <f t="shared" ca="1" si="100"/>
        <v>40.144010000000002</v>
      </c>
      <c r="S2550" s="61">
        <f t="shared" ca="1" si="101"/>
        <v>2.5647799999999998</v>
      </c>
      <c r="T2550" s="11">
        <f t="shared" ca="1" si="102"/>
        <v>10</v>
      </c>
      <c r="U2550" s="11">
        <f t="shared" ca="1" si="103"/>
        <v>25</v>
      </c>
      <c r="V2550" s="18">
        <f t="shared" ca="1" si="104"/>
        <v>71.197499999999962</v>
      </c>
      <c r="W2550" s="61">
        <f t="shared" ca="1" si="105"/>
        <v>-85.135999999999967</v>
      </c>
      <c r="X2550" s="61">
        <f t="shared" ca="1" si="106"/>
        <v>-13.938500000000005</v>
      </c>
      <c r="Y2550" s="64">
        <f t="shared" ca="1" si="107"/>
        <v>-1.388849793530841E-2</v>
      </c>
    </row>
    <row r="2551" spans="1:25">
      <c r="A2551" s="2">
        <f>+Get_Data!A2550</f>
        <v>43144</v>
      </c>
      <c r="B2551">
        <f>+ROUND(Get_Data!B2550,5)</f>
        <v>103.15358999999999</v>
      </c>
      <c r="C2551">
        <f>+ROUND(Get_Data!C2550,5)</f>
        <v>40.344859999999997</v>
      </c>
      <c r="D2551" s="4">
        <f t="shared" si="114"/>
        <v>2.5568</v>
      </c>
      <c r="E2551" s="22">
        <f t="shared" ca="1" si="93"/>
        <v>2.59721</v>
      </c>
      <c r="F2551" s="23">
        <f t="shared" ca="1" si="94"/>
        <v>2.5277099999999999</v>
      </c>
      <c r="G2551" s="10">
        <f t="shared" ca="1" si="95"/>
        <v>0</v>
      </c>
      <c r="H2551" s="12">
        <f t="shared" ca="1" si="96"/>
        <v>0</v>
      </c>
      <c r="I2551" s="11">
        <f t="shared" ca="1" si="97"/>
        <v>0</v>
      </c>
      <c r="J2551" s="11">
        <f t="shared" ca="1" si="98"/>
        <v>0</v>
      </c>
      <c r="K2551" s="10" t="str">
        <f t="shared" ca="1" si="108"/>
        <v/>
      </c>
      <c r="L2551" s="11" t="str">
        <f t="shared" ca="1" si="109"/>
        <v/>
      </c>
      <c r="M2551" s="11" t="str">
        <f t="shared" ca="1" si="110"/>
        <v/>
      </c>
      <c r="N2551" s="15" t="str">
        <f t="shared" ca="1" si="111"/>
        <v/>
      </c>
      <c r="O2551" s="15" t="str">
        <f t="shared" ca="1" si="112"/>
        <v/>
      </c>
      <c r="P2551" s="16" t="str">
        <f t="shared" ca="1" si="113"/>
        <v/>
      </c>
      <c r="Q2551" s="11" t="str">
        <f t="shared" ca="1" si="99"/>
        <v/>
      </c>
      <c r="R2551" s="11" t="str">
        <f t="shared" ca="1" si="100"/>
        <v/>
      </c>
      <c r="S2551" s="61" t="str">
        <f t="shared" ca="1" si="101"/>
        <v/>
      </c>
      <c r="T2551" s="11" t="str">
        <f t="shared" ca="1" si="102"/>
        <v/>
      </c>
      <c r="U2551" s="11" t="str">
        <f t="shared" ca="1" si="103"/>
        <v/>
      </c>
      <c r="V2551" s="18" t="str">
        <f t="shared" ca="1" si="104"/>
        <v/>
      </c>
      <c r="W2551" s="61" t="str">
        <f t="shared" ca="1" si="105"/>
        <v/>
      </c>
      <c r="X2551" s="61">
        <f t="shared" ca="1" si="106"/>
        <v>0</v>
      </c>
      <c r="Y2551" s="64" t="str">
        <f t="shared" ca="1" si="107"/>
        <v/>
      </c>
    </row>
    <row r="2552" spans="1:25">
      <c r="A2552" s="2">
        <f>+Get_Data!A2551</f>
        <v>43145</v>
      </c>
      <c r="B2552">
        <f>+ROUND(Get_Data!B2551,5)</f>
        <v>100.36639</v>
      </c>
      <c r="C2552">
        <f>+ROUND(Get_Data!C2551,5)</f>
        <v>40.262700000000002</v>
      </c>
      <c r="D2552" s="4">
        <f t="shared" si="114"/>
        <v>2.4927899999999998</v>
      </c>
      <c r="E2552" s="22">
        <f t="shared" ca="1" si="93"/>
        <v>2.59721</v>
      </c>
      <c r="F2552" s="23">
        <f t="shared" ca="1" si="94"/>
        <v>2.4927899999999998</v>
      </c>
      <c r="G2552" s="10">
        <f t="shared" ca="1" si="95"/>
        <v>0</v>
      </c>
      <c r="H2552" s="12">
        <f t="shared" ca="1" si="96"/>
        <v>1</v>
      </c>
      <c r="I2552" s="11">
        <f t="shared" ca="1" si="97"/>
        <v>-1</v>
      </c>
      <c r="J2552" s="11">
        <f t="shared" ca="1" si="98"/>
        <v>-1</v>
      </c>
      <c r="K2552" s="10" t="str">
        <f t="shared" ca="1" si="108"/>
        <v/>
      </c>
      <c r="L2552" s="11" t="str">
        <f t="shared" ca="1" si="109"/>
        <v/>
      </c>
      <c r="M2552" s="11" t="str">
        <f t="shared" ca="1" si="110"/>
        <v/>
      </c>
      <c r="N2552" s="15" t="str">
        <f t="shared" ca="1" si="111"/>
        <v/>
      </c>
      <c r="O2552" s="15" t="str">
        <f t="shared" ca="1" si="112"/>
        <v/>
      </c>
      <c r="P2552" s="16" t="str">
        <f t="shared" ca="1" si="113"/>
        <v/>
      </c>
      <c r="Q2552" s="11" t="str">
        <f t="shared" ca="1" si="99"/>
        <v/>
      </c>
      <c r="R2552" s="11" t="str">
        <f t="shared" ca="1" si="100"/>
        <v/>
      </c>
      <c r="S2552" s="61" t="str">
        <f t="shared" ca="1" si="101"/>
        <v/>
      </c>
      <c r="T2552" s="11" t="str">
        <f t="shared" ca="1" si="102"/>
        <v/>
      </c>
      <c r="U2552" s="11" t="str">
        <f t="shared" ca="1" si="103"/>
        <v/>
      </c>
      <c r="V2552" s="18" t="str">
        <f t="shared" ca="1" si="104"/>
        <v/>
      </c>
      <c r="W2552" s="61" t="str">
        <f t="shared" ca="1" si="105"/>
        <v/>
      </c>
      <c r="X2552" s="61">
        <f t="shared" ca="1" si="106"/>
        <v>0</v>
      </c>
      <c r="Y2552" s="64" t="str">
        <f t="shared" ca="1" si="107"/>
        <v/>
      </c>
    </row>
    <row r="2553" spans="1:25">
      <c r="A2553" s="2">
        <f>+Get_Data!A2552</f>
        <v>43146</v>
      </c>
      <c r="B2553">
        <f>+ROUND(Get_Data!B2552,5)</f>
        <v>102.07734000000001</v>
      </c>
      <c r="C2553">
        <f>+ROUND(Get_Data!C2552,5)</f>
        <v>40.88353</v>
      </c>
      <c r="D2553" s="4">
        <f t="shared" si="114"/>
        <v>2.4967800000000002</v>
      </c>
      <c r="E2553" s="22">
        <f t="shared" ca="1" si="93"/>
        <v>2.59721</v>
      </c>
      <c r="F2553" s="23">
        <f t="shared" ca="1" si="94"/>
        <v>2.4927899999999998</v>
      </c>
      <c r="G2553" s="10">
        <f t="shared" ca="1" si="95"/>
        <v>0</v>
      </c>
      <c r="H2553" s="12">
        <f t="shared" ca="1" si="96"/>
        <v>0</v>
      </c>
      <c r="I2553" s="11">
        <f t="shared" ca="1" si="97"/>
        <v>0</v>
      </c>
      <c r="J2553" s="11">
        <f t="shared" ca="1" si="98"/>
        <v>-1</v>
      </c>
      <c r="K2553" s="10">
        <f t="shared" ca="1" si="108"/>
        <v>102.07734000000001</v>
      </c>
      <c r="L2553" s="11">
        <f t="shared" ca="1" si="109"/>
        <v>-40.88353</v>
      </c>
      <c r="M2553" s="11">
        <f t="shared" ca="1" si="110"/>
        <v>2.4967800000000002</v>
      </c>
      <c r="N2553" s="15">
        <f t="shared" ca="1" si="111"/>
        <v>10</v>
      </c>
      <c r="O2553" s="15">
        <f t="shared" ca="1" si="112"/>
        <v>25</v>
      </c>
      <c r="P2553" s="16">
        <f t="shared" ca="1" si="113"/>
        <v>-1.3148499999999785</v>
      </c>
      <c r="Q2553" s="11" t="str">
        <f t="shared" ca="1" si="99"/>
        <v/>
      </c>
      <c r="R2553" s="11" t="str">
        <f t="shared" ca="1" si="100"/>
        <v/>
      </c>
      <c r="S2553" s="61" t="str">
        <f t="shared" ca="1" si="101"/>
        <v/>
      </c>
      <c r="T2553" s="11" t="str">
        <f t="shared" ca="1" si="102"/>
        <v/>
      </c>
      <c r="U2553" s="11" t="str">
        <f t="shared" ca="1" si="103"/>
        <v/>
      </c>
      <c r="V2553" s="18" t="str">
        <f t="shared" ca="1" si="104"/>
        <v/>
      </c>
      <c r="W2553" s="61" t="str">
        <f t="shared" ca="1" si="105"/>
        <v/>
      </c>
      <c r="X2553" s="61">
        <f t="shared" ca="1" si="106"/>
        <v>0</v>
      </c>
      <c r="Y2553" s="64" t="str">
        <f t="shared" ca="1" si="107"/>
        <v/>
      </c>
    </row>
    <row r="2554" spans="1:25">
      <c r="A2554" s="2">
        <f>+Get_Data!A2553</f>
        <v>43147</v>
      </c>
      <c r="B2554">
        <f>+ROUND(Get_Data!B2553,5)</f>
        <v>102.16013</v>
      </c>
      <c r="C2554">
        <f>+ROUND(Get_Data!C2553,5)</f>
        <v>41.066119999999998</v>
      </c>
      <c r="D2554" s="4">
        <f t="shared" si="114"/>
        <v>2.4876999999999998</v>
      </c>
      <c r="E2554" s="22">
        <f t="shared" ca="1" si="93"/>
        <v>2.59721</v>
      </c>
      <c r="F2554" s="23">
        <f t="shared" ca="1" si="94"/>
        <v>2.4876999999999998</v>
      </c>
      <c r="G2554" s="10">
        <f t="shared" ca="1" si="95"/>
        <v>0</v>
      </c>
      <c r="H2554" s="12">
        <f t="shared" ca="1" si="96"/>
        <v>1</v>
      </c>
      <c r="I2554" s="11">
        <f t="shared" ca="1" si="97"/>
        <v>-1</v>
      </c>
      <c r="J2554" s="11">
        <f t="shared" ca="1" si="98"/>
        <v>-2</v>
      </c>
      <c r="K2554" s="10">
        <f t="shared" ca="1" si="108"/>
        <v>102.07734000000001</v>
      </c>
      <c r="L2554" s="11">
        <f t="shared" ca="1" si="109"/>
        <v>-40.88353</v>
      </c>
      <c r="M2554" s="11">
        <f t="shared" ca="1" si="110"/>
        <v>2.4967800000000002</v>
      </c>
      <c r="N2554" s="15">
        <f t="shared" ca="1" si="111"/>
        <v>10</v>
      </c>
      <c r="O2554" s="15">
        <f t="shared" ca="1" si="112"/>
        <v>25</v>
      </c>
      <c r="P2554" s="16">
        <f t="shared" ca="1" si="113"/>
        <v>-1.3148499999999785</v>
      </c>
      <c r="Q2554" s="11" t="str">
        <f t="shared" ca="1" si="99"/>
        <v/>
      </c>
      <c r="R2554" s="11" t="str">
        <f t="shared" ca="1" si="100"/>
        <v/>
      </c>
      <c r="S2554" s="61" t="str">
        <f t="shared" ca="1" si="101"/>
        <v/>
      </c>
      <c r="T2554" s="11" t="str">
        <f t="shared" ca="1" si="102"/>
        <v/>
      </c>
      <c r="U2554" s="11" t="str">
        <f t="shared" ca="1" si="103"/>
        <v/>
      </c>
      <c r="V2554" s="18" t="str">
        <f t="shared" ca="1" si="104"/>
        <v/>
      </c>
      <c r="W2554" s="61" t="str">
        <f t="shared" ca="1" si="105"/>
        <v/>
      </c>
      <c r="X2554" s="61">
        <f t="shared" ca="1" si="106"/>
        <v>0</v>
      </c>
      <c r="Y2554" s="64" t="str">
        <f t="shared" ca="1" si="107"/>
        <v/>
      </c>
    </row>
    <row r="2555" spans="1:25">
      <c r="A2555" s="2">
        <f>+Get_Data!A2554</f>
        <v>43151</v>
      </c>
      <c r="B2555">
        <f>+ROUND(Get_Data!B2554,5)</f>
        <v>100.70676</v>
      </c>
      <c r="C2555">
        <f>+ROUND(Get_Data!C2554,5)</f>
        <v>40.162260000000003</v>
      </c>
      <c r="D2555" s="4">
        <f t="shared" si="114"/>
        <v>2.5074999999999998</v>
      </c>
      <c r="E2555" s="22">
        <f t="shared" ca="1" si="93"/>
        <v>2.59721</v>
      </c>
      <c r="F2555" s="23">
        <f t="shared" ca="1" si="94"/>
        <v>2.4876999999999998</v>
      </c>
      <c r="G2555" s="10">
        <f t="shared" ca="1" si="95"/>
        <v>0</v>
      </c>
      <c r="H2555" s="12">
        <f t="shared" ca="1" si="96"/>
        <v>0</v>
      </c>
      <c r="I2555" s="11">
        <f t="shared" ca="1" si="97"/>
        <v>0</v>
      </c>
      <c r="J2555" s="11">
        <f t="shared" ca="1" si="98"/>
        <v>-2</v>
      </c>
      <c r="K2555" s="10">
        <f t="shared" ca="1" si="108"/>
        <v>102.07734000000001</v>
      </c>
      <c r="L2555" s="11">
        <f t="shared" ca="1" si="109"/>
        <v>-40.88353</v>
      </c>
      <c r="M2555" s="11">
        <f t="shared" ca="1" si="110"/>
        <v>2.4967800000000002</v>
      </c>
      <c r="N2555" s="15">
        <f t="shared" ca="1" si="111"/>
        <v>10</v>
      </c>
      <c r="O2555" s="15">
        <f t="shared" ca="1" si="112"/>
        <v>25</v>
      </c>
      <c r="P2555" s="16">
        <f t="shared" ca="1" si="113"/>
        <v>-1.3148499999999785</v>
      </c>
      <c r="Q2555" s="11" t="str">
        <f t="shared" ca="1" si="99"/>
        <v/>
      </c>
      <c r="R2555" s="11" t="str">
        <f t="shared" ca="1" si="100"/>
        <v/>
      </c>
      <c r="S2555" s="61" t="str">
        <f t="shared" ca="1" si="101"/>
        <v/>
      </c>
      <c r="T2555" s="11" t="str">
        <f t="shared" ca="1" si="102"/>
        <v/>
      </c>
      <c r="U2555" s="11" t="str">
        <f t="shared" ca="1" si="103"/>
        <v/>
      </c>
      <c r="V2555" s="18" t="str">
        <f t="shared" ca="1" si="104"/>
        <v/>
      </c>
      <c r="W2555" s="61" t="str">
        <f t="shared" ca="1" si="105"/>
        <v/>
      </c>
      <c r="X2555" s="61">
        <f t="shared" ca="1" si="106"/>
        <v>0</v>
      </c>
      <c r="Y2555" s="64" t="str">
        <f t="shared" ca="1" si="107"/>
        <v/>
      </c>
    </row>
    <row r="2556" spans="1:25">
      <c r="A2556" s="2">
        <f>+Get_Data!A2555</f>
        <v>43152</v>
      </c>
      <c r="B2556">
        <f>+ROUND(Get_Data!B2555,5)</f>
        <v>99.345339999999993</v>
      </c>
      <c r="C2556">
        <f>+ROUND(Get_Data!C2555,5)</f>
        <v>39.568820000000002</v>
      </c>
      <c r="D2556" s="4">
        <f t="shared" si="114"/>
        <v>2.5106999999999999</v>
      </c>
      <c r="E2556" s="22">
        <f t="shared" ca="1" si="93"/>
        <v>2.59721</v>
      </c>
      <c r="F2556" s="23">
        <f t="shared" ca="1" si="94"/>
        <v>2.4876999999999998</v>
      </c>
      <c r="G2556" s="10">
        <f t="shared" ca="1" si="95"/>
        <v>0</v>
      </c>
      <c r="H2556" s="12">
        <f t="shared" ca="1" si="96"/>
        <v>0</v>
      </c>
      <c r="I2556" s="11">
        <f t="shared" ca="1" si="97"/>
        <v>0</v>
      </c>
      <c r="J2556" s="11">
        <f t="shared" ca="1" si="98"/>
        <v>-2</v>
      </c>
      <c r="K2556" s="10">
        <f t="shared" ca="1" si="108"/>
        <v>102.07734000000001</v>
      </c>
      <c r="L2556" s="11">
        <f t="shared" ca="1" si="109"/>
        <v>-40.88353</v>
      </c>
      <c r="M2556" s="11">
        <f t="shared" ca="1" si="110"/>
        <v>2.4967800000000002</v>
      </c>
      <c r="N2556" s="15">
        <f t="shared" ca="1" si="111"/>
        <v>10</v>
      </c>
      <c r="O2556" s="15">
        <f t="shared" ca="1" si="112"/>
        <v>25</v>
      </c>
      <c r="P2556" s="16">
        <f t="shared" ca="1" si="113"/>
        <v>-1.3148499999999785</v>
      </c>
      <c r="Q2556" s="11" t="str">
        <f t="shared" ca="1" si="99"/>
        <v/>
      </c>
      <c r="R2556" s="11" t="str">
        <f t="shared" ca="1" si="100"/>
        <v/>
      </c>
      <c r="S2556" s="61" t="str">
        <f t="shared" ca="1" si="101"/>
        <v/>
      </c>
      <c r="T2556" s="11" t="str">
        <f t="shared" ca="1" si="102"/>
        <v/>
      </c>
      <c r="U2556" s="11" t="str">
        <f t="shared" ca="1" si="103"/>
        <v/>
      </c>
      <c r="V2556" s="18" t="str">
        <f t="shared" ca="1" si="104"/>
        <v/>
      </c>
      <c r="W2556" s="61" t="str">
        <f t="shared" ca="1" si="105"/>
        <v/>
      </c>
      <c r="X2556" s="61">
        <f t="shared" ca="1" si="106"/>
        <v>0</v>
      </c>
      <c r="Y2556" s="64" t="str">
        <f t="shared" ca="1" si="107"/>
        <v/>
      </c>
    </row>
    <row r="2557" spans="1:25">
      <c r="A2557" s="2">
        <f>+Get_Data!A2556</f>
        <v>43153</v>
      </c>
      <c r="B2557">
        <f>+ROUND(Get_Data!B2556,5)</f>
        <v>100.50438</v>
      </c>
      <c r="C2557">
        <f>+ROUND(Get_Data!C2556,5)</f>
        <v>39.733170000000001</v>
      </c>
      <c r="D2557" s="4">
        <f t="shared" si="114"/>
        <v>2.52948</v>
      </c>
      <c r="E2557" s="22">
        <f t="shared" ca="1" si="93"/>
        <v>2.59721</v>
      </c>
      <c r="F2557" s="23">
        <f t="shared" ca="1" si="94"/>
        <v>2.4876999999999998</v>
      </c>
      <c r="G2557" s="10">
        <f t="shared" ca="1" si="95"/>
        <v>0</v>
      </c>
      <c r="H2557" s="12">
        <f t="shared" ca="1" si="96"/>
        <v>0</v>
      </c>
      <c r="I2557" s="11">
        <f t="shared" ca="1" si="97"/>
        <v>0</v>
      </c>
      <c r="J2557" s="11">
        <f t="shared" ca="1" si="98"/>
        <v>-2</v>
      </c>
      <c r="K2557" s="10">
        <f t="shared" ca="1" si="108"/>
        <v>102.07734000000001</v>
      </c>
      <c r="L2557" s="11">
        <f t="shared" ca="1" si="109"/>
        <v>-40.88353</v>
      </c>
      <c r="M2557" s="11">
        <f t="shared" ca="1" si="110"/>
        <v>2.4967800000000002</v>
      </c>
      <c r="N2557" s="15">
        <f t="shared" ca="1" si="111"/>
        <v>10</v>
      </c>
      <c r="O2557" s="15">
        <f t="shared" ca="1" si="112"/>
        <v>25</v>
      </c>
      <c r="P2557" s="16">
        <f t="shared" ca="1" si="113"/>
        <v>-1.3148499999999785</v>
      </c>
      <c r="Q2557" s="11" t="str">
        <f t="shared" ca="1" si="99"/>
        <v/>
      </c>
      <c r="R2557" s="11" t="str">
        <f t="shared" ca="1" si="100"/>
        <v/>
      </c>
      <c r="S2557" s="61" t="str">
        <f t="shared" ca="1" si="101"/>
        <v/>
      </c>
      <c r="T2557" s="11" t="str">
        <f t="shared" ca="1" si="102"/>
        <v/>
      </c>
      <c r="U2557" s="11" t="str">
        <f t="shared" ca="1" si="103"/>
        <v/>
      </c>
      <c r="V2557" s="18" t="str">
        <f t="shared" ca="1" si="104"/>
        <v/>
      </c>
      <c r="W2557" s="61" t="str">
        <f t="shared" ca="1" si="105"/>
        <v/>
      </c>
      <c r="X2557" s="61">
        <f t="shared" ca="1" si="106"/>
        <v>0</v>
      </c>
      <c r="Y2557" s="64" t="str">
        <f t="shared" ca="1" si="107"/>
        <v/>
      </c>
    </row>
    <row r="2558" spans="1:25">
      <c r="A2558" s="2">
        <f>+Get_Data!A2557</f>
        <v>43154</v>
      </c>
      <c r="B2558">
        <f>+ROUND(Get_Data!B2557,5)</f>
        <v>100.89072</v>
      </c>
      <c r="C2558">
        <f>+ROUND(Get_Data!C2557,5)</f>
        <v>40.207909999999998</v>
      </c>
      <c r="D2558" s="4">
        <f t="shared" si="114"/>
        <v>2.5092300000000001</v>
      </c>
      <c r="E2558" s="22">
        <f t="shared" ca="1" si="93"/>
        <v>2.59721</v>
      </c>
      <c r="F2558" s="23">
        <f t="shared" ca="1" si="94"/>
        <v>2.4876999999999998</v>
      </c>
      <c r="G2558" s="10">
        <f t="shared" ca="1" si="95"/>
        <v>0</v>
      </c>
      <c r="H2558" s="12">
        <f t="shared" ca="1" si="96"/>
        <v>0</v>
      </c>
      <c r="I2558" s="11">
        <f t="shared" ca="1" si="97"/>
        <v>0</v>
      </c>
      <c r="J2558" s="11">
        <f t="shared" ca="1" si="98"/>
        <v>-2</v>
      </c>
      <c r="K2558" s="10">
        <f t="shared" ca="1" si="108"/>
        <v>102.07734000000001</v>
      </c>
      <c r="L2558" s="11">
        <f t="shared" ca="1" si="109"/>
        <v>-40.88353</v>
      </c>
      <c r="M2558" s="11">
        <f t="shared" ca="1" si="110"/>
        <v>2.4967800000000002</v>
      </c>
      <c r="N2558" s="15">
        <f t="shared" ca="1" si="111"/>
        <v>10</v>
      </c>
      <c r="O2558" s="15">
        <f t="shared" ca="1" si="112"/>
        <v>25</v>
      </c>
      <c r="P2558" s="16">
        <f t="shared" ca="1" si="113"/>
        <v>-1.3148499999999785</v>
      </c>
      <c r="Q2558" s="11" t="str">
        <f t="shared" ca="1" si="99"/>
        <v/>
      </c>
      <c r="R2558" s="11" t="str">
        <f t="shared" ca="1" si="100"/>
        <v/>
      </c>
      <c r="S2558" s="61" t="str">
        <f t="shared" ca="1" si="101"/>
        <v/>
      </c>
      <c r="T2558" s="11" t="str">
        <f t="shared" ca="1" si="102"/>
        <v/>
      </c>
      <c r="U2558" s="11" t="str">
        <f t="shared" ca="1" si="103"/>
        <v/>
      </c>
      <c r="V2558" s="18" t="str">
        <f t="shared" ca="1" si="104"/>
        <v/>
      </c>
      <c r="W2558" s="61" t="str">
        <f t="shared" ca="1" si="105"/>
        <v/>
      </c>
      <c r="X2558" s="61">
        <f t="shared" ca="1" si="106"/>
        <v>0</v>
      </c>
      <c r="Y2558" s="64" t="str">
        <f t="shared" ca="1" si="107"/>
        <v/>
      </c>
    </row>
    <row r="2559" spans="1:25">
      <c r="A2559" s="2">
        <f>+Get_Data!A2558</f>
        <v>43157</v>
      </c>
      <c r="B2559">
        <f>+ROUND(Get_Data!B2558,5)</f>
        <v>102.04974</v>
      </c>
      <c r="C2559">
        <f>+ROUND(Get_Data!C2558,5)</f>
        <v>40.198779999999999</v>
      </c>
      <c r="D2559" s="4">
        <f t="shared" si="114"/>
        <v>2.5386299999999999</v>
      </c>
      <c r="E2559" s="22">
        <f t="shared" ca="1" si="93"/>
        <v>2.59721</v>
      </c>
      <c r="F2559" s="23">
        <f t="shared" ca="1" si="94"/>
        <v>2.4876999999999998</v>
      </c>
      <c r="G2559" s="10">
        <f t="shared" ca="1" si="95"/>
        <v>0</v>
      </c>
      <c r="H2559" s="12">
        <f t="shared" ca="1" si="96"/>
        <v>0</v>
      </c>
      <c r="I2559" s="11">
        <f t="shared" ca="1" si="97"/>
        <v>0</v>
      </c>
      <c r="J2559" s="11">
        <f t="shared" ca="1" si="98"/>
        <v>-2</v>
      </c>
      <c r="K2559" s="10">
        <f t="shared" ca="1" si="108"/>
        <v>102.07734000000001</v>
      </c>
      <c r="L2559" s="11">
        <f t="shared" ca="1" si="109"/>
        <v>-40.88353</v>
      </c>
      <c r="M2559" s="11">
        <f t="shared" ca="1" si="110"/>
        <v>2.4967800000000002</v>
      </c>
      <c r="N2559" s="15">
        <f t="shared" ca="1" si="111"/>
        <v>10</v>
      </c>
      <c r="O2559" s="15">
        <f t="shared" ca="1" si="112"/>
        <v>25</v>
      </c>
      <c r="P2559" s="16">
        <f t="shared" ca="1" si="113"/>
        <v>-1.3148499999999785</v>
      </c>
      <c r="Q2559" s="11" t="str">
        <f t="shared" ca="1" si="99"/>
        <v/>
      </c>
      <c r="R2559" s="11" t="str">
        <f t="shared" ca="1" si="100"/>
        <v/>
      </c>
      <c r="S2559" s="61" t="str">
        <f t="shared" ca="1" si="101"/>
        <v/>
      </c>
      <c r="T2559" s="11" t="str">
        <f t="shared" ca="1" si="102"/>
        <v/>
      </c>
      <c r="U2559" s="11" t="str">
        <f t="shared" ca="1" si="103"/>
        <v/>
      </c>
      <c r="V2559" s="18" t="str">
        <f t="shared" ca="1" si="104"/>
        <v/>
      </c>
      <c r="W2559" s="61" t="str">
        <f t="shared" ca="1" si="105"/>
        <v/>
      </c>
      <c r="X2559" s="61">
        <f t="shared" ca="1" si="106"/>
        <v>0</v>
      </c>
      <c r="Y2559" s="64" t="str">
        <f t="shared" ca="1" si="107"/>
        <v/>
      </c>
    </row>
    <row r="2560" spans="1:25">
      <c r="A2560" s="2">
        <f>+Get_Data!A2559</f>
        <v>43158</v>
      </c>
      <c r="B2560">
        <f>+ROUND(Get_Data!B2559,5)</f>
        <v>102.00375</v>
      </c>
      <c r="C2560">
        <f>+ROUND(Get_Data!C2559,5)</f>
        <v>39.824460000000002</v>
      </c>
      <c r="D2560" s="4">
        <f t="shared" si="114"/>
        <v>2.5613299999999999</v>
      </c>
      <c r="E2560" s="22">
        <f t="shared" ca="1" si="93"/>
        <v>2.59721</v>
      </c>
      <c r="F2560" s="23">
        <f t="shared" ca="1" si="94"/>
        <v>2.4876999999999998</v>
      </c>
      <c r="G2560" s="10">
        <f t="shared" ca="1" si="95"/>
        <v>0</v>
      </c>
      <c r="H2560" s="12">
        <f t="shared" ca="1" si="96"/>
        <v>0</v>
      </c>
      <c r="I2560" s="11">
        <f t="shared" ca="1" si="97"/>
        <v>0</v>
      </c>
      <c r="J2560" s="11">
        <f t="shared" ca="1" si="98"/>
        <v>-2</v>
      </c>
      <c r="K2560" s="10">
        <f t="shared" ca="1" si="108"/>
        <v>102.07734000000001</v>
      </c>
      <c r="L2560" s="11">
        <f t="shared" ca="1" si="109"/>
        <v>-40.88353</v>
      </c>
      <c r="M2560" s="11">
        <f t="shared" ca="1" si="110"/>
        <v>2.4967800000000002</v>
      </c>
      <c r="N2560" s="15">
        <f t="shared" ca="1" si="111"/>
        <v>10</v>
      </c>
      <c r="O2560" s="15">
        <f t="shared" ca="1" si="112"/>
        <v>25</v>
      </c>
      <c r="P2560" s="16">
        <f t="shared" ca="1" si="113"/>
        <v>-1.3148499999999785</v>
      </c>
      <c r="Q2560" s="11" t="str">
        <f t="shared" ca="1" si="99"/>
        <v/>
      </c>
      <c r="R2560" s="11" t="str">
        <f t="shared" ca="1" si="100"/>
        <v/>
      </c>
      <c r="S2560" s="61" t="str">
        <f t="shared" ca="1" si="101"/>
        <v/>
      </c>
      <c r="T2560" s="11" t="str">
        <f t="shared" ca="1" si="102"/>
        <v/>
      </c>
      <c r="U2560" s="11" t="str">
        <f t="shared" ca="1" si="103"/>
        <v/>
      </c>
      <c r="V2560" s="18" t="str">
        <f t="shared" ca="1" si="104"/>
        <v/>
      </c>
      <c r="W2560" s="61" t="str">
        <f t="shared" ca="1" si="105"/>
        <v/>
      </c>
      <c r="X2560" s="61">
        <f t="shared" ca="1" si="106"/>
        <v>0</v>
      </c>
      <c r="Y2560" s="64" t="str">
        <f t="shared" ca="1" si="107"/>
        <v/>
      </c>
    </row>
    <row r="2561" spans="1:25">
      <c r="A2561" s="2">
        <f>+Get_Data!A2560</f>
        <v>43159</v>
      </c>
      <c r="B2561">
        <f>+ROUND(Get_Data!B2560,5)</f>
        <v>100.93671999999999</v>
      </c>
      <c r="C2561">
        <f>+ROUND(Get_Data!C2560,5)</f>
        <v>39.459269999999997</v>
      </c>
      <c r="D2561" s="4">
        <f t="shared" si="114"/>
        <v>2.5579999999999998</v>
      </c>
      <c r="E2561" s="22">
        <f t="shared" ca="1" si="93"/>
        <v>2.59721</v>
      </c>
      <c r="F2561" s="23">
        <f t="shared" ca="1" si="94"/>
        <v>2.4876999999999998</v>
      </c>
      <c r="G2561" s="10">
        <f t="shared" ca="1" si="95"/>
        <v>0</v>
      </c>
      <c r="H2561" s="12">
        <f t="shared" ca="1" si="96"/>
        <v>0</v>
      </c>
      <c r="I2561" s="11">
        <f t="shared" ca="1" si="97"/>
        <v>0</v>
      </c>
      <c r="J2561" s="11">
        <f t="shared" ca="1" si="98"/>
        <v>-2</v>
      </c>
      <c r="K2561" s="10">
        <f t="shared" ca="1" si="108"/>
        <v>102.07734000000001</v>
      </c>
      <c r="L2561" s="11">
        <f t="shared" ca="1" si="109"/>
        <v>-40.88353</v>
      </c>
      <c r="M2561" s="11">
        <f t="shared" ca="1" si="110"/>
        <v>2.4967800000000002</v>
      </c>
      <c r="N2561" s="15">
        <f t="shared" ca="1" si="111"/>
        <v>10</v>
      </c>
      <c r="O2561" s="15">
        <f t="shared" ca="1" si="112"/>
        <v>25</v>
      </c>
      <c r="P2561" s="16">
        <f t="shared" ca="1" si="113"/>
        <v>-1.3148499999999785</v>
      </c>
      <c r="Q2561" s="11" t="str">
        <f t="shared" ca="1" si="99"/>
        <v/>
      </c>
      <c r="R2561" s="11" t="str">
        <f t="shared" ca="1" si="100"/>
        <v/>
      </c>
      <c r="S2561" s="61" t="str">
        <f t="shared" ca="1" si="101"/>
        <v/>
      </c>
      <c r="T2561" s="11" t="str">
        <f t="shared" ca="1" si="102"/>
        <v/>
      </c>
      <c r="U2561" s="11" t="str">
        <f t="shared" ca="1" si="103"/>
        <v/>
      </c>
      <c r="V2561" s="18" t="str">
        <f t="shared" ca="1" si="104"/>
        <v/>
      </c>
      <c r="W2561" s="61" t="str">
        <f t="shared" ca="1" si="105"/>
        <v/>
      </c>
      <c r="X2561" s="61">
        <f t="shared" ca="1" si="106"/>
        <v>0</v>
      </c>
      <c r="Y2561" s="64" t="str">
        <f t="shared" ca="1" si="107"/>
        <v/>
      </c>
    </row>
    <row r="2562" spans="1:25">
      <c r="A2562" s="2">
        <f>+Get_Data!A2561</f>
        <v>43160</v>
      </c>
      <c r="B2562">
        <f>+ROUND(Get_Data!B2561,5)</f>
        <v>100.19074000000001</v>
      </c>
      <c r="C2562">
        <f>+ROUND(Get_Data!C2561,5)</f>
        <v>39.651000000000003</v>
      </c>
      <c r="D2562" s="4">
        <f t="shared" si="114"/>
        <v>2.5268099999999998</v>
      </c>
      <c r="E2562" s="22">
        <f t="shared" ca="1" si="93"/>
        <v>2.59721</v>
      </c>
      <c r="F2562" s="23">
        <f t="shared" ca="1" si="94"/>
        <v>2.4876999999999998</v>
      </c>
      <c r="G2562" s="10">
        <f t="shared" ca="1" si="95"/>
        <v>0</v>
      </c>
      <c r="H2562" s="12">
        <f t="shared" ca="1" si="96"/>
        <v>0</v>
      </c>
      <c r="I2562" s="11">
        <f t="shared" ca="1" si="97"/>
        <v>0</v>
      </c>
      <c r="J2562" s="11">
        <f t="shared" ca="1" si="98"/>
        <v>-2</v>
      </c>
      <c r="K2562" s="10">
        <f t="shared" ca="1" si="108"/>
        <v>102.07734000000001</v>
      </c>
      <c r="L2562" s="11">
        <f t="shared" ca="1" si="109"/>
        <v>-40.88353</v>
      </c>
      <c r="M2562" s="11">
        <f t="shared" ca="1" si="110"/>
        <v>2.4967800000000002</v>
      </c>
      <c r="N2562" s="15">
        <f t="shared" ca="1" si="111"/>
        <v>10</v>
      </c>
      <c r="O2562" s="15">
        <f t="shared" ca="1" si="112"/>
        <v>25</v>
      </c>
      <c r="P2562" s="16">
        <f t="shared" ca="1" si="113"/>
        <v>-1.3148499999999785</v>
      </c>
      <c r="Q2562" s="11" t="str">
        <f t="shared" ca="1" si="99"/>
        <v/>
      </c>
      <c r="R2562" s="11" t="str">
        <f t="shared" ca="1" si="100"/>
        <v/>
      </c>
      <c r="S2562" s="61" t="str">
        <f t="shared" ca="1" si="101"/>
        <v/>
      </c>
      <c r="T2562" s="11" t="str">
        <f t="shared" ca="1" si="102"/>
        <v/>
      </c>
      <c r="U2562" s="11" t="str">
        <f t="shared" ca="1" si="103"/>
        <v/>
      </c>
      <c r="V2562" s="18" t="str">
        <f t="shared" ca="1" si="104"/>
        <v/>
      </c>
      <c r="W2562" s="61" t="str">
        <f t="shared" ca="1" si="105"/>
        <v/>
      </c>
      <c r="X2562" s="61">
        <f t="shared" ca="1" si="106"/>
        <v>0</v>
      </c>
      <c r="Y2562" s="64" t="str">
        <f t="shared" ca="1" si="107"/>
        <v/>
      </c>
    </row>
    <row r="2563" spans="1:25">
      <c r="A2563" s="2">
        <f>+Get_Data!A2562</f>
        <v>43161</v>
      </c>
      <c r="B2563">
        <f>+ROUND(Get_Data!B2562,5)</f>
        <v>101.04327000000001</v>
      </c>
      <c r="C2563">
        <f>+ROUND(Get_Data!C2562,5)</f>
        <v>39.915759999999999</v>
      </c>
      <c r="D2563" s="4">
        <f t="shared" si="114"/>
        <v>2.5314100000000002</v>
      </c>
      <c r="E2563" s="22">
        <f t="shared" ca="1" si="93"/>
        <v>2.59721</v>
      </c>
      <c r="F2563" s="23">
        <f t="shared" ca="1" si="94"/>
        <v>2.4876999999999998</v>
      </c>
      <c r="G2563" s="10">
        <f t="shared" ca="1" si="95"/>
        <v>0</v>
      </c>
      <c r="H2563" s="12">
        <f t="shared" ca="1" si="96"/>
        <v>0</v>
      </c>
      <c r="I2563" s="11">
        <f t="shared" ca="1" si="97"/>
        <v>0</v>
      </c>
      <c r="J2563" s="11">
        <f t="shared" ca="1" si="98"/>
        <v>-2</v>
      </c>
      <c r="K2563" s="10">
        <f t="shared" ca="1" si="108"/>
        <v>102.07734000000001</v>
      </c>
      <c r="L2563" s="11">
        <f t="shared" ca="1" si="109"/>
        <v>-40.88353</v>
      </c>
      <c r="M2563" s="11">
        <f t="shared" ca="1" si="110"/>
        <v>2.4967800000000002</v>
      </c>
      <c r="N2563" s="15">
        <f t="shared" ca="1" si="111"/>
        <v>10</v>
      </c>
      <c r="O2563" s="15">
        <f t="shared" ca="1" si="112"/>
        <v>25</v>
      </c>
      <c r="P2563" s="16">
        <f t="shared" ca="1" si="113"/>
        <v>-1.3148499999999785</v>
      </c>
      <c r="Q2563" s="11" t="str">
        <f t="shared" ca="1" si="99"/>
        <v/>
      </c>
      <c r="R2563" s="11" t="str">
        <f t="shared" ca="1" si="100"/>
        <v/>
      </c>
      <c r="S2563" s="61" t="str">
        <f t="shared" ca="1" si="101"/>
        <v/>
      </c>
      <c r="T2563" s="11" t="str">
        <f t="shared" ca="1" si="102"/>
        <v/>
      </c>
      <c r="U2563" s="11" t="str">
        <f t="shared" ca="1" si="103"/>
        <v/>
      </c>
      <c r="V2563" s="18" t="str">
        <f t="shared" ca="1" si="104"/>
        <v/>
      </c>
      <c r="W2563" s="61" t="str">
        <f t="shared" ca="1" si="105"/>
        <v/>
      </c>
      <c r="X2563" s="61">
        <f t="shared" ca="1" si="106"/>
        <v>0</v>
      </c>
      <c r="Y2563" s="64" t="str">
        <f t="shared" ca="1" si="107"/>
        <v/>
      </c>
    </row>
    <row r="2564" spans="1:25">
      <c r="A2564" s="2">
        <f>+Get_Data!A2563</f>
        <v>43164</v>
      </c>
      <c r="B2564">
        <f>+ROUND(Get_Data!B2563,5)</f>
        <v>101.40468</v>
      </c>
      <c r="C2564">
        <f>+ROUND(Get_Data!C2563,5)</f>
        <v>40.070970000000003</v>
      </c>
      <c r="D2564" s="4">
        <f t="shared" si="114"/>
        <v>2.5306299999999999</v>
      </c>
      <c r="E2564" s="22">
        <f t="shared" ca="1" si="93"/>
        <v>2.59721</v>
      </c>
      <c r="F2564" s="23">
        <f t="shared" ca="1" si="94"/>
        <v>2.4876999999999998</v>
      </c>
      <c r="G2564" s="10">
        <f t="shared" ca="1" si="95"/>
        <v>0</v>
      </c>
      <c r="H2564" s="12">
        <f t="shared" ca="1" si="96"/>
        <v>0</v>
      </c>
      <c r="I2564" s="11">
        <f t="shared" ca="1" si="97"/>
        <v>0</v>
      </c>
      <c r="J2564" s="11">
        <f t="shared" ca="1" si="98"/>
        <v>-2</v>
      </c>
      <c r="K2564" s="10">
        <f t="shared" ca="1" si="108"/>
        <v>102.07734000000001</v>
      </c>
      <c r="L2564" s="11">
        <f t="shared" ca="1" si="109"/>
        <v>-40.88353</v>
      </c>
      <c r="M2564" s="11">
        <f t="shared" ca="1" si="110"/>
        <v>2.4967800000000002</v>
      </c>
      <c r="N2564" s="15">
        <f t="shared" ca="1" si="111"/>
        <v>10</v>
      </c>
      <c r="O2564" s="15">
        <f t="shared" ca="1" si="112"/>
        <v>25</v>
      </c>
      <c r="P2564" s="16">
        <f t="shared" ca="1" si="113"/>
        <v>-1.3148499999999785</v>
      </c>
      <c r="Q2564" s="11" t="str">
        <f t="shared" ca="1" si="99"/>
        <v/>
      </c>
      <c r="R2564" s="11" t="str">
        <f t="shared" ca="1" si="100"/>
        <v/>
      </c>
      <c r="S2564" s="61" t="str">
        <f t="shared" ca="1" si="101"/>
        <v/>
      </c>
      <c r="T2564" s="11" t="str">
        <f t="shared" ca="1" si="102"/>
        <v/>
      </c>
      <c r="U2564" s="11" t="str">
        <f t="shared" ca="1" si="103"/>
        <v/>
      </c>
      <c r="V2564" s="18" t="str">
        <f t="shared" ca="1" si="104"/>
        <v/>
      </c>
      <c r="W2564" s="61" t="str">
        <f t="shared" ca="1" si="105"/>
        <v/>
      </c>
      <c r="X2564" s="61">
        <f t="shared" ca="1" si="106"/>
        <v>0</v>
      </c>
      <c r="Y2564" s="64" t="str">
        <f t="shared" ca="1" si="107"/>
        <v/>
      </c>
    </row>
    <row r="2565" spans="1:25">
      <c r="A2565" s="2">
        <f>+Get_Data!A2564</f>
        <v>43165</v>
      </c>
      <c r="B2565">
        <f>+ROUND(Get_Data!B2564,5)</f>
        <v>101.54369</v>
      </c>
      <c r="C2565">
        <f>+ROUND(Get_Data!C2564,5)</f>
        <v>40.107489999999999</v>
      </c>
      <c r="D2565" s="4">
        <f t="shared" si="114"/>
        <v>2.53179</v>
      </c>
      <c r="E2565" s="22">
        <f t="shared" ref="E2565:E2628" ca="1" si="115">+MAX(OFFSET(D2565,-$G$2+1,,$G$2))</f>
        <v>2.59721</v>
      </c>
      <c r="F2565" s="23">
        <f t="shared" ref="F2565:F2628" ca="1" si="116">+MIN(OFFSET(D2565,-$G$2+1,,$G$2))</f>
        <v>2.4876999999999998</v>
      </c>
      <c r="G2565" s="10">
        <f t="shared" ref="G2565:G2628" ca="1" si="117">+IF(E2565=D2565,1,0)</f>
        <v>0</v>
      </c>
      <c r="H2565" s="12">
        <f t="shared" ref="H2565:H2628" ca="1" si="118">+IF(F2565=D2565,1,0)</f>
        <v>0</v>
      </c>
      <c r="I2565" s="11">
        <f t="shared" ref="I2565:I2628" ca="1" si="119">+G2565-H2565</f>
        <v>0</v>
      </c>
      <c r="J2565" s="11">
        <f t="shared" ca="1" si="98"/>
        <v>-2</v>
      </c>
      <c r="K2565" s="10">
        <f t="shared" ca="1" si="108"/>
        <v>102.07734000000001</v>
      </c>
      <c r="L2565" s="11">
        <f t="shared" ca="1" si="109"/>
        <v>-40.88353</v>
      </c>
      <c r="M2565" s="11">
        <f t="shared" ca="1" si="110"/>
        <v>2.4967800000000002</v>
      </c>
      <c r="N2565" s="15">
        <f t="shared" ca="1" si="111"/>
        <v>10</v>
      </c>
      <c r="O2565" s="15">
        <f t="shared" ca="1" si="112"/>
        <v>25</v>
      </c>
      <c r="P2565" s="16">
        <f t="shared" ca="1" si="113"/>
        <v>-1.3148499999999785</v>
      </c>
      <c r="Q2565" s="11" t="str">
        <f t="shared" ca="1" si="99"/>
        <v/>
      </c>
      <c r="R2565" s="11" t="str">
        <f t="shared" ca="1" si="100"/>
        <v/>
      </c>
      <c r="S2565" s="61" t="str">
        <f t="shared" ca="1" si="101"/>
        <v/>
      </c>
      <c r="T2565" s="11" t="str">
        <f t="shared" ca="1" si="102"/>
        <v/>
      </c>
      <c r="U2565" s="11" t="str">
        <f t="shared" ca="1" si="103"/>
        <v/>
      </c>
      <c r="V2565" s="18" t="str">
        <f t="shared" ca="1" si="104"/>
        <v/>
      </c>
      <c r="W2565" s="61" t="str">
        <f t="shared" ca="1" si="105"/>
        <v/>
      </c>
      <c r="X2565" s="61">
        <f t="shared" ca="1" si="106"/>
        <v>0</v>
      </c>
      <c r="Y2565" s="64" t="str">
        <f t="shared" ca="1" si="107"/>
        <v/>
      </c>
    </row>
    <row r="2566" spans="1:25">
      <c r="A2566" s="2">
        <f>+Get_Data!A2565</f>
        <v>43166</v>
      </c>
      <c r="B2566">
        <f>+ROUND(Get_Data!B2565,5)</f>
        <v>101.7846</v>
      </c>
      <c r="C2566">
        <f>+ROUND(Get_Data!C2565,5)</f>
        <v>40.00705</v>
      </c>
      <c r="D2566" s="4">
        <f t="shared" si="114"/>
        <v>2.5441699999999998</v>
      </c>
      <c r="E2566" s="22">
        <f t="shared" ca="1" si="115"/>
        <v>2.59721</v>
      </c>
      <c r="F2566" s="23">
        <f t="shared" ca="1" si="116"/>
        <v>2.4876999999999998</v>
      </c>
      <c r="G2566" s="10">
        <f t="shared" ca="1" si="117"/>
        <v>0</v>
      </c>
      <c r="H2566" s="12">
        <f t="shared" ca="1" si="118"/>
        <v>0</v>
      </c>
      <c r="I2566" s="11">
        <f t="shared" ca="1" si="119"/>
        <v>0</v>
      </c>
      <c r="J2566" s="11">
        <f t="shared" ref="J2566:J2629" ca="1" si="120">+IF(AND(ABS(J2565)=2,ABS(I2566)=1),0,J2565+I2566)</f>
        <v>-2</v>
      </c>
      <c r="K2566" s="10">
        <f t="shared" ca="1" si="108"/>
        <v>102.07734000000001</v>
      </c>
      <c r="L2566" s="11">
        <f t="shared" ca="1" si="109"/>
        <v>-40.88353</v>
      </c>
      <c r="M2566" s="11">
        <f t="shared" ca="1" si="110"/>
        <v>2.4967800000000002</v>
      </c>
      <c r="N2566" s="15">
        <f t="shared" ca="1" si="111"/>
        <v>10</v>
      </c>
      <c r="O2566" s="15">
        <f t="shared" ca="1" si="112"/>
        <v>25</v>
      </c>
      <c r="P2566" s="16">
        <f t="shared" ca="1" si="113"/>
        <v>-1.3148499999999785</v>
      </c>
      <c r="Q2566" s="11" t="str">
        <f t="shared" ca="1" si="99"/>
        <v/>
      </c>
      <c r="R2566" s="11" t="str">
        <f t="shared" ca="1" si="100"/>
        <v/>
      </c>
      <c r="S2566" s="61" t="str">
        <f t="shared" ca="1" si="101"/>
        <v/>
      </c>
      <c r="T2566" s="11" t="str">
        <f t="shared" ca="1" si="102"/>
        <v/>
      </c>
      <c r="U2566" s="11" t="str">
        <f t="shared" ca="1" si="103"/>
        <v/>
      </c>
      <c r="V2566" s="18" t="str">
        <f t="shared" ca="1" si="104"/>
        <v/>
      </c>
      <c r="W2566" s="61" t="str">
        <f t="shared" ca="1" si="105"/>
        <v/>
      </c>
      <c r="X2566" s="61">
        <f t="shared" ca="1" si="106"/>
        <v>0</v>
      </c>
      <c r="Y2566" s="64" t="str">
        <f t="shared" ca="1" si="107"/>
        <v/>
      </c>
    </row>
    <row r="2567" spans="1:25">
      <c r="A2567" s="2">
        <f>+Get_Data!A2566</f>
        <v>43167</v>
      </c>
      <c r="B2567">
        <f>+ROUND(Get_Data!B2566,5)</f>
        <v>103.86032</v>
      </c>
      <c r="C2567">
        <f>+ROUND(Get_Data!C2566,5)</f>
        <v>40.582239999999999</v>
      </c>
      <c r="D2567" s="4">
        <f t="shared" si="114"/>
        <v>2.5592600000000001</v>
      </c>
      <c r="E2567" s="22">
        <f t="shared" ca="1" si="115"/>
        <v>2.59721</v>
      </c>
      <c r="F2567" s="23">
        <f t="shared" ca="1" si="116"/>
        <v>2.4876999999999998</v>
      </c>
      <c r="G2567" s="10">
        <f t="shared" ca="1" si="117"/>
        <v>0</v>
      </c>
      <c r="H2567" s="12">
        <f t="shared" ca="1" si="118"/>
        <v>0</v>
      </c>
      <c r="I2567" s="11">
        <f t="shared" ca="1" si="119"/>
        <v>0</v>
      </c>
      <c r="J2567" s="11">
        <f t="shared" ca="1" si="120"/>
        <v>-2</v>
      </c>
      <c r="K2567" s="10">
        <f t="shared" ca="1" si="108"/>
        <v>102.07734000000001</v>
      </c>
      <c r="L2567" s="11">
        <f t="shared" ca="1" si="109"/>
        <v>-40.88353</v>
      </c>
      <c r="M2567" s="11">
        <f t="shared" ca="1" si="110"/>
        <v>2.4967800000000002</v>
      </c>
      <c r="N2567" s="15">
        <f t="shared" ca="1" si="111"/>
        <v>10</v>
      </c>
      <c r="O2567" s="15">
        <f t="shared" ca="1" si="112"/>
        <v>25</v>
      </c>
      <c r="P2567" s="16">
        <f t="shared" ca="1" si="113"/>
        <v>-1.3148499999999785</v>
      </c>
      <c r="Q2567" s="11" t="str">
        <f t="shared" ca="1" si="99"/>
        <v/>
      </c>
      <c r="R2567" s="11" t="str">
        <f t="shared" ca="1" si="100"/>
        <v/>
      </c>
      <c r="S2567" s="61" t="str">
        <f t="shared" ca="1" si="101"/>
        <v/>
      </c>
      <c r="T2567" s="11" t="str">
        <f t="shared" ca="1" si="102"/>
        <v/>
      </c>
      <c r="U2567" s="11" t="str">
        <f t="shared" ca="1" si="103"/>
        <v/>
      </c>
      <c r="V2567" s="18" t="str">
        <f t="shared" ca="1" si="104"/>
        <v/>
      </c>
      <c r="W2567" s="61" t="str">
        <f t="shared" ca="1" si="105"/>
        <v/>
      </c>
      <c r="X2567" s="61">
        <f t="shared" ca="1" si="106"/>
        <v>0</v>
      </c>
      <c r="Y2567" s="64" t="str">
        <f t="shared" ca="1" si="107"/>
        <v/>
      </c>
    </row>
    <row r="2568" spans="1:25">
      <c r="A2568" s="2">
        <f>+Get_Data!A2567</f>
        <v>43168</v>
      </c>
      <c r="B2568">
        <f>+ROUND(Get_Data!B2567,5)</f>
        <v>104.28660000000001</v>
      </c>
      <c r="C2568">
        <f>+ROUND(Get_Data!C2567,5)</f>
        <v>40.920050000000003</v>
      </c>
      <c r="D2568" s="4">
        <f t="shared" si="114"/>
        <v>2.5485500000000001</v>
      </c>
      <c r="E2568" s="22">
        <f t="shared" ca="1" si="115"/>
        <v>2.59721</v>
      </c>
      <c r="F2568" s="23">
        <f t="shared" ca="1" si="116"/>
        <v>2.4876999999999998</v>
      </c>
      <c r="G2568" s="10">
        <f t="shared" ca="1" si="117"/>
        <v>0</v>
      </c>
      <c r="H2568" s="12">
        <f t="shared" ca="1" si="118"/>
        <v>0</v>
      </c>
      <c r="I2568" s="11">
        <f t="shared" ca="1" si="119"/>
        <v>0</v>
      </c>
      <c r="J2568" s="11">
        <f t="shared" ca="1" si="120"/>
        <v>-2</v>
      </c>
      <c r="K2568" s="10">
        <f t="shared" ca="1" si="108"/>
        <v>102.07734000000001</v>
      </c>
      <c r="L2568" s="11">
        <f t="shared" ca="1" si="109"/>
        <v>-40.88353</v>
      </c>
      <c r="M2568" s="11">
        <f t="shared" ca="1" si="110"/>
        <v>2.4967800000000002</v>
      </c>
      <c r="N2568" s="15">
        <f t="shared" ca="1" si="111"/>
        <v>10</v>
      </c>
      <c r="O2568" s="15">
        <f t="shared" ca="1" si="112"/>
        <v>25</v>
      </c>
      <c r="P2568" s="16">
        <f t="shared" ca="1" si="113"/>
        <v>-1.3148499999999785</v>
      </c>
      <c r="Q2568" s="11" t="str">
        <f t="shared" ca="1" si="99"/>
        <v/>
      </c>
      <c r="R2568" s="11" t="str">
        <f t="shared" ca="1" si="100"/>
        <v/>
      </c>
      <c r="S2568" s="61" t="str">
        <f t="shared" ca="1" si="101"/>
        <v/>
      </c>
      <c r="T2568" s="11" t="str">
        <f t="shared" ca="1" si="102"/>
        <v/>
      </c>
      <c r="U2568" s="11" t="str">
        <f t="shared" ca="1" si="103"/>
        <v/>
      </c>
      <c r="V2568" s="18" t="str">
        <f t="shared" ca="1" si="104"/>
        <v/>
      </c>
      <c r="W2568" s="61" t="str">
        <f t="shared" ca="1" si="105"/>
        <v/>
      </c>
      <c r="X2568" s="61">
        <f t="shared" ca="1" si="106"/>
        <v>0</v>
      </c>
      <c r="Y2568" s="64" t="str">
        <f t="shared" ca="1" si="107"/>
        <v/>
      </c>
    </row>
    <row r="2569" spans="1:25">
      <c r="A2569" s="2">
        <f>+Get_Data!A2568</f>
        <v>43171</v>
      </c>
      <c r="B2569">
        <f>+ROUND(Get_Data!B2568,5)</f>
        <v>104.48119</v>
      </c>
      <c r="C2569">
        <f>+ROUND(Get_Data!C2568,5)</f>
        <v>40.655279999999998</v>
      </c>
      <c r="D2569" s="4">
        <f t="shared" si="114"/>
        <v>2.5699299999999998</v>
      </c>
      <c r="E2569" s="22">
        <f t="shared" ca="1" si="115"/>
        <v>2.59721</v>
      </c>
      <c r="F2569" s="23">
        <f t="shared" ca="1" si="116"/>
        <v>2.4876999999999998</v>
      </c>
      <c r="G2569" s="10">
        <f t="shared" ca="1" si="117"/>
        <v>0</v>
      </c>
      <c r="H2569" s="12">
        <f t="shared" ca="1" si="118"/>
        <v>0</v>
      </c>
      <c r="I2569" s="11">
        <f t="shared" ca="1" si="119"/>
        <v>0</v>
      </c>
      <c r="J2569" s="11">
        <f t="shared" ca="1" si="120"/>
        <v>-2</v>
      </c>
      <c r="K2569" s="10">
        <f t="shared" ca="1" si="108"/>
        <v>102.07734000000001</v>
      </c>
      <c r="L2569" s="11">
        <f t="shared" ca="1" si="109"/>
        <v>-40.88353</v>
      </c>
      <c r="M2569" s="11">
        <f t="shared" ca="1" si="110"/>
        <v>2.4967800000000002</v>
      </c>
      <c r="N2569" s="15">
        <f t="shared" ca="1" si="111"/>
        <v>10</v>
      </c>
      <c r="O2569" s="15">
        <f t="shared" ca="1" si="112"/>
        <v>25</v>
      </c>
      <c r="P2569" s="16">
        <f t="shared" ca="1" si="113"/>
        <v>-1.3148499999999785</v>
      </c>
      <c r="Q2569" s="11" t="str">
        <f t="shared" ca="1" si="99"/>
        <v/>
      </c>
      <c r="R2569" s="11" t="str">
        <f t="shared" ca="1" si="100"/>
        <v/>
      </c>
      <c r="S2569" s="61" t="str">
        <f t="shared" ca="1" si="101"/>
        <v/>
      </c>
      <c r="T2569" s="11" t="str">
        <f t="shared" ca="1" si="102"/>
        <v/>
      </c>
      <c r="U2569" s="11" t="str">
        <f t="shared" ca="1" si="103"/>
        <v/>
      </c>
      <c r="V2569" s="18" t="str">
        <f t="shared" ca="1" si="104"/>
        <v/>
      </c>
      <c r="W2569" s="61" t="str">
        <f t="shared" ca="1" si="105"/>
        <v/>
      </c>
      <c r="X2569" s="61">
        <f t="shared" ca="1" si="106"/>
        <v>0</v>
      </c>
      <c r="Y2569" s="64" t="str">
        <f t="shared" ca="1" si="107"/>
        <v/>
      </c>
    </row>
    <row r="2570" spans="1:25">
      <c r="A2570" s="2">
        <f>+Get_Data!A2569</f>
        <v>43172</v>
      </c>
      <c r="B2570">
        <f>+ROUND(Get_Data!B2569,5)</f>
        <v>105.26886</v>
      </c>
      <c r="C2570">
        <f>+ROUND(Get_Data!C2569,5)</f>
        <v>40.691800000000001</v>
      </c>
      <c r="D2570" s="4">
        <f t="shared" si="114"/>
        <v>2.5869800000000001</v>
      </c>
      <c r="E2570" s="22">
        <f t="shared" ca="1" si="115"/>
        <v>2.59721</v>
      </c>
      <c r="F2570" s="23">
        <f t="shared" ca="1" si="116"/>
        <v>2.4876999999999998</v>
      </c>
      <c r="G2570" s="10">
        <f t="shared" ca="1" si="117"/>
        <v>0</v>
      </c>
      <c r="H2570" s="12">
        <f t="shared" ca="1" si="118"/>
        <v>0</v>
      </c>
      <c r="I2570" s="11">
        <f t="shared" ca="1" si="119"/>
        <v>0</v>
      </c>
      <c r="J2570" s="11">
        <f t="shared" ca="1" si="120"/>
        <v>-2</v>
      </c>
      <c r="K2570" s="10">
        <f t="shared" ca="1" si="108"/>
        <v>102.07734000000001</v>
      </c>
      <c r="L2570" s="11">
        <f t="shared" ca="1" si="109"/>
        <v>-40.88353</v>
      </c>
      <c r="M2570" s="11">
        <f t="shared" ca="1" si="110"/>
        <v>2.4967800000000002</v>
      </c>
      <c r="N2570" s="15">
        <f t="shared" ca="1" si="111"/>
        <v>10</v>
      </c>
      <c r="O2570" s="15">
        <f t="shared" ca="1" si="112"/>
        <v>25</v>
      </c>
      <c r="P2570" s="16">
        <f t="shared" ca="1" si="113"/>
        <v>-1.3148499999999785</v>
      </c>
      <c r="Q2570" s="11" t="str">
        <f t="shared" ca="1" si="99"/>
        <v/>
      </c>
      <c r="R2570" s="11" t="str">
        <f t="shared" ca="1" si="100"/>
        <v/>
      </c>
      <c r="S2570" s="61" t="str">
        <f t="shared" ca="1" si="101"/>
        <v/>
      </c>
      <c r="T2570" s="11" t="str">
        <f t="shared" ca="1" si="102"/>
        <v/>
      </c>
      <c r="U2570" s="11" t="str">
        <f t="shared" ca="1" si="103"/>
        <v/>
      </c>
      <c r="V2570" s="18" t="str">
        <f t="shared" ca="1" si="104"/>
        <v/>
      </c>
      <c r="W2570" s="61" t="str">
        <f t="shared" ca="1" si="105"/>
        <v/>
      </c>
      <c r="X2570" s="61">
        <f t="shared" ca="1" si="106"/>
        <v>0</v>
      </c>
      <c r="Y2570" s="64" t="str">
        <f t="shared" ca="1" si="107"/>
        <v/>
      </c>
    </row>
    <row r="2571" spans="1:25">
      <c r="A2571" s="2">
        <f>+Get_Data!A2570</f>
        <v>43173</v>
      </c>
      <c r="B2571">
        <f>+ROUND(Get_Data!B2570,5)</f>
        <v>104.35146</v>
      </c>
      <c r="C2571">
        <f>+ROUND(Get_Data!C2570,5)</f>
        <v>40.32338</v>
      </c>
      <c r="D2571" s="4">
        <f t="shared" si="114"/>
        <v>2.58786</v>
      </c>
      <c r="E2571" s="22">
        <f t="shared" ca="1" si="115"/>
        <v>2.59721</v>
      </c>
      <c r="F2571" s="23">
        <f t="shared" ca="1" si="116"/>
        <v>2.4876999999999998</v>
      </c>
      <c r="G2571" s="10">
        <f t="shared" ca="1" si="117"/>
        <v>0</v>
      </c>
      <c r="H2571" s="12">
        <f t="shared" ca="1" si="118"/>
        <v>0</v>
      </c>
      <c r="I2571" s="11">
        <f t="shared" ca="1" si="119"/>
        <v>0</v>
      </c>
      <c r="J2571" s="11">
        <f t="shared" ca="1" si="120"/>
        <v>-2</v>
      </c>
      <c r="K2571" s="10">
        <f t="shared" ca="1" si="108"/>
        <v>102.07734000000001</v>
      </c>
      <c r="L2571" s="11">
        <f t="shared" ca="1" si="109"/>
        <v>-40.88353</v>
      </c>
      <c r="M2571" s="11">
        <f t="shared" ca="1" si="110"/>
        <v>2.4967800000000002</v>
      </c>
      <c r="N2571" s="15">
        <f t="shared" ca="1" si="111"/>
        <v>10</v>
      </c>
      <c r="O2571" s="15">
        <f t="shared" ca="1" si="112"/>
        <v>25</v>
      </c>
      <c r="P2571" s="16">
        <f t="shared" ca="1" si="113"/>
        <v>-1.3148499999999785</v>
      </c>
      <c r="Q2571" s="11" t="str">
        <f t="shared" ca="1" si="99"/>
        <v/>
      </c>
      <c r="R2571" s="11" t="str">
        <f t="shared" ca="1" si="100"/>
        <v/>
      </c>
      <c r="S2571" s="61" t="str">
        <f t="shared" ca="1" si="101"/>
        <v/>
      </c>
      <c r="T2571" s="11" t="str">
        <f t="shared" ca="1" si="102"/>
        <v/>
      </c>
      <c r="U2571" s="11" t="str">
        <f t="shared" ca="1" si="103"/>
        <v/>
      </c>
      <c r="V2571" s="18" t="str">
        <f t="shared" ca="1" si="104"/>
        <v/>
      </c>
      <c r="W2571" s="61" t="str">
        <f t="shared" ca="1" si="105"/>
        <v/>
      </c>
      <c r="X2571" s="61">
        <f t="shared" ca="1" si="106"/>
        <v>0</v>
      </c>
      <c r="Y2571" s="64" t="str">
        <f t="shared" ca="1" si="107"/>
        <v/>
      </c>
    </row>
    <row r="2572" spans="1:25">
      <c r="A2572" s="2">
        <f>+Get_Data!A2571</f>
        <v>43174</v>
      </c>
      <c r="B2572">
        <f>+ROUND(Get_Data!B2571,5)</f>
        <v>103.77692</v>
      </c>
      <c r="C2572">
        <f>+ROUND(Get_Data!C2571,5)</f>
        <v>40.222059999999999</v>
      </c>
      <c r="D2572" s="4">
        <f t="shared" si="114"/>
        <v>2.5800999999999998</v>
      </c>
      <c r="E2572" s="22">
        <f t="shared" ca="1" si="115"/>
        <v>2.59721</v>
      </c>
      <c r="F2572" s="23">
        <f t="shared" ca="1" si="116"/>
        <v>2.4876999999999998</v>
      </c>
      <c r="G2572" s="10">
        <f t="shared" ca="1" si="117"/>
        <v>0</v>
      </c>
      <c r="H2572" s="12">
        <f t="shared" ca="1" si="118"/>
        <v>0</v>
      </c>
      <c r="I2572" s="11">
        <f t="shared" ca="1" si="119"/>
        <v>0</v>
      </c>
      <c r="J2572" s="11">
        <f t="shared" ca="1" si="120"/>
        <v>-2</v>
      </c>
      <c r="K2572" s="10">
        <f t="shared" ca="1" si="108"/>
        <v>102.07734000000001</v>
      </c>
      <c r="L2572" s="11">
        <f t="shared" ca="1" si="109"/>
        <v>-40.88353</v>
      </c>
      <c r="M2572" s="11">
        <f t="shared" ca="1" si="110"/>
        <v>2.4967800000000002</v>
      </c>
      <c r="N2572" s="15">
        <f t="shared" ca="1" si="111"/>
        <v>10</v>
      </c>
      <c r="O2572" s="15">
        <f t="shared" ca="1" si="112"/>
        <v>25</v>
      </c>
      <c r="P2572" s="16">
        <f t="shared" ca="1" si="113"/>
        <v>-1.3148499999999785</v>
      </c>
      <c r="Q2572" s="11" t="str">
        <f t="shared" ca="1" si="99"/>
        <v/>
      </c>
      <c r="R2572" s="11" t="str">
        <f t="shared" ca="1" si="100"/>
        <v/>
      </c>
      <c r="S2572" s="61" t="str">
        <f t="shared" ca="1" si="101"/>
        <v/>
      </c>
      <c r="T2572" s="11" t="str">
        <f t="shared" ca="1" si="102"/>
        <v/>
      </c>
      <c r="U2572" s="11" t="str">
        <f t="shared" ca="1" si="103"/>
        <v/>
      </c>
      <c r="V2572" s="18" t="str">
        <f t="shared" ca="1" si="104"/>
        <v/>
      </c>
      <c r="W2572" s="61" t="str">
        <f t="shared" ca="1" si="105"/>
        <v/>
      </c>
      <c r="X2572" s="61">
        <f t="shared" ca="1" si="106"/>
        <v>0</v>
      </c>
      <c r="Y2572" s="64" t="str">
        <f t="shared" ca="1" si="107"/>
        <v/>
      </c>
    </row>
    <row r="2573" spans="1:25">
      <c r="A2573" s="2">
        <f>+Get_Data!A2572</f>
        <v>43175</v>
      </c>
      <c r="B2573">
        <f>+ROUND(Get_Data!B2572,5)</f>
        <v>103.45261000000001</v>
      </c>
      <c r="C2573">
        <f>+ROUND(Get_Data!C2572,5)</f>
        <v>40.028640000000003</v>
      </c>
      <c r="D2573" s="4">
        <f t="shared" si="114"/>
        <v>2.58446</v>
      </c>
      <c r="E2573" s="22">
        <f t="shared" ca="1" si="115"/>
        <v>2.59721</v>
      </c>
      <c r="F2573" s="23">
        <f t="shared" ca="1" si="116"/>
        <v>2.4876999999999998</v>
      </c>
      <c r="G2573" s="10">
        <f t="shared" ca="1" si="117"/>
        <v>0</v>
      </c>
      <c r="H2573" s="12">
        <f t="shared" ca="1" si="118"/>
        <v>0</v>
      </c>
      <c r="I2573" s="11">
        <f t="shared" ca="1" si="119"/>
        <v>0</v>
      </c>
      <c r="J2573" s="11">
        <f t="shared" ca="1" si="120"/>
        <v>-2</v>
      </c>
      <c r="K2573" s="10">
        <f t="shared" ca="1" si="108"/>
        <v>102.07734000000001</v>
      </c>
      <c r="L2573" s="11">
        <f t="shared" ca="1" si="109"/>
        <v>-40.88353</v>
      </c>
      <c r="M2573" s="11">
        <f t="shared" ca="1" si="110"/>
        <v>2.4967800000000002</v>
      </c>
      <c r="N2573" s="15">
        <f t="shared" ca="1" si="111"/>
        <v>10</v>
      </c>
      <c r="O2573" s="15">
        <f t="shared" ca="1" si="112"/>
        <v>25</v>
      </c>
      <c r="P2573" s="16">
        <f t="shared" ca="1" si="113"/>
        <v>-1.3148499999999785</v>
      </c>
      <c r="Q2573" s="11" t="str">
        <f t="shared" ca="1" si="99"/>
        <v/>
      </c>
      <c r="R2573" s="11" t="str">
        <f t="shared" ca="1" si="100"/>
        <v/>
      </c>
      <c r="S2573" s="61" t="str">
        <f t="shared" ca="1" si="101"/>
        <v/>
      </c>
      <c r="T2573" s="11" t="str">
        <f t="shared" ca="1" si="102"/>
        <v/>
      </c>
      <c r="U2573" s="11" t="str">
        <f t="shared" ca="1" si="103"/>
        <v/>
      </c>
      <c r="V2573" s="18" t="str">
        <f t="shared" ca="1" si="104"/>
        <v/>
      </c>
      <c r="W2573" s="61" t="str">
        <f t="shared" ca="1" si="105"/>
        <v/>
      </c>
      <c r="X2573" s="61">
        <f t="shared" ca="1" si="106"/>
        <v>0</v>
      </c>
      <c r="Y2573" s="64" t="str">
        <f t="shared" ca="1" si="107"/>
        <v/>
      </c>
    </row>
    <row r="2574" spans="1:25">
      <c r="A2574" s="2">
        <f>+Get_Data!A2573</f>
        <v>43178</v>
      </c>
      <c r="B2574">
        <f>+ROUND(Get_Data!B2573,5)</f>
        <v>102.26646</v>
      </c>
      <c r="C2574">
        <f>+ROUND(Get_Data!C2573,5)</f>
        <v>39.844430000000003</v>
      </c>
      <c r="D2574" s="4">
        <f t="shared" si="114"/>
        <v>2.56664</v>
      </c>
      <c r="E2574" s="22">
        <f t="shared" ca="1" si="115"/>
        <v>2.58786</v>
      </c>
      <c r="F2574" s="23">
        <f t="shared" ca="1" si="116"/>
        <v>2.4876999999999998</v>
      </c>
      <c r="G2574" s="10">
        <f t="shared" ca="1" si="117"/>
        <v>0</v>
      </c>
      <c r="H2574" s="12">
        <f t="shared" ca="1" si="118"/>
        <v>0</v>
      </c>
      <c r="I2574" s="11">
        <f t="shared" ca="1" si="119"/>
        <v>0</v>
      </c>
      <c r="J2574" s="11">
        <f t="shared" ca="1" si="120"/>
        <v>-2</v>
      </c>
      <c r="K2574" s="10">
        <f t="shared" ca="1" si="108"/>
        <v>102.07734000000001</v>
      </c>
      <c r="L2574" s="11">
        <f t="shared" ca="1" si="109"/>
        <v>-40.88353</v>
      </c>
      <c r="M2574" s="11">
        <f t="shared" ca="1" si="110"/>
        <v>2.4967800000000002</v>
      </c>
      <c r="N2574" s="15">
        <f t="shared" ca="1" si="111"/>
        <v>10</v>
      </c>
      <c r="O2574" s="15">
        <f t="shared" ca="1" si="112"/>
        <v>25</v>
      </c>
      <c r="P2574" s="16">
        <f t="shared" ca="1" si="113"/>
        <v>-1.3148499999999785</v>
      </c>
      <c r="Q2574" s="11" t="str">
        <f t="shared" ca="1" si="99"/>
        <v/>
      </c>
      <c r="R2574" s="11" t="str">
        <f t="shared" ca="1" si="100"/>
        <v/>
      </c>
      <c r="S2574" s="61" t="str">
        <f t="shared" ca="1" si="101"/>
        <v/>
      </c>
      <c r="T2574" s="11" t="str">
        <f t="shared" ca="1" si="102"/>
        <v/>
      </c>
      <c r="U2574" s="11" t="str">
        <f t="shared" ca="1" si="103"/>
        <v/>
      </c>
      <c r="V2574" s="18" t="str">
        <f t="shared" ca="1" si="104"/>
        <v/>
      </c>
      <c r="W2574" s="61" t="str">
        <f t="shared" ca="1" si="105"/>
        <v/>
      </c>
      <c r="X2574" s="61">
        <f t="shared" ca="1" si="106"/>
        <v>0</v>
      </c>
      <c r="Y2574" s="64" t="str">
        <f t="shared" ca="1" si="107"/>
        <v/>
      </c>
    </row>
    <row r="2575" spans="1:25">
      <c r="A2575" s="2">
        <f>+Get_Data!A2574</f>
        <v>43179</v>
      </c>
      <c r="B2575">
        <f>+ROUND(Get_Data!B2574,5)</f>
        <v>101.8402</v>
      </c>
      <c r="C2575">
        <f>+ROUND(Get_Data!C2574,5)</f>
        <v>39.752330000000001</v>
      </c>
      <c r="D2575" s="4">
        <f t="shared" si="114"/>
        <v>2.5618699999999999</v>
      </c>
      <c r="E2575" s="22">
        <f t="shared" ca="1" si="115"/>
        <v>2.58786</v>
      </c>
      <c r="F2575" s="23">
        <f t="shared" ca="1" si="116"/>
        <v>2.4876999999999998</v>
      </c>
      <c r="G2575" s="10">
        <f t="shared" ca="1" si="117"/>
        <v>0</v>
      </c>
      <c r="H2575" s="12">
        <f t="shared" ca="1" si="118"/>
        <v>0</v>
      </c>
      <c r="I2575" s="11">
        <f t="shared" ca="1" si="119"/>
        <v>0</v>
      </c>
      <c r="J2575" s="11">
        <f t="shared" ca="1" si="120"/>
        <v>-2</v>
      </c>
      <c r="K2575" s="10">
        <f t="shared" ca="1" si="108"/>
        <v>102.07734000000001</v>
      </c>
      <c r="L2575" s="11">
        <f t="shared" ca="1" si="109"/>
        <v>-40.88353</v>
      </c>
      <c r="M2575" s="11">
        <f t="shared" ca="1" si="110"/>
        <v>2.4967800000000002</v>
      </c>
      <c r="N2575" s="15">
        <f t="shared" ca="1" si="111"/>
        <v>10</v>
      </c>
      <c r="O2575" s="15">
        <f t="shared" ca="1" si="112"/>
        <v>25</v>
      </c>
      <c r="P2575" s="16">
        <f t="shared" ca="1" si="113"/>
        <v>-1.3148499999999785</v>
      </c>
      <c r="Q2575" s="11" t="str">
        <f t="shared" ca="1" si="99"/>
        <v/>
      </c>
      <c r="R2575" s="11" t="str">
        <f t="shared" ca="1" si="100"/>
        <v/>
      </c>
      <c r="S2575" s="61" t="str">
        <f t="shared" ca="1" si="101"/>
        <v/>
      </c>
      <c r="T2575" s="11" t="str">
        <f t="shared" ca="1" si="102"/>
        <v/>
      </c>
      <c r="U2575" s="11" t="str">
        <f t="shared" ca="1" si="103"/>
        <v/>
      </c>
      <c r="V2575" s="18" t="str">
        <f t="shared" ca="1" si="104"/>
        <v/>
      </c>
      <c r="W2575" s="61" t="str">
        <f t="shared" ca="1" si="105"/>
        <v/>
      </c>
      <c r="X2575" s="61">
        <f t="shared" ca="1" si="106"/>
        <v>0</v>
      </c>
      <c r="Y2575" s="64" t="str">
        <f t="shared" ca="1" si="107"/>
        <v/>
      </c>
    </row>
    <row r="2576" spans="1:25">
      <c r="A2576" s="2">
        <f>+Get_Data!A2575</f>
        <v>43180</v>
      </c>
      <c r="B2576">
        <f>+ROUND(Get_Data!B2575,5)</f>
        <v>100.76527</v>
      </c>
      <c r="C2576">
        <f>+ROUND(Get_Data!C2575,5)</f>
        <v>39.604970000000002</v>
      </c>
      <c r="D2576" s="4">
        <f t="shared" si="114"/>
        <v>2.54426</v>
      </c>
      <c r="E2576" s="22">
        <f t="shared" ca="1" si="115"/>
        <v>2.58786</v>
      </c>
      <c r="F2576" s="23">
        <f t="shared" ca="1" si="116"/>
        <v>2.4876999999999998</v>
      </c>
      <c r="G2576" s="10">
        <f t="shared" ca="1" si="117"/>
        <v>0</v>
      </c>
      <c r="H2576" s="12">
        <f t="shared" ca="1" si="118"/>
        <v>0</v>
      </c>
      <c r="I2576" s="11">
        <f t="shared" ca="1" si="119"/>
        <v>0</v>
      </c>
      <c r="J2576" s="11">
        <f t="shared" ca="1" si="120"/>
        <v>-2</v>
      </c>
      <c r="K2576" s="10">
        <f t="shared" ca="1" si="108"/>
        <v>102.07734000000001</v>
      </c>
      <c r="L2576" s="11">
        <f t="shared" ca="1" si="109"/>
        <v>-40.88353</v>
      </c>
      <c r="M2576" s="11">
        <f t="shared" ca="1" si="110"/>
        <v>2.4967800000000002</v>
      </c>
      <c r="N2576" s="15">
        <f t="shared" ca="1" si="111"/>
        <v>10</v>
      </c>
      <c r="O2576" s="15">
        <f t="shared" ca="1" si="112"/>
        <v>25</v>
      </c>
      <c r="P2576" s="16">
        <f t="shared" ca="1" si="113"/>
        <v>-1.3148499999999785</v>
      </c>
      <c r="Q2576" s="11" t="str">
        <f t="shared" ca="1" si="99"/>
        <v/>
      </c>
      <c r="R2576" s="11" t="str">
        <f t="shared" ca="1" si="100"/>
        <v/>
      </c>
      <c r="S2576" s="61" t="str">
        <f t="shared" ca="1" si="101"/>
        <v/>
      </c>
      <c r="T2576" s="11" t="str">
        <f t="shared" ca="1" si="102"/>
        <v/>
      </c>
      <c r="U2576" s="11" t="str">
        <f t="shared" ca="1" si="103"/>
        <v/>
      </c>
      <c r="V2576" s="18" t="str">
        <f t="shared" ca="1" si="104"/>
        <v/>
      </c>
      <c r="W2576" s="61" t="str">
        <f t="shared" ca="1" si="105"/>
        <v/>
      </c>
      <c r="X2576" s="61">
        <f t="shared" ca="1" si="106"/>
        <v>0</v>
      </c>
      <c r="Y2576" s="64" t="str">
        <f t="shared" ca="1" si="107"/>
        <v/>
      </c>
    </row>
    <row r="2577" spans="1:25">
      <c r="A2577" s="2">
        <f>+Get_Data!A2576</f>
        <v>43181</v>
      </c>
      <c r="B2577">
        <f>+ROUND(Get_Data!B2576,5)</f>
        <v>100.02394</v>
      </c>
      <c r="C2577">
        <f>+ROUND(Get_Data!C2576,5)</f>
        <v>39.38391</v>
      </c>
      <c r="D2577" s="4">
        <f t="shared" si="114"/>
        <v>2.53972</v>
      </c>
      <c r="E2577" s="22">
        <f t="shared" ca="1" si="115"/>
        <v>2.58786</v>
      </c>
      <c r="F2577" s="23">
        <f t="shared" ca="1" si="116"/>
        <v>2.4876999999999998</v>
      </c>
      <c r="G2577" s="10">
        <f t="shared" ca="1" si="117"/>
        <v>0</v>
      </c>
      <c r="H2577" s="12">
        <f t="shared" ca="1" si="118"/>
        <v>0</v>
      </c>
      <c r="I2577" s="11">
        <f t="shared" ca="1" si="119"/>
        <v>0</v>
      </c>
      <c r="J2577" s="11">
        <f t="shared" ca="1" si="120"/>
        <v>-2</v>
      </c>
      <c r="K2577" s="10">
        <f t="shared" ca="1" si="108"/>
        <v>102.07734000000001</v>
      </c>
      <c r="L2577" s="11">
        <f t="shared" ca="1" si="109"/>
        <v>-40.88353</v>
      </c>
      <c r="M2577" s="11">
        <f t="shared" ca="1" si="110"/>
        <v>2.4967800000000002</v>
      </c>
      <c r="N2577" s="15">
        <f t="shared" ca="1" si="111"/>
        <v>10</v>
      </c>
      <c r="O2577" s="15">
        <f t="shared" ca="1" si="112"/>
        <v>25</v>
      </c>
      <c r="P2577" s="16">
        <f t="shared" ca="1" si="113"/>
        <v>-1.3148499999999785</v>
      </c>
      <c r="Q2577" s="11" t="str">
        <f t="shared" ca="1" si="99"/>
        <v/>
      </c>
      <c r="R2577" s="11" t="str">
        <f t="shared" ca="1" si="100"/>
        <v/>
      </c>
      <c r="S2577" s="61" t="str">
        <f t="shared" ca="1" si="101"/>
        <v/>
      </c>
      <c r="T2577" s="11" t="str">
        <f t="shared" ca="1" si="102"/>
        <v/>
      </c>
      <c r="U2577" s="11" t="str">
        <f t="shared" ca="1" si="103"/>
        <v/>
      </c>
      <c r="V2577" s="18" t="str">
        <f t="shared" ca="1" si="104"/>
        <v/>
      </c>
      <c r="W2577" s="61" t="str">
        <f t="shared" ca="1" si="105"/>
        <v/>
      </c>
      <c r="X2577" s="61">
        <f t="shared" ca="1" si="106"/>
        <v>0</v>
      </c>
      <c r="Y2577" s="64" t="str">
        <f t="shared" ca="1" si="107"/>
        <v/>
      </c>
    </row>
    <row r="2578" spans="1:25">
      <c r="A2578" s="2">
        <f>+Get_Data!A2577</f>
        <v>43182</v>
      </c>
      <c r="B2578">
        <f>+ROUND(Get_Data!B2577,5)</f>
        <v>98.365219999999994</v>
      </c>
      <c r="C2578">
        <f>+ROUND(Get_Data!C2577,5)</f>
        <v>38.987870000000001</v>
      </c>
      <c r="D2578" s="4">
        <f t="shared" si="114"/>
        <v>2.5229699999999999</v>
      </c>
      <c r="E2578" s="22">
        <f t="shared" ca="1" si="115"/>
        <v>2.58786</v>
      </c>
      <c r="F2578" s="23">
        <f t="shared" ca="1" si="116"/>
        <v>2.4876999999999998</v>
      </c>
      <c r="G2578" s="10">
        <f t="shared" ca="1" si="117"/>
        <v>0</v>
      </c>
      <c r="H2578" s="12">
        <f t="shared" ca="1" si="118"/>
        <v>0</v>
      </c>
      <c r="I2578" s="11">
        <f t="shared" ca="1" si="119"/>
        <v>0</v>
      </c>
      <c r="J2578" s="11">
        <f t="shared" ca="1" si="120"/>
        <v>-2</v>
      </c>
      <c r="K2578" s="10">
        <f t="shared" ca="1" si="108"/>
        <v>102.07734000000001</v>
      </c>
      <c r="L2578" s="11">
        <f t="shared" ca="1" si="109"/>
        <v>-40.88353</v>
      </c>
      <c r="M2578" s="11">
        <f t="shared" ca="1" si="110"/>
        <v>2.4967800000000002</v>
      </c>
      <c r="N2578" s="15">
        <f t="shared" ca="1" si="111"/>
        <v>10</v>
      </c>
      <c r="O2578" s="15">
        <f t="shared" ca="1" si="112"/>
        <v>25</v>
      </c>
      <c r="P2578" s="16">
        <f t="shared" ca="1" si="113"/>
        <v>-1.3148499999999785</v>
      </c>
      <c r="Q2578" s="11" t="str">
        <f t="shared" ca="1" si="99"/>
        <v/>
      </c>
      <c r="R2578" s="11" t="str">
        <f t="shared" ca="1" si="100"/>
        <v/>
      </c>
      <c r="S2578" s="61" t="str">
        <f t="shared" ca="1" si="101"/>
        <v/>
      </c>
      <c r="T2578" s="11" t="str">
        <f t="shared" ca="1" si="102"/>
        <v/>
      </c>
      <c r="U2578" s="11" t="str">
        <f t="shared" ca="1" si="103"/>
        <v/>
      </c>
      <c r="V2578" s="18" t="str">
        <f t="shared" ca="1" si="104"/>
        <v/>
      </c>
      <c r="W2578" s="61" t="str">
        <f t="shared" ca="1" si="105"/>
        <v/>
      </c>
      <c r="X2578" s="61">
        <f t="shared" ca="1" si="106"/>
        <v>0</v>
      </c>
      <c r="Y2578" s="64" t="str">
        <f t="shared" ca="1" si="107"/>
        <v/>
      </c>
    </row>
    <row r="2579" spans="1:25">
      <c r="A2579" s="2">
        <f>+Get_Data!A2578</f>
        <v>43185</v>
      </c>
      <c r="B2579">
        <f>+ROUND(Get_Data!B2578,5)</f>
        <v>98.976820000000004</v>
      </c>
      <c r="C2579">
        <f>+ROUND(Get_Data!C2578,5)</f>
        <v>39.31944</v>
      </c>
      <c r="D2579" s="4">
        <f t="shared" si="114"/>
        <v>2.5172500000000002</v>
      </c>
      <c r="E2579" s="22">
        <f t="shared" ca="1" si="115"/>
        <v>2.58786</v>
      </c>
      <c r="F2579" s="23">
        <f t="shared" ca="1" si="116"/>
        <v>2.5074999999999998</v>
      </c>
      <c r="G2579" s="10">
        <f t="shared" ca="1" si="117"/>
        <v>0</v>
      </c>
      <c r="H2579" s="12">
        <f t="shared" ca="1" si="118"/>
        <v>0</v>
      </c>
      <c r="I2579" s="11">
        <f t="shared" ca="1" si="119"/>
        <v>0</v>
      </c>
      <c r="J2579" s="11">
        <f t="shared" ca="1" si="120"/>
        <v>-2</v>
      </c>
      <c r="K2579" s="10">
        <f t="shared" ca="1" si="108"/>
        <v>102.07734000000001</v>
      </c>
      <c r="L2579" s="11">
        <f t="shared" ca="1" si="109"/>
        <v>-40.88353</v>
      </c>
      <c r="M2579" s="11">
        <f t="shared" ca="1" si="110"/>
        <v>2.4967800000000002</v>
      </c>
      <c r="N2579" s="15">
        <f t="shared" ca="1" si="111"/>
        <v>10</v>
      </c>
      <c r="O2579" s="15">
        <f t="shared" ca="1" si="112"/>
        <v>25</v>
      </c>
      <c r="P2579" s="16">
        <f t="shared" ca="1" si="113"/>
        <v>-1.3148499999999785</v>
      </c>
      <c r="Q2579" s="11" t="str">
        <f t="shared" ref="Q2579:Q2642" ca="1" si="121">+IF(ISNUMBER(T2579),B2579,"")</f>
        <v/>
      </c>
      <c r="R2579" s="11" t="str">
        <f t="shared" ref="R2579:R2642" ca="1" si="122">+IF(ISNUMBER(U2579),C2579,"")</f>
        <v/>
      </c>
      <c r="S2579" s="61" t="str">
        <f t="shared" ref="S2579:S2642" ca="1" si="123">+IF(ISNUMBER(T2579),D2579,"")</f>
        <v/>
      </c>
      <c r="T2579" s="11" t="str">
        <f t="shared" ref="T2579:T2642" ca="1" si="124">+IF(AND(ISNUMBER(N2578),NOT(ISNUMBER(N2579))),N2578,"")</f>
        <v/>
      </c>
      <c r="U2579" s="11" t="str">
        <f t="shared" ref="U2579:U2642" ca="1" si="125">+IF(AND(ISNUMBER(O2578),NOT(ISNUMBER(O2579))),O2578,"")</f>
        <v/>
      </c>
      <c r="V2579" s="18" t="str">
        <f t="shared" ref="V2579:V2642" ca="1" si="126">+IFERROR(T2579*(K2578-Q2579),"")</f>
        <v/>
      </c>
      <c r="W2579" s="61" t="str">
        <f t="shared" ref="W2579:W2642" ca="1" si="127">+IFERROR(U2579*(L2578+R2579),"")</f>
        <v/>
      </c>
      <c r="X2579" s="61">
        <f t="shared" ref="X2579:X2642" ca="1" si="128">+IFERROR(SUM(V2579:W2579),"")</f>
        <v>0</v>
      </c>
      <c r="Y2579" s="64" t="str">
        <f t="shared" ref="Y2579:Y2642" ca="1" si="129">IFERROR(+X2579/ABS(R2579*U2579),"")</f>
        <v/>
      </c>
    </row>
    <row r="2580" spans="1:25">
      <c r="A2580" s="2">
        <f>+Get_Data!A2579</f>
        <v>43186</v>
      </c>
      <c r="B2580">
        <f>+ROUND(Get_Data!B2579,5)</f>
        <v>99.745959999999997</v>
      </c>
      <c r="C2580">
        <f>+ROUND(Get_Data!C2579,5)</f>
        <v>39.50365</v>
      </c>
      <c r="D2580" s="4">
        <f t="shared" si="114"/>
        <v>2.5249799999999998</v>
      </c>
      <c r="E2580" s="22">
        <f t="shared" ca="1" si="115"/>
        <v>2.58786</v>
      </c>
      <c r="F2580" s="23">
        <f t="shared" ca="1" si="116"/>
        <v>2.5092300000000001</v>
      </c>
      <c r="G2580" s="10">
        <f t="shared" ca="1" si="117"/>
        <v>0</v>
      </c>
      <c r="H2580" s="12">
        <f t="shared" ca="1" si="118"/>
        <v>0</v>
      </c>
      <c r="I2580" s="11">
        <f t="shared" ca="1" si="119"/>
        <v>0</v>
      </c>
      <c r="J2580" s="11">
        <f t="shared" ca="1" si="120"/>
        <v>-2</v>
      </c>
      <c r="K2580" s="10">
        <f t="shared" ca="1" si="108"/>
        <v>102.07734000000001</v>
      </c>
      <c r="L2580" s="11">
        <f t="shared" ca="1" si="109"/>
        <v>-40.88353</v>
      </c>
      <c r="M2580" s="11">
        <f t="shared" ca="1" si="110"/>
        <v>2.4967800000000002</v>
      </c>
      <c r="N2580" s="15">
        <f t="shared" ca="1" si="111"/>
        <v>10</v>
      </c>
      <c r="O2580" s="15">
        <f t="shared" ca="1" si="112"/>
        <v>25</v>
      </c>
      <c r="P2580" s="16">
        <f t="shared" ca="1" si="113"/>
        <v>-1.3148499999999785</v>
      </c>
      <c r="Q2580" s="11" t="str">
        <f t="shared" ca="1" si="121"/>
        <v/>
      </c>
      <c r="R2580" s="11" t="str">
        <f t="shared" ca="1" si="122"/>
        <v/>
      </c>
      <c r="S2580" s="61" t="str">
        <f t="shared" ca="1" si="123"/>
        <v/>
      </c>
      <c r="T2580" s="11" t="str">
        <f t="shared" ca="1" si="124"/>
        <v/>
      </c>
      <c r="U2580" s="11" t="str">
        <f t="shared" ca="1" si="125"/>
        <v/>
      </c>
      <c r="V2580" s="18" t="str">
        <f t="shared" ca="1" si="126"/>
        <v/>
      </c>
      <c r="W2580" s="61" t="str">
        <f t="shared" ca="1" si="127"/>
        <v/>
      </c>
      <c r="X2580" s="61">
        <f t="shared" ca="1" si="128"/>
        <v>0</v>
      </c>
      <c r="Y2580" s="64" t="str">
        <f t="shared" ca="1" si="129"/>
        <v/>
      </c>
    </row>
    <row r="2581" spans="1:25">
      <c r="A2581" s="2">
        <f>+Get_Data!A2580</f>
        <v>43187</v>
      </c>
      <c r="B2581">
        <f>+ROUND(Get_Data!B2580,5)</f>
        <v>101.17301999999999</v>
      </c>
      <c r="C2581">
        <f>+ROUND(Get_Data!C2580,5)</f>
        <v>39.899700000000003</v>
      </c>
      <c r="D2581" s="4">
        <f t="shared" si="114"/>
        <v>2.5356800000000002</v>
      </c>
      <c r="E2581" s="22">
        <f t="shared" ca="1" si="115"/>
        <v>2.58786</v>
      </c>
      <c r="F2581" s="23">
        <f t="shared" ca="1" si="116"/>
        <v>2.5092300000000001</v>
      </c>
      <c r="G2581" s="10">
        <f t="shared" ca="1" si="117"/>
        <v>0</v>
      </c>
      <c r="H2581" s="12">
        <f t="shared" ca="1" si="118"/>
        <v>0</v>
      </c>
      <c r="I2581" s="11">
        <f t="shared" ca="1" si="119"/>
        <v>0</v>
      </c>
      <c r="J2581" s="11">
        <f t="shared" ca="1" si="120"/>
        <v>-2</v>
      </c>
      <c r="K2581" s="10">
        <f t="shared" ca="1" si="108"/>
        <v>102.07734000000001</v>
      </c>
      <c r="L2581" s="11">
        <f t="shared" ca="1" si="109"/>
        <v>-40.88353</v>
      </c>
      <c r="M2581" s="11">
        <f t="shared" ca="1" si="110"/>
        <v>2.4967800000000002</v>
      </c>
      <c r="N2581" s="15">
        <f t="shared" ca="1" si="111"/>
        <v>10</v>
      </c>
      <c r="O2581" s="15">
        <f t="shared" ca="1" si="112"/>
        <v>25</v>
      </c>
      <c r="P2581" s="16">
        <f t="shared" ca="1" si="113"/>
        <v>-1.3148499999999785</v>
      </c>
      <c r="Q2581" s="11" t="str">
        <f t="shared" ca="1" si="121"/>
        <v/>
      </c>
      <c r="R2581" s="11" t="str">
        <f t="shared" ca="1" si="122"/>
        <v/>
      </c>
      <c r="S2581" s="61" t="str">
        <f t="shared" ca="1" si="123"/>
        <v/>
      </c>
      <c r="T2581" s="11" t="str">
        <f t="shared" ca="1" si="124"/>
        <v/>
      </c>
      <c r="U2581" s="11" t="str">
        <f t="shared" ca="1" si="125"/>
        <v/>
      </c>
      <c r="V2581" s="18" t="str">
        <f t="shared" ca="1" si="126"/>
        <v/>
      </c>
      <c r="W2581" s="61" t="str">
        <f t="shared" ca="1" si="127"/>
        <v/>
      </c>
      <c r="X2581" s="61">
        <f t="shared" ca="1" si="128"/>
        <v>0</v>
      </c>
      <c r="Y2581" s="64" t="str">
        <f t="shared" ca="1" si="129"/>
        <v/>
      </c>
    </row>
    <row r="2582" spans="1:25">
      <c r="A2582" s="2">
        <f>+Get_Data!A2581</f>
        <v>43188</v>
      </c>
      <c r="B2582">
        <f>+ROUND(Get_Data!B2581,5)</f>
        <v>101.14521999999999</v>
      </c>
      <c r="C2582">
        <f>+ROUND(Get_Data!C2581,5)</f>
        <v>40.001019999999997</v>
      </c>
      <c r="D2582" s="4">
        <f t="shared" si="114"/>
        <v>2.5285700000000002</v>
      </c>
      <c r="E2582" s="22">
        <f t="shared" ca="1" si="115"/>
        <v>2.58786</v>
      </c>
      <c r="F2582" s="23">
        <f t="shared" ca="1" si="116"/>
        <v>2.5092300000000001</v>
      </c>
      <c r="G2582" s="10">
        <f t="shared" ca="1" si="117"/>
        <v>0</v>
      </c>
      <c r="H2582" s="12">
        <f t="shared" ca="1" si="118"/>
        <v>0</v>
      </c>
      <c r="I2582" s="11">
        <f t="shared" ca="1" si="119"/>
        <v>0</v>
      </c>
      <c r="J2582" s="11">
        <f t="shared" ca="1" si="120"/>
        <v>-2</v>
      </c>
      <c r="K2582" s="10">
        <f t="shared" ca="1" si="108"/>
        <v>102.07734000000001</v>
      </c>
      <c r="L2582" s="11">
        <f t="shared" ca="1" si="109"/>
        <v>-40.88353</v>
      </c>
      <c r="M2582" s="11">
        <f t="shared" ca="1" si="110"/>
        <v>2.4967800000000002</v>
      </c>
      <c r="N2582" s="15">
        <f t="shared" ca="1" si="111"/>
        <v>10</v>
      </c>
      <c r="O2582" s="15">
        <f t="shared" ca="1" si="112"/>
        <v>25</v>
      </c>
      <c r="P2582" s="16">
        <f t="shared" ca="1" si="113"/>
        <v>-1.3148499999999785</v>
      </c>
      <c r="Q2582" s="11" t="str">
        <f t="shared" ca="1" si="121"/>
        <v/>
      </c>
      <c r="R2582" s="11" t="str">
        <f t="shared" ca="1" si="122"/>
        <v/>
      </c>
      <c r="S2582" s="61" t="str">
        <f t="shared" ca="1" si="123"/>
        <v/>
      </c>
      <c r="T2582" s="11" t="str">
        <f t="shared" ca="1" si="124"/>
        <v/>
      </c>
      <c r="U2582" s="11" t="str">
        <f t="shared" ca="1" si="125"/>
        <v/>
      </c>
      <c r="V2582" s="18" t="str">
        <f t="shared" ca="1" si="126"/>
        <v/>
      </c>
      <c r="W2582" s="61" t="str">
        <f t="shared" ca="1" si="127"/>
        <v/>
      </c>
      <c r="X2582" s="61">
        <f t="shared" ca="1" si="128"/>
        <v>0</v>
      </c>
      <c r="Y2582" s="64" t="str">
        <f t="shared" ca="1" si="129"/>
        <v/>
      </c>
    </row>
    <row r="2583" spans="1:25">
      <c r="A2583" s="2">
        <f>+Get_Data!A2582</f>
        <v>43192</v>
      </c>
      <c r="B2583">
        <f>+ROUND(Get_Data!B2582,5)</f>
        <v>99.199209999999994</v>
      </c>
      <c r="C2583">
        <f>+ROUND(Get_Data!C2582,5)</f>
        <v>39.301029999999997</v>
      </c>
      <c r="D2583" s="4">
        <f t="shared" si="114"/>
        <v>2.5240900000000002</v>
      </c>
      <c r="E2583" s="22">
        <f t="shared" ca="1" si="115"/>
        <v>2.58786</v>
      </c>
      <c r="F2583" s="23">
        <f t="shared" ca="1" si="116"/>
        <v>2.5172500000000002</v>
      </c>
      <c r="G2583" s="10">
        <f t="shared" ca="1" si="117"/>
        <v>0</v>
      </c>
      <c r="H2583" s="12">
        <f t="shared" ca="1" si="118"/>
        <v>0</v>
      </c>
      <c r="I2583" s="11">
        <f t="shared" ca="1" si="119"/>
        <v>0</v>
      </c>
      <c r="J2583" s="11">
        <f t="shared" ca="1" si="120"/>
        <v>-2</v>
      </c>
      <c r="K2583" s="10">
        <f t="shared" ca="1" si="108"/>
        <v>102.07734000000001</v>
      </c>
      <c r="L2583" s="11">
        <f t="shared" ca="1" si="109"/>
        <v>-40.88353</v>
      </c>
      <c r="M2583" s="11">
        <f t="shared" ca="1" si="110"/>
        <v>2.4967800000000002</v>
      </c>
      <c r="N2583" s="15">
        <f t="shared" ca="1" si="111"/>
        <v>10</v>
      </c>
      <c r="O2583" s="15">
        <f t="shared" ca="1" si="112"/>
        <v>25</v>
      </c>
      <c r="P2583" s="16">
        <f t="shared" ca="1" si="113"/>
        <v>-1.3148499999999785</v>
      </c>
      <c r="Q2583" s="11" t="str">
        <f t="shared" ca="1" si="121"/>
        <v/>
      </c>
      <c r="R2583" s="11" t="str">
        <f t="shared" ca="1" si="122"/>
        <v/>
      </c>
      <c r="S2583" s="61" t="str">
        <f t="shared" ca="1" si="123"/>
        <v/>
      </c>
      <c r="T2583" s="11" t="str">
        <f t="shared" ca="1" si="124"/>
        <v/>
      </c>
      <c r="U2583" s="11" t="str">
        <f t="shared" ca="1" si="125"/>
        <v/>
      </c>
      <c r="V2583" s="18" t="str">
        <f t="shared" ca="1" si="126"/>
        <v/>
      </c>
      <c r="W2583" s="61" t="str">
        <f t="shared" ca="1" si="127"/>
        <v/>
      </c>
      <c r="X2583" s="61">
        <f t="shared" ca="1" si="128"/>
        <v>0</v>
      </c>
      <c r="Y2583" s="64" t="str">
        <f t="shared" ca="1" si="129"/>
        <v/>
      </c>
    </row>
    <row r="2584" spans="1:25">
      <c r="A2584" s="2">
        <f>+Get_Data!A2583</f>
        <v>43193</v>
      </c>
      <c r="B2584">
        <f>+ROUND(Get_Data!B2583,5)</f>
        <v>100.25561999999999</v>
      </c>
      <c r="C2584">
        <f>+ROUND(Get_Data!C2583,5)</f>
        <v>39.954970000000003</v>
      </c>
      <c r="D2584" s="4">
        <f t="shared" si="114"/>
        <v>2.50922</v>
      </c>
      <c r="E2584" s="22">
        <f t="shared" ca="1" si="115"/>
        <v>2.58786</v>
      </c>
      <c r="F2584" s="23">
        <f t="shared" ca="1" si="116"/>
        <v>2.50922</v>
      </c>
      <c r="G2584" s="10">
        <f t="shared" ca="1" si="117"/>
        <v>0</v>
      </c>
      <c r="H2584" s="12">
        <f t="shared" ca="1" si="118"/>
        <v>1</v>
      </c>
      <c r="I2584" s="11">
        <f t="shared" ca="1" si="119"/>
        <v>-1</v>
      </c>
      <c r="J2584" s="11">
        <f t="shared" ca="1" si="120"/>
        <v>0</v>
      </c>
      <c r="K2584" s="10">
        <f t="shared" ca="1" si="108"/>
        <v>102.07734000000001</v>
      </c>
      <c r="L2584" s="11">
        <f t="shared" ca="1" si="109"/>
        <v>-40.88353</v>
      </c>
      <c r="M2584" s="11">
        <f t="shared" ca="1" si="110"/>
        <v>2.4967800000000002</v>
      </c>
      <c r="N2584" s="15">
        <f t="shared" ca="1" si="111"/>
        <v>10</v>
      </c>
      <c r="O2584" s="15">
        <f t="shared" ca="1" si="112"/>
        <v>25</v>
      </c>
      <c r="P2584" s="16">
        <f t="shared" ca="1" si="113"/>
        <v>-1.3148499999999785</v>
      </c>
      <c r="Q2584" s="11" t="str">
        <f t="shared" ca="1" si="121"/>
        <v/>
      </c>
      <c r="R2584" s="11" t="str">
        <f t="shared" ca="1" si="122"/>
        <v/>
      </c>
      <c r="S2584" s="61" t="str">
        <f t="shared" ca="1" si="123"/>
        <v/>
      </c>
      <c r="T2584" s="11" t="str">
        <f t="shared" ca="1" si="124"/>
        <v/>
      </c>
      <c r="U2584" s="11" t="str">
        <f t="shared" ca="1" si="125"/>
        <v/>
      </c>
      <c r="V2584" s="18" t="str">
        <f t="shared" ca="1" si="126"/>
        <v/>
      </c>
      <c r="W2584" s="61" t="str">
        <f t="shared" ca="1" si="127"/>
        <v/>
      </c>
      <c r="X2584" s="61">
        <f t="shared" ca="1" si="128"/>
        <v>0</v>
      </c>
      <c r="Y2584" s="64" t="str">
        <f t="shared" ca="1" si="129"/>
        <v/>
      </c>
    </row>
    <row r="2585" spans="1:25">
      <c r="A2585" s="2">
        <f>+Get_Data!A2584</f>
        <v>43194</v>
      </c>
      <c r="B2585">
        <f>+ROUND(Get_Data!B2584,5)</f>
        <v>102.09966</v>
      </c>
      <c r="C2585">
        <f>+ROUND(Get_Data!C2584,5)</f>
        <v>40.747059999999998</v>
      </c>
      <c r="D2585" s="4">
        <f t="shared" si="114"/>
        <v>2.50569</v>
      </c>
      <c r="E2585" s="22">
        <f t="shared" ca="1" si="115"/>
        <v>2.58786</v>
      </c>
      <c r="F2585" s="23">
        <f t="shared" ca="1" si="116"/>
        <v>2.50569</v>
      </c>
      <c r="G2585" s="10">
        <f t="shared" ca="1" si="117"/>
        <v>0</v>
      </c>
      <c r="H2585" s="12">
        <f t="shared" ca="1" si="118"/>
        <v>1</v>
      </c>
      <c r="I2585" s="11">
        <f t="shared" ca="1" si="119"/>
        <v>-1</v>
      </c>
      <c r="J2585" s="11">
        <f t="shared" ca="1" si="120"/>
        <v>-1</v>
      </c>
      <c r="K2585" s="10" t="str">
        <f t="shared" ca="1" si="108"/>
        <v/>
      </c>
      <c r="L2585" s="11" t="str">
        <f t="shared" ca="1" si="109"/>
        <v/>
      </c>
      <c r="M2585" s="11" t="str">
        <f t="shared" ca="1" si="110"/>
        <v/>
      </c>
      <c r="N2585" s="15" t="str">
        <f t="shared" ca="1" si="111"/>
        <v/>
      </c>
      <c r="O2585" s="15" t="str">
        <f t="shared" ca="1" si="112"/>
        <v/>
      </c>
      <c r="P2585" s="16" t="str">
        <f t="shared" ca="1" si="113"/>
        <v/>
      </c>
      <c r="Q2585" s="11">
        <f t="shared" ca="1" si="121"/>
        <v>102.09966</v>
      </c>
      <c r="R2585" s="11">
        <f t="shared" ca="1" si="122"/>
        <v>40.747059999999998</v>
      </c>
      <c r="S2585" s="61">
        <f t="shared" ca="1" si="123"/>
        <v>2.50569</v>
      </c>
      <c r="T2585" s="11">
        <f t="shared" ca="1" si="124"/>
        <v>10</v>
      </c>
      <c r="U2585" s="11">
        <f t="shared" ca="1" si="125"/>
        <v>25</v>
      </c>
      <c r="V2585" s="18">
        <f t="shared" ca="1" si="126"/>
        <v>-0.22319999999993456</v>
      </c>
      <c r="W2585" s="61">
        <f t="shared" ca="1" si="127"/>
        <v>-3.4117500000000689</v>
      </c>
      <c r="X2585" s="61">
        <f t="shared" ca="1" si="128"/>
        <v>-3.6349500000000035</v>
      </c>
      <c r="Y2585" s="64">
        <f t="shared" ca="1" si="129"/>
        <v>-3.568306523219102E-3</v>
      </c>
    </row>
    <row r="2586" spans="1:25">
      <c r="A2586" s="2">
        <f>+Get_Data!A2585</f>
        <v>43195</v>
      </c>
      <c r="B2586">
        <f>+ROUND(Get_Data!B2585,5)</f>
        <v>102.46106</v>
      </c>
      <c r="C2586">
        <f>+ROUND(Get_Data!C2585,5)</f>
        <v>40.894419999999997</v>
      </c>
      <c r="D2586" s="4">
        <f t="shared" si="114"/>
        <v>2.5055000000000001</v>
      </c>
      <c r="E2586" s="22">
        <f t="shared" ca="1" si="115"/>
        <v>2.58786</v>
      </c>
      <c r="F2586" s="23">
        <f t="shared" ca="1" si="116"/>
        <v>2.5055000000000001</v>
      </c>
      <c r="G2586" s="10">
        <f t="shared" ca="1" si="117"/>
        <v>0</v>
      </c>
      <c r="H2586" s="12">
        <f t="shared" ca="1" si="118"/>
        <v>1</v>
      </c>
      <c r="I2586" s="11">
        <f t="shared" ca="1" si="119"/>
        <v>-1</v>
      </c>
      <c r="J2586" s="11">
        <f t="shared" ca="1" si="120"/>
        <v>-2</v>
      </c>
      <c r="K2586" s="10">
        <f t="shared" ref="K2586:K2649" ca="1" si="130">+IF($J2585=0,"",IF(AND(ABS($J2585)=1,ABS($I2585)=1),-$J2585*B2586,K2585))</f>
        <v>102.46106</v>
      </c>
      <c r="L2586" s="11">
        <f t="shared" ref="L2586:L2649" ca="1" si="131">+IF($J2585=0,"",IF(AND(ABS($J2585)=1,ABS($I2585)=1),$J2585*C2586,L2585))</f>
        <v>-40.894419999999997</v>
      </c>
      <c r="M2586" s="11">
        <f t="shared" ref="M2586:M2649" ca="1" si="132">+IF($J2585=0,"",IF(AND(ABS($J2585)=1,ABS($I2585)=1),D2586,M2585))</f>
        <v>2.5055000000000001</v>
      </c>
      <c r="N2586" s="15">
        <f t="shared" ref="N2586:N2649" ca="1" si="133">+IF(ISNUMBER(K2586),stocks,"")</f>
        <v>10</v>
      </c>
      <c r="O2586" s="15">
        <f t="shared" ref="O2586:O2649" ca="1" si="134">+IFERROR(ROUND(N2586*M2586,0),"")</f>
        <v>25</v>
      </c>
      <c r="P2586" s="16">
        <f t="shared" ref="P2586:P2649" ca="1" si="135">IFERROR(+N2586*K2586+O2586*L2586,"")</f>
        <v>2.2501000000000886</v>
      </c>
      <c r="Q2586" s="11" t="str">
        <f t="shared" ca="1" si="121"/>
        <v/>
      </c>
      <c r="R2586" s="11" t="str">
        <f t="shared" ca="1" si="122"/>
        <v/>
      </c>
      <c r="S2586" s="61" t="str">
        <f t="shared" ca="1" si="123"/>
        <v/>
      </c>
      <c r="T2586" s="11" t="str">
        <f t="shared" ca="1" si="124"/>
        <v/>
      </c>
      <c r="U2586" s="11" t="str">
        <f t="shared" ca="1" si="125"/>
        <v/>
      </c>
      <c r="V2586" s="18" t="str">
        <f t="shared" ca="1" si="126"/>
        <v/>
      </c>
      <c r="W2586" s="61" t="str">
        <f t="shared" ca="1" si="127"/>
        <v/>
      </c>
      <c r="X2586" s="61">
        <f t="shared" ca="1" si="128"/>
        <v>0</v>
      </c>
      <c r="Y2586" s="64" t="str">
        <f t="shared" ca="1" si="129"/>
        <v/>
      </c>
    </row>
    <row r="2587" spans="1:25">
      <c r="A2587" s="2">
        <f>+Get_Data!A2586</f>
        <v>43196</v>
      </c>
      <c r="B2587">
        <f>+ROUND(Get_Data!B2586,5)</f>
        <v>101.28422</v>
      </c>
      <c r="C2587">
        <f>+ROUND(Get_Data!C2586,5)</f>
        <v>40.45232</v>
      </c>
      <c r="D2587" s="4">
        <f t="shared" si="114"/>
        <v>2.50379</v>
      </c>
      <c r="E2587" s="22">
        <f t="shared" ca="1" si="115"/>
        <v>2.58786</v>
      </c>
      <c r="F2587" s="23">
        <f t="shared" ca="1" si="116"/>
        <v>2.50379</v>
      </c>
      <c r="G2587" s="10">
        <f t="shared" ca="1" si="117"/>
        <v>0</v>
      </c>
      <c r="H2587" s="12">
        <f t="shared" ca="1" si="118"/>
        <v>1</v>
      </c>
      <c r="I2587" s="11">
        <f t="shared" ca="1" si="119"/>
        <v>-1</v>
      </c>
      <c r="J2587" s="11">
        <f t="shared" ca="1" si="120"/>
        <v>0</v>
      </c>
      <c r="K2587" s="10">
        <f t="shared" ca="1" si="130"/>
        <v>102.46106</v>
      </c>
      <c r="L2587" s="11">
        <f t="shared" ca="1" si="131"/>
        <v>-40.894419999999997</v>
      </c>
      <c r="M2587" s="11">
        <f t="shared" ca="1" si="132"/>
        <v>2.5055000000000001</v>
      </c>
      <c r="N2587" s="15">
        <f t="shared" ca="1" si="133"/>
        <v>10</v>
      </c>
      <c r="O2587" s="15">
        <f t="shared" ca="1" si="134"/>
        <v>25</v>
      </c>
      <c r="P2587" s="16">
        <f t="shared" ca="1" si="135"/>
        <v>2.2501000000000886</v>
      </c>
      <c r="Q2587" s="11" t="str">
        <f t="shared" ca="1" si="121"/>
        <v/>
      </c>
      <c r="R2587" s="11" t="str">
        <f t="shared" ca="1" si="122"/>
        <v/>
      </c>
      <c r="S2587" s="61" t="str">
        <f t="shared" ca="1" si="123"/>
        <v/>
      </c>
      <c r="T2587" s="11" t="str">
        <f t="shared" ca="1" si="124"/>
        <v/>
      </c>
      <c r="U2587" s="11" t="str">
        <f t="shared" ca="1" si="125"/>
        <v/>
      </c>
      <c r="V2587" s="18" t="str">
        <f t="shared" ca="1" si="126"/>
        <v/>
      </c>
      <c r="W2587" s="61" t="str">
        <f t="shared" ca="1" si="127"/>
        <v/>
      </c>
      <c r="X2587" s="61">
        <f t="shared" ca="1" si="128"/>
        <v>0</v>
      </c>
      <c r="Y2587" s="64" t="str">
        <f t="shared" ca="1" si="129"/>
        <v/>
      </c>
    </row>
    <row r="2588" spans="1:25">
      <c r="A2588" s="2">
        <f>+Get_Data!A2587</f>
        <v>43199</v>
      </c>
      <c r="B2588">
        <f>+ROUND(Get_Data!B2587,5)</f>
        <v>101.35835</v>
      </c>
      <c r="C2588">
        <f>+ROUND(Get_Data!C2587,5)</f>
        <v>40.369430000000001</v>
      </c>
      <c r="D2588" s="4">
        <f t="shared" si="114"/>
        <v>2.5107699999999999</v>
      </c>
      <c r="E2588" s="22">
        <f t="shared" ca="1" si="115"/>
        <v>2.58786</v>
      </c>
      <c r="F2588" s="23">
        <f t="shared" ca="1" si="116"/>
        <v>2.50379</v>
      </c>
      <c r="G2588" s="10">
        <f t="shared" ca="1" si="117"/>
        <v>0</v>
      </c>
      <c r="H2588" s="12">
        <f t="shared" ca="1" si="118"/>
        <v>0</v>
      </c>
      <c r="I2588" s="11">
        <f t="shared" ca="1" si="119"/>
        <v>0</v>
      </c>
      <c r="J2588" s="11">
        <f t="shared" ca="1" si="120"/>
        <v>0</v>
      </c>
      <c r="K2588" s="10" t="str">
        <f t="shared" ca="1" si="130"/>
        <v/>
      </c>
      <c r="L2588" s="11" t="str">
        <f t="shared" ca="1" si="131"/>
        <v/>
      </c>
      <c r="M2588" s="11" t="str">
        <f t="shared" ca="1" si="132"/>
        <v/>
      </c>
      <c r="N2588" s="15" t="str">
        <f t="shared" ca="1" si="133"/>
        <v/>
      </c>
      <c r="O2588" s="15" t="str">
        <f t="shared" ca="1" si="134"/>
        <v/>
      </c>
      <c r="P2588" s="16" t="str">
        <f t="shared" ca="1" si="135"/>
        <v/>
      </c>
      <c r="Q2588" s="11">
        <f t="shared" ca="1" si="121"/>
        <v>101.35835</v>
      </c>
      <c r="R2588" s="11">
        <f t="shared" ca="1" si="122"/>
        <v>40.369430000000001</v>
      </c>
      <c r="S2588" s="61">
        <f t="shared" ca="1" si="123"/>
        <v>2.5107699999999999</v>
      </c>
      <c r="T2588" s="11">
        <f t="shared" ca="1" si="124"/>
        <v>10</v>
      </c>
      <c r="U2588" s="11">
        <f t="shared" ca="1" si="125"/>
        <v>25</v>
      </c>
      <c r="V2588" s="18">
        <f t="shared" ca="1" si="126"/>
        <v>11.027100000000019</v>
      </c>
      <c r="W2588" s="61">
        <f t="shared" ca="1" si="127"/>
        <v>-13.124749999999885</v>
      </c>
      <c r="X2588" s="61">
        <f t="shared" ca="1" si="128"/>
        <v>-2.0976499999998666</v>
      </c>
      <c r="Y2588" s="64">
        <f t="shared" ca="1" si="129"/>
        <v>-2.078453919215472E-3</v>
      </c>
    </row>
    <row r="2589" spans="1:25">
      <c r="A2589" s="2">
        <f>+Get_Data!A2588</f>
        <v>43200</v>
      </c>
      <c r="B2589">
        <f>+ROUND(Get_Data!B2588,5)</f>
        <v>101.37688</v>
      </c>
      <c r="C2589">
        <f>+ROUND(Get_Data!C2588,5)</f>
        <v>40.516800000000003</v>
      </c>
      <c r="D2589" s="4">
        <f t="shared" si="114"/>
        <v>2.5020899999999999</v>
      </c>
      <c r="E2589" s="22">
        <f t="shared" ca="1" si="115"/>
        <v>2.58786</v>
      </c>
      <c r="F2589" s="23">
        <f t="shared" ca="1" si="116"/>
        <v>2.5020899999999999</v>
      </c>
      <c r="G2589" s="10">
        <f t="shared" ca="1" si="117"/>
        <v>0</v>
      </c>
      <c r="H2589" s="12">
        <f t="shared" ca="1" si="118"/>
        <v>1</v>
      </c>
      <c r="I2589" s="11">
        <f t="shared" ca="1" si="119"/>
        <v>-1</v>
      </c>
      <c r="J2589" s="11">
        <f t="shared" ca="1" si="120"/>
        <v>-1</v>
      </c>
      <c r="K2589" s="10" t="str">
        <f t="shared" ca="1" si="130"/>
        <v/>
      </c>
      <c r="L2589" s="11" t="str">
        <f t="shared" ca="1" si="131"/>
        <v/>
      </c>
      <c r="M2589" s="11" t="str">
        <f t="shared" ca="1" si="132"/>
        <v/>
      </c>
      <c r="N2589" s="15" t="str">
        <f t="shared" ca="1" si="133"/>
        <v/>
      </c>
      <c r="O2589" s="15" t="str">
        <f t="shared" ca="1" si="134"/>
        <v/>
      </c>
      <c r="P2589" s="16" t="str">
        <f t="shared" ca="1" si="135"/>
        <v/>
      </c>
      <c r="Q2589" s="11" t="str">
        <f t="shared" ca="1" si="121"/>
        <v/>
      </c>
      <c r="R2589" s="11" t="str">
        <f t="shared" ca="1" si="122"/>
        <v/>
      </c>
      <c r="S2589" s="61" t="str">
        <f t="shared" ca="1" si="123"/>
        <v/>
      </c>
      <c r="T2589" s="11" t="str">
        <f t="shared" ca="1" si="124"/>
        <v/>
      </c>
      <c r="U2589" s="11" t="str">
        <f t="shared" ca="1" si="125"/>
        <v/>
      </c>
      <c r="V2589" s="18" t="str">
        <f t="shared" ca="1" si="126"/>
        <v/>
      </c>
      <c r="W2589" s="61" t="str">
        <f t="shared" ca="1" si="127"/>
        <v/>
      </c>
      <c r="X2589" s="61">
        <f t="shared" ca="1" si="128"/>
        <v>0</v>
      </c>
      <c r="Y2589" s="64" t="str">
        <f t="shared" ca="1" si="129"/>
        <v/>
      </c>
    </row>
    <row r="2590" spans="1:25">
      <c r="A2590" s="2">
        <f>+Get_Data!A2589</f>
        <v>43201</v>
      </c>
      <c r="B2590">
        <f>+ROUND(Get_Data!B2589,5)</f>
        <v>100.70968000000001</v>
      </c>
      <c r="C2590">
        <f>+ROUND(Get_Data!C2589,5)</f>
        <v>40.516800000000003</v>
      </c>
      <c r="D2590" s="4">
        <f t="shared" si="114"/>
        <v>2.48563</v>
      </c>
      <c r="E2590" s="22">
        <f t="shared" ca="1" si="115"/>
        <v>2.58786</v>
      </c>
      <c r="F2590" s="23">
        <f t="shared" ca="1" si="116"/>
        <v>2.48563</v>
      </c>
      <c r="G2590" s="10">
        <f t="shared" ca="1" si="117"/>
        <v>0</v>
      </c>
      <c r="H2590" s="12">
        <f t="shared" ca="1" si="118"/>
        <v>1</v>
      </c>
      <c r="I2590" s="11">
        <f t="shared" ca="1" si="119"/>
        <v>-1</v>
      </c>
      <c r="J2590" s="11">
        <f t="shared" ca="1" si="120"/>
        <v>-2</v>
      </c>
      <c r="K2590" s="10">
        <f t="shared" ca="1" si="130"/>
        <v>100.70968000000001</v>
      </c>
      <c r="L2590" s="11">
        <f t="shared" ca="1" si="131"/>
        <v>-40.516800000000003</v>
      </c>
      <c r="M2590" s="11">
        <f t="shared" ca="1" si="132"/>
        <v>2.48563</v>
      </c>
      <c r="N2590" s="15">
        <f t="shared" ca="1" si="133"/>
        <v>10</v>
      </c>
      <c r="O2590" s="15">
        <f t="shared" ca="1" si="134"/>
        <v>25</v>
      </c>
      <c r="P2590" s="16">
        <f t="shared" ca="1" si="135"/>
        <v>-5.8232000000000426</v>
      </c>
      <c r="Q2590" s="11" t="str">
        <f t="shared" ca="1" si="121"/>
        <v/>
      </c>
      <c r="R2590" s="11" t="str">
        <f t="shared" ca="1" si="122"/>
        <v/>
      </c>
      <c r="S2590" s="61" t="str">
        <f t="shared" ca="1" si="123"/>
        <v/>
      </c>
      <c r="T2590" s="11" t="str">
        <f t="shared" ca="1" si="124"/>
        <v/>
      </c>
      <c r="U2590" s="11" t="str">
        <f t="shared" ca="1" si="125"/>
        <v/>
      </c>
      <c r="V2590" s="18" t="str">
        <f t="shared" ca="1" si="126"/>
        <v/>
      </c>
      <c r="W2590" s="61" t="str">
        <f t="shared" ca="1" si="127"/>
        <v/>
      </c>
      <c r="X2590" s="61">
        <f t="shared" ca="1" si="128"/>
        <v>0</v>
      </c>
      <c r="Y2590" s="64" t="str">
        <f t="shared" ca="1" si="129"/>
        <v/>
      </c>
    </row>
    <row r="2591" spans="1:25">
      <c r="A2591" s="2">
        <f>+Get_Data!A2590</f>
        <v>43202</v>
      </c>
      <c r="B2591">
        <f>+ROUND(Get_Data!B2590,5)</f>
        <v>100.36681</v>
      </c>
      <c r="C2591">
        <f>+ROUND(Get_Data!C2590,5)</f>
        <v>40.553640000000001</v>
      </c>
      <c r="D2591" s="4">
        <f t="shared" si="114"/>
        <v>2.4749099999999999</v>
      </c>
      <c r="E2591" s="22">
        <f t="shared" ca="1" si="115"/>
        <v>2.58786</v>
      </c>
      <c r="F2591" s="23">
        <f t="shared" ca="1" si="116"/>
        <v>2.4749099999999999</v>
      </c>
      <c r="G2591" s="10">
        <f t="shared" ca="1" si="117"/>
        <v>0</v>
      </c>
      <c r="H2591" s="12">
        <f t="shared" ca="1" si="118"/>
        <v>1</v>
      </c>
      <c r="I2591" s="11">
        <f t="shared" ca="1" si="119"/>
        <v>-1</v>
      </c>
      <c r="J2591" s="11">
        <f t="shared" ca="1" si="120"/>
        <v>0</v>
      </c>
      <c r="K2591" s="10">
        <f t="shared" ca="1" si="130"/>
        <v>100.70968000000001</v>
      </c>
      <c r="L2591" s="11">
        <f t="shared" ca="1" si="131"/>
        <v>-40.516800000000003</v>
      </c>
      <c r="M2591" s="11">
        <f t="shared" ca="1" si="132"/>
        <v>2.48563</v>
      </c>
      <c r="N2591" s="15">
        <f t="shared" ca="1" si="133"/>
        <v>10</v>
      </c>
      <c r="O2591" s="15">
        <f t="shared" ca="1" si="134"/>
        <v>25</v>
      </c>
      <c r="P2591" s="16">
        <f t="shared" ca="1" si="135"/>
        <v>-5.8232000000000426</v>
      </c>
      <c r="Q2591" s="11" t="str">
        <f t="shared" ca="1" si="121"/>
        <v/>
      </c>
      <c r="R2591" s="11" t="str">
        <f t="shared" ca="1" si="122"/>
        <v/>
      </c>
      <c r="S2591" s="61" t="str">
        <f t="shared" ca="1" si="123"/>
        <v/>
      </c>
      <c r="T2591" s="11" t="str">
        <f t="shared" ca="1" si="124"/>
        <v/>
      </c>
      <c r="U2591" s="11" t="str">
        <f t="shared" ca="1" si="125"/>
        <v/>
      </c>
      <c r="V2591" s="18" t="str">
        <f t="shared" ca="1" si="126"/>
        <v/>
      </c>
      <c r="W2591" s="61" t="str">
        <f t="shared" ca="1" si="127"/>
        <v/>
      </c>
      <c r="X2591" s="61">
        <f t="shared" ca="1" si="128"/>
        <v>0</v>
      </c>
      <c r="Y2591" s="64" t="str">
        <f t="shared" ca="1" si="129"/>
        <v/>
      </c>
    </row>
    <row r="2592" spans="1:25">
      <c r="A2592" s="2">
        <f>+Get_Data!A2591</f>
        <v>43203</v>
      </c>
      <c r="B2592">
        <f>+ROUND(Get_Data!B2591,5)</f>
        <v>101.24714</v>
      </c>
      <c r="C2592">
        <f>+ROUND(Get_Data!C2591,5)</f>
        <v>40.995739999999998</v>
      </c>
      <c r="D2592" s="4">
        <f t="shared" si="114"/>
        <v>2.4697</v>
      </c>
      <c r="E2592" s="22">
        <f t="shared" ca="1" si="115"/>
        <v>2.58786</v>
      </c>
      <c r="F2592" s="23">
        <f t="shared" ca="1" si="116"/>
        <v>2.4697</v>
      </c>
      <c r="G2592" s="10">
        <f t="shared" ca="1" si="117"/>
        <v>0</v>
      </c>
      <c r="H2592" s="12">
        <f t="shared" ca="1" si="118"/>
        <v>1</v>
      </c>
      <c r="I2592" s="11">
        <f t="shared" ca="1" si="119"/>
        <v>-1</v>
      </c>
      <c r="J2592" s="11">
        <f t="shared" ca="1" si="120"/>
        <v>-1</v>
      </c>
      <c r="K2592" s="10" t="str">
        <f t="shared" ca="1" si="130"/>
        <v/>
      </c>
      <c r="L2592" s="11" t="str">
        <f t="shared" ca="1" si="131"/>
        <v/>
      </c>
      <c r="M2592" s="11" t="str">
        <f t="shared" ca="1" si="132"/>
        <v/>
      </c>
      <c r="N2592" s="15" t="str">
        <f t="shared" ca="1" si="133"/>
        <v/>
      </c>
      <c r="O2592" s="15" t="str">
        <f t="shared" ca="1" si="134"/>
        <v/>
      </c>
      <c r="P2592" s="16" t="str">
        <f t="shared" ca="1" si="135"/>
        <v/>
      </c>
      <c r="Q2592" s="11">
        <f t="shared" ca="1" si="121"/>
        <v>101.24714</v>
      </c>
      <c r="R2592" s="11">
        <f t="shared" ca="1" si="122"/>
        <v>40.995739999999998</v>
      </c>
      <c r="S2592" s="61">
        <f t="shared" ca="1" si="123"/>
        <v>2.4697</v>
      </c>
      <c r="T2592" s="11">
        <f t="shared" ca="1" si="124"/>
        <v>10</v>
      </c>
      <c r="U2592" s="11">
        <f t="shared" ca="1" si="125"/>
        <v>25</v>
      </c>
      <c r="V2592" s="18">
        <f t="shared" ca="1" si="126"/>
        <v>-5.3745999999999583</v>
      </c>
      <c r="W2592" s="61">
        <f t="shared" ca="1" si="127"/>
        <v>11.973499999999859</v>
      </c>
      <c r="X2592" s="61">
        <f t="shared" ca="1" si="128"/>
        <v>6.598899999999901</v>
      </c>
      <c r="Y2592" s="64">
        <f t="shared" ca="1" si="129"/>
        <v>6.4386202078556467E-3</v>
      </c>
    </row>
    <row r="2593" spans="1:25">
      <c r="A2593" s="2">
        <f>+Get_Data!A2592</f>
        <v>43206</v>
      </c>
      <c r="B2593">
        <f>+ROUND(Get_Data!B2592,5)</f>
        <v>101.85872999999999</v>
      </c>
      <c r="C2593">
        <f>+ROUND(Get_Data!C2592,5)</f>
        <v>41.152320000000003</v>
      </c>
      <c r="D2593" s="4">
        <f t="shared" si="114"/>
        <v>2.4751599999999998</v>
      </c>
      <c r="E2593" s="22">
        <f t="shared" ca="1" si="115"/>
        <v>2.58786</v>
      </c>
      <c r="F2593" s="23">
        <f t="shared" ca="1" si="116"/>
        <v>2.4697</v>
      </c>
      <c r="G2593" s="10">
        <f t="shared" ca="1" si="117"/>
        <v>0</v>
      </c>
      <c r="H2593" s="12">
        <f t="shared" ca="1" si="118"/>
        <v>0</v>
      </c>
      <c r="I2593" s="11">
        <f t="shared" ca="1" si="119"/>
        <v>0</v>
      </c>
      <c r="J2593" s="11">
        <f t="shared" ca="1" si="120"/>
        <v>-1</v>
      </c>
      <c r="K2593" s="10">
        <f t="shared" ca="1" si="130"/>
        <v>101.85872999999999</v>
      </c>
      <c r="L2593" s="11">
        <f t="shared" ca="1" si="131"/>
        <v>-41.152320000000003</v>
      </c>
      <c r="M2593" s="11">
        <f t="shared" ca="1" si="132"/>
        <v>2.4751599999999998</v>
      </c>
      <c r="N2593" s="15">
        <f t="shared" ca="1" si="133"/>
        <v>10</v>
      </c>
      <c r="O2593" s="15">
        <f t="shared" ca="1" si="134"/>
        <v>25</v>
      </c>
      <c r="P2593" s="16">
        <f t="shared" ca="1" si="135"/>
        <v>-10.220700000000079</v>
      </c>
      <c r="Q2593" s="11" t="str">
        <f t="shared" ca="1" si="121"/>
        <v/>
      </c>
      <c r="R2593" s="11" t="str">
        <f t="shared" ca="1" si="122"/>
        <v/>
      </c>
      <c r="S2593" s="61" t="str">
        <f t="shared" ca="1" si="123"/>
        <v/>
      </c>
      <c r="T2593" s="11" t="str">
        <f t="shared" ca="1" si="124"/>
        <v/>
      </c>
      <c r="U2593" s="11" t="str">
        <f t="shared" ca="1" si="125"/>
        <v/>
      </c>
      <c r="V2593" s="18" t="str">
        <f t="shared" ca="1" si="126"/>
        <v/>
      </c>
      <c r="W2593" s="61" t="str">
        <f t="shared" ca="1" si="127"/>
        <v/>
      </c>
      <c r="X2593" s="61">
        <f t="shared" ca="1" si="128"/>
        <v>0</v>
      </c>
      <c r="Y2593" s="64" t="str">
        <f t="shared" ca="1" si="129"/>
        <v/>
      </c>
    </row>
    <row r="2594" spans="1:25">
      <c r="A2594" s="2">
        <f>+Get_Data!A2593</f>
        <v>43207</v>
      </c>
      <c r="B2594">
        <f>+ROUND(Get_Data!B2593,5)</f>
        <v>100.88574</v>
      </c>
      <c r="C2594">
        <f>+ROUND(Get_Data!C2593,5)</f>
        <v>41.336530000000003</v>
      </c>
      <c r="D2594" s="4">
        <f t="shared" si="114"/>
        <v>2.4405999999999999</v>
      </c>
      <c r="E2594" s="22">
        <f t="shared" ca="1" si="115"/>
        <v>2.58786</v>
      </c>
      <c r="F2594" s="23">
        <f t="shared" ca="1" si="116"/>
        <v>2.4405999999999999</v>
      </c>
      <c r="G2594" s="10">
        <f t="shared" ca="1" si="117"/>
        <v>0</v>
      </c>
      <c r="H2594" s="12">
        <f t="shared" ca="1" si="118"/>
        <v>1</v>
      </c>
      <c r="I2594" s="11">
        <f t="shared" ca="1" si="119"/>
        <v>-1</v>
      </c>
      <c r="J2594" s="11">
        <f t="shared" ca="1" si="120"/>
        <v>-2</v>
      </c>
      <c r="K2594" s="10">
        <f t="shared" ca="1" si="130"/>
        <v>101.85872999999999</v>
      </c>
      <c r="L2594" s="11">
        <f t="shared" ca="1" si="131"/>
        <v>-41.152320000000003</v>
      </c>
      <c r="M2594" s="11">
        <f t="shared" ca="1" si="132"/>
        <v>2.4751599999999998</v>
      </c>
      <c r="N2594" s="15">
        <f t="shared" ca="1" si="133"/>
        <v>10</v>
      </c>
      <c r="O2594" s="15">
        <f t="shared" ca="1" si="134"/>
        <v>25</v>
      </c>
      <c r="P2594" s="16">
        <f t="shared" ca="1" si="135"/>
        <v>-10.220700000000079</v>
      </c>
      <c r="Q2594" s="11" t="str">
        <f t="shared" ca="1" si="121"/>
        <v/>
      </c>
      <c r="R2594" s="11" t="str">
        <f t="shared" ca="1" si="122"/>
        <v/>
      </c>
      <c r="S2594" s="61" t="str">
        <f t="shared" ca="1" si="123"/>
        <v/>
      </c>
      <c r="T2594" s="11" t="str">
        <f t="shared" ca="1" si="124"/>
        <v/>
      </c>
      <c r="U2594" s="11" t="str">
        <f t="shared" ca="1" si="125"/>
        <v/>
      </c>
      <c r="V2594" s="18" t="str">
        <f t="shared" ca="1" si="126"/>
        <v/>
      </c>
      <c r="W2594" s="61" t="str">
        <f t="shared" ca="1" si="127"/>
        <v/>
      </c>
      <c r="X2594" s="61">
        <f t="shared" ca="1" si="128"/>
        <v>0</v>
      </c>
      <c r="Y2594" s="64" t="str">
        <f t="shared" ca="1" si="129"/>
        <v/>
      </c>
    </row>
    <row r="2595" spans="1:25">
      <c r="A2595" s="2">
        <f>+Get_Data!A2594</f>
        <v>43208</v>
      </c>
      <c r="B2595">
        <f>+ROUND(Get_Data!B2594,5)</f>
        <v>99.134349999999998</v>
      </c>
      <c r="C2595">
        <f>+ROUND(Get_Data!C2594,5)</f>
        <v>40.995739999999998</v>
      </c>
      <c r="D2595" s="4">
        <f t="shared" si="114"/>
        <v>2.4181599999999999</v>
      </c>
      <c r="E2595" s="22">
        <f t="shared" ca="1" si="115"/>
        <v>2.58786</v>
      </c>
      <c r="F2595" s="23">
        <f t="shared" ca="1" si="116"/>
        <v>2.4181599999999999</v>
      </c>
      <c r="G2595" s="10">
        <f t="shared" ca="1" si="117"/>
        <v>0</v>
      </c>
      <c r="H2595" s="12">
        <f t="shared" ca="1" si="118"/>
        <v>1</v>
      </c>
      <c r="I2595" s="11">
        <f t="shared" ca="1" si="119"/>
        <v>-1</v>
      </c>
      <c r="J2595" s="11">
        <f t="shared" ca="1" si="120"/>
        <v>0</v>
      </c>
      <c r="K2595" s="10">
        <f t="shared" ca="1" si="130"/>
        <v>101.85872999999999</v>
      </c>
      <c r="L2595" s="11">
        <f t="shared" ca="1" si="131"/>
        <v>-41.152320000000003</v>
      </c>
      <c r="M2595" s="11">
        <f t="shared" ca="1" si="132"/>
        <v>2.4751599999999998</v>
      </c>
      <c r="N2595" s="15">
        <f t="shared" ca="1" si="133"/>
        <v>10</v>
      </c>
      <c r="O2595" s="15">
        <f t="shared" ca="1" si="134"/>
        <v>25</v>
      </c>
      <c r="P2595" s="16">
        <f t="shared" ca="1" si="135"/>
        <v>-10.220700000000079</v>
      </c>
      <c r="Q2595" s="11" t="str">
        <f t="shared" ca="1" si="121"/>
        <v/>
      </c>
      <c r="R2595" s="11" t="str">
        <f t="shared" ca="1" si="122"/>
        <v/>
      </c>
      <c r="S2595" s="61" t="str">
        <f t="shared" ca="1" si="123"/>
        <v/>
      </c>
      <c r="T2595" s="11" t="str">
        <f t="shared" ca="1" si="124"/>
        <v/>
      </c>
      <c r="U2595" s="11" t="str">
        <f t="shared" ca="1" si="125"/>
        <v/>
      </c>
      <c r="V2595" s="18" t="str">
        <f t="shared" ca="1" si="126"/>
        <v/>
      </c>
      <c r="W2595" s="61" t="str">
        <f t="shared" ca="1" si="127"/>
        <v/>
      </c>
      <c r="X2595" s="61">
        <f t="shared" ca="1" si="128"/>
        <v>0</v>
      </c>
      <c r="Y2595" s="64" t="str">
        <f t="shared" ca="1" si="129"/>
        <v/>
      </c>
    </row>
    <row r="2596" spans="1:25">
      <c r="A2596" s="2">
        <f>+Get_Data!A2595</f>
        <v>43209</v>
      </c>
      <c r="B2596">
        <f>+ROUND(Get_Data!B2595,5)</f>
        <v>97.827759999999998</v>
      </c>
      <c r="C2596">
        <f>+ROUND(Get_Data!C2595,5)</f>
        <v>40.811529999999998</v>
      </c>
      <c r="D2596" s="4">
        <f t="shared" si="114"/>
        <v>2.3970600000000002</v>
      </c>
      <c r="E2596" s="22">
        <f t="shared" ca="1" si="115"/>
        <v>2.58446</v>
      </c>
      <c r="F2596" s="23">
        <f t="shared" ca="1" si="116"/>
        <v>2.3970600000000002</v>
      </c>
      <c r="G2596" s="10">
        <f t="shared" ca="1" si="117"/>
        <v>0</v>
      </c>
      <c r="H2596" s="12">
        <f t="shared" ca="1" si="118"/>
        <v>1</v>
      </c>
      <c r="I2596" s="11">
        <f t="shared" ca="1" si="119"/>
        <v>-1</v>
      </c>
      <c r="J2596" s="11">
        <f t="shared" ca="1" si="120"/>
        <v>-1</v>
      </c>
      <c r="K2596" s="10" t="str">
        <f t="shared" ca="1" si="130"/>
        <v/>
      </c>
      <c r="L2596" s="11" t="str">
        <f t="shared" ca="1" si="131"/>
        <v/>
      </c>
      <c r="M2596" s="11" t="str">
        <f t="shared" ca="1" si="132"/>
        <v/>
      </c>
      <c r="N2596" s="15" t="str">
        <f t="shared" ca="1" si="133"/>
        <v/>
      </c>
      <c r="O2596" s="15" t="str">
        <f t="shared" ca="1" si="134"/>
        <v/>
      </c>
      <c r="P2596" s="16" t="str">
        <f t="shared" ca="1" si="135"/>
        <v/>
      </c>
      <c r="Q2596" s="11">
        <f t="shared" ca="1" si="121"/>
        <v>97.827759999999998</v>
      </c>
      <c r="R2596" s="11">
        <f t="shared" ca="1" si="122"/>
        <v>40.811529999999998</v>
      </c>
      <c r="S2596" s="61">
        <f t="shared" ca="1" si="123"/>
        <v>2.3970600000000002</v>
      </c>
      <c r="T2596" s="11">
        <f t="shared" ca="1" si="124"/>
        <v>10</v>
      </c>
      <c r="U2596" s="11">
        <f t="shared" ca="1" si="125"/>
        <v>25</v>
      </c>
      <c r="V2596" s="18">
        <f t="shared" ca="1" si="126"/>
        <v>40.309699999999964</v>
      </c>
      <c r="W2596" s="61">
        <f t="shared" ca="1" si="127"/>
        <v>-8.5197500000001369</v>
      </c>
      <c r="X2596" s="61">
        <f t="shared" ca="1" si="128"/>
        <v>31.789949999999827</v>
      </c>
      <c r="Y2596" s="64">
        <f t="shared" ca="1" si="129"/>
        <v>3.1157812510336984E-2</v>
      </c>
    </row>
    <row r="2597" spans="1:25">
      <c r="A2597" s="2">
        <f>+Get_Data!A2596</f>
        <v>43210</v>
      </c>
      <c r="B2597">
        <f>+ROUND(Get_Data!B2596,5)</f>
        <v>94.964380000000006</v>
      </c>
      <c r="C2597">
        <f>+ROUND(Get_Data!C2596,5)</f>
        <v>40.286540000000002</v>
      </c>
      <c r="D2597" s="4">
        <f t="shared" si="114"/>
        <v>2.3572199999999999</v>
      </c>
      <c r="E2597" s="22">
        <f t="shared" ca="1" si="115"/>
        <v>2.58446</v>
      </c>
      <c r="F2597" s="23">
        <f t="shared" ca="1" si="116"/>
        <v>2.3572199999999999</v>
      </c>
      <c r="G2597" s="10">
        <f t="shared" ca="1" si="117"/>
        <v>0</v>
      </c>
      <c r="H2597" s="12">
        <f t="shared" ca="1" si="118"/>
        <v>1</v>
      </c>
      <c r="I2597" s="11">
        <f t="shared" ca="1" si="119"/>
        <v>-1</v>
      </c>
      <c r="J2597" s="11">
        <f t="shared" ca="1" si="120"/>
        <v>-2</v>
      </c>
      <c r="K2597" s="10">
        <f t="shared" ca="1" si="130"/>
        <v>94.964380000000006</v>
      </c>
      <c r="L2597" s="11">
        <f t="shared" ca="1" si="131"/>
        <v>-40.286540000000002</v>
      </c>
      <c r="M2597" s="11">
        <f t="shared" ca="1" si="132"/>
        <v>2.3572199999999999</v>
      </c>
      <c r="N2597" s="15">
        <f t="shared" ca="1" si="133"/>
        <v>10</v>
      </c>
      <c r="O2597" s="15">
        <f t="shared" ca="1" si="134"/>
        <v>24</v>
      </c>
      <c r="P2597" s="16">
        <f t="shared" ca="1" si="135"/>
        <v>-17.233159999999998</v>
      </c>
      <c r="Q2597" s="11" t="str">
        <f t="shared" ca="1" si="121"/>
        <v/>
      </c>
      <c r="R2597" s="11" t="str">
        <f t="shared" ca="1" si="122"/>
        <v/>
      </c>
      <c r="S2597" s="61" t="str">
        <f t="shared" ca="1" si="123"/>
        <v/>
      </c>
      <c r="T2597" s="11" t="str">
        <f t="shared" ca="1" si="124"/>
        <v/>
      </c>
      <c r="U2597" s="11" t="str">
        <f t="shared" ca="1" si="125"/>
        <v/>
      </c>
      <c r="V2597" s="18" t="str">
        <f t="shared" ca="1" si="126"/>
        <v/>
      </c>
      <c r="W2597" s="61" t="str">
        <f t="shared" ca="1" si="127"/>
        <v/>
      </c>
      <c r="X2597" s="61">
        <f t="shared" ca="1" si="128"/>
        <v>0</v>
      </c>
      <c r="Y2597" s="64" t="str">
        <f t="shared" ca="1" si="129"/>
        <v/>
      </c>
    </row>
    <row r="2598" spans="1:25">
      <c r="A2598" s="2">
        <f>+Get_Data!A2597</f>
        <v>43213</v>
      </c>
      <c r="B2598">
        <f>+ROUND(Get_Data!B2597,5)</f>
        <v>95.057029999999997</v>
      </c>
      <c r="C2598">
        <f>+ROUND(Get_Data!C2597,5)</f>
        <v>40.50759</v>
      </c>
      <c r="D2598" s="4">
        <f t="shared" si="114"/>
        <v>2.3466499999999999</v>
      </c>
      <c r="E2598" s="22">
        <f t="shared" ca="1" si="115"/>
        <v>2.56664</v>
      </c>
      <c r="F2598" s="23">
        <f t="shared" ca="1" si="116"/>
        <v>2.3466499999999999</v>
      </c>
      <c r="G2598" s="10">
        <f t="shared" ca="1" si="117"/>
        <v>0</v>
      </c>
      <c r="H2598" s="12">
        <f t="shared" ca="1" si="118"/>
        <v>1</v>
      </c>
      <c r="I2598" s="11">
        <f t="shared" ca="1" si="119"/>
        <v>-1</v>
      </c>
      <c r="J2598" s="11">
        <f t="shared" ca="1" si="120"/>
        <v>0</v>
      </c>
      <c r="K2598" s="10">
        <f t="shared" ca="1" si="130"/>
        <v>94.964380000000006</v>
      </c>
      <c r="L2598" s="11">
        <f t="shared" ca="1" si="131"/>
        <v>-40.286540000000002</v>
      </c>
      <c r="M2598" s="11">
        <f t="shared" ca="1" si="132"/>
        <v>2.3572199999999999</v>
      </c>
      <c r="N2598" s="15">
        <f t="shared" ca="1" si="133"/>
        <v>10</v>
      </c>
      <c r="O2598" s="15">
        <f t="shared" ca="1" si="134"/>
        <v>24</v>
      </c>
      <c r="P2598" s="16">
        <f t="shared" ca="1" si="135"/>
        <v>-17.233159999999998</v>
      </c>
      <c r="Q2598" s="11" t="str">
        <f t="shared" ca="1" si="121"/>
        <v/>
      </c>
      <c r="R2598" s="11" t="str">
        <f t="shared" ca="1" si="122"/>
        <v/>
      </c>
      <c r="S2598" s="61" t="str">
        <f t="shared" ca="1" si="123"/>
        <v/>
      </c>
      <c r="T2598" s="11" t="str">
        <f t="shared" ca="1" si="124"/>
        <v/>
      </c>
      <c r="U2598" s="11" t="str">
        <f t="shared" ca="1" si="125"/>
        <v/>
      </c>
      <c r="V2598" s="18" t="str">
        <f t="shared" ca="1" si="126"/>
        <v/>
      </c>
      <c r="W2598" s="61" t="str">
        <f t="shared" ca="1" si="127"/>
        <v/>
      </c>
      <c r="X2598" s="61">
        <f t="shared" ca="1" si="128"/>
        <v>0</v>
      </c>
      <c r="Y2598" s="64" t="str">
        <f t="shared" ca="1" si="129"/>
        <v/>
      </c>
    </row>
    <row r="2599" spans="1:25">
      <c r="A2599" s="2">
        <f>+Get_Data!A2598</f>
        <v>43214</v>
      </c>
      <c r="B2599">
        <f>+ROUND(Get_Data!B2598,5)</f>
        <v>94.000649999999993</v>
      </c>
      <c r="C2599">
        <f>+ROUND(Get_Data!C2598,5)</f>
        <v>39.669429999999998</v>
      </c>
      <c r="D2599" s="4">
        <f t="shared" si="114"/>
        <v>2.3696000000000002</v>
      </c>
      <c r="E2599" s="22">
        <f t="shared" ca="1" si="115"/>
        <v>2.5618699999999999</v>
      </c>
      <c r="F2599" s="23">
        <f t="shared" ca="1" si="116"/>
        <v>2.3466499999999999</v>
      </c>
      <c r="G2599" s="10">
        <f t="shared" ca="1" si="117"/>
        <v>0</v>
      </c>
      <c r="H2599" s="12">
        <f t="shared" ca="1" si="118"/>
        <v>0</v>
      </c>
      <c r="I2599" s="11">
        <f t="shared" ca="1" si="119"/>
        <v>0</v>
      </c>
      <c r="J2599" s="11">
        <f t="shared" ca="1" si="120"/>
        <v>0</v>
      </c>
      <c r="K2599" s="10" t="str">
        <f t="shared" ca="1" si="130"/>
        <v/>
      </c>
      <c r="L2599" s="11" t="str">
        <f t="shared" ca="1" si="131"/>
        <v/>
      </c>
      <c r="M2599" s="11" t="str">
        <f t="shared" ca="1" si="132"/>
        <v/>
      </c>
      <c r="N2599" s="15" t="str">
        <f t="shared" ca="1" si="133"/>
        <v/>
      </c>
      <c r="O2599" s="15" t="str">
        <f t="shared" ca="1" si="134"/>
        <v/>
      </c>
      <c r="P2599" s="16" t="str">
        <f t="shared" ca="1" si="135"/>
        <v/>
      </c>
      <c r="Q2599" s="11">
        <f t="shared" ca="1" si="121"/>
        <v>94.000649999999993</v>
      </c>
      <c r="R2599" s="11">
        <f t="shared" ca="1" si="122"/>
        <v>39.669429999999998</v>
      </c>
      <c r="S2599" s="61">
        <f t="shared" ca="1" si="123"/>
        <v>2.3696000000000002</v>
      </c>
      <c r="T2599" s="11">
        <f t="shared" ca="1" si="124"/>
        <v>10</v>
      </c>
      <c r="U2599" s="11">
        <f t="shared" ca="1" si="125"/>
        <v>24</v>
      </c>
      <c r="V2599" s="18">
        <f t="shared" ca="1" si="126"/>
        <v>9.6373000000001241</v>
      </c>
      <c r="W2599" s="61">
        <f t="shared" ca="1" si="127"/>
        <v>-14.810640000000092</v>
      </c>
      <c r="X2599" s="61">
        <f t="shared" ca="1" si="128"/>
        <v>-5.1733399999999676</v>
      </c>
      <c r="Y2599" s="64">
        <f t="shared" ca="1" si="129"/>
        <v>-5.4338021326077032E-3</v>
      </c>
    </row>
    <row r="2600" spans="1:25">
      <c r="A2600" s="2">
        <f>+Get_Data!A2599</f>
        <v>43215</v>
      </c>
      <c r="B2600">
        <f>+ROUND(Get_Data!B2599,5)</f>
        <v>93.731899999999996</v>
      </c>
      <c r="C2600">
        <f>+ROUND(Get_Data!C2599,5)</f>
        <v>39.079970000000003</v>
      </c>
      <c r="D2600" s="4">
        <f t="shared" si="114"/>
        <v>2.39846</v>
      </c>
      <c r="E2600" s="22">
        <f t="shared" ca="1" si="115"/>
        <v>2.54426</v>
      </c>
      <c r="F2600" s="23">
        <f t="shared" ca="1" si="116"/>
        <v>2.3466499999999999</v>
      </c>
      <c r="G2600" s="10">
        <f t="shared" ca="1" si="117"/>
        <v>0</v>
      </c>
      <c r="H2600" s="12">
        <f t="shared" ca="1" si="118"/>
        <v>0</v>
      </c>
      <c r="I2600" s="11">
        <f t="shared" ca="1" si="119"/>
        <v>0</v>
      </c>
      <c r="J2600" s="11">
        <f t="shared" ca="1" si="120"/>
        <v>0</v>
      </c>
      <c r="K2600" s="10" t="str">
        <f t="shared" ca="1" si="130"/>
        <v/>
      </c>
      <c r="L2600" s="11" t="str">
        <f t="shared" ca="1" si="131"/>
        <v/>
      </c>
      <c r="M2600" s="11" t="str">
        <f t="shared" ca="1" si="132"/>
        <v/>
      </c>
      <c r="N2600" s="15" t="str">
        <f t="shared" ca="1" si="133"/>
        <v/>
      </c>
      <c r="O2600" s="15" t="str">
        <f t="shared" ca="1" si="134"/>
        <v/>
      </c>
      <c r="P2600" s="16" t="str">
        <f t="shared" ca="1" si="135"/>
        <v/>
      </c>
      <c r="Q2600" s="11" t="str">
        <f t="shared" ca="1" si="121"/>
        <v/>
      </c>
      <c r="R2600" s="11" t="str">
        <f t="shared" ca="1" si="122"/>
        <v/>
      </c>
      <c r="S2600" s="61" t="str">
        <f t="shared" ca="1" si="123"/>
        <v/>
      </c>
      <c r="T2600" s="11" t="str">
        <f t="shared" ca="1" si="124"/>
        <v/>
      </c>
      <c r="U2600" s="11" t="str">
        <f t="shared" ca="1" si="125"/>
        <v/>
      </c>
      <c r="V2600" s="18" t="str">
        <f t="shared" ca="1" si="126"/>
        <v/>
      </c>
      <c r="W2600" s="61" t="str">
        <f t="shared" ca="1" si="127"/>
        <v/>
      </c>
      <c r="X2600" s="61">
        <f t="shared" ca="1" si="128"/>
        <v>0</v>
      </c>
      <c r="Y2600" s="64" t="str">
        <f t="shared" ca="1" si="129"/>
        <v/>
      </c>
    </row>
    <row r="2601" spans="1:25">
      <c r="A2601" s="2">
        <f>+Get_Data!A2600</f>
        <v>43216</v>
      </c>
      <c r="B2601">
        <f>+ROUND(Get_Data!B2600,5)</f>
        <v>95.687169999999995</v>
      </c>
      <c r="C2601">
        <f>+ROUND(Get_Data!C2600,5)</f>
        <v>39.374690000000001</v>
      </c>
      <c r="D2601" s="4">
        <f t="shared" si="114"/>
        <v>2.4301699999999999</v>
      </c>
      <c r="E2601" s="22">
        <f t="shared" ca="1" si="115"/>
        <v>2.53972</v>
      </c>
      <c r="F2601" s="23">
        <f t="shared" ca="1" si="116"/>
        <v>2.3466499999999999</v>
      </c>
      <c r="G2601" s="10">
        <f t="shared" ca="1" si="117"/>
        <v>0</v>
      </c>
      <c r="H2601" s="12">
        <f t="shared" ca="1" si="118"/>
        <v>0</v>
      </c>
      <c r="I2601" s="11">
        <f t="shared" ca="1" si="119"/>
        <v>0</v>
      </c>
      <c r="J2601" s="11">
        <f t="shared" ca="1" si="120"/>
        <v>0</v>
      </c>
      <c r="K2601" s="10" t="str">
        <f t="shared" ca="1" si="130"/>
        <v/>
      </c>
      <c r="L2601" s="11" t="str">
        <f t="shared" ca="1" si="131"/>
        <v/>
      </c>
      <c r="M2601" s="11" t="str">
        <f t="shared" ca="1" si="132"/>
        <v/>
      </c>
      <c r="N2601" s="15" t="str">
        <f t="shared" ca="1" si="133"/>
        <v/>
      </c>
      <c r="O2601" s="15" t="str">
        <f t="shared" ca="1" si="134"/>
        <v/>
      </c>
      <c r="P2601" s="16" t="str">
        <f t="shared" ca="1" si="135"/>
        <v/>
      </c>
      <c r="Q2601" s="11" t="str">
        <f t="shared" ca="1" si="121"/>
        <v/>
      </c>
      <c r="R2601" s="11" t="str">
        <f t="shared" ca="1" si="122"/>
        <v/>
      </c>
      <c r="S2601" s="61" t="str">
        <f t="shared" ca="1" si="123"/>
        <v/>
      </c>
      <c r="T2601" s="11" t="str">
        <f t="shared" ca="1" si="124"/>
        <v/>
      </c>
      <c r="U2601" s="11" t="str">
        <f t="shared" ca="1" si="125"/>
        <v/>
      </c>
      <c r="V2601" s="18" t="str">
        <f t="shared" ca="1" si="126"/>
        <v/>
      </c>
      <c r="W2601" s="61" t="str">
        <f t="shared" ca="1" si="127"/>
        <v/>
      </c>
      <c r="X2601" s="61">
        <f t="shared" ca="1" si="128"/>
        <v>0</v>
      </c>
      <c r="Y2601" s="64" t="str">
        <f t="shared" ca="1" si="129"/>
        <v/>
      </c>
    </row>
    <row r="2602" spans="1:25">
      <c r="A2602" s="2">
        <f>+Get_Data!A2601</f>
        <v>43217</v>
      </c>
      <c r="B2602">
        <f>+ROUND(Get_Data!B2601,5)</f>
        <v>94.250839999999997</v>
      </c>
      <c r="C2602">
        <f>+ROUND(Get_Data!C2601,5)</f>
        <v>39.89049</v>
      </c>
      <c r="D2602" s="4">
        <f t="shared" si="114"/>
        <v>2.3627400000000001</v>
      </c>
      <c r="E2602" s="22">
        <f t="shared" ca="1" si="115"/>
        <v>2.5356800000000002</v>
      </c>
      <c r="F2602" s="23">
        <f t="shared" ca="1" si="116"/>
        <v>2.3466499999999999</v>
      </c>
      <c r="G2602" s="10">
        <f t="shared" ca="1" si="117"/>
        <v>0</v>
      </c>
      <c r="H2602" s="12">
        <f t="shared" ca="1" si="118"/>
        <v>0</v>
      </c>
      <c r="I2602" s="11">
        <f t="shared" ca="1" si="119"/>
        <v>0</v>
      </c>
      <c r="J2602" s="11">
        <f t="shared" ca="1" si="120"/>
        <v>0</v>
      </c>
      <c r="K2602" s="10" t="str">
        <f t="shared" ca="1" si="130"/>
        <v/>
      </c>
      <c r="L2602" s="11" t="str">
        <f t="shared" ca="1" si="131"/>
        <v/>
      </c>
      <c r="M2602" s="11" t="str">
        <f t="shared" ca="1" si="132"/>
        <v/>
      </c>
      <c r="N2602" s="15" t="str">
        <f t="shared" ca="1" si="133"/>
        <v/>
      </c>
      <c r="O2602" s="15" t="str">
        <f t="shared" ca="1" si="134"/>
        <v/>
      </c>
      <c r="P2602" s="16" t="str">
        <f t="shared" ca="1" si="135"/>
        <v/>
      </c>
      <c r="Q2602" s="11" t="str">
        <f t="shared" ca="1" si="121"/>
        <v/>
      </c>
      <c r="R2602" s="11" t="str">
        <f t="shared" ca="1" si="122"/>
        <v/>
      </c>
      <c r="S2602" s="61" t="str">
        <f t="shared" ca="1" si="123"/>
        <v/>
      </c>
      <c r="T2602" s="11" t="str">
        <f t="shared" ca="1" si="124"/>
        <v/>
      </c>
      <c r="U2602" s="11" t="str">
        <f t="shared" ca="1" si="125"/>
        <v/>
      </c>
      <c r="V2602" s="18" t="str">
        <f t="shared" ca="1" si="126"/>
        <v/>
      </c>
      <c r="W2602" s="61" t="str">
        <f t="shared" ca="1" si="127"/>
        <v/>
      </c>
      <c r="X2602" s="61">
        <f t="shared" ca="1" si="128"/>
        <v>0</v>
      </c>
      <c r="Y2602" s="64" t="str">
        <f t="shared" ca="1" si="129"/>
        <v/>
      </c>
    </row>
    <row r="2603" spans="1:25">
      <c r="A2603" s="2">
        <f>+Get_Data!A2602</f>
        <v>43220</v>
      </c>
      <c r="B2603">
        <f>+ROUND(Get_Data!B2602,5)</f>
        <v>93.537319999999994</v>
      </c>
      <c r="C2603">
        <f>+ROUND(Get_Data!C2602,5)</f>
        <v>39.798389999999998</v>
      </c>
      <c r="D2603" s="4">
        <f t="shared" si="114"/>
        <v>2.3502800000000001</v>
      </c>
      <c r="E2603" s="22">
        <f t="shared" ca="1" si="115"/>
        <v>2.5356800000000002</v>
      </c>
      <c r="F2603" s="23">
        <f t="shared" ca="1" si="116"/>
        <v>2.3466499999999999</v>
      </c>
      <c r="G2603" s="10">
        <f t="shared" ca="1" si="117"/>
        <v>0</v>
      </c>
      <c r="H2603" s="12">
        <f t="shared" ca="1" si="118"/>
        <v>0</v>
      </c>
      <c r="I2603" s="11">
        <f t="shared" ca="1" si="119"/>
        <v>0</v>
      </c>
      <c r="J2603" s="11">
        <f t="shared" ca="1" si="120"/>
        <v>0</v>
      </c>
      <c r="K2603" s="10" t="str">
        <f t="shared" ca="1" si="130"/>
        <v/>
      </c>
      <c r="L2603" s="11" t="str">
        <f t="shared" ca="1" si="131"/>
        <v/>
      </c>
      <c r="M2603" s="11" t="str">
        <f t="shared" ca="1" si="132"/>
        <v/>
      </c>
      <c r="N2603" s="15" t="str">
        <f t="shared" ca="1" si="133"/>
        <v/>
      </c>
      <c r="O2603" s="15" t="str">
        <f t="shared" ca="1" si="134"/>
        <v/>
      </c>
      <c r="P2603" s="16" t="str">
        <f t="shared" ca="1" si="135"/>
        <v/>
      </c>
      <c r="Q2603" s="11" t="str">
        <f t="shared" ca="1" si="121"/>
        <v/>
      </c>
      <c r="R2603" s="11" t="str">
        <f t="shared" ca="1" si="122"/>
        <v/>
      </c>
      <c r="S2603" s="61" t="str">
        <f t="shared" ca="1" si="123"/>
        <v/>
      </c>
      <c r="T2603" s="11" t="str">
        <f t="shared" ca="1" si="124"/>
        <v/>
      </c>
      <c r="U2603" s="11" t="str">
        <f t="shared" ca="1" si="125"/>
        <v/>
      </c>
      <c r="V2603" s="18" t="str">
        <f t="shared" ca="1" si="126"/>
        <v/>
      </c>
      <c r="W2603" s="61" t="str">
        <f t="shared" ca="1" si="127"/>
        <v/>
      </c>
      <c r="X2603" s="61">
        <f t="shared" ca="1" si="128"/>
        <v>0</v>
      </c>
      <c r="Y2603" s="64" t="str">
        <f t="shared" ca="1" si="129"/>
        <v/>
      </c>
    </row>
    <row r="2604" spans="1:25">
      <c r="A2604" s="2">
        <f>+Get_Data!A2603</f>
        <v>43221</v>
      </c>
      <c r="B2604">
        <f>+ROUND(Get_Data!B2603,5)</f>
        <v>91.860050000000001</v>
      </c>
      <c r="C2604">
        <f>+ROUND(Get_Data!C2603,5)</f>
        <v>39.227339999999998</v>
      </c>
      <c r="D2604" s="4">
        <f t="shared" si="114"/>
        <v>2.3417400000000002</v>
      </c>
      <c r="E2604" s="22">
        <f t="shared" ca="1" si="115"/>
        <v>2.5356800000000002</v>
      </c>
      <c r="F2604" s="23">
        <f t="shared" ca="1" si="116"/>
        <v>2.3417400000000002</v>
      </c>
      <c r="G2604" s="10">
        <f t="shared" ca="1" si="117"/>
        <v>0</v>
      </c>
      <c r="H2604" s="12">
        <f t="shared" ca="1" si="118"/>
        <v>1</v>
      </c>
      <c r="I2604" s="11">
        <f t="shared" ca="1" si="119"/>
        <v>-1</v>
      </c>
      <c r="J2604" s="11">
        <f t="shared" ca="1" si="120"/>
        <v>-1</v>
      </c>
      <c r="K2604" s="10" t="str">
        <f t="shared" ca="1" si="130"/>
        <v/>
      </c>
      <c r="L2604" s="11" t="str">
        <f t="shared" ca="1" si="131"/>
        <v/>
      </c>
      <c r="M2604" s="11" t="str">
        <f t="shared" ca="1" si="132"/>
        <v/>
      </c>
      <c r="N2604" s="15" t="str">
        <f t="shared" ca="1" si="133"/>
        <v/>
      </c>
      <c r="O2604" s="15" t="str">
        <f t="shared" ca="1" si="134"/>
        <v/>
      </c>
      <c r="P2604" s="16" t="str">
        <f t="shared" ca="1" si="135"/>
        <v/>
      </c>
      <c r="Q2604" s="11" t="str">
        <f t="shared" ca="1" si="121"/>
        <v/>
      </c>
      <c r="R2604" s="11" t="str">
        <f t="shared" ca="1" si="122"/>
        <v/>
      </c>
      <c r="S2604" s="61" t="str">
        <f t="shared" ca="1" si="123"/>
        <v/>
      </c>
      <c r="T2604" s="11" t="str">
        <f t="shared" ca="1" si="124"/>
        <v/>
      </c>
      <c r="U2604" s="11" t="str">
        <f t="shared" ca="1" si="125"/>
        <v/>
      </c>
      <c r="V2604" s="18" t="str">
        <f t="shared" ca="1" si="126"/>
        <v/>
      </c>
      <c r="W2604" s="61" t="str">
        <f t="shared" ca="1" si="127"/>
        <v/>
      </c>
      <c r="X2604" s="61">
        <f t="shared" ca="1" si="128"/>
        <v>0</v>
      </c>
      <c r="Y2604" s="64" t="str">
        <f t="shared" ca="1" si="129"/>
        <v/>
      </c>
    </row>
    <row r="2605" spans="1:25">
      <c r="A2605" s="2">
        <f>+Get_Data!A2604</f>
        <v>43222</v>
      </c>
      <c r="B2605">
        <f>+ROUND(Get_Data!B2604,5)</f>
        <v>90.099400000000003</v>
      </c>
      <c r="C2605">
        <f>+ROUND(Get_Data!C2604,5)</f>
        <v>38.739179999999998</v>
      </c>
      <c r="D2605" s="4">
        <f t="shared" si="114"/>
        <v>2.3258000000000001</v>
      </c>
      <c r="E2605" s="22">
        <f t="shared" ca="1" si="115"/>
        <v>2.5356800000000002</v>
      </c>
      <c r="F2605" s="23">
        <f t="shared" ca="1" si="116"/>
        <v>2.3258000000000001</v>
      </c>
      <c r="G2605" s="10">
        <f t="shared" ca="1" si="117"/>
        <v>0</v>
      </c>
      <c r="H2605" s="12">
        <f t="shared" ca="1" si="118"/>
        <v>1</v>
      </c>
      <c r="I2605" s="11">
        <f t="shared" ca="1" si="119"/>
        <v>-1</v>
      </c>
      <c r="J2605" s="11">
        <f t="shared" ca="1" si="120"/>
        <v>-2</v>
      </c>
      <c r="K2605" s="10">
        <f t="shared" ca="1" si="130"/>
        <v>90.099400000000003</v>
      </c>
      <c r="L2605" s="11">
        <f t="shared" ca="1" si="131"/>
        <v>-38.739179999999998</v>
      </c>
      <c r="M2605" s="11">
        <f t="shared" ca="1" si="132"/>
        <v>2.3258000000000001</v>
      </c>
      <c r="N2605" s="15">
        <f t="shared" ca="1" si="133"/>
        <v>10</v>
      </c>
      <c r="O2605" s="15">
        <f t="shared" ca="1" si="134"/>
        <v>23</v>
      </c>
      <c r="P2605" s="16">
        <f t="shared" ca="1" si="135"/>
        <v>9.9928600000000642</v>
      </c>
      <c r="Q2605" s="11" t="str">
        <f t="shared" ca="1" si="121"/>
        <v/>
      </c>
      <c r="R2605" s="11" t="str">
        <f t="shared" ca="1" si="122"/>
        <v/>
      </c>
      <c r="S2605" s="61" t="str">
        <f t="shared" ca="1" si="123"/>
        <v/>
      </c>
      <c r="T2605" s="11" t="str">
        <f t="shared" ca="1" si="124"/>
        <v/>
      </c>
      <c r="U2605" s="11" t="str">
        <f t="shared" ca="1" si="125"/>
        <v/>
      </c>
      <c r="V2605" s="18" t="str">
        <f t="shared" ca="1" si="126"/>
        <v/>
      </c>
      <c r="W2605" s="61" t="str">
        <f t="shared" ca="1" si="127"/>
        <v/>
      </c>
      <c r="X2605" s="61">
        <f t="shared" ca="1" si="128"/>
        <v>0</v>
      </c>
      <c r="Y2605" s="64" t="str">
        <f t="shared" ca="1" si="129"/>
        <v/>
      </c>
    </row>
    <row r="2606" spans="1:25">
      <c r="A2606" s="2">
        <f>+Get_Data!A2605</f>
        <v>43223</v>
      </c>
      <c r="B2606">
        <f>+ROUND(Get_Data!B2605,5)</f>
        <v>90.442260000000005</v>
      </c>
      <c r="C2606">
        <f>+ROUND(Get_Data!C2605,5)</f>
        <v>38.582599999999999</v>
      </c>
      <c r="D2606" s="4">
        <f t="shared" si="114"/>
        <v>2.3441200000000002</v>
      </c>
      <c r="E2606" s="22">
        <f t="shared" ca="1" si="115"/>
        <v>2.5285700000000002</v>
      </c>
      <c r="F2606" s="23">
        <f t="shared" ca="1" si="116"/>
        <v>2.3258000000000001</v>
      </c>
      <c r="G2606" s="10">
        <f t="shared" ca="1" si="117"/>
        <v>0</v>
      </c>
      <c r="H2606" s="12">
        <f t="shared" ca="1" si="118"/>
        <v>0</v>
      </c>
      <c r="I2606" s="11">
        <f t="shared" ca="1" si="119"/>
        <v>0</v>
      </c>
      <c r="J2606" s="11">
        <f t="shared" ca="1" si="120"/>
        <v>-2</v>
      </c>
      <c r="K2606" s="10">
        <f t="shared" ca="1" si="130"/>
        <v>90.099400000000003</v>
      </c>
      <c r="L2606" s="11">
        <f t="shared" ca="1" si="131"/>
        <v>-38.739179999999998</v>
      </c>
      <c r="M2606" s="11">
        <f t="shared" ca="1" si="132"/>
        <v>2.3258000000000001</v>
      </c>
      <c r="N2606" s="15">
        <f t="shared" ca="1" si="133"/>
        <v>10</v>
      </c>
      <c r="O2606" s="15">
        <f t="shared" ca="1" si="134"/>
        <v>23</v>
      </c>
      <c r="P2606" s="16">
        <f t="shared" ca="1" si="135"/>
        <v>9.9928600000000642</v>
      </c>
      <c r="Q2606" s="11" t="str">
        <f t="shared" ca="1" si="121"/>
        <v/>
      </c>
      <c r="R2606" s="11" t="str">
        <f t="shared" ca="1" si="122"/>
        <v/>
      </c>
      <c r="S2606" s="61" t="str">
        <f t="shared" ca="1" si="123"/>
        <v/>
      </c>
      <c r="T2606" s="11" t="str">
        <f t="shared" ca="1" si="124"/>
        <v/>
      </c>
      <c r="U2606" s="11" t="str">
        <f t="shared" ca="1" si="125"/>
        <v/>
      </c>
      <c r="V2606" s="18" t="str">
        <f t="shared" ca="1" si="126"/>
        <v/>
      </c>
      <c r="W2606" s="61" t="str">
        <f t="shared" ca="1" si="127"/>
        <v/>
      </c>
      <c r="X2606" s="61">
        <f t="shared" ca="1" si="128"/>
        <v>0</v>
      </c>
      <c r="Y2606" s="64" t="str">
        <f t="shared" ca="1" si="129"/>
        <v/>
      </c>
    </row>
    <row r="2607" spans="1:25">
      <c r="A2607" s="2">
        <f>+Get_Data!A2606</f>
        <v>43224</v>
      </c>
      <c r="B2607">
        <f>+ROUND(Get_Data!B2606,5)</f>
        <v>91.730320000000006</v>
      </c>
      <c r="C2607">
        <f>+ROUND(Get_Data!C2606,5)</f>
        <v>39.015500000000003</v>
      </c>
      <c r="D2607" s="4">
        <f t="shared" si="114"/>
        <v>2.3511299999999999</v>
      </c>
      <c r="E2607" s="22">
        <f t="shared" ca="1" si="115"/>
        <v>2.5240900000000002</v>
      </c>
      <c r="F2607" s="23">
        <f t="shared" ca="1" si="116"/>
        <v>2.3258000000000001</v>
      </c>
      <c r="G2607" s="10">
        <f t="shared" ca="1" si="117"/>
        <v>0</v>
      </c>
      <c r="H2607" s="12">
        <f t="shared" ca="1" si="118"/>
        <v>0</v>
      </c>
      <c r="I2607" s="11">
        <f t="shared" ca="1" si="119"/>
        <v>0</v>
      </c>
      <c r="J2607" s="11">
        <f t="shared" ca="1" si="120"/>
        <v>-2</v>
      </c>
      <c r="K2607" s="10">
        <f t="shared" ca="1" si="130"/>
        <v>90.099400000000003</v>
      </c>
      <c r="L2607" s="11">
        <f t="shared" ca="1" si="131"/>
        <v>-38.739179999999998</v>
      </c>
      <c r="M2607" s="11">
        <f t="shared" ca="1" si="132"/>
        <v>2.3258000000000001</v>
      </c>
      <c r="N2607" s="15">
        <f t="shared" ca="1" si="133"/>
        <v>10</v>
      </c>
      <c r="O2607" s="15">
        <f t="shared" ca="1" si="134"/>
        <v>23</v>
      </c>
      <c r="P2607" s="16">
        <f t="shared" ca="1" si="135"/>
        <v>9.9928600000000642</v>
      </c>
      <c r="Q2607" s="11" t="str">
        <f t="shared" ca="1" si="121"/>
        <v/>
      </c>
      <c r="R2607" s="11" t="str">
        <f t="shared" ca="1" si="122"/>
        <v/>
      </c>
      <c r="S2607" s="61" t="str">
        <f t="shared" ca="1" si="123"/>
        <v/>
      </c>
      <c r="T2607" s="11" t="str">
        <f t="shared" ca="1" si="124"/>
        <v/>
      </c>
      <c r="U2607" s="11" t="str">
        <f t="shared" ca="1" si="125"/>
        <v/>
      </c>
      <c r="V2607" s="18" t="str">
        <f t="shared" ca="1" si="126"/>
        <v/>
      </c>
      <c r="W2607" s="61" t="str">
        <f t="shared" ca="1" si="127"/>
        <v/>
      </c>
      <c r="X2607" s="61">
        <f t="shared" ca="1" si="128"/>
        <v>0</v>
      </c>
      <c r="Y2607" s="64" t="str">
        <f t="shared" ca="1" si="129"/>
        <v/>
      </c>
    </row>
    <row r="2608" spans="1:25">
      <c r="A2608" s="2">
        <f>+Get_Data!A2607</f>
        <v>43227</v>
      </c>
      <c r="B2608">
        <f>+ROUND(Get_Data!B2607,5)</f>
        <v>91.026070000000004</v>
      </c>
      <c r="C2608">
        <f>+ROUND(Get_Data!C2607,5)</f>
        <v>38.812860000000001</v>
      </c>
      <c r="D2608" s="4">
        <f t="shared" si="114"/>
        <v>2.3452600000000001</v>
      </c>
      <c r="E2608" s="22">
        <f t="shared" ca="1" si="115"/>
        <v>2.5107699999999999</v>
      </c>
      <c r="F2608" s="23">
        <f t="shared" ca="1" si="116"/>
        <v>2.3258000000000001</v>
      </c>
      <c r="G2608" s="10">
        <f t="shared" ca="1" si="117"/>
        <v>0</v>
      </c>
      <c r="H2608" s="12">
        <f t="shared" ca="1" si="118"/>
        <v>0</v>
      </c>
      <c r="I2608" s="11">
        <f t="shared" ca="1" si="119"/>
        <v>0</v>
      </c>
      <c r="J2608" s="11">
        <f t="shared" ca="1" si="120"/>
        <v>-2</v>
      </c>
      <c r="K2608" s="10">
        <f t="shared" ca="1" si="130"/>
        <v>90.099400000000003</v>
      </c>
      <c r="L2608" s="11">
        <f t="shared" ca="1" si="131"/>
        <v>-38.739179999999998</v>
      </c>
      <c r="M2608" s="11">
        <f t="shared" ca="1" si="132"/>
        <v>2.3258000000000001</v>
      </c>
      <c r="N2608" s="15">
        <f t="shared" ca="1" si="133"/>
        <v>10</v>
      </c>
      <c r="O2608" s="15">
        <f t="shared" ca="1" si="134"/>
        <v>23</v>
      </c>
      <c r="P2608" s="16">
        <f t="shared" ca="1" si="135"/>
        <v>9.9928600000000642</v>
      </c>
      <c r="Q2608" s="11" t="str">
        <f t="shared" ca="1" si="121"/>
        <v/>
      </c>
      <c r="R2608" s="11" t="str">
        <f t="shared" ca="1" si="122"/>
        <v/>
      </c>
      <c r="S2608" s="61" t="str">
        <f t="shared" ca="1" si="123"/>
        <v/>
      </c>
      <c r="T2608" s="11" t="str">
        <f t="shared" ca="1" si="124"/>
        <v/>
      </c>
      <c r="U2608" s="11" t="str">
        <f t="shared" ca="1" si="125"/>
        <v/>
      </c>
      <c r="V2608" s="18" t="str">
        <f t="shared" ca="1" si="126"/>
        <v/>
      </c>
      <c r="W2608" s="61" t="str">
        <f t="shared" ca="1" si="127"/>
        <v/>
      </c>
      <c r="X2608" s="61">
        <f t="shared" ca="1" si="128"/>
        <v>0</v>
      </c>
      <c r="Y2608" s="64" t="str">
        <f t="shared" ca="1" si="129"/>
        <v/>
      </c>
    </row>
    <row r="2609" spans="1:25">
      <c r="A2609" s="2">
        <f>+Get_Data!A2608</f>
        <v>43228</v>
      </c>
      <c r="B2609">
        <f>+ROUND(Get_Data!B2608,5)</f>
        <v>89.691659999999999</v>
      </c>
      <c r="C2609">
        <f>+ROUND(Get_Data!C2608,5)</f>
        <v>38.508920000000003</v>
      </c>
      <c r="D2609" s="4">
        <f t="shared" si="114"/>
        <v>2.32911</v>
      </c>
      <c r="E2609" s="22">
        <f t="shared" ca="1" si="115"/>
        <v>2.5107699999999999</v>
      </c>
      <c r="F2609" s="23">
        <f t="shared" ca="1" si="116"/>
        <v>2.3258000000000001</v>
      </c>
      <c r="G2609" s="10">
        <f t="shared" ca="1" si="117"/>
        <v>0</v>
      </c>
      <c r="H2609" s="12">
        <f t="shared" ca="1" si="118"/>
        <v>0</v>
      </c>
      <c r="I2609" s="11">
        <f t="shared" ca="1" si="119"/>
        <v>0</v>
      </c>
      <c r="J2609" s="11">
        <f t="shared" ca="1" si="120"/>
        <v>-2</v>
      </c>
      <c r="K2609" s="10">
        <f t="shared" ca="1" si="130"/>
        <v>90.099400000000003</v>
      </c>
      <c r="L2609" s="11">
        <f t="shared" ca="1" si="131"/>
        <v>-38.739179999999998</v>
      </c>
      <c r="M2609" s="11">
        <f t="shared" ca="1" si="132"/>
        <v>2.3258000000000001</v>
      </c>
      <c r="N2609" s="15">
        <f t="shared" ca="1" si="133"/>
        <v>10</v>
      </c>
      <c r="O2609" s="15">
        <f t="shared" ca="1" si="134"/>
        <v>23</v>
      </c>
      <c r="P2609" s="16">
        <f t="shared" ca="1" si="135"/>
        <v>9.9928600000000642</v>
      </c>
      <c r="Q2609" s="11" t="str">
        <f t="shared" ca="1" si="121"/>
        <v/>
      </c>
      <c r="R2609" s="11" t="str">
        <f t="shared" ca="1" si="122"/>
        <v/>
      </c>
      <c r="S2609" s="61" t="str">
        <f t="shared" ca="1" si="123"/>
        <v/>
      </c>
      <c r="T2609" s="11" t="str">
        <f t="shared" ca="1" si="124"/>
        <v/>
      </c>
      <c r="U2609" s="11" t="str">
        <f t="shared" ca="1" si="125"/>
        <v/>
      </c>
      <c r="V2609" s="18" t="str">
        <f t="shared" ca="1" si="126"/>
        <v/>
      </c>
      <c r="W2609" s="61" t="str">
        <f t="shared" ca="1" si="127"/>
        <v/>
      </c>
      <c r="X2609" s="61">
        <f t="shared" ca="1" si="128"/>
        <v>0</v>
      </c>
      <c r="Y2609" s="64" t="str">
        <f t="shared" ca="1" si="129"/>
        <v/>
      </c>
    </row>
    <row r="2610" spans="1:25">
      <c r="A2610" s="2">
        <f>+Get_Data!A2609</f>
        <v>43229</v>
      </c>
      <c r="B2610">
        <f>+ROUND(Get_Data!B2609,5)</f>
        <v>89.107870000000005</v>
      </c>
      <c r="C2610">
        <f>+ROUND(Get_Data!C2609,5)</f>
        <v>38.481290000000001</v>
      </c>
      <c r="D2610" s="4">
        <f t="shared" ref="D2610:D2673" si="136">IFERROR(ROUND(B2610/C2610,5),"")</f>
        <v>2.31562</v>
      </c>
      <c r="E2610" s="22">
        <f t="shared" ca="1" si="115"/>
        <v>2.5107699999999999</v>
      </c>
      <c r="F2610" s="23">
        <f t="shared" ca="1" si="116"/>
        <v>2.31562</v>
      </c>
      <c r="G2610" s="10">
        <f t="shared" ca="1" si="117"/>
        <v>0</v>
      </c>
      <c r="H2610" s="12">
        <f t="shared" ca="1" si="118"/>
        <v>1</v>
      </c>
      <c r="I2610" s="11">
        <f t="shared" ca="1" si="119"/>
        <v>-1</v>
      </c>
      <c r="J2610" s="11">
        <f t="shared" ca="1" si="120"/>
        <v>0</v>
      </c>
      <c r="K2610" s="10">
        <f t="shared" ca="1" si="130"/>
        <v>90.099400000000003</v>
      </c>
      <c r="L2610" s="11">
        <f t="shared" ca="1" si="131"/>
        <v>-38.739179999999998</v>
      </c>
      <c r="M2610" s="11">
        <f t="shared" ca="1" si="132"/>
        <v>2.3258000000000001</v>
      </c>
      <c r="N2610" s="15">
        <f t="shared" ca="1" si="133"/>
        <v>10</v>
      </c>
      <c r="O2610" s="15">
        <f t="shared" ca="1" si="134"/>
        <v>23</v>
      </c>
      <c r="P2610" s="16">
        <f t="shared" ca="1" si="135"/>
        <v>9.9928600000000642</v>
      </c>
      <c r="Q2610" s="11" t="str">
        <f t="shared" ca="1" si="121"/>
        <v/>
      </c>
      <c r="R2610" s="11" t="str">
        <f t="shared" ca="1" si="122"/>
        <v/>
      </c>
      <c r="S2610" s="61" t="str">
        <f t="shared" ca="1" si="123"/>
        <v/>
      </c>
      <c r="T2610" s="11" t="str">
        <f t="shared" ca="1" si="124"/>
        <v/>
      </c>
      <c r="U2610" s="11" t="str">
        <f t="shared" ca="1" si="125"/>
        <v/>
      </c>
      <c r="V2610" s="18" t="str">
        <f t="shared" ca="1" si="126"/>
        <v/>
      </c>
      <c r="W2610" s="61" t="str">
        <f t="shared" ca="1" si="127"/>
        <v/>
      </c>
      <c r="X2610" s="61">
        <f t="shared" ca="1" si="128"/>
        <v>0</v>
      </c>
      <c r="Y2610" s="64" t="str">
        <f t="shared" ca="1" si="129"/>
        <v/>
      </c>
    </row>
    <row r="2611" spans="1:25">
      <c r="A2611" s="2">
        <f>+Get_Data!A2610</f>
        <v>43230</v>
      </c>
      <c r="B2611">
        <f>+ROUND(Get_Data!B2610,5)</f>
        <v>90.136449999999996</v>
      </c>
      <c r="C2611">
        <f>+ROUND(Get_Data!C2610,5)</f>
        <v>38.849710000000002</v>
      </c>
      <c r="D2611" s="4">
        <f t="shared" si="136"/>
        <v>2.3201299999999998</v>
      </c>
      <c r="E2611" s="22">
        <f t="shared" ca="1" si="115"/>
        <v>2.5107699999999999</v>
      </c>
      <c r="F2611" s="23">
        <f t="shared" ca="1" si="116"/>
        <v>2.31562</v>
      </c>
      <c r="G2611" s="10">
        <f t="shared" ca="1" si="117"/>
        <v>0</v>
      </c>
      <c r="H2611" s="12">
        <f t="shared" ca="1" si="118"/>
        <v>0</v>
      </c>
      <c r="I2611" s="11">
        <f t="shared" ca="1" si="119"/>
        <v>0</v>
      </c>
      <c r="J2611" s="11">
        <f t="shared" ca="1" si="120"/>
        <v>0</v>
      </c>
      <c r="K2611" s="10" t="str">
        <f t="shared" ca="1" si="130"/>
        <v/>
      </c>
      <c r="L2611" s="11" t="str">
        <f t="shared" ca="1" si="131"/>
        <v/>
      </c>
      <c r="M2611" s="11" t="str">
        <f t="shared" ca="1" si="132"/>
        <v/>
      </c>
      <c r="N2611" s="15" t="str">
        <f t="shared" ca="1" si="133"/>
        <v/>
      </c>
      <c r="O2611" s="15" t="str">
        <f t="shared" ca="1" si="134"/>
        <v/>
      </c>
      <c r="P2611" s="16" t="str">
        <f t="shared" ca="1" si="135"/>
        <v/>
      </c>
      <c r="Q2611" s="11">
        <f t="shared" ca="1" si="121"/>
        <v>90.136449999999996</v>
      </c>
      <c r="R2611" s="11">
        <f t="shared" ca="1" si="122"/>
        <v>38.849710000000002</v>
      </c>
      <c r="S2611" s="61">
        <f t="shared" ca="1" si="123"/>
        <v>2.3201299999999998</v>
      </c>
      <c r="T2611" s="11">
        <f t="shared" ca="1" si="124"/>
        <v>10</v>
      </c>
      <c r="U2611" s="11">
        <f t="shared" ca="1" si="125"/>
        <v>23</v>
      </c>
      <c r="V2611" s="18">
        <f t="shared" ca="1" si="126"/>
        <v>-0.37049999999993588</v>
      </c>
      <c r="W2611" s="61">
        <f t="shared" ca="1" si="127"/>
        <v>2.5421900000000974</v>
      </c>
      <c r="X2611" s="61">
        <f t="shared" ca="1" si="128"/>
        <v>2.1716900000001615</v>
      </c>
      <c r="Y2611" s="64">
        <f t="shared" ca="1" si="129"/>
        <v>2.4304249464882259E-3</v>
      </c>
    </row>
    <row r="2612" spans="1:25">
      <c r="A2612" s="2">
        <f>+Get_Data!A2611</f>
        <v>43231</v>
      </c>
      <c r="B2612">
        <f>+ROUND(Get_Data!B2611,5)</f>
        <v>90.284719999999993</v>
      </c>
      <c r="C2612">
        <f>+ROUND(Get_Data!C2611,5)</f>
        <v>38.812860000000001</v>
      </c>
      <c r="D2612" s="4">
        <f t="shared" si="136"/>
        <v>2.3261500000000002</v>
      </c>
      <c r="E2612" s="22">
        <f t="shared" ca="1" si="115"/>
        <v>2.5107699999999999</v>
      </c>
      <c r="F2612" s="23">
        <f t="shared" ca="1" si="116"/>
        <v>2.31562</v>
      </c>
      <c r="G2612" s="10">
        <f t="shared" ca="1" si="117"/>
        <v>0</v>
      </c>
      <c r="H2612" s="12">
        <f t="shared" ca="1" si="118"/>
        <v>0</v>
      </c>
      <c r="I2612" s="11">
        <f t="shared" ca="1" si="119"/>
        <v>0</v>
      </c>
      <c r="J2612" s="11">
        <f t="shared" ca="1" si="120"/>
        <v>0</v>
      </c>
      <c r="K2612" s="10" t="str">
        <f t="shared" ca="1" si="130"/>
        <v/>
      </c>
      <c r="L2612" s="11" t="str">
        <f t="shared" ca="1" si="131"/>
        <v/>
      </c>
      <c r="M2612" s="11" t="str">
        <f t="shared" ca="1" si="132"/>
        <v/>
      </c>
      <c r="N2612" s="15" t="str">
        <f t="shared" ca="1" si="133"/>
        <v/>
      </c>
      <c r="O2612" s="15" t="str">
        <f t="shared" ca="1" si="134"/>
        <v/>
      </c>
      <c r="P2612" s="16" t="str">
        <f t="shared" ca="1" si="135"/>
        <v/>
      </c>
      <c r="Q2612" s="11" t="str">
        <f t="shared" ca="1" si="121"/>
        <v/>
      </c>
      <c r="R2612" s="11" t="str">
        <f t="shared" ca="1" si="122"/>
        <v/>
      </c>
      <c r="S2612" s="61" t="str">
        <f t="shared" ca="1" si="123"/>
        <v/>
      </c>
      <c r="T2612" s="11" t="str">
        <f t="shared" ca="1" si="124"/>
        <v/>
      </c>
      <c r="U2612" s="11" t="str">
        <f t="shared" ca="1" si="125"/>
        <v/>
      </c>
      <c r="V2612" s="18" t="str">
        <f t="shared" ca="1" si="126"/>
        <v/>
      </c>
      <c r="W2612" s="61" t="str">
        <f t="shared" ca="1" si="127"/>
        <v/>
      </c>
      <c r="X2612" s="61">
        <f t="shared" ca="1" si="128"/>
        <v>0</v>
      </c>
      <c r="Y2612" s="64" t="str">
        <f t="shared" ca="1" si="129"/>
        <v/>
      </c>
    </row>
    <row r="2613" spans="1:25">
      <c r="A2613" s="2">
        <f>+Get_Data!A2612</f>
        <v>43234</v>
      </c>
      <c r="B2613">
        <f>+ROUND(Get_Data!B2612,5)</f>
        <v>90.025260000000003</v>
      </c>
      <c r="C2613">
        <f>+ROUND(Get_Data!C2612,5)</f>
        <v>38.720770000000002</v>
      </c>
      <c r="D2613" s="4">
        <f t="shared" si="136"/>
        <v>2.3249900000000001</v>
      </c>
      <c r="E2613" s="22">
        <f t="shared" ca="1" si="115"/>
        <v>2.5020899999999999</v>
      </c>
      <c r="F2613" s="23">
        <f t="shared" ca="1" si="116"/>
        <v>2.31562</v>
      </c>
      <c r="G2613" s="10">
        <f t="shared" ca="1" si="117"/>
        <v>0</v>
      </c>
      <c r="H2613" s="12">
        <f t="shared" ca="1" si="118"/>
        <v>0</v>
      </c>
      <c r="I2613" s="11">
        <f t="shared" ca="1" si="119"/>
        <v>0</v>
      </c>
      <c r="J2613" s="11">
        <f t="shared" ca="1" si="120"/>
        <v>0</v>
      </c>
      <c r="K2613" s="10" t="str">
        <f t="shared" ca="1" si="130"/>
        <v/>
      </c>
      <c r="L2613" s="11" t="str">
        <f t="shared" ca="1" si="131"/>
        <v/>
      </c>
      <c r="M2613" s="11" t="str">
        <f t="shared" ca="1" si="132"/>
        <v/>
      </c>
      <c r="N2613" s="15" t="str">
        <f t="shared" ca="1" si="133"/>
        <v/>
      </c>
      <c r="O2613" s="15" t="str">
        <f t="shared" ca="1" si="134"/>
        <v/>
      </c>
      <c r="P2613" s="16" t="str">
        <f t="shared" ca="1" si="135"/>
        <v/>
      </c>
      <c r="Q2613" s="11" t="str">
        <f t="shared" ca="1" si="121"/>
        <v/>
      </c>
      <c r="R2613" s="11" t="str">
        <f t="shared" ca="1" si="122"/>
        <v/>
      </c>
      <c r="S2613" s="61" t="str">
        <f t="shared" ca="1" si="123"/>
        <v/>
      </c>
      <c r="T2613" s="11" t="str">
        <f t="shared" ca="1" si="124"/>
        <v/>
      </c>
      <c r="U2613" s="11" t="str">
        <f t="shared" ca="1" si="125"/>
        <v/>
      </c>
      <c r="V2613" s="18" t="str">
        <f t="shared" ca="1" si="126"/>
        <v/>
      </c>
      <c r="W2613" s="61" t="str">
        <f t="shared" ca="1" si="127"/>
        <v/>
      </c>
      <c r="X2613" s="61">
        <f t="shared" ca="1" si="128"/>
        <v>0</v>
      </c>
      <c r="Y2613" s="64" t="str">
        <f t="shared" ca="1" si="129"/>
        <v/>
      </c>
    </row>
    <row r="2614" spans="1:25">
      <c r="A2614" s="2">
        <f>+Get_Data!A2613</f>
        <v>43235</v>
      </c>
      <c r="B2614">
        <f>+ROUND(Get_Data!B2613,5)</f>
        <v>89.700919999999996</v>
      </c>
      <c r="C2614">
        <f>+ROUND(Get_Data!C2613,5)</f>
        <v>38.426029999999997</v>
      </c>
      <c r="D2614" s="4">
        <f t="shared" si="136"/>
        <v>2.3343799999999999</v>
      </c>
      <c r="E2614" s="22">
        <f t="shared" ca="1" si="115"/>
        <v>2.48563</v>
      </c>
      <c r="F2614" s="23">
        <f t="shared" ca="1" si="116"/>
        <v>2.31562</v>
      </c>
      <c r="G2614" s="10">
        <f t="shared" ca="1" si="117"/>
        <v>0</v>
      </c>
      <c r="H2614" s="12">
        <f t="shared" ca="1" si="118"/>
        <v>0</v>
      </c>
      <c r="I2614" s="11">
        <f t="shared" ca="1" si="119"/>
        <v>0</v>
      </c>
      <c r="J2614" s="11">
        <f t="shared" ca="1" si="120"/>
        <v>0</v>
      </c>
      <c r="K2614" s="10" t="str">
        <f t="shared" ca="1" si="130"/>
        <v/>
      </c>
      <c r="L2614" s="11" t="str">
        <f t="shared" ca="1" si="131"/>
        <v/>
      </c>
      <c r="M2614" s="11" t="str">
        <f t="shared" ca="1" si="132"/>
        <v/>
      </c>
      <c r="N2614" s="15" t="str">
        <f t="shared" ca="1" si="133"/>
        <v/>
      </c>
      <c r="O2614" s="15" t="str">
        <f t="shared" ca="1" si="134"/>
        <v/>
      </c>
      <c r="P2614" s="16" t="str">
        <f t="shared" ca="1" si="135"/>
        <v/>
      </c>
      <c r="Q2614" s="11" t="str">
        <f t="shared" ca="1" si="121"/>
        <v/>
      </c>
      <c r="R2614" s="11" t="str">
        <f t="shared" ca="1" si="122"/>
        <v/>
      </c>
      <c r="S2614" s="61" t="str">
        <f t="shared" ca="1" si="123"/>
        <v/>
      </c>
      <c r="T2614" s="11" t="str">
        <f t="shared" ca="1" si="124"/>
        <v/>
      </c>
      <c r="U2614" s="11" t="str">
        <f t="shared" ca="1" si="125"/>
        <v/>
      </c>
      <c r="V2614" s="18" t="str">
        <f t="shared" ca="1" si="126"/>
        <v/>
      </c>
      <c r="W2614" s="61" t="str">
        <f t="shared" ca="1" si="127"/>
        <v/>
      </c>
      <c r="X2614" s="61">
        <f t="shared" ca="1" si="128"/>
        <v>0</v>
      </c>
      <c r="Y2614" s="64" t="str">
        <f t="shared" ca="1" si="129"/>
        <v/>
      </c>
    </row>
    <row r="2615" spans="1:25">
      <c r="A2615" s="2">
        <f>+Get_Data!A2614</f>
        <v>43236</v>
      </c>
      <c r="B2615">
        <f>+ROUND(Get_Data!B2614,5)</f>
        <v>90.06232</v>
      </c>
      <c r="C2615">
        <f>+ROUND(Get_Data!C2614,5)</f>
        <v>38.269449999999999</v>
      </c>
      <c r="D2615" s="4">
        <f t="shared" si="136"/>
        <v>2.35337</v>
      </c>
      <c r="E2615" s="22">
        <f t="shared" ca="1" si="115"/>
        <v>2.4751599999999998</v>
      </c>
      <c r="F2615" s="23">
        <f t="shared" ca="1" si="116"/>
        <v>2.31562</v>
      </c>
      <c r="G2615" s="10">
        <f t="shared" ca="1" si="117"/>
        <v>0</v>
      </c>
      <c r="H2615" s="12">
        <f t="shared" ca="1" si="118"/>
        <v>0</v>
      </c>
      <c r="I2615" s="11">
        <f t="shared" ca="1" si="119"/>
        <v>0</v>
      </c>
      <c r="J2615" s="11">
        <f t="shared" ca="1" si="120"/>
        <v>0</v>
      </c>
      <c r="K2615" s="10" t="str">
        <f t="shared" ca="1" si="130"/>
        <v/>
      </c>
      <c r="L2615" s="11" t="str">
        <f t="shared" ca="1" si="131"/>
        <v/>
      </c>
      <c r="M2615" s="11" t="str">
        <f t="shared" ca="1" si="132"/>
        <v/>
      </c>
      <c r="N2615" s="15" t="str">
        <f t="shared" ca="1" si="133"/>
        <v/>
      </c>
      <c r="O2615" s="15" t="str">
        <f t="shared" ca="1" si="134"/>
        <v/>
      </c>
      <c r="P2615" s="16" t="str">
        <f t="shared" ca="1" si="135"/>
        <v/>
      </c>
      <c r="Q2615" s="11" t="str">
        <f t="shared" ca="1" si="121"/>
        <v/>
      </c>
      <c r="R2615" s="11" t="str">
        <f t="shared" ca="1" si="122"/>
        <v/>
      </c>
      <c r="S2615" s="61" t="str">
        <f t="shared" ca="1" si="123"/>
        <v/>
      </c>
      <c r="T2615" s="11" t="str">
        <f t="shared" ca="1" si="124"/>
        <v/>
      </c>
      <c r="U2615" s="11" t="str">
        <f t="shared" ca="1" si="125"/>
        <v/>
      </c>
      <c r="V2615" s="18" t="str">
        <f t="shared" ca="1" si="126"/>
        <v/>
      </c>
      <c r="W2615" s="61" t="str">
        <f t="shared" ca="1" si="127"/>
        <v/>
      </c>
      <c r="X2615" s="61">
        <f t="shared" ca="1" si="128"/>
        <v>0</v>
      </c>
      <c r="Y2615" s="64" t="str">
        <f t="shared" ca="1" si="129"/>
        <v/>
      </c>
    </row>
    <row r="2616" spans="1:25">
      <c r="A2616" s="2">
        <f>+Get_Data!A2615</f>
        <v>43237</v>
      </c>
      <c r="B2616">
        <f>+ROUND(Get_Data!B2615,5)</f>
        <v>90.738789999999995</v>
      </c>
      <c r="C2616">
        <f>+ROUND(Get_Data!C2615,5)</f>
        <v>38.960230000000003</v>
      </c>
      <c r="D2616" s="4">
        <f t="shared" si="136"/>
        <v>2.3290099999999998</v>
      </c>
      <c r="E2616" s="22">
        <f t="shared" ca="1" si="115"/>
        <v>2.4751599999999998</v>
      </c>
      <c r="F2616" s="23">
        <f t="shared" ca="1" si="116"/>
        <v>2.31562</v>
      </c>
      <c r="G2616" s="10">
        <f t="shared" ca="1" si="117"/>
        <v>0</v>
      </c>
      <c r="H2616" s="12">
        <f t="shared" ca="1" si="118"/>
        <v>0</v>
      </c>
      <c r="I2616" s="11">
        <f t="shared" ca="1" si="119"/>
        <v>0</v>
      </c>
      <c r="J2616" s="11">
        <f t="shared" ca="1" si="120"/>
        <v>0</v>
      </c>
      <c r="K2616" s="10" t="str">
        <f t="shared" ca="1" si="130"/>
        <v/>
      </c>
      <c r="L2616" s="11" t="str">
        <f t="shared" ca="1" si="131"/>
        <v/>
      </c>
      <c r="M2616" s="11" t="str">
        <f t="shared" ca="1" si="132"/>
        <v/>
      </c>
      <c r="N2616" s="15" t="str">
        <f t="shared" ca="1" si="133"/>
        <v/>
      </c>
      <c r="O2616" s="15" t="str">
        <f t="shared" ca="1" si="134"/>
        <v/>
      </c>
      <c r="P2616" s="16" t="str">
        <f t="shared" ca="1" si="135"/>
        <v/>
      </c>
      <c r="Q2616" s="11" t="str">
        <f t="shared" ca="1" si="121"/>
        <v/>
      </c>
      <c r="R2616" s="11" t="str">
        <f t="shared" ca="1" si="122"/>
        <v/>
      </c>
      <c r="S2616" s="61" t="str">
        <f t="shared" ca="1" si="123"/>
        <v/>
      </c>
      <c r="T2616" s="11" t="str">
        <f t="shared" ca="1" si="124"/>
        <v/>
      </c>
      <c r="U2616" s="11" t="str">
        <f t="shared" ca="1" si="125"/>
        <v/>
      </c>
      <c r="V2616" s="18" t="str">
        <f t="shared" ca="1" si="126"/>
        <v/>
      </c>
      <c r="W2616" s="61" t="str">
        <f t="shared" ca="1" si="127"/>
        <v/>
      </c>
      <c r="X2616" s="61">
        <f t="shared" ca="1" si="128"/>
        <v>0</v>
      </c>
      <c r="Y2616" s="64" t="str">
        <f t="shared" ca="1" si="129"/>
        <v/>
      </c>
    </row>
    <row r="2617" spans="1:25">
      <c r="A2617" s="2">
        <f>+Get_Data!A2616</f>
        <v>43238</v>
      </c>
      <c r="B2617">
        <f>+ROUND(Get_Data!B2616,5)</f>
        <v>90.358860000000007</v>
      </c>
      <c r="C2617">
        <f>+ROUND(Get_Data!C2616,5)</f>
        <v>38.849710000000002</v>
      </c>
      <c r="D2617" s="4">
        <f t="shared" si="136"/>
        <v>2.32586</v>
      </c>
      <c r="E2617" s="22">
        <f t="shared" ca="1" si="115"/>
        <v>2.4751599999999998</v>
      </c>
      <c r="F2617" s="23">
        <f t="shared" ca="1" si="116"/>
        <v>2.31562</v>
      </c>
      <c r="G2617" s="10">
        <f t="shared" ca="1" si="117"/>
        <v>0</v>
      </c>
      <c r="H2617" s="12">
        <f t="shared" ca="1" si="118"/>
        <v>0</v>
      </c>
      <c r="I2617" s="11">
        <f t="shared" ca="1" si="119"/>
        <v>0</v>
      </c>
      <c r="J2617" s="11">
        <f t="shared" ca="1" si="120"/>
        <v>0</v>
      </c>
      <c r="K2617" s="10" t="str">
        <f t="shared" ca="1" si="130"/>
        <v/>
      </c>
      <c r="L2617" s="11" t="str">
        <f t="shared" ca="1" si="131"/>
        <v/>
      </c>
      <c r="M2617" s="11" t="str">
        <f t="shared" ca="1" si="132"/>
        <v/>
      </c>
      <c r="N2617" s="15" t="str">
        <f t="shared" ca="1" si="133"/>
        <v/>
      </c>
      <c r="O2617" s="15" t="str">
        <f t="shared" ca="1" si="134"/>
        <v/>
      </c>
      <c r="P2617" s="16" t="str">
        <f t="shared" ca="1" si="135"/>
        <v/>
      </c>
      <c r="Q2617" s="11" t="str">
        <f t="shared" ca="1" si="121"/>
        <v/>
      </c>
      <c r="R2617" s="11" t="str">
        <f t="shared" ca="1" si="122"/>
        <v/>
      </c>
      <c r="S2617" s="61" t="str">
        <f t="shared" ca="1" si="123"/>
        <v/>
      </c>
      <c r="T2617" s="11" t="str">
        <f t="shared" ca="1" si="124"/>
        <v/>
      </c>
      <c r="U2617" s="11" t="str">
        <f t="shared" ca="1" si="125"/>
        <v/>
      </c>
      <c r="V2617" s="18" t="str">
        <f t="shared" ca="1" si="126"/>
        <v/>
      </c>
      <c r="W2617" s="61" t="str">
        <f t="shared" ca="1" si="127"/>
        <v/>
      </c>
      <c r="X2617" s="61">
        <f t="shared" ca="1" si="128"/>
        <v>0</v>
      </c>
      <c r="Y2617" s="64" t="str">
        <f t="shared" ca="1" si="129"/>
        <v/>
      </c>
    </row>
    <row r="2618" spans="1:25">
      <c r="A2618" s="2">
        <f>+Get_Data!A2617</f>
        <v>43241</v>
      </c>
      <c r="B2618">
        <f>+ROUND(Get_Data!B2617,5)</f>
        <v>92.212180000000004</v>
      </c>
      <c r="C2618">
        <f>+ROUND(Get_Data!C2617,5)</f>
        <v>39.061549999999997</v>
      </c>
      <c r="D2618" s="4">
        <f t="shared" si="136"/>
        <v>2.36069</v>
      </c>
      <c r="E2618" s="22">
        <f t="shared" ca="1" si="115"/>
        <v>2.4405999999999999</v>
      </c>
      <c r="F2618" s="23">
        <f t="shared" ca="1" si="116"/>
        <v>2.31562</v>
      </c>
      <c r="G2618" s="10">
        <f t="shared" ca="1" si="117"/>
        <v>0</v>
      </c>
      <c r="H2618" s="12">
        <f t="shared" ca="1" si="118"/>
        <v>0</v>
      </c>
      <c r="I2618" s="11">
        <f t="shared" ca="1" si="119"/>
        <v>0</v>
      </c>
      <c r="J2618" s="11">
        <f t="shared" ca="1" si="120"/>
        <v>0</v>
      </c>
      <c r="K2618" s="10" t="str">
        <f t="shared" ca="1" si="130"/>
        <v/>
      </c>
      <c r="L2618" s="11" t="str">
        <f t="shared" ca="1" si="131"/>
        <v/>
      </c>
      <c r="M2618" s="11" t="str">
        <f t="shared" ca="1" si="132"/>
        <v/>
      </c>
      <c r="N2618" s="15" t="str">
        <f t="shared" ca="1" si="133"/>
        <v/>
      </c>
      <c r="O2618" s="15" t="str">
        <f t="shared" ca="1" si="134"/>
        <v/>
      </c>
      <c r="P2618" s="16" t="str">
        <f t="shared" ca="1" si="135"/>
        <v/>
      </c>
      <c r="Q2618" s="11" t="str">
        <f t="shared" ca="1" si="121"/>
        <v/>
      </c>
      <c r="R2618" s="11" t="str">
        <f t="shared" ca="1" si="122"/>
        <v/>
      </c>
      <c r="S2618" s="61" t="str">
        <f t="shared" ca="1" si="123"/>
        <v/>
      </c>
      <c r="T2618" s="11" t="str">
        <f t="shared" ca="1" si="124"/>
        <v/>
      </c>
      <c r="U2618" s="11" t="str">
        <f t="shared" ca="1" si="125"/>
        <v/>
      </c>
      <c r="V2618" s="18" t="str">
        <f t="shared" ca="1" si="126"/>
        <v/>
      </c>
      <c r="W2618" s="61" t="str">
        <f t="shared" ca="1" si="127"/>
        <v/>
      </c>
      <c r="X2618" s="61">
        <f t="shared" ca="1" si="128"/>
        <v>0</v>
      </c>
      <c r="Y2618" s="64" t="str">
        <f t="shared" ca="1" si="129"/>
        <v/>
      </c>
    </row>
    <row r="2619" spans="1:25">
      <c r="A2619" s="2">
        <f>+Get_Data!A2618</f>
        <v>43242</v>
      </c>
      <c r="B2619">
        <f>+ROUND(Get_Data!B2618,5)</f>
        <v>92.601389999999995</v>
      </c>
      <c r="C2619">
        <f>+ROUND(Get_Data!C2618,5)</f>
        <v>38.914180000000002</v>
      </c>
      <c r="D2619" s="4">
        <f t="shared" si="136"/>
        <v>2.3796300000000001</v>
      </c>
      <c r="E2619" s="22">
        <f t="shared" ca="1" si="115"/>
        <v>2.4301699999999999</v>
      </c>
      <c r="F2619" s="23">
        <f t="shared" ca="1" si="116"/>
        <v>2.31562</v>
      </c>
      <c r="G2619" s="10">
        <f t="shared" ca="1" si="117"/>
        <v>0</v>
      </c>
      <c r="H2619" s="12">
        <f t="shared" ca="1" si="118"/>
        <v>0</v>
      </c>
      <c r="I2619" s="11">
        <f t="shared" ca="1" si="119"/>
        <v>0</v>
      </c>
      <c r="J2619" s="11">
        <f t="shared" ca="1" si="120"/>
        <v>0</v>
      </c>
      <c r="K2619" s="10" t="str">
        <f t="shared" ca="1" si="130"/>
        <v/>
      </c>
      <c r="L2619" s="11" t="str">
        <f t="shared" ca="1" si="131"/>
        <v/>
      </c>
      <c r="M2619" s="11" t="str">
        <f t="shared" ca="1" si="132"/>
        <v/>
      </c>
      <c r="N2619" s="15" t="str">
        <f t="shared" ca="1" si="133"/>
        <v/>
      </c>
      <c r="O2619" s="15" t="str">
        <f t="shared" ca="1" si="134"/>
        <v/>
      </c>
      <c r="P2619" s="16" t="str">
        <f t="shared" ca="1" si="135"/>
        <v/>
      </c>
      <c r="Q2619" s="11" t="str">
        <f t="shared" ca="1" si="121"/>
        <v/>
      </c>
      <c r="R2619" s="11" t="str">
        <f t="shared" ca="1" si="122"/>
        <v/>
      </c>
      <c r="S2619" s="61" t="str">
        <f t="shared" ca="1" si="123"/>
        <v/>
      </c>
      <c r="T2619" s="11" t="str">
        <f t="shared" ca="1" si="124"/>
        <v/>
      </c>
      <c r="U2619" s="11" t="str">
        <f t="shared" ca="1" si="125"/>
        <v/>
      </c>
      <c r="V2619" s="18" t="str">
        <f t="shared" ca="1" si="126"/>
        <v/>
      </c>
      <c r="W2619" s="61" t="str">
        <f t="shared" ca="1" si="127"/>
        <v/>
      </c>
      <c r="X2619" s="61">
        <f t="shared" ca="1" si="128"/>
        <v>0</v>
      </c>
      <c r="Y2619" s="64" t="str">
        <f t="shared" ca="1" si="129"/>
        <v/>
      </c>
    </row>
    <row r="2620" spans="1:25">
      <c r="A2620" s="2">
        <f>+Get_Data!A2619</f>
        <v>43243</v>
      </c>
      <c r="B2620">
        <f>+ROUND(Get_Data!B2619,5)</f>
        <v>93.083240000000004</v>
      </c>
      <c r="C2620">
        <f>+ROUND(Get_Data!C2619,5)</f>
        <v>39.052340000000001</v>
      </c>
      <c r="D2620" s="4">
        <f t="shared" si="136"/>
        <v>2.3835500000000001</v>
      </c>
      <c r="E2620" s="22">
        <f t="shared" ca="1" si="115"/>
        <v>2.4301699999999999</v>
      </c>
      <c r="F2620" s="23">
        <f t="shared" ca="1" si="116"/>
        <v>2.31562</v>
      </c>
      <c r="G2620" s="10">
        <f t="shared" ca="1" si="117"/>
        <v>0</v>
      </c>
      <c r="H2620" s="12">
        <f t="shared" ca="1" si="118"/>
        <v>0</v>
      </c>
      <c r="I2620" s="11">
        <f t="shared" ca="1" si="119"/>
        <v>0</v>
      </c>
      <c r="J2620" s="11">
        <f t="shared" ca="1" si="120"/>
        <v>0</v>
      </c>
      <c r="K2620" s="10" t="str">
        <f t="shared" ca="1" si="130"/>
        <v/>
      </c>
      <c r="L2620" s="11" t="str">
        <f t="shared" ca="1" si="131"/>
        <v/>
      </c>
      <c r="M2620" s="11" t="str">
        <f t="shared" ca="1" si="132"/>
        <v/>
      </c>
      <c r="N2620" s="15" t="str">
        <f t="shared" ca="1" si="133"/>
        <v/>
      </c>
      <c r="O2620" s="15" t="str">
        <f t="shared" ca="1" si="134"/>
        <v/>
      </c>
      <c r="P2620" s="16" t="str">
        <f t="shared" ca="1" si="135"/>
        <v/>
      </c>
      <c r="Q2620" s="11" t="str">
        <f t="shared" ca="1" si="121"/>
        <v/>
      </c>
      <c r="R2620" s="11" t="str">
        <f t="shared" ca="1" si="122"/>
        <v/>
      </c>
      <c r="S2620" s="61" t="str">
        <f t="shared" ca="1" si="123"/>
        <v/>
      </c>
      <c r="T2620" s="11" t="str">
        <f t="shared" ca="1" si="124"/>
        <v/>
      </c>
      <c r="U2620" s="11" t="str">
        <f t="shared" ca="1" si="125"/>
        <v/>
      </c>
      <c r="V2620" s="18" t="str">
        <f t="shared" ca="1" si="126"/>
        <v/>
      </c>
      <c r="W2620" s="61" t="str">
        <f t="shared" ca="1" si="127"/>
        <v/>
      </c>
      <c r="X2620" s="61">
        <f t="shared" ca="1" si="128"/>
        <v>0</v>
      </c>
      <c r="Y2620" s="64" t="str">
        <f t="shared" ca="1" si="129"/>
        <v/>
      </c>
    </row>
    <row r="2621" spans="1:25">
      <c r="A2621" s="2">
        <f>+Get_Data!A2620</f>
        <v>43244</v>
      </c>
      <c r="B2621">
        <f>+ROUND(Get_Data!B2620,5)</f>
        <v>92.83305</v>
      </c>
      <c r="C2621">
        <f>+ROUND(Get_Data!C2620,5)</f>
        <v>38.978659999999998</v>
      </c>
      <c r="D2621" s="4">
        <f t="shared" si="136"/>
        <v>2.38164</v>
      </c>
      <c r="E2621" s="22">
        <f t="shared" ca="1" si="115"/>
        <v>2.4301699999999999</v>
      </c>
      <c r="F2621" s="23">
        <f t="shared" ca="1" si="116"/>
        <v>2.31562</v>
      </c>
      <c r="G2621" s="10">
        <f t="shared" ca="1" si="117"/>
        <v>0</v>
      </c>
      <c r="H2621" s="12">
        <f t="shared" ca="1" si="118"/>
        <v>0</v>
      </c>
      <c r="I2621" s="11">
        <f t="shared" ca="1" si="119"/>
        <v>0</v>
      </c>
      <c r="J2621" s="11">
        <f t="shared" ca="1" si="120"/>
        <v>0</v>
      </c>
      <c r="K2621" s="10" t="str">
        <f t="shared" ca="1" si="130"/>
        <v/>
      </c>
      <c r="L2621" s="11" t="str">
        <f t="shared" ca="1" si="131"/>
        <v/>
      </c>
      <c r="M2621" s="11" t="str">
        <f t="shared" ca="1" si="132"/>
        <v/>
      </c>
      <c r="N2621" s="15" t="str">
        <f t="shared" ca="1" si="133"/>
        <v/>
      </c>
      <c r="O2621" s="15" t="str">
        <f t="shared" ca="1" si="134"/>
        <v/>
      </c>
      <c r="P2621" s="16" t="str">
        <f t="shared" ca="1" si="135"/>
        <v/>
      </c>
      <c r="Q2621" s="11" t="str">
        <f t="shared" ca="1" si="121"/>
        <v/>
      </c>
      <c r="R2621" s="11" t="str">
        <f t="shared" ca="1" si="122"/>
        <v/>
      </c>
      <c r="S2621" s="61" t="str">
        <f t="shared" ca="1" si="123"/>
        <v/>
      </c>
      <c r="T2621" s="11" t="str">
        <f t="shared" ca="1" si="124"/>
        <v/>
      </c>
      <c r="U2621" s="11" t="str">
        <f t="shared" ca="1" si="125"/>
        <v/>
      </c>
      <c r="V2621" s="18" t="str">
        <f t="shared" ca="1" si="126"/>
        <v/>
      </c>
      <c r="W2621" s="61" t="str">
        <f t="shared" ca="1" si="127"/>
        <v/>
      </c>
      <c r="X2621" s="61">
        <f t="shared" ca="1" si="128"/>
        <v>0</v>
      </c>
      <c r="Y2621" s="64" t="str">
        <f t="shared" ca="1" si="129"/>
        <v/>
      </c>
    </row>
    <row r="2622" spans="1:25">
      <c r="A2622" s="2">
        <f>+Get_Data!A2621</f>
        <v>43245</v>
      </c>
      <c r="B2622">
        <f>+ROUND(Get_Data!B2621,5)</f>
        <v>92.953519999999997</v>
      </c>
      <c r="C2622">
        <f>+ROUND(Get_Data!C2621,5)</f>
        <v>39.052340000000001</v>
      </c>
      <c r="D2622" s="4">
        <f t="shared" si="136"/>
        <v>2.3802300000000001</v>
      </c>
      <c r="E2622" s="22">
        <f t="shared" ca="1" si="115"/>
        <v>2.4301699999999999</v>
      </c>
      <c r="F2622" s="23">
        <f t="shared" ca="1" si="116"/>
        <v>2.31562</v>
      </c>
      <c r="G2622" s="10">
        <f t="shared" ca="1" si="117"/>
        <v>0</v>
      </c>
      <c r="H2622" s="12">
        <f t="shared" ca="1" si="118"/>
        <v>0</v>
      </c>
      <c r="I2622" s="11">
        <f t="shared" ca="1" si="119"/>
        <v>0</v>
      </c>
      <c r="J2622" s="11">
        <f t="shared" ca="1" si="120"/>
        <v>0</v>
      </c>
      <c r="K2622" s="10" t="str">
        <f t="shared" ca="1" si="130"/>
        <v/>
      </c>
      <c r="L2622" s="11" t="str">
        <f t="shared" ca="1" si="131"/>
        <v/>
      </c>
      <c r="M2622" s="11" t="str">
        <f t="shared" ca="1" si="132"/>
        <v/>
      </c>
      <c r="N2622" s="15" t="str">
        <f t="shared" ca="1" si="133"/>
        <v/>
      </c>
      <c r="O2622" s="15" t="str">
        <f t="shared" ca="1" si="134"/>
        <v/>
      </c>
      <c r="P2622" s="16" t="str">
        <f t="shared" ca="1" si="135"/>
        <v/>
      </c>
      <c r="Q2622" s="11" t="str">
        <f t="shared" ca="1" si="121"/>
        <v/>
      </c>
      <c r="R2622" s="11" t="str">
        <f t="shared" ca="1" si="122"/>
        <v/>
      </c>
      <c r="S2622" s="61" t="str">
        <f t="shared" ca="1" si="123"/>
        <v/>
      </c>
      <c r="T2622" s="11" t="str">
        <f t="shared" ca="1" si="124"/>
        <v/>
      </c>
      <c r="U2622" s="11" t="str">
        <f t="shared" ca="1" si="125"/>
        <v/>
      </c>
      <c r="V2622" s="18" t="str">
        <f t="shared" ca="1" si="126"/>
        <v/>
      </c>
      <c r="W2622" s="61" t="str">
        <f t="shared" ca="1" si="127"/>
        <v/>
      </c>
      <c r="X2622" s="61">
        <f t="shared" ca="1" si="128"/>
        <v>0</v>
      </c>
      <c r="Y2622" s="64" t="str">
        <f t="shared" ca="1" si="129"/>
        <v/>
      </c>
    </row>
    <row r="2623" spans="1:25">
      <c r="A2623" s="2">
        <f>+Get_Data!A2622</f>
        <v>43249</v>
      </c>
      <c r="B2623">
        <f>+ROUND(Get_Data!B2622,5)</f>
        <v>93.685590000000005</v>
      </c>
      <c r="C2623">
        <f>+ROUND(Get_Data!C2622,5)</f>
        <v>39.310229999999997</v>
      </c>
      <c r="D2623" s="4">
        <f t="shared" si="136"/>
        <v>2.3832399999999998</v>
      </c>
      <c r="E2623" s="22">
        <f t="shared" ca="1" si="115"/>
        <v>2.4301699999999999</v>
      </c>
      <c r="F2623" s="23">
        <f t="shared" ca="1" si="116"/>
        <v>2.31562</v>
      </c>
      <c r="G2623" s="10">
        <f t="shared" ca="1" si="117"/>
        <v>0</v>
      </c>
      <c r="H2623" s="12">
        <f t="shared" ca="1" si="118"/>
        <v>0</v>
      </c>
      <c r="I2623" s="11">
        <f t="shared" ca="1" si="119"/>
        <v>0</v>
      </c>
      <c r="J2623" s="11">
        <f t="shared" ca="1" si="120"/>
        <v>0</v>
      </c>
      <c r="K2623" s="10" t="str">
        <f t="shared" ca="1" si="130"/>
        <v/>
      </c>
      <c r="L2623" s="11" t="str">
        <f t="shared" ca="1" si="131"/>
        <v/>
      </c>
      <c r="M2623" s="11" t="str">
        <f t="shared" ca="1" si="132"/>
        <v/>
      </c>
      <c r="N2623" s="15" t="str">
        <f t="shared" ca="1" si="133"/>
        <v/>
      </c>
      <c r="O2623" s="15" t="str">
        <f t="shared" ca="1" si="134"/>
        <v/>
      </c>
      <c r="P2623" s="16" t="str">
        <f t="shared" ca="1" si="135"/>
        <v/>
      </c>
      <c r="Q2623" s="11" t="str">
        <f t="shared" ca="1" si="121"/>
        <v/>
      </c>
      <c r="R2623" s="11" t="str">
        <f t="shared" ca="1" si="122"/>
        <v/>
      </c>
      <c r="S2623" s="61" t="str">
        <f t="shared" ca="1" si="123"/>
        <v/>
      </c>
      <c r="T2623" s="11" t="str">
        <f t="shared" ca="1" si="124"/>
        <v/>
      </c>
      <c r="U2623" s="11" t="str">
        <f t="shared" ca="1" si="125"/>
        <v/>
      </c>
      <c r="V2623" s="18" t="str">
        <f t="shared" ca="1" si="126"/>
        <v/>
      </c>
      <c r="W2623" s="61" t="str">
        <f t="shared" ca="1" si="127"/>
        <v/>
      </c>
      <c r="X2623" s="61">
        <f t="shared" ca="1" si="128"/>
        <v>0</v>
      </c>
      <c r="Y2623" s="64" t="str">
        <f t="shared" ca="1" si="129"/>
        <v/>
      </c>
    </row>
    <row r="2624" spans="1:25">
      <c r="A2624" s="2">
        <f>+Get_Data!A2623</f>
        <v>43250</v>
      </c>
      <c r="B2624">
        <f>+ROUND(Get_Data!B2623,5)</f>
        <v>94.362049999999996</v>
      </c>
      <c r="C2624">
        <f>+ROUND(Get_Data!C2623,5)</f>
        <v>39.724699999999999</v>
      </c>
      <c r="D2624" s="4">
        <f t="shared" si="136"/>
        <v>2.3754</v>
      </c>
      <c r="E2624" s="22">
        <f t="shared" ca="1" si="115"/>
        <v>2.4301699999999999</v>
      </c>
      <c r="F2624" s="23">
        <f t="shared" ca="1" si="116"/>
        <v>2.31562</v>
      </c>
      <c r="G2624" s="10">
        <f t="shared" ca="1" si="117"/>
        <v>0</v>
      </c>
      <c r="H2624" s="12">
        <f t="shared" ca="1" si="118"/>
        <v>0</v>
      </c>
      <c r="I2624" s="11">
        <f t="shared" ca="1" si="119"/>
        <v>0</v>
      </c>
      <c r="J2624" s="11">
        <f t="shared" ca="1" si="120"/>
        <v>0</v>
      </c>
      <c r="K2624" s="10" t="str">
        <f t="shared" ca="1" si="130"/>
        <v/>
      </c>
      <c r="L2624" s="11" t="str">
        <f t="shared" ca="1" si="131"/>
        <v/>
      </c>
      <c r="M2624" s="11" t="str">
        <f t="shared" ca="1" si="132"/>
        <v/>
      </c>
      <c r="N2624" s="15" t="str">
        <f t="shared" ca="1" si="133"/>
        <v/>
      </c>
      <c r="O2624" s="15" t="str">
        <f t="shared" ca="1" si="134"/>
        <v/>
      </c>
      <c r="P2624" s="16" t="str">
        <f t="shared" ca="1" si="135"/>
        <v/>
      </c>
      <c r="Q2624" s="11" t="str">
        <f t="shared" ca="1" si="121"/>
        <v/>
      </c>
      <c r="R2624" s="11" t="str">
        <f t="shared" ca="1" si="122"/>
        <v/>
      </c>
      <c r="S2624" s="61" t="str">
        <f t="shared" ca="1" si="123"/>
        <v/>
      </c>
      <c r="T2624" s="11" t="str">
        <f t="shared" ca="1" si="124"/>
        <v/>
      </c>
      <c r="U2624" s="11" t="str">
        <f t="shared" ca="1" si="125"/>
        <v/>
      </c>
      <c r="V2624" s="18" t="str">
        <f t="shared" ca="1" si="126"/>
        <v/>
      </c>
      <c r="W2624" s="61" t="str">
        <f t="shared" ca="1" si="127"/>
        <v/>
      </c>
      <c r="X2624" s="61">
        <f t="shared" ca="1" si="128"/>
        <v>0</v>
      </c>
      <c r="Y2624" s="64" t="str">
        <f t="shared" ca="1" si="129"/>
        <v/>
      </c>
    </row>
    <row r="2625" spans="1:25">
      <c r="A2625" s="2">
        <f>+Get_Data!A2624</f>
        <v>43251</v>
      </c>
      <c r="B2625">
        <f>+ROUND(Get_Data!B2624,5)</f>
        <v>93.752300000000005</v>
      </c>
      <c r="C2625">
        <f>+ROUND(Get_Data!C2624,5)</f>
        <v>39.604970000000002</v>
      </c>
      <c r="D2625" s="4">
        <f t="shared" si="136"/>
        <v>2.3671899999999999</v>
      </c>
      <c r="E2625" s="22">
        <f t="shared" ca="1" si="115"/>
        <v>2.4301699999999999</v>
      </c>
      <c r="F2625" s="23">
        <f t="shared" ca="1" si="116"/>
        <v>2.31562</v>
      </c>
      <c r="G2625" s="10">
        <f t="shared" ca="1" si="117"/>
        <v>0</v>
      </c>
      <c r="H2625" s="12">
        <f t="shared" ca="1" si="118"/>
        <v>0</v>
      </c>
      <c r="I2625" s="11">
        <f t="shared" ca="1" si="119"/>
        <v>0</v>
      </c>
      <c r="J2625" s="11">
        <f t="shared" ca="1" si="120"/>
        <v>0</v>
      </c>
      <c r="K2625" s="10" t="str">
        <f t="shared" ca="1" si="130"/>
        <v/>
      </c>
      <c r="L2625" s="11" t="str">
        <f t="shared" ca="1" si="131"/>
        <v/>
      </c>
      <c r="M2625" s="11" t="str">
        <f t="shared" ca="1" si="132"/>
        <v/>
      </c>
      <c r="N2625" s="15" t="str">
        <f t="shared" ca="1" si="133"/>
        <v/>
      </c>
      <c r="O2625" s="15" t="str">
        <f t="shared" ca="1" si="134"/>
        <v/>
      </c>
      <c r="P2625" s="16" t="str">
        <f t="shared" ca="1" si="135"/>
        <v/>
      </c>
      <c r="Q2625" s="11" t="str">
        <f t="shared" ca="1" si="121"/>
        <v/>
      </c>
      <c r="R2625" s="11" t="str">
        <f t="shared" ca="1" si="122"/>
        <v/>
      </c>
      <c r="S2625" s="61" t="str">
        <f t="shared" ca="1" si="123"/>
        <v/>
      </c>
      <c r="T2625" s="11" t="str">
        <f t="shared" ca="1" si="124"/>
        <v/>
      </c>
      <c r="U2625" s="11" t="str">
        <f t="shared" ca="1" si="125"/>
        <v/>
      </c>
      <c r="V2625" s="18" t="str">
        <f t="shared" ca="1" si="126"/>
        <v/>
      </c>
      <c r="W2625" s="61" t="str">
        <f t="shared" ca="1" si="127"/>
        <v/>
      </c>
      <c r="X2625" s="61">
        <f t="shared" ca="1" si="128"/>
        <v>0</v>
      </c>
      <c r="Y2625" s="64" t="str">
        <f t="shared" ca="1" si="129"/>
        <v/>
      </c>
    </row>
    <row r="2626" spans="1:25">
      <c r="A2626" s="2">
        <f>+Get_Data!A2625</f>
        <v>43252</v>
      </c>
      <c r="B2626">
        <f>+ROUND(Get_Data!B2625,5)</f>
        <v>93.752300000000005</v>
      </c>
      <c r="C2626">
        <f>+ROUND(Get_Data!C2625,5)</f>
        <v>39.715479999999999</v>
      </c>
      <c r="D2626" s="4">
        <f t="shared" si="136"/>
        <v>2.3605999999999998</v>
      </c>
      <c r="E2626" s="22">
        <f t="shared" ca="1" si="115"/>
        <v>2.3835500000000001</v>
      </c>
      <c r="F2626" s="23">
        <f t="shared" ca="1" si="116"/>
        <v>2.31562</v>
      </c>
      <c r="G2626" s="10">
        <f t="shared" ca="1" si="117"/>
        <v>0</v>
      </c>
      <c r="H2626" s="12">
        <f t="shared" ca="1" si="118"/>
        <v>0</v>
      </c>
      <c r="I2626" s="11">
        <f t="shared" ca="1" si="119"/>
        <v>0</v>
      </c>
      <c r="J2626" s="11">
        <f t="shared" ca="1" si="120"/>
        <v>0</v>
      </c>
      <c r="K2626" s="10" t="str">
        <f t="shared" ca="1" si="130"/>
        <v/>
      </c>
      <c r="L2626" s="11" t="str">
        <f t="shared" ca="1" si="131"/>
        <v/>
      </c>
      <c r="M2626" s="11" t="str">
        <f t="shared" ca="1" si="132"/>
        <v/>
      </c>
      <c r="N2626" s="15" t="str">
        <f t="shared" ca="1" si="133"/>
        <v/>
      </c>
      <c r="O2626" s="15" t="str">
        <f t="shared" ca="1" si="134"/>
        <v/>
      </c>
      <c r="P2626" s="16" t="str">
        <f t="shared" ca="1" si="135"/>
        <v/>
      </c>
      <c r="Q2626" s="11" t="str">
        <f t="shared" ca="1" si="121"/>
        <v/>
      </c>
      <c r="R2626" s="11" t="str">
        <f t="shared" ca="1" si="122"/>
        <v/>
      </c>
      <c r="S2626" s="61" t="str">
        <f t="shared" ca="1" si="123"/>
        <v/>
      </c>
      <c r="T2626" s="11" t="str">
        <f t="shared" ca="1" si="124"/>
        <v/>
      </c>
      <c r="U2626" s="11" t="str">
        <f t="shared" ca="1" si="125"/>
        <v/>
      </c>
      <c r="V2626" s="18" t="str">
        <f t="shared" ca="1" si="126"/>
        <v/>
      </c>
      <c r="W2626" s="61" t="str">
        <f t="shared" ca="1" si="127"/>
        <v/>
      </c>
      <c r="X2626" s="61">
        <f t="shared" ca="1" si="128"/>
        <v>0</v>
      </c>
      <c r="Y2626" s="64" t="str">
        <f t="shared" ca="1" si="129"/>
        <v/>
      </c>
    </row>
    <row r="2627" spans="1:25">
      <c r="A2627" s="2">
        <f>+Get_Data!A2626</f>
        <v>43255</v>
      </c>
      <c r="B2627">
        <f>+ROUND(Get_Data!B2626,5)</f>
        <v>93.63073</v>
      </c>
      <c r="C2627">
        <f>+ROUND(Get_Data!C2626,5)</f>
        <v>40.056280000000001</v>
      </c>
      <c r="D2627" s="4">
        <f t="shared" si="136"/>
        <v>2.3374799999999998</v>
      </c>
      <c r="E2627" s="22">
        <f t="shared" ca="1" si="115"/>
        <v>2.3835500000000001</v>
      </c>
      <c r="F2627" s="23">
        <f t="shared" ca="1" si="116"/>
        <v>2.31562</v>
      </c>
      <c r="G2627" s="10">
        <f t="shared" ca="1" si="117"/>
        <v>0</v>
      </c>
      <c r="H2627" s="12">
        <f t="shared" ca="1" si="118"/>
        <v>0</v>
      </c>
      <c r="I2627" s="11">
        <f t="shared" ca="1" si="119"/>
        <v>0</v>
      </c>
      <c r="J2627" s="11">
        <f t="shared" ca="1" si="120"/>
        <v>0</v>
      </c>
      <c r="K2627" s="10" t="str">
        <f t="shared" ca="1" si="130"/>
        <v/>
      </c>
      <c r="L2627" s="11" t="str">
        <f t="shared" ca="1" si="131"/>
        <v/>
      </c>
      <c r="M2627" s="11" t="str">
        <f t="shared" ca="1" si="132"/>
        <v/>
      </c>
      <c r="N2627" s="15" t="str">
        <f t="shared" ca="1" si="133"/>
        <v/>
      </c>
      <c r="O2627" s="15" t="str">
        <f t="shared" ca="1" si="134"/>
        <v/>
      </c>
      <c r="P2627" s="16" t="str">
        <f t="shared" ca="1" si="135"/>
        <v/>
      </c>
      <c r="Q2627" s="11" t="str">
        <f t="shared" ca="1" si="121"/>
        <v/>
      </c>
      <c r="R2627" s="11" t="str">
        <f t="shared" ca="1" si="122"/>
        <v/>
      </c>
      <c r="S2627" s="61" t="str">
        <f t="shared" ca="1" si="123"/>
        <v/>
      </c>
      <c r="T2627" s="11" t="str">
        <f t="shared" ca="1" si="124"/>
        <v/>
      </c>
      <c r="U2627" s="11" t="str">
        <f t="shared" ca="1" si="125"/>
        <v/>
      </c>
      <c r="V2627" s="18" t="str">
        <f t="shared" ca="1" si="126"/>
        <v/>
      </c>
      <c r="W2627" s="61" t="str">
        <f t="shared" ca="1" si="127"/>
        <v/>
      </c>
      <c r="X2627" s="61">
        <f t="shared" ca="1" si="128"/>
        <v>0</v>
      </c>
      <c r="Y2627" s="64" t="str">
        <f t="shared" ca="1" si="129"/>
        <v/>
      </c>
    </row>
    <row r="2628" spans="1:25">
      <c r="A2628" s="2">
        <f>+Get_Data!A2627</f>
        <v>43256</v>
      </c>
      <c r="B2628">
        <f>+ROUND(Get_Data!B2627,5)</f>
        <v>93.7149</v>
      </c>
      <c r="C2628">
        <f>+ROUND(Get_Data!C2627,5)</f>
        <v>39.70628</v>
      </c>
      <c r="D2628" s="4">
        <f t="shared" si="136"/>
        <v>2.3601999999999999</v>
      </c>
      <c r="E2628" s="22">
        <f t="shared" ca="1" si="115"/>
        <v>2.3835500000000001</v>
      </c>
      <c r="F2628" s="23">
        <f t="shared" ca="1" si="116"/>
        <v>2.31562</v>
      </c>
      <c r="G2628" s="10">
        <f t="shared" ca="1" si="117"/>
        <v>0</v>
      </c>
      <c r="H2628" s="12">
        <f t="shared" ca="1" si="118"/>
        <v>0</v>
      </c>
      <c r="I2628" s="11">
        <f t="shared" ca="1" si="119"/>
        <v>0</v>
      </c>
      <c r="J2628" s="11">
        <f t="shared" ca="1" si="120"/>
        <v>0</v>
      </c>
      <c r="K2628" s="10" t="str">
        <f t="shared" ca="1" si="130"/>
        <v/>
      </c>
      <c r="L2628" s="11" t="str">
        <f t="shared" ca="1" si="131"/>
        <v/>
      </c>
      <c r="M2628" s="11" t="str">
        <f t="shared" ca="1" si="132"/>
        <v/>
      </c>
      <c r="N2628" s="15" t="str">
        <f t="shared" ca="1" si="133"/>
        <v/>
      </c>
      <c r="O2628" s="15" t="str">
        <f t="shared" ca="1" si="134"/>
        <v/>
      </c>
      <c r="P2628" s="16" t="str">
        <f t="shared" ca="1" si="135"/>
        <v/>
      </c>
      <c r="Q2628" s="11" t="str">
        <f t="shared" ca="1" si="121"/>
        <v/>
      </c>
      <c r="R2628" s="11" t="str">
        <f t="shared" ca="1" si="122"/>
        <v/>
      </c>
      <c r="S2628" s="61" t="str">
        <f t="shared" ca="1" si="123"/>
        <v/>
      </c>
      <c r="T2628" s="11" t="str">
        <f t="shared" ca="1" si="124"/>
        <v/>
      </c>
      <c r="U2628" s="11" t="str">
        <f t="shared" ca="1" si="125"/>
        <v/>
      </c>
      <c r="V2628" s="18" t="str">
        <f t="shared" ca="1" si="126"/>
        <v/>
      </c>
      <c r="W2628" s="61" t="str">
        <f t="shared" ca="1" si="127"/>
        <v/>
      </c>
      <c r="X2628" s="61">
        <f t="shared" ca="1" si="128"/>
        <v>0</v>
      </c>
      <c r="Y2628" s="64" t="str">
        <f t="shared" ca="1" si="129"/>
        <v/>
      </c>
    </row>
    <row r="2629" spans="1:25">
      <c r="A2629" s="2">
        <f>+Get_Data!A2628</f>
        <v>43257</v>
      </c>
      <c r="B2629">
        <f>+ROUND(Get_Data!B2628,5)</f>
        <v>94.294719999999998</v>
      </c>
      <c r="C2629">
        <f>+ROUND(Get_Data!C2628,5)</f>
        <v>40.028640000000003</v>
      </c>
      <c r="D2629" s="4">
        <f t="shared" si="136"/>
        <v>2.35568</v>
      </c>
      <c r="E2629" s="22">
        <f t="shared" ref="E2629:E2692" ca="1" si="137">+MAX(OFFSET(D2629,-$G$2+1,,$G$2))</f>
        <v>2.3835500000000001</v>
      </c>
      <c r="F2629" s="23">
        <f t="shared" ref="F2629:F2692" ca="1" si="138">+MIN(OFFSET(D2629,-$G$2+1,,$G$2))</f>
        <v>2.31562</v>
      </c>
      <c r="G2629" s="10">
        <f t="shared" ref="G2629:G2692" ca="1" si="139">+IF(E2629=D2629,1,0)</f>
        <v>0</v>
      </c>
      <c r="H2629" s="12">
        <f t="shared" ref="H2629:H2692" ca="1" si="140">+IF(F2629=D2629,1,0)</f>
        <v>0</v>
      </c>
      <c r="I2629" s="11">
        <f t="shared" ref="I2629:I2692" ca="1" si="141">+G2629-H2629</f>
        <v>0</v>
      </c>
      <c r="J2629" s="11">
        <f t="shared" ca="1" si="120"/>
        <v>0</v>
      </c>
      <c r="K2629" s="10" t="str">
        <f t="shared" ca="1" si="130"/>
        <v/>
      </c>
      <c r="L2629" s="11" t="str">
        <f t="shared" ca="1" si="131"/>
        <v/>
      </c>
      <c r="M2629" s="11" t="str">
        <f t="shared" ca="1" si="132"/>
        <v/>
      </c>
      <c r="N2629" s="15" t="str">
        <f t="shared" ca="1" si="133"/>
        <v/>
      </c>
      <c r="O2629" s="15" t="str">
        <f t="shared" ca="1" si="134"/>
        <v/>
      </c>
      <c r="P2629" s="16" t="str">
        <f t="shared" ca="1" si="135"/>
        <v/>
      </c>
      <c r="Q2629" s="11" t="str">
        <f t="shared" ca="1" si="121"/>
        <v/>
      </c>
      <c r="R2629" s="11" t="str">
        <f t="shared" ca="1" si="122"/>
        <v/>
      </c>
      <c r="S2629" s="61" t="str">
        <f t="shared" ca="1" si="123"/>
        <v/>
      </c>
      <c r="T2629" s="11" t="str">
        <f t="shared" ca="1" si="124"/>
        <v/>
      </c>
      <c r="U2629" s="11" t="str">
        <f t="shared" ca="1" si="125"/>
        <v/>
      </c>
      <c r="V2629" s="18" t="str">
        <f t="shared" ca="1" si="126"/>
        <v/>
      </c>
      <c r="W2629" s="61" t="str">
        <f t="shared" ca="1" si="127"/>
        <v/>
      </c>
      <c r="X2629" s="61">
        <f t="shared" ca="1" si="128"/>
        <v>0</v>
      </c>
      <c r="Y2629" s="64" t="str">
        <f t="shared" ca="1" si="129"/>
        <v/>
      </c>
    </row>
    <row r="2630" spans="1:25">
      <c r="A2630" s="2">
        <f>+Get_Data!A2629</f>
        <v>43258</v>
      </c>
      <c r="B2630">
        <f>+ROUND(Get_Data!B2629,5)</f>
        <v>94.603319999999997</v>
      </c>
      <c r="C2630">
        <f>+ROUND(Get_Data!C2629,5)</f>
        <v>40.01023</v>
      </c>
      <c r="D2630" s="4">
        <f t="shared" si="136"/>
        <v>2.3644799999999999</v>
      </c>
      <c r="E2630" s="22">
        <f t="shared" ca="1" si="137"/>
        <v>2.3835500000000001</v>
      </c>
      <c r="F2630" s="23">
        <f t="shared" ca="1" si="138"/>
        <v>2.31562</v>
      </c>
      <c r="G2630" s="10">
        <f t="shared" ca="1" si="139"/>
        <v>0</v>
      </c>
      <c r="H2630" s="12">
        <f t="shared" ca="1" si="140"/>
        <v>0</v>
      </c>
      <c r="I2630" s="11">
        <f t="shared" ca="1" si="141"/>
        <v>0</v>
      </c>
      <c r="J2630" s="11">
        <f t="shared" ref="J2630:J2693" ca="1" si="142">+IF(AND(ABS(J2629)=2,ABS(I2630)=1),0,J2629+I2630)</f>
        <v>0</v>
      </c>
      <c r="K2630" s="10" t="str">
        <f t="shared" ca="1" si="130"/>
        <v/>
      </c>
      <c r="L2630" s="11" t="str">
        <f t="shared" ca="1" si="131"/>
        <v/>
      </c>
      <c r="M2630" s="11" t="str">
        <f t="shared" ca="1" si="132"/>
        <v/>
      </c>
      <c r="N2630" s="15" t="str">
        <f t="shared" ca="1" si="133"/>
        <v/>
      </c>
      <c r="O2630" s="15" t="str">
        <f t="shared" ca="1" si="134"/>
        <v/>
      </c>
      <c r="P2630" s="16" t="str">
        <f t="shared" ca="1" si="135"/>
        <v/>
      </c>
      <c r="Q2630" s="11" t="str">
        <f t="shared" ca="1" si="121"/>
        <v/>
      </c>
      <c r="R2630" s="11" t="str">
        <f t="shared" ca="1" si="122"/>
        <v/>
      </c>
      <c r="S2630" s="61" t="str">
        <f t="shared" ca="1" si="123"/>
        <v/>
      </c>
      <c r="T2630" s="11" t="str">
        <f t="shared" ca="1" si="124"/>
        <v/>
      </c>
      <c r="U2630" s="11" t="str">
        <f t="shared" ca="1" si="125"/>
        <v/>
      </c>
      <c r="V2630" s="18" t="str">
        <f t="shared" ca="1" si="126"/>
        <v/>
      </c>
      <c r="W2630" s="61" t="str">
        <f t="shared" ca="1" si="127"/>
        <v/>
      </c>
      <c r="X2630" s="61">
        <f t="shared" ca="1" si="128"/>
        <v>0</v>
      </c>
      <c r="Y2630" s="64" t="str">
        <f t="shared" ca="1" si="129"/>
        <v/>
      </c>
    </row>
    <row r="2631" spans="1:25">
      <c r="A2631" s="2">
        <f>+Get_Data!A2630</f>
        <v>43259</v>
      </c>
      <c r="B2631">
        <f>+ROUND(Get_Data!B2630,5)</f>
        <v>95.847110000000001</v>
      </c>
      <c r="C2631">
        <f>+ROUND(Get_Data!C2630,5)</f>
        <v>40.479959999999998</v>
      </c>
      <c r="D2631" s="4">
        <f t="shared" si="136"/>
        <v>2.3677700000000002</v>
      </c>
      <c r="E2631" s="22">
        <f t="shared" ca="1" si="137"/>
        <v>2.3835500000000001</v>
      </c>
      <c r="F2631" s="23">
        <f t="shared" ca="1" si="138"/>
        <v>2.31562</v>
      </c>
      <c r="G2631" s="10">
        <f t="shared" ca="1" si="139"/>
        <v>0</v>
      </c>
      <c r="H2631" s="12">
        <f t="shared" ca="1" si="140"/>
        <v>0</v>
      </c>
      <c r="I2631" s="11">
        <f t="shared" ca="1" si="141"/>
        <v>0</v>
      </c>
      <c r="J2631" s="11">
        <f t="shared" ca="1" si="142"/>
        <v>0</v>
      </c>
      <c r="K2631" s="10" t="str">
        <f t="shared" ca="1" si="130"/>
        <v/>
      </c>
      <c r="L2631" s="11" t="str">
        <f t="shared" ca="1" si="131"/>
        <v/>
      </c>
      <c r="M2631" s="11" t="str">
        <f t="shared" ca="1" si="132"/>
        <v/>
      </c>
      <c r="N2631" s="15" t="str">
        <f t="shared" ca="1" si="133"/>
        <v/>
      </c>
      <c r="O2631" s="15" t="str">
        <f t="shared" ca="1" si="134"/>
        <v/>
      </c>
      <c r="P2631" s="16" t="str">
        <f t="shared" ca="1" si="135"/>
        <v/>
      </c>
      <c r="Q2631" s="11" t="str">
        <f t="shared" ca="1" si="121"/>
        <v/>
      </c>
      <c r="R2631" s="11" t="str">
        <f t="shared" ca="1" si="122"/>
        <v/>
      </c>
      <c r="S2631" s="61" t="str">
        <f t="shared" ca="1" si="123"/>
        <v/>
      </c>
      <c r="T2631" s="11" t="str">
        <f t="shared" ca="1" si="124"/>
        <v/>
      </c>
      <c r="U2631" s="11" t="str">
        <f t="shared" ca="1" si="125"/>
        <v/>
      </c>
      <c r="V2631" s="18" t="str">
        <f t="shared" ca="1" si="126"/>
        <v/>
      </c>
      <c r="W2631" s="61" t="str">
        <f t="shared" ca="1" si="127"/>
        <v/>
      </c>
      <c r="X2631" s="61">
        <f t="shared" ca="1" si="128"/>
        <v>0</v>
      </c>
      <c r="Y2631" s="64" t="str">
        <f t="shared" ca="1" si="129"/>
        <v/>
      </c>
    </row>
    <row r="2632" spans="1:25">
      <c r="A2632" s="2">
        <f>+Get_Data!A2631</f>
        <v>43262</v>
      </c>
      <c r="B2632">
        <f>+ROUND(Get_Data!B2631,5)</f>
        <v>96.520449999999997</v>
      </c>
      <c r="C2632">
        <f>+ROUND(Get_Data!C2631,5)</f>
        <v>40.64575</v>
      </c>
      <c r="D2632" s="4">
        <f t="shared" si="136"/>
        <v>2.3746800000000001</v>
      </c>
      <c r="E2632" s="22">
        <f t="shared" ca="1" si="137"/>
        <v>2.3835500000000001</v>
      </c>
      <c r="F2632" s="23">
        <f t="shared" ca="1" si="138"/>
        <v>2.31562</v>
      </c>
      <c r="G2632" s="10">
        <f t="shared" ca="1" si="139"/>
        <v>0</v>
      </c>
      <c r="H2632" s="12">
        <f t="shared" ca="1" si="140"/>
        <v>0</v>
      </c>
      <c r="I2632" s="11">
        <f t="shared" ca="1" si="141"/>
        <v>0</v>
      </c>
      <c r="J2632" s="11">
        <f t="shared" ca="1" si="142"/>
        <v>0</v>
      </c>
      <c r="K2632" s="10" t="str">
        <f t="shared" ca="1" si="130"/>
        <v/>
      </c>
      <c r="L2632" s="11" t="str">
        <f t="shared" ca="1" si="131"/>
        <v/>
      </c>
      <c r="M2632" s="11" t="str">
        <f t="shared" ca="1" si="132"/>
        <v/>
      </c>
      <c r="N2632" s="15" t="str">
        <f t="shared" ca="1" si="133"/>
        <v/>
      </c>
      <c r="O2632" s="15" t="str">
        <f t="shared" ca="1" si="134"/>
        <v/>
      </c>
      <c r="P2632" s="16" t="str">
        <f t="shared" ca="1" si="135"/>
        <v/>
      </c>
      <c r="Q2632" s="11" t="str">
        <f t="shared" ca="1" si="121"/>
        <v/>
      </c>
      <c r="R2632" s="11" t="str">
        <f t="shared" ca="1" si="122"/>
        <v/>
      </c>
      <c r="S2632" s="61" t="str">
        <f t="shared" ca="1" si="123"/>
        <v/>
      </c>
      <c r="T2632" s="11" t="str">
        <f t="shared" ca="1" si="124"/>
        <v/>
      </c>
      <c r="U2632" s="11" t="str">
        <f t="shared" ca="1" si="125"/>
        <v/>
      </c>
      <c r="V2632" s="18" t="str">
        <f t="shared" ca="1" si="126"/>
        <v/>
      </c>
      <c r="W2632" s="61" t="str">
        <f t="shared" ca="1" si="127"/>
        <v/>
      </c>
      <c r="X2632" s="61">
        <f t="shared" ca="1" si="128"/>
        <v>0</v>
      </c>
      <c r="Y2632" s="64" t="str">
        <f t="shared" ca="1" si="129"/>
        <v/>
      </c>
    </row>
    <row r="2633" spans="1:25">
      <c r="A2633" s="2">
        <f>+Get_Data!A2632</f>
        <v>43263</v>
      </c>
      <c r="B2633">
        <f>+ROUND(Get_Data!B2632,5)</f>
        <v>97.70814</v>
      </c>
      <c r="C2633">
        <f>+ROUND(Get_Data!C2632,5)</f>
        <v>40.903640000000003</v>
      </c>
      <c r="D2633" s="4">
        <f t="shared" si="136"/>
        <v>2.3887399999999999</v>
      </c>
      <c r="E2633" s="22">
        <f t="shared" ca="1" si="137"/>
        <v>2.3887399999999999</v>
      </c>
      <c r="F2633" s="23">
        <f t="shared" ca="1" si="138"/>
        <v>2.31562</v>
      </c>
      <c r="G2633" s="10">
        <f t="shared" ca="1" si="139"/>
        <v>1</v>
      </c>
      <c r="H2633" s="12">
        <f t="shared" ca="1" si="140"/>
        <v>0</v>
      </c>
      <c r="I2633" s="11">
        <f t="shared" ca="1" si="141"/>
        <v>1</v>
      </c>
      <c r="J2633" s="11">
        <f t="shared" ca="1" si="142"/>
        <v>1</v>
      </c>
      <c r="K2633" s="10" t="str">
        <f t="shared" ca="1" si="130"/>
        <v/>
      </c>
      <c r="L2633" s="11" t="str">
        <f t="shared" ca="1" si="131"/>
        <v/>
      </c>
      <c r="M2633" s="11" t="str">
        <f t="shared" ca="1" si="132"/>
        <v/>
      </c>
      <c r="N2633" s="15" t="str">
        <f t="shared" ca="1" si="133"/>
        <v/>
      </c>
      <c r="O2633" s="15" t="str">
        <f t="shared" ca="1" si="134"/>
        <v/>
      </c>
      <c r="P2633" s="16" t="str">
        <f t="shared" ca="1" si="135"/>
        <v/>
      </c>
      <c r="Q2633" s="11" t="str">
        <f t="shared" ca="1" si="121"/>
        <v/>
      </c>
      <c r="R2633" s="11" t="str">
        <f t="shared" ca="1" si="122"/>
        <v/>
      </c>
      <c r="S2633" s="61" t="str">
        <f t="shared" ca="1" si="123"/>
        <v/>
      </c>
      <c r="T2633" s="11" t="str">
        <f t="shared" ca="1" si="124"/>
        <v/>
      </c>
      <c r="U2633" s="11" t="str">
        <f t="shared" ca="1" si="125"/>
        <v/>
      </c>
      <c r="V2633" s="18" t="str">
        <f t="shared" ca="1" si="126"/>
        <v/>
      </c>
      <c r="W2633" s="61" t="str">
        <f t="shared" ca="1" si="127"/>
        <v/>
      </c>
      <c r="X2633" s="61">
        <f t="shared" ca="1" si="128"/>
        <v>0</v>
      </c>
      <c r="Y2633" s="64" t="str">
        <f t="shared" ca="1" si="129"/>
        <v/>
      </c>
    </row>
    <row r="2634" spans="1:25">
      <c r="A2634" s="2">
        <f>+Get_Data!A2633</f>
        <v>43264</v>
      </c>
      <c r="B2634">
        <f>+ROUND(Get_Data!B2633,5)</f>
        <v>98.446920000000006</v>
      </c>
      <c r="C2634">
        <f>+ROUND(Get_Data!C2633,5)</f>
        <v>40.691800000000001</v>
      </c>
      <c r="D2634" s="4">
        <f t="shared" si="136"/>
        <v>2.41933</v>
      </c>
      <c r="E2634" s="22">
        <f t="shared" ca="1" si="137"/>
        <v>2.41933</v>
      </c>
      <c r="F2634" s="23">
        <f t="shared" ca="1" si="138"/>
        <v>2.31562</v>
      </c>
      <c r="G2634" s="10">
        <f t="shared" ca="1" si="139"/>
        <v>1</v>
      </c>
      <c r="H2634" s="12">
        <f t="shared" ca="1" si="140"/>
        <v>0</v>
      </c>
      <c r="I2634" s="11">
        <f t="shared" ca="1" si="141"/>
        <v>1</v>
      </c>
      <c r="J2634" s="11">
        <f t="shared" ca="1" si="142"/>
        <v>2</v>
      </c>
      <c r="K2634" s="10">
        <f t="shared" ca="1" si="130"/>
        <v>-98.446920000000006</v>
      </c>
      <c r="L2634" s="11">
        <f t="shared" ca="1" si="131"/>
        <v>40.691800000000001</v>
      </c>
      <c r="M2634" s="11">
        <f t="shared" ca="1" si="132"/>
        <v>2.41933</v>
      </c>
      <c r="N2634" s="15">
        <f t="shared" ca="1" si="133"/>
        <v>10</v>
      </c>
      <c r="O2634" s="15">
        <f t="shared" ca="1" si="134"/>
        <v>24</v>
      </c>
      <c r="P2634" s="16">
        <f t="shared" ca="1" si="135"/>
        <v>-7.8659999999999854</v>
      </c>
      <c r="Q2634" s="11" t="str">
        <f t="shared" ca="1" si="121"/>
        <v/>
      </c>
      <c r="R2634" s="11" t="str">
        <f t="shared" ca="1" si="122"/>
        <v/>
      </c>
      <c r="S2634" s="61" t="str">
        <f t="shared" ca="1" si="123"/>
        <v/>
      </c>
      <c r="T2634" s="11" t="str">
        <f t="shared" ca="1" si="124"/>
        <v/>
      </c>
      <c r="U2634" s="11" t="str">
        <f t="shared" ca="1" si="125"/>
        <v/>
      </c>
      <c r="V2634" s="18" t="str">
        <f t="shared" ca="1" si="126"/>
        <v/>
      </c>
      <c r="W2634" s="61" t="str">
        <f t="shared" ca="1" si="127"/>
        <v/>
      </c>
      <c r="X2634" s="61">
        <f t="shared" ca="1" si="128"/>
        <v>0</v>
      </c>
      <c r="Y2634" s="64" t="str">
        <f t="shared" ca="1" si="129"/>
        <v/>
      </c>
    </row>
    <row r="2635" spans="1:25">
      <c r="A2635" s="2">
        <f>+Get_Data!A2634</f>
        <v>43265</v>
      </c>
      <c r="B2635">
        <f>+ROUND(Get_Data!B2634,5)</f>
        <v>98.315989999999999</v>
      </c>
      <c r="C2635">
        <f>+ROUND(Get_Data!C2634,5)</f>
        <v>40.496659999999999</v>
      </c>
      <c r="D2635" s="4">
        <f t="shared" si="136"/>
        <v>2.4277600000000001</v>
      </c>
      <c r="E2635" s="22">
        <f t="shared" ca="1" si="137"/>
        <v>2.4277600000000001</v>
      </c>
      <c r="F2635" s="23">
        <f t="shared" ca="1" si="138"/>
        <v>2.3201299999999998</v>
      </c>
      <c r="G2635" s="10">
        <f t="shared" ca="1" si="139"/>
        <v>1</v>
      </c>
      <c r="H2635" s="12">
        <f t="shared" ca="1" si="140"/>
        <v>0</v>
      </c>
      <c r="I2635" s="11">
        <f t="shared" ca="1" si="141"/>
        <v>1</v>
      </c>
      <c r="J2635" s="11">
        <f t="shared" ca="1" si="142"/>
        <v>0</v>
      </c>
      <c r="K2635" s="10">
        <f t="shared" ca="1" si="130"/>
        <v>-98.446920000000006</v>
      </c>
      <c r="L2635" s="11">
        <f t="shared" ca="1" si="131"/>
        <v>40.691800000000001</v>
      </c>
      <c r="M2635" s="11">
        <f t="shared" ca="1" si="132"/>
        <v>2.41933</v>
      </c>
      <c r="N2635" s="15">
        <f t="shared" ca="1" si="133"/>
        <v>10</v>
      </c>
      <c r="O2635" s="15">
        <f t="shared" ca="1" si="134"/>
        <v>24</v>
      </c>
      <c r="P2635" s="16">
        <f t="shared" ca="1" si="135"/>
        <v>-7.8659999999999854</v>
      </c>
      <c r="Q2635" s="11" t="str">
        <f t="shared" ca="1" si="121"/>
        <v/>
      </c>
      <c r="R2635" s="11" t="str">
        <f t="shared" ca="1" si="122"/>
        <v/>
      </c>
      <c r="S2635" s="61" t="str">
        <f t="shared" ca="1" si="123"/>
        <v/>
      </c>
      <c r="T2635" s="11" t="str">
        <f t="shared" ca="1" si="124"/>
        <v/>
      </c>
      <c r="U2635" s="11" t="str">
        <f t="shared" ca="1" si="125"/>
        <v/>
      </c>
      <c r="V2635" s="18" t="str">
        <f t="shared" ca="1" si="126"/>
        <v/>
      </c>
      <c r="W2635" s="61" t="str">
        <f t="shared" ca="1" si="127"/>
        <v/>
      </c>
      <c r="X2635" s="61">
        <f t="shared" ca="1" si="128"/>
        <v>0</v>
      </c>
      <c r="Y2635" s="64" t="str">
        <f t="shared" ca="1" si="129"/>
        <v/>
      </c>
    </row>
    <row r="2636" spans="1:25">
      <c r="A2636" s="2">
        <f>+Get_Data!A2635</f>
        <v>43266</v>
      </c>
      <c r="B2636">
        <f>+ROUND(Get_Data!B2635,5)</f>
        <v>100.63526</v>
      </c>
      <c r="C2636">
        <f>+ROUND(Get_Data!C2635,5)</f>
        <v>40.998449999999998</v>
      </c>
      <c r="D2636" s="4">
        <f t="shared" si="136"/>
        <v>2.4546100000000002</v>
      </c>
      <c r="E2636" s="22">
        <f t="shared" ca="1" si="137"/>
        <v>2.4546100000000002</v>
      </c>
      <c r="F2636" s="23">
        <f t="shared" ca="1" si="138"/>
        <v>2.3249900000000001</v>
      </c>
      <c r="G2636" s="10">
        <f t="shared" ca="1" si="139"/>
        <v>1</v>
      </c>
      <c r="H2636" s="12">
        <f t="shared" ca="1" si="140"/>
        <v>0</v>
      </c>
      <c r="I2636" s="11">
        <f t="shared" ca="1" si="141"/>
        <v>1</v>
      </c>
      <c r="J2636" s="11">
        <f t="shared" ca="1" si="142"/>
        <v>1</v>
      </c>
      <c r="K2636" s="10" t="str">
        <f t="shared" ca="1" si="130"/>
        <v/>
      </c>
      <c r="L2636" s="11" t="str">
        <f t="shared" ca="1" si="131"/>
        <v/>
      </c>
      <c r="M2636" s="11" t="str">
        <f t="shared" ca="1" si="132"/>
        <v/>
      </c>
      <c r="N2636" s="15" t="str">
        <f t="shared" ca="1" si="133"/>
        <v/>
      </c>
      <c r="O2636" s="15" t="str">
        <f t="shared" ca="1" si="134"/>
        <v/>
      </c>
      <c r="P2636" s="16" t="str">
        <f t="shared" ca="1" si="135"/>
        <v/>
      </c>
      <c r="Q2636" s="11">
        <f t="shared" ca="1" si="121"/>
        <v>100.63526</v>
      </c>
      <c r="R2636" s="11">
        <f t="shared" ca="1" si="122"/>
        <v>40.998449999999998</v>
      </c>
      <c r="S2636" s="61">
        <f t="shared" ca="1" si="123"/>
        <v>2.4546100000000002</v>
      </c>
      <c r="T2636" s="11">
        <f t="shared" ca="1" si="124"/>
        <v>10</v>
      </c>
      <c r="U2636" s="11">
        <f t="shared" ca="1" si="125"/>
        <v>24</v>
      </c>
      <c r="V2636" s="18">
        <f t="shared" ca="1" si="126"/>
        <v>-1990.8217999999999</v>
      </c>
      <c r="W2636" s="61">
        <f t="shared" ca="1" si="127"/>
        <v>1960.5659999999998</v>
      </c>
      <c r="X2636" s="61">
        <f t="shared" ca="1" si="128"/>
        <v>-30.255800000000136</v>
      </c>
      <c r="Y2636" s="64">
        <f t="shared" ca="1" si="129"/>
        <v>-3.0748926687065949E-2</v>
      </c>
    </row>
    <row r="2637" spans="1:25">
      <c r="A2637" s="2">
        <f>+Get_Data!A2636</f>
        <v>43269</v>
      </c>
      <c r="B2637">
        <f>+ROUND(Get_Data!B2636,5)</f>
        <v>98.549800000000005</v>
      </c>
      <c r="C2637">
        <f>+ROUND(Get_Data!C2636,5)</f>
        <v>40.468780000000002</v>
      </c>
      <c r="D2637" s="4">
        <f t="shared" si="136"/>
        <v>2.4352100000000001</v>
      </c>
      <c r="E2637" s="22">
        <f t="shared" ca="1" si="137"/>
        <v>2.4546100000000002</v>
      </c>
      <c r="F2637" s="23">
        <f t="shared" ca="1" si="138"/>
        <v>2.3249900000000001</v>
      </c>
      <c r="G2637" s="10">
        <f t="shared" ca="1" si="139"/>
        <v>0</v>
      </c>
      <c r="H2637" s="12">
        <f t="shared" ca="1" si="140"/>
        <v>0</v>
      </c>
      <c r="I2637" s="11">
        <f t="shared" ca="1" si="141"/>
        <v>0</v>
      </c>
      <c r="J2637" s="11">
        <f t="shared" ca="1" si="142"/>
        <v>1</v>
      </c>
      <c r="K2637" s="10">
        <f t="shared" ca="1" si="130"/>
        <v>-98.549800000000005</v>
      </c>
      <c r="L2637" s="11">
        <f t="shared" ca="1" si="131"/>
        <v>40.468780000000002</v>
      </c>
      <c r="M2637" s="11">
        <f t="shared" ca="1" si="132"/>
        <v>2.4352100000000001</v>
      </c>
      <c r="N2637" s="15">
        <f t="shared" ca="1" si="133"/>
        <v>10</v>
      </c>
      <c r="O2637" s="15">
        <f t="shared" ca="1" si="134"/>
        <v>24</v>
      </c>
      <c r="P2637" s="16">
        <f t="shared" ca="1" si="135"/>
        <v>-14.247280000000046</v>
      </c>
      <c r="Q2637" s="11" t="str">
        <f t="shared" ca="1" si="121"/>
        <v/>
      </c>
      <c r="R2637" s="11" t="str">
        <f t="shared" ca="1" si="122"/>
        <v/>
      </c>
      <c r="S2637" s="61" t="str">
        <f t="shared" ca="1" si="123"/>
        <v/>
      </c>
      <c r="T2637" s="11" t="str">
        <f t="shared" ca="1" si="124"/>
        <v/>
      </c>
      <c r="U2637" s="11" t="str">
        <f t="shared" ca="1" si="125"/>
        <v/>
      </c>
      <c r="V2637" s="18" t="str">
        <f t="shared" ca="1" si="126"/>
        <v/>
      </c>
      <c r="W2637" s="61" t="str">
        <f t="shared" ca="1" si="127"/>
        <v/>
      </c>
      <c r="X2637" s="61">
        <f t="shared" ca="1" si="128"/>
        <v>0</v>
      </c>
      <c r="Y2637" s="64" t="str">
        <f t="shared" ca="1" si="129"/>
        <v/>
      </c>
    </row>
    <row r="2638" spans="1:25">
      <c r="A2638" s="2">
        <f>+Get_Data!A2637</f>
        <v>43270</v>
      </c>
      <c r="B2638">
        <f>+ROUND(Get_Data!B2637,5)</f>
        <v>99.092200000000005</v>
      </c>
      <c r="C2638">
        <f>+ROUND(Get_Data!C2637,5)</f>
        <v>40.515239999999999</v>
      </c>
      <c r="D2638" s="4">
        <f t="shared" si="136"/>
        <v>2.4458000000000002</v>
      </c>
      <c r="E2638" s="22">
        <f t="shared" ca="1" si="137"/>
        <v>2.4546100000000002</v>
      </c>
      <c r="F2638" s="23">
        <f t="shared" ca="1" si="138"/>
        <v>2.32586</v>
      </c>
      <c r="G2638" s="10">
        <f t="shared" ca="1" si="139"/>
        <v>0</v>
      </c>
      <c r="H2638" s="12">
        <f t="shared" ca="1" si="140"/>
        <v>0</v>
      </c>
      <c r="I2638" s="11">
        <f t="shared" ca="1" si="141"/>
        <v>0</v>
      </c>
      <c r="J2638" s="11">
        <f t="shared" ca="1" si="142"/>
        <v>1</v>
      </c>
      <c r="K2638" s="10">
        <f t="shared" ca="1" si="130"/>
        <v>-98.549800000000005</v>
      </c>
      <c r="L2638" s="11">
        <f t="shared" ca="1" si="131"/>
        <v>40.468780000000002</v>
      </c>
      <c r="M2638" s="11">
        <f t="shared" ca="1" si="132"/>
        <v>2.4352100000000001</v>
      </c>
      <c r="N2638" s="15">
        <f t="shared" ca="1" si="133"/>
        <v>10</v>
      </c>
      <c r="O2638" s="15">
        <f t="shared" ca="1" si="134"/>
        <v>24</v>
      </c>
      <c r="P2638" s="16">
        <f t="shared" ca="1" si="135"/>
        <v>-14.247280000000046</v>
      </c>
      <c r="Q2638" s="11" t="str">
        <f t="shared" ca="1" si="121"/>
        <v/>
      </c>
      <c r="R2638" s="11" t="str">
        <f t="shared" ca="1" si="122"/>
        <v/>
      </c>
      <c r="S2638" s="61" t="str">
        <f t="shared" ca="1" si="123"/>
        <v/>
      </c>
      <c r="T2638" s="11" t="str">
        <f t="shared" ca="1" si="124"/>
        <v/>
      </c>
      <c r="U2638" s="11" t="str">
        <f t="shared" ca="1" si="125"/>
        <v/>
      </c>
      <c r="V2638" s="18" t="str">
        <f t="shared" ca="1" si="126"/>
        <v/>
      </c>
      <c r="W2638" s="61" t="str">
        <f t="shared" ca="1" si="127"/>
        <v/>
      </c>
      <c r="X2638" s="61">
        <f t="shared" ca="1" si="128"/>
        <v>0</v>
      </c>
      <c r="Y2638" s="64" t="str">
        <f t="shared" ca="1" si="129"/>
        <v/>
      </c>
    </row>
    <row r="2639" spans="1:25">
      <c r="A2639" s="2">
        <f>+Get_Data!A2638</f>
        <v>43271</v>
      </c>
      <c r="B2639">
        <f>+ROUND(Get_Data!B2638,5)</f>
        <v>98.951920000000001</v>
      </c>
      <c r="C2639">
        <f>+ROUND(Get_Data!C2638,5)</f>
        <v>40.199289999999998</v>
      </c>
      <c r="D2639" s="4">
        <f t="shared" si="136"/>
        <v>2.4615300000000002</v>
      </c>
      <c r="E2639" s="22">
        <f t="shared" ca="1" si="137"/>
        <v>2.4615300000000002</v>
      </c>
      <c r="F2639" s="23">
        <f t="shared" ca="1" si="138"/>
        <v>2.32586</v>
      </c>
      <c r="G2639" s="10">
        <f t="shared" ca="1" si="139"/>
        <v>1</v>
      </c>
      <c r="H2639" s="12">
        <f t="shared" ca="1" si="140"/>
        <v>0</v>
      </c>
      <c r="I2639" s="11">
        <f t="shared" ca="1" si="141"/>
        <v>1</v>
      </c>
      <c r="J2639" s="11">
        <f t="shared" ca="1" si="142"/>
        <v>2</v>
      </c>
      <c r="K2639" s="10">
        <f t="shared" ca="1" si="130"/>
        <v>-98.549800000000005</v>
      </c>
      <c r="L2639" s="11">
        <f t="shared" ca="1" si="131"/>
        <v>40.468780000000002</v>
      </c>
      <c r="M2639" s="11">
        <f t="shared" ca="1" si="132"/>
        <v>2.4352100000000001</v>
      </c>
      <c r="N2639" s="15">
        <f t="shared" ca="1" si="133"/>
        <v>10</v>
      </c>
      <c r="O2639" s="15">
        <f t="shared" ca="1" si="134"/>
        <v>24</v>
      </c>
      <c r="P2639" s="16">
        <f t="shared" ca="1" si="135"/>
        <v>-14.247280000000046</v>
      </c>
      <c r="Q2639" s="11" t="str">
        <f t="shared" ca="1" si="121"/>
        <v/>
      </c>
      <c r="R2639" s="11" t="str">
        <f t="shared" ca="1" si="122"/>
        <v/>
      </c>
      <c r="S2639" s="61" t="str">
        <f t="shared" ca="1" si="123"/>
        <v/>
      </c>
      <c r="T2639" s="11" t="str">
        <f t="shared" ca="1" si="124"/>
        <v/>
      </c>
      <c r="U2639" s="11" t="str">
        <f t="shared" ca="1" si="125"/>
        <v/>
      </c>
      <c r="V2639" s="18" t="str">
        <f t="shared" ca="1" si="126"/>
        <v/>
      </c>
      <c r="W2639" s="61" t="str">
        <f t="shared" ca="1" si="127"/>
        <v/>
      </c>
      <c r="X2639" s="61">
        <f t="shared" ca="1" si="128"/>
        <v>0</v>
      </c>
      <c r="Y2639" s="64" t="str">
        <f t="shared" ca="1" si="129"/>
        <v/>
      </c>
    </row>
    <row r="2640" spans="1:25">
      <c r="A2640" s="2">
        <f>+Get_Data!A2639</f>
        <v>43272</v>
      </c>
      <c r="B2640">
        <f>+ROUND(Get_Data!B2639,5)</f>
        <v>100.28925</v>
      </c>
      <c r="C2640">
        <f>+ROUND(Get_Data!C2639,5)</f>
        <v>40.041319999999999</v>
      </c>
      <c r="D2640" s="4">
        <f t="shared" si="136"/>
        <v>2.5046400000000002</v>
      </c>
      <c r="E2640" s="22">
        <f t="shared" ca="1" si="137"/>
        <v>2.5046400000000002</v>
      </c>
      <c r="F2640" s="23">
        <f t="shared" ca="1" si="138"/>
        <v>2.32586</v>
      </c>
      <c r="G2640" s="10">
        <f t="shared" ca="1" si="139"/>
        <v>1</v>
      </c>
      <c r="H2640" s="12">
        <f t="shared" ca="1" si="140"/>
        <v>0</v>
      </c>
      <c r="I2640" s="11">
        <f t="shared" ca="1" si="141"/>
        <v>1</v>
      </c>
      <c r="J2640" s="11">
        <f t="shared" ca="1" si="142"/>
        <v>0</v>
      </c>
      <c r="K2640" s="10">
        <f t="shared" ca="1" si="130"/>
        <v>-98.549800000000005</v>
      </c>
      <c r="L2640" s="11">
        <f t="shared" ca="1" si="131"/>
        <v>40.468780000000002</v>
      </c>
      <c r="M2640" s="11">
        <f t="shared" ca="1" si="132"/>
        <v>2.4352100000000001</v>
      </c>
      <c r="N2640" s="15">
        <f t="shared" ca="1" si="133"/>
        <v>10</v>
      </c>
      <c r="O2640" s="15">
        <f t="shared" ca="1" si="134"/>
        <v>24</v>
      </c>
      <c r="P2640" s="16">
        <f t="shared" ca="1" si="135"/>
        <v>-14.247280000000046</v>
      </c>
      <c r="Q2640" s="11" t="str">
        <f t="shared" ca="1" si="121"/>
        <v/>
      </c>
      <c r="R2640" s="11" t="str">
        <f t="shared" ca="1" si="122"/>
        <v/>
      </c>
      <c r="S2640" s="61" t="str">
        <f t="shared" ca="1" si="123"/>
        <v/>
      </c>
      <c r="T2640" s="11" t="str">
        <f t="shared" ca="1" si="124"/>
        <v/>
      </c>
      <c r="U2640" s="11" t="str">
        <f t="shared" ca="1" si="125"/>
        <v/>
      </c>
      <c r="V2640" s="18" t="str">
        <f t="shared" ca="1" si="126"/>
        <v/>
      </c>
      <c r="W2640" s="61" t="str">
        <f t="shared" ca="1" si="127"/>
        <v/>
      </c>
      <c r="X2640" s="61">
        <f t="shared" ca="1" si="128"/>
        <v>0</v>
      </c>
      <c r="Y2640" s="64" t="str">
        <f t="shared" ca="1" si="129"/>
        <v/>
      </c>
    </row>
    <row r="2641" spans="1:25">
      <c r="A2641" s="2">
        <f>+Get_Data!A2640</f>
        <v>43273</v>
      </c>
      <c r="B2641">
        <f>+ROUND(Get_Data!B2640,5)</f>
        <v>101.34601000000001</v>
      </c>
      <c r="C2641">
        <f>+ROUND(Get_Data!C2640,5)</f>
        <v>40.190010000000001</v>
      </c>
      <c r="D2641" s="4">
        <f t="shared" si="136"/>
        <v>2.5216699999999999</v>
      </c>
      <c r="E2641" s="22">
        <f t="shared" ca="1" si="137"/>
        <v>2.5216699999999999</v>
      </c>
      <c r="F2641" s="23">
        <f t="shared" ca="1" si="138"/>
        <v>2.32586</v>
      </c>
      <c r="G2641" s="10">
        <f t="shared" ca="1" si="139"/>
        <v>1</v>
      </c>
      <c r="H2641" s="12">
        <f t="shared" ca="1" si="140"/>
        <v>0</v>
      </c>
      <c r="I2641" s="11">
        <f t="shared" ca="1" si="141"/>
        <v>1</v>
      </c>
      <c r="J2641" s="11">
        <f t="shared" ca="1" si="142"/>
        <v>1</v>
      </c>
      <c r="K2641" s="10" t="str">
        <f t="shared" ca="1" si="130"/>
        <v/>
      </c>
      <c r="L2641" s="11" t="str">
        <f t="shared" ca="1" si="131"/>
        <v/>
      </c>
      <c r="M2641" s="11" t="str">
        <f t="shared" ca="1" si="132"/>
        <v/>
      </c>
      <c r="N2641" s="15" t="str">
        <f t="shared" ca="1" si="133"/>
        <v/>
      </c>
      <c r="O2641" s="15" t="str">
        <f t="shared" ca="1" si="134"/>
        <v/>
      </c>
      <c r="P2641" s="16" t="str">
        <f t="shared" ca="1" si="135"/>
        <v/>
      </c>
      <c r="Q2641" s="11">
        <f t="shared" ca="1" si="121"/>
        <v>101.34601000000001</v>
      </c>
      <c r="R2641" s="11">
        <f t="shared" ca="1" si="122"/>
        <v>40.190010000000001</v>
      </c>
      <c r="S2641" s="61">
        <f t="shared" ca="1" si="123"/>
        <v>2.5216699999999999</v>
      </c>
      <c r="T2641" s="11">
        <f t="shared" ca="1" si="124"/>
        <v>10</v>
      </c>
      <c r="U2641" s="11">
        <f t="shared" ca="1" si="125"/>
        <v>24</v>
      </c>
      <c r="V2641" s="18">
        <f t="shared" ca="1" si="126"/>
        <v>-1998.9581000000001</v>
      </c>
      <c r="W2641" s="61">
        <f t="shared" ca="1" si="127"/>
        <v>1935.8109600000003</v>
      </c>
      <c r="X2641" s="61">
        <f t="shared" ca="1" si="128"/>
        <v>-63.147139999999808</v>
      </c>
      <c r="Y2641" s="64">
        <f t="shared" ca="1" si="129"/>
        <v>-6.5467284863410719E-2</v>
      </c>
    </row>
    <row r="2642" spans="1:25">
      <c r="A2642" s="2">
        <f>+Get_Data!A2641</f>
        <v>43276</v>
      </c>
      <c r="B2642">
        <f>+ROUND(Get_Data!B2641,5)</f>
        <v>101.92582</v>
      </c>
      <c r="C2642">
        <f>+ROUND(Get_Data!C2641,5)</f>
        <v>40.496659999999999</v>
      </c>
      <c r="D2642" s="4">
        <f t="shared" si="136"/>
        <v>2.5168900000000001</v>
      </c>
      <c r="E2642" s="22">
        <f t="shared" ca="1" si="137"/>
        <v>2.5216699999999999</v>
      </c>
      <c r="F2642" s="23">
        <f t="shared" ca="1" si="138"/>
        <v>2.3374799999999998</v>
      </c>
      <c r="G2642" s="10">
        <f t="shared" ca="1" si="139"/>
        <v>0</v>
      </c>
      <c r="H2642" s="12">
        <f t="shared" ca="1" si="140"/>
        <v>0</v>
      </c>
      <c r="I2642" s="11">
        <f t="shared" ca="1" si="141"/>
        <v>0</v>
      </c>
      <c r="J2642" s="11">
        <f t="shared" ca="1" si="142"/>
        <v>1</v>
      </c>
      <c r="K2642" s="10">
        <f t="shared" ca="1" si="130"/>
        <v>-101.92582</v>
      </c>
      <c r="L2642" s="11">
        <f t="shared" ca="1" si="131"/>
        <v>40.496659999999999</v>
      </c>
      <c r="M2642" s="11">
        <f t="shared" ca="1" si="132"/>
        <v>2.5168900000000001</v>
      </c>
      <c r="N2642" s="15">
        <f t="shared" ca="1" si="133"/>
        <v>10</v>
      </c>
      <c r="O2642" s="15">
        <f t="shared" ca="1" si="134"/>
        <v>25</v>
      </c>
      <c r="P2642" s="16">
        <f t="shared" ca="1" si="135"/>
        <v>-6.8417000000000598</v>
      </c>
      <c r="Q2642" s="11" t="str">
        <f t="shared" ca="1" si="121"/>
        <v/>
      </c>
      <c r="R2642" s="11" t="str">
        <f t="shared" ca="1" si="122"/>
        <v/>
      </c>
      <c r="S2642" s="61" t="str">
        <f t="shared" ca="1" si="123"/>
        <v/>
      </c>
      <c r="T2642" s="11" t="str">
        <f t="shared" ca="1" si="124"/>
        <v/>
      </c>
      <c r="U2642" s="11" t="str">
        <f t="shared" ca="1" si="125"/>
        <v/>
      </c>
      <c r="V2642" s="18" t="str">
        <f t="shared" ca="1" si="126"/>
        <v/>
      </c>
      <c r="W2642" s="61" t="str">
        <f t="shared" ca="1" si="127"/>
        <v/>
      </c>
      <c r="X2642" s="61">
        <f t="shared" ca="1" si="128"/>
        <v>0</v>
      </c>
      <c r="Y2642" s="64" t="str">
        <f t="shared" ca="1" si="129"/>
        <v/>
      </c>
    </row>
    <row r="2643" spans="1:25">
      <c r="A2643" s="2">
        <f>+Get_Data!A2642</f>
        <v>43277</v>
      </c>
      <c r="B2643">
        <f>+ROUND(Get_Data!B2642,5)</f>
        <v>101.04675</v>
      </c>
      <c r="C2643">
        <f>+ROUND(Get_Data!C2642,5)</f>
        <v>40.26435</v>
      </c>
      <c r="D2643" s="4">
        <f t="shared" si="136"/>
        <v>2.5095800000000001</v>
      </c>
      <c r="E2643" s="22">
        <f t="shared" ca="1" si="137"/>
        <v>2.5216699999999999</v>
      </c>
      <c r="F2643" s="23">
        <f t="shared" ca="1" si="138"/>
        <v>2.3374799999999998</v>
      </c>
      <c r="G2643" s="10">
        <f t="shared" ca="1" si="139"/>
        <v>0</v>
      </c>
      <c r="H2643" s="12">
        <f t="shared" ca="1" si="140"/>
        <v>0</v>
      </c>
      <c r="I2643" s="11">
        <f t="shared" ca="1" si="141"/>
        <v>0</v>
      </c>
      <c r="J2643" s="11">
        <f t="shared" ca="1" si="142"/>
        <v>1</v>
      </c>
      <c r="K2643" s="10">
        <f t="shared" ca="1" si="130"/>
        <v>-101.92582</v>
      </c>
      <c r="L2643" s="11">
        <f t="shared" ca="1" si="131"/>
        <v>40.496659999999999</v>
      </c>
      <c r="M2643" s="11">
        <f t="shared" ca="1" si="132"/>
        <v>2.5168900000000001</v>
      </c>
      <c r="N2643" s="15">
        <f t="shared" ca="1" si="133"/>
        <v>10</v>
      </c>
      <c r="O2643" s="15">
        <f t="shared" ca="1" si="134"/>
        <v>25</v>
      </c>
      <c r="P2643" s="16">
        <f t="shared" ca="1" si="135"/>
        <v>-6.8417000000000598</v>
      </c>
      <c r="Q2643" s="11" t="str">
        <f t="shared" ref="Q2643:Q2706" ca="1" si="143">+IF(ISNUMBER(T2643),B2643,"")</f>
        <v/>
      </c>
      <c r="R2643" s="11" t="str">
        <f t="shared" ref="R2643:R2706" ca="1" si="144">+IF(ISNUMBER(U2643),C2643,"")</f>
        <v/>
      </c>
      <c r="S2643" s="61" t="str">
        <f t="shared" ref="S2643:S2706" ca="1" si="145">+IF(ISNUMBER(T2643),D2643,"")</f>
        <v/>
      </c>
      <c r="T2643" s="11" t="str">
        <f t="shared" ref="T2643:T2706" ca="1" si="146">+IF(AND(ISNUMBER(N2642),NOT(ISNUMBER(N2643))),N2642,"")</f>
        <v/>
      </c>
      <c r="U2643" s="11" t="str">
        <f t="shared" ref="U2643:U2706" ca="1" si="147">+IF(AND(ISNUMBER(O2642),NOT(ISNUMBER(O2643))),O2642,"")</f>
        <v/>
      </c>
      <c r="V2643" s="18" t="str">
        <f t="shared" ref="V2643:V2706" ca="1" si="148">+IFERROR(T2643*(K2642-Q2643),"")</f>
        <v/>
      </c>
      <c r="W2643" s="61" t="str">
        <f t="shared" ref="W2643:W2706" ca="1" si="149">+IFERROR(U2643*(L2642+R2643),"")</f>
        <v/>
      </c>
      <c r="X2643" s="61">
        <f t="shared" ref="X2643:X2706" ca="1" si="150">+IFERROR(SUM(V2643:W2643),"")</f>
        <v>0</v>
      </c>
      <c r="Y2643" s="64" t="str">
        <f t="shared" ref="Y2643:Y2706" ca="1" si="151">IFERROR(+X2643/ABS(R2643*U2643),"")</f>
        <v/>
      </c>
    </row>
    <row r="2644" spans="1:25">
      <c r="A2644" s="2">
        <f>+Get_Data!A2643</f>
        <v>43278</v>
      </c>
      <c r="B2644">
        <f>+ROUND(Get_Data!B2643,5)</f>
        <v>101.25248000000001</v>
      </c>
      <c r="C2644">
        <f>+ROUND(Get_Data!C2643,5)</f>
        <v>40.022739999999999</v>
      </c>
      <c r="D2644" s="4">
        <f t="shared" si="136"/>
        <v>2.5298699999999998</v>
      </c>
      <c r="E2644" s="22">
        <f t="shared" ca="1" si="137"/>
        <v>2.5298699999999998</v>
      </c>
      <c r="F2644" s="23">
        <f t="shared" ca="1" si="138"/>
        <v>2.3374799999999998</v>
      </c>
      <c r="G2644" s="10">
        <f t="shared" ca="1" si="139"/>
        <v>1</v>
      </c>
      <c r="H2644" s="12">
        <f t="shared" ca="1" si="140"/>
        <v>0</v>
      </c>
      <c r="I2644" s="11">
        <f t="shared" ca="1" si="141"/>
        <v>1</v>
      </c>
      <c r="J2644" s="11">
        <f t="shared" ca="1" si="142"/>
        <v>2</v>
      </c>
      <c r="K2644" s="10">
        <f t="shared" ca="1" si="130"/>
        <v>-101.92582</v>
      </c>
      <c r="L2644" s="11">
        <f t="shared" ca="1" si="131"/>
        <v>40.496659999999999</v>
      </c>
      <c r="M2644" s="11">
        <f t="shared" ca="1" si="132"/>
        <v>2.5168900000000001</v>
      </c>
      <c r="N2644" s="15">
        <f t="shared" ca="1" si="133"/>
        <v>10</v>
      </c>
      <c r="O2644" s="15">
        <f t="shared" ca="1" si="134"/>
        <v>25</v>
      </c>
      <c r="P2644" s="16">
        <f t="shared" ca="1" si="135"/>
        <v>-6.8417000000000598</v>
      </c>
      <c r="Q2644" s="11" t="str">
        <f t="shared" ca="1" si="143"/>
        <v/>
      </c>
      <c r="R2644" s="11" t="str">
        <f t="shared" ca="1" si="144"/>
        <v/>
      </c>
      <c r="S2644" s="61" t="str">
        <f t="shared" ca="1" si="145"/>
        <v/>
      </c>
      <c r="T2644" s="11" t="str">
        <f t="shared" ca="1" si="146"/>
        <v/>
      </c>
      <c r="U2644" s="11" t="str">
        <f t="shared" ca="1" si="147"/>
        <v/>
      </c>
      <c r="V2644" s="18" t="str">
        <f t="shared" ca="1" si="148"/>
        <v/>
      </c>
      <c r="W2644" s="61" t="str">
        <f t="shared" ca="1" si="149"/>
        <v/>
      </c>
      <c r="X2644" s="61">
        <f t="shared" ca="1" si="150"/>
        <v>0</v>
      </c>
      <c r="Y2644" s="64" t="str">
        <f t="shared" ca="1" si="151"/>
        <v/>
      </c>
    </row>
    <row r="2645" spans="1:25">
      <c r="A2645" s="2">
        <f>+Get_Data!A2644</f>
        <v>43279</v>
      </c>
      <c r="B2645">
        <f>+ROUND(Get_Data!B2644,5)</f>
        <v>101.63592</v>
      </c>
      <c r="C2645">
        <f>+ROUND(Get_Data!C2644,5)</f>
        <v>40.394440000000003</v>
      </c>
      <c r="D2645" s="4">
        <f t="shared" si="136"/>
        <v>2.5160900000000002</v>
      </c>
      <c r="E2645" s="22">
        <f t="shared" ca="1" si="137"/>
        <v>2.5298699999999998</v>
      </c>
      <c r="F2645" s="23">
        <f t="shared" ca="1" si="138"/>
        <v>2.3374799999999998</v>
      </c>
      <c r="G2645" s="10">
        <f t="shared" ca="1" si="139"/>
        <v>0</v>
      </c>
      <c r="H2645" s="12">
        <f t="shared" ca="1" si="140"/>
        <v>0</v>
      </c>
      <c r="I2645" s="11">
        <f t="shared" ca="1" si="141"/>
        <v>0</v>
      </c>
      <c r="J2645" s="11">
        <f t="shared" ca="1" si="142"/>
        <v>2</v>
      </c>
      <c r="K2645" s="10">
        <f t="shared" ca="1" si="130"/>
        <v>-101.92582</v>
      </c>
      <c r="L2645" s="11">
        <f t="shared" ca="1" si="131"/>
        <v>40.496659999999999</v>
      </c>
      <c r="M2645" s="11">
        <f t="shared" ca="1" si="132"/>
        <v>2.5168900000000001</v>
      </c>
      <c r="N2645" s="15">
        <f t="shared" ca="1" si="133"/>
        <v>10</v>
      </c>
      <c r="O2645" s="15">
        <f t="shared" ca="1" si="134"/>
        <v>25</v>
      </c>
      <c r="P2645" s="16">
        <f t="shared" ca="1" si="135"/>
        <v>-6.8417000000000598</v>
      </c>
      <c r="Q2645" s="11" t="str">
        <f t="shared" ca="1" si="143"/>
        <v/>
      </c>
      <c r="R2645" s="11" t="str">
        <f t="shared" ca="1" si="144"/>
        <v/>
      </c>
      <c r="S2645" s="61" t="str">
        <f t="shared" ca="1" si="145"/>
        <v/>
      </c>
      <c r="T2645" s="11" t="str">
        <f t="shared" ca="1" si="146"/>
        <v/>
      </c>
      <c r="U2645" s="11" t="str">
        <f t="shared" ca="1" si="147"/>
        <v/>
      </c>
      <c r="V2645" s="18" t="str">
        <f t="shared" ca="1" si="148"/>
        <v/>
      </c>
      <c r="W2645" s="61" t="str">
        <f t="shared" ca="1" si="149"/>
        <v/>
      </c>
      <c r="X2645" s="61">
        <f t="shared" ca="1" si="150"/>
        <v>0</v>
      </c>
      <c r="Y2645" s="64" t="str">
        <f t="shared" ca="1" si="151"/>
        <v/>
      </c>
    </row>
    <row r="2646" spans="1:25">
      <c r="A2646" s="2">
        <f>+Get_Data!A2645</f>
        <v>43280</v>
      </c>
      <c r="B2646">
        <f>+ROUND(Get_Data!B2645,5)</f>
        <v>101.81359</v>
      </c>
      <c r="C2646">
        <f>+ROUND(Get_Data!C2645,5)</f>
        <v>40.75685</v>
      </c>
      <c r="D2646" s="4">
        <f t="shared" si="136"/>
        <v>2.4980699999999998</v>
      </c>
      <c r="E2646" s="22">
        <f t="shared" ca="1" si="137"/>
        <v>2.5298699999999998</v>
      </c>
      <c r="F2646" s="23">
        <f t="shared" ca="1" si="138"/>
        <v>2.3374799999999998</v>
      </c>
      <c r="G2646" s="10">
        <f t="shared" ca="1" si="139"/>
        <v>0</v>
      </c>
      <c r="H2646" s="12">
        <f t="shared" ca="1" si="140"/>
        <v>0</v>
      </c>
      <c r="I2646" s="11">
        <f t="shared" ca="1" si="141"/>
        <v>0</v>
      </c>
      <c r="J2646" s="11">
        <f t="shared" ca="1" si="142"/>
        <v>2</v>
      </c>
      <c r="K2646" s="10">
        <f t="shared" ca="1" si="130"/>
        <v>-101.92582</v>
      </c>
      <c r="L2646" s="11">
        <f t="shared" ca="1" si="131"/>
        <v>40.496659999999999</v>
      </c>
      <c r="M2646" s="11">
        <f t="shared" ca="1" si="132"/>
        <v>2.5168900000000001</v>
      </c>
      <c r="N2646" s="15">
        <f t="shared" ca="1" si="133"/>
        <v>10</v>
      </c>
      <c r="O2646" s="15">
        <f t="shared" ca="1" si="134"/>
        <v>25</v>
      </c>
      <c r="P2646" s="16">
        <f t="shared" ca="1" si="135"/>
        <v>-6.8417000000000598</v>
      </c>
      <c r="Q2646" s="11" t="str">
        <f t="shared" ca="1" si="143"/>
        <v/>
      </c>
      <c r="R2646" s="11" t="str">
        <f t="shared" ca="1" si="144"/>
        <v/>
      </c>
      <c r="S2646" s="61" t="str">
        <f t="shared" ca="1" si="145"/>
        <v/>
      </c>
      <c r="T2646" s="11" t="str">
        <f t="shared" ca="1" si="146"/>
        <v/>
      </c>
      <c r="U2646" s="11" t="str">
        <f t="shared" ca="1" si="147"/>
        <v/>
      </c>
      <c r="V2646" s="18" t="str">
        <f t="shared" ca="1" si="148"/>
        <v/>
      </c>
      <c r="W2646" s="61" t="str">
        <f t="shared" ca="1" si="149"/>
        <v/>
      </c>
      <c r="X2646" s="61">
        <f t="shared" ca="1" si="150"/>
        <v>0</v>
      </c>
      <c r="Y2646" s="64" t="str">
        <f t="shared" ca="1" si="151"/>
        <v/>
      </c>
    </row>
    <row r="2647" spans="1:25">
      <c r="A2647" s="2">
        <f>+Get_Data!A2646</f>
        <v>43283</v>
      </c>
      <c r="B2647">
        <f>+ROUND(Get_Data!B2646,5)</f>
        <v>102.43080999999999</v>
      </c>
      <c r="C2647">
        <f>+ROUND(Get_Data!C2646,5)</f>
        <v>40.654629999999997</v>
      </c>
      <c r="D2647" s="4">
        <f t="shared" si="136"/>
        <v>2.5195400000000001</v>
      </c>
      <c r="E2647" s="22">
        <f t="shared" ca="1" si="137"/>
        <v>2.5298699999999998</v>
      </c>
      <c r="F2647" s="23">
        <f t="shared" ca="1" si="138"/>
        <v>2.3374799999999998</v>
      </c>
      <c r="G2647" s="10">
        <f t="shared" ca="1" si="139"/>
        <v>0</v>
      </c>
      <c r="H2647" s="12">
        <f t="shared" ca="1" si="140"/>
        <v>0</v>
      </c>
      <c r="I2647" s="11">
        <f t="shared" ca="1" si="141"/>
        <v>0</v>
      </c>
      <c r="J2647" s="11">
        <f t="shared" ca="1" si="142"/>
        <v>2</v>
      </c>
      <c r="K2647" s="10">
        <f t="shared" ca="1" si="130"/>
        <v>-101.92582</v>
      </c>
      <c r="L2647" s="11">
        <f t="shared" ca="1" si="131"/>
        <v>40.496659999999999</v>
      </c>
      <c r="M2647" s="11">
        <f t="shared" ca="1" si="132"/>
        <v>2.5168900000000001</v>
      </c>
      <c r="N2647" s="15">
        <f t="shared" ca="1" si="133"/>
        <v>10</v>
      </c>
      <c r="O2647" s="15">
        <f t="shared" ca="1" si="134"/>
        <v>25</v>
      </c>
      <c r="P2647" s="16">
        <f t="shared" ca="1" si="135"/>
        <v>-6.8417000000000598</v>
      </c>
      <c r="Q2647" s="11" t="str">
        <f t="shared" ca="1" si="143"/>
        <v/>
      </c>
      <c r="R2647" s="11" t="str">
        <f t="shared" ca="1" si="144"/>
        <v/>
      </c>
      <c r="S2647" s="61" t="str">
        <f t="shared" ca="1" si="145"/>
        <v/>
      </c>
      <c r="T2647" s="11" t="str">
        <f t="shared" ca="1" si="146"/>
        <v/>
      </c>
      <c r="U2647" s="11" t="str">
        <f t="shared" ca="1" si="147"/>
        <v/>
      </c>
      <c r="V2647" s="18" t="str">
        <f t="shared" ca="1" si="148"/>
        <v/>
      </c>
      <c r="W2647" s="61" t="str">
        <f t="shared" ca="1" si="149"/>
        <v/>
      </c>
      <c r="X2647" s="61">
        <f t="shared" ca="1" si="150"/>
        <v>0</v>
      </c>
      <c r="Y2647" s="64" t="str">
        <f t="shared" ca="1" si="151"/>
        <v/>
      </c>
    </row>
    <row r="2648" spans="1:25">
      <c r="A2648" s="2">
        <f>+Get_Data!A2647</f>
        <v>43284</v>
      </c>
      <c r="B2648">
        <f>+ROUND(Get_Data!B2647,5)</f>
        <v>101.74815</v>
      </c>
      <c r="C2648">
        <f>+ROUND(Get_Data!C2647,5)</f>
        <v>40.877650000000003</v>
      </c>
      <c r="D2648" s="4">
        <f t="shared" si="136"/>
        <v>2.48909</v>
      </c>
      <c r="E2648" s="22">
        <f t="shared" ca="1" si="137"/>
        <v>2.5298699999999998</v>
      </c>
      <c r="F2648" s="23">
        <f t="shared" ca="1" si="138"/>
        <v>2.3374799999999998</v>
      </c>
      <c r="G2648" s="10">
        <f t="shared" ca="1" si="139"/>
        <v>0</v>
      </c>
      <c r="H2648" s="12">
        <f t="shared" ca="1" si="140"/>
        <v>0</v>
      </c>
      <c r="I2648" s="11">
        <f t="shared" ca="1" si="141"/>
        <v>0</v>
      </c>
      <c r="J2648" s="11">
        <f t="shared" ca="1" si="142"/>
        <v>2</v>
      </c>
      <c r="K2648" s="10">
        <f t="shared" ca="1" si="130"/>
        <v>-101.92582</v>
      </c>
      <c r="L2648" s="11">
        <f t="shared" ca="1" si="131"/>
        <v>40.496659999999999</v>
      </c>
      <c r="M2648" s="11">
        <f t="shared" ca="1" si="132"/>
        <v>2.5168900000000001</v>
      </c>
      <c r="N2648" s="15">
        <f t="shared" ca="1" si="133"/>
        <v>10</v>
      </c>
      <c r="O2648" s="15">
        <f t="shared" ca="1" si="134"/>
        <v>25</v>
      </c>
      <c r="P2648" s="16">
        <f t="shared" ca="1" si="135"/>
        <v>-6.8417000000000598</v>
      </c>
      <c r="Q2648" s="11" t="str">
        <f t="shared" ca="1" si="143"/>
        <v/>
      </c>
      <c r="R2648" s="11" t="str">
        <f t="shared" ca="1" si="144"/>
        <v/>
      </c>
      <c r="S2648" s="61" t="str">
        <f t="shared" ca="1" si="145"/>
        <v/>
      </c>
      <c r="T2648" s="11" t="str">
        <f t="shared" ca="1" si="146"/>
        <v/>
      </c>
      <c r="U2648" s="11" t="str">
        <f t="shared" ca="1" si="147"/>
        <v/>
      </c>
      <c r="V2648" s="18" t="str">
        <f t="shared" ca="1" si="148"/>
        <v/>
      </c>
      <c r="W2648" s="61" t="str">
        <f t="shared" ca="1" si="149"/>
        <v/>
      </c>
      <c r="X2648" s="61">
        <f t="shared" ca="1" si="150"/>
        <v>0</v>
      </c>
      <c r="Y2648" s="64" t="str">
        <f t="shared" ca="1" si="151"/>
        <v/>
      </c>
    </row>
    <row r="2649" spans="1:25">
      <c r="A2649" s="2">
        <f>+Get_Data!A2648</f>
        <v>43286</v>
      </c>
      <c r="B2649">
        <f>+ROUND(Get_Data!B2648,5)</f>
        <v>102.44952000000001</v>
      </c>
      <c r="C2649">
        <f>+ROUND(Get_Data!C2648,5)</f>
        <v>41.500239999999998</v>
      </c>
      <c r="D2649" s="4">
        <f t="shared" si="136"/>
        <v>2.4686499999999998</v>
      </c>
      <c r="E2649" s="22">
        <f t="shared" ca="1" si="137"/>
        <v>2.5298699999999998</v>
      </c>
      <c r="F2649" s="23">
        <f t="shared" ca="1" si="138"/>
        <v>2.3374799999999998</v>
      </c>
      <c r="G2649" s="10">
        <f t="shared" ca="1" si="139"/>
        <v>0</v>
      </c>
      <c r="H2649" s="12">
        <f t="shared" ca="1" si="140"/>
        <v>0</v>
      </c>
      <c r="I2649" s="11">
        <f t="shared" ca="1" si="141"/>
        <v>0</v>
      </c>
      <c r="J2649" s="11">
        <f t="shared" ca="1" si="142"/>
        <v>2</v>
      </c>
      <c r="K2649" s="10">
        <f t="shared" ca="1" si="130"/>
        <v>-101.92582</v>
      </c>
      <c r="L2649" s="11">
        <f t="shared" ca="1" si="131"/>
        <v>40.496659999999999</v>
      </c>
      <c r="M2649" s="11">
        <f t="shared" ca="1" si="132"/>
        <v>2.5168900000000001</v>
      </c>
      <c r="N2649" s="15">
        <f t="shared" ca="1" si="133"/>
        <v>10</v>
      </c>
      <c r="O2649" s="15">
        <f t="shared" ca="1" si="134"/>
        <v>25</v>
      </c>
      <c r="P2649" s="16">
        <f t="shared" ca="1" si="135"/>
        <v>-6.8417000000000598</v>
      </c>
      <c r="Q2649" s="11" t="str">
        <f t="shared" ca="1" si="143"/>
        <v/>
      </c>
      <c r="R2649" s="11" t="str">
        <f t="shared" ca="1" si="144"/>
        <v/>
      </c>
      <c r="S2649" s="61" t="str">
        <f t="shared" ca="1" si="145"/>
        <v/>
      </c>
      <c r="T2649" s="11" t="str">
        <f t="shared" ca="1" si="146"/>
        <v/>
      </c>
      <c r="U2649" s="11" t="str">
        <f t="shared" ca="1" si="147"/>
        <v/>
      </c>
      <c r="V2649" s="18" t="str">
        <f t="shared" ca="1" si="148"/>
        <v/>
      </c>
      <c r="W2649" s="61" t="str">
        <f t="shared" ca="1" si="149"/>
        <v/>
      </c>
      <c r="X2649" s="61">
        <f t="shared" ca="1" si="150"/>
        <v>0</v>
      </c>
      <c r="Y2649" s="64" t="str">
        <f t="shared" ca="1" si="151"/>
        <v/>
      </c>
    </row>
    <row r="2650" spans="1:25">
      <c r="A2650" s="2">
        <f>+Get_Data!A2649</f>
        <v>43287</v>
      </c>
      <c r="B2650">
        <f>+ROUND(Get_Data!B2649,5)</f>
        <v>102.45887999999999</v>
      </c>
      <c r="C2650">
        <f>+ROUND(Get_Data!C2649,5)</f>
        <v>41.481659999999998</v>
      </c>
      <c r="D2650" s="4">
        <f t="shared" si="136"/>
        <v>2.4699800000000001</v>
      </c>
      <c r="E2650" s="22">
        <f t="shared" ca="1" si="137"/>
        <v>2.5298699999999998</v>
      </c>
      <c r="F2650" s="23">
        <f t="shared" ca="1" si="138"/>
        <v>2.3374799999999998</v>
      </c>
      <c r="G2650" s="10">
        <f t="shared" ca="1" si="139"/>
        <v>0</v>
      </c>
      <c r="H2650" s="12">
        <f t="shared" ca="1" si="140"/>
        <v>0</v>
      </c>
      <c r="I2650" s="11">
        <f t="shared" ca="1" si="141"/>
        <v>0</v>
      </c>
      <c r="J2650" s="11">
        <f t="shared" ca="1" si="142"/>
        <v>2</v>
      </c>
      <c r="K2650" s="10">
        <f t="shared" ref="K2650:K2713" ca="1" si="152">+IF($J2649=0,"",IF(AND(ABS($J2649)=1,ABS($I2649)=1),-$J2649*B2650,K2649))</f>
        <v>-101.92582</v>
      </c>
      <c r="L2650" s="11">
        <f t="shared" ref="L2650:L2713" ca="1" si="153">+IF($J2649=0,"",IF(AND(ABS($J2649)=1,ABS($I2649)=1),$J2649*C2650,L2649))</f>
        <v>40.496659999999999</v>
      </c>
      <c r="M2650" s="11">
        <f t="shared" ref="M2650:M2713" ca="1" si="154">+IF($J2649=0,"",IF(AND(ABS($J2649)=1,ABS($I2649)=1),D2650,M2649))</f>
        <v>2.5168900000000001</v>
      </c>
      <c r="N2650" s="15">
        <f t="shared" ref="N2650:N2713" ca="1" si="155">+IF(ISNUMBER(K2650),stocks,"")</f>
        <v>10</v>
      </c>
      <c r="O2650" s="15">
        <f t="shared" ref="O2650:O2713" ca="1" si="156">+IFERROR(ROUND(N2650*M2650,0),"")</f>
        <v>25</v>
      </c>
      <c r="P2650" s="16">
        <f t="shared" ref="P2650:P2713" ca="1" si="157">IFERROR(+N2650*K2650+O2650*L2650,"")</f>
        <v>-6.8417000000000598</v>
      </c>
      <c r="Q2650" s="11" t="str">
        <f t="shared" ca="1" si="143"/>
        <v/>
      </c>
      <c r="R2650" s="11" t="str">
        <f t="shared" ca="1" si="144"/>
        <v/>
      </c>
      <c r="S2650" s="61" t="str">
        <f t="shared" ca="1" si="145"/>
        <v/>
      </c>
      <c r="T2650" s="11" t="str">
        <f t="shared" ca="1" si="146"/>
        <v/>
      </c>
      <c r="U2650" s="11" t="str">
        <f t="shared" ca="1" si="147"/>
        <v/>
      </c>
      <c r="V2650" s="18" t="str">
        <f t="shared" ca="1" si="148"/>
        <v/>
      </c>
      <c r="W2650" s="61" t="str">
        <f t="shared" ca="1" si="149"/>
        <v/>
      </c>
      <c r="X2650" s="61">
        <f t="shared" ca="1" si="150"/>
        <v>0</v>
      </c>
      <c r="Y2650" s="64" t="str">
        <f t="shared" ca="1" si="151"/>
        <v/>
      </c>
    </row>
    <row r="2651" spans="1:25">
      <c r="A2651" s="2">
        <f>+Get_Data!A2650</f>
        <v>43290</v>
      </c>
      <c r="B2651">
        <f>+ROUND(Get_Data!B2650,5)</f>
        <v>100.77554000000001</v>
      </c>
      <c r="C2651">
        <f>+ROUND(Get_Data!C2650,5)</f>
        <v>41.25864</v>
      </c>
      <c r="D2651" s="4">
        <f t="shared" si="136"/>
        <v>2.4425300000000001</v>
      </c>
      <c r="E2651" s="22">
        <f t="shared" ca="1" si="137"/>
        <v>2.5298699999999998</v>
      </c>
      <c r="F2651" s="23">
        <f t="shared" ca="1" si="138"/>
        <v>2.3374799999999998</v>
      </c>
      <c r="G2651" s="10">
        <f t="shared" ca="1" si="139"/>
        <v>0</v>
      </c>
      <c r="H2651" s="12">
        <f t="shared" ca="1" si="140"/>
        <v>0</v>
      </c>
      <c r="I2651" s="11">
        <f t="shared" ca="1" si="141"/>
        <v>0</v>
      </c>
      <c r="J2651" s="11">
        <f t="shared" ca="1" si="142"/>
        <v>2</v>
      </c>
      <c r="K2651" s="10">
        <f t="shared" ca="1" si="152"/>
        <v>-101.92582</v>
      </c>
      <c r="L2651" s="11">
        <f t="shared" ca="1" si="153"/>
        <v>40.496659999999999</v>
      </c>
      <c r="M2651" s="11">
        <f t="shared" ca="1" si="154"/>
        <v>2.5168900000000001</v>
      </c>
      <c r="N2651" s="15">
        <f t="shared" ca="1" si="155"/>
        <v>10</v>
      </c>
      <c r="O2651" s="15">
        <f t="shared" ca="1" si="156"/>
        <v>25</v>
      </c>
      <c r="P2651" s="16">
        <f t="shared" ca="1" si="157"/>
        <v>-6.8417000000000598</v>
      </c>
      <c r="Q2651" s="11" t="str">
        <f t="shared" ca="1" si="143"/>
        <v/>
      </c>
      <c r="R2651" s="11" t="str">
        <f t="shared" ca="1" si="144"/>
        <v/>
      </c>
      <c r="S2651" s="61" t="str">
        <f t="shared" ca="1" si="145"/>
        <v/>
      </c>
      <c r="T2651" s="11" t="str">
        <f t="shared" ca="1" si="146"/>
        <v/>
      </c>
      <c r="U2651" s="11" t="str">
        <f t="shared" ca="1" si="147"/>
        <v/>
      </c>
      <c r="V2651" s="18" t="str">
        <f t="shared" ca="1" si="148"/>
        <v/>
      </c>
      <c r="W2651" s="61" t="str">
        <f t="shared" ca="1" si="149"/>
        <v/>
      </c>
      <c r="X2651" s="61">
        <f t="shared" ca="1" si="150"/>
        <v>0</v>
      </c>
      <c r="Y2651" s="64" t="str">
        <f t="shared" ca="1" si="151"/>
        <v/>
      </c>
    </row>
    <row r="2652" spans="1:25">
      <c r="A2652" s="2">
        <f>+Get_Data!A2651</f>
        <v>43291</v>
      </c>
      <c r="B2652">
        <f>+ROUND(Get_Data!B2651,5)</f>
        <v>105.57304000000001</v>
      </c>
      <c r="C2652">
        <f>+ROUND(Get_Data!C2651,5)</f>
        <v>41.788319999999999</v>
      </c>
      <c r="D2652" s="4">
        <f t="shared" si="136"/>
        <v>2.5263800000000001</v>
      </c>
      <c r="E2652" s="22">
        <f t="shared" ca="1" si="137"/>
        <v>2.5298699999999998</v>
      </c>
      <c r="F2652" s="23">
        <f t="shared" ca="1" si="138"/>
        <v>2.35568</v>
      </c>
      <c r="G2652" s="10">
        <f t="shared" ca="1" si="139"/>
        <v>0</v>
      </c>
      <c r="H2652" s="12">
        <f t="shared" ca="1" si="140"/>
        <v>0</v>
      </c>
      <c r="I2652" s="11">
        <f t="shared" ca="1" si="141"/>
        <v>0</v>
      </c>
      <c r="J2652" s="11">
        <f t="shared" ca="1" si="142"/>
        <v>2</v>
      </c>
      <c r="K2652" s="10">
        <f t="shared" ca="1" si="152"/>
        <v>-101.92582</v>
      </c>
      <c r="L2652" s="11">
        <f t="shared" ca="1" si="153"/>
        <v>40.496659999999999</v>
      </c>
      <c r="M2652" s="11">
        <f t="shared" ca="1" si="154"/>
        <v>2.5168900000000001</v>
      </c>
      <c r="N2652" s="15">
        <f t="shared" ca="1" si="155"/>
        <v>10</v>
      </c>
      <c r="O2652" s="15">
        <f t="shared" ca="1" si="156"/>
        <v>25</v>
      </c>
      <c r="P2652" s="16">
        <f t="shared" ca="1" si="157"/>
        <v>-6.8417000000000598</v>
      </c>
      <c r="Q2652" s="11" t="str">
        <f t="shared" ca="1" si="143"/>
        <v/>
      </c>
      <c r="R2652" s="11" t="str">
        <f t="shared" ca="1" si="144"/>
        <v/>
      </c>
      <c r="S2652" s="61" t="str">
        <f t="shared" ca="1" si="145"/>
        <v/>
      </c>
      <c r="T2652" s="11" t="str">
        <f t="shared" ca="1" si="146"/>
        <v/>
      </c>
      <c r="U2652" s="11" t="str">
        <f t="shared" ca="1" si="147"/>
        <v/>
      </c>
      <c r="V2652" s="18" t="str">
        <f t="shared" ca="1" si="148"/>
        <v/>
      </c>
      <c r="W2652" s="61" t="str">
        <f t="shared" ca="1" si="149"/>
        <v/>
      </c>
      <c r="X2652" s="61">
        <f t="shared" ca="1" si="150"/>
        <v>0</v>
      </c>
      <c r="Y2652" s="64" t="str">
        <f t="shared" ca="1" si="151"/>
        <v/>
      </c>
    </row>
    <row r="2653" spans="1:25">
      <c r="A2653" s="2">
        <f>+Get_Data!A2652</f>
        <v>43292</v>
      </c>
      <c r="B2653">
        <f>+ROUND(Get_Data!B2652,5)</f>
        <v>105.24574</v>
      </c>
      <c r="C2653">
        <f>+ROUND(Get_Data!C2652,5)</f>
        <v>41.621040000000001</v>
      </c>
      <c r="D2653" s="4">
        <f t="shared" si="136"/>
        <v>2.52867</v>
      </c>
      <c r="E2653" s="22">
        <f t="shared" ca="1" si="137"/>
        <v>2.5298699999999998</v>
      </c>
      <c r="F2653" s="23">
        <f t="shared" ca="1" si="138"/>
        <v>2.35568</v>
      </c>
      <c r="G2653" s="10">
        <f t="shared" ca="1" si="139"/>
        <v>0</v>
      </c>
      <c r="H2653" s="12">
        <f t="shared" ca="1" si="140"/>
        <v>0</v>
      </c>
      <c r="I2653" s="11">
        <f t="shared" ca="1" si="141"/>
        <v>0</v>
      </c>
      <c r="J2653" s="11">
        <f t="shared" ca="1" si="142"/>
        <v>2</v>
      </c>
      <c r="K2653" s="10">
        <f t="shared" ca="1" si="152"/>
        <v>-101.92582</v>
      </c>
      <c r="L2653" s="11">
        <f t="shared" ca="1" si="153"/>
        <v>40.496659999999999</v>
      </c>
      <c r="M2653" s="11">
        <f t="shared" ca="1" si="154"/>
        <v>2.5168900000000001</v>
      </c>
      <c r="N2653" s="15">
        <f t="shared" ca="1" si="155"/>
        <v>10</v>
      </c>
      <c r="O2653" s="15">
        <f t="shared" ca="1" si="156"/>
        <v>25</v>
      </c>
      <c r="P2653" s="16">
        <f t="shared" ca="1" si="157"/>
        <v>-6.8417000000000598</v>
      </c>
      <c r="Q2653" s="11" t="str">
        <f t="shared" ca="1" si="143"/>
        <v/>
      </c>
      <c r="R2653" s="11" t="str">
        <f t="shared" ca="1" si="144"/>
        <v/>
      </c>
      <c r="S2653" s="61" t="str">
        <f t="shared" ca="1" si="145"/>
        <v/>
      </c>
      <c r="T2653" s="11" t="str">
        <f t="shared" ca="1" si="146"/>
        <v/>
      </c>
      <c r="U2653" s="11" t="str">
        <f t="shared" ca="1" si="147"/>
        <v/>
      </c>
      <c r="V2653" s="18" t="str">
        <f t="shared" ca="1" si="148"/>
        <v/>
      </c>
      <c r="W2653" s="61" t="str">
        <f t="shared" ca="1" si="149"/>
        <v/>
      </c>
      <c r="X2653" s="61">
        <f t="shared" ca="1" si="150"/>
        <v>0</v>
      </c>
      <c r="Y2653" s="64" t="str">
        <f t="shared" ca="1" si="151"/>
        <v/>
      </c>
    </row>
    <row r="2654" spans="1:25">
      <c r="A2654" s="2">
        <f>+Get_Data!A2653</f>
        <v>43293</v>
      </c>
      <c r="B2654">
        <f>+ROUND(Get_Data!B2653,5)</f>
        <v>104.30119000000001</v>
      </c>
      <c r="C2654">
        <f>+ROUND(Get_Data!C2653,5)</f>
        <v>41.509540000000001</v>
      </c>
      <c r="D2654" s="4">
        <f t="shared" si="136"/>
        <v>2.5127000000000002</v>
      </c>
      <c r="E2654" s="22">
        <f t="shared" ca="1" si="137"/>
        <v>2.5298699999999998</v>
      </c>
      <c r="F2654" s="23">
        <f t="shared" ca="1" si="138"/>
        <v>2.3644799999999999</v>
      </c>
      <c r="G2654" s="10">
        <f t="shared" ca="1" si="139"/>
        <v>0</v>
      </c>
      <c r="H2654" s="12">
        <f t="shared" ca="1" si="140"/>
        <v>0</v>
      </c>
      <c r="I2654" s="11">
        <f t="shared" ca="1" si="141"/>
        <v>0</v>
      </c>
      <c r="J2654" s="11">
        <f t="shared" ca="1" si="142"/>
        <v>2</v>
      </c>
      <c r="K2654" s="10">
        <f t="shared" ca="1" si="152"/>
        <v>-101.92582</v>
      </c>
      <c r="L2654" s="11">
        <f t="shared" ca="1" si="153"/>
        <v>40.496659999999999</v>
      </c>
      <c r="M2654" s="11">
        <f t="shared" ca="1" si="154"/>
        <v>2.5168900000000001</v>
      </c>
      <c r="N2654" s="15">
        <f t="shared" ca="1" si="155"/>
        <v>10</v>
      </c>
      <c r="O2654" s="15">
        <f t="shared" ca="1" si="156"/>
        <v>25</v>
      </c>
      <c r="P2654" s="16">
        <f t="shared" ca="1" si="157"/>
        <v>-6.8417000000000598</v>
      </c>
      <c r="Q2654" s="11" t="str">
        <f t="shared" ca="1" si="143"/>
        <v/>
      </c>
      <c r="R2654" s="11" t="str">
        <f t="shared" ca="1" si="144"/>
        <v/>
      </c>
      <c r="S2654" s="61" t="str">
        <f t="shared" ca="1" si="145"/>
        <v/>
      </c>
      <c r="T2654" s="11" t="str">
        <f t="shared" ca="1" si="146"/>
        <v/>
      </c>
      <c r="U2654" s="11" t="str">
        <f t="shared" ca="1" si="147"/>
        <v/>
      </c>
      <c r="V2654" s="18" t="str">
        <f t="shared" ca="1" si="148"/>
        <v/>
      </c>
      <c r="W2654" s="61" t="str">
        <f t="shared" ca="1" si="149"/>
        <v/>
      </c>
      <c r="X2654" s="61">
        <f t="shared" ca="1" si="150"/>
        <v>0</v>
      </c>
      <c r="Y2654" s="64" t="str">
        <f t="shared" ca="1" si="151"/>
        <v/>
      </c>
    </row>
    <row r="2655" spans="1:25">
      <c r="A2655" s="2">
        <f>+Get_Data!A2654</f>
        <v>43294</v>
      </c>
      <c r="B2655">
        <f>+ROUND(Get_Data!B2654,5)</f>
        <v>105.386</v>
      </c>
      <c r="C2655">
        <f>+ROUND(Get_Data!C2654,5)</f>
        <v>41.574579999999997</v>
      </c>
      <c r="D2655" s="4">
        <f t="shared" si="136"/>
        <v>2.5348700000000002</v>
      </c>
      <c r="E2655" s="22">
        <f t="shared" ca="1" si="137"/>
        <v>2.5348700000000002</v>
      </c>
      <c r="F2655" s="23">
        <f t="shared" ca="1" si="138"/>
        <v>2.3677700000000002</v>
      </c>
      <c r="G2655" s="10">
        <f t="shared" ca="1" si="139"/>
        <v>1</v>
      </c>
      <c r="H2655" s="12">
        <f t="shared" ca="1" si="140"/>
        <v>0</v>
      </c>
      <c r="I2655" s="11">
        <f t="shared" ca="1" si="141"/>
        <v>1</v>
      </c>
      <c r="J2655" s="11">
        <f t="shared" ca="1" si="142"/>
        <v>0</v>
      </c>
      <c r="K2655" s="10">
        <f t="shared" ca="1" si="152"/>
        <v>-101.92582</v>
      </c>
      <c r="L2655" s="11">
        <f t="shared" ca="1" si="153"/>
        <v>40.496659999999999</v>
      </c>
      <c r="M2655" s="11">
        <f t="shared" ca="1" si="154"/>
        <v>2.5168900000000001</v>
      </c>
      <c r="N2655" s="15">
        <f t="shared" ca="1" si="155"/>
        <v>10</v>
      </c>
      <c r="O2655" s="15">
        <f t="shared" ca="1" si="156"/>
        <v>25</v>
      </c>
      <c r="P2655" s="16">
        <f t="shared" ca="1" si="157"/>
        <v>-6.8417000000000598</v>
      </c>
      <c r="Q2655" s="11" t="str">
        <f t="shared" ca="1" si="143"/>
        <v/>
      </c>
      <c r="R2655" s="11" t="str">
        <f t="shared" ca="1" si="144"/>
        <v/>
      </c>
      <c r="S2655" s="61" t="str">
        <f t="shared" ca="1" si="145"/>
        <v/>
      </c>
      <c r="T2655" s="11" t="str">
        <f t="shared" ca="1" si="146"/>
        <v/>
      </c>
      <c r="U2655" s="11" t="str">
        <f t="shared" ca="1" si="147"/>
        <v/>
      </c>
      <c r="V2655" s="18" t="str">
        <f t="shared" ca="1" si="148"/>
        <v/>
      </c>
      <c r="W2655" s="61" t="str">
        <f t="shared" ca="1" si="149"/>
        <v/>
      </c>
      <c r="X2655" s="61">
        <f t="shared" ca="1" si="150"/>
        <v>0</v>
      </c>
      <c r="Y2655" s="64" t="str">
        <f t="shared" ca="1" si="151"/>
        <v/>
      </c>
    </row>
    <row r="2656" spans="1:25">
      <c r="A2656" s="2">
        <f>+Get_Data!A2655</f>
        <v>43297</v>
      </c>
      <c r="B2656">
        <f>+ROUND(Get_Data!B2655,5)</f>
        <v>105.63851</v>
      </c>
      <c r="C2656">
        <f>+ROUND(Get_Data!C2655,5)</f>
        <v>41.565289999999997</v>
      </c>
      <c r="D2656" s="4">
        <f t="shared" si="136"/>
        <v>2.5415100000000002</v>
      </c>
      <c r="E2656" s="22">
        <f t="shared" ca="1" si="137"/>
        <v>2.5415100000000002</v>
      </c>
      <c r="F2656" s="23">
        <f t="shared" ca="1" si="138"/>
        <v>2.3746800000000001</v>
      </c>
      <c r="G2656" s="10">
        <f t="shared" ca="1" si="139"/>
        <v>1</v>
      </c>
      <c r="H2656" s="12">
        <f t="shared" ca="1" si="140"/>
        <v>0</v>
      </c>
      <c r="I2656" s="11">
        <f t="shared" ca="1" si="141"/>
        <v>1</v>
      </c>
      <c r="J2656" s="11">
        <f t="shared" ca="1" si="142"/>
        <v>1</v>
      </c>
      <c r="K2656" s="10" t="str">
        <f t="shared" ca="1" si="152"/>
        <v/>
      </c>
      <c r="L2656" s="11" t="str">
        <f t="shared" ca="1" si="153"/>
        <v/>
      </c>
      <c r="M2656" s="11" t="str">
        <f t="shared" ca="1" si="154"/>
        <v/>
      </c>
      <c r="N2656" s="15" t="str">
        <f t="shared" ca="1" si="155"/>
        <v/>
      </c>
      <c r="O2656" s="15" t="str">
        <f t="shared" ca="1" si="156"/>
        <v/>
      </c>
      <c r="P2656" s="16" t="str">
        <f t="shared" ca="1" si="157"/>
        <v/>
      </c>
      <c r="Q2656" s="11">
        <f t="shared" ca="1" si="143"/>
        <v>105.63851</v>
      </c>
      <c r="R2656" s="11">
        <f t="shared" ca="1" si="144"/>
        <v>41.565289999999997</v>
      </c>
      <c r="S2656" s="61">
        <f t="shared" ca="1" si="145"/>
        <v>2.5415100000000002</v>
      </c>
      <c r="T2656" s="11">
        <f t="shared" ca="1" si="146"/>
        <v>10</v>
      </c>
      <c r="U2656" s="11">
        <f t="shared" ca="1" si="147"/>
        <v>25</v>
      </c>
      <c r="V2656" s="18">
        <f t="shared" ca="1" si="148"/>
        <v>-2075.6432999999997</v>
      </c>
      <c r="W2656" s="61">
        <f t="shared" ca="1" si="149"/>
        <v>2051.5487499999999</v>
      </c>
      <c r="X2656" s="61">
        <f t="shared" ca="1" si="150"/>
        <v>-24.094549999999799</v>
      </c>
      <c r="Y2656" s="64">
        <f t="shared" ca="1" si="151"/>
        <v>-2.3187183344564467E-2</v>
      </c>
    </row>
    <row r="2657" spans="1:25">
      <c r="A2657" s="2">
        <f>+Get_Data!A2656</f>
        <v>43298</v>
      </c>
      <c r="B2657">
        <f>+ROUND(Get_Data!B2656,5)</f>
        <v>107.43406</v>
      </c>
      <c r="C2657">
        <f>+ROUND(Get_Data!C2656,5)</f>
        <v>42.048499999999997</v>
      </c>
      <c r="D2657" s="4">
        <f t="shared" si="136"/>
        <v>2.5550000000000002</v>
      </c>
      <c r="E2657" s="22">
        <f t="shared" ca="1" si="137"/>
        <v>2.5550000000000002</v>
      </c>
      <c r="F2657" s="23">
        <f t="shared" ca="1" si="138"/>
        <v>2.3887399999999999</v>
      </c>
      <c r="G2657" s="10">
        <f t="shared" ca="1" si="139"/>
        <v>1</v>
      </c>
      <c r="H2657" s="12">
        <f t="shared" ca="1" si="140"/>
        <v>0</v>
      </c>
      <c r="I2657" s="11">
        <f t="shared" ca="1" si="141"/>
        <v>1</v>
      </c>
      <c r="J2657" s="11">
        <f t="shared" ca="1" si="142"/>
        <v>2</v>
      </c>
      <c r="K2657" s="10">
        <f t="shared" ca="1" si="152"/>
        <v>-107.43406</v>
      </c>
      <c r="L2657" s="11">
        <f t="shared" ca="1" si="153"/>
        <v>42.048499999999997</v>
      </c>
      <c r="M2657" s="11">
        <f t="shared" ca="1" si="154"/>
        <v>2.5550000000000002</v>
      </c>
      <c r="N2657" s="15">
        <f t="shared" ca="1" si="155"/>
        <v>10</v>
      </c>
      <c r="O2657" s="15">
        <f t="shared" ca="1" si="156"/>
        <v>26</v>
      </c>
      <c r="P2657" s="16">
        <f t="shared" ca="1" si="157"/>
        <v>18.920399999999972</v>
      </c>
      <c r="Q2657" s="11" t="str">
        <f t="shared" ca="1" si="143"/>
        <v/>
      </c>
      <c r="R2657" s="11" t="str">
        <f t="shared" ca="1" si="144"/>
        <v/>
      </c>
      <c r="S2657" s="61" t="str">
        <f t="shared" ca="1" si="145"/>
        <v/>
      </c>
      <c r="T2657" s="11" t="str">
        <f t="shared" ca="1" si="146"/>
        <v/>
      </c>
      <c r="U2657" s="11" t="str">
        <f t="shared" ca="1" si="147"/>
        <v/>
      </c>
      <c r="V2657" s="18" t="str">
        <f t="shared" ca="1" si="148"/>
        <v/>
      </c>
      <c r="W2657" s="61" t="str">
        <f t="shared" ca="1" si="149"/>
        <v/>
      </c>
      <c r="X2657" s="61">
        <f t="shared" ca="1" si="150"/>
        <v>0</v>
      </c>
      <c r="Y2657" s="64" t="str">
        <f t="shared" ca="1" si="151"/>
        <v/>
      </c>
    </row>
    <row r="2658" spans="1:25">
      <c r="A2658" s="2">
        <f>+Get_Data!A2657</f>
        <v>43299</v>
      </c>
      <c r="B2658">
        <f>+ROUND(Get_Data!B2657,5)</f>
        <v>107.3873</v>
      </c>
      <c r="C2658">
        <f>+ROUND(Get_Data!C2657,5)</f>
        <v>41.927700000000002</v>
      </c>
      <c r="D2658" s="4">
        <f t="shared" si="136"/>
        <v>2.5612499999999998</v>
      </c>
      <c r="E2658" s="22">
        <f t="shared" ca="1" si="137"/>
        <v>2.5612499999999998</v>
      </c>
      <c r="F2658" s="23">
        <f t="shared" ca="1" si="138"/>
        <v>2.41933</v>
      </c>
      <c r="G2658" s="10">
        <f t="shared" ca="1" si="139"/>
        <v>1</v>
      </c>
      <c r="H2658" s="12">
        <f t="shared" ca="1" si="140"/>
        <v>0</v>
      </c>
      <c r="I2658" s="11">
        <f t="shared" ca="1" si="141"/>
        <v>1</v>
      </c>
      <c r="J2658" s="11">
        <f t="shared" ca="1" si="142"/>
        <v>0</v>
      </c>
      <c r="K2658" s="10">
        <f t="shared" ca="1" si="152"/>
        <v>-107.43406</v>
      </c>
      <c r="L2658" s="11">
        <f t="shared" ca="1" si="153"/>
        <v>42.048499999999997</v>
      </c>
      <c r="M2658" s="11">
        <f t="shared" ca="1" si="154"/>
        <v>2.5550000000000002</v>
      </c>
      <c r="N2658" s="15">
        <f t="shared" ca="1" si="155"/>
        <v>10</v>
      </c>
      <c r="O2658" s="15">
        <f t="shared" ca="1" si="156"/>
        <v>26</v>
      </c>
      <c r="P2658" s="16">
        <f t="shared" ca="1" si="157"/>
        <v>18.920399999999972</v>
      </c>
      <c r="Q2658" s="11" t="str">
        <f t="shared" ca="1" si="143"/>
        <v/>
      </c>
      <c r="R2658" s="11" t="str">
        <f t="shared" ca="1" si="144"/>
        <v/>
      </c>
      <c r="S2658" s="61" t="str">
        <f t="shared" ca="1" si="145"/>
        <v/>
      </c>
      <c r="T2658" s="11" t="str">
        <f t="shared" ca="1" si="146"/>
        <v/>
      </c>
      <c r="U2658" s="11" t="str">
        <f t="shared" ca="1" si="147"/>
        <v/>
      </c>
      <c r="V2658" s="18" t="str">
        <f t="shared" ca="1" si="148"/>
        <v/>
      </c>
      <c r="W2658" s="61" t="str">
        <f t="shared" ca="1" si="149"/>
        <v/>
      </c>
      <c r="X2658" s="61">
        <f t="shared" ca="1" si="150"/>
        <v>0</v>
      </c>
      <c r="Y2658" s="64" t="str">
        <f t="shared" ca="1" si="151"/>
        <v/>
      </c>
    </row>
    <row r="2659" spans="1:25">
      <c r="A2659" s="2">
        <f>+Get_Data!A2658</f>
        <v>43300</v>
      </c>
      <c r="B2659">
        <f>+ROUND(Get_Data!B2658,5)</f>
        <v>108.26636999999999</v>
      </c>
      <c r="C2659">
        <f>+ROUND(Get_Data!C2658,5)</f>
        <v>41.918410000000002</v>
      </c>
      <c r="D2659" s="4">
        <f t="shared" si="136"/>
        <v>2.5827900000000001</v>
      </c>
      <c r="E2659" s="22">
        <f t="shared" ca="1" si="137"/>
        <v>2.5827900000000001</v>
      </c>
      <c r="F2659" s="23">
        <f t="shared" ca="1" si="138"/>
        <v>2.4277600000000001</v>
      </c>
      <c r="G2659" s="10">
        <f t="shared" ca="1" si="139"/>
        <v>1</v>
      </c>
      <c r="H2659" s="12">
        <f t="shared" ca="1" si="140"/>
        <v>0</v>
      </c>
      <c r="I2659" s="11">
        <f t="shared" ca="1" si="141"/>
        <v>1</v>
      </c>
      <c r="J2659" s="11">
        <f t="shared" ca="1" si="142"/>
        <v>1</v>
      </c>
      <c r="K2659" s="10" t="str">
        <f t="shared" ca="1" si="152"/>
        <v/>
      </c>
      <c r="L2659" s="11" t="str">
        <f t="shared" ca="1" si="153"/>
        <v/>
      </c>
      <c r="M2659" s="11" t="str">
        <f t="shared" ca="1" si="154"/>
        <v/>
      </c>
      <c r="N2659" s="15" t="str">
        <f t="shared" ca="1" si="155"/>
        <v/>
      </c>
      <c r="O2659" s="15" t="str">
        <f t="shared" ca="1" si="156"/>
        <v/>
      </c>
      <c r="P2659" s="16" t="str">
        <f t="shared" ca="1" si="157"/>
        <v/>
      </c>
      <c r="Q2659" s="11">
        <f t="shared" ca="1" si="143"/>
        <v>108.26636999999999</v>
      </c>
      <c r="R2659" s="11">
        <f t="shared" ca="1" si="144"/>
        <v>41.918410000000002</v>
      </c>
      <c r="S2659" s="61">
        <f t="shared" ca="1" si="145"/>
        <v>2.5827900000000001</v>
      </c>
      <c r="T2659" s="11">
        <f t="shared" ca="1" si="146"/>
        <v>10</v>
      </c>
      <c r="U2659" s="11">
        <f t="shared" ca="1" si="147"/>
        <v>26</v>
      </c>
      <c r="V2659" s="18">
        <f t="shared" ca="1" si="148"/>
        <v>-2157.0042999999996</v>
      </c>
      <c r="W2659" s="61">
        <f t="shared" ca="1" si="149"/>
        <v>2183.1396599999998</v>
      </c>
      <c r="X2659" s="61">
        <f t="shared" ca="1" si="150"/>
        <v>26.135360000000219</v>
      </c>
      <c r="Y2659" s="64">
        <f t="shared" ca="1" si="151"/>
        <v>2.3980063982535649E-2</v>
      </c>
    </row>
    <row r="2660" spans="1:25">
      <c r="A2660" s="2">
        <f>+Get_Data!A2659</f>
        <v>43301</v>
      </c>
      <c r="B2660">
        <f>+ROUND(Get_Data!B2659,5)</f>
        <v>108.49081</v>
      </c>
      <c r="C2660">
        <f>+ROUND(Get_Data!C2659,5)</f>
        <v>42.076369999999997</v>
      </c>
      <c r="D2660" s="4">
        <f t="shared" si="136"/>
        <v>2.57843</v>
      </c>
      <c r="E2660" s="22">
        <f t="shared" ca="1" si="137"/>
        <v>2.5827900000000001</v>
      </c>
      <c r="F2660" s="23">
        <f t="shared" ca="1" si="138"/>
        <v>2.4352100000000001</v>
      </c>
      <c r="G2660" s="10">
        <f t="shared" ca="1" si="139"/>
        <v>0</v>
      </c>
      <c r="H2660" s="12">
        <f t="shared" ca="1" si="140"/>
        <v>0</v>
      </c>
      <c r="I2660" s="11">
        <f t="shared" ca="1" si="141"/>
        <v>0</v>
      </c>
      <c r="J2660" s="11">
        <f t="shared" ca="1" si="142"/>
        <v>1</v>
      </c>
      <c r="K2660" s="10">
        <f t="shared" ca="1" si="152"/>
        <v>-108.49081</v>
      </c>
      <c r="L2660" s="11">
        <f t="shared" ca="1" si="153"/>
        <v>42.076369999999997</v>
      </c>
      <c r="M2660" s="11">
        <f t="shared" ca="1" si="154"/>
        <v>2.57843</v>
      </c>
      <c r="N2660" s="15">
        <f t="shared" ca="1" si="155"/>
        <v>10</v>
      </c>
      <c r="O2660" s="15">
        <f t="shared" ca="1" si="156"/>
        <v>26</v>
      </c>
      <c r="P2660" s="16">
        <f t="shared" ca="1" si="157"/>
        <v>9.0775200000000495</v>
      </c>
      <c r="Q2660" s="11" t="str">
        <f t="shared" ca="1" si="143"/>
        <v/>
      </c>
      <c r="R2660" s="11" t="str">
        <f t="shared" ca="1" si="144"/>
        <v/>
      </c>
      <c r="S2660" s="61" t="str">
        <f t="shared" ca="1" si="145"/>
        <v/>
      </c>
      <c r="T2660" s="11" t="str">
        <f t="shared" ca="1" si="146"/>
        <v/>
      </c>
      <c r="U2660" s="11" t="str">
        <f t="shared" ca="1" si="147"/>
        <v/>
      </c>
      <c r="V2660" s="18" t="str">
        <f t="shared" ca="1" si="148"/>
        <v/>
      </c>
      <c r="W2660" s="61" t="str">
        <f t="shared" ca="1" si="149"/>
        <v/>
      </c>
      <c r="X2660" s="61">
        <f t="shared" ca="1" si="150"/>
        <v>0</v>
      </c>
      <c r="Y2660" s="64" t="str">
        <f t="shared" ca="1" si="151"/>
        <v/>
      </c>
    </row>
    <row r="2661" spans="1:25">
      <c r="A2661" s="2">
        <f>+Get_Data!A2660</f>
        <v>43304</v>
      </c>
      <c r="B2661">
        <f>+ROUND(Get_Data!B2660,5)</f>
        <v>106.97582</v>
      </c>
      <c r="C2661">
        <f>+ROUND(Get_Data!C2660,5)</f>
        <v>41.769730000000003</v>
      </c>
      <c r="D2661" s="4">
        <f t="shared" si="136"/>
        <v>2.56108</v>
      </c>
      <c r="E2661" s="22">
        <f t="shared" ca="1" si="137"/>
        <v>2.5827900000000001</v>
      </c>
      <c r="F2661" s="23">
        <f t="shared" ca="1" si="138"/>
        <v>2.4352100000000001</v>
      </c>
      <c r="G2661" s="10">
        <f t="shared" ca="1" si="139"/>
        <v>0</v>
      </c>
      <c r="H2661" s="12">
        <f t="shared" ca="1" si="140"/>
        <v>0</v>
      </c>
      <c r="I2661" s="11">
        <f t="shared" ca="1" si="141"/>
        <v>0</v>
      </c>
      <c r="J2661" s="11">
        <f t="shared" ca="1" si="142"/>
        <v>1</v>
      </c>
      <c r="K2661" s="10">
        <f t="shared" ca="1" si="152"/>
        <v>-108.49081</v>
      </c>
      <c r="L2661" s="11">
        <f t="shared" ca="1" si="153"/>
        <v>42.076369999999997</v>
      </c>
      <c r="M2661" s="11">
        <f t="shared" ca="1" si="154"/>
        <v>2.57843</v>
      </c>
      <c r="N2661" s="15">
        <f t="shared" ca="1" si="155"/>
        <v>10</v>
      </c>
      <c r="O2661" s="15">
        <f t="shared" ca="1" si="156"/>
        <v>26</v>
      </c>
      <c r="P2661" s="16">
        <f t="shared" ca="1" si="157"/>
        <v>9.0775200000000495</v>
      </c>
      <c r="Q2661" s="11" t="str">
        <f t="shared" ca="1" si="143"/>
        <v/>
      </c>
      <c r="R2661" s="11" t="str">
        <f t="shared" ca="1" si="144"/>
        <v/>
      </c>
      <c r="S2661" s="61" t="str">
        <f t="shared" ca="1" si="145"/>
        <v/>
      </c>
      <c r="T2661" s="11" t="str">
        <f t="shared" ca="1" si="146"/>
        <v/>
      </c>
      <c r="U2661" s="11" t="str">
        <f t="shared" ca="1" si="147"/>
        <v/>
      </c>
      <c r="V2661" s="18" t="str">
        <f t="shared" ca="1" si="148"/>
        <v/>
      </c>
      <c r="W2661" s="61" t="str">
        <f t="shared" ca="1" si="149"/>
        <v/>
      </c>
      <c r="X2661" s="61">
        <f t="shared" ca="1" si="150"/>
        <v>0</v>
      </c>
      <c r="Y2661" s="64" t="str">
        <f t="shared" ca="1" si="151"/>
        <v/>
      </c>
    </row>
    <row r="2662" spans="1:25">
      <c r="A2662" s="2">
        <f>+Get_Data!A2661</f>
        <v>43305</v>
      </c>
      <c r="B2662">
        <f>+ROUND(Get_Data!B2661,5)</f>
        <v>107.30313</v>
      </c>
      <c r="C2662">
        <f>+ROUND(Get_Data!C2661,5)</f>
        <v>42.057789999999997</v>
      </c>
      <c r="D2662" s="4">
        <f t="shared" si="136"/>
        <v>2.5513300000000001</v>
      </c>
      <c r="E2662" s="22">
        <f t="shared" ca="1" si="137"/>
        <v>2.5827900000000001</v>
      </c>
      <c r="F2662" s="23">
        <f t="shared" ca="1" si="138"/>
        <v>2.4425300000000001</v>
      </c>
      <c r="G2662" s="10">
        <f t="shared" ca="1" si="139"/>
        <v>0</v>
      </c>
      <c r="H2662" s="12">
        <f t="shared" ca="1" si="140"/>
        <v>0</v>
      </c>
      <c r="I2662" s="11">
        <f t="shared" ca="1" si="141"/>
        <v>0</v>
      </c>
      <c r="J2662" s="11">
        <f t="shared" ca="1" si="142"/>
        <v>1</v>
      </c>
      <c r="K2662" s="10">
        <f t="shared" ca="1" si="152"/>
        <v>-108.49081</v>
      </c>
      <c r="L2662" s="11">
        <f t="shared" ca="1" si="153"/>
        <v>42.076369999999997</v>
      </c>
      <c r="M2662" s="11">
        <f t="shared" ca="1" si="154"/>
        <v>2.57843</v>
      </c>
      <c r="N2662" s="15">
        <f t="shared" ca="1" si="155"/>
        <v>10</v>
      </c>
      <c r="O2662" s="15">
        <f t="shared" ca="1" si="156"/>
        <v>26</v>
      </c>
      <c r="P2662" s="16">
        <f t="shared" ca="1" si="157"/>
        <v>9.0775200000000495</v>
      </c>
      <c r="Q2662" s="11" t="str">
        <f t="shared" ca="1" si="143"/>
        <v/>
      </c>
      <c r="R2662" s="11" t="str">
        <f t="shared" ca="1" si="144"/>
        <v/>
      </c>
      <c r="S2662" s="61" t="str">
        <f t="shared" ca="1" si="145"/>
        <v/>
      </c>
      <c r="T2662" s="11" t="str">
        <f t="shared" ca="1" si="146"/>
        <v/>
      </c>
      <c r="U2662" s="11" t="str">
        <f t="shared" ca="1" si="147"/>
        <v/>
      </c>
      <c r="V2662" s="18" t="str">
        <f t="shared" ca="1" si="148"/>
        <v/>
      </c>
      <c r="W2662" s="61" t="str">
        <f t="shared" ca="1" si="149"/>
        <v/>
      </c>
      <c r="X2662" s="61">
        <f t="shared" ca="1" si="150"/>
        <v>0</v>
      </c>
      <c r="Y2662" s="64" t="str">
        <f t="shared" ca="1" si="151"/>
        <v/>
      </c>
    </row>
    <row r="2663" spans="1:25">
      <c r="A2663" s="2">
        <f>+Get_Data!A2662</f>
        <v>43306</v>
      </c>
      <c r="B2663">
        <f>+ROUND(Get_Data!B2662,5)</f>
        <v>107.74267999999999</v>
      </c>
      <c r="C2663">
        <f>+ROUND(Get_Data!C2662,5)</f>
        <v>42.829070000000002</v>
      </c>
      <c r="D2663" s="4">
        <f t="shared" si="136"/>
        <v>2.5156399999999999</v>
      </c>
      <c r="E2663" s="22">
        <f t="shared" ca="1" si="137"/>
        <v>2.5827900000000001</v>
      </c>
      <c r="F2663" s="23">
        <f t="shared" ca="1" si="138"/>
        <v>2.4425300000000001</v>
      </c>
      <c r="G2663" s="10">
        <f t="shared" ca="1" si="139"/>
        <v>0</v>
      </c>
      <c r="H2663" s="12">
        <f t="shared" ca="1" si="140"/>
        <v>0</v>
      </c>
      <c r="I2663" s="11">
        <f t="shared" ca="1" si="141"/>
        <v>0</v>
      </c>
      <c r="J2663" s="11">
        <f t="shared" ca="1" si="142"/>
        <v>1</v>
      </c>
      <c r="K2663" s="10">
        <f t="shared" ca="1" si="152"/>
        <v>-108.49081</v>
      </c>
      <c r="L2663" s="11">
        <f t="shared" ca="1" si="153"/>
        <v>42.076369999999997</v>
      </c>
      <c r="M2663" s="11">
        <f t="shared" ca="1" si="154"/>
        <v>2.57843</v>
      </c>
      <c r="N2663" s="15">
        <f t="shared" ca="1" si="155"/>
        <v>10</v>
      </c>
      <c r="O2663" s="15">
        <f t="shared" ca="1" si="156"/>
        <v>26</v>
      </c>
      <c r="P2663" s="16">
        <f t="shared" ca="1" si="157"/>
        <v>9.0775200000000495</v>
      </c>
      <c r="Q2663" s="11" t="str">
        <f t="shared" ca="1" si="143"/>
        <v/>
      </c>
      <c r="R2663" s="11" t="str">
        <f t="shared" ca="1" si="144"/>
        <v/>
      </c>
      <c r="S2663" s="61" t="str">
        <f t="shared" ca="1" si="145"/>
        <v/>
      </c>
      <c r="T2663" s="11" t="str">
        <f t="shared" ca="1" si="146"/>
        <v/>
      </c>
      <c r="U2663" s="11" t="str">
        <f t="shared" ca="1" si="147"/>
        <v/>
      </c>
      <c r="V2663" s="18" t="str">
        <f t="shared" ca="1" si="148"/>
        <v/>
      </c>
      <c r="W2663" s="61" t="str">
        <f t="shared" ca="1" si="149"/>
        <v/>
      </c>
      <c r="X2663" s="61">
        <f t="shared" ca="1" si="150"/>
        <v>0</v>
      </c>
      <c r="Y2663" s="64" t="str">
        <f t="shared" ca="1" si="151"/>
        <v/>
      </c>
    </row>
    <row r="2664" spans="1:25">
      <c r="A2664" s="2">
        <f>+Get_Data!A2663</f>
        <v>43307</v>
      </c>
      <c r="B2664">
        <f>+ROUND(Get_Data!B2663,5)</f>
        <v>107.54629</v>
      </c>
      <c r="C2664">
        <f>+ROUND(Get_Data!C2663,5)</f>
        <v>42.96846</v>
      </c>
      <c r="D2664" s="4">
        <f t="shared" si="136"/>
        <v>2.50291</v>
      </c>
      <c r="E2664" s="22">
        <f t="shared" ca="1" si="137"/>
        <v>2.5827900000000001</v>
      </c>
      <c r="F2664" s="23">
        <f t="shared" ca="1" si="138"/>
        <v>2.4425300000000001</v>
      </c>
      <c r="G2664" s="10">
        <f t="shared" ca="1" si="139"/>
        <v>0</v>
      </c>
      <c r="H2664" s="12">
        <f t="shared" ca="1" si="140"/>
        <v>0</v>
      </c>
      <c r="I2664" s="11">
        <f t="shared" ca="1" si="141"/>
        <v>0</v>
      </c>
      <c r="J2664" s="11">
        <f t="shared" ca="1" si="142"/>
        <v>1</v>
      </c>
      <c r="K2664" s="10">
        <f t="shared" ca="1" si="152"/>
        <v>-108.49081</v>
      </c>
      <c r="L2664" s="11">
        <f t="shared" ca="1" si="153"/>
        <v>42.076369999999997</v>
      </c>
      <c r="M2664" s="11">
        <f t="shared" ca="1" si="154"/>
        <v>2.57843</v>
      </c>
      <c r="N2664" s="15">
        <f t="shared" ca="1" si="155"/>
        <v>10</v>
      </c>
      <c r="O2664" s="15">
        <f t="shared" ca="1" si="156"/>
        <v>26</v>
      </c>
      <c r="P2664" s="16">
        <f t="shared" ca="1" si="157"/>
        <v>9.0775200000000495</v>
      </c>
      <c r="Q2664" s="11" t="str">
        <f t="shared" ca="1" si="143"/>
        <v/>
      </c>
      <c r="R2664" s="11" t="str">
        <f t="shared" ca="1" si="144"/>
        <v/>
      </c>
      <c r="S2664" s="61" t="str">
        <f t="shared" ca="1" si="145"/>
        <v/>
      </c>
      <c r="T2664" s="11" t="str">
        <f t="shared" ca="1" si="146"/>
        <v/>
      </c>
      <c r="U2664" s="11" t="str">
        <f t="shared" ca="1" si="147"/>
        <v/>
      </c>
      <c r="V2664" s="18" t="str">
        <f t="shared" ca="1" si="148"/>
        <v/>
      </c>
      <c r="W2664" s="61" t="str">
        <f t="shared" ca="1" si="149"/>
        <v/>
      </c>
      <c r="X2664" s="61">
        <f t="shared" ca="1" si="150"/>
        <v>0</v>
      </c>
      <c r="Y2664" s="64" t="str">
        <f t="shared" ca="1" si="151"/>
        <v/>
      </c>
    </row>
    <row r="2665" spans="1:25">
      <c r="A2665" s="2">
        <f>+Get_Data!A2664</f>
        <v>43308</v>
      </c>
      <c r="B2665">
        <f>+ROUND(Get_Data!B2664,5)</f>
        <v>106.87296000000001</v>
      </c>
      <c r="C2665">
        <f>+ROUND(Get_Data!C2664,5)</f>
        <v>42.940579999999997</v>
      </c>
      <c r="D2665" s="4">
        <f t="shared" si="136"/>
        <v>2.4888599999999999</v>
      </c>
      <c r="E2665" s="22">
        <f t="shared" ca="1" si="137"/>
        <v>2.5827900000000001</v>
      </c>
      <c r="F2665" s="23">
        <f t="shared" ca="1" si="138"/>
        <v>2.4425300000000001</v>
      </c>
      <c r="G2665" s="10">
        <f t="shared" ca="1" si="139"/>
        <v>0</v>
      </c>
      <c r="H2665" s="12">
        <f t="shared" ca="1" si="140"/>
        <v>0</v>
      </c>
      <c r="I2665" s="11">
        <f t="shared" ca="1" si="141"/>
        <v>0</v>
      </c>
      <c r="J2665" s="11">
        <f t="shared" ca="1" si="142"/>
        <v>1</v>
      </c>
      <c r="K2665" s="10">
        <f t="shared" ca="1" si="152"/>
        <v>-108.49081</v>
      </c>
      <c r="L2665" s="11">
        <f t="shared" ca="1" si="153"/>
        <v>42.076369999999997</v>
      </c>
      <c r="M2665" s="11">
        <f t="shared" ca="1" si="154"/>
        <v>2.57843</v>
      </c>
      <c r="N2665" s="15">
        <f t="shared" ca="1" si="155"/>
        <v>10</v>
      </c>
      <c r="O2665" s="15">
        <f t="shared" ca="1" si="156"/>
        <v>26</v>
      </c>
      <c r="P2665" s="16">
        <f t="shared" ca="1" si="157"/>
        <v>9.0775200000000495</v>
      </c>
      <c r="Q2665" s="11" t="str">
        <f t="shared" ca="1" si="143"/>
        <v/>
      </c>
      <c r="R2665" s="11" t="str">
        <f t="shared" ca="1" si="144"/>
        <v/>
      </c>
      <c r="S2665" s="61" t="str">
        <f t="shared" ca="1" si="145"/>
        <v/>
      </c>
      <c r="T2665" s="11" t="str">
        <f t="shared" ca="1" si="146"/>
        <v/>
      </c>
      <c r="U2665" s="11" t="str">
        <f t="shared" ca="1" si="147"/>
        <v/>
      </c>
      <c r="V2665" s="18" t="str">
        <f t="shared" ca="1" si="148"/>
        <v/>
      </c>
      <c r="W2665" s="61" t="str">
        <f t="shared" ca="1" si="149"/>
        <v/>
      </c>
      <c r="X2665" s="61">
        <f t="shared" ca="1" si="150"/>
        <v>0</v>
      </c>
      <c r="Y2665" s="64" t="str">
        <f t="shared" ca="1" si="151"/>
        <v/>
      </c>
    </row>
    <row r="2666" spans="1:25">
      <c r="A2666" s="2">
        <f>+Get_Data!A2665</f>
        <v>43311</v>
      </c>
      <c r="B2666">
        <f>+ROUND(Get_Data!B2665,5)</f>
        <v>106.77943</v>
      </c>
      <c r="C2666">
        <f>+ROUND(Get_Data!C2665,5)</f>
        <v>42.959159999999997</v>
      </c>
      <c r="D2666" s="4">
        <f t="shared" si="136"/>
        <v>2.4855999999999998</v>
      </c>
      <c r="E2666" s="22">
        <f t="shared" ca="1" si="137"/>
        <v>2.5827900000000001</v>
      </c>
      <c r="F2666" s="23">
        <f t="shared" ca="1" si="138"/>
        <v>2.4425300000000001</v>
      </c>
      <c r="G2666" s="10">
        <f t="shared" ca="1" si="139"/>
        <v>0</v>
      </c>
      <c r="H2666" s="12">
        <f t="shared" ca="1" si="140"/>
        <v>0</v>
      </c>
      <c r="I2666" s="11">
        <f t="shared" ca="1" si="141"/>
        <v>0</v>
      </c>
      <c r="J2666" s="11">
        <f t="shared" ca="1" si="142"/>
        <v>1</v>
      </c>
      <c r="K2666" s="10">
        <f t="shared" ca="1" si="152"/>
        <v>-108.49081</v>
      </c>
      <c r="L2666" s="11">
        <f t="shared" ca="1" si="153"/>
        <v>42.076369999999997</v>
      </c>
      <c r="M2666" s="11">
        <f t="shared" ca="1" si="154"/>
        <v>2.57843</v>
      </c>
      <c r="N2666" s="15">
        <f t="shared" ca="1" si="155"/>
        <v>10</v>
      </c>
      <c r="O2666" s="15">
        <f t="shared" ca="1" si="156"/>
        <v>26</v>
      </c>
      <c r="P2666" s="16">
        <f t="shared" ca="1" si="157"/>
        <v>9.0775200000000495</v>
      </c>
      <c r="Q2666" s="11" t="str">
        <f t="shared" ca="1" si="143"/>
        <v/>
      </c>
      <c r="R2666" s="11" t="str">
        <f t="shared" ca="1" si="144"/>
        <v/>
      </c>
      <c r="S2666" s="61" t="str">
        <f t="shared" ca="1" si="145"/>
        <v/>
      </c>
      <c r="T2666" s="11" t="str">
        <f t="shared" ca="1" si="146"/>
        <v/>
      </c>
      <c r="U2666" s="11" t="str">
        <f t="shared" ca="1" si="147"/>
        <v/>
      </c>
      <c r="V2666" s="18" t="str">
        <f t="shared" ca="1" si="148"/>
        <v/>
      </c>
      <c r="W2666" s="61" t="str">
        <f t="shared" ca="1" si="149"/>
        <v/>
      </c>
      <c r="X2666" s="61">
        <f t="shared" ca="1" si="150"/>
        <v>0</v>
      </c>
      <c r="Y2666" s="64" t="str">
        <f t="shared" ca="1" si="151"/>
        <v/>
      </c>
    </row>
    <row r="2667" spans="1:25">
      <c r="A2667" s="2">
        <f>+Get_Data!A2666</f>
        <v>43312</v>
      </c>
      <c r="B2667">
        <f>+ROUND(Get_Data!B2666,5)</f>
        <v>107.54629</v>
      </c>
      <c r="C2667">
        <f>+ROUND(Get_Data!C2666,5)</f>
        <v>43.330869999999997</v>
      </c>
      <c r="D2667" s="4">
        <f t="shared" si="136"/>
        <v>2.4819800000000001</v>
      </c>
      <c r="E2667" s="22">
        <f t="shared" ca="1" si="137"/>
        <v>2.5827900000000001</v>
      </c>
      <c r="F2667" s="23">
        <f t="shared" ca="1" si="138"/>
        <v>2.4425300000000001</v>
      </c>
      <c r="G2667" s="10">
        <f t="shared" ca="1" si="139"/>
        <v>0</v>
      </c>
      <c r="H2667" s="12">
        <f t="shared" ca="1" si="140"/>
        <v>0</v>
      </c>
      <c r="I2667" s="11">
        <f t="shared" ca="1" si="141"/>
        <v>0</v>
      </c>
      <c r="J2667" s="11">
        <f t="shared" ca="1" si="142"/>
        <v>1</v>
      </c>
      <c r="K2667" s="10">
        <f t="shared" ca="1" si="152"/>
        <v>-108.49081</v>
      </c>
      <c r="L2667" s="11">
        <f t="shared" ca="1" si="153"/>
        <v>42.076369999999997</v>
      </c>
      <c r="M2667" s="11">
        <f t="shared" ca="1" si="154"/>
        <v>2.57843</v>
      </c>
      <c r="N2667" s="15">
        <f t="shared" ca="1" si="155"/>
        <v>10</v>
      </c>
      <c r="O2667" s="15">
        <f t="shared" ca="1" si="156"/>
        <v>26</v>
      </c>
      <c r="P2667" s="16">
        <f t="shared" ca="1" si="157"/>
        <v>9.0775200000000495</v>
      </c>
      <c r="Q2667" s="11" t="str">
        <f t="shared" ca="1" si="143"/>
        <v/>
      </c>
      <c r="R2667" s="11" t="str">
        <f t="shared" ca="1" si="144"/>
        <v/>
      </c>
      <c r="S2667" s="61" t="str">
        <f t="shared" ca="1" si="145"/>
        <v/>
      </c>
      <c r="T2667" s="11" t="str">
        <f t="shared" ca="1" si="146"/>
        <v/>
      </c>
      <c r="U2667" s="11" t="str">
        <f t="shared" ca="1" si="147"/>
        <v/>
      </c>
      <c r="V2667" s="18" t="str">
        <f t="shared" ca="1" si="148"/>
        <v/>
      </c>
      <c r="W2667" s="61" t="str">
        <f t="shared" ca="1" si="149"/>
        <v/>
      </c>
      <c r="X2667" s="61">
        <f t="shared" ca="1" si="150"/>
        <v>0</v>
      </c>
      <c r="Y2667" s="64" t="str">
        <f t="shared" ca="1" si="151"/>
        <v/>
      </c>
    </row>
    <row r="2668" spans="1:25">
      <c r="A2668" s="2">
        <f>+Get_Data!A2667</f>
        <v>43313</v>
      </c>
      <c r="B2668">
        <f>+ROUND(Get_Data!B2667,5)</f>
        <v>106.24637</v>
      </c>
      <c r="C2668">
        <f>+ROUND(Get_Data!C2667,5)</f>
        <v>43.107840000000003</v>
      </c>
      <c r="D2668" s="4">
        <f t="shared" si="136"/>
        <v>2.4646599999999999</v>
      </c>
      <c r="E2668" s="22">
        <f t="shared" ca="1" si="137"/>
        <v>2.5827900000000001</v>
      </c>
      <c r="F2668" s="23">
        <f t="shared" ca="1" si="138"/>
        <v>2.4425300000000001</v>
      </c>
      <c r="G2668" s="10">
        <f t="shared" ca="1" si="139"/>
        <v>0</v>
      </c>
      <c r="H2668" s="12">
        <f t="shared" ca="1" si="140"/>
        <v>0</v>
      </c>
      <c r="I2668" s="11">
        <f t="shared" ca="1" si="141"/>
        <v>0</v>
      </c>
      <c r="J2668" s="11">
        <f t="shared" ca="1" si="142"/>
        <v>1</v>
      </c>
      <c r="K2668" s="10">
        <f t="shared" ca="1" si="152"/>
        <v>-108.49081</v>
      </c>
      <c r="L2668" s="11">
        <f t="shared" ca="1" si="153"/>
        <v>42.076369999999997</v>
      </c>
      <c r="M2668" s="11">
        <f t="shared" ca="1" si="154"/>
        <v>2.57843</v>
      </c>
      <c r="N2668" s="15">
        <f t="shared" ca="1" si="155"/>
        <v>10</v>
      </c>
      <c r="O2668" s="15">
        <f t="shared" ca="1" si="156"/>
        <v>26</v>
      </c>
      <c r="P2668" s="16">
        <f t="shared" ca="1" si="157"/>
        <v>9.0775200000000495</v>
      </c>
      <c r="Q2668" s="11" t="str">
        <f t="shared" ca="1" si="143"/>
        <v/>
      </c>
      <c r="R2668" s="11" t="str">
        <f t="shared" ca="1" si="144"/>
        <v/>
      </c>
      <c r="S2668" s="61" t="str">
        <f t="shared" ca="1" si="145"/>
        <v/>
      </c>
      <c r="T2668" s="11" t="str">
        <f t="shared" ca="1" si="146"/>
        <v/>
      </c>
      <c r="U2668" s="11" t="str">
        <f t="shared" ca="1" si="147"/>
        <v/>
      </c>
      <c r="V2668" s="18" t="str">
        <f t="shared" ca="1" si="148"/>
        <v/>
      </c>
      <c r="W2668" s="61" t="str">
        <f t="shared" ca="1" si="149"/>
        <v/>
      </c>
      <c r="X2668" s="61">
        <f t="shared" ca="1" si="150"/>
        <v>0</v>
      </c>
      <c r="Y2668" s="64" t="str">
        <f t="shared" ca="1" si="151"/>
        <v/>
      </c>
    </row>
    <row r="2669" spans="1:25">
      <c r="A2669" s="2">
        <f>+Get_Data!A2668</f>
        <v>43314</v>
      </c>
      <c r="B2669">
        <f>+ROUND(Get_Data!B2668,5)</f>
        <v>107.25637</v>
      </c>
      <c r="C2669">
        <f>+ROUND(Get_Data!C2668,5)</f>
        <v>42.912700000000001</v>
      </c>
      <c r="D2669" s="4">
        <f t="shared" si="136"/>
        <v>2.4994100000000001</v>
      </c>
      <c r="E2669" s="22">
        <f t="shared" ca="1" si="137"/>
        <v>2.5827900000000001</v>
      </c>
      <c r="F2669" s="23">
        <f t="shared" ca="1" si="138"/>
        <v>2.4425300000000001</v>
      </c>
      <c r="G2669" s="10">
        <f t="shared" ca="1" si="139"/>
        <v>0</v>
      </c>
      <c r="H2669" s="12">
        <f t="shared" ca="1" si="140"/>
        <v>0</v>
      </c>
      <c r="I2669" s="11">
        <f t="shared" ca="1" si="141"/>
        <v>0</v>
      </c>
      <c r="J2669" s="11">
        <f t="shared" ca="1" si="142"/>
        <v>1</v>
      </c>
      <c r="K2669" s="10">
        <f t="shared" ca="1" si="152"/>
        <v>-108.49081</v>
      </c>
      <c r="L2669" s="11">
        <f t="shared" ca="1" si="153"/>
        <v>42.076369999999997</v>
      </c>
      <c r="M2669" s="11">
        <f t="shared" ca="1" si="154"/>
        <v>2.57843</v>
      </c>
      <c r="N2669" s="15">
        <f t="shared" ca="1" si="155"/>
        <v>10</v>
      </c>
      <c r="O2669" s="15">
        <f t="shared" ca="1" si="156"/>
        <v>26</v>
      </c>
      <c r="P2669" s="16">
        <f t="shared" ca="1" si="157"/>
        <v>9.0775200000000495</v>
      </c>
      <c r="Q2669" s="11" t="str">
        <f t="shared" ca="1" si="143"/>
        <v/>
      </c>
      <c r="R2669" s="11" t="str">
        <f t="shared" ca="1" si="144"/>
        <v/>
      </c>
      <c r="S2669" s="61" t="str">
        <f t="shared" ca="1" si="145"/>
        <v/>
      </c>
      <c r="T2669" s="11" t="str">
        <f t="shared" ca="1" si="146"/>
        <v/>
      </c>
      <c r="U2669" s="11" t="str">
        <f t="shared" ca="1" si="147"/>
        <v/>
      </c>
      <c r="V2669" s="18" t="str">
        <f t="shared" ca="1" si="148"/>
        <v/>
      </c>
      <c r="W2669" s="61" t="str">
        <f t="shared" ca="1" si="149"/>
        <v/>
      </c>
      <c r="X2669" s="61">
        <f t="shared" ca="1" si="150"/>
        <v>0</v>
      </c>
      <c r="Y2669" s="64" t="str">
        <f t="shared" ca="1" si="151"/>
        <v/>
      </c>
    </row>
    <row r="2670" spans="1:25">
      <c r="A2670" s="2">
        <f>+Get_Data!A2669</f>
        <v>43315</v>
      </c>
      <c r="B2670">
        <f>+ROUND(Get_Data!B2669,5)</f>
        <v>108.76202000000001</v>
      </c>
      <c r="C2670">
        <f>+ROUND(Get_Data!C2669,5)</f>
        <v>43.321579999999997</v>
      </c>
      <c r="D2670" s="4">
        <f t="shared" si="136"/>
        <v>2.51057</v>
      </c>
      <c r="E2670" s="22">
        <f t="shared" ca="1" si="137"/>
        <v>2.5827900000000001</v>
      </c>
      <c r="F2670" s="23">
        <f t="shared" ca="1" si="138"/>
        <v>2.4425300000000001</v>
      </c>
      <c r="G2670" s="10">
        <f t="shared" ca="1" si="139"/>
        <v>0</v>
      </c>
      <c r="H2670" s="12">
        <f t="shared" ca="1" si="140"/>
        <v>0</v>
      </c>
      <c r="I2670" s="11">
        <f t="shared" ca="1" si="141"/>
        <v>0</v>
      </c>
      <c r="J2670" s="11">
        <f t="shared" ca="1" si="142"/>
        <v>1</v>
      </c>
      <c r="K2670" s="10">
        <f t="shared" ca="1" si="152"/>
        <v>-108.49081</v>
      </c>
      <c r="L2670" s="11">
        <f t="shared" ca="1" si="153"/>
        <v>42.076369999999997</v>
      </c>
      <c r="M2670" s="11">
        <f t="shared" ca="1" si="154"/>
        <v>2.57843</v>
      </c>
      <c r="N2670" s="15">
        <f t="shared" ca="1" si="155"/>
        <v>10</v>
      </c>
      <c r="O2670" s="15">
        <f t="shared" ca="1" si="156"/>
        <v>26</v>
      </c>
      <c r="P2670" s="16">
        <f t="shared" ca="1" si="157"/>
        <v>9.0775200000000495</v>
      </c>
      <c r="Q2670" s="11" t="str">
        <f t="shared" ca="1" si="143"/>
        <v/>
      </c>
      <c r="R2670" s="11" t="str">
        <f t="shared" ca="1" si="144"/>
        <v/>
      </c>
      <c r="S2670" s="61" t="str">
        <f t="shared" ca="1" si="145"/>
        <v/>
      </c>
      <c r="T2670" s="11" t="str">
        <f t="shared" ca="1" si="146"/>
        <v/>
      </c>
      <c r="U2670" s="11" t="str">
        <f t="shared" ca="1" si="147"/>
        <v/>
      </c>
      <c r="V2670" s="18" t="str">
        <f t="shared" ca="1" si="148"/>
        <v/>
      </c>
      <c r="W2670" s="61" t="str">
        <f t="shared" ca="1" si="149"/>
        <v/>
      </c>
      <c r="X2670" s="61">
        <f t="shared" ca="1" si="150"/>
        <v>0</v>
      </c>
      <c r="Y2670" s="64" t="str">
        <f t="shared" ca="1" si="151"/>
        <v/>
      </c>
    </row>
    <row r="2671" spans="1:25">
      <c r="A2671" s="2">
        <f>+Get_Data!A2670</f>
        <v>43318</v>
      </c>
      <c r="B2671">
        <f>+ROUND(Get_Data!B2670,5)</f>
        <v>109.77203</v>
      </c>
      <c r="C2671">
        <f>+ROUND(Get_Data!C2670,5)</f>
        <v>43.349449999999997</v>
      </c>
      <c r="D2671" s="4">
        <f t="shared" si="136"/>
        <v>2.53226</v>
      </c>
      <c r="E2671" s="22">
        <f t="shared" ca="1" si="137"/>
        <v>2.5827900000000001</v>
      </c>
      <c r="F2671" s="23">
        <f t="shared" ca="1" si="138"/>
        <v>2.4425300000000001</v>
      </c>
      <c r="G2671" s="10">
        <f t="shared" ca="1" si="139"/>
        <v>0</v>
      </c>
      <c r="H2671" s="12">
        <f t="shared" ca="1" si="140"/>
        <v>0</v>
      </c>
      <c r="I2671" s="11">
        <f t="shared" ca="1" si="141"/>
        <v>0</v>
      </c>
      <c r="J2671" s="11">
        <f t="shared" ca="1" si="142"/>
        <v>1</v>
      </c>
      <c r="K2671" s="10">
        <f t="shared" ca="1" si="152"/>
        <v>-108.49081</v>
      </c>
      <c r="L2671" s="11">
        <f t="shared" ca="1" si="153"/>
        <v>42.076369999999997</v>
      </c>
      <c r="M2671" s="11">
        <f t="shared" ca="1" si="154"/>
        <v>2.57843</v>
      </c>
      <c r="N2671" s="15">
        <f t="shared" ca="1" si="155"/>
        <v>10</v>
      </c>
      <c r="O2671" s="15">
        <f t="shared" ca="1" si="156"/>
        <v>26</v>
      </c>
      <c r="P2671" s="16">
        <f t="shared" ca="1" si="157"/>
        <v>9.0775200000000495</v>
      </c>
      <c r="Q2671" s="11" t="str">
        <f t="shared" ca="1" si="143"/>
        <v/>
      </c>
      <c r="R2671" s="11" t="str">
        <f t="shared" ca="1" si="144"/>
        <v/>
      </c>
      <c r="S2671" s="61" t="str">
        <f t="shared" ca="1" si="145"/>
        <v/>
      </c>
      <c r="T2671" s="11" t="str">
        <f t="shared" ca="1" si="146"/>
        <v/>
      </c>
      <c r="U2671" s="11" t="str">
        <f t="shared" ca="1" si="147"/>
        <v/>
      </c>
      <c r="V2671" s="18" t="str">
        <f t="shared" ca="1" si="148"/>
        <v/>
      </c>
      <c r="W2671" s="61" t="str">
        <f t="shared" ca="1" si="149"/>
        <v/>
      </c>
      <c r="X2671" s="61">
        <f t="shared" ca="1" si="150"/>
        <v>0</v>
      </c>
      <c r="Y2671" s="64" t="str">
        <f t="shared" ca="1" si="151"/>
        <v/>
      </c>
    </row>
    <row r="2672" spans="1:25">
      <c r="A2672" s="2">
        <f>+Get_Data!A2671</f>
        <v>43319</v>
      </c>
      <c r="B2672">
        <f>+ROUND(Get_Data!B2671,5)</f>
        <v>106.81685</v>
      </c>
      <c r="C2672">
        <f>+ROUND(Get_Data!C2671,5)</f>
        <v>43.210059999999999</v>
      </c>
      <c r="D2672" s="4">
        <f t="shared" si="136"/>
        <v>2.4720399999999998</v>
      </c>
      <c r="E2672" s="22">
        <f t="shared" ca="1" si="137"/>
        <v>2.5827900000000001</v>
      </c>
      <c r="F2672" s="23">
        <f t="shared" ca="1" si="138"/>
        <v>2.4425300000000001</v>
      </c>
      <c r="G2672" s="10">
        <f t="shared" ca="1" si="139"/>
        <v>0</v>
      </c>
      <c r="H2672" s="12">
        <f t="shared" ca="1" si="140"/>
        <v>0</v>
      </c>
      <c r="I2672" s="11">
        <f t="shared" ca="1" si="141"/>
        <v>0</v>
      </c>
      <c r="J2672" s="11">
        <f t="shared" ca="1" si="142"/>
        <v>1</v>
      </c>
      <c r="K2672" s="10">
        <f t="shared" ca="1" si="152"/>
        <v>-108.49081</v>
      </c>
      <c r="L2672" s="11">
        <f t="shared" ca="1" si="153"/>
        <v>42.076369999999997</v>
      </c>
      <c r="M2672" s="11">
        <f t="shared" ca="1" si="154"/>
        <v>2.57843</v>
      </c>
      <c r="N2672" s="15">
        <f t="shared" ca="1" si="155"/>
        <v>10</v>
      </c>
      <c r="O2672" s="15">
        <f t="shared" ca="1" si="156"/>
        <v>26</v>
      </c>
      <c r="P2672" s="16">
        <f t="shared" ca="1" si="157"/>
        <v>9.0775200000000495</v>
      </c>
      <c r="Q2672" s="11" t="str">
        <f t="shared" ca="1" si="143"/>
        <v/>
      </c>
      <c r="R2672" s="11" t="str">
        <f t="shared" ca="1" si="144"/>
        <v/>
      </c>
      <c r="S2672" s="61" t="str">
        <f t="shared" ca="1" si="145"/>
        <v/>
      </c>
      <c r="T2672" s="11" t="str">
        <f t="shared" ca="1" si="146"/>
        <v/>
      </c>
      <c r="U2672" s="11" t="str">
        <f t="shared" ca="1" si="147"/>
        <v/>
      </c>
      <c r="V2672" s="18" t="str">
        <f t="shared" ca="1" si="148"/>
        <v/>
      </c>
      <c r="W2672" s="61" t="str">
        <f t="shared" ca="1" si="149"/>
        <v/>
      </c>
      <c r="X2672" s="61">
        <f t="shared" ca="1" si="150"/>
        <v>0</v>
      </c>
      <c r="Y2672" s="64" t="str">
        <f t="shared" ca="1" si="151"/>
        <v/>
      </c>
    </row>
    <row r="2673" spans="1:25">
      <c r="A2673" s="2">
        <f>+Get_Data!A2672</f>
        <v>43320</v>
      </c>
      <c r="B2673">
        <f>+ROUND(Get_Data!B2672,5)</f>
        <v>106.13415000000001</v>
      </c>
      <c r="C2673">
        <f>+ROUND(Get_Data!C2672,5)</f>
        <v>42.884830000000001</v>
      </c>
      <c r="D2673" s="4">
        <f t="shared" si="136"/>
        <v>2.4748600000000001</v>
      </c>
      <c r="E2673" s="22">
        <f t="shared" ca="1" si="137"/>
        <v>2.5827900000000001</v>
      </c>
      <c r="F2673" s="23">
        <f t="shared" ca="1" si="138"/>
        <v>2.4425300000000001</v>
      </c>
      <c r="G2673" s="10">
        <f t="shared" ca="1" si="139"/>
        <v>0</v>
      </c>
      <c r="H2673" s="12">
        <f t="shared" ca="1" si="140"/>
        <v>0</v>
      </c>
      <c r="I2673" s="11">
        <f t="shared" ca="1" si="141"/>
        <v>0</v>
      </c>
      <c r="J2673" s="11">
        <f t="shared" ca="1" si="142"/>
        <v>1</v>
      </c>
      <c r="K2673" s="10">
        <f t="shared" ca="1" si="152"/>
        <v>-108.49081</v>
      </c>
      <c r="L2673" s="11">
        <f t="shared" ca="1" si="153"/>
        <v>42.076369999999997</v>
      </c>
      <c r="M2673" s="11">
        <f t="shared" ca="1" si="154"/>
        <v>2.57843</v>
      </c>
      <c r="N2673" s="15">
        <f t="shared" ca="1" si="155"/>
        <v>10</v>
      </c>
      <c r="O2673" s="15">
        <f t="shared" ca="1" si="156"/>
        <v>26</v>
      </c>
      <c r="P2673" s="16">
        <f t="shared" ca="1" si="157"/>
        <v>9.0775200000000495</v>
      </c>
      <c r="Q2673" s="11" t="str">
        <f t="shared" ca="1" si="143"/>
        <v/>
      </c>
      <c r="R2673" s="11" t="str">
        <f t="shared" ca="1" si="144"/>
        <v/>
      </c>
      <c r="S2673" s="61" t="str">
        <f t="shared" ca="1" si="145"/>
        <v/>
      </c>
      <c r="T2673" s="11" t="str">
        <f t="shared" ca="1" si="146"/>
        <v/>
      </c>
      <c r="U2673" s="11" t="str">
        <f t="shared" ca="1" si="147"/>
        <v/>
      </c>
      <c r="V2673" s="18" t="str">
        <f t="shared" ca="1" si="148"/>
        <v/>
      </c>
      <c r="W2673" s="61" t="str">
        <f t="shared" ca="1" si="149"/>
        <v/>
      </c>
      <c r="X2673" s="61">
        <f t="shared" ca="1" si="150"/>
        <v>0</v>
      </c>
      <c r="Y2673" s="64" t="str">
        <f t="shared" ca="1" si="151"/>
        <v/>
      </c>
    </row>
    <row r="2674" spans="1:25">
      <c r="A2674" s="2">
        <f>+Get_Data!A2673</f>
        <v>43321</v>
      </c>
      <c r="B2674">
        <f>+ROUND(Get_Data!B2673,5)</f>
        <v>106.33054</v>
      </c>
      <c r="C2674">
        <f>+ROUND(Get_Data!C2673,5)</f>
        <v>43.07067</v>
      </c>
      <c r="D2674" s="4">
        <f t="shared" ref="D2674:D2737" si="158">IFERROR(ROUND(B2674/C2674,5),"")</f>
        <v>2.46875</v>
      </c>
      <c r="E2674" s="22">
        <f t="shared" ca="1" si="137"/>
        <v>2.5827900000000001</v>
      </c>
      <c r="F2674" s="23">
        <f t="shared" ca="1" si="138"/>
        <v>2.4425300000000001</v>
      </c>
      <c r="G2674" s="10">
        <f t="shared" ca="1" si="139"/>
        <v>0</v>
      </c>
      <c r="H2674" s="12">
        <f t="shared" ca="1" si="140"/>
        <v>0</v>
      </c>
      <c r="I2674" s="11">
        <f t="shared" ca="1" si="141"/>
        <v>0</v>
      </c>
      <c r="J2674" s="11">
        <f t="shared" ca="1" si="142"/>
        <v>1</v>
      </c>
      <c r="K2674" s="10">
        <f t="shared" ca="1" si="152"/>
        <v>-108.49081</v>
      </c>
      <c r="L2674" s="11">
        <f t="shared" ca="1" si="153"/>
        <v>42.076369999999997</v>
      </c>
      <c r="M2674" s="11">
        <f t="shared" ca="1" si="154"/>
        <v>2.57843</v>
      </c>
      <c r="N2674" s="15">
        <f t="shared" ca="1" si="155"/>
        <v>10</v>
      </c>
      <c r="O2674" s="15">
        <f t="shared" ca="1" si="156"/>
        <v>26</v>
      </c>
      <c r="P2674" s="16">
        <f t="shared" ca="1" si="157"/>
        <v>9.0775200000000495</v>
      </c>
      <c r="Q2674" s="11" t="str">
        <f t="shared" ca="1" si="143"/>
        <v/>
      </c>
      <c r="R2674" s="11" t="str">
        <f t="shared" ca="1" si="144"/>
        <v/>
      </c>
      <c r="S2674" s="61" t="str">
        <f t="shared" ca="1" si="145"/>
        <v/>
      </c>
      <c r="T2674" s="11" t="str">
        <f t="shared" ca="1" si="146"/>
        <v/>
      </c>
      <c r="U2674" s="11" t="str">
        <f t="shared" ca="1" si="147"/>
        <v/>
      </c>
      <c r="V2674" s="18" t="str">
        <f t="shared" ca="1" si="148"/>
        <v/>
      </c>
      <c r="W2674" s="61" t="str">
        <f t="shared" ca="1" si="149"/>
        <v/>
      </c>
      <c r="X2674" s="61">
        <f t="shared" ca="1" si="150"/>
        <v>0</v>
      </c>
      <c r="Y2674" s="64" t="str">
        <f t="shared" ca="1" si="151"/>
        <v/>
      </c>
    </row>
    <row r="2675" spans="1:25">
      <c r="A2675" s="2">
        <f>+Get_Data!A2674</f>
        <v>43322</v>
      </c>
      <c r="B2675">
        <f>+ROUND(Get_Data!B2674,5)</f>
        <v>105.55434</v>
      </c>
      <c r="C2675">
        <f>+ROUND(Get_Data!C2674,5)</f>
        <v>42.819780000000002</v>
      </c>
      <c r="D2675" s="4">
        <f t="shared" si="158"/>
        <v>2.4650799999999999</v>
      </c>
      <c r="E2675" s="22">
        <f t="shared" ca="1" si="137"/>
        <v>2.5827900000000001</v>
      </c>
      <c r="F2675" s="23">
        <f t="shared" ca="1" si="138"/>
        <v>2.4425300000000001</v>
      </c>
      <c r="G2675" s="10">
        <f t="shared" ca="1" si="139"/>
        <v>0</v>
      </c>
      <c r="H2675" s="12">
        <f t="shared" ca="1" si="140"/>
        <v>0</v>
      </c>
      <c r="I2675" s="11">
        <f t="shared" ca="1" si="141"/>
        <v>0</v>
      </c>
      <c r="J2675" s="11">
        <f t="shared" ca="1" si="142"/>
        <v>1</v>
      </c>
      <c r="K2675" s="10">
        <f t="shared" ca="1" si="152"/>
        <v>-108.49081</v>
      </c>
      <c r="L2675" s="11">
        <f t="shared" ca="1" si="153"/>
        <v>42.076369999999997</v>
      </c>
      <c r="M2675" s="11">
        <f t="shared" ca="1" si="154"/>
        <v>2.57843</v>
      </c>
      <c r="N2675" s="15">
        <f t="shared" ca="1" si="155"/>
        <v>10</v>
      </c>
      <c r="O2675" s="15">
        <f t="shared" ca="1" si="156"/>
        <v>26</v>
      </c>
      <c r="P2675" s="16">
        <f t="shared" ca="1" si="157"/>
        <v>9.0775200000000495</v>
      </c>
      <c r="Q2675" s="11" t="str">
        <f t="shared" ca="1" si="143"/>
        <v/>
      </c>
      <c r="R2675" s="11" t="str">
        <f t="shared" ca="1" si="144"/>
        <v/>
      </c>
      <c r="S2675" s="61" t="str">
        <f t="shared" ca="1" si="145"/>
        <v/>
      </c>
      <c r="T2675" s="11" t="str">
        <f t="shared" ca="1" si="146"/>
        <v/>
      </c>
      <c r="U2675" s="11" t="str">
        <f t="shared" ca="1" si="147"/>
        <v/>
      </c>
      <c r="V2675" s="18" t="str">
        <f t="shared" ca="1" si="148"/>
        <v/>
      </c>
      <c r="W2675" s="61" t="str">
        <f t="shared" ca="1" si="149"/>
        <v/>
      </c>
      <c r="X2675" s="61">
        <f t="shared" ca="1" si="150"/>
        <v>0</v>
      </c>
      <c r="Y2675" s="64" t="str">
        <f t="shared" ca="1" si="151"/>
        <v/>
      </c>
    </row>
    <row r="2676" spans="1:25">
      <c r="A2676" s="2">
        <f>+Get_Data!A2675</f>
        <v>43325</v>
      </c>
      <c r="B2676">
        <f>+ROUND(Get_Data!B2675,5)</f>
        <v>105.69462</v>
      </c>
      <c r="C2676">
        <f>+ROUND(Get_Data!C2675,5)</f>
        <v>42.587470000000003</v>
      </c>
      <c r="D2676" s="4">
        <f t="shared" si="158"/>
        <v>2.4818199999999999</v>
      </c>
      <c r="E2676" s="22">
        <f t="shared" ca="1" si="137"/>
        <v>2.5827900000000001</v>
      </c>
      <c r="F2676" s="23">
        <f t="shared" ca="1" si="138"/>
        <v>2.4646599999999999</v>
      </c>
      <c r="G2676" s="10">
        <f t="shared" ca="1" si="139"/>
        <v>0</v>
      </c>
      <c r="H2676" s="12">
        <f t="shared" ca="1" si="140"/>
        <v>0</v>
      </c>
      <c r="I2676" s="11">
        <f t="shared" ca="1" si="141"/>
        <v>0</v>
      </c>
      <c r="J2676" s="11">
        <f t="shared" ca="1" si="142"/>
        <v>1</v>
      </c>
      <c r="K2676" s="10">
        <f t="shared" ca="1" si="152"/>
        <v>-108.49081</v>
      </c>
      <c r="L2676" s="11">
        <f t="shared" ca="1" si="153"/>
        <v>42.076369999999997</v>
      </c>
      <c r="M2676" s="11">
        <f t="shared" ca="1" si="154"/>
        <v>2.57843</v>
      </c>
      <c r="N2676" s="15">
        <f t="shared" ca="1" si="155"/>
        <v>10</v>
      </c>
      <c r="O2676" s="15">
        <f t="shared" ca="1" si="156"/>
        <v>26</v>
      </c>
      <c r="P2676" s="16">
        <f t="shared" ca="1" si="157"/>
        <v>9.0775200000000495</v>
      </c>
      <c r="Q2676" s="11" t="str">
        <f t="shared" ca="1" si="143"/>
        <v/>
      </c>
      <c r="R2676" s="11" t="str">
        <f t="shared" ca="1" si="144"/>
        <v/>
      </c>
      <c r="S2676" s="61" t="str">
        <f t="shared" ca="1" si="145"/>
        <v/>
      </c>
      <c r="T2676" s="11" t="str">
        <f t="shared" ca="1" si="146"/>
        <v/>
      </c>
      <c r="U2676" s="11" t="str">
        <f t="shared" ca="1" si="147"/>
        <v/>
      </c>
      <c r="V2676" s="18" t="str">
        <f t="shared" ca="1" si="148"/>
        <v/>
      </c>
      <c r="W2676" s="61" t="str">
        <f t="shared" ca="1" si="149"/>
        <v/>
      </c>
      <c r="X2676" s="61">
        <f t="shared" ca="1" si="150"/>
        <v>0</v>
      </c>
      <c r="Y2676" s="64" t="str">
        <f t="shared" ca="1" si="151"/>
        <v/>
      </c>
    </row>
    <row r="2677" spans="1:25">
      <c r="A2677" s="2">
        <f>+Get_Data!A2676</f>
        <v>43326</v>
      </c>
      <c r="B2677">
        <f>+ROUND(Get_Data!B2676,5)</f>
        <v>105.76943</v>
      </c>
      <c r="C2677">
        <f>+ROUND(Get_Data!C2676,5)</f>
        <v>42.643219999999999</v>
      </c>
      <c r="D2677" s="4">
        <f t="shared" si="158"/>
        <v>2.4803299999999999</v>
      </c>
      <c r="E2677" s="22">
        <f t="shared" ca="1" si="137"/>
        <v>2.5827900000000001</v>
      </c>
      <c r="F2677" s="23">
        <f t="shared" ca="1" si="138"/>
        <v>2.4646599999999999</v>
      </c>
      <c r="G2677" s="10">
        <f t="shared" ca="1" si="139"/>
        <v>0</v>
      </c>
      <c r="H2677" s="12">
        <f t="shared" ca="1" si="140"/>
        <v>0</v>
      </c>
      <c r="I2677" s="11">
        <f t="shared" ca="1" si="141"/>
        <v>0</v>
      </c>
      <c r="J2677" s="11">
        <f t="shared" ca="1" si="142"/>
        <v>1</v>
      </c>
      <c r="K2677" s="10">
        <f t="shared" ca="1" si="152"/>
        <v>-108.49081</v>
      </c>
      <c r="L2677" s="11">
        <f t="shared" ca="1" si="153"/>
        <v>42.076369999999997</v>
      </c>
      <c r="M2677" s="11">
        <f t="shared" ca="1" si="154"/>
        <v>2.57843</v>
      </c>
      <c r="N2677" s="15">
        <f t="shared" ca="1" si="155"/>
        <v>10</v>
      </c>
      <c r="O2677" s="15">
        <f t="shared" ca="1" si="156"/>
        <v>26</v>
      </c>
      <c r="P2677" s="16">
        <f t="shared" ca="1" si="157"/>
        <v>9.0775200000000495</v>
      </c>
      <c r="Q2677" s="11" t="str">
        <f t="shared" ca="1" si="143"/>
        <v/>
      </c>
      <c r="R2677" s="11" t="str">
        <f t="shared" ca="1" si="144"/>
        <v/>
      </c>
      <c r="S2677" s="61" t="str">
        <f t="shared" ca="1" si="145"/>
        <v/>
      </c>
      <c r="T2677" s="11" t="str">
        <f t="shared" ca="1" si="146"/>
        <v/>
      </c>
      <c r="U2677" s="11" t="str">
        <f t="shared" ca="1" si="147"/>
        <v/>
      </c>
      <c r="V2677" s="18" t="str">
        <f t="shared" ca="1" si="148"/>
        <v/>
      </c>
      <c r="W2677" s="61" t="str">
        <f t="shared" ca="1" si="149"/>
        <v/>
      </c>
      <c r="X2677" s="61">
        <f t="shared" ca="1" si="150"/>
        <v>0</v>
      </c>
      <c r="Y2677" s="64" t="str">
        <f t="shared" ca="1" si="151"/>
        <v/>
      </c>
    </row>
    <row r="2678" spans="1:25">
      <c r="A2678" s="2">
        <f>+Get_Data!A2677</f>
        <v>43327</v>
      </c>
      <c r="B2678">
        <f>+ROUND(Get_Data!B2677,5)</f>
        <v>106.09675</v>
      </c>
      <c r="C2678">
        <f>+ROUND(Get_Data!C2677,5)</f>
        <v>42.819780000000002</v>
      </c>
      <c r="D2678" s="4">
        <f t="shared" si="158"/>
        <v>2.4777499999999999</v>
      </c>
      <c r="E2678" s="22">
        <f t="shared" ca="1" si="137"/>
        <v>2.5827900000000001</v>
      </c>
      <c r="F2678" s="23">
        <f t="shared" ca="1" si="138"/>
        <v>2.4646599999999999</v>
      </c>
      <c r="G2678" s="10">
        <f t="shared" ca="1" si="139"/>
        <v>0</v>
      </c>
      <c r="H2678" s="12">
        <f t="shared" ca="1" si="140"/>
        <v>0</v>
      </c>
      <c r="I2678" s="11">
        <f t="shared" ca="1" si="141"/>
        <v>0</v>
      </c>
      <c r="J2678" s="11">
        <f t="shared" ca="1" si="142"/>
        <v>1</v>
      </c>
      <c r="K2678" s="10">
        <f t="shared" ca="1" si="152"/>
        <v>-108.49081</v>
      </c>
      <c r="L2678" s="11">
        <f t="shared" ca="1" si="153"/>
        <v>42.076369999999997</v>
      </c>
      <c r="M2678" s="11">
        <f t="shared" ca="1" si="154"/>
        <v>2.57843</v>
      </c>
      <c r="N2678" s="15">
        <f t="shared" ca="1" si="155"/>
        <v>10</v>
      </c>
      <c r="O2678" s="15">
        <f t="shared" ca="1" si="156"/>
        <v>26</v>
      </c>
      <c r="P2678" s="16">
        <f t="shared" ca="1" si="157"/>
        <v>9.0775200000000495</v>
      </c>
      <c r="Q2678" s="11" t="str">
        <f t="shared" ca="1" si="143"/>
        <v/>
      </c>
      <c r="R2678" s="11" t="str">
        <f t="shared" ca="1" si="144"/>
        <v/>
      </c>
      <c r="S2678" s="61" t="str">
        <f t="shared" ca="1" si="145"/>
        <v/>
      </c>
      <c r="T2678" s="11" t="str">
        <f t="shared" ca="1" si="146"/>
        <v/>
      </c>
      <c r="U2678" s="11" t="str">
        <f t="shared" ca="1" si="147"/>
        <v/>
      </c>
      <c r="V2678" s="18" t="str">
        <f t="shared" ca="1" si="148"/>
        <v/>
      </c>
      <c r="W2678" s="61" t="str">
        <f t="shared" ca="1" si="149"/>
        <v/>
      </c>
      <c r="X2678" s="61">
        <f t="shared" ca="1" si="150"/>
        <v>0</v>
      </c>
      <c r="Y2678" s="64" t="str">
        <f t="shared" ca="1" si="151"/>
        <v/>
      </c>
    </row>
    <row r="2679" spans="1:25">
      <c r="A2679" s="2">
        <f>+Get_Data!A2678</f>
        <v>43328</v>
      </c>
      <c r="B2679">
        <f>+ROUND(Get_Data!B2678,5)</f>
        <v>106.84489000000001</v>
      </c>
      <c r="C2679">
        <f>+ROUND(Get_Data!C2678,5)</f>
        <v>42.949869999999997</v>
      </c>
      <c r="D2679" s="4">
        <f t="shared" si="158"/>
        <v>2.48767</v>
      </c>
      <c r="E2679" s="22">
        <f t="shared" ca="1" si="137"/>
        <v>2.5827900000000001</v>
      </c>
      <c r="F2679" s="23">
        <f t="shared" ca="1" si="138"/>
        <v>2.4646599999999999</v>
      </c>
      <c r="G2679" s="10">
        <f t="shared" ca="1" si="139"/>
        <v>0</v>
      </c>
      <c r="H2679" s="12">
        <f t="shared" ca="1" si="140"/>
        <v>0</v>
      </c>
      <c r="I2679" s="11">
        <f t="shared" ca="1" si="141"/>
        <v>0</v>
      </c>
      <c r="J2679" s="11">
        <f t="shared" ca="1" si="142"/>
        <v>1</v>
      </c>
      <c r="K2679" s="10">
        <f t="shared" ca="1" si="152"/>
        <v>-108.49081</v>
      </c>
      <c r="L2679" s="11">
        <f t="shared" ca="1" si="153"/>
        <v>42.076369999999997</v>
      </c>
      <c r="M2679" s="11">
        <f t="shared" ca="1" si="154"/>
        <v>2.57843</v>
      </c>
      <c r="N2679" s="15">
        <f t="shared" ca="1" si="155"/>
        <v>10</v>
      </c>
      <c r="O2679" s="15">
        <f t="shared" ca="1" si="156"/>
        <v>26</v>
      </c>
      <c r="P2679" s="16">
        <f t="shared" ca="1" si="157"/>
        <v>9.0775200000000495</v>
      </c>
      <c r="Q2679" s="11" t="str">
        <f t="shared" ca="1" si="143"/>
        <v/>
      </c>
      <c r="R2679" s="11" t="str">
        <f t="shared" ca="1" si="144"/>
        <v/>
      </c>
      <c r="S2679" s="61" t="str">
        <f t="shared" ca="1" si="145"/>
        <v/>
      </c>
      <c r="T2679" s="11" t="str">
        <f t="shared" ca="1" si="146"/>
        <v/>
      </c>
      <c r="U2679" s="11" t="str">
        <f t="shared" ca="1" si="147"/>
        <v/>
      </c>
      <c r="V2679" s="18" t="str">
        <f t="shared" ca="1" si="148"/>
        <v/>
      </c>
      <c r="W2679" s="61" t="str">
        <f t="shared" ca="1" si="149"/>
        <v/>
      </c>
      <c r="X2679" s="61">
        <f t="shared" ca="1" si="150"/>
        <v>0</v>
      </c>
      <c r="Y2679" s="64" t="str">
        <f t="shared" ca="1" si="151"/>
        <v/>
      </c>
    </row>
    <row r="2680" spans="1:25">
      <c r="A2680" s="2">
        <f>+Get_Data!A2679</f>
        <v>43329</v>
      </c>
      <c r="B2680">
        <f>+ROUND(Get_Data!B2679,5)</f>
        <v>107.50888999999999</v>
      </c>
      <c r="C2680">
        <f>+ROUND(Get_Data!C2679,5)</f>
        <v>43.302990000000001</v>
      </c>
      <c r="D2680" s="4">
        <f t="shared" si="158"/>
        <v>2.48271</v>
      </c>
      <c r="E2680" s="22">
        <f t="shared" ca="1" si="137"/>
        <v>2.5827900000000001</v>
      </c>
      <c r="F2680" s="23">
        <f t="shared" ca="1" si="138"/>
        <v>2.4646599999999999</v>
      </c>
      <c r="G2680" s="10">
        <f t="shared" ca="1" si="139"/>
        <v>0</v>
      </c>
      <c r="H2680" s="12">
        <f t="shared" ca="1" si="140"/>
        <v>0</v>
      </c>
      <c r="I2680" s="11">
        <f t="shared" ca="1" si="141"/>
        <v>0</v>
      </c>
      <c r="J2680" s="11">
        <f t="shared" ca="1" si="142"/>
        <v>1</v>
      </c>
      <c r="K2680" s="10">
        <f t="shared" ca="1" si="152"/>
        <v>-108.49081</v>
      </c>
      <c r="L2680" s="11">
        <f t="shared" ca="1" si="153"/>
        <v>42.076369999999997</v>
      </c>
      <c r="M2680" s="11">
        <f t="shared" ca="1" si="154"/>
        <v>2.57843</v>
      </c>
      <c r="N2680" s="15">
        <f t="shared" ca="1" si="155"/>
        <v>10</v>
      </c>
      <c r="O2680" s="15">
        <f t="shared" ca="1" si="156"/>
        <v>26</v>
      </c>
      <c r="P2680" s="16">
        <f t="shared" ca="1" si="157"/>
        <v>9.0775200000000495</v>
      </c>
      <c r="Q2680" s="11" t="str">
        <f t="shared" ca="1" si="143"/>
        <v/>
      </c>
      <c r="R2680" s="11" t="str">
        <f t="shared" ca="1" si="144"/>
        <v/>
      </c>
      <c r="S2680" s="61" t="str">
        <f t="shared" ca="1" si="145"/>
        <v/>
      </c>
      <c r="T2680" s="11" t="str">
        <f t="shared" ca="1" si="146"/>
        <v/>
      </c>
      <c r="U2680" s="11" t="str">
        <f t="shared" ca="1" si="147"/>
        <v/>
      </c>
      <c r="V2680" s="18" t="str">
        <f t="shared" ca="1" si="148"/>
        <v/>
      </c>
      <c r="W2680" s="61" t="str">
        <f t="shared" ca="1" si="149"/>
        <v/>
      </c>
      <c r="X2680" s="61">
        <f t="shared" ca="1" si="150"/>
        <v>0</v>
      </c>
      <c r="Y2680" s="64" t="str">
        <f t="shared" ca="1" si="151"/>
        <v/>
      </c>
    </row>
    <row r="2681" spans="1:25">
      <c r="A2681" s="2">
        <f>+Get_Data!A2680</f>
        <v>43332</v>
      </c>
      <c r="B2681">
        <f>+ROUND(Get_Data!B2680,5)</f>
        <v>107.39664</v>
      </c>
      <c r="C2681">
        <f>+ROUND(Get_Data!C2680,5)</f>
        <v>43.423789999999997</v>
      </c>
      <c r="D2681" s="4">
        <f t="shared" si="158"/>
        <v>2.47322</v>
      </c>
      <c r="E2681" s="22">
        <f t="shared" ca="1" si="137"/>
        <v>2.5827900000000001</v>
      </c>
      <c r="F2681" s="23">
        <f t="shared" ca="1" si="138"/>
        <v>2.4646599999999999</v>
      </c>
      <c r="G2681" s="10">
        <f t="shared" ca="1" si="139"/>
        <v>0</v>
      </c>
      <c r="H2681" s="12">
        <f t="shared" ca="1" si="140"/>
        <v>0</v>
      </c>
      <c r="I2681" s="11">
        <f t="shared" ca="1" si="141"/>
        <v>0</v>
      </c>
      <c r="J2681" s="11">
        <f t="shared" ca="1" si="142"/>
        <v>1</v>
      </c>
      <c r="K2681" s="10">
        <f t="shared" ca="1" si="152"/>
        <v>-108.49081</v>
      </c>
      <c r="L2681" s="11">
        <f t="shared" ca="1" si="153"/>
        <v>42.076369999999997</v>
      </c>
      <c r="M2681" s="11">
        <f t="shared" ca="1" si="154"/>
        <v>2.57843</v>
      </c>
      <c r="N2681" s="15">
        <f t="shared" ca="1" si="155"/>
        <v>10</v>
      </c>
      <c r="O2681" s="15">
        <f t="shared" ca="1" si="156"/>
        <v>26</v>
      </c>
      <c r="P2681" s="16">
        <f t="shared" ca="1" si="157"/>
        <v>9.0775200000000495</v>
      </c>
      <c r="Q2681" s="11" t="str">
        <f t="shared" ca="1" si="143"/>
        <v/>
      </c>
      <c r="R2681" s="11" t="str">
        <f t="shared" ca="1" si="144"/>
        <v/>
      </c>
      <c r="S2681" s="61" t="str">
        <f t="shared" ca="1" si="145"/>
        <v/>
      </c>
      <c r="T2681" s="11" t="str">
        <f t="shared" ca="1" si="146"/>
        <v/>
      </c>
      <c r="U2681" s="11" t="str">
        <f t="shared" ca="1" si="147"/>
        <v/>
      </c>
      <c r="V2681" s="18" t="str">
        <f t="shared" ca="1" si="148"/>
        <v/>
      </c>
      <c r="W2681" s="61" t="str">
        <f t="shared" ca="1" si="149"/>
        <v/>
      </c>
      <c r="X2681" s="61">
        <f t="shared" ca="1" si="150"/>
        <v>0</v>
      </c>
      <c r="Y2681" s="64" t="str">
        <f t="shared" ca="1" si="151"/>
        <v/>
      </c>
    </row>
    <row r="2682" spans="1:25">
      <c r="A2682" s="2">
        <f>+Get_Data!A2681</f>
        <v>43333</v>
      </c>
      <c r="B2682">
        <f>+ROUND(Get_Data!B2681,5)</f>
        <v>106.34925</v>
      </c>
      <c r="C2682">
        <f>+ROUND(Get_Data!C2681,5)</f>
        <v>42.949869999999997</v>
      </c>
      <c r="D2682" s="4">
        <f t="shared" si="158"/>
        <v>2.4761299999999999</v>
      </c>
      <c r="E2682" s="22">
        <f t="shared" ca="1" si="137"/>
        <v>2.5827900000000001</v>
      </c>
      <c r="F2682" s="23">
        <f t="shared" ca="1" si="138"/>
        <v>2.4646599999999999</v>
      </c>
      <c r="G2682" s="10">
        <f t="shared" ca="1" si="139"/>
        <v>0</v>
      </c>
      <c r="H2682" s="12">
        <f t="shared" ca="1" si="140"/>
        <v>0</v>
      </c>
      <c r="I2682" s="11">
        <f t="shared" ca="1" si="141"/>
        <v>0</v>
      </c>
      <c r="J2682" s="11">
        <f t="shared" ca="1" si="142"/>
        <v>1</v>
      </c>
      <c r="K2682" s="10">
        <f t="shared" ca="1" si="152"/>
        <v>-108.49081</v>
      </c>
      <c r="L2682" s="11">
        <f t="shared" ca="1" si="153"/>
        <v>42.076369999999997</v>
      </c>
      <c r="M2682" s="11">
        <f t="shared" ca="1" si="154"/>
        <v>2.57843</v>
      </c>
      <c r="N2682" s="15">
        <f t="shared" ca="1" si="155"/>
        <v>10</v>
      </c>
      <c r="O2682" s="15">
        <f t="shared" ca="1" si="156"/>
        <v>26</v>
      </c>
      <c r="P2682" s="16">
        <f t="shared" ca="1" si="157"/>
        <v>9.0775200000000495</v>
      </c>
      <c r="Q2682" s="11" t="str">
        <f t="shared" ca="1" si="143"/>
        <v/>
      </c>
      <c r="R2682" s="11" t="str">
        <f t="shared" ca="1" si="144"/>
        <v/>
      </c>
      <c r="S2682" s="61" t="str">
        <f t="shared" ca="1" si="145"/>
        <v/>
      </c>
      <c r="T2682" s="11" t="str">
        <f t="shared" ca="1" si="146"/>
        <v/>
      </c>
      <c r="U2682" s="11" t="str">
        <f t="shared" ca="1" si="147"/>
        <v/>
      </c>
      <c r="V2682" s="18" t="str">
        <f t="shared" ca="1" si="148"/>
        <v/>
      </c>
      <c r="W2682" s="61" t="str">
        <f t="shared" ca="1" si="149"/>
        <v/>
      </c>
      <c r="X2682" s="61">
        <f t="shared" ca="1" si="150"/>
        <v>0</v>
      </c>
      <c r="Y2682" s="64" t="str">
        <f t="shared" ca="1" si="151"/>
        <v/>
      </c>
    </row>
    <row r="2683" spans="1:25">
      <c r="A2683" s="2">
        <f>+Get_Data!A2682</f>
        <v>43334</v>
      </c>
      <c r="B2683">
        <f>+ROUND(Get_Data!B2682,5)</f>
        <v>104.96517</v>
      </c>
      <c r="C2683">
        <f>+ROUND(Get_Data!C2682,5)</f>
        <v>42.680390000000003</v>
      </c>
      <c r="D2683" s="4">
        <f t="shared" si="158"/>
        <v>2.45933</v>
      </c>
      <c r="E2683" s="22">
        <f t="shared" ca="1" si="137"/>
        <v>2.5827900000000001</v>
      </c>
      <c r="F2683" s="23">
        <f t="shared" ca="1" si="138"/>
        <v>2.45933</v>
      </c>
      <c r="G2683" s="10">
        <f t="shared" ca="1" si="139"/>
        <v>0</v>
      </c>
      <c r="H2683" s="12">
        <f t="shared" ca="1" si="140"/>
        <v>1</v>
      </c>
      <c r="I2683" s="11">
        <f t="shared" ca="1" si="141"/>
        <v>-1</v>
      </c>
      <c r="J2683" s="11">
        <f t="shared" ca="1" si="142"/>
        <v>0</v>
      </c>
      <c r="K2683" s="10">
        <f t="shared" ca="1" si="152"/>
        <v>-108.49081</v>
      </c>
      <c r="L2683" s="11">
        <f t="shared" ca="1" si="153"/>
        <v>42.076369999999997</v>
      </c>
      <c r="M2683" s="11">
        <f t="shared" ca="1" si="154"/>
        <v>2.57843</v>
      </c>
      <c r="N2683" s="15">
        <f t="shared" ca="1" si="155"/>
        <v>10</v>
      </c>
      <c r="O2683" s="15">
        <f t="shared" ca="1" si="156"/>
        <v>26</v>
      </c>
      <c r="P2683" s="16">
        <f t="shared" ca="1" si="157"/>
        <v>9.0775200000000495</v>
      </c>
      <c r="Q2683" s="11" t="str">
        <f t="shared" ca="1" si="143"/>
        <v/>
      </c>
      <c r="R2683" s="11" t="str">
        <f t="shared" ca="1" si="144"/>
        <v/>
      </c>
      <c r="S2683" s="61" t="str">
        <f t="shared" ca="1" si="145"/>
        <v/>
      </c>
      <c r="T2683" s="11" t="str">
        <f t="shared" ca="1" si="146"/>
        <v/>
      </c>
      <c r="U2683" s="11" t="str">
        <f t="shared" ca="1" si="147"/>
        <v/>
      </c>
      <c r="V2683" s="18" t="str">
        <f t="shared" ca="1" si="148"/>
        <v/>
      </c>
      <c r="W2683" s="61" t="str">
        <f t="shared" ca="1" si="149"/>
        <v/>
      </c>
      <c r="X2683" s="61">
        <f t="shared" ca="1" si="150"/>
        <v>0</v>
      </c>
      <c r="Y2683" s="64" t="str">
        <f t="shared" ca="1" si="151"/>
        <v/>
      </c>
    </row>
    <row r="2684" spans="1:25">
      <c r="A2684" s="2">
        <f>+Get_Data!A2683</f>
        <v>43335</v>
      </c>
      <c r="B2684">
        <f>+ROUND(Get_Data!B2683,5)</f>
        <v>104.67525999999999</v>
      </c>
      <c r="C2684">
        <f>+ROUND(Get_Data!C2683,5)</f>
        <v>42.466670000000001</v>
      </c>
      <c r="D2684" s="4">
        <f t="shared" si="158"/>
        <v>2.46488</v>
      </c>
      <c r="E2684" s="22">
        <f t="shared" ca="1" si="137"/>
        <v>2.57843</v>
      </c>
      <c r="F2684" s="23">
        <f t="shared" ca="1" si="138"/>
        <v>2.45933</v>
      </c>
      <c r="G2684" s="10">
        <f t="shared" ca="1" si="139"/>
        <v>0</v>
      </c>
      <c r="H2684" s="12">
        <f t="shared" ca="1" si="140"/>
        <v>0</v>
      </c>
      <c r="I2684" s="11">
        <f t="shared" ca="1" si="141"/>
        <v>0</v>
      </c>
      <c r="J2684" s="11">
        <f t="shared" ca="1" si="142"/>
        <v>0</v>
      </c>
      <c r="K2684" s="10" t="str">
        <f t="shared" ca="1" si="152"/>
        <v/>
      </c>
      <c r="L2684" s="11" t="str">
        <f t="shared" ca="1" si="153"/>
        <v/>
      </c>
      <c r="M2684" s="11" t="str">
        <f t="shared" ca="1" si="154"/>
        <v/>
      </c>
      <c r="N2684" s="15" t="str">
        <f t="shared" ca="1" si="155"/>
        <v/>
      </c>
      <c r="O2684" s="15" t="str">
        <f t="shared" ca="1" si="156"/>
        <v/>
      </c>
      <c r="P2684" s="16" t="str">
        <f t="shared" ca="1" si="157"/>
        <v/>
      </c>
      <c r="Q2684" s="11">
        <f t="shared" ca="1" si="143"/>
        <v>104.67525999999999</v>
      </c>
      <c r="R2684" s="11">
        <f t="shared" ca="1" si="144"/>
        <v>42.466670000000001</v>
      </c>
      <c r="S2684" s="61">
        <f t="shared" ca="1" si="145"/>
        <v>2.46488</v>
      </c>
      <c r="T2684" s="11">
        <f t="shared" ca="1" si="146"/>
        <v>10</v>
      </c>
      <c r="U2684" s="11">
        <f t="shared" ca="1" si="147"/>
        <v>26</v>
      </c>
      <c r="V2684" s="18">
        <f t="shared" ca="1" si="148"/>
        <v>-2131.6606999999999</v>
      </c>
      <c r="W2684" s="61">
        <f t="shared" ca="1" si="149"/>
        <v>2198.1190399999996</v>
      </c>
      <c r="X2684" s="61">
        <f t="shared" ca="1" si="150"/>
        <v>66.45833999999968</v>
      </c>
      <c r="Y2684" s="64">
        <f t="shared" ca="1" si="151"/>
        <v>6.0190497630258917E-2</v>
      </c>
    </row>
    <row r="2685" spans="1:25">
      <c r="A2685" s="2">
        <f>+Get_Data!A2684</f>
        <v>43336</v>
      </c>
      <c r="B2685">
        <f>+ROUND(Get_Data!B2684,5)</f>
        <v>104.88101</v>
      </c>
      <c r="C2685">
        <f>+ROUND(Get_Data!C2684,5)</f>
        <v>42.401609999999998</v>
      </c>
      <c r="D2685" s="4">
        <f t="shared" si="158"/>
        <v>2.4735100000000001</v>
      </c>
      <c r="E2685" s="22">
        <f t="shared" ca="1" si="137"/>
        <v>2.56108</v>
      </c>
      <c r="F2685" s="23">
        <f t="shared" ca="1" si="138"/>
        <v>2.45933</v>
      </c>
      <c r="G2685" s="10">
        <f t="shared" ca="1" si="139"/>
        <v>0</v>
      </c>
      <c r="H2685" s="12">
        <f t="shared" ca="1" si="140"/>
        <v>0</v>
      </c>
      <c r="I2685" s="11">
        <f t="shared" ca="1" si="141"/>
        <v>0</v>
      </c>
      <c r="J2685" s="11">
        <f t="shared" ca="1" si="142"/>
        <v>0</v>
      </c>
      <c r="K2685" s="10" t="str">
        <f t="shared" ca="1" si="152"/>
        <v/>
      </c>
      <c r="L2685" s="11" t="str">
        <f t="shared" ca="1" si="153"/>
        <v/>
      </c>
      <c r="M2685" s="11" t="str">
        <f t="shared" ca="1" si="154"/>
        <v/>
      </c>
      <c r="N2685" s="15" t="str">
        <f t="shared" ca="1" si="155"/>
        <v/>
      </c>
      <c r="O2685" s="15" t="str">
        <f t="shared" ca="1" si="156"/>
        <v/>
      </c>
      <c r="P2685" s="16" t="str">
        <f t="shared" ca="1" si="157"/>
        <v/>
      </c>
      <c r="Q2685" s="11" t="str">
        <f t="shared" ca="1" si="143"/>
        <v/>
      </c>
      <c r="R2685" s="11" t="str">
        <f t="shared" ca="1" si="144"/>
        <v/>
      </c>
      <c r="S2685" s="61" t="str">
        <f t="shared" ca="1" si="145"/>
        <v/>
      </c>
      <c r="T2685" s="11" t="str">
        <f t="shared" ca="1" si="146"/>
        <v/>
      </c>
      <c r="U2685" s="11" t="str">
        <f t="shared" ca="1" si="147"/>
        <v/>
      </c>
      <c r="V2685" s="18" t="str">
        <f t="shared" ca="1" si="148"/>
        <v/>
      </c>
      <c r="W2685" s="61" t="str">
        <f t="shared" ca="1" si="149"/>
        <v/>
      </c>
      <c r="X2685" s="61">
        <f t="shared" ca="1" si="150"/>
        <v>0</v>
      </c>
      <c r="Y2685" s="64" t="str">
        <f t="shared" ca="1" si="151"/>
        <v/>
      </c>
    </row>
    <row r="2686" spans="1:25">
      <c r="A2686" s="2">
        <f>+Get_Data!A2685</f>
        <v>43339</v>
      </c>
      <c r="B2686">
        <f>+ROUND(Get_Data!B2685,5)</f>
        <v>105.12415</v>
      </c>
      <c r="C2686">
        <f>+ROUND(Get_Data!C2685,5)</f>
        <v>42.457369999999997</v>
      </c>
      <c r="D2686" s="4">
        <f t="shared" si="158"/>
        <v>2.4759899999999999</v>
      </c>
      <c r="E2686" s="22">
        <f t="shared" ca="1" si="137"/>
        <v>2.5513300000000001</v>
      </c>
      <c r="F2686" s="23">
        <f t="shared" ca="1" si="138"/>
        <v>2.45933</v>
      </c>
      <c r="G2686" s="10">
        <f t="shared" ca="1" si="139"/>
        <v>0</v>
      </c>
      <c r="H2686" s="12">
        <f t="shared" ca="1" si="140"/>
        <v>0</v>
      </c>
      <c r="I2686" s="11">
        <f t="shared" ca="1" si="141"/>
        <v>0</v>
      </c>
      <c r="J2686" s="11">
        <f t="shared" ca="1" si="142"/>
        <v>0</v>
      </c>
      <c r="K2686" s="10" t="str">
        <f t="shared" ca="1" si="152"/>
        <v/>
      </c>
      <c r="L2686" s="11" t="str">
        <f t="shared" ca="1" si="153"/>
        <v/>
      </c>
      <c r="M2686" s="11" t="str">
        <f t="shared" ca="1" si="154"/>
        <v/>
      </c>
      <c r="N2686" s="15" t="str">
        <f t="shared" ca="1" si="155"/>
        <v/>
      </c>
      <c r="O2686" s="15" t="str">
        <f t="shared" ca="1" si="156"/>
        <v/>
      </c>
      <c r="P2686" s="16" t="str">
        <f t="shared" ca="1" si="157"/>
        <v/>
      </c>
      <c r="Q2686" s="11" t="str">
        <f t="shared" ca="1" si="143"/>
        <v/>
      </c>
      <c r="R2686" s="11" t="str">
        <f t="shared" ca="1" si="144"/>
        <v/>
      </c>
      <c r="S2686" s="61" t="str">
        <f t="shared" ca="1" si="145"/>
        <v/>
      </c>
      <c r="T2686" s="11" t="str">
        <f t="shared" ca="1" si="146"/>
        <v/>
      </c>
      <c r="U2686" s="11" t="str">
        <f t="shared" ca="1" si="147"/>
        <v/>
      </c>
      <c r="V2686" s="18" t="str">
        <f t="shared" ca="1" si="148"/>
        <v/>
      </c>
      <c r="W2686" s="61" t="str">
        <f t="shared" ca="1" si="149"/>
        <v/>
      </c>
      <c r="X2686" s="61">
        <f t="shared" ca="1" si="150"/>
        <v>0</v>
      </c>
      <c r="Y2686" s="64" t="str">
        <f t="shared" ca="1" si="151"/>
        <v/>
      </c>
    </row>
    <row r="2687" spans="1:25">
      <c r="A2687" s="2">
        <f>+Get_Data!A2686</f>
        <v>43340</v>
      </c>
      <c r="B2687">
        <f>+ROUND(Get_Data!B2686,5)</f>
        <v>103.96451999999999</v>
      </c>
      <c r="C2687">
        <f>+ROUND(Get_Data!C2686,5)</f>
        <v>42.16001</v>
      </c>
      <c r="D2687" s="4">
        <f t="shared" si="158"/>
        <v>2.4659499999999999</v>
      </c>
      <c r="E2687" s="22">
        <f t="shared" ca="1" si="137"/>
        <v>2.53226</v>
      </c>
      <c r="F2687" s="23">
        <f t="shared" ca="1" si="138"/>
        <v>2.45933</v>
      </c>
      <c r="G2687" s="10">
        <f t="shared" ca="1" si="139"/>
        <v>0</v>
      </c>
      <c r="H2687" s="12">
        <f t="shared" ca="1" si="140"/>
        <v>0</v>
      </c>
      <c r="I2687" s="11">
        <f t="shared" ca="1" si="141"/>
        <v>0</v>
      </c>
      <c r="J2687" s="11">
        <f t="shared" ca="1" si="142"/>
        <v>0</v>
      </c>
      <c r="K2687" s="10" t="str">
        <f t="shared" ca="1" si="152"/>
        <v/>
      </c>
      <c r="L2687" s="11" t="str">
        <f t="shared" ca="1" si="153"/>
        <v/>
      </c>
      <c r="M2687" s="11" t="str">
        <f t="shared" ca="1" si="154"/>
        <v/>
      </c>
      <c r="N2687" s="15" t="str">
        <f t="shared" ca="1" si="155"/>
        <v/>
      </c>
      <c r="O2687" s="15" t="str">
        <f t="shared" ca="1" si="156"/>
        <v/>
      </c>
      <c r="P2687" s="16" t="str">
        <f t="shared" ca="1" si="157"/>
        <v/>
      </c>
      <c r="Q2687" s="11" t="str">
        <f t="shared" ca="1" si="143"/>
        <v/>
      </c>
      <c r="R2687" s="11" t="str">
        <f t="shared" ca="1" si="144"/>
        <v/>
      </c>
      <c r="S2687" s="61" t="str">
        <f t="shared" ca="1" si="145"/>
        <v/>
      </c>
      <c r="T2687" s="11" t="str">
        <f t="shared" ca="1" si="146"/>
        <v/>
      </c>
      <c r="U2687" s="11" t="str">
        <f t="shared" ca="1" si="147"/>
        <v/>
      </c>
      <c r="V2687" s="18" t="str">
        <f t="shared" ca="1" si="148"/>
        <v/>
      </c>
      <c r="W2687" s="61" t="str">
        <f t="shared" ca="1" si="149"/>
        <v/>
      </c>
      <c r="X2687" s="61">
        <f t="shared" ca="1" si="150"/>
        <v>0</v>
      </c>
      <c r="Y2687" s="64" t="str">
        <f t="shared" ca="1" si="151"/>
        <v/>
      </c>
    </row>
    <row r="2688" spans="1:25">
      <c r="A2688" s="2">
        <f>+Get_Data!A2687</f>
        <v>43341</v>
      </c>
      <c r="B2688">
        <f>+ROUND(Get_Data!B2687,5)</f>
        <v>104.78748</v>
      </c>
      <c r="C2688">
        <f>+ROUND(Get_Data!C2687,5)</f>
        <v>42.122839999999997</v>
      </c>
      <c r="D2688" s="4">
        <f t="shared" si="158"/>
        <v>2.48766</v>
      </c>
      <c r="E2688" s="22">
        <f t="shared" ca="1" si="137"/>
        <v>2.53226</v>
      </c>
      <c r="F2688" s="23">
        <f t="shared" ca="1" si="138"/>
        <v>2.45933</v>
      </c>
      <c r="G2688" s="10">
        <f t="shared" ca="1" si="139"/>
        <v>0</v>
      </c>
      <c r="H2688" s="12">
        <f t="shared" ca="1" si="140"/>
        <v>0</v>
      </c>
      <c r="I2688" s="11">
        <f t="shared" ca="1" si="141"/>
        <v>0</v>
      </c>
      <c r="J2688" s="11">
        <f t="shared" ca="1" si="142"/>
        <v>0</v>
      </c>
      <c r="K2688" s="10" t="str">
        <f t="shared" ca="1" si="152"/>
        <v/>
      </c>
      <c r="L2688" s="11" t="str">
        <f t="shared" ca="1" si="153"/>
        <v/>
      </c>
      <c r="M2688" s="11" t="str">
        <f t="shared" ca="1" si="154"/>
        <v/>
      </c>
      <c r="N2688" s="15" t="str">
        <f t="shared" ca="1" si="155"/>
        <v/>
      </c>
      <c r="O2688" s="15" t="str">
        <f t="shared" ca="1" si="156"/>
        <v/>
      </c>
      <c r="P2688" s="16" t="str">
        <f t="shared" ca="1" si="157"/>
        <v/>
      </c>
      <c r="Q2688" s="11" t="str">
        <f t="shared" ca="1" si="143"/>
        <v/>
      </c>
      <c r="R2688" s="11" t="str">
        <f t="shared" ca="1" si="144"/>
        <v/>
      </c>
      <c r="S2688" s="61" t="str">
        <f t="shared" ca="1" si="145"/>
        <v/>
      </c>
      <c r="T2688" s="11" t="str">
        <f t="shared" ca="1" si="146"/>
        <v/>
      </c>
      <c r="U2688" s="11" t="str">
        <f t="shared" ca="1" si="147"/>
        <v/>
      </c>
      <c r="V2688" s="18" t="str">
        <f t="shared" ca="1" si="148"/>
        <v/>
      </c>
      <c r="W2688" s="61" t="str">
        <f t="shared" ca="1" si="149"/>
        <v/>
      </c>
      <c r="X2688" s="61">
        <f t="shared" ca="1" si="150"/>
        <v>0</v>
      </c>
      <c r="Y2688" s="64" t="str">
        <f t="shared" ca="1" si="151"/>
        <v/>
      </c>
    </row>
    <row r="2689" spans="1:25">
      <c r="A2689" s="2">
        <f>+Get_Data!A2688</f>
        <v>43342</v>
      </c>
      <c r="B2689">
        <f>+ROUND(Get_Data!B2688,5)</f>
        <v>104.70332000000001</v>
      </c>
      <c r="C2689">
        <f>+ROUND(Get_Data!C2688,5)</f>
        <v>41.769730000000003</v>
      </c>
      <c r="D2689" s="4">
        <f t="shared" si="158"/>
        <v>2.5066799999999998</v>
      </c>
      <c r="E2689" s="22">
        <f t="shared" ca="1" si="137"/>
        <v>2.53226</v>
      </c>
      <c r="F2689" s="23">
        <f t="shared" ca="1" si="138"/>
        <v>2.45933</v>
      </c>
      <c r="G2689" s="10">
        <f t="shared" ca="1" si="139"/>
        <v>0</v>
      </c>
      <c r="H2689" s="12">
        <f t="shared" ca="1" si="140"/>
        <v>0</v>
      </c>
      <c r="I2689" s="11">
        <f t="shared" ca="1" si="141"/>
        <v>0</v>
      </c>
      <c r="J2689" s="11">
        <f t="shared" ca="1" si="142"/>
        <v>0</v>
      </c>
      <c r="K2689" s="10" t="str">
        <f t="shared" ca="1" si="152"/>
        <v/>
      </c>
      <c r="L2689" s="11" t="str">
        <f t="shared" ca="1" si="153"/>
        <v/>
      </c>
      <c r="M2689" s="11" t="str">
        <f t="shared" ca="1" si="154"/>
        <v/>
      </c>
      <c r="N2689" s="15" t="str">
        <f t="shared" ca="1" si="155"/>
        <v/>
      </c>
      <c r="O2689" s="15" t="str">
        <f t="shared" ca="1" si="156"/>
        <v/>
      </c>
      <c r="P2689" s="16" t="str">
        <f t="shared" ca="1" si="157"/>
        <v/>
      </c>
      <c r="Q2689" s="11" t="str">
        <f t="shared" ca="1" si="143"/>
        <v/>
      </c>
      <c r="R2689" s="11" t="str">
        <f t="shared" ca="1" si="144"/>
        <v/>
      </c>
      <c r="S2689" s="61" t="str">
        <f t="shared" ca="1" si="145"/>
        <v/>
      </c>
      <c r="T2689" s="11" t="str">
        <f t="shared" ca="1" si="146"/>
        <v/>
      </c>
      <c r="U2689" s="11" t="str">
        <f t="shared" ca="1" si="147"/>
        <v/>
      </c>
      <c r="V2689" s="18" t="str">
        <f t="shared" ca="1" si="148"/>
        <v/>
      </c>
      <c r="W2689" s="61" t="str">
        <f t="shared" ca="1" si="149"/>
        <v/>
      </c>
      <c r="X2689" s="61">
        <f t="shared" ca="1" si="150"/>
        <v>0</v>
      </c>
      <c r="Y2689" s="64" t="str">
        <f t="shared" ca="1" si="151"/>
        <v/>
      </c>
    </row>
    <row r="2690" spans="1:25">
      <c r="A2690" s="2">
        <f>+Get_Data!A2689</f>
        <v>43343</v>
      </c>
      <c r="B2690">
        <f>+ROUND(Get_Data!B2689,5)</f>
        <v>104.75008</v>
      </c>
      <c r="C2690">
        <f>+ROUND(Get_Data!C2689,5)</f>
        <v>41.416609999999999</v>
      </c>
      <c r="D2690" s="4">
        <f t="shared" si="158"/>
        <v>2.5291800000000002</v>
      </c>
      <c r="E2690" s="22">
        <f t="shared" ca="1" si="137"/>
        <v>2.53226</v>
      </c>
      <c r="F2690" s="23">
        <f t="shared" ca="1" si="138"/>
        <v>2.45933</v>
      </c>
      <c r="G2690" s="10">
        <f t="shared" ca="1" si="139"/>
        <v>0</v>
      </c>
      <c r="H2690" s="12">
        <f t="shared" ca="1" si="140"/>
        <v>0</v>
      </c>
      <c r="I2690" s="11">
        <f t="shared" ca="1" si="141"/>
        <v>0</v>
      </c>
      <c r="J2690" s="11">
        <f t="shared" ca="1" si="142"/>
        <v>0</v>
      </c>
      <c r="K2690" s="10" t="str">
        <f t="shared" ca="1" si="152"/>
        <v/>
      </c>
      <c r="L2690" s="11" t="str">
        <f t="shared" ca="1" si="153"/>
        <v/>
      </c>
      <c r="M2690" s="11" t="str">
        <f t="shared" ca="1" si="154"/>
        <v/>
      </c>
      <c r="N2690" s="15" t="str">
        <f t="shared" ca="1" si="155"/>
        <v/>
      </c>
      <c r="O2690" s="15" t="str">
        <f t="shared" ca="1" si="156"/>
        <v/>
      </c>
      <c r="P2690" s="16" t="str">
        <f t="shared" ca="1" si="157"/>
        <v/>
      </c>
      <c r="Q2690" s="11" t="str">
        <f t="shared" ca="1" si="143"/>
        <v/>
      </c>
      <c r="R2690" s="11" t="str">
        <f t="shared" ca="1" si="144"/>
        <v/>
      </c>
      <c r="S2690" s="61" t="str">
        <f t="shared" ca="1" si="145"/>
        <v/>
      </c>
      <c r="T2690" s="11" t="str">
        <f t="shared" ca="1" si="146"/>
        <v/>
      </c>
      <c r="U2690" s="11" t="str">
        <f t="shared" ca="1" si="147"/>
        <v/>
      </c>
      <c r="V2690" s="18" t="str">
        <f t="shared" ca="1" si="148"/>
        <v/>
      </c>
      <c r="W2690" s="61" t="str">
        <f t="shared" ca="1" si="149"/>
        <v/>
      </c>
      <c r="X2690" s="61">
        <f t="shared" ca="1" si="150"/>
        <v>0</v>
      </c>
      <c r="Y2690" s="64" t="str">
        <f t="shared" ca="1" si="151"/>
        <v/>
      </c>
    </row>
    <row r="2691" spans="1:25">
      <c r="A2691" s="2">
        <f>+Get_Data!A2690</f>
        <v>43347</v>
      </c>
      <c r="B2691">
        <f>+ROUND(Get_Data!B2690,5)</f>
        <v>103.80553999999999</v>
      </c>
      <c r="C2691">
        <f>+ROUND(Get_Data!C2690,5)</f>
        <v>41.593170000000001</v>
      </c>
      <c r="D2691" s="4">
        <f t="shared" si="158"/>
        <v>2.4957400000000001</v>
      </c>
      <c r="E2691" s="22">
        <f t="shared" ca="1" si="137"/>
        <v>2.53226</v>
      </c>
      <c r="F2691" s="23">
        <f t="shared" ca="1" si="138"/>
        <v>2.45933</v>
      </c>
      <c r="G2691" s="10">
        <f t="shared" ca="1" si="139"/>
        <v>0</v>
      </c>
      <c r="H2691" s="12">
        <f t="shared" ca="1" si="140"/>
        <v>0</v>
      </c>
      <c r="I2691" s="11">
        <f t="shared" ca="1" si="141"/>
        <v>0</v>
      </c>
      <c r="J2691" s="11">
        <f t="shared" ca="1" si="142"/>
        <v>0</v>
      </c>
      <c r="K2691" s="10" t="str">
        <f t="shared" ca="1" si="152"/>
        <v/>
      </c>
      <c r="L2691" s="11" t="str">
        <f t="shared" ca="1" si="153"/>
        <v/>
      </c>
      <c r="M2691" s="11" t="str">
        <f t="shared" ca="1" si="154"/>
        <v/>
      </c>
      <c r="N2691" s="15" t="str">
        <f t="shared" ca="1" si="155"/>
        <v/>
      </c>
      <c r="O2691" s="15" t="str">
        <f t="shared" ca="1" si="156"/>
        <v/>
      </c>
      <c r="P2691" s="16" t="str">
        <f t="shared" ca="1" si="157"/>
        <v/>
      </c>
      <c r="Q2691" s="11" t="str">
        <f t="shared" ca="1" si="143"/>
        <v/>
      </c>
      <c r="R2691" s="11" t="str">
        <f t="shared" ca="1" si="144"/>
        <v/>
      </c>
      <c r="S2691" s="61" t="str">
        <f t="shared" ca="1" si="145"/>
        <v/>
      </c>
      <c r="T2691" s="11" t="str">
        <f t="shared" ca="1" si="146"/>
        <v/>
      </c>
      <c r="U2691" s="11" t="str">
        <f t="shared" ca="1" si="147"/>
        <v/>
      </c>
      <c r="V2691" s="18" t="str">
        <f t="shared" ca="1" si="148"/>
        <v/>
      </c>
      <c r="W2691" s="61" t="str">
        <f t="shared" ca="1" si="149"/>
        <v/>
      </c>
      <c r="X2691" s="61">
        <f t="shared" ca="1" si="150"/>
        <v>0</v>
      </c>
      <c r="Y2691" s="64" t="str">
        <f t="shared" ca="1" si="151"/>
        <v/>
      </c>
    </row>
    <row r="2692" spans="1:25">
      <c r="A2692" s="2">
        <f>+Get_Data!A2691</f>
        <v>43348</v>
      </c>
      <c r="B2692">
        <f>+ROUND(Get_Data!B2691,5)</f>
        <v>105.78813</v>
      </c>
      <c r="C2692">
        <f>+ROUND(Get_Data!C2691,5)</f>
        <v>42.1693</v>
      </c>
      <c r="D2692" s="4">
        <f t="shared" si="158"/>
        <v>2.5086499999999998</v>
      </c>
      <c r="E2692" s="22">
        <f t="shared" ca="1" si="137"/>
        <v>2.53226</v>
      </c>
      <c r="F2692" s="23">
        <f t="shared" ca="1" si="138"/>
        <v>2.45933</v>
      </c>
      <c r="G2692" s="10">
        <f t="shared" ca="1" si="139"/>
        <v>0</v>
      </c>
      <c r="H2692" s="12">
        <f t="shared" ca="1" si="140"/>
        <v>0</v>
      </c>
      <c r="I2692" s="11">
        <f t="shared" ca="1" si="141"/>
        <v>0</v>
      </c>
      <c r="J2692" s="11">
        <f t="shared" ca="1" si="142"/>
        <v>0</v>
      </c>
      <c r="K2692" s="10" t="str">
        <f t="shared" ca="1" si="152"/>
        <v/>
      </c>
      <c r="L2692" s="11" t="str">
        <f t="shared" ca="1" si="153"/>
        <v/>
      </c>
      <c r="M2692" s="11" t="str">
        <f t="shared" ca="1" si="154"/>
        <v/>
      </c>
      <c r="N2692" s="15" t="str">
        <f t="shared" ca="1" si="155"/>
        <v/>
      </c>
      <c r="O2692" s="15" t="str">
        <f t="shared" ca="1" si="156"/>
        <v/>
      </c>
      <c r="P2692" s="16" t="str">
        <f t="shared" ca="1" si="157"/>
        <v/>
      </c>
      <c r="Q2692" s="11" t="str">
        <f t="shared" ca="1" si="143"/>
        <v/>
      </c>
      <c r="R2692" s="11" t="str">
        <f t="shared" ca="1" si="144"/>
        <v/>
      </c>
      <c r="S2692" s="61" t="str">
        <f t="shared" ca="1" si="145"/>
        <v/>
      </c>
      <c r="T2692" s="11" t="str">
        <f t="shared" ca="1" si="146"/>
        <v/>
      </c>
      <c r="U2692" s="11" t="str">
        <f t="shared" ca="1" si="147"/>
        <v/>
      </c>
      <c r="V2692" s="18" t="str">
        <f t="shared" ca="1" si="148"/>
        <v/>
      </c>
      <c r="W2692" s="61" t="str">
        <f t="shared" ca="1" si="149"/>
        <v/>
      </c>
      <c r="X2692" s="61">
        <f t="shared" ca="1" si="150"/>
        <v>0</v>
      </c>
      <c r="Y2692" s="64" t="str">
        <f t="shared" ca="1" si="151"/>
        <v/>
      </c>
    </row>
    <row r="2693" spans="1:25">
      <c r="A2693" s="2">
        <f>+Get_Data!A2692</f>
        <v>43349</v>
      </c>
      <c r="B2693">
        <f>+ROUND(Get_Data!B2692,5)</f>
        <v>107.02146999999999</v>
      </c>
      <c r="C2693">
        <f>+ROUND(Get_Data!C2692,5)</f>
        <v>42.531709999999997</v>
      </c>
      <c r="D2693" s="4">
        <f t="shared" si="158"/>
        <v>2.51627</v>
      </c>
      <c r="E2693" s="22">
        <f t="shared" ref="E2693:E2756" ca="1" si="159">+MAX(OFFSET(D2693,-$G$2+1,,$G$2))</f>
        <v>2.53226</v>
      </c>
      <c r="F2693" s="23">
        <f t="shared" ref="F2693:F2756" ca="1" si="160">+MIN(OFFSET(D2693,-$G$2+1,,$G$2))</f>
        <v>2.45933</v>
      </c>
      <c r="G2693" s="10">
        <f t="shared" ref="G2693:G2756" ca="1" si="161">+IF(E2693=D2693,1,0)</f>
        <v>0</v>
      </c>
      <c r="H2693" s="12">
        <f t="shared" ref="H2693:H2756" ca="1" si="162">+IF(F2693=D2693,1,0)</f>
        <v>0</v>
      </c>
      <c r="I2693" s="11">
        <f t="shared" ref="I2693:I2756" ca="1" si="163">+G2693-H2693</f>
        <v>0</v>
      </c>
      <c r="J2693" s="11">
        <f t="shared" ca="1" si="142"/>
        <v>0</v>
      </c>
      <c r="K2693" s="10" t="str">
        <f t="shared" ca="1" si="152"/>
        <v/>
      </c>
      <c r="L2693" s="11" t="str">
        <f t="shared" ca="1" si="153"/>
        <v/>
      </c>
      <c r="M2693" s="11" t="str">
        <f t="shared" ca="1" si="154"/>
        <v/>
      </c>
      <c r="N2693" s="15" t="str">
        <f t="shared" ca="1" si="155"/>
        <v/>
      </c>
      <c r="O2693" s="15" t="str">
        <f t="shared" ca="1" si="156"/>
        <v/>
      </c>
      <c r="P2693" s="16" t="str">
        <f t="shared" ca="1" si="157"/>
        <v/>
      </c>
      <c r="Q2693" s="11" t="str">
        <f t="shared" ca="1" si="143"/>
        <v/>
      </c>
      <c r="R2693" s="11" t="str">
        <f t="shared" ca="1" si="144"/>
        <v/>
      </c>
      <c r="S2693" s="61" t="str">
        <f t="shared" ca="1" si="145"/>
        <v/>
      </c>
      <c r="T2693" s="11" t="str">
        <f t="shared" ca="1" si="146"/>
        <v/>
      </c>
      <c r="U2693" s="11" t="str">
        <f t="shared" ca="1" si="147"/>
        <v/>
      </c>
      <c r="V2693" s="18" t="str">
        <f t="shared" ca="1" si="148"/>
        <v/>
      </c>
      <c r="W2693" s="61" t="str">
        <f t="shared" ca="1" si="149"/>
        <v/>
      </c>
      <c r="X2693" s="61">
        <f t="shared" ca="1" si="150"/>
        <v>0</v>
      </c>
      <c r="Y2693" s="64" t="str">
        <f t="shared" ca="1" si="151"/>
        <v/>
      </c>
    </row>
    <row r="2694" spans="1:25">
      <c r="A2694" s="2">
        <f>+Get_Data!A2693</f>
        <v>43350</v>
      </c>
      <c r="B2694">
        <f>+ROUND(Get_Data!B2693,5)</f>
        <v>106.30484</v>
      </c>
      <c r="C2694">
        <f>+ROUND(Get_Data!C2693,5)</f>
        <v>42.485250000000001</v>
      </c>
      <c r="D2694" s="4">
        <f t="shared" si="158"/>
        <v>2.5021599999999999</v>
      </c>
      <c r="E2694" s="22">
        <f t="shared" ca="1" si="159"/>
        <v>2.53226</v>
      </c>
      <c r="F2694" s="23">
        <f t="shared" ca="1" si="160"/>
        <v>2.45933</v>
      </c>
      <c r="G2694" s="10">
        <f t="shared" ca="1" si="161"/>
        <v>0</v>
      </c>
      <c r="H2694" s="12">
        <f t="shared" ca="1" si="162"/>
        <v>0</v>
      </c>
      <c r="I2694" s="11">
        <f t="shared" ca="1" si="163"/>
        <v>0</v>
      </c>
      <c r="J2694" s="11">
        <f t="shared" ref="J2694:J2757" ca="1" si="164">+IF(AND(ABS(J2693)=2,ABS(I2694)=1),0,J2693+I2694)</f>
        <v>0</v>
      </c>
      <c r="K2694" s="10" t="str">
        <f t="shared" ca="1" si="152"/>
        <v/>
      </c>
      <c r="L2694" s="11" t="str">
        <f t="shared" ca="1" si="153"/>
        <v/>
      </c>
      <c r="M2694" s="11" t="str">
        <f t="shared" ca="1" si="154"/>
        <v/>
      </c>
      <c r="N2694" s="15" t="str">
        <f t="shared" ca="1" si="155"/>
        <v/>
      </c>
      <c r="O2694" s="15" t="str">
        <f t="shared" ca="1" si="156"/>
        <v/>
      </c>
      <c r="P2694" s="16" t="str">
        <f t="shared" ca="1" si="157"/>
        <v/>
      </c>
      <c r="Q2694" s="11" t="str">
        <f t="shared" ca="1" si="143"/>
        <v/>
      </c>
      <c r="R2694" s="11" t="str">
        <f t="shared" ca="1" si="144"/>
        <v/>
      </c>
      <c r="S2694" s="61" t="str">
        <f t="shared" ca="1" si="145"/>
        <v/>
      </c>
      <c r="T2694" s="11" t="str">
        <f t="shared" ca="1" si="146"/>
        <v/>
      </c>
      <c r="U2694" s="11" t="str">
        <f t="shared" ca="1" si="147"/>
        <v/>
      </c>
      <c r="V2694" s="18" t="str">
        <f t="shared" ca="1" si="148"/>
        <v/>
      </c>
      <c r="W2694" s="61" t="str">
        <f t="shared" ca="1" si="149"/>
        <v/>
      </c>
      <c r="X2694" s="61">
        <f t="shared" ca="1" si="150"/>
        <v>0</v>
      </c>
      <c r="Y2694" s="64" t="str">
        <f t="shared" ca="1" si="151"/>
        <v/>
      </c>
    </row>
    <row r="2695" spans="1:25">
      <c r="A2695" s="2">
        <f>+Get_Data!A2694</f>
        <v>43353</v>
      </c>
      <c r="B2695">
        <f>+ROUND(Get_Data!B2694,5)</f>
        <v>107.08748</v>
      </c>
      <c r="C2695">
        <f>+ROUND(Get_Data!C2694,5)</f>
        <v>42.801189999999998</v>
      </c>
      <c r="D2695" s="4">
        <f t="shared" si="158"/>
        <v>2.50197</v>
      </c>
      <c r="E2695" s="22">
        <f t="shared" ca="1" si="159"/>
        <v>2.53226</v>
      </c>
      <c r="F2695" s="23">
        <f t="shared" ca="1" si="160"/>
        <v>2.45933</v>
      </c>
      <c r="G2695" s="10">
        <f t="shared" ca="1" si="161"/>
        <v>0</v>
      </c>
      <c r="H2695" s="12">
        <f t="shared" ca="1" si="162"/>
        <v>0</v>
      </c>
      <c r="I2695" s="11">
        <f t="shared" ca="1" si="163"/>
        <v>0</v>
      </c>
      <c r="J2695" s="11">
        <f t="shared" ca="1" si="164"/>
        <v>0</v>
      </c>
      <c r="K2695" s="10" t="str">
        <f t="shared" ca="1" si="152"/>
        <v/>
      </c>
      <c r="L2695" s="11" t="str">
        <f t="shared" ca="1" si="153"/>
        <v/>
      </c>
      <c r="M2695" s="11" t="str">
        <f t="shared" ca="1" si="154"/>
        <v/>
      </c>
      <c r="N2695" s="15" t="str">
        <f t="shared" ca="1" si="155"/>
        <v/>
      </c>
      <c r="O2695" s="15" t="str">
        <f t="shared" ca="1" si="156"/>
        <v/>
      </c>
      <c r="P2695" s="16" t="str">
        <f t="shared" ca="1" si="157"/>
        <v/>
      </c>
      <c r="Q2695" s="11" t="str">
        <f t="shared" ca="1" si="143"/>
        <v/>
      </c>
      <c r="R2695" s="11" t="str">
        <f t="shared" ca="1" si="144"/>
        <v/>
      </c>
      <c r="S2695" s="61" t="str">
        <f t="shared" ca="1" si="145"/>
        <v/>
      </c>
      <c r="T2695" s="11" t="str">
        <f t="shared" ca="1" si="146"/>
        <v/>
      </c>
      <c r="U2695" s="11" t="str">
        <f t="shared" ca="1" si="147"/>
        <v/>
      </c>
      <c r="V2695" s="18" t="str">
        <f t="shared" ca="1" si="148"/>
        <v/>
      </c>
      <c r="W2695" s="61" t="str">
        <f t="shared" ca="1" si="149"/>
        <v/>
      </c>
      <c r="X2695" s="61">
        <f t="shared" ca="1" si="150"/>
        <v>0</v>
      </c>
      <c r="Y2695" s="64" t="str">
        <f t="shared" ca="1" si="151"/>
        <v/>
      </c>
    </row>
    <row r="2696" spans="1:25">
      <c r="A2696" s="2">
        <f>+Get_Data!A2695</f>
        <v>43354</v>
      </c>
      <c r="B2696">
        <f>+ROUND(Get_Data!B2695,5)</f>
        <v>106.86118</v>
      </c>
      <c r="C2696">
        <f>+ROUND(Get_Data!C2695,5)</f>
        <v>42.764020000000002</v>
      </c>
      <c r="D2696" s="4">
        <f t="shared" si="158"/>
        <v>2.4988600000000001</v>
      </c>
      <c r="E2696" s="22">
        <f t="shared" ca="1" si="159"/>
        <v>2.5291800000000002</v>
      </c>
      <c r="F2696" s="23">
        <f t="shared" ca="1" si="160"/>
        <v>2.45933</v>
      </c>
      <c r="G2696" s="10">
        <f t="shared" ca="1" si="161"/>
        <v>0</v>
      </c>
      <c r="H2696" s="12">
        <f t="shared" ca="1" si="162"/>
        <v>0</v>
      </c>
      <c r="I2696" s="11">
        <f t="shared" ca="1" si="163"/>
        <v>0</v>
      </c>
      <c r="J2696" s="11">
        <f t="shared" ca="1" si="164"/>
        <v>0</v>
      </c>
      <c r="K2696" s="10" t="str">
        <f t="shared" ca="1" si="152"/>
        <v/>
      </c>
      <c r="L2696" s="11" t="str">
        <f t="shared" ca="1" si="153"/>
        <v/>
      </c>
      <c r="M2696" s="11" t="str">
        <f t="shared" ca="1" si="154"/>
        <v/>
      </c>
      <c r="N2696" s="15" t="str">
        <f t="shared" ca="1" si="155"/>
        <v/>
      </c>
      <c r="O2696" s="15" t="str">
        <f t="shared" ca="1" si="156"/>
        <v/>
      </c>
      <c r="P2696" s="16" t="str">
        <f t="shared" ca="1" si="157"/>
        <v/>
      </c>
      <c r="Q2696" s="11" t="str">
        <f t="shared" ca="1" si="143"/>
        <v/>
      </c>
      <c r="R2696" s="11" t="str">
        <f t="shared" ca="1" si="144"/>
        <v/>
      </c>
      <c r="S2696" s="61" t="str">
        <f t="shared" ca="1" si="145"/>
        <v/>
      </c>
      <c r="T2696" s="11" t="str">
        <f t="shared" ca="1" si="146"/>
        <v/>
      </c>
      <c r="U2696" s="11" t="str">
        <f t="shared" ca="1" si="147"/>
        <v/>
      </c>
      <c r="V2696" s="18" t="str">
        <f t="shared" ca="1" si="148"/>
        <v/>
      </c>
      <c r="W2696" s="61" t="str">
        <f t="shared" ca="1" si="149"/>
        <v/>
      </c>
      <c r="X2696" s="61">
        <f t="shared" ca="1" si="150"/>
        <v>0</v>
      </c>
      <c r="Y2696" s="64" t="str">
        <f t="shared" ca="1" si="151"/>
        <v/>
      </c>
    </row>
    <row r="2697" spans="1:25">
      <c r="A2697" s="2">
        <f>+Get_Data!A2696</f>
        <v>43355</v>
      </c>
      <c r="B2697">
        <f>+ROUND(Get_Data!B2696,5)</f>
        <v>107.35149</v>
      </c>
      <c r="C2697">
        <f>+ROUND(Get_Data!C2696,5)</f>
        <v>42.96846</v>
      </c>
      <c r="D2697" s="4">
        <f t="shared" si="158"/>
        <v>2.49838</v>
      </c>
      <c r="E2697" s="22">
        <f t="shared" ca="1" si="159"/>
        <v>2.5291800000000002</v>
      </c>
      <c r="F2697" s="23">
        <f t="shared" ca="1" si="160"/>
        <v>2.45933</v>
      </c>
      <c r="G2697" s="10">
        <f t="shared" ca="1" si="161"/>
        <v>0</v>
      </c>
      <c r="H2697" s="12">
        <f t="shared" ca="1" si="162"/>
        <v>0</v>
      </c>
      <c r="I2697" s="11">
        <f t="shared" ca="1" si="163"/>
        <v>0</v>
      </c>
      <c r="J2697" s="11">
        <f t="shared" ca="1" si="164"/>
        <v>0</v>
      </c>
      <c r="K2697" s="10" t="str">
        <f t="shared" ca="1" si="152"/>
        <v/>
      </c>
      <c r="L2697" s="11" t="str">
        <f t="shared" ca="1" si="153"/>
        <v/>
      </c>
      <c r="M2697" s="11" t="str">
        <f t="shared" ca="1" si="154"/>
        <v/>
      </c>
      <c r="N2697" s="15" t="str">
        <f t="shared" ca="1" si="155"/>
        <v/>
      </c>
      <c r="O2697" s="15" t="str">
        <f t="shared" ca="1" si="156"/>
        <v/>
      </c>
      <c r="P2697" s="16" t="str">
        <f t="shared" ca="1" si="157"/>
        <v/>
      </c>
      <c r="Q2697" s="11" t="str">
        <f t="shared" ca="1" si="143"/>
        <v/>
      </c>
      <c r="R2697" s="11" t="str">
        <f t="shared" ca="1" si="144"/>
        <v/>
      </c>
      <c r="S2697" s="61" t="str">
        <f t="shared" ca="1" si="145"/>
        <v/>
      </c>
      <c r="T2697" s="11" t="str">
        <f t="shared" ca="1" si="146"/>
        <v/>
      </c>
      <c r="U2697" s="11" t="str">
        <f t="shared" ca="1" si="147"/>
        <v/>
      </c>
      <c r="V2697" s="18" t="str">
        <f t="shared" ca="1" si="148"/>
        <v/>
      </c>
      <c r="W2697" s="61" t="str">
        <f t="shared" ca="1" si="149"/>
        <v/>
      </c>
      <c r="X2697" s="61">
        <f t="shared" ca="1" si="150"/>
        <v>0</v>
      </c>
      <c r="Y2697" s="64" t="str">
        <f t="shared" ca="1" si="151"/>
        <v/>
      </c>
    </row>
    <row r="2698" spans="1:25">
      <c r="A2698" s="2">
        <f>+Get_Data!A2697</f>
        <v>43356</v>
      </c>
      <c r="B2698">
        <f>+ROUND(Get_Data!B2697,5)</f>
        <v>108.42641999999999</v>
      </c>
      <c r="C2698">
        <f>+ROUND(Get_Data!C2697,5)</f>
        <v>42.949719999999999</v>
      </c>
      <c r="D2698" s="4">
        <f t="shared" si="158"/>
        <v>2.5245000000000002</v>
      </c>
      <c r="E2698" s="22">
        <f t="shared" ca="1" si="159"/>
        <v>2.5291800000000002</v>
      </c>
      <c r="F2698" s="23">
        <f t="shared" ca="1" si="160"/>
        <v>2.45933</v>
      </c>
      <c r="G2698" s="10">
        <f t="shared" ca="1" si="161"/>
        <v>0</v>
      </c>
      <c r="H2698" s="12">
        <f t="shared" ca="1" si="162"/>
        <v>0</v>
      </c>
      <c r="I2698" s="11">
        <f t="shared" ca="1" si="163"/>
        <v>0</v>
      </c>
      <c r="J2698" s="11">
        <f t="shared" ca="1" si="164"/>
        <v>0</v>
      </c>
      <c r="K2698" s="10" t="str">
        <f t="shared" ca="1" si="152"/>
        <v/>
      </c>
      <c r="L2698" s="11" t="str">
        <f t="shared" ca="1" si="153"/>
        <v/>
      </c>
      <c r="M2698" s="11" t="str">
        <f t="shared" ca="1" si="154"/>
        <v/>
      </c>
      <c r="N2698" s="15" t="str">
        <f t="shared" ca="1" si="155"/>
        <v/>
      </c>
      <c r="O2698" s="15" t="str">
        <f t="shared" ca="1" si="156"/>
        <v/>
      </c>
      <c r="P2698" s="16" t="str">
        <f t="shared" ca="1" si="157"/>
        <v/>
      </c>
      <c r="Q2698" s="11" t="str">
        <f t="shared" ca="1" si="143"/>
        <v/>
      </c>
      <c r="R2698" s="11" t="str">
        <f t="shared" ca="1" si="144"/>
        <v/>
      </c>
      <c r="S2698" s="61" t="str">
        <f t="shared" ca="1" si="145"/>
        <v/>
      </c>
      <c r="T2698" s="11" t="str">
        <f t="shared" ca="1" si="146"/>
        <v/>
      </c>
      <c r="U2698" s="11" t="str">
        <f t="shared" ca="1" si="147"/>
        <v/>
      </c>
      <c r="V2698" s="18" t="str">
        <f t="shared" ca="1" si="148"/>
        <v/>
      </c>
      <c r="W2698" s="61" t="str">
        <f t="shared" ca="1" si="149"/>
        <v/>
      </c>
      <c r="X2698" s="61">
        <f t="shared" ca="1" si="150"/>
        <v>0</v>
      </c>
      <c r="Y2698" s="64" t="str">
        <f t="shared" ca="1" si="151"/>
        <v/>
      </c>
    </row>
    <row r="2699" spans="1:25">
      <c r="A2699" s="2">
        <f>+Get_Data!A2698</f>
        <v>43357</v>
      </c>
      <c r="B2699">
        <f>+ROUND(Get_Data!B2698,5)</f>
        <v>108.03039</v>
      </c>
      <c r="C2699">
        <f>+ROUND(Get_Data!C2698,5)</f>
        <v>43.09966</v>
      </c>
      <c r="D2699" s="4">
        <f t="shared" si="158"/>
        <v>2.5065300000000001</v>
      </c>
      <c r="E2699" s="22">
        <f t="shared" ca="1" si="159"/>
        <v>2.5291800000000002</v>
      </c>
      <c r="F2699" s="23">
        <f t="shared" ca="1" si="160"/>
        <v>2.45933</v>
      </c>
      <c r="G2699" s="10">
        <f t="shared" ca="1" si="161"/>
        <v>0</v>
      </c>
      <c r="H2699" s="12">
        <f t="shared" ca="1" si="162"/>
        <v>0</v>
      </c>
      <c r="I2699" s="11">
        <f t="shared" ca="1" si="163"/>
        <v>0</v>
      </c>
      <c r="J2699" s="11">
        <f t="shared" ca="1" si="164"/>
        <v>0</v>
      </c>
      <c r="K2699" s="10" t="str">
        <f t="shared" ca="1" si="152"/>
        <v/>
      </c>
      <c r="L2699" s="11" t="str">
        <f t="shared" ca="1" si="153"/>
        <v/>
      </c>
      <c r="M2699" s="11" t="str">
        <f t="shared" ca="1" si="154"/>
        <v/>
      </c>
      <c r="N2699" s="15" t="str">
        <f t="shared" ca="1" si="155"/>
        <v/>
      </c>
      <c r="O2699" s="15" t="str">
        <f t="shared" ca="1" si="156"/>
        <v/>
      </c>
      <c r="P2699" s="16" t="str">
        <f t="shared" ca="1" si="157"/>
        <v/>
      </c>
      <c r="Q2699" s="11" t="str">
        <f t="shared" ca="1" si="143"/>
        <v/>
      </c>
      <c r="R2699" s="11" t="str">
        <f t="shared" ca="1" si="144"/>
        <v/>
      </c>
      <c r="S2699" s="61" t="str">
        <f t="shared" ca="1" si="145"/>
        <v/>
      </c>
      <c r="T2699" s="11" t="str">
        <f t="shared" ca="1" si="146"/>
        <v/>
      </c>
      <c r="U2699" s="11" t="str">
        <f t="shared" ca="1" si="147"/>
        <v/>
      </c>
      <c r="V2699" s="18" t="str">
        <f t="shared" ca="1" si="148"/>
        <v/>
      </c>
      <c r="W2699" s="61" t="str">
        <f t="shared" ca="1" si="149"/>
        <v/>
      </c>
      <c r="X2699" s="61">
        <f t="shared" ca="1" si="150"/>
        <v>0</v>
      </c>
      <c r="Y2699" s="64" t="str">
        <f t="shared" ca="1" si="151"/>
        <v/>
      </c>
    </row>
    <row r="2700" spans="1:25">
      <c r="A2700" s="2">
        <f>+Get_Data!A2699</f>
        <v>43360</v>
      </c>
      <c r="B2700">
        <f>+ROUND(Get_Data!B2699,5)</f>
        <v>108.81303</v>
      </c>
      <c r="C2700">
        <f>+ROUND(Get_Data!C2699,5)</f>
        <v>43.408920000000002</v>
      </c>
      <c r="D2700" s="4">
        <f t="shared" si="158"/>
        <v>2.5066999999999999</v>
      </c>
      <c r="E2700" s="22">
        <f t="shared" ca="1" si="159"/>
        <v>2.5291800000000002</v>
      </c>
      <c r="F2700" s="23">
        <f t="shared" ca="1" si="160"/>
        <v>2.45933</v>
      </c>
      <c r="G2700" s="10">
        <f t="shared" ca="1" si="161"/>
        <v>0</v>
      </c>
      <c r="H2700" s="12">
        <f t="shared" ca="1" si="162"/>
        <v>0</v>
      </c>
      <c r="I2700" s="11">
        <f t="shared" ca="1" si="163"/>
        <v>0</v>
      </c>
      <c r="J2700" s="11">
        <f t="shared" ca="1" si="164"/>
        <v>0</v>
      </c>
      <c r="K2700" s="10" t="str">
        <f t="shared" ca="1" si="152"/>
        <v/>
      </c>
      <c r="L2700" s="11" t="str">
        <f t="shared" ca="1" si="153"/>
        <v/>
      </c>
      <c r="M2700" s="11" t="str">
        <f t="shared" ca="1" si="154"/>
        <v/>
      </c>
      <c r="N2700" s="15" t="str">
        <f t="shared" ca="1" si="155"/>
        <v/>
      </c>
      <c r="O2700" s="15" t="str">
        <f t="shared" ca="1" si="156"/>
        <v/>
      </c>
      <c r="P2700" s="16" t="str">
        <f t="shared" ca="1" si="157"/>
        <v/>
      </c>
      <c r="Q2700" s="11" t="str">
        <f t="shared" ca="1" si="143"/>
        <v/>
      </c>
      <c r="R2700" s="11" t="str">
        <f t="shared" ca="1" si="144"/>
        <v/>
      </c>
      <c r="S2700" s="61" t="str">
        <f t="shared" ca="1" si="145"/>
        <v/>
      </c>
      <c r="T2700" s="11" t="str">
        <f t="shared" ca="1" si="146"/>
        <v/>
      </c>
      <c r="U2700" s="11" t="str">
        <f t="shared" ca="1" si="147"/>
        <v/>
      </c>
      <c r="V2700" s="18" t="str">
        <f t="shared" ca="1" si="148"/>
        <v/>
      </c>
      <c r="W2700" s="61" t="str">
        <f t="shared" ca="1" si="149"/>
        <v/>
      </c>
      <c r="X2700" s="61">
        <f t="shared" ca="1" si="150"/>
        <v>0</v>
      </c>
      <c r="Y2700" s="64" t="str">
        <f t="shared" ca="1" si="151"/>
        <v/>
      </c>
    </row>
    <row r="2701" spans="1:25">
      <c r="A2701" s="2">
        <f>+Get_Data!A2700</f>
        <v>43361</v>
      </c>
      <c r="B2701">
        <f>+ROUND(Get_Data!B2700,5)</f>
        <v>107.47408</v>
      </c>
      <c r="C2701">
        <f>+ROUND(Get_Data!C2700,5)</f>
        <v>43.043430000000001</v>
      </c>
      <c r="D2701" s="4">
        <f t="shared" si="158"/>
        <v>2.49688</v>
      </c>
      <c r="E2701" s="22">
        <f t="shared" ca="1" si="159"/>
        <v>2.5291800000000002</v>
      </c>
      <c r="F2701" s="23">
        <f t="shared" ca="1" si="160"/>
        <v>2.45933</v>
      </c>
      <c r="G2701" s="10">
        <f t="shared" ca="1" si="161"/>
        <v>0</v>
      </c>
      <c r="H2701" s="12">
        <f t="shared" ca="1" si="162"/>
        <v>0</v>
      </c>
      <c r="I2701" s="11">
        <f t="shared" ca="1" si="163"/>
        <v>0</v>
      </c>
      <c r="J2701" s="11">
        <f t="shared" ca="1" si="164"/>
        <v>0</v>
      </c>
      <c r="K2701" s="10" t="str">
        <f t="shared" ca="1" si="152"/>
        <v/>
      </c>
      <c r="L2701" s="11" t="str">
        <f t="shared" ca="1" si="153"/>
        <v/>
      </c>
      <c r="M2701" s="11" t="str">
        <f t="shared" ca="1" si="154"/>
        <v/>
      </c>
      <c r="N2701" s="15" t="str">
        <f t="shared" ca="1" si="155"/>
        <v/>
      </c>
      <c r="O2701" s="15" t="str">
        <f t="shared" ca="1" si="156"/>
        <v/>
      </c>
      <c r="P2701" s="16" t="str">
        <f t="shared" ca="1" si="157"/>
        <v/>
      </c>
      <c r="Q2701" s="11" t="str">
        <f t="shared" ca="1" si="143"/>
        <v/>
      </c>
      <c r="R2701" s="11" t="str">
        <f t="shared" ca="1" si="144"/>
        <v/>
      </c>
      <c r="S2701" s="61" t="str">
        <f t="shared" ca="1" si="145"/>
        <v/>
      </c>
      <c r="T2701" s="11" t="str">
        <f t="shared" ca="1" si="146"/>
        <v/>
      </c>
      <c r="U2701" s="11" t="str">
        <f t="shared" ca="1" si="147"/>
        <v/>
      </c>
      <c r="V2701" s="18" t="str">
        <f t="shared" ca="1" si="148"/>
        <v/>
      </c>
      <c r="W2701" s="61" t="str">
        <f t="shared" ca="1" si="149"/>
        <v/>
      </c>
      <c r="X2701" s="61">
        <f t="shared" ca="1" si="150"/>
        <v>0</v>
      </c>
      <c r="Y2701" s="64" t="str">
        <f t="shared" ca="1" si="151"/>
        <v/>
      </c>
    </row>
    <row r="2702" spans="1:25">
      <c r="A2702" s="2">
        <f>+Get_Data!A2701</f>
        <v>43362</v>
      </c>
      <c r="B2702">
        <f>+ROUND(Get_Data!B2701,5)</f>
        <v>107.27605</v>
      </c>
      <c r="C2702">
        <f>+ROUND(Get_Data!C2701,5)</f>
        <v>43.071539999999999</v>
      </c>
      <c r="D2702" s="4">
        <f t="shared" si="158"/>
        <v>2.49065</v>
      </c>
      <c r="E2702" s="22">
        <f t="shared" ca="1" si="159"/>
        <v>2.5291800000000002</v>
      </c>
      <c r="F2702" s="23">
        <f t="shared" ca="1" si="160"/>
        <v>2.45933</v>
      </c>
      <c r="G2702" s="10">
        <f t="shared" ca="1" si="161"/>
        <v>0</v>
      </c>
      <c r="H2702" s="12">
        <f t="shared" ca="1" si="162"/>
        <v>0</v>
      </c>
      <c r="I2702" s="11">
        <f t="shared" ca="1" si="163"/>
        <v>0</v>
      </c>
      <c r="J2702" s="11">
        <f t="shared" ca="1" si="164"/>
        <v>0</v>
      </c>
      <c r="K2702" s="10" t="str">
        <f t="shared" ca="1" si="152"/>
        <v/>
      </c>
      <c r="L2702" s="11" t="str">
        <f t="shared" ca="1" si="153"/>
        <v/>
      </c>
      <c r="M2702" s="11" t="str">
        <f t="shared" ca="1" si="154"/>
        <v/>
      </c>
      <c r="N2702" s="15" t="str">
        <f t="shared" ca="1" si="155"/>
        <v/>
      </c>
      <c r="O2702" s="15" t="str">
        <f t="shared" ca="1" si="156"/>
        <v/>
      </c>
      <c r="P2702" s="16" t="str">
        <f t="shared" ca="1" si="157"/>
        <v/>
      </c>
      <c r="Q2702" s="11" t="str">
        <f t="shared" ca="1" si="143"/>
        <v/>
      </c>
      <c r="R2702" s="11" t="str">
        <f t="shared" ca="1" si="144"/>
        <v/>
      </c>
      <c r="S2702" s="61" t="str">
        <f t="shared" ca="1" si="145"/>
        <v/>
      </c>
      <c r="T2702" s="11" t="str">
        <f t="shared" ca="1" si="146"/>
        <v/>
      </c>
      <c r="U2702" s="11" t="str">
        <f t="shared" ca="1" si="147"/>
        <v/>
      </c>
      <c r="V2702" s="18" t="str">
        <f t="shared" ca="1" si="148"/>
        <v/>
      </c>
      <c r="W2702" s="61" t="str">
        <f t="shared" ca="1" si="149"/>
        <v/>
      </c>
      <c r="X2702" s="61">
        <f t="shared" ca="1" si="150"/>
        <v>0</v>
      </c>
      <c r="Y2702" s="64" t="str">
        <f t="shared" ca="1" si="151"/>
        <v/>
      </c>
    </row>
    <row r="2703" spans="1:25">
      <c r="A2703" s="2">
        <f>+Get_Data!A2702</f>
        <v>43363</v>
      </c>
      <c r="B2703">
        <f>+ROUND(Get_Data!B2702,5)</f>
        <v>108.6433</v>
      </c>
      <c r="C2703">
        <f>+ROUND(Get_Data!C2702,5)</f>
        <v>43.70881</v>
      </c>
      <c r="D2703" s="4">
        <f t="shared" si="158"/>
        <v>2.4856199999999999</v>
      </c>
      <c r="E2703" s="22">
        <f t="shared" ca="1" si="159"/>
        <v>2.5291800000000002</v>
      </c>
      <c r="F2703" s="23">
        <f t="shared" ca="1" si="160"/>
        <v>2.45933</v>
      </c>
      <c r="G2703" s="10">
        <f t="shared" ca="1" si="161"/>
        <v>0</v>
      </c>
      <c r="H2703" s="12">
        <f t="shared" ca="1" si="162"/>
        <v>0</v>
      </c>
      <c r="I2703" s="11">
        <f t="shared" ca="1" si="163"/>
        <v>0</v>
      </c>
      <c r="J2703" s="11">
        <f t="shared" ca="1" si="164"/>
        <v>0</v>
      </c>
      <c r="K2703" s="10" t="str">
        <f t="shared" ca="1" si="152"/>
        <v/>
      </c>
      <c r="L2703" s="11" t="str">
        <f t="shared" ca="1" si="153"/>
        <v/>
      </c>
      <c r="M2703" s="11" t="str">
        <f t="shared" ca="1" si="154"/>
        <v/>
      </c>
      <c r="N2703" s="15" t="str">
        <f t="shared" ca="1" si="155"/>
        <v/>
      </c>
      <c r="O2703" s="15" t="str">
        <f t="shared" ca="1" si="156"/>
        <v/>
      </c>
      <c r="P2703" s="16" t="str">
        <f t="shared" ca="1" si="157"/>
        <v/>
      </c>
      <c r="Q2703" s="11" t="str">
        <f t="shared" ca="1" si="143"/>
        <v/>
      </c>
      <c r="R2703" s="11" t="str">
        <f t="shared" ca="1" si="144"/>
        <v/>
      </c>
      <c r="S2703" s="61" t="str">
        <f t="shared" ca="1" si="145"/>
        <v/>
      </c>
      <c r="T2703" s="11" t="str">
        <f t="shared" ca="1" si="146"/>
        <v/>
      </c>
      <c r="U2703" s="11" t="str">
        <f t="shared" ca="1" si="147"/>
        <v/>
      </c>
      <c r="V2703" s="18" t="str">
        <f t="shared" ca="1" si="148"/>
        <v/>
      </c>
      <c r="W2703" s="61" t="str">
        <f t="shared" ca="1" si="149"/>
        <v/>
      </c>
      <c r="X2703" s="61">
        <f t="shared" ca="1" si="150"/>
        <v>0</v>
      </c>
      <c r="Y2703" s="64" t="str">
        <f t="shared" ca="1" si="151"/>
        <v/>
      </c>
    </row>
    <row r="2704" spans="1:25">
      <c r="A2704" s="2">
        <f>+Get_Data!A2703</f>
        <v>43364</v>
      </c>
      <c r="B2704">
        <f>+ROUND(Get_Data!B2703,5)</f>
        <v>108.35099</v>
      </c>
      <c r="C2704">
        <f>+ROUND(Get_Data!C2703,5)</f>
        <v>43.65258</v>
      </c>
      <c r="D2704" s="4">
        <f t="shared" si="158"/>
        <v>2.4821200000000001</v>
      </c>
      <c r="E2704" s="22">
        <f t="shared" ca="1" si="159"/>
        <v>2.5291800000000002</v>
      </c>
      <c r="F2704" s="23">
        <f t="shared" ca="1" si="160"/>
        <v>2.45933</v>
      </c>
      <c r="G2704" s="10">
        <f t="shared" ca="1" si="161"/>
        <v>0</v>
      </c>
      <c r="H2704" s="12">
        <f t="shared" ca="1" si="162"/>
        <v>0</v>
      </c>
      <c r="I2704" s="11">
        <f t="shared" ca="1" si="163"/>
        <v>0</v>
      </c>
      <c r="J2704" s="11">
        <f t="shared" ca="1" si="164"/>
        <v>0</v>
      </c>
      <c r="K2704" s="10" t="str">
        <f t="shared" ca="1" si="152"/>
        <v/>
      </c>
      <c r="L2704" s="11" t="str">
        <f t="shared" ca="1" si="153"/>
        <v/>
      </c>
      <c r="M2704" s="11" t="str">
        <f t="shared" ca="1" si="154"/>
        <v/>
      </c>
      <c r="N2704" s="15" t="str">
        <f t="shared" ca="1" si="155"/>
        <v/>
      </c>
      <c r="O2704" s="15" t="str">
        <f t="shared" ca="1" si="156"/>
        <v/>
      </c>
      <c r="P2704" s="16" t="str">
        <f t="shared" ca="1" si="157"/>
        <v/>
      </c>
      <c r="Q2704" s="11" t="str">
        <f t="shared" ca="1" si="143"/>
        <v/>
      </c>
      <c r="R2704" s="11" t="str">
        <f t="shared" ca="1" si="144"/>
        <v/>
      </c>
      <c r="S2704" s="61" t="str">
        <f t="shared" ca="1" si="145"/>
        <v/>
      </c>
      <c r="T2704" s="11" t="str">
        <f t="shared" ca="1" si="146"/>
        <v/>
      </c>
      <c r="U2704" s="11" t="str">
        <f t="shared" ca="1" si="147"/>
        <v/>
      </c>
      <c r="V2704" s="18" t="str">
        <f t="shared" ca="1" si="148"/>
        <v/>
      </c>
      <c r="W2704" s="61" t="str">
        <f t="shared" ca="1" si="149"/>
        <v/>
      </c>
      <c r="X2704" s="61">
        <f t="shared" ca="1" si="150"/>
        <v>0</v>
      </c>
      <c r="Y2704" s="64" t="str">
        <f t="shared" ca="1" si="151"/>
        <v/>
      </c>
    </row>
    <row r="2705" spans="1:25">
      <c r="A2705" s="2">
        <f>+Get_Data!A2704</f>
        <v>43367</v>
      </c>
      <c r="B2705">
        <f>+ROUND(Get_Data!B2704,5)</f>
        <v>105.86167</v>
      </c>
      <c r="C2705">
        <f>+ROUND(Get_Data!C2704,5)</f>
        <v>43.174630000000001</v>
      </c>
      <c r="D2705" s="4">
        <f t="shared" si="158"/>
        <v>2.45194</v>
      </c>
      <c r="E2705" s="22">
        <f t="shared" ca="1" si="159"/>
        <v>2.5291800000000002</v>
      </c>
      <c r="F2705" s="23">
        <f t="shared" ca="1" si="160"/>
        <v>2.45194</v>
      </c>
      <c r="G2705" s="10">
        <f t="shared" ca="1" si="161"/>
        <v>0</v>
      </c>
      <c r="H2705" s="12">
        <f t="shared" ca="1" si="162"/>
        <v>1</v>
      </c>
      <c r="I2705" s="11">
        <f t="shared" ca="1" si="163"/>
        <v>-1</v>
      </c>
      <c r="J2705" s="11">
        <f t="shared" ca="1" si="164"/>
        <v>-1</v>
      </c>
      <c r="K2705" s="10" t="str">
        <f t="shared" ca="1" si="152"/>
        <v/>
      </c>
      <c r="L2705" s="11" t="str">
        <f t="shared" ca="1" si="153"/>
        <v/>
      </c>
      <c r="M2705" s="11" t="str">
        <f t="shared" ca="1" si="154"/>
        <v/>
      </c>
      <c r="N2705" s="15" t="str">
        <f t="shared" ca="1" si="155"/>
        <v/>
      </c>
      <c r="O2705" s="15" t="str">
        <f t="shared" ca="1" si="156"/>
        <v/>
      </c>
      <c r="P2705" s="16" t="str">
        <f t="shared" ca="1" si="157"/>
        <v/>
      </c>
      <c r="Q2705" s="11" t="str">
        <f t="shared" ca="1" si="143"/>
        <v/>
      </c>
      <c r="R2705" s="11" t="str">
        <f t="shared" ca="1" si="144"/>
        <v/>
      </c>
      <c r="S2705" s="61" t="str">
        <f t="shared" ca="1" si="145"/>
        <v/>
      </c>
      <c r="T2705" s="11" t="str">
        <f t="shared" ca="1" si="146"/>
        <v/>
      </c>
      <c r="U2705" s="11" t="str">
        <f t="shared" ca="1" si="147"/>
        <v/>
      </c>
      <c r="V2705" s="18" t="str">
        <f t="shared" ca="1" si="148"/>
        <v/>
      </c>
      <c r="W2705" s="61" t="str">
        <f t="shared" ca="1" si="149"/>
        <v/>
      </c>
      <c r="X2705" s="61">
        <f t="shared" ca="1" si="150"/>
        <v>0</v>
      </c>
      <c r="Y2705" s="64" t="str">
        <f t="shared" ca="1" si="151"/>
        <v/>
      </c>
    </row>
    <row r="2706" spans="1:25">
      <c r="A2706" s="2">
        <f>+Get_Data!A2705</f>
        <v>43368</v>
      </c>
      <c r="B2706">
        <f>+ROUND(Get_Data!B2705,5)</f>
        <v>105.57881</v>
      </c>
      <c r="C2706">
        <f>+ROUND(Get_Data!C2705,5)</f>
        <v>42.809139999999999</v>
      </c>
      <c r="D2706" s="4">
        <f t="shared" si="158"/>
        <v>2.4662700000000002</v>
      </c>
      <c r="E2706" s="22">
        <f t="shared" ca="1" si="159"/>
        <v>2.5291800000000002</v>
      </c>
      <c r="F2706" s="23">
        <f t="shared" ca="1" si="160"/>
        <v>2.45194</v>
      </c>
      <c r="G2706" s="10">
        <f t="shared" ca="1" si="161"/>
        <v>0</v>
      </c>
      <c r="H2706" s="12">
        <f t="shared" ca="1" si="162"/>
        <v>0</v>
      </c>
      <c r="I2706" s="11">
        <f t="shared" ca="1" si="163"/>
        <v>0</v>
      </c>
      <c r="J2706" s="11">
        <f t="shared" ca="1" si="164"/>
        <v>-1</v>
      </c>
      <c r="K2706" s="10">
        <f t="shared" ca="1" si="152"/>
        <v>105.57881</v>
      </c>
      <c r="L2706" s="11">
        <f t="shared" ca="1" si="153"/>
        <v>-42.809139999999999</v>
      </c>
      <c r="M2706" s="11">
        <f t="shared" ca="1" si="154"/>
        <v>2.4662700000000002</v>
      </c>
      <c r="N2706" s="15">
        <f t="shared" ca="1" si="155"/>
        <v>10</v>
      </c>
      <c r="O2706" s="15">
        <f t="shared" ca="1" si="156"/>
        <v>25</v>
      </c>
      <c r="P2706" s="16">
        <f t="shared" ca="1" si="157"/>
        <v>-14.440399999999954</v>
      </c>
      <c r="Q2706" s="11" t="str">
        <f t="shared" ca="1" si="143"/>
        <v/>
      </c>
      <c r="R2706" s="11" t="str">
        <f t="shared" ca="1" si="144"/>
        <v/>
      </c>
      <c r="S2706" s="61" t="str">
        <f t="shared" ca="1" si="145"/>
        <v/>
      </c>
      <c r="T2706" s="11" t="str">
        <f t="shared" ca="1" si="146"/>
        <v/>
      </c>
      <c r="U2706" s="11" t="str">
        <f t="shared" ca="1" si="147"/>
        <v/>
      </c>
      <c r="V2706" s="18" t="str">
        <f t="shared" ca="1" si="148"/>
        <v/>
      </c>
      <c r="W2706" s="61" t="str">
        <f t="shared" ca="1" si="149"/>
        <v/>
      </c>
      <c r="X2706" s="61">
        <f t="shared" ca="1" si="150"/>
        <v>0</v>
      </c>
      <c r="Y2706" s="64" t="str">
        <f t="shared" ca="1" si="151"/>
        <v/>
      </c>
    </row>
    <row r="2707" spans="1:25">
      <c r="A2707" s="2">
        <f>+Get_Data!A2706</f>
        <v>43369</v>
      </c>
      <c r="B2707">
        <f>+ROUND(Get_Data!B2706,5)</f>
        <v>105.13563000000001</v>
      </c>
      <c r="C2707">
        <f>+ROUND(Get_Data!C2706,5)</f>
        <v>42.968449999999997</v>
      </c>
      <c r="D2707" s="4">
        <f t="shared" si="158"/>
        <v>2.4468100000000002</v>
      </c>
      <c r="E2707" s="22">
        <f t="shared" ca="1" si="159"/>
        <v>2.5291800000000002</v>
      </c>
      <c r="F2707" s="23">
        <f t="shared" ca="1" si="160"/>
        <v>2.4468100000000002</v>
      </c>
      <c r="G2707" s="10">
        <f t="shared" ca="1" si="161"/>
        <v>0</v>
      </c>
      <c r="H2707" s="12">
        <f t="shared" ca="1" si="162"/>
        <v>1</v>
      </c>
      <c r="I2707" s="11">
        <f t="shared" ca="1" si="163"/>
        <v>-1</v>
      </c>
      <c r="J2707" s="11">
        <f t="shared" ca="1" si="164"/>
        <v>-2</v>
      </c>
      <c r="K2707" s="10">
        <f t="shared" ca="1" si="152"/>
        <v>105.57881</v>
      </c>
      <c r="L2707" s="11">
        <f t="shared" ca="1" si="153"/>
        <v>-42.809139999999999</v>
      </c>
      <c r="M2707" s="11">
        <f t="shared" ca="1" si="154"/>
        <v>2.4662700000000002</v>
      </c>
      <c r="N2707" s="15">
        <f t="shared" ca="1" si="155"/>
        <v>10</v>
      </c>
      <c r="O2707" s="15">
        <f t="shared" ca="1" si="156"/>
        <v>25</v>
      </c>
      <c r="P2707" s="16">
        <f t="shared" ca="1" si="157"/>
        <v>-14.440399999999954</v>
      </c>
      <c r="Q2707" s="11" t="str">
        <f t="shared" ref="Q2707:Q2770" ca="1" si="165">+IF(ISNUMBER(T2707),B2707,"")</f>
        <v/>
      </c>
      <c r="R2707" s="11" t="str">
        <f t="shared" ref="R2707:R2770" ca="1" si="166">+IF(ISNUMBER(U2707),C2707,"")</f>
        <v/>
      </c>
      <c r="S2707" s="61" t="str">
        <f t="shared" ref="S2707:S2770" ca="1" si="167">+IF(ISNUMBER(T2707),D2707,"")</f>
        <v/>
      </c>
      <c r="T2707" s="11" t="str">
        <f t="shared" ref="T2707:T2770" ca="1" si="168">+IF(AND(ISNUMBER(N2706),NOT(ISNUMBER(N2707))),N2706,"")</f>
        <v/>
      </c>
      <c r="U2707" s="11" t="str">
        <f t="shared" ref="U2707:U2770" ca="1" si="169">+IF(AND(ISNUMBER(O2706),NOT(ISNUMBER(O2707))),O2706,"")</f>
        <v/>
      </c>
      <c r="V2707" s="18" t="str">
        <f t="shared" ref="V2707:V2770" ca="1" si="170">+IFERROR(T2707*(K2706-Q2707),"")</f>
        <v/>
      </c>
      <c r="W2707" s="61" t="str">
        <f t="shared" ref="W2707:W2770" ca="1" si="171">+IFERROR(U2707*(L2706+R2707),"")</f>
        <v/>
      </c>
      <c r="X2707" s="61">
        <f t="shared" ref="X2707:X2770" ca="1" si="172">+IFERROR(SUM(V2707:W2707),"")</f>
        <v>0</v>
      </c>
      <c r="Y2707" s="64" t="str">
        <f t="shared" ref="Y2707:Y2770" ca="1" si="173">IFERROR(+X2707/ABS(R2707*U2707),"")</f>
        <v/>
      </c>
    </row>
    <row r="2708" spans="1:25">
      <c r="A2708" s="2">
        <f>+Get_Data!A2707</f>
        <v>43370</v>
      </c>
      <c r="B2708">
        <f>+ROUND(Get_Data!B2707,5)</f>
        <v>104.71133</v>
      </c>
      <c r="C2708">
        <f>+ROUND(Get_Data!C2707,5)</f>
        <v>43.118389999999998</v>
      </c>
      <c r="D2708" s="4">
        <f t="shared" si="158"/>
        <v>2.4284599999999998</v>
      </c>
      <c r="E2708" s="22">
        <f t="shared" ca="1" si="159"/>
        <v>2.5291800000000002</v>
      </c>
      <c r="F2708" s="23">
        <f t="shared" ca="1" si="160"/>
        <v>2.4284599999999998</v>
      </c>
      <c r="G2708" s="10">
        <f t="shared" ca="1" si="161"/>
        <v>0</v>
      </c>
      <c r="H2708" s="12">
        <f t="shared" ca="1" si="162"/>
        <v>1</v>
      </c>
      <c r="I2708" s="11">
        <f t="shared" ca="1" si="163"/>
        <v>-1</v>
      </c>
      <c r="J2708" s="11">
        <f t="shared" ca="1" si="164"/>
        <v>0</v>
      </c>
      <c r="K2708" s="10">
        <f t="shared" ca="1" si="152"/>
        <v>105.57881</v>
      </c>
      <c r="L2708" s="11">
        <f t="shared" ca="1" si="153"/>
        <v>-42.809139999999999</v>
      </c>
      <c r="M2708" s="11">
        <f t="shared" ca="1" si="154"/>
        <v>2.4662700000000002</v>
      </c>
      <c r="N2708" s="15">
        <f t="shared" ca="1" si="155"/>
        <v>10</v>
      </c>
      <c r="O2708" s="15">
        <f t="shared" ca="1" si="156"/>
        <v>25</v>
      </c>
      <c r="P2708" s="16">
        <f t="shared" ca="1" si="157"/>
        <v>-14.440399999999954</v>
      </c>
      <c r="Q2708" s="11" t="str">
        <f t="shared" ca="1" si="165"/>
        <v/>
      </c>
      <c r="R2708" s="11" t="str">
        <f t="shared" ca="1" si="166"/>
        <v/>
      </c>
      <c r="S2708" s="61" t="str">
        <f t="shared" ca="1" si="167"/>
        <v/>
      </c>
      <c r="T2708" s="11" t="str">
        <f t="shared" ca="1" si="168"/>
        <v/>
      </c>
      <c r="U2708" s="11" t="str">
        <f t="shared" ca="1" si="169"/>
        <v/>
      </c>
      <c r="V2708" s="18" t="str">
        <f t="shared" ca="1" si="170"/>
        <v/>
      </c>
      <c r="W2708" s="61" t="str">
        <f t="shared" ca="1" si="171"/>
        <v/>
      </c>
      <c r="X2708" s="61">
        <f t="shared" ca="1" si="172"/>
        <v>0</v>
      </c>
      <c r="Y2708" s="64" t="str">
        <f t="shared" ca="1" si="173"/>
        <v/>
      </c>
    </row>
    <row r="2709" spans="1:25">
      <c r="A2709" s="2">
        <f>+Get_Data!A2708</f>
        <v>43371</v>
      </c>
      <c r="B2709">
        <f>+ROUND(Get_Data!B2708,5)</f>
        <v>105.41851</v>
      </c>
      <c r="C2709">
        <f>+ROUND(Get_Data!C2708,5)</f>
        <v>43.287089999999999</v>
      </c>
      <c r="D2709" s="4">
        <f t="shared" si="158"/>
        <v>2.43533</v>
      </c>
      <c r="E2709" s="22">
        <f t="shared" ca="1" si="159"/>
        <v>2.5291800000000002</v>
      </c>
      <c r="F2709" s="23">
        <f t="shared" ca="1" si="160"/>
        <v>2.4284599999999998</v>
      </c>
      <c r="G2709" s="10">
        <f t="shared" ca="1" si="161"/>
        <v>0</v>
      </c>
      <c r="H2709" s="12">
        <f t="shared" ca="1" si="162"/>
        <v>0</v>
      </c>
      <c r="I2709" s="11">
        <f t="shared" ca="1" si="163"/>
        <v>0</v>
      </c>
      <c r="J2709" s="11">
        <f t="shared" ca="1" si="164"/>
        <v>0</v>
      </c>
      <c r="K2709" s="10" t="str">
        <f t="shared" ca="1" si="152"/>
        <v/>
      </c>
      <c r="L2709" s="11" t="str">
        <f t="shared" ca="1" si="153"/>
        <v/>
      </c>
      <c r="M2709" s="11" t="str">
        <f t="shared" ca="1" si="154"/>
        <v/>
      </c>
      <c r="N2709" s="15" t="str">
        <f t="shared" ca="1" si="155"/>
        <v/>
      </c>
      <c r="O2709" s="15" t="str">
        <f t="shared" ca="1" si="156"/>
        <v/>
      </c>
      <c r="P2709" s="16" t="str">
        <f t="shared" ca="1" si="157"/>
        <v/>
      </c>
      <c r="Q2709" s="11">
        <f t="shared" ca="1" si="165"/>
        <v>105.41851</v>
      </c>
      <c r="R2709" s="11">
        <f t="shared" ca="1" si="166"/>
        <v>43.287089999999999</v>
      </c>
      <c r="S2709" s="61">
        <f t="shared" ca="1" si="167"/>
        <v>2.43533</v>
      </c>
      <c r="T2709" s="11">
        <f t="shared" ca="1" si="168"/>
        <v>10</v>
      </c>
      <c r="U2709" s="11">
        <f t="shared" ca="1" si="169"/>
        <v>25</v>
      </c>
      <c r="V2709" s="18">
        <f t="shared" ca="1" si="170"/>
        <v>1.6030000000000655</v>
      </c>
      <c r="W2709" s="61">
        <f t="shared" ca="1" si="171"/>
        <v>11.948749999999997</v>
      </c>
      <c r="X2709" s="61">
        <f t="shared" ca="1" si="172"/>
        <v>13.551750000000062</v>
      </c>
      <c r="Y2709" s="64">
        <f t="shared" ca="1" si="173"/>
        <v>1.252267130915944E-2</v>
      </c>
    </row>
    <row r="2710" spans="1:25">
      <c r="A2710" s="2">
        <f>+Get_Data!A2709</f>
        <v>43374</v>
      </c>
      <c r="B2710">
        <f>+ROUND(Get_Data!B2709,5)</f>
        <v>104.39072</v>
      </c>
      <c r="C2710">
        <f>+ROUND(Get_Data!C2709,5)</f>
        <v>43.324579999999997</v>
      </c>
      <c r="D2710" s="4">
        <f t="shared" si="158"/>
        <v>2.4095</v>
      </c>
      <c r="E2710" s="22">
        <f t="shared" ca="1" si="159"/>
        <v>2.5291800000000002</v>
      </c>
      <c r="F2710" s="23">
        <f t="shared" ca="1" si="160"/>
        <v>2.4095</v>
      </c>
      <c r="G2710" s="10">
        <f t="shared" ca="1" si="161"/>
        <v>0</v>
      </c>
      <c r="H2710" s="12">
        <f t="shared" ca="1" si="162"/>
        <v>1</v>
      </c>
      <c r="I2710" s="11">
        <f t="shared" ca="1" si="163"/>
        <v>-1</v>
      </c>
      <c r="J2710" s="11">
        <f t="shared" ca="1" si="164"/>
        <v>-1</v>
      </c>
      <c r="K2710" s="10" t="str">
        <f t="shared" ca="1" si="152"/>
        <v/>
      </c>
      <c r="L2710" s="11" t="str">
        <f t="shared" ca="1" si="153"/>
        <v/>
      </c>
      <c r="M2710" s="11" t="str">
        <f t="shared" ca="1" si="154"/>
        <v/>
      </c>
      <c r="N2710" s="15" t="str">
        <f t="shared" ca="1" si="155"/>
        <v/>
      </c>
      <c r="O2710" s="15" t="str">
        <f t="shared" ca="1" si="156"/>
        <v/>
      </c>
      <c r="P2710" s="16" t="str">
        <f t="shared" ca="1" si="157"/>
        <v/>
      </c>
      <c r="Q2710" s="11" t="str">
        <f t="shared" ca="1" si="165"/>
        <v/>
      </c>
      <c r="R2710" s="11" t="str">
        <f t="shared" ca="1" si="166"/>
        <v/>
      </c>
      <c r="S2710" s="61" t="str">
        <f t="shared" ca="1" si="167"/>
        <v/>
      </c>
      <c r="T2710" s="11" t="str">
        <f t="shared" ca="1" si="168"/>
        <v/>
      </c>
      <c r="U2710" s="11" t="str">
        <f t="shared" ca="1" si="169"/>
        <v/>
      </c>
      <c r="V2710" s="18" t="str">
        <f t="shared" ca="1" si="170"/>
        <v/>
      </c>
      <c r="W2710" s="61" t="str">
        <f t="shared" ca="1" si="171"/>
        <v/>
      </c>
      <c r="X2710" s="61">
        <f t="shared" ca="1" si="172"/>
        <v>0</v>
      </c>
      <c r="Y2710" s="64" t="str">
        <f t="shared" ca="1" si="173"/>
        <v/>
      </c>
    </row>
    <row r="2711" spans="1:25">
      <c r="A2711" s="2">
        <f>+Get_Data!A2710</f>
        <v>43375</v>
      </c>
      <c r="B2711">
        <f>+ROUND(Get_Data!B2710,5)</f>
        <v>102.51433</v>
      </c>
      <c r="C2711">
        <f>+ROUND(Get_Data!C2710,5)</f>
        <v>43.586979999999997</v>
      </c>
      <c r="D2711" s="4">
        <f t="shared" si="158"/>
        <v>2.35195</v>
      </c>
      <c r="E2711" s="22">
        <f t="shared" ca="1" si="159"/>
        <v>2.5291800000000002</v>
      </c>
      <c r="F2711" s="23">
        <f t="shared" ca="1" si="160"/>
        <v>2.35195</v>
      </c>
      <c r="G2711" s="10">
        <f t="shared" ca="1" si="161"/>
        <v>0</v>
      </c>
      <c r="H2711" s="12">
        <f t="shared" ca="1" si="162"/>
        <v>1</v>
      </c>
      <c r="I2711" s="11">
        <f t="shared" ca="1" si="163"/>
        <v>-1</v>
      </c>
      <c r="J2711" s="11">
        <f t="shared" ca="1" si="164"/>
        <v>-2</v>
      </c>
      <c r="K2711" s="10">
        <f t="shared" ca="1" si="152"/>
        <v>102.51433</v>
      </c>
      <c r="L2711" s="11">
        <f t="shared" ca="1" si="153"/>
        <v>-43.586979999999997</v>
      </c>
      <c r="M2711" s="11">
        <f t="shared" ca="1" si="154"/>
        <v>2.35195</v>
      </c>
      <c r="N2711" s="15">
        <f t="shared" ca="1" si="155"/>
        <v>10</v>
      </c>
      <c r="O2711" s="15">
        <f t="shared" ca="1" si="156"/>
        <v>24</v>
      </c>
      <c r="P2711" s="16">
        <f t="shared" ca="1" si="157"/>
        <v>-20.944220000000087</v>
      </c>
      <c r="Q2711" s="11" t="str">
        <f t="shared" ca="1" si="165"/>
        <v/>
      </c>
      <c r="R2711" s="11" t="str">
        <f t="shared" ca="1" si="166"/>
        <v/>
      </c>
      <c r="S2711" s="61" t="str">
        <f t="shared" ca="1" si="167"/>
        <v/>
      </c>
      <c r="T2711" s="11" t="str">
        <f t="shared" ca="1" si="168"/>
        <v/>
      </c>
      <c r="U2711" s="11" t="str">
        <f t="shared" ca="1" si="169"/>
        <v/>
      </c>
      <c r="V2711" s="18" t="str">
        <f t="shared" ca="1" si="170"/>
        <v/>
      </c>
      <c r="W2711" s="61" t="str">
        <f t="shared" ca="1" si="171"/>
        <v/>
      </c>
      <c r="X2711" s="61">
        <f t="shared" ca="1" si="172"/>
        <v>0</v>
      </c>
      <c r="Y2711" s="64" t="str">
        <f t="shared" ca="1" si="173"/>
        <v/>
      </c>
    </row>
    <row r="2712" spans="1:25">
      <c r="A2712" s="2">
        <f>+Get_Data!A2711</f>
        <v>43376</v>
      </c>
      <c r="B2712">
        <f>+ROUND(Get_Data!B2711,5)</f>
        <v>101.38281000000001</v>
      </c>
      <c r="C2712">
        <f>+ROUND(Get_Data!C2711,5)</f>
        <v>42.987200000000001</v>
      </c>
      <c r="D2712" s="4">
        <f t="shared" si="158"/>
        <v>2.3584399999999999</v>
      </c>
      <c r="E2712" s="22">
        <f t="shared" ca="1" si="159"/>
        <v>2.5291800000000002</v>
      </c>
      <c r="F2712" s="23">
        <f t="shared" ca="1" si="160"/>
        <v>2.35195</v>
      </c>
      <c r="G2712" s="10">
        <f t="shared" ca="1" si="161"/>
        <v>0</v>
      </c>
      <c r="H2712" s="12">
        <f t="shared" ca="1" si="162"/>
        <v>0</v>
      </c>
      <c r="I2712" s="11">
        <f t="shared" ca="1" si="163"/>
        <v>0</v>
      </c>
      <c r="J2712" s="11">
        <f t="shared" ca="1" si="164"/>
        <v>-2</v>
      </c>
      <c r="K2712" s="10">
        <f t="shared" ca="1" si="152"/>
        <v>102.51433</v>
      </c>
      <c r="L2712" s="11">
        <f t="shared" ca="1" si="153"/>
        <v>-43.586979999999997</v>
      </c>
      <c r="M2712" s="11">
        <f t="shared" ca="1" si="154"/>
        <v>2.35195</v>
      </c>
      <c r="N2712" s="15">
        <f t="shared" ca="1" si="155"/>
        <v>10</v>
      </c>
      <c r="O2712" s="15">
        <f t="shared" ca="1" si="156"/>
        <v>24</v>
      </c>
      <c r="P2712" s="16">
        <f t="shared" ca="1" si="157"/>
        <v>-20.944220000000087</v>
      </c>
      <c r="Q2712" s="11" t="str">
        <f t="shared" ca="1" si="165"/>
        <v/>
      </c>
      <c r="R2712" s="11" t="str">
        <f t="shared" ca="1" si="166"/>
        <v/>
      </c>
      <c r="S2712" s="61" t="str">
        <f t="shared" ca="1" si="167"/>
        <v/>
      </c>
      <c r="T2712" s="11" t="str">
        <f t="shared" ca="1" si="168"/>
        <v/>
      </c>
      <c r="U2712" s="11" t="str">
        <f t="shared" ca="1" si="169"/>
        <v/>
      </c>
      <c r="V2712" s="18" t="str">
        <f t="shared" ca="1" si="170"/>
        <v/>
      </c>
      <c r="W2712" s="61" t="str">
        <f t="shared" ca="1" si="171"/>
        <v/>
      </c>
      <c r="X2712" s="61">
        <f t="shared" ca="1" si="172"/>
        <v>0</v>
      </c>
      <c r="Y2712" s="64" t="str">
        <f t="shared" ca="1" si="173"/>
        <v/>
      </c>
    </row>
    <row r="2713" spans="1:25">
      <c r="A2713" s="2">
        <f>+Get_Data!A2712</f>
        <v>43377</v>
      </c>
      <c r="B2713">
        <f>+ROUND(Get_Data!B2712,5)</f>
        <v>100.52476</v>
      </c>
      <c r="C2713">
        <f>+ROUND(Get_Data!C2712,5)</f>
        <v>42.968449999999997</v>
      </c>
      <c r="D2713" s="4">
        <f t="shared" si="158"/>
        <v>2.3395000000000001</v>
      </c>
      <c r="E2713" s="22">
        <f t="shared" ca="1" si="159"/>
        <v>2.5291800000000002</v>
      </c>
      <c r="F2713" s="23">
        <f t="shared" ca="1" si="160"/>
        <v>2.3395000000000001</v>
      </c>
      <c r="G2713" s="10">
        <f t="shared" ca="1" si="161"/>
        <v>0</v>
      </c>
      <c r="H2713" s="12">
        <f t="shared" ca="1" si="162"/>
        <v>1</v>
      </c>
      <c r="I2713" s="11">
        <f t="shared" ca="1" si="163"/>
        <v>-1</v>
      </c>
      <c r="J2713" s="11">
        <f t="shared" ca="1" si="164"/>
        <v>0</v>
      </c>
      <c r="K2713" s="10">
        <f t="shared" ca="1" si="152"/>
        <v>102.51433</v>
      </c>
      <c r="L2713" s="11">
        <f t="shared" ca="1" si="153"/>
        <v>-43.586979999999997</v>
      </c>
      <c r="M2713" s="11">
        <f t="shared" ca="1" si="154"/>
        <v>2.35195</v>
      </c>
      <c r="N2713" s="15">
        <f t="shared" ca="1" si="155"/>
        <v>10</v>
      </c>
      <c r="O2713" s="15">
        <f t="shared" ca="1" si="156"/>
        <v>24</v>
      </c>
      <c r="P2713" s="16">
        <f t="shared" ca="1" si="157"/>
        <v>-20.944220000000087</v>
      </c>
      <c r="Q2713" s="11" t="str">
        <f t="shared" ca="1" si="165"/>
        <v/>
      </c>
      <c r="R2713" s="11" t="str">
        <f t="shared" ca="1" si="166"/>
        <v/>
      </c>
      <c r="S2713" s="61" t="str">
        <f t="shared" ca="1" si="167"/>
        <v/>
      </c>
      <c r="T2713" s="11" t="str">
        <f t="shared" ca="1" si="168"/>
        <v/>
      </c>
      <c r="U2713" s="11" t="str">
        <f t="shared" ca="1" si="169"/>
        <v/>
      </c>
      <c r="V2713" s="18" t="str">
        <f t="shared" ca="1" si="170"/>
        <v/>
      </c>
      <c r="W2713" s="61" t="str">
        <f t="shared" ca="1" si="171"/>
        <v/>
      </c>
      <c r="X2713" s="61">
        <f t="shared" ca="1" si="172"/>
        <v>0</v>
      </c>
      <c r="Y2713" s="64" t="str">
        <f t="shared" ca="1" si="173"/>
        <v/>
      </c>
    </row>
    <row r="2714" spans="1:25">
      <c r="A2714" s="2">
        <f>+Get_Data!A2713</f>
        <v>43378</v>
      </c>
      <c r="B2714">
        <f>+ROUND(Get_Data!B2713,5)</f>
        <v>100.41160000000001</v>
      </c>
      <c r="C2714">
        <f>+ROUND(Get_Data!C2713,5)</f>
        <v>42.996580000000002</v>
      </c>
      <c r="D2714" s="4">
        <f t="shared" si="158"/>
        <v>2.33534</v>
      </c>
      <c r="E2714" s="22">
        <f t="shared" ca="1" si="159"/>
        <v>2.5291800000000002</v>
      </c>
      <c r="F2714" s="23">
        <f t="shared" ca="1" si="160"/>
        <v>2.33534</v>
      </c>
      <c r="G2714" s="10">
        <f t="shared" ca="1" si="161"/>
        <v>0</v>
      </c>
      <c r="H2714" s="12">
        <f t="shared" ca="1" si="162"/>
        <v>1</v>
      </c>
      <c r="I2714" s="11">
        <f t="shared" ca="1" si="163"/>
        <v>-1</v>
      </c>
      <c r="J2714" s="11">
        <f t="shared" ca="1" si="164"/>
        <v>-1</v>
      </c>
      <c r="K2714" s="10" t="str">
        <f t="shared" ref="K2714:K2777" ca="1" si="174">+IF($J2713=0,"",IF(AND(ABS($J2713)=1,ABS($I2713)=1),-$J2713*B2714,K2713))</f>
        <v/>
      </c>
      <c r="L2714" s="11" t="str">
        <f t="shared" ref="L2714:L2777" ca="1" si="175">+IF($J2713=0,"",IF(AND(ABS($J2713)=1,ABS($I2713)=1),$J2713*C2714,L2713))</f>
        <v/>
      </c>
      <c r="M2714" s="11" t="str">
        <f t="shared" ref="M2714:M2777" ca="1" si="176">+IF($J2713=0,"",IF(AND(ABS($J2713)=1,ABS($I2713)=1),D2714,M2713))</f>
        <v/>
      </c>
      <c r="N2714" s="15" t="str">
        <f t="shared" ref="N2714:N2777" ca="1" si="177">+IF(ISNUMBER(K2714),stocks,"")</f>
        <v/>
      </c>
      <c r="O2714" s="15" t="str">
        <f t="shared" ref="O2714:O2777" ca="1" si="178">+IFERROR(ROUND(N2714*M2714,0),"")</f>
        <v/>
      </c>
      <c r="P2714" s="16" t="str">
        <f t="shared" ref="P2714:P2777" ca="1" si="179">IFERROR(+N2714*K2714+O2714*L2714,"")</f>
        <v/>
      </c>
      <c r="Q2714" s="11">
        <f t="shared" ca="1" si="165"/>
        <v>100.41160000000001</v>
      </c>
      <c r="R2714" s="11">
        <f t="shared" ca="1" si="166"/>
        <v>42.996580000000002</v>
      </c>
      <c r="S2714" s="61">
        <f t="shared" ca="1" si="167"/>
        <v>2.33534</v>
      </c>
      <c r="T2714" s="11">
        <f t="shared" ca="1" si="168"/>
        <v>10</v>
      </c>
      <c r="U2714" s="11">
        <f t="shared" ca="1" si="169"/>
        <v>24</v>
      </c>
      <c r="V2714" s="18">
        <f t="shared" ca="1" si="170"/>
        <v>21.02729999999994</v>
      </c>
      <c r="W2714" s="61">
        <f t="shared" ca="1" si="171"/>
        <v>-14.169599999999889</v>
      </c>
      <c r="X2714" s="61">
        <f t="shared" ca="1" si="172"/>
        <v>6.857700000000051</v>
      </c>
      <c r="Y2714" s="64">
        <f t="shared" ca="1" si="173"/>
        <v>6.6455866955000163E-3</v>
      </c>
    </row>
    <row r="2715" spans="1:25">
      <c r="A2715" s="2">
        <f>+Get_Data!A2714</f>
        <v>43381</v>
      </c>
      <c r="B2715">
        <f>+ROUND(Get_Data!B2714,5)</f>
        <v>102.01456</v>
      </c>
      <c r="C2715">
        <f>+ROUND(Get_Data!C2714,5)</f>
        <v>43.558860000000003</v>
      </c>
      <c r="D2715" s="4">
        <f t="shared" si="158"/>
        <v>2.34199</v>
      </c>
      <c r="E2715" s="22">
        <f t="shared" ca="1" si="159"/>
        <v>2.5245000000000002</v>
      </c>
      <c r="F2715" s="23">
        <f t="shared" ca="1" si="160"/>
        <v>2.33534</v>
      </c>
      <c r="G2715" s="10">
        <f t="shared" ca="1" si="161"/>
        <v>0</v>
      </c>
      <c r="H2715" s="12">
        <f t="shared" ca="1" si="162"/>
        <v>0</v>
      </c>
      <c r="I2715" s="11">
        <f t="shared" ca="1" si="163"/>
        <v>0</v>
      </c>
      <c r="J2715" s="11">
        <f t="shared" ca="1" si="164"/>
        <v>-1</v>
      </c>
      <c r="K2715" s="10">
        <f t="shared" ca="1" si="174"/>
        <v>102.01456</v>
      </c>
      <c r="L2715" s="11">
        <f t="shared" ca="1" si="175"/>
        <v>-43.558860000000003</v>
      </c>
      <c r="M2715" s="11">
        <f t="shared" ca="1" si="176"/>
        <v>2.34199</v>
      </c>
      <c r="N2715" s="15">
        <f t="shared" ca="1" si="177"/>
        <v>10</v>
      </c>
      <c r="O2715" s="15">
        <f t="shared" ca="1" si="178"/>
        <v>23</v>
      </c>
      <c r="P2715" s="16">
        <f t="shared" ca="1" si="179"/>
        <v>18.29182000000003</v>
      </c>
      <c r="Q2715" s="11" t="str">
        <f t="shared" ca="1" si="165"/>
        <v/>
      </c>
      <c r="R2715" s="11" t="str">
        <f t="shared" ca="1" si="166"/>
        <v/>
      </c>
      <c r="S2715" s="61" t="str">
        <f t="shared" ca="1" si="167"/>
        <v/>
      </c>
      <c r="T2715" s="11" t="str">
        <f t="shared" ca="1" si="168"/>
        <v/>
      </c>
      <c r="U2715" s="11" t="str">
        <f t="shared" ca="1" si="169"/>
        <v/>
      </c>
      <c r="V2715" s="18" t="str">
        <f t="shared" ca="1" si="170"/>
        <v/>
      </c>
      <c r="W2715" s="61" t="str">
        <f t="shared" ca="1" si="171"/>
        <v/>
      </c>
      <c r="X2715" s="61">
        <f t="shared" ca="1" si="172"/>
        <v>0</v>
      </c>
      <c r="Y2715" s="64" t="str">
        <f t="shared" ca="1" si="173"/>
        <v/>
      </c>
    </row>
    <row r="2716" spans="1:25">
      <c r="A2716" s="2">
        <f>+Get_Data!A2715</f>
        <v>43382</v>
      </c>
      <c r="B2716">
        <f>+ROUND(Get_Data!B2715,5)</f>
        <v>101.94856</v>
      </c>
      <c r="C2716">
        <f>+ROUND(Get_Data!C2715,5)</f>
        <v>43.474519999999998</v>
      </c>
      <c r="D2716" s="4">
        <f t="shared" si="158"/>
        <v>2.3450199999999999</v>
      </c>
      <c r="E2716" s="22">
        <f t="shared" ca="1" si="159"/>
        <v>2.5245000000000002</v>
      </c>
      <c r="F2716" s="23">
        <f t="shared" ca="1" si="160"/>
        <v>2.33534</v>
      </c>
      <c r="G2716" s="10">
        <f t="shared" ca="1" si="161"/>
        <v>0</v>
      </c>
      <c r="H2716" s="12">
        <f t="shared" ca="1" si="162"/>
        <v>0</v>
      </c>
      <c r="I2716" s="11">
        <f t="shared" ca="1" si="163"/>
        <v>0</v>
      </c>
      <c r="J2716" s="11">
        <f t="shared" ca="1" si="164"/>
        <v>-1</v>
      </c>
      <c r="K2716" s="10">
        <f t="shared" ca="1" si="174"/>
        <v>102.01456</v>
      </c>
      <c r="L2716" s="11">
        <f t="shared" ca="1" si="175"/>
        <v>-43.558860000000003</v>
      </c>
      <c r="M2716" s="11">
        <f t="shared" ca="1" si="176"/>
        <v>2.34199</v>
      </c>
      <c r="N2716" s="15">
        <f t="shared" ca="1" si="177"/>
        <v>10</v>
      </c>
      <c r="O2716" s="15">
        <f t="shared" ca="1" si="178"/>
        <v>23</v>
      </c>
      <c r="P2716" s="16">
        <f t="shared" ca="1" si="179"/>
        <v>18.29182000000003</v>
      </c>
      <c r="Q2716" s="11" t="str">
        <f t="shared" ca="1" si="165"/>
        <v/>
      </c>
      <c r="R2716" s="11" t="str">
        <f t="shared" ca="1" si="166"/>
        <v/>
      </c>
      <c r="S2716" s="61" t="str">
        <f t="shared" ca="1" si="167"/>
        <v/>
      </c>
      <c r="T2716" s="11" t="str">
        <f t="shared" ca="1" si="168"/>
        <v/>
      </c>
      <c r="U2716" s="11" t="str">
        <f t="shared" ca="1" si="169"/>
        <v/>
      </c>
      <c r="V2716" s="18" t="str">
        <f t="shared" ca="1" si="170"/>
        <v/>
      </c>
      <c r="W2716" s="61" t="str">
        <f t="shared" ca="1" si="171"/>
        <v/>
      </c>
      <c r="X2716" s="61">
        <f t="shared" ca="1" si="172"/>
        <v>0</v>
      </c>
      <c r="Y2716" s="64" t="str">
        <f t="shared" ca="1" si="173"/>
        <v/>
      </c>
    </row>
    <row r="2717" spans="1:25">
      <c r="A2717" s="2">
        <f>+Get_Data!A2716</f>
        <v>43383</v>
      </c>
      <c r="B2717">
        <f>+ROUND(Get_Data!B2716,5)</f>
        <v>101.21308000000001</v>
      </c>
      <c r="C2717">
        <f>+ROUND(Get_Data!C2716,5)</f>
        <v>42.809139999999999</v>
      </c>
      <c r="D2717" s="4">
        <f t="shared" si="158"/>
        <v>2.36429</v>
      </c>
      <c r="E2717" s="22">
        <f t="shared" ca="1" si="159"/>
        <v>2.5245000000000002</v>
      </c>
      <c r="F2717" s="23">
        <f t="shared" ca="1" si="160"/>
        <v>2.33534</v>
      </c>
      <c r="G2717" s="10">
        <f t="shared" ca="1" si="161"/>
        <v>0</v>
      </c>
      <c r="H2717" s="12">
        <f t="shared" ca="1" si="162"/>
        <v>0</v>
      </c>
      <c r="I2717" s="11">
        <f t="shared" ca="1" si="163"/>
        <v>0</v>
      </c>
      <c r="J2717" s="11">
        <f t="shared" ca="1" si="164"/>
        <v>-1</v>
      </c>
      <c r="K2717" s="10">
        <f t="shared" ca="1" si="174"/>
        <v>102.01456</v>
      </c>
      <c r="L2717" s="11">
        <f t="shared" ca="1" si="175"/>
        <v>-43.558860000000003</v>
      </c>
      <c r="M2717" s="11">
        <f t="shared" ca="1" si="176"/>
        <v>2.34199</v>
      </c>
      <c r="N2717" s="15">
        <f t="shared" ca="1" si="177"/>
        <v>10</v>
      </c>
      <c r="O2717" s="15">
        <f t="shared" ca="1" si="178"/>
        <v>23</v>
      </c>
      <c r="P2717" s="16">
        <f t="shared" ca="1" si="179"/>
        <v>18.29182000000003</v>
      </c>
      <c r="Q2717" s="11" t="str">
        <f t="shared" ca="1" si="165"/>
        <v/>
      </c>
      <c r="R2717" s="11" t="str">
        <f t="shared" ca="1" si="166"/>
        <v/>
      </c>
      <c r="S2717" s="61" t="str">
        <f t="shared" ca="1" si="167"/>
        <v/>
      </c>
      <c r="T2717" s="11" t="str">
        <f t="shared" ca="1" si="168"/>
        <v/>
      </c>
      <c r="U2717" s="11" t="str">
        <f t="shared" ca="1" si="169"/>
        <v/>
      </c>
      <c r="V2717" s="18" t="str">
        <f t="shared" ca="1" si="170"/>
        <v/>
      </c>
      <c r="W2717" s="61" t="str">
        <f t="shared" ca="1" si="171"/>
        <v/>
      </c>
      <c r="X2717" s="61">
        <f t="shared" ca="1" si="172"/>
        <v>0</v>
      </c>
      <c r="Y2717" s="64" t="str">
        <f t="shared" ca="1" si="173"/>
        <v/>
      </c>
    </row>
    <row r="2718" spans="1:25">
      <c r="A2718" s="2">
        <f>+Get_Data!A2717</f>
        <v>43384</v>
      </c>
      <c r="B2718">
        <f>+ROUND(Get_Data!B2717,5)</f>
        <v>99.063220000000001</v>
      </c>
      <c r="C2718">
        <f>+ROUND(Get_Data!C2717,5)</f>
        <v>41.834499999999998</v>
      </c>
      <c r="D2718" s="4">
        <f t="shared" si="158"/>
        <v>2.3679800000000002</v>
      </c>
      <c r="E2718" s="22">
        <f t="shared" ca="1" si="159"/>
        <v>2.5245000000000002</v>
      </c>
      <c r="F2718" s="23">
        <f t="shared" ca="1" si="160"/>
        <v>2.33534</v>
      </c>
      <c r="G2718" s="10">
        <f t="shared" ca="1" si="161"/>
        <v>0</v>
      </c>
      <c r="H2718" s="12">
        <f t="shared" ca="1" si="162"/>
        <v>0</v>
      </c>
      <c r="I2718" s="11">
        <f t="shared" ca="1" si="163"/>
        <v>0</v>
      </c>
      <c r="J2718" s="11">
        <f t="shared" ca="1" si="164"/>
        <v>-1</v>
      </c>
      <c r="K2718" s="10">
        <f t="shared" ca="1" si="174"/>
        <v>102.01456</v>
      </c>
      <c r="L2718" s="11">
        <f t="shared" ca="1" si="175"/>
        <v>-43.558860000000003</v>
      </c>
      <c r="M2718" s="11">
        <f t="shared" ca="1" si="176"/>
        <v>2.34199</v>
      </c>
      <c r="N2718" s="15">
        <f t="shared" ca="1" si="177"/>
        <v>10</v>
      </c>
      <c r="O2718" s="15">
        <f t="shared" ca="1" si="178"/>
        <v>23</v>
      </c>
      <c r="P2718" s="16">
        <f t="shared" ca="1" si="179"/>
        <v>18.29182000000003</v>
      </c>
      <c r="Q2718" s="11" t="str">
        <f t="shared" ca="1" si="165"/>
        <v/>
      </c>
      <c r="R2718" s="11" t="str">
        <f t="shared" ca="1" si="166"/>
        <v/>
      </c>
      <c r="S2718" s="61" t="str">
        <f t="shared" ca="1" si="167"/>
        <v/>
      </c>
      <c r="T2718" s="11" t="str">
        <f t="shared" ca="1" si="168"/>
        <v/>
      </c>
      <c r="U2718" s="11" t="str">
        <f t="shared" ca="1" si="169"/>
        <v/>
      </c>
      <c r="V2718" s="18" t="str">
        <f t="shared" ca="1" si="170"/>
        <v/>
      </c>
      <c r="W2718" s="61" t="str">
        <f t="shared" ca="1" si="171"/>
        <v/>
      </c>
      <c r="X2718" s="61">
        <f t="shared" ca="1" si="172"/>
        <v>0</v>
      </c>
      <c r="Y2718" s="64" t="str">
        <f t="shared" ca="1" si="173"/>
        <v/>
      </c>
    </row>
    <row r="2719" spans="1:25">
      <c r="A2719" s="2">
        <f>+Get_Data!A2718</f>
        <v>43385</v>
      </c>
      <c r="B2719">
        <f>+ROUND(Get_Data!B2718,5)</f>
        <v>99.270669999999996</v>
      </c>
      <c r="C2719">
        <f>+ROUND(Get_Data!C2718,5)</f>
        <v>41.871989999999997</v>
      </c>
      <c r="D2719" s="4">
        <f t="shared" si="158"/>
        <v>2.3708100000000001</v>
      </c>
      <c r="E2719" s="22">
        <f t="shared" ca="1" si="159"/>
        <v>2.5245000000000002</v>
      </c>
      <c r="F2719" s="23">
        <f t="shared" ca="1" si="160"/>
        <v>2.33534</v>
      </c>
      <c r="G2719" s="10">
        <f t="shared" ca="1" si="161"/>
        <v>0</v>
      </c>
      <c r="H2719" s="12">
        <f t="shared" ca="1" si="162"/>
        <v>0</v>
      </c>
      <c r="I2719" s="11">
        <f t="shared" ca="1" si="163"/>
        <v>0</v>
      </c>
      <c r="J2719" s="11">
        <f t="shared" ca="1" si="164"/>
        <v>-1</v>
      </c>
      <c r="K2719" s="10">
        <f t="shared" ca="1" si="174"/>
        <v>102.01456</v>
      </c>
      <c r="L2719" s="11">
        <f t="shared" ca="1" si="175"/>
        <v>-43.558860000000003</v>
      </c>
      <c r="M2719" s="11">
        <f t="shared" ca="1" si="176"/>
        <v>2.34199</v>
      </c>
      <c r="N2719" s="15">
        <f t="shared" ca="1" si="177"/>
        <v>10</v>
      </c>
      <c r="O2719" s="15">
        <f t="shared" ca="1" si="178"/>
        <v>23</v>
      </c>
      <c r="P2719" s="16">
        <f t="shared" ca="1" si="179"/>
        <v>18.29182000000003</v>
      </c>
      <c r="Q2719" s="11" t="str">
        <f t="shared" ca="1" si="165"/>
        <v/>
      </c>
      <c r="R2719" s="11" t="str">
        <f t="shared" ca="1" si="166"/>
        <v/>
      </c>
      <c r="S2719" s="61" t="str">
        <f t="shared" ca="1" si="167"/>
        <v/>
      </c>
      <c r="T2719" s="11" t="str">
        <f t="shared" ca="1" si="168"/>
        <v/>
      </c>
      <c r="U2719" s="11" t="str">
        <f t="shared" ca="1" si="169"/>
        <v/>
      </c>
      <c r="V2719" s="18" t="str">
        <f t="shared" ca="1" si="170"/>
        <v/>
      </c>
      <c r="W2719" s="61" t="str">
        <f t="shared" ca="1" si="171"/>
        <v/>
      </c>
      <c r="X2719" s="61">
        <f t="shared" ca="1" si="172"/>
        <v>0</v>
      </c>
      <c r="Y2719" s="64" t="str">
        <f t="shared" ca="1" si="173"/>
        <v/>
      </c>
    </row>
    <row r="2720" spans="1:25">
      <c r="A2720" s="2">
        <f>+Get_Data!A2719</f>
        <v>43388</v>
      </c>
      <c r="B2720">
        <f>+ROUND(Get_Data!B2719,5)</f>
        <v>99.60069</v>
      </c>
      <c r="C2720">
        <f>+ROUND(Get_Data!C2719,5)</f>
        <v>42.087539999999997</v>
      </c>
      <c r="D2720" s="4">
        <f t="shared" si="158"/>
        <v>2.3665099999999999</v>
      </c>
      <c r="E2720" s="22">
        <f t="shared" ca="1" si="159"/>
        <v>2.5245000000000002</v>
      </c>
      <c r="F2720" s="23">
        <f t="shared" ca="1" si="160"/>
        <v>2.33534</v>
      </c>
      <c r="G2720" s="10">
        <f t="shared" ca="1" si="161"/>
        <v>0</v>
      </c>
      <c r="H2720" s="12">
        <f t="shared" ca="1" si="162"/>
        <v>0</v>
      </c>
      <c r="I2720" s="11">
        <f t="shared" ca="1" si="163"/>
        <v>0</v>
      </c>
      <c r="J2720" s="11">
        <f t="shared" ca="1" si="164"/>
        <v>-1</v>
      </c>
      <c r="K2720" s="10">
        <f t="shared" ca="1" si="174"/>
        <v>102.01456</v>
      </c>
      <c r="L2720" s="11">
        <f t="shared" ca="1" si="175"/>
        <v>-43.558860000000003</v>
      </c>
      <c r="M2720" s="11">
        <f t="shared" ca="1" si="176"/>
        <v>2.34199</v>
      </c>
      <c r="N2720" s="15">
        <f t="shared" ca="1" si="177"/>
        <v>10</v>
      </c>
      <c r="O2720" s="15">
        <f t="shared" ca="1" si="178"/>
        <v>23</v>
      </c>
      <c r="P2720" s="16">
        <f t="shared" ca="1" si="179"/>
        <v>18.29182000000003</v>
      </c>
      <c r="Q2720" s="11" t="str">
        <f t="shared" ca="1" si="165"/>
        <v/>
      </c>
      <c r="R2720" s="11" t="str">
        <f t="shared" ca="1" si="166"/>
        <v/>
      </c>
      <c r="S2720" s="61" t="str">
        <f t="shared" ca="1" si="167"/>
        <v/>
      </c>
      <c r="T2720" s="11" t="str">
        <f t="shared" ca="1" si="168"/>
        <v/>
      </c>
      <c r="U2720" s="11" t="str">
        <f t="shared" ca="1" si="169"/>
        <v/>
      </c>
      <c r="V2720" s="18" t="str">
        <f t="shared" ca="1" si="170"/>
        <v/>
      </c>
      <c r="W2720" s="61" t="str">
        <f t="shared" ca="1" si="171"/>
        <v/>
      </c>
      <c r="X2720" s="61">
        <f t="shared" ca="1" si="172"/>
        <v>0</v>
      </c>
      <c r="Y2720" s="64" t="str">
        <f t="shared" ca="1" si="173"/>
        <v/>
      </c>
    </row>
    <row r="2721" spans="1:25">
      <c r="A2721" s="2">
        <f>+Get_Data!A2720</f>
        <v>43389</v>
      </c>
      <c r="B2721">
        <f>+ROUND(Get_Data!B2720,5)</f>
        <v>101.26023000000001</v>
      </c>
      <c r="C2721">
        <f>+ROUND(Get_Data!C2720,5)</f>
        <v>42.631079999999997</v>
      </c>
      <c r="D2721" s="4">
        <f t="shared" si="158"/>
        <v>2.37527</v>
      </c>
      <c r="E2721" s="22">
        <f t="shared" ca="1" si="159"/>
        <v>2.5245000000000002</v>
      </c>
      <c r="F2721" s="23">
        <f t="shared" ca="1" si="160"/>
        <v>2.33534</v>
      </c>
      <c r="G2721" s="10">
        <f t="shared" ca="1" si="161"/>
        <v>0</v>
      </c>
      <c r="H2721" s="12">
        <f t="shared" ca="1" si="162"/>
        <v>0</v>
      </c>
      <c r="I2721" s="11">
        <f t="shared" ca="1" si="163"/>
        <v>0</v>
      </c>
      <c r="J2721" s="11">
        <f t="shared" ca="1" si="164"/>
        <v>-1</v>
      </c>
      <c r="K2721" s="10">
        <f t="shared" ca="1" si="174"/>
        <v>102.01456</v>
      </c>
      <c r="L2721" s="11">
        <f t="shared" ca="1" si="175"/>
        <v>-43.558860000000003</v>
      </c>
      <c r="M2721" s="11">
        <f t="shared" ca="1" si="176"/>
        <v>2.34199</v>
      </c>
      <c r="N2721" s="15">
        <f t="shared" ca="1" si="177"/>
        <v>10</v>
      </c>
      <c r="O2721" s="15">
        <f t="shared" ca="1" si="178"/>
        <v>23</v>
      </c>
      <c r="P2721" s="16">
        <f t="shared" ca="1" si="179"/>
        <v>18.29182000000003</v>
      </c>
      <c r="Q2721" s="11" t="str">
        <f t="shared" ca="1" si="165"/>
        <v/>
      </c>
      <c r="R2721" s="11" t="str">
        <f t="shared" ca="1" si="166"/>
        <v/>
      </c>
      <c r="S2721" s="61" t="str">
        <f t="shared" ca="1" si="167"/>
        <v/>
      </c>
      <c r="T2721" s="11" t="str">
        <f t="shared" ca="1" si="168"/>
        <v/>
      </c>
      <c r="U2721" s="11" t="str">
        <f t="shared" ca="1" si="169"/>
        <v/>
      </c>
      <c r="V2721" s="18" t="str">
        <f t="shared" ca="1" si="170"/>
        <v/>
      </c>
      <c r="W2721" s="61" t="str">
        <f t="shared" ca="1" si="171"/>
        <v/>
      </c>
      <c r="X2721" s="61">
        <f t="shared" ca="1" si="172"/>
        <v>0</v>
      </c>
      <c r="Y2721" s="64" t="str">
        <f t="shared" ca="1" si="173"/>
        <v/>
      </c>
    </row>
    <row r="2722" spans="1:25">
      <c r="A2722" s="2">
        <f>+Get_Data!A2721</f>
        <v>43390</v>
      </c>
      <c r="B2722">
        <f>+ROUND(Get_Data!B2721,5)</f>
        <v>102.12770999999999</v>
      </c>
      <c r="C2722">
        <f>+ROUND(Get_Data!C2721,5)</f>
        <v>42.977829999999997</v>
      </c>
      <c r="D2722" s="4">
        <f t="shared" si="158"/>
        <v>2.37629</v>
      </c>
      <c r="E2722" s="22">
        <f t="shared" ca="1" si="159"/>
        <v>2.5245000000000002</v>
      </c>
      <c r="F2722" s="23">
        <f t="shared" ca="1" si="160"/>
        <v>2.33534</v>
      </c>
      <c r="G2722" s="10">
        <f t="shared" ca="1" si="161"/>
        <v>0</v>
      </c>
      <c r="H2722" s="12">
        <f t="shared" ca="1" si="162"/>
        <v>0</v>
      </c>
      <c r="I2722" s="11">
        <f t="shared" ca="1" si="163"/>
        <v>0</v>
      </c>
      <c r="J2722" s="11">
        <f t="shared" ca="1" si="164"/>
        <v>-1</v>
      </c>
      <c r="K2722" s="10">
        <f t="shared" ca="1" si="174"/>
        <v>102.01456</v>
      </c>
      <c r="L2722" s="11">
        <f t="shared" ca="1" si="175"/>
        <v>-43.558860000000003</v>
      </c>
      <c r="M2722" s="11">
        <f t="shared" ca="1" si="176"/>
        <v>2.34199</v>
      </c>
      <c r="N2722" s="15">
        <f t="shared" ca="1" si="177"/>
        <v>10</v>
      </c>
      <c r="O2722" s="15">
        <f t="shared" ca="1" si="178"/>
        <v>23</v>
      </c>
      <c r="P2722" s="16">
        <f t="shared" ca="1" si="179"/>
        <v>18.29182000000003</v>
      </c>
      <c r="Q2722" s="11" t="str">
        <f t="shared" ca="1" si="165"/>
        <v/>
      </c>
      <c r="R2722" s="11" t="str">
        <f t="shared" ca="1" si="166"/>
        <v/>
      </c>
      <c r="S2722" s="61" t="str">
        <f t="shared" ca="1" si="167"/>
        <v/>
      </c>
      <c r="T2722" s="11" t="str">
        <f t="shared" ca="1" si="168"/>
        <v/>
      </c>
      <c r="U2722" s="11" t="str">
        <f t="shared" ca="1" si="169"/>
        <v/>
      </c>
      <c r="V2722" s="18" t="str">
        <f t="shared" ca="1" si="170"/>
        <v/>
      </c>
      <c r="W2722" s="61" t="str">
        <f t="shared" ca="1" si="171"/>
        <v/>
      </c>
      <c r="X2722" s="61">
        <f t="shared" ca="1" si="172"/>
        <v>0</v>
      </c>
      <c r="Y2722" s="64" t="str">
        <f t="shared" ca="1" si="173"/>
        <v/>
      </c>
    </row>
    <row r="2723" spans="1:25">
      <c r="A2723" s="2">
        <f>+Get_Data!A2722</f>
        <v>43391</v>
      </c>
      <c r="B2723">
        <f>+ROUND(Get_Data!B2722,5)</f>
        <v>101.76939</v>
      </c>
      <c r="C2723">
        <f>+ROUND(Get_Data!C2722,5)</f>
        <v>42.743540000000003</v>
      </c>
      <c r="D2723" s="4">
        <f t="shared" si="158"/>
        <v>2.3809300000000002</v>
      </c>
      <c r="E2723" s="22">
        <f t="shared" ca="1" si="159"/>
        <v>2.5066999999999999</v>
      </c>
      <c r="F2723" s="23">
        <f t="shared" ca="1" si="160"/>
        <v>2.33534</v>
      </c>
      <c r="G2723" s="10">
        <f t="shared" ca="1" si="161"/>
        <v>0</v>
      </c>
      <c r="H2723" s="12">
        <f t="shared" ca="1" si="162"/>
        <v>0</v>
      </c>
      <c r="I2723" s="11">
        <f t="shared" ca="1" si="163"/>
        <v>0</v>
      </c>
      <c r="J2723" s="11">
        <f t="shared" ca="1" si="164"/>
        <v>-1</v>
      </c>
      <c r="K2723" s="10">
        <f t="shared" ca="1" si="174"/>
        <v>102.01456</v>
      </c>
      <c r="L2723" s="11">
        <f t="shared" ca="1" si="175"/>
        <v>-43.558860000000003</v>
      </c>
      <c r="M2723" s="11">
        <f t="shared" ca="1" si="176"/>
        <v>2.34199</v>
      </c>
      <c r="N2723" s="15">
        <f t="shared" ca="1" si="177"/>
        <v>10</v>
      </c>
      <c r="O2723" s="15">
        <f t="shared" ca="1" si="178"/>
        <v>23</v>
      </c>
      <c r="P2723" s="16">
        <f t="shared" ca="1" si="179"/>
        <v>18.29182000000003</v>
      </c>
      <c r="Q2723" s="11" t="str">
        <f t="shared" ca="1" si="165"/>
        <v/>
      </c>
      <c r="R2723" s="11" t="str">
        <f t="shared" ca="1" si="166"/>
        <v/>
      </c>
      <c r="S2723" s="61" t="str">
        <f t="shared" ca="1" si="167"/>
        <v/>
      </c>
      <c r="T2723" s="11" t="str">
        <f t="shared" ca="1" si="168"/>
        <v/>
      </c>
      <c r="U2723" s="11" t="str">
        <f t="shared" ca="1" si="169"/>
        <v/>
      </c>
      <c r="V2723" s="18" t="str">
        <f t="shared" ca="1" si="170"/>
        <v/>
      </c>
      <c r="W2723" s="61" t="str">
        <f t="shared" ca="1" si="171"/>
        <v/>
      </c>
      <c r="X2723" s="61">
        <f t="shared" ca="1" si="172"/>
        <v>0</v>
      </c>
      <c r="Y2723" s="64" t="str">
        <f t="shared" ca="1" si="173"/>
        <v/>
      </c>
    </row>
    <row r="2724" spans="1:25">
      <c r="A2724" s="2">
        <f>+Get_Data!A2723</f>
        <v>43392</v>
      </c>
      <c r="B2724">
        <f>+ROUND(Get_Data!B2723,5)</f>
        <v>103.99471</v>
      </c>
      <c r="C2724">
        <f>+ROUND(Get_Data!C2723,5)</f>
        <v>43.418289999999999</v>
      </c>
      <c r="D2724" s="4">
        <f t="shared" si="158"/>
        <v>2.3951799999999999</v>
      </c>
      <c r="E2724" s="22">
        <f t="shared" ca="1" si="159"/>
        <v>2.5066999999999999</v>
      </c>
      <c r="F2724" s="23">
        <f t="shared" ca="1" si="160"/>
        <v>2.33534</v>
      </c>
      <c r="G2724" s="10">
        <f t="shared" ca="1" si="161"/>
        <v>0</v>
      </c>
      <c r="H2724" s="12">
        <f t="shared" ca="1" si="162"/>
        <v>0</v>
      </c>
      <c r="I2724" s="11">
        <f t="shared" ca="1" si="163"/>
        <v>0</v>
      </c>
      <c r="J2724" s="11">
        <f t="shared" ca="1" si="164"/>
        <v>-1</v>
      </c>
      <c r="K2724" s="10">
        <f t="shared" ca="1" si="174"/>
        <v>102.01456</v>
      </c>
      <c r="L2724" s="11">
        <f t="shared" ca="1" si="175"/>
        <v>-43.558860000000003</v>
      </c>
      <c r="M2724" s="11">
        <f t="shared" ca="1" si="176"/>
        <v>2.34199</v>
      </c>
      <c r="N2724" s="15">
        <f t="shared" ca="1" si="177"/>
        <v>10</v>
      </c>
      <c r="O2724" s="15">
        <f t="shared" ca="1" si="178"/>
        <v>23</v>
      </c>
      <c r="P2724" s="16">
        <f t="shared" ca="1" si="179"/>
        <v>18.29182000000003</v>
      </c>
      <c r="Q2724" s="11" t="str">
        <f t="shared" ca="1" si="165"/>
        <v/>
      </c>
      <c r="R2724" s="11" t="str">
        <f t="shared" ca="1" si="166"/>
        <v/>
      </c>
      <c r="S2724" s="61" t="str">
        <f t="shared" ca="1" si="167"/>
        <v/>
      </c>
      <c r="T2724" s="11" t="str">
        <f t="shared" ca="1" si="168"/>
        <v/>
      </c>
      <c r="U2724" s="11" t="str">
        <f t="shared" ca="1" si="169"/>
        <v/>
      </c>
      <c r="V2724" s="18" t="str">
        <f t="shared" ca="1" si="170"/>
        <v/>
      </c>
      <c r="W2724" s="61" t="str">
        <f t="shared" ca="1" si="171"/>
        <v/>
      </c>
      <c r="X2724" s="61">
        <f t="shared" ca="1" si="172"/>
        <v>0</v>
      </c>
      <c r="Y2724" s="64" t="str">
        <f t="shared" ca="1" si="173"/>
        <v/>
      </c>
    </row>
    <row r="2725" spans="1:25">
      <c r="A2725" s="2">
        <f>+Get_Data!A2724</f>
        <v>43395</v>
      </c>
      <c r="B2725">
        <f>+ROUND(Get_Data!B2724,5)</f>
        <v>103.1555</v>
      </c>
      <c r="C2725">
        <f>+ROUND(Get_Data!C2724,5)</f>
        <v>43.080919999999999</v>
      </c>
      <c r="D2725" s="4">
        <f t="shared" si="158"/>
        <v>2.39446</v>
      </c>
      <c r="E2725" s="22">
        <f t="shared" ca="1" si="159"/>
        <v>2.49688</v>
      </c>
      <c r="F2725" s="23">
        <f t="shared" ca="1" si="160"/>
        <v>2.33534</v>
      </c>
      <c r="G2725" s="10">
        <f t="shared" ca="1" si="161"/>
        <v>0</v>
      </c>
      <c r="H2725" s="12">
        <f t="shared" ca="1" si="162"/>
        <v>0</v>
      </c>
      <c r="I2725" s="11">
        <f t="shared" ca="1" si="163"/>
        <v>0</v>
      </c>
      <c r="J2725" s="11">
        <f t="shared" ca="1" si="164"/>
        <v>-1</v>
      </c>
      <c r="K2725" s="10">
        <f t="shared" ca="1" si="174"/>
        <v>102.01456</v>
      </c>
      <c r="L2725" s="11">
        <f t="shared" ca="1" si="175"/>
        <v>-43.558860000000003</v>
      </c>
      <c r="M2725" s="11">
        <f t="shared" ca="1" si="176"/>
        <v>2.34199</v>
      </c>
      <c r="N2725" s="15">
        <f t="shared" ca="1" si="177"/>
        <v>10</v>
      </c>
      <c r="O2725" s="15">
        <f t="shared" ca="1" si="178"/>
        <v>23</v>
      </c>
      <c r="P2725" s="16">
        <f t="shared" ca="1" si="179"/>
        <v>18.29182000000003</v>
      </c>
      <c r="Q2725" s="11" t="str">
        <f t="shared" ca="1" si="165"/>
        <v/>
      </c>
      <c r="R2725" s="11" t="str">
        <f t="shared" ca="1" si="166"/>
        <v/>
      </c>
      <c r="S2725" s="61" t="str">
        <f t="shared" ca="1" si="167"/>
        <v/>
      </c>
      <c r="T2725" s="11" t="str">
        <f t="shared" ca="1" si="168"/>
        <v/>
      </c>
      <c r="U2725" s="11" t="str">
        <f t="shared" ca="1" si="169"/>
        <v/>
      </c>
      <c r="V2725" s="18" t="str">
        <f t="shared" ca="1" si="170"/>
        <v/>
      </c>
      <c r="W2725" s="61" t="str">
        <f t="shared" ca="1" si="171"/>
        <v/>
      </c>
      <c r="X2725" s="61">
        <f t="shared" ca="1" si="172"/>
        <v>0</v>
      </c>
      <c r="Y2725" s="64" t="str">
        <f t="shared" ca="1" si="173"/>
        <v/>
      </c>
    </row>
    <row r="2726" spans="1:25">
      <c r="A2726" s="2">
        <f>+Get_Data!A2725</f>
        <v>43396</v>
      </c>
      <c r="B2726">
        <f>+ROUND(Get_Data!B2725,5)</f>
        <v>103.84383</v>
      </c>
      <c r="C2726">
        <f>+ROUND(Get_Data!C2725,5)</f>
        <v>43.446399999999997</v>
      </c>
      <c r="D2726" s="4">
        <f t="shared" si="158"/>
        <v>2.3901599999999998</v>
      </c>
      <c r="E2726" s="22">
        <f t="shared" ca="1" si="159"/>
        <v>2.49065</v>
      </c>
      <c r="F2726" s="23">
        <f t="shared" ca="1" si="160"/>
        <v>2.33534</v>
      </c>
      <c r="G2726" s="10">
        <f t="shared" ca="1" si="161"/>
        <v>0</v>
      </c>
      <c r="H2726" s="12">
        <f t="shared" ca="1" si="162"/>
        <v>0</v>
      </c>
      <c r="I2726" s="11">
        <f t="shared" ca="1" si="163"/>
        <v>0</v>
      </c>
      <c r="J2726" s="11">
        <f t="shared" ca="1" si="164"/>
        <v>-1</v>
      </c>
      <c r="K2726" s="10">
        <f t="shared" ca="1" si="174"/>
        <v>102.01456</v>
      </c>
      <c r="L2726" s="11">
        <f t="shared" ca="1" si="175"/>
        <v>-43.558860000000003</v>
      </c>
      <c r="M2726" s="11">
        <f t="shared" ca="1" si="176"/>
        <v>2.34199</v>
      </c>
      <c r="N2726" s="15">
        <f t="shared" ca="1" si="177"/>
        <v>10</v>
      </c>
      <c r="O2726" s="15">
        <f t="shared" ca="1" si="178"/>
        <v>23</v>
      </c>
      <c r="P2726" s="16">
        <f t="shared" ca="1" si="179"/>
        <v>18.29182000000003</v>
      </c>
      <c r="Q2726" s="11" t="str">
        <f t="shared" ca="1" si="165"/>
        <v/>
      </c>
      <c r="R2726" s="11" t="str">
        <f t="shared" ca="1" si="166"/>
        <v/>
      </c>
      <c r="S2726" s="61" t="str">
        <f t="shared" ca="1" si="167"/>
        <v/>
      </c>
      <c r="T2726" s="11" t="str">
        <f t="shared" ca="1" si="168"/>
        <v/>
      </c>
      <c r="U2726" s="11" t="str">
        <f t="shared" ca="1" si="169"/>
        <v/>
      </c>
      <c r="V2726" s="18" t="str">
        <f t="shared" ca="1" si="170"/>
        <v/>
      </c>
      <c r="W2726" s="61" t="str">
        <f t="shared" ca="1" si="171"/>
        <v/>
      </c>
      <c r="X2726" s="61">
        <f t="shared" ca="1" si="172"/>
        <v>0</v>
      </c>
      <c r="Y2726" s="64" t="str">
        <f t="shared" ca="1" si="173"/>
        <v/>
      </c>
    </row>
    <row r="2727" spans="1:25">
      <c r="A2727" s="2">
        <f>+Get_Data!A2726</f>
        <v>43397</v>
      </c>
      <c r="B2727">
        <f>+ROUND(Get_Data!B2726,5)</f>
        <v>106.5123</v>
      </c>
      <c r="C2727">
        <f>+ROUND(Get_Data!C2726,5)</f>
        <v>43.793149999999997</v>
      </c>
      <c r="D2727" s="4">
        <f t="shared" si="158"/>
        <v>2.4321700000000002</v>
      </c>
      <c r="E2727" s="22">
        <f t="shared" ca="1" si="159"/>
        <v>2.4856199999999999</v>
      </c>
      <c r="F2727" s="23">
        <f t="shared" ca="1" si="160"/>
        <v>2.33534</v>
      </c>
      <c r="G2727" s="10">
        <f t="shared" ca="1" si="161"/>
        <v>0</v>
      </c>
      <c r="H2727" s="12">
        <f t="shared" ca="1" si="162"/>
        <v>0</v>
      </c>
      <c r="I2727" s="11">
        <f t="shared" ca="1" si="163"/>
        <v>0</v>
      </c>
      <c r="J2727" s="11">
        <f t="shared" ca="1" si="164"/>
        <v>-1</v>
      </c>
      <c r="K2727" s="10">
        <f t="shared" ca="1" si="174"/>
        <v>102.01456</v>
      </c>
      <c r="L2727" s="11">
        <f t="shared" ca="1" si="175"/>
        <v>-43.558860000000003</v>
      </c>
      <c r="M2727" s="11">
        <f t="shared" ca="1" si="176"/>
        <v>2.34199</v>
      </c>
      <c r="N2727" s="15">
        <f t="shared" ca="1" si="177"/>
        <v>10</v>
      </c>
      <c r="O2727" s="15">
        <f t="shared" ca="1" si="178"/>
        <v>23</v>
      </c>
      <c r="P2727" s="16">
        <f t="shared" ca="1" si="179"/>
        <v>18.29182000000003</v>
      </c>
      <c r="Q2727" s="11" t="str">
        <f t="shared" ca="1" si="165"/>
        <v/>
      </c>
      <c r="R2727" s="11" t="str">
        <f t="shared" ca="1" si="166"/>
        <v/>
      </c>
      <c r="S2727" s="61" t="str">
        <f t="shared" ca="1" si="167"/>
        <v/>
      </c>
      <c r="T2727" s="11" t="str">
        <f t="shared" ca="1" si="168"/>
        <v/>
      </c>
      <c r="U2727" s="11" t="str">
        <f t="shared" ca="1" si="169"/>
        <v/>
      </c>
      <c r="V2727" s="18" t="str">
        <f t="shared" ca="1" si="170"/>
        <v/>
      </c>
      <c r="W2727" s="61" t="str">
        <f t="shared" ca="1" si="171"/>
        <v/>
      </c>
      <c r="X2727" s="61">
        <f t="shared" ca="1" si="172"/>
        <v>0</v>
      </c>
      <c r="Y2727" s="64" t="str">
        <f t="shared" ca="1" si="173"/>
        <v/>
      </c>
    </row>
    <row r="2728" spans="1:25">
      <c r="A2728" s="2">
        <f>+Get_Data!A2727</f>
        <v>43398</v>
      </c>
      <c r="B2728">
        <f>+ROUND(Get_Data!B2727,5)</f>
        <v>106.40855999999999</v>
      </c>
      <c r="C2728">
        <f>+ROUND(Get_Data!C2727,5)</f>
        <v>43.586979999999997</v>
      </c>
      <c r="D2728" s="4">
        <f t="shared" si="158"/>
        <v>2.44129</v>
      </c>
      <c r="E2728" s="22">
        <f t="shared" ca="1" si="159"/>
        <v>2.4821200000000001</v>
      </c>
      <c r="F2728" s="23">
        <f t="shared" ca="1" si="160"/>
        <v>2.33534</v>
      </c>
      <c r="G2728" s="10">
        <f t="shared" ca="1" si="161"/>
        <v>0</v>
      </c>
      <c r="H2728" s="12">
        <f t="shared" ca="1" si="162"/>
        <v>0</v>
      </c>
      <c r="I2728" s="11">
        <f t="shared" ca="1" si="163"/>
        <v>0</v>
      </c>
      <c r="J2728" s="11">
        <f t="shared" ca="1" si="164"/>
        <v>-1</v>
      </c>
      <c r="K2728" s="10">
        <f t="shared" ca="1" si="174"/>
        <v>102.01456</v>
      </c>
      <c r="L2728" s="11">
        <f t="shared" ca="1" si="175"/>
        <v>-43.558860000000003</v>
      </c>
      <c r="M2728" s="11">
        <f t="shared" ca="1" si="176"/>
        <v>2.34199</v>
      </c>
      <c r="N2728" s="15">
        <f t="shared" ca="1" si="177"/>
        <v>10</v>
      </c>
      <c r="O2728" s="15">
        <f t="shared" ca="1" si="178"/>
        <v>23</v>
      </c>
      <c r="P2728" s="16">
        <f t="shared" ca="1" si="179"/>
        <v>18.29182000000003</v>
      </c>
      <c r="Q2728" s="11" t="str">
        <f t="shared" ca="1" si="165"/>
        <v/>
      </c>
      <c r="R2728" s="11" t="str">
        <f t="shared" ca="1" si="166"/>
        <v/>
      </c>
      <c r="S2728" s="61" t="str">
        <f t="shared" ca="1" si="167"/>
        <v/>
      </c>
      <c r="T2728" s="11" t="str">
        <f t="shared" ca="1" si="168"/>
        <v/>
      </c>
      <c r="U2728" s="11" t="str">
        <f t="shared" ca="1" si="169"/>
        <v/>
      </c>
      <c r="V2728" s="18" t="str">
        <f t="shared" ca="1" si="170"/>
        <v/>
      </c>
      <c r="W2728" s="61" t="str">
        <f t="shared" ca="1" si="171"/>
        <v/>
      </c>
      <c r="X2728" s="61">
        <f t="shared" ca="1" si="172"/>
        <v>0</v>
      </c>
      <c r="Y2728" s="64" t="str">
        <f t="shared" ca="1" si="173"/>
        <v/>
      </c>
    </row>
    <row r="2729" spans="1:25">
      <c r="A2729" s="2">
        <f>+Get_Data!A2728</f>
        <v>43399</v>
      </c>
      <c r="B2729">
        <f>+ROUND(Get_Data!B2728,5)</f>
        <v>104.14556</v>
      </c>
      <c r="C2729">
        <f>+ROUND(Get_Data!C2728,5)</f>
        <v>43.034050000000001</v>
      </c>
      <c r="D2729" s="4">
        <f t="shared" si="158"/>
        <v>2.4200699999999999</v>
      </c>
      <c r="E2729" s="22">
        <f t="shared" ca="1" si="159"/>
        <v>2.4662700000000002</v>
      </c>
      <c r="F2729" s="23">
        <f t="shared" ca="1" si="160"/>
        <v>2.33534</v>
      </c>
      <c r="G2729" s="10">
        <f t="shared" ca="1" si="161"/>
        <v>0</v>
      </c>
      <c r="H2729" s="12">
        <f t="shared" ca="1" si="162"/>
        <v>0</v>
      </c>
      <c r="I2729" s="11">
        <f t="shared" ca="1" si="163"/>
        <v>0</v>
      </c>
      <c r="J2729" s="11">
        <f t="shared" ca="1" si="164"/>
        <v>-1</v>
      </c>
      <c r="K2729" s="10">
        <f t="shared" ca="1" si="174"/>
        <v>102.01456</v>
      </c>
      <c r="L2729" s="11">
        <f t="shared" ca="1" si="175"/>
        <v>-43.558860000000003</v>
      </c>
      <c r="M2729" s="11">
        <f t="shared" ca="1" si="176"/>
        <v>2.34199</v>
      </c>
      <c r="N2729" s="15">
        <f t="shared" ca="1" si="177"/>
        <v>10</v>
      </c>
      <c r="O2729" s="15">
        <f t="shared" ca="1" si="178"/>
        <v>23</v>
      </c>
      <c r="P2729" s="16">
        <f t="shared" ca="1" si="179"/>
        <v>18.29182000000003</v>
      </c>
      <c r="Q2729" s="11" t="str">
        <f t="shared" ca="1" si="165"/>
        <v/>
      </c>
      <c r="R2729" s="11" t="str">
        <f t="shared" ca="1" si="166"/>
        <v/>
      </c>
      <c r="S2729" s="61" t="str">
        <f t="shared" ca="1" si="167"/>
        <v/>
      </c>
      <c r="T2729" s="11" t="str">
        <f t="shared" ca="1" si="168"/>
        <v/>
      </c>
      <c r="U2729" s="11" t="str">
        <f t="shared" ca="1" si="169"/>
        <v/>
      </c>
      <c r="V2729" s="18" t="str">
        <f t="shared" ca="1" si="170"/>
        <v/>
      </c>
      <c r="W2729" s="61" t="str">
        <f t="shared" ca="1" si="171"/>
        <v/>
      </c>
      <c r="X2729" s="61">
        <f t="shared" ca="1" si="172"/>
        <v>0</v>
      </c>
      <c r="Y2729" s="64" t="str">
        <f t="shared" ca="1" si="173"/>
        <v/>
      </c>
    </row>
    <row r="2730" spans="1:25">
      <c r="A2730" s="2">
        <f>+Get_Data!A2729</f>
        <v>43402</v>
      </c>
      <c r="B2730">
        <f>+ROUND(Get_Data!B2729,5)</f>
        <v>106.44629</v>
      </c>
      <c r="C2730">
        <f>+ROUND(Get_Data!C2729,5)</f>
        <v>43.540120000000002</v>
      </c>
      <c r="D2730" s="4">
        <f t="shared" si="158"/>
        <v>2.4447899999999998</v>
      </c>
      <c r="E2730" s="22">
        <f t="shared" ca="1" si="159"/>
        <v>2.4662700000000002</v>
      </c>
      <c r="F2730" s="23">
        <f t="shared" ca="1" si="160"/>
        <v>2.33534</v>
      </c>
      <c r="G2730" s="10">
        <f t="shared" ca="1" si="161"/>
        <v>0</v>
      </c>
      <c r="H2730" s="12">
        <f t="shared" ca="1" si="162"/>
        <v>0</v>
      </c>
      <c r="I2730" s="11">
        <f t="shared" ca="1" si="163"/>
        <v>0</v>
      </c>
      <c r="J2730" s="11">
        <f t="shared" ca="1" si="164"/>
        <v>-1</v>
      </c>
      <c r="K2730" s="10">
        <f t="shared" ca="1" si="174"/>
        <v>102.01456</v>
      </c>
      <c r="L2730" s="11">
        <f t="shared" ca="1" si="175"/>
        <v>-43.558860000000003</v>
      </c>
      <c r="M2730" s="11">
        <f t="shared" ca="1" si="176"/>
        <v>2.34199</v>
      </c>
      <c r="N2730" s="15">
        <f t="shared" ca="1" si="177"/>
        <v>10</v>
      </c>
      <c r="O2730" s="15">
        <f t="shared" ca="1" si="178"/>
        <v>23</v>
      </c>
      <c r="P2730" s="16">
        <f t="shared" ca="1" si="179"/>
        <v>18.29182000000003</v>
      </c>
      <c r="Q2730" s="11" t="str">
        <f t="shared" ca="1" si="165"/>
        <v/>
      </c>
      <c r="R2730" s="11" t="str">
        <f t="shared" ca="1" si="166"/>
        <v/>
      </c>
      <c r="S2730" s="61" t="str">
        <f t="shared" ca="1" si="167"/>
        <v/>
      </c>
      <c r="T2730" s="11" t="str">
        <f t="shared" ca="1" si="168"/>
        <v/>
      </c>
      <c r="U2730" s="11" t="str">
        <f t="shared" ca="1" si="169"/>
        <v/>
      </c>
      <c r="V2730" s="18" t="str">
        <f t="shared" ca="1" si="170"/>
        <v/>
      </c>
      <c r="W2730" s="61" t="str">
        <f t="shared" ca="1" si="171"/>
        <v/>
      </c>
      <c r="X2730" s="61">
        <f t="shared" ca="1" si="172"/>
        <v>0</v>
      </c>
      <c r="Y2730" s="64" t="str">
        <f t="shared" ca="1" si="173"/>
        <v/>
      </c>
    </row>
    <row r="2731" spans="1:25">
      <c r="A2731" s="2">
        <f>+Get_Data!A2730</f>
        <v>43403</v>
      </c>
      <c r="B2731">
        <f>+ROUND(Get_Data!B2730,5)</f>
        <v>107.27605</v>
      </c>
      <c r="C2731">
        <f>+ROUND(Get_Data!C2730,5)</f>
        <v>44.636589999999998</v>
      </c>
      <c r="D2731" s="4">
        <f t="shared" si="158"/>
        <v>2.4033199999999999</v>
      </c>
      <c r="E2731" s="22">
        <f t="shared" ca="1" si="159"/>
        <v>2.4468100000000002</v>
      </c>
      <c r="F2731" s="23">
        <f t="shared" ca="1" si="160"/>
        <v>2.33534</v>
      </c>
      <c r="G2731" s="10">
        <f t="shared" ca="1" si="161"/>
        <v>0</v>
      </c>
      <c r="H2731" s="12">
        <f t="shared" ca="1" si="162"/>
        <v>0</v>
      </c>
      <c r="I2731" s="11">
        <f t="shared" ca="1" si="163"/>
        <v>0</v>
      </c>
      <c r="J2731" s="11">
        <f t="shared" ca="1" si="164"/>
        <v>-1</v>
      </c>
      <c r="K2731" s="10">
        <f t="shared" ca="1" si="174"/>
        <v>102.01456</v>
      </c>
      <c r="L2731" s="11">
        <f t="shared" ca="1" si="175"/>
        <v>-43.558860000000003</v>
      </c>
      <c r="M2731" s="11">
        <f t="shared" ca="1" si="176"/>
        <v>2.34199</v>
      </c>
      <c r="N2731" s="15">
        <f t="shared" ca="1" si="177"/>
        <v>10</v>
      </c>
      <c r="O2731" s="15">
        <f t="shared" ca="1" si="178"/>
        <v>23</v>
      </c>
      <c r="P2731" s="16">
        <f t="shared" ca="1" si="179"/>
        <v>18.29182000000003</v>
      </c>
      <c r="Q2731" s="11" t="str">
        <f t="shared" ca="1" si="165"/>
        <v/>
      </c>
      <c r="R2731" s="11" t="str">
        <f t="shared" ca="1" si="166"/>
        <v/>
      </c>
      <c r="S2731" s="61" t="str">
        <f t="shared" ca="1" si="167"/>
        <v/>
      </c>
      <c r="T2731" s="11" t="str">
        <f t="shared" ca="1" si="168"/>
        <v/>
      </c>
      <c r="U2731" s="11" t="str">
        <f t="shared" ca="1" si="169"/>
        <v/>
      </c>
      <c r="V2731" s="18" t="str">
        <f t="shared" ca="1" si="170"/>
        <v/>
      </c>
      <c r="W2731" s="61" t="str">
        <f t="shared" ca="1" si="171"/>
        <v/>
      </c>
      <c r="X2731" s="61">
        <f t="shared" ca="1" si="172"/>
        <v>0</v>
      </c>
      <c r="Y2731" s="64" t="str">
        <f t="shared" ca="1" si="173"/>
        <v/>
      </c>
    </row>
    <row r="2732" spans="1:25">
      <c r="A2732" s="2">
        <f>+Get_Data!A2731</f>
        <v>43404</v>
      </c>
      <c r="B2732">
        <f>+ROUND(Get_Data!B2731,5)</f>
        <v>105.96539</v>
      </c>
      <c r="C2732">
        <f>+ROUND(Get_Data!C2731,5)</f>
        <v>44.87088</v>
      </c>
      <c r="D2732" s="4">
        <f t="shared" si="158"/>
        <v>2.3615599999999999</v>
      </c>
      <c r="E2732" s="22">
        <f t="shared" ca="1" si="159"/>
        <v>2.4447899999999998</v>
      </c>
      <c r="F2732" s="23">
        <f t="shared" ca="1" si="160"/>
        <v>2.33534</v>
      </c>
      <c r="G2732" s="10">
        <f t="shared" ca="1" si="161"/>
        <v>0</v>
      </c>
      <c r="H2732" s="12">
        <f t="shared" ca="1" si="162"/>
        <v>0</v>
      </c>
      <c r="I2732" s="11">
        <f t="shared" ca="1" si="163"/>
        <v>0</v>
      </c>
      <c r="J2732" s="11">
        <f t="shared" ca="1" si="164"/>
        <v>-1</v>
      </c>
      <c r="K2732" s="10">
        <f t="shared" ca="1" si="174"/>
        <v>102.01456</v>
      </c>
      <c r="L2732" s="11">
        <f t="shared" ca="1" si="175"/>
        <v>-43.558860000000003</v>
      </c>
      <c r="M2732" s="11">
        <f t="shared" ca="1" si="176"/>
        <v>2.34199</v>
      </c>
      <c r="N2732" s="15">
        <f t="shared" ca="1" si="177"/>
        <v>10</v>
      </c>
      <c r="O2732" s="15">
        <f t="shared" ca="1" si="178"/>
        <v>23</v>
      </c>
      <c r="P2732" s="16">
        <f t="shared" ca="1" si="179"/>
        <v>18.29182000000003</v>
      </c>
      <c r="Q2732" s="11" t="str">
        <f t="shared" ca="1" si="165"/>
        <v/>
      </c>
      <c r="R2732" s="11" t="str">
        <f t="shared" ca="1" si="166"/>
        <v/>
      </c>
      <c r="S2732" s="61" t="str">
        <f t="shared" ca="1" si="167"/>
        <v/>
      </c>
      <c r="T2732" s="11" t="str">
        <f t="shared" ca="1" si="168"/>
        <v/>
      </c>
      <c r="U2732" s="11" t="str">
        <f t="shared" ca="1" si="169"/>
        <v/>
      </c>
      <c r="V2732" s="18" t="str">
        <f t="shared" ca="1" si="170"/>
        <v/>
      </c>
      <c r="W2732" s="61" t="str">
        <f t="shared" ca="1" si="171"/>
        <v/>
      </c>
      <c r="X2732" s="61">
        <f t="shared" ca="1" si="172"/>
        <v>0</v>
      </c>
      <c r="Y2732" s="64" t="str">
        <f t="shared" ca="1" si="173"/>
        <v/>
      </c>
    </row>
    <row r="2733" spans="1:25">
      <c r="A2733" s="2">
        <f>+Get_Data!A2732</f>
        <v>43405</v>
      </c>
      <c r="B2733">
        <f>+ROUND(Get_Data!B2732,5)</f>
        <v>105.14507</v>
      </c>
      <c r="C2733">
        <f>+ROUND(Get_Data!C2732,5)</f>
        <v>44.73968</v>
      </c>
      <c r="D2733" s="4">
        <f t="shared" si="158"/>
        <v>2.3501500000000002</v>
      </c>
      <c r="E2733" s="22">
        <f t="shared" ca="1" si="159"/>
        <v>2.4447899999999998</v>
      </c>
      <c r="F2733" s="23">
        <f t="shared" ca="1" si="160"/>
        <v>2.33534</v>
      </c>
      <c r="G2733" s="10">
        <f t="shared" ca="1" si="161"/>
        <v>0</v>
      </c>
      <c r="H2733" s="12">
        <f t="shared" ca="1" si="162"/>
        <v>0</v>
      </c>
      <c r="I2733" s="11">
        <f t="shared" ca="1" si="163"/>
        <v>0</v>
      </c>
      <c r="J2733" s="11">
        <f t="shared" ca="1" si="164"/>
        <v>-1</v>
      </c>
      <c r="K2733" s="10">
        <f t="shared" ca="1" si="174"/>
        <v>102.01456</v>
      </c>
      <c r="L2733" s="11">
        <f t="shared" ca="1" si="175"/>
        <v>-43.558860000000003</v>
      </c>
      <c r="M2733" s="11">
        <f t="shared" ca="1" si="176"/>
        <v>2.34199</v>
      </c>
      <c r="N2733" s="15">
        <f t="shared" ca="1" si="177"/>
        <v>10</v>
      </c>
      <c r="O2733" s="15">
        <f t="shared" ca="1" si="178"/>
        <v>23</v>
      </c>
      <c r="P2733" s="16">
        <f t="shared" ca="1" si="179"/>
        <v>18.29182000000003</v>
      </c>
      <c r="Q2733" s="11" t="str">
        <f t="shared" ca="1" si="165"/>
        <v/>
      </c>
      <c r="R2733" s="11" t="str">
        <f t="shared" ca="1" si="166"/>
        <v/>
      </c>
      <c r="S2733" s="61" t="str">
        <f t="shared" ca="1" si="167"/>
        <v/>
      </c>
      <c r="T2733" s="11" t="str">
        <f t="shared" ca="1" si="168"/>
        <v/>
      </c>
      <c r="U2733" s="11" t="str">
        <f t="shared" ca="1" si="169"/>
        <v/>
      </c>
      <c r="V2733" s="18" t="str">
        <f t="shared" ca="1" si="170"/>
        <v/>
      </c>
      <c r="W2733" s="61" t="str">
        <f t="shared" ca="1" si="171"/>
        <v/>
      </c>
      <c r="X2733" s="61">
        <f t="shared" ca="1" si="172"/>
        <v>0</v>
      </c>
      <c r="Y2733" s="64" t="str">
        <f t="shared" ca="1" si="173"/>
        <v/>
      </c>
    </row>
    <row r="2734" spans="1:25">
      <c r="A2734" s="2">
        <f>+Get_Data!A2733</f>
        <v>43406</v>
      </c>
      <c r="B2734">
        <f>+ROUND(Get_Data!B2733,5)</f>
        <v>104.82446</v>
      </c>
      <c r="C2734">
        <f>+ROUND(Get_Data!C2733,5)</f>
        <v>44.983330000000002</v>
      </c>
      <c r="D2734" s="4">
        <f t="shared" si="158"/>
        <v>2.3302999999999998</v>
      </c>
      <c r="E2734" s="22">
        <f t="shared" ca="1" si="159"/>
        <v>2.4447899999999998</v>
      </c>
      <c r="F2734" s="23">
        <f t="shared" ca="1" si="160"/>
        <v>2.3302999999999998</v>
      </c>
      <c r="G2734" s="10">
        <f t="shared" ca="1" si="161"/>
        <v>0</v>
      </c>
      <c r="H2734" s="12">
        <f t="shared" ca="1" si="162"/>
        <v>1</v>
      </c>
      <c r="I2734" s="11">
        <f t="shared" ca="1" si="163"/>
        <v>-1</v>
      </c>
      <c r="J2734" s="11">
        <f t="shared" ca="1" si="164"/>
        <v>-2</v>
      </c>
      <c r="K2734" s="10">
        <f t="shared" ca="1" si="174"/>
        <v>102.01456</v>
      </c>
      <c r="L2734" s="11">
        <f t="shared" ca="1" si="175"/>
        <v>-43.558860000000003</v>
      </c>
      <c r="M2734" s="11">
        <f t="shared" ca="1" si="176"/>
        <v>2.34199</v>
      </c>
      <c r="N2734" s="15">
        <f t="shared" ca="1" si="177"/>
        <v>10</v>
      </c>
      <c r="O2734" s="15">
        <f t="shared" ca="1" si="178"/>
        <v>23</v>
      </c>
      <c r="P2734" s="16">
        <f t="shared" ca="1" si="179"/>
        <v>18.29182000000003</v>
      </c>
      <c r="Q2734" s="11" t="str">
        <f t="shared" ca="1" si="165"/>
        <v/>
      </c>
      <c r="R2734" s="11" t="str">
        <f t="shared" ca="1" si="166"/>
        <v/>
      </c>
      <c r="S2734" s="61" t="str">
        <f t="shared" ca="1" si="167"/>
        <v/>
      </c>
      <c r="T2734" s="11" t="str">
        <f t="shared" ca="1" si="168"/>
        <v/>
      </c>
      <c r="U2734" s="11" t="str">
        <f t="shared" ca="1" si="169"/>
        <v/>
      </c>
      <c r="V2734" s="18" t="str">
        <f t="shared" ca="1" si="170"/>
        <v/>
      </c>
      <c r="W2734" s="61" t="str">
        <f t="shared" ca="1" si="171"/>
        <v/>
      </c>
      <c r="X2734" s="61">
        <f t="shared" ca="1" si="172"/>
        <v>0</v>
      </c>
      <c r="Y2734" s="64" t="str">
        <f t="shared" ca="1" si="173"/>
        <v/>
      </c>
    </row>
    <row r="2735" spans="1:25">
      <c r="A2735" s="2">
        <f>+Get_Data!A2734</f>
        <v>43409</v>
      </c>
      <c r="B2735">
        <f>+ROUND(Get_Data!B2734,5)</f>
        <v>107.86067</v>
      </c>
      <c r="C2735">
        <f>+ROUND(Get_Data!C2734,5)</f>
        <v>45.62997</v>
      </c>
      <c r="D2735" s="4">
        <f t="shared" si="158"/>
        <v>2.36381</v>
      </c>
      <c r="E2735" s="22">
        <f t="shared" ca="1" si="159"/>
        <v>2.4447899999999998</v>
      </c>
      <c r="F2735" s="23">
        <f t="shared" ca="1" si="160"/>
        <v>2.3302999999999998</v>
      </c>
      <c r="G2735" s="10">
        <f t="shared" ca="1" si="161"/>
        <v>0</v>
      </c>
      <c r="H2735" s="12">
        <f t="shared" ca="1" si="162"/>
        <v>0</v>
      </c>
      <c r="I2735" s="11">
        <f t="shared" ca="1" si="163"/>
        <v>0</v>
      </c>
      <c r="J2735" s="11">
        <f t="shared" ca="1" si="164"/>
        <v>-2</v>
      </c>
      <c r="K2735" s="10">
        <f t="shared" ca="1" si="174"/>
        <v>102.01456</v>
      </c>
      <c r="L2735" s="11">
        <f t="shared" ca="1" si="175"/>
        <v>-43.558860000000003</v>
      </c>
      <c r="M2735" s="11">
        <f t="shared" ca="1" si="176"/>
        <v>2.34199</v>
      </c>
      <c r="N2735" s="15">
        <f t="shared" ca="1" si="177"/>
        <v>10</v>
      </c>
      <c r="O2735" s="15">
        <f t="shared" ca="1" si="178"/>
        <v>23</v>
      </c>
      <c r="P2735" s="16">
        <f t="shared" ca="1" si="179"/>
        <v>18.29182000000003</v>
      </c>
      <c r="Q2735" s="11" t="str">
        <f t="shared" ca="1" si="165"/>
        <v/>
      </c>
      <c r="R2735" s="11" t="str">
        <f t="shared" ca="1" si="166"/>
        <v/>
      </c>
      <c r="S2735" s="61" t="str">
        <f t="shared" ca="1" si="167"/>
        <v/>
      </c>
      <c r="T2735" s="11" t="str">
        <f t="shared" ca="1" si="168"/>
        <v/>
      </c>
      <c r="U2735" s="11" t="str">
        <f t="shared" ca="1" si="169"/>
        <v/>
      </c>
      <c r="V2735" s="18" t="str">
        <f t="shared" ca="1" si="170"/>
        <v/>
      </c>
      <c r="W2735" s="61" t="str">
        <f t="shared" ca="1" si="171"/>
        <v/>
      </c>
      <c r="X2735" s="61">
        <f t="shared" ca="1" si="172"/>
        <v>0</v>
      </c>
      <c r="Y2735" s="64" t="str">
        <f t="shared" ca="1" si="173"/>
        <v/>
      </c>
    </row>
    <row r="2736" spans="1:25">
      <c r="A2736" s="2">
        <f>+Get_Data!A2735</f>
        <v>43410</v>
      </c>
      <c r="B2736">
        <f>+ROUND(Get_Data!B2735,5)</f>
        <v>108.63386</v>
      </c>
      <c r="C2736">
        <f>+ROUND(Get_Data!C2735,5)</f>
        <v>46.023569999999999</v>
      </c>
      <c r="D2736" s="4">
        <f t="shared" si="158"/>
        <v>2.3603999999999998</v>
      </c>
      <c r="E2736" s="22">
        <f t="shared" ca="1" si="159"/>
        <v>2.4447899999999998</v>
      </c>
      <c r="F2736" s="23">
        <f t="shared" ca="1" si="160"/>
        <v>2.3302999999999998</v>
      </c>
      <c r="G2736" s="10">
        <f t="shared" ca="1" si="161"/>
        <v>0</v>
      </c>
      <c r="H2736" s="12">
        <f t="shared" ca="1" si="162"/>
        <v>0</v>
      </c>
      <c r="I2736" s="11">
        <f t="shared" ca="1" si="163"/>
        <v>0</v>
      </c>
      <c r="J2736" s="11">
        <f t="shared" ca="1" si="164"/>
        <v>-2</v>
      </c>
      <c r="K2736" s="10">
        <f t="shared" ca="1" si="174"/>
        <v>102.01456</v>
      </c>
      <c r="L2736" s="11">
        <f t="shared" ca="1" si="175"/>
        <v>-43.558860000000003</v>
      </c>
      <c r="M2736" s="11">
        <f t="shared" ca="1" si="176"/>
        <v>2.34199</v>
      </c>
      <c r="N2736" s="15">
        <f t="shared" ca="1" si="177"/>
        <v>10</v>
      </c>
      <c r="O2736" s="15">
        <f t="shared" ca="1" si="178"/>
        <v>23</v>
      </c>
      <c r="P2736" s="16">
        <f t="shared" ca="1" si="179"/>
        <v>18.29182000000003</v>
      </c>
      <c r="Q2736" s="11" t="str">
        <f t="shared" ca="1" si="165"/>
        <v/>
      </c>
      <c r="R2736" s="11" t="str">
        <f t="shared" ca="1" si="166"/>
        <v/>
      </c>
      <c r="S2736" s="61" t="str">
        <f t="shared" ca="1" si="167"/>
        <v/>
      </c>
      <c r="T2736" s="11" t="str">
        <f t="shared" ca="1" si="168"/>
        <v/>
      </c>
      <c r="U2736" s="11" t="str">
        <f t="shared" ca="1" si="169"/>
        <v/>
      </c>
      <c r="V2736" s="18" t="str">
        <f t="shared" ca="1" si="170"/>
        <v/>
      </c>
      <c r="W2736" s="61" t="str">
        <f t="shared" ca="1" si="171"/>
        <v/>
      </c>
      <c r="X2736" s="61">
        <f t="shared" ca="1" si="172"/>
        <v>0</v>
      </c>
      <c r="Y2736" s="64" t="str">
        <f t="shared" ca="1" si="173"/>
        <v/>
      </c>
    </row>
    <row r="2737" spans="1:25">
      <c r="A2737" s="2">
        <f>+Get_Data!A2736</f>
        <v>43411</v>
      </c>
      <c r="B2737">
        <f>+ROUND(Get_Data!B2736,5)</f>
        <v>109.01102</v>
      </c>
      <c r="C2737">
        <f>+ROUND(Get_Data!C2736,5)</f>
        <v>46.267229999999998</v>
      </c>
      <c r="D2737" s="4">
        <f t="shared" si="158"/>
        <v>2.3561200000000002</v>
      </c>
      <c r="E2737" s="22">
        <f t="shared" ca="1" si="159"/>
        <v>2.4447899999999998</v>
      </c>
      <c r="F2737" s="23">
        <f t="shared" ca="1" si="160"/>
        <v>2.3302999999999998</v>
      </c>
      <c r="G2737" s="10">
        <f t="shared" ca="1" si="161"/>
        <v>0</v>
      </c>
      <c r="H2737" s="12">
        <f t="shared" ca="1" si="162"/>
        <v>0</v>
      </c>
      <c r="I2737" s="11">
        <f t="shared" ca="1" si="163"/>
        <v>0</v>
      </c>
      <c r="J2737" s="11">
        <f t="shared" ca="1" si="164"/>
        <v>-2</v>
      </c>
      <c r="K2737" s="10">
        <f t="shared" ca="1" si="174"/>
        <v>102.01456</v>
      </c>
      <c r="L2737" s="11">
        <f t="shared" ca="1" si="175"/>
        <v>-43.558860000000003</v>
      </c>
      <c r="M2737" s="11">
        <f t="shared" ca="1" si="176"/>
        <v>2.34199</v>
      </c>
      <c r="N2737" s="15">
        <f t="shared" ca="1" si="177"/>
        <v>10</v>
      </c>
      <c r="O2737" s="15">
        <f t="shared" ca="1" si="178"/>
        <v>23</v>
      </c>
      <c r="P2737" s="16">
        <f t="shared" ca="1" si="179"/>
        <v>18.29182000000003</v>
      </c>
      <c r="Q2737" s="11" t="str">
        <f t="shared" ca="1" si="165"/>
        <v/>
      </c>
      <c r="R2737" s="11" t="str">
        <f t="shared" ca="1" si="166"/>
        <v/>
      </c>
      <c r="S2737" s="61" t="str">
        <f t="shared" ca="1" si="167"/>
        <v/>
      </c>
      <c r="T2737" s="11" t="str">
        <f t="shared" ca="1" si="168"/>
        <v/>
      </c>
      <c r="U2737" s="11" t="str">
        <f t="shared" ca="1" si="169"/>
        <v/>
      </c>
      <c r="V2737" s="18" t="str">
        <f t="shared" ca="1" si="170"/>
        <v/>
      </c>
      <c r="W2737" s="61" t="str">
        <f t="shared" ca="1" si="171"/>
        <v/>
      </c>
      <c r="X2737" s="61">
        <f t="shared" ca="1" si="172"/>
        <v>0</v>
      </c>
      <c r="Y2737" s="64" t="str">
        <f t="shared" ca="1" si="173"/>
        <v/>
      </c>
    </row>
    <row r="2738" spans="1:25">
      <c r="A2738" s="2">
        <f>+Get_Data!A2737</f>
        <v>43412</v>
      </c>
      <c r="B2738">
        <f>+ROUND(Get_Data!B2737,5)</f>
        <v>109.43535</v>
      </c>
      <c r="C2738">
        <f>+ROUND(Get_Data!C2737,5)</f>
        <v>46.229750000000003</v>
      </c>
      <c r="D2738" s="4">
        <f t="shared" ref="D2738:D2801" si="180">IFERROR(ROUND(B2738/C2738,5),"")</f>
        <v>2.36721</v>
      </c>
      <c r="E2738" s="22">
        <f t="shared" ca="1" si="159"/>
        <v>2.4447899999999998</v>
      </c>
      <c r="F2738" s="23">
        <f t="shared" ca="1" si="160"/>
        <v>2.3302999999999998</v>
      </c>
      <c r="G2738" s="10">
        <f t="shared" ca="1" si="161"/>
        <v>0</v>
      </c>
      <c r="H2738" s="12">
        <f t="shared" ca="1" si="162"/>
        <v>0</v>
      </c>
      <c r="I2738" s="11">
        <f t="shared" ca="1" si="163"/>
        <v>0</v>
      </c>
      <c r="J2738" s="11">
        <f t="shared" ca="1" si="164"/>
        <v>-2</v>
      </c>
      <c r="K2738" s="10">
        <f t="shared" ca="1" si="174"/>
        <v>102.01456</v>
      </c>
      <c r="L2738" s="11">
        <f t="shared" ca="1" si="175"/>
        <v>-43.558860000000003</v>
      </c>
      <c r="M2738" s="11">
        <f t="shared" ca="1" si="176"/>
        <v>2.34199</v>
      </c>
      <c r="N2738" s="15">
        <f t="shared" ca="1" si="177"/>
        <v>10</v>
      </c>
      <c r="O2738" s="15">
        <f t="shared" ca="1" si="178"/>
        <v>23</v>
      </c>
      <c r="P2738" s="16">
        <f t="shared" ca="1" si="179"/>
        <v>18.29182000000003</v>
      </c>
      <c r="Q2738" s="11" t="str">
        <f t="shared" ca="1" si="165"/>
        <v/>
      </c>
      <c r="R2738" s="11" t="str">
        <f t="shared" ca="1" si="166"/>
        <v/>
      </c>
      <c r="S2738" s="61" t="str">
        <f t="shared" ca="1" si="167"/>
        <v/>
      </c>
      <c r="T2738" s="11" t="str">
        <f t="shared" ca="1" si="168"/>
        <v/>
      </c>
      <c r="U2738" s="11" t="str">
        <f t="shared" ca="1" si="169"/>
        <v/>
      </c>
      <c r="V2738" s="18" t="str">
        <f t="shared" ca="1" si="170"/>
        <v/>
      </c>
      <c r="W2738" s="61" t="str">
        <f t="shared" ca="1" si="171"/>
        <v/>
      </c>
      <c r="X2738" s="61">
        <f t="shared" ca="1" si="172"/>
        <v>0</v>
      </c>
      <c r="Y2738" s="64" t="str">
        <f t="shared" ca="1" si="173"/>
        <v/>
      </c>
    </row>
    <row r="2739" spans="1:25">
      <c r="A2739" s="2">
        <f>+Get_Data!A2738</f>
        <v>43413</v>
      </c>
      <c r="B2739">
        <f>+ROUND(Get_Data!B2738,5)</f>
        <v>110.7743</v>
      </c>
      <c r="C2739">
        <f>+ROUND(Get_Data!C2738,5)</f>
        <v>46.557749999999999</v>
      </c>
      <c r="D2739" s="4">
        <f t="shared" si="180"/>
        <v>2.3792900000000001</v>
      </c>
      <c r="E2739" s="22">
        <f t="shared" ca="1" si="159"/>
        <v>2.4447899999999998</v>
      </c>
      <c r="F2739" s="23">
        <f t="shared" ca="1" si="160"/>
        <v>2.3302999999999998</v>
      </c>
      <c r="G2739" s="10">
        <f t="shared" ca="1" si="161"/>
        <v>0</v>
      </c>
      <c r="H2739" s="12">
        <f t="shared" ca="1" si="162"/>
        <v>0</v>
      </c>
      <c r="I2739" s="11">
        <f t="shared" ca="1" si="163"/>
        <v>0</v>
      </c>
      <c r="J2739" s="11">
        <f t="shared" ca="1" si="164"/>
        <v>-2</v>
      </c>
      <c r="K2739" s="10">
        <f t="shared" ca="1" si="174"/>
        <v>102.01456</v>
      </c>
      <c r="L2739" s="11">
        <f t="shared" ca="1" si="175"/>
        <v>-43.558860000000003</v>
      </c>
      <c r="M2739" s="11">
        <f t="shared" ca="1" si="176"/>
        <v>2.34199</v>
      </c>
      <c r="N2739" s="15">
        <f t="shared" ca="1" si="177"/>
        <v>10</v>
      </c>
      <c r="O2739" s="15">
        <f t="shared" ca="1" si="178"/>
        <v>23</v>
      </c>
      <c r="P2739" s="16">
        <f t="shared" ca="1" si="179"/>
        <v>18.29182000000003</v>
      </c>
      <c r="Q2739" s="11" t="str">
        <f t="shared" ca="1" si="165"/>
        <v/>
      </c>
      <c r="R2739" s="11" t="str">
        <f t="shared" ca="1" si="166"/>
        <v/>
      </c>
      <c r="S2739" s="61" t="str">
        <f t="shared" ca="1" si="167"/>
        <v/>
      </c>
      <c r="T2739" s="11" t="str">
        <f t="shared" ca="1" si="168"/>
        <v/>
      </c>
      <c r="U2739" s="11" t="str">
        <f t="shared" ca="1" si="169"/>
        <v/>
      </c>
      <c r="V2739" s="18" t="str">
        <f t="shared" ca="1" si="170"/>
        <v/>
      </c>
      <c r="W2739" s="61" t="str">
        <f t="shared" ca="1" si="171"/>
        <v/>
      </c>
      <c r="X2739" s="61">
        <f t="shared" ca="1" si="172"/>
        <v>0</v>
      </c>
      <c r="Y2739" s="64" t="str">
        <f t="shared" ca="1" si="173"/>
        <v/>
      </c>
    </row>
    <row r="2740" spans="1:25">
      <c r="A2740" s="2">
        <f>+Get_Data!A2739</f>
        <v>43416</v>
      </c>
      <c r="B2740">
        <f>+ROUND(Get_Data!B2739,5)</f>
        <v>110.29342</v>
      </c>
      <c r="C2740">
        <f>+ROUND(Get_Data!C2739,5)</f>
        <v>46.735810000000001</v>
      </c>
      <c r="D2740" s="4">
        <f t="shared" si="180"/>
        <v>2.3599299999999999</v>
      </c>
      <c r="E2740" s="22">
        <f t="shared" ca="1" si="159"/>
        <v>2.4447899999999998</v>
      </c>
      <c r="F2740" s="23">
        <f t="shared" ca="1" si="160"/>
        <v>2.3302999999999998</v>
      </c>
      <c r="G2740" s="10">
        <f t="shared" ca="1" si="161"/>
        <v>0</v>
      </c>
      <c r="H2740" s="12">
        <f t="shared" ca="1" si="162"/>
        <v>0</v>
      </c>
      <c r="I2740" s="11">
        <f t="shared" ca="1" si="163"/>
        <v>0</v>
      </c>
      <c r="J2740" s="11">
        <f t="shared" ca="1" si="164"/>
        <v>-2</v>
      </c>
      <c r="K2740" s="10">
        <f t="shared" ca="1" si="174"/>
        <v>102.01456</v>
      </c>
      <c r="L2740" s="11">
        <f t="shared" ca="1" si="175"/>
        <v>-43.558860000000003</v>
      </c>
      <c r="M2740" s="11">
        <f t="shared" ca="1" si="176"/>
        <v>2.34199</v>
      </c>
      <c r="N2740" s="15">
        <f t="shared" ca="1" si="177"/>
        <v>10</v>
      </c>
      <c r="O2740" s="15">
        <f t="shared" ca="1" si="178"/>
        <v>23</v>
      </c>
      <c r="P2740" s="16">
        <f t="shared" ca="1" si="179"/>
        <v>18.29182000000003</v>
      </c>
      <c r="Q2740" s="11" t="str">
        <f t="shared" ca="1" si="165"/>
        <v/>
      </c>
      <c r="R2740" s="11" t="str">
        <f t="shared" ca="1" si="166"/>
        <v/>
      </c>
      <c r="S2740" s="61" t="str">
        <f t="shared" ca="1" si="167"/>
        <v/>
      </c>
      <c r="T2740" s="11" t="str">
        <f t="shared" ca="1" si="168"/>
        <v/>
      </c>
      <c r="U2740" s="11" t="str">
        <f t="shared" ca="1" si="169"/>
        <v/>
      </c>
      <c r="V2740" s="18" t="str">
        <f t="shared" ca="1" si="170"/>
        <v/>
      </c>
      <c r="W2740" s="61" t="str">
        <f t="shared" ca="1" si="171"/>
        <v/>
      </c>
      <c r="X2740" s="61">
        <f t="shared" ca="1" si="172"/>
        <v>0</v>
      </c>
      <c r="Y2740" s="64" t="str">
        <f t="shared" ca="1" si="173"/>
        <v/>
      </c>
    </row>
    <row r="2741" spans="1:25">
      <c r="A2741" s="2">
        <f>+Get_Data!A2740</f>
        <v>43417</v>
      </c>
      <c r="B2741">
        <f>+ROUND(Get_Data!B2740,5)</f>
        <v>110.4537</v>
      </c>
      <c r="C2741">
        <f>+ROUND(Get_Data!C2740,5)</f>
        <v>46.726439999999997</v>
      </c>
      <c r="D2741" s="4">
        <f t="shared" si="180"/>
        <v>2.3638400000000002</v>
      </c>
      <c r="E2741" s="22">
        <f t="shared" ca="1" si="159"/>
        <v>2.4447899999999998</v>
      </c>
      <c r="F2741" s="23">
        <f t="shared" ca="1" si="160"/>
        <v>2.3302999999999998</v>
      </c>
      <c r="G2741" s="10">
        <f t="shared" ca="1" si="161"/>
        <v>0</v>
      </c>
      <c r="H2741" s="12">
        <f t="shared" ca="1" si="162"/>
        <v>0</v>
      </c>
      <c r="I2741" s="11">
        <f t="shared" ca="1" si="163"/>
        <v>0</v>
      </c>
      <c r="J2741" s="11">
        <f t="shared" ca="1" si="164"/>
        <v>-2</v>
      </c>
      <c r="K2741" s="10">
        <f t="shared" ca="1" si="174"/>
        <v>102.01456</v>
      </c>
      <c r="L2741" s="11">
        <f t="shared" ca="1" si="175"/>
        <v>-43.558860000000003</v>
      </c>
      <c r="M2741" s="11">
        <f t="shared" ca="1" si="176"/>
        <v>2.34199</v>
      </c>
      <c r="N2741" s="15">
        <f t="shared" ca="1" si="177"/>
        <v>10</v>
      </c>
      <c r="O2741" s="15">
        <f t="shared" ca="1" si="178"/>
        <v>23</v>
      </c>
      <c r="P2741" s="16">
        <f t="shared" ca="1" si="179"/>
        <v>18.29182000000003</v>
      </c>
      <c r="Q2741" s="11" t="str">
        <f t="shared" ca="1" si="165"/>
        <v/>
      </c>
      <c r="R2741" s="11" t="str">
        <f t="shared" ca="1" si="166"/>
        <v/>
      </c>
      <c r="S2741" s="61" t="str">
        <f t="shared" ca="1" si="167"/>
        <v/>
      </c>
      <c r="T2741" s="11" t="str">
        <f t="shared" ca="1" si="168"/>
        <v/>
      </c>
      <c r="U2741" s="11" t="str">
        <f t="shared" ca="1" si="169"/>
        <v/>
      </c>
      <c r="V2741" s="18" t="str">
        <f t="shared" ca="1" si="170"/>
        <v/>
      </c>
      <c r="W2741" s="61" t="str">
        <f t="shared" ca="1" si="171"/>
        <v/>
      </c>
      <c r="X2741" s="61">
        <f t="shared" ca="1" si="172"/>
        <v>0</v>
      </c>
      <c r="Y2741" s="64" t="str">
        <f t="shared" ca="1" si="173"/>
        <v/>
      </c>
    </row>
    <row r="2742" spans="1:25">
      <c r="A2742" s="2">
        <f>+Get_Data!A2741</f>
        <v>43418</v>
      </c>
      <c r="B2742">
        <f>+ROUND(Get_Data!B2741,5)</f>
        <v>109.99167</v>
      </c>
      <c r="C2742">
        <f>+ROUND(Get_Data!C2741,5)</f>
        <v>46.632719999999999</v>
      </c>
      <c r="D2742" s="4">
        <f t="shared" si="180"/>
        <v>2.3586800000000001</v>
      </c>
      <c r="E2742" s="22">
        <f t="shared" ca="1" si="159"/>
        <v>2.4447899999999998</v>
      </c>
      <c r="F2742" s="23">
        <f t="shared" ca="1" si="160"/>
        <v>2.3302999999999998</v>
      </c>
      <c r="G2742" s="10">
        <f t="shared" ca="1" si="161"/>
        <v>0</v>
      </c>
      <c r="H2742" s="12">
        <f t="shared" ca="1" si="162"/>
        <v>0</v>
      </c>
      <c r="I2742" s="11">
        <f t="shared" ca="1" si="163"/>
        <v>0</v>
      </c>
      <c r="J2742" s="11">
        <f t="shared" ca="1" si="164"/>
        <v>-2</v>
      </c>
      <c r="K2742" s="10">
        <f t="shared" ca="1" si="174"/>
        <v>102.01456</v>
      </c>
      <c r="L2742" s="11">
        <f t="shared" ca="1" si="175"/>
        <v>-43.558860000000003</v>
      </c>
      <c r="M2742" s="11">
        <f t="shared" ca="1" si="176"/>
        <v>2.34199</v>
      </c>
      <c r="N2742" s="15">
        <f t="shared" ca="1" si="177"/>
        <v>10</v>
      </c>
      <c r="O2742" s="15">
        <f t="shared" ca="1" si="178"/>
        <v>23</v>
      </c>
      <c r="P2742" s="16">
        <f t="shared" ca="1" si="179"/>
        <v>18.29182000000003</v>
      </c>
      <c r="Q2742" s="11" t="str">
        <f t="shared" ca="1" si="165"/>
        <v/>
      </c>
      <c r="R2742" s="11" t="str">
        <f t="shared" ca="1" si="166"/>
        <v/>
      </c>
      <c r="S2742" s="61" t="str">
        <f t="shared" ca="1" si="167"/>
        <v/>
      </c>
      <c r="T2742" s="11" t="str">
        <f t="shared" ca="1" si="168"/>
        <v/>
      </c>
      <c r="U2742" s="11" t="str">
        <f t="shared" ca="1" si="169"/>
        <v/>
      </c>
      <c r="V2742" s="18" t="str">
        <f t="shared" ca="1" si="170"/>
        <v/>
      </c>
      <c r="W2742" s="61" t="str">
        <f t="shared" ca="1" si="171"/>
        <v/>
      </c>
      <c r="X2742" s="61">
        <f t="shared" ca="1" si="172"/>
        <v>0</v>
      </c>
      <c r="Y2742" s="64" t="str">
        <f t="shared" ca="1" si="173"/>
        <v/>
      </c>
    </row>
    <row r="2743" spans="1:25">
      <c r="A2743" s="2">
        <f>+Get_Data!A2742</f>
        <v>43419</v>
      </c>
      <c r="B2743">
        <f>+ROUND(Get_Data!B2742,5)</f>
        <v>110.13312000000001</v>
      </c>
      <c r="C2743">
        <f>+ROUND(Get_Data!C2742,5)</f>
        <v>46.613979999999998</v>
      </c>
      <c r="D2743" s="4">
        <f t="shared" si="180"/>
        <v>2.36266</v>
      </c>
      <c r="E2743" s="22">
        <f t="shared" ca="1" si="159"/>
        <v>2.4447899999999998</v>
      </c>
      <c r="F2743" s="23">
        <f t="shared" ca="1" si="160"/>
        <v>2.3302999999999998</v>
      </c>
      <c r="G2743" s="10">
        <f t="shared" ca="1" si="161"/>
        <v>0</v>
      </c>
      <c r="H2743" s="12">
        <f t="shared" ca="1" si="162"/>
        <v>0</v>
      </c>
      <c r="I2743" s="11">
        <f t="shared" ca="1" si="163"/>
        <v>0</v>
      </c>
      <c r="J2743" s="11">
        <f t="shared" ca="1" si="164"/>
        <v>-2</v>
      </c>
      <c r="K2743" s="10">
        <f t="shared" ca="1" si="174"/>
        <v>102.01456</v>
      </c>
      <c r="L2743" s="11">
        <f t="shared" ca="1" si="175"/>
        <v>-43.558860000000003</v>
      </c>
      <c r="M2743" s="11">
        <f t="shared" ca="1" si="176"/>
        <v>2.34199</v>
      </c>
      <c r="N2743" s="15">
        <f t="shared" ca="1" si="177"/>
        <v>10</v>
      </c>
      <c r="O2743" s="15">
        <f t="shared" ca="1" si="178"/>
        <v>23</v>
      </c>
      <c r="P2743" s="16">
        <f t="shared" ca="1" si="179"/>
        <v>18.29182000000003</v>
      </c>
      <c r="Q2743" s="11" t="str">
        <f t="shared" ca="1" si="165"/>
        <v/>
      </c>
      <c r="R2743" s="11" t="str">
        <f t="shared" ca="1" si="166"/>
        <v/>
      </c>
      <c r="S2743" s="61" t="str">
        <f t="shared" ca="1" si="167"/>
        <v/>
      </c>
      <c r="T2743" s="11" t="str">
        <f t="shared" ca="1" si="168"/>
        <v/>
      </c>
      <c r="U2743" s="11" t="str">
        <f t="shared" ca="1" si="169"/>
        <v/>
      </c>
      <c r="V2743" s="18" t="str">
        <f t="shared" ca="1" si="170"/>
        <v/>
      </c>
      <c r="W2743" s="61" t="str">
        <f t="shared" ca="1" si="171"/>
        <v/>
      </c>
      <c r="X2743" s="61">
        <f t="shared" ca="1" si="172"/>
        <v>0</v>
      </c>
      <c r="Y2743" s="64" t="str">
        <f t="shared" ca="1" si="173"/>
        <v/>
      </c>
    </row>
    <row r="2744" spans="1:25">
      <c r="A2744" s="2">
        <f>+Get_Data!A2743</f>
        <v>43420</v>
      </c>
      <c r="B2744">
        <f>+ROUND(Get_Data!B2743,5)</f>
        <v>111.59464</v>
      </c>
      <c r="C2744">
        <f>+ROUND(Get_Data!C2743,5)</f>
        <v>47.016959999999997</v>
      </c>
      <c r="D2744" s="4">
        <f t="shared" si="180"/>
        <v>2.3734999999999999</v>
      </c>
      <c r="E2744" s="22">
        <f t="shared" ca="1" si="159"/>
        <v>2.4447899999999998</v>
      </c>
      <c r="F2744" s="23">
        <f t="shared" ca="1" si="160"/>
        <v>2.3302999999999998</v>
      </c>
      <c r="G2744" s="10">
        <f t="shared" ca="1" si="161"/>
        <v>0</v>
      </c>
      <c r="H2744" s="12">
        <f t="shared" ca="1" si="162"/>
        <v>0</v>
      </c>
      <c r="I2744" s="11">
        <f t="shared" ca="1" si="163"/>
        <v>0</v>
      </c>
      <c r="J2744" s="11">
        <f t="shared" ca="1" si="164"/>
        <v>-2</v>
      </c>
      <c r="K2744" s="10">
        <f t="shared" ca="1" si="174"/>
        <v>102.01456</v>
      </c>
      <c r="L2744" s="11">
        <f t="shared" ca="1" si="175"/>
        <v>-43.558860000000003</v>
      </c>
      <c r="M2744" s="11">
        <f t="shared" ca="1" si="176"/>
        <v>2.34199</v>
      </c>
      <c r="N2744" s="15">
        <f t="shared" ca="1" si="177"/>
        <v>10</v>
      </c>
      <c r="O2744" s="15">
        <f t="shared" ca="1" si="178"/>
        <v>23</v>
      </c>
      <c r="P2744" s="16">
        <f t="shared" ca="1" si="179"/>
        <v>18.29182000000003</v>
      </c>
      <c r="Q2744" s="11" t="str">
        <f t="shared" ca="1" si="165"/>
        <v/>
      </c>
      <c r="R2744" s="11" t="str">
        <f t="shared" ca="1" si="166"/>
        <v/>
      </c>
      <c r="S2744" s="61" t="str">
        <f t="shared" ca="1" si="167"/>
        <v/>
      </c>
      <c r="T2744" s="11" t="str">
        <f t="shared" ca="1" si="168"/>
        <v/>
      </c>
      <c r="U2744" s="11" t="str">
        <f t="shared" ca="1" si="169"/>
        <v/>
      </c>
      <c r="V2744" s="18" t="str">
        <f t="shared" ca="1" si="170"/>
        <v/>
      </c>
      <c r="W2744" s="61" t="str">
        <f t="shared" ca="1" si="171"/>
        <v/>
      </c>
      <c r="X2744" s="61">
        <f t="shared" ca="1" si="172"/>
        <v>0</v>
      </c>
      <c r="Y2744" s="64" t="str">
        <f t="shared" ca="1" si="173"/>
        <v/>
      </c>
    </row>
    <row r="2745" spans="1:25">
      <c r="A2745" s="2">
        <f>+Get_Data!A2744</f>
        <v>43423</v>
      </c>
      <c r="B2745">
        <f>+ROUND(Get_Data!B2744,5)</f>
        <v>112.21696</v>
      </c>
      <c r="C2745">
        <f>+ROUND(Get_Data!C2744,5)</f>
        <v>47.335590000000003</v>
      </c>
      <c r="D2745" s="4">
        <f t="shared" si="180"/>
        <v>2.3706700000000001</v>
      </c>
      <c r="E2745" s="22">
        <f t="shared" ca="1" si="159"/>
        <v>2.4447899999999998</v>
      </c>
      <c r="F2745" s="23">
        <f t="shared" ca="1" si="160"/>
        <v>2.3302999999999998</v>
      </c>
      <c r="G2745" s="10">
        <f t="shared" ca="1" si="161"/>
        <v>0</v>
      </c>
      <c r="H2745" s="12">
        <f t="shared" ca="1" si="162"/>
        <v>0</v>
      </c>
      <c r="I2745" s="11">
        <f t="shared" ca="1" si="163"/>
        <v>0</v>
      </c>
      <c r="J2745" s="11">
        <f t="shared" ca="1" si="164"/>
        <v>-2</v>
      </c>
      <c r="K2745" s="10">
        <f t="shared" ca="1" si="174"/>
        <v>102.01456</v>
      </c>
      <c r="L2745" s="11">
        <f t="shared" ca="1" si="175"/>
        <v>-43.558860000000003</v>
      </c>
      <c r="M2745" s="11">
        <f t="shared" ca="1" si="176"/>
        <v>2.34199</v>
      </c>
      <c r="N2745" s="15">
        <f t="shared" ca="1" si="177"/>
        <v>10</v>
      </c>
      <c r="O2745" s="15">
        <f t="shared" ca="1" si="178"/>
        <v>23</v>
      </c>
      <c r="P2745" s="16">
        <f t="shared" ca="1" si="179"/>
        <v>18.29182000000003</v>
      </c>
      <c r="Q2745" s="11" t="str">
        <f t="shared" ca="1" si="165"/>
        <v/>
      </c>
      <c r="R2745" s="11" t="str">
        <f t="shared" ca="1" si="166"/>
        <v/>
      </c>
      <c r="S2745" s="61" t="str">
        <f t="shared" ca="1" si="167"/>
        <v/>
      </c>
      <c r="T2745" s="11" t="str">
        <f t="shared" ca="1" si="168"/>
        <v/>
      </c>
      <c r="U2745" s="11" t="str">
        <f t="shared" ca="1" si="169"/>
        <v/>
      </c>
      <c r="V2745" s="18" t="str">
        <f t="shared" ca="1" si="170"/>
        <v/>
      </c>
      <c r="W2745" s="61" t="str">
        <f t="shared" ca="1" si="171"/>
        <v/>
      </c>
      <c r="X2745" s="61">
        <f t="shared" ca="1" si="172"/>
        <v>0</v>
      </c>
      <c r="Y2745" s="64" t="str">
        <f t="shared" ca="1" si="173"/>
        <v/>
      </c>
    </row>
    <row r="2746" spans="1:25">
      <c r="A2746" s="2">
        <f>+Get_Data!A2745</f>
        <v>43424</v>
      </c>
      <c r="B2746">
        <f>+ROUND(Get_Data!B2745,5)</f>
        <v>109.37878000000001</v>
      </c>
      <c r="C2746">
        <f>+ROUND(Get_Data!C2745,5)</f>
        <v>46.276609999999998</v>
      </c>
      <c r="D2746" s="4">
        <f t="shared" si="180"/>
        <v>2.3635899999999999</v>
      </c>
      <c r="E2746" s="22">
        <f t="shared" ca="1" si="159"/>
        <v>2.4447899999999998</v>
      </c>
      <c r="F2746" s="23">
        <f t="shared" ca="1" si="160"/>
        <v>2.3302999999999998</v>
      </c>
      <c r="G2746" s="10">
        <f t="shared" ca="1" si="161"/>
        <v>0</v>
      </c>
      <c r="H2746" s="12">
        <f t="shared" ca="1" si="162"/>
        <v>0</v>
      </c>
      <c r="I2746" s="11">
        <f t="shared" ca="1" si="163"/>
        <v>0</v>
      </c>
      <c r="J2746" s="11">
        <f t="shared" ca="1" si="164"/>
        <v>-2</v>
      </c>
      <c r="K2746" s="10">
        <f t="shared" ca="1" si="174"/>
        <v>102.01456</v>
      </c>
      <c r="L2746" s="11">
        <f t="shared" ca="1" si="175"/>
        <v>-43.558860000000003</v>
      </c>
      <c r="M2746" s="11">
        <f t="shared" ca="1" si="176"/>
        <v>2.34199</v>
      </c>
      <c r="N2746" s="15">
        <f t="shared" ca="1" si="177"/>
        <v>10</v>
      </c>
      <c r="O2746" s="15">
        <f t="shared" ca="1" si="178"/>
        <v>23</v>
      </c>
      <c r="P2746" s="16">
        <f t="shared" ca="1" si="179"/>
        <v>18.29182000000003</v>
      </c>
      <c r="Q2746" s="11" t="str">
        <f t="shared" ca="1" si="165"/>
        <v/>
      </c>
      <c r="R2746" s="11" t="str">
        <f t="shared" ca="1" si="166"/>
        <v/>
      </c>
      <c r="S2746" s="61" t="str">
        <f t="shared" ca="1" si="167"/>
        <v/>
      </c>
      <c r="T2746" s="11" t="str">
        <f t="shared" ca="1" si="168"/>
        <v/>
      </c>
      <c r="U2746" s="11" t="str">
        <f t="shared" ca="1" si="169"/>
        <v/>
      </c>
      <c r="V2746" s="18" t="str">
        <f t="shared" ca="1" si="170"/>
        <v/>
      </c>
      <c r="W2746" s="61" t="str">
        <f t="shared" ca="1" si="171"/>
        <v/>
      </c>
      <c r="X2746" s="61">
        <f t="shared" ca="1" si="172"/>
        <v>0</v>
      </c>
      <c r="Y2746" s="64" t="str">
        <f t="shared" ca="1" si="173"/>
        <v/>
      </c>
    </row>
    <row r="2747" spans="1:25">
      <c r="A2747" s="2">
        <f>+Get_Data!A2746</f>
        <v>43425</v>
      </c>
      <c r="B2747">
        <f>+ROUND(Get_Data!B2746,5)</f>
        <v>108.69986</v>
      </c>
      <c r="C2747">
        <f>+ROUND(Get_Data!C2746,5)</f>
        <v>45.667459999999998</v>
      </c>
      <c r="D2747" s="4">
        <f t="shared" si="180"/>
        <v>2.3802500000000002</v>
      </c>
      <c r="E2747" s="22">
        <f t="shared" ca="1" si="159"/>
        <v>2.4447899999999998</v>
      </c>
      <c r="F2747" s="23">
        <f t="shared" ca="1" si="160"/>
        <v>2.3302999999999998</v>
      </c>
      <c r="G2747" s="10">
        <f t="shared" ca="1" si="161"/>
        <v>0</v>
      </c>
      <c r="H2747" s="12">
        <f t="shared" ca="1" si="162"/>
        <v>0</v>
      </c>
      <c r="I2747" s="11">
        <f t="shared" ca="1" si="163"/>
        <v>0</v>
      </c>
      <c r="J2747" s="11">
        <f t="shared" ca="1" si="164"/>
        <v>-2</v>
      </c>
      <c r="K2747" s="10">
        <f t="shared" ca="1" si="174"/>
        <v>102.01456</v>
      </c>
      <c r="L2747" s="11">
        <f t="shared" ca="1" si="175"/>
        <v>-43.558860000000003</v>
      </c>
      <c r="M2747" s="11">
        <f t="shared" ca="1" si="176"/>
        <v>2.34199</v>
      </c>
      <c r="N2747" s="15">
        <f t="shared" ca="1" si="177"/>
        <v>10</v>
      </c>
      <c r="O2747" s="15">
        <f t="shared" ca="1" si="178"/>
        <v>23</v>
      </c>
      <c r="P2747" s="16">
        <f t="shared" ca="1" si="179"/>
        <v>18.29182000000003</v>
      </c>
      <c r="Q2747" s="11" t="str">
        <f t="shared" ca="1" si="165"/>
        <v/>
      </c>
      <c r="R2747" s="11" t="str">
        <f t="shared" ca="1" si="166"/>
        <v/>
      </c>
      <c r="S2747" s="61" t="str">
        <f t="shared" ca="1" si="167"/>
        <v/>
      </c>
      <c r="T2747" s="11" t="str">
        <f t="shared" ca="1" si="168"/>
        <v/>
      </c>
      <c r="U2747" s="11" t="str">
        <f t="shared" ca="1" si="169"/>
        <v/>
      </c>
      <c r="V2747" s="18" t="str">
        <f t="shared" ca="1" si="170"/>
        <v/>
      </c>
      <c r="W2747" s="61" t="str">
        <f t="shared" ca="1" si="171"/>
        <v/>
      </c>
      <c r="X2747" s="61">
        <f t="shared" ca="1" si="172"/>
        <v>0</v>
      </c>
      <c r="Y2747" s="64" t="str">
        <f t="shared" ca="1" si="173"/>
        <v/>
      </c>
    </row>
    <row r="2748" spans="1:25">
      <c r="A2748" s="2">
        <f>+Get_Data!A2747</f>
        <v>43427</v>
      </c>
      <c r="B2748">
        <f>+ROUND(Get_Data!B2747,5)</f>
        <v>108.82245</v>
      </c>
      <c r="C2748">
        <f>+ROUND(Get_Data!C2747,5)</f>
        <v>45.939230000000002</v>
      </c>
      <c r="D2748" s="4">
        <f t="shared" si="180"/>
        <v>2.36883</v>
      </c>
      <c r="E2748" s="22">
        <f t="shared" ca="1" si="159"/>
        <v>2.4447899999999998</v>
      </c>
      <c r="F2748" s="23">
        <f t="shared" ca="1" si="160"/>
        <v>2.3302999999999998</v>
      </c>
      <c r="G2748" s="10">
        <f t="shared" ca="1" si="161"/>
        <v>0</v>
      </c>
      <c r="H2748" s="12">
        <f t="shared" ca="1" si="162"/>
        <v>0</v>
      </c>
      <c r="I2748" s="11">
        <f t="shared" ca="1" si="163"/>
        <v>0</v>
      </c>
      <c r="J2748" s="11">
        <f t="shared" ca="1" si="164"/>
        <v>-2</v>
      </c>
      <c r="K2748" s="10">
        <f t="shared" ca="1" si="174"/>
        <v>102.01456</v>
      </c>
      <c r="L2748" s="11">
        <f t="shared" ca="1" si="175"/>
        <v>-43.558860000000003</v>
      </c>
      <c r="M2748" s="11">
        <f t="shared" ca="1" si="176"/>
        <v>2.34199</v>
      </c>
      <c r="N2748" s="15">
        <f t="shared" ca="1" si="177"/>
        <v>10</v>
      </c>
      <c r="O2748" s="15">
        <f t="shared" ca="1" si="178"/>
        <v>23</v>
      </c>
      <c r="P2748" s="16">
        <f t="shared" ca="1" si="179"/>
        <v>18.29182000000003</v>
      </c>
      <c r="Q2748" s="11" t="str">
        <f t="shared" ca="1" si="165"/>
        <v/>
      </c>
      <c r="R2748" s="11" t="str">
        <f t="shared" ca="1" si="166"/>
        <v/>
      </c>
      <c r="S2748" s="61" t="str">
        <f t="shared" ca="1" si="167"/>
        <v/>
      </c>
      <c r="T2748" s="11" t="str">
        <f t="shared" ca="1" si="168"/>
        <v/>
      </c>
      <c r="U2748" s="11" t="str">
        <f t="shared" ca="1" si="169"/>
        <v/>
      </c>
      <c r="V2748" s="18" t="str">
        <f t="shared" ca="1" si="170"/>
        <v/>
      </c>
      <c r="W2748" s="61" t="str">
        <f t="shared" ca="1" si="171"/>
        <v/>
      </c>
      <c r="X2748" s="61">
        <f t="shared" ca="1" si="172"/>
        <v>0</v>
      </c>
      <c r="Y2748" s="64" t="str">
        <f t="shared" ca="1" si="173"/>
        <v/>
      </c>
    </row>
    <row r="2749" spans="1:25">
      <c r="A2749" s="2">
        <f>+Get_Data!A2748</f>
        <v>43430</v>
      </c>
      <c r="B2749">
        <f>+ROUND(Get_Data!B2748,5)</f>
        <v>109.24677</v>
      </c>
      <c r="C2749">
        <f>+ROUND(Get_Data!C2748,5)</f>
        <v>45.798659999999998</v>
      </c>
      <c r="D2749" s="4">
        <f t="shared" si="180"/>
        <v>2.38537</v>
      </c>
      <c r="E2749" s="22">
        <f t="shared" ca="1" si="159"/>
        <v>2.4447899999999998</v>
      </c>
      <c r="F2749" s="23">
        <f t="shared" ca="1" si="160"/>
        <v>2.3302999999999998</v>
      </c>
      <c r="G2749" s="10">
        <f t="shared" ca="1" si="161"/>
        <v>0</v>
      </c>
      <c r="H2749" s="12">
        <f t="shared" ca="1" si="162"/>
        <v>0</v>
      </c>
      <c r="I2749" s="11">
        <f t="shared" ca="1" si="163"/>
        <v>0</v>
      </c>
      <c r="J2749" s="11">
        <f t="shared" ca="1" si="164"/>
        <v>-2</v>
      </c>
      <c r="K2749" s="10">
        <f t="shared" ca="1" si="174"/>
        <v>102.01456</v>
      </c>
      <c r="L2749" s="11">
        <f t="shared" ca="1" si="175"/>
        <v>-43.558860000000003</v>
      </c>
      <c r="M2749" s="11">
        <f t="shared" ca="1" si="176"/>
        <v>2.34199</v>
      </c>
      <c r="N2749" s="15">
        <f t="shared" ca="1" si="177"/>
        <v>10</v>
      </c>
      <c r="O2749" s="15">
        <f t="shared" ca="1" si="178"/>
        <v>23</v>
      </c>
      <c r="P2749" s="16">
        <f t="shared" ca="1" si="179"/>
        <v>18.29182000000003</v>
      </c>
      <c r="Q2749" s="11" t="str">
        <f t="shared" ca="1" si="165"/>
        <v/>
      </c>
      <c r="R2749" s="11" t="str">
        <f t="shared" ca="1" si="166"/>
        <v/>
      </c>
      <c r="S2749" s="61" t="str">
        <f t="shared" ca="1" si="167"/>
        <v/>
      </c>
      <c r="T2749" s="11" t="str">
        <f t="shared" ca="1" si="168"/>
        <v/>
      </c>
      <c r="U2749" s="11" t="str">
        <f t="shared" ca="1" si="169"/>
        <v/>
      </c>
      <c r="V2749" s="18" t="str">
        <f t="shared" ca="1" si="170"/>
        <v/>
      </c>
      <c r="W2749" s="61" t="str">
        <f t="shared" ca="1" si="171"/>
        <v/>
      </c>
      <c r="X2749" s="61">
        <f t="shared" ca="1" si="172"/>
        <v>0</v>
      </c>
      <c r="Y2749" s="64" t="str">
        <f t="shared" ca="1" si="173"/>
        <v/>
      </c>
    </row>
    <row r="2750" spans="1:25">
      <c r="A2750" s="2">
        <f>+Get_Data!A2749</f>
        <v>43431</v>
      </c>
      <c r="B2750">
        <f>+ROUND(Get_Data!B2749,5)</f>
        <v>109.79366</v>
      </c>
      <c r="C2750">
        <f>+ROUND(Get_Data!C2749,5)</f>
        <v>46.267229999999998</v>
      </c>
      <c r="D2750" s="4">
        <f t="shared" si="180"/>
        <v>2.37303</v>
      </c>
      <c r="E2750" s="22">
        <f t="shared" ca="1" si="159"/>
        <v>2.4447899999999998</v>
      </c>
      <c r="F2750" s="23">
        <f t="shared" ca="1" si="160"/>
        <v>2.3302999999999998</v>
      </c>
      <c r="G2750" s="10">
        <f t="shared" ca="1" si="161"/>
        <v>0</v>
      </c>
      <c r="H2750" s="12">
        <f t="shared" ca="1" si="162"/>
        <v>0</v>
      </c>
      <c r="I2750" s="11">
        <f t="shared" ca="1" si="163"/>
        <v>0</v>
      </c>
      <c r="J2750" s="11">
        <f t="shared" ca="1" si="164"/>
        <v>-2</v>
      </c>
      <c r="K2750" s="10">
        <f t="shared" ca="1" si="174"/>
        <v>102.01456</v>
      </c>
      <c r="L2750" s="11">
        <f t="shared" ca="1" si="175"/>
        <v>-43.558860000000003</v>
      </c>
      <c r="M2750" s="11">
        <f t="shared" ca="1" si="176"/>
        <v>2.34199</v>
      </c>
      <c r="N2750" s="15">
        <f t="shared" ca="1" si="177"/>
        <v>10</v>
      </c>
      <c r="O2750" s="15">
        <f t="shared" ca="1" si="178"/>
        <v>23</v>
      </c>
      <c r="P2750" s="16">
        <f t="shared" ca="1" si="179"/>
        <v>18.29182000000003</v>
      </c>
      <c r="Q2750" s="11" t="str">
        <f t="shared" ca="1" si="165"/>
        <v/>
      </c>
      <c r="R2750" s="11" t="str">
        <f t="shared" ca="1" si="166"/>
        <v/>
      </c>
      <c r="S2750" s="61" t="str">
        <f t="shared" ca="1" si="167"/>
        <v/>
      </c>
      <c r="T2750" s="11" t="str">
        <f t="shared" ca="1" si="168"/>
        <v/>
      </c>
      <c r="U2750" s="11" t="str">
        <f t="shared" ca="1" si="169"/>
        <v/>
      </c>
      <c r="V2750" s="18" t="str">
        <f t="shared" ca="1" si="170"/>
        <v/>
      </c>
      <c r="W2750" s="61" t="str">
        <f t="shared" ca="1" si="171"/>
        <v/>
      </c>
      <c r="X2750" s="61">
        <f t="shared" ca="1" si="172"/>
        <v>0</v>
      </c>
      <c r="Y2750" s="64" t="str">
        <f t="shared" ca="1" si="173"/>
        <v/>
      </c>
    </row>
    <row r="2751" spans="1:25">
      <c r="A2751" s="2">
        <f>+Get_Data!A2750</f>
        <v>43432</v>
      </c>
      <c r="B2751">
        <f>+ROUND(Get_Data!B2750,5)</f>
        <v>111.73608</v>
      </c>
      <c r="C2751">
        <f>+ROUND(Get_Data!C2750,5)</f>
        <v>46.58587</v>
      </c>
      <c r="D2751" s="4">
        <f t="shared" si="180"/>
        <v>2.3984999999999999</v>
      </c>
      <c r="E2751" s="22">
        <f t="shared" ca="1" si="159"/>
        <v>2.4447899999999998</v>
      </c>
      <c r="F2751" s="23">
        <f t="shared" ca="1" si="160"/>
        <v>2.3302999999999998</v>
      </c>
      <c r="G2751" s="10">
        <f t="shared" ca="1" si="161"/>
        <v>0</v>
      </c>
      <c r="H2751" s="12">
        <f t="shared" ca="1" si="162"/>
        <v>0</v>
      </c>
      <c r="I2751" s="11">
        <f t="shared" ca="1" si="163"/>
        <v>0</v>
      </c>
      <c r="J2751" s="11">
        <f t="shared" ca="1" si="164"/>
        <v>-2</v>
      </c>
      <c r="K2751" s="10">
        <f t="shared" ca="1" si="174"/>
        <v>102.01456</v>
      </c>
      <c r="L2751" s="11">
        <f t="shared" ca="1" si="175"/>
        <v>-43.558860000000003</v>
      </c>
      <c r="M2751" s="11">
        <f t="shared" ca="1" si="176"/>
        <v>2.34199</v>
      </c>
      <c r="N2751" s="15">
        <f t="shared" ca="1" si="177"/>
        <v>10</v>
      </c>
      <c r="O2751" s="15">
        <f t="shared" ca="1" si="178"/>
        <v>23</v>
      </c>
      <c r="P2751" s="16">
        <f t="shared" ca="1" si="179"/>
        <v>18.29182000000003</v>
      </c>
      <c r="Q2751" s="11" t="str">
        <f t="shared" ca="1" si="165"/>
        <v/>
      </c>
      <c r="R2751" s="11" t="str">
        <f t="shared" ca="1" si="166"/>
        <v/>
      </c>
      <c r="S2751" s="61" t="str">
        <f t="shared" ca="1" si="167"/>
        <v/>
      </c>
      <c r="T2751" s="11" t="str">
        <f t="shared" ca="1" si="168"/>
        <v/>
      </c>
      <c r="U2751" s="11" t="str">
        <f t="shared" ca="1" si="169"/>
        <v/>
      </c>
      <c r="V2751" s="18" t="str">
        <f t="shared" ca="1" si="170"/>
        <v/>
      </c>
      <c r="W2751" s="61" t="str">
        <f t="shared" ca="1" si="171"/>
        <v/>
      </c>
      <c r="X2751" s="61">
        <f t="shared" ca="1" si="172"/>
        <v>0</v>
      </c>
      <c r="Y2751" s="64" t="str">
        <f t="shared" ca="1" si="173"/>
        <v/>
      </c>
    </row>
    <row r="2752" spans="1:25">
      <c r="A2752" s="2">
        <f>+Get_Data!A2751</f>
        <v>43433</v>
      </c>
      <c r="B2752">
        <f>+ROUND(Get_Data!B2751,5)</f>
        <v>111.5192</v>
      </c>
      <c r="C2752">
        <f>+ROUND(Get_Data!C2751,5)</f>
        <v>46.264710000000001</v>
      </c>
      <c r="D2752" s="4">
        <f t="shared" si="180"/>
        <v>2.41046</v>
      </c>
      <c r="E2752" s="22">
        <f t="shared" ca="1" si="159"/>
        <v>2.4447899999999998</v>
      </c>
      <c r="F2752" s="23">
        <f t="shared" ca="1" si="160"/>
        <v>2.3302999999999998</v>
      </c>
      <c r="G2752" s="10">
        <f t="shared" ca="1" si="161"/>
        <v>0</v>
      </c>
      <c r="H2752" s="12">
        <f t="shared" ca="1" si="162"/>
        <v>0</v>
      </c>
      <c r="I2752" s="11">
        <f t="shared" ca="1" si="163"/>
        <v>0</v>
      </c>
      <c r="J2752" s="11">
        <f t="shared" ca="1" si="164"/>
        <v>-2</v>
      </c>
      <c r="K2752" s="10">
        <f t="shared" ca="1" si="174"/>
        <v>102.01456</v>
      </c>
      <c r="L2752" s="11">
        <f t="shared" ca="1" si="175"/>
        <v>-43.558860000000003</v>
      </c>
      <c r="M2752" s="11">
        <f t="shared" ca="1" si="176"/>
        <v>2.34199</v>
      </c>
      <c r="N2752" s="15">
        <f t="shared" ca="1" si="177"/>
        <v>10</v>
      </c>
      <c r="O2752" s="15">
        <f t="shared" ca="1" si="178"/>
        <v>23</v>
      </c>
      <c r="P2752" s="16">
        <f t="shared" ca="1" si="179"/>
        <v>18.29182000000003</v>
      </c>
      <c r="Q2752" s="11" t="str">
        <f t="shared" ca="1" si="165"/>
        <v/>
      </c>
      <c r="R2752" s="11" t="str">
        <f t="shared" ca="1" si="166"/>
        <v/>
      </c>
      <c r="S2752" s="61" t="str">
        <f t="shared" ca="1" si="167"/>
        <v/>
      </c>
      <c r="T2752" s="11" t="str">
        <f t="shared" ca="1" si="168"/>
        <v/>
      </c>
      <c r="U2752" s="11" t="str">
        <f t="shared" ca="1" si="169"/>
        <v/>
      </c>
      <c r="V2752" s="18" t="str">
        <f t="shared" ca="1" si="170"/>
        <v/>
      </c>
      <c r="W2752" s="61" t="str">
        <f t="shared" ca="1" si="171"/>
        <v/>
      </c>
      <c r="X2752" s="61">
        <f t="shared" ca="1" si="172"/>
        <v>0</v>
      </c>
      <c r="Y2752" s="64" t="str">
        <f t="shared" ca="1" si="173"/>
        <v/>
      </c>
    </row>
    <row r="2753" spans="1:25">
      <c r="A2753" s="2">
        <f>+Get_Data!A2752</f>
        <v>43434</v>
      </c>
      <c r="B2753">
        <f>+ROUND(Get_Data!B2752,5)</f>
        <v>114.97972</v>
      </c>
      <c r="C2753">
        <f>+ROUND(Get_Data!C2752,5)</f>
        <v>47.606000000000002</v>
      </c>
      <c r="D2753" s="4">
        <f t="shared" si="180"/>
        <v>2.4152399999999998</v>
      </c>
      <c r="E2753" s="22">
        <f t="shared" ca="1" si="159"/>
        <v>2.4447899999999998</v>
      </c>
      <c r="F2753" s="23">
        <f t="shared" ca="1" si="160"/>
        <v>2.3302999999999998</v>
      </c>
      <c r="G2753" s="10">
        <f t="shared" ca="1" si="161"/>
        <v>0</v>
      </c>
      <c r="H2753" s="12">
        <f t="shared" ca="1" si="162"/>
        <v>0</v>
      </c>
      <c r="I2753" s="11">
        <f t="shared" ca="1" si="163"/>
        <v>0</v>
      </c>
      <c r="J2753" s="11">
        <f t="shared" ca="1" si="164"/>
        <v>-2</v>
      </c>
      <c r="K2753" s="10">
        <f t="shared" ca="1" si="174"/>
        <v>102.01456</v>
      </c>
      <c r="L2753" s="11">
        <f t="shared" ca="1" si="175"/>
        <v>-43.558860000000003</v>
      </c>
      <c r="M2753" s="11">
        <f t="shared" ca="1" si="176"/>
        <v>2.34199</v>
      </c>
      <c r="N2753" s="15">
        <f t="shared" ca="1" si="177"/>
        <v>10</v>
      </c>
      <c r="O2753" s="15">
        <f t="shared" ca="1" si="178"/>
        <v>23</v>
      </c>
      <c r="P2753" s="16">
        <f t="shared" ca="1" si="179"/>
        <v>18.29182000000003</v>
      </c>
      <c r="Q2753" s="11" t="str">
        <f t="shared" ca="1" si="165"/>
        <v/>
      </c>
      <c r="R2753" s="11" t="str">
        <f t="shared" ca="1" si="166"/>
        <v/>
      </c>
      <c r="S2753" s="61" t="str">
        <f t="shared" ca="1" si="167"/>
        <v/>
      </c>
      <c r="T2753" s="11" t="str">
        <f t="shared" ca="1" si="168"/>
        <v/>
      </c>
      <c r="U2753" s="11" t="str">
        <f t="shared" ca="1" si="169"/>
        <v/>
      </c>
      <c r="V2753" s="18" t="str">
        <f t="shared" ca="1" si="170"/>
        <v/>
      </c>
      <c r="W2753" s="61" t="str">
        <f t="shared" ca="1" si="171"/>
        <v/>
      </c>
      <c r="X2753" s="61">
        <f t="shared" ca="1" si="172"/>
        <v>0</v>
      </c>
      <c r="Y2753" s="64" t="str">
        <f t="shared" ca="1" si="173"/>
        <v/>
      </c>
    </row>
    <row r="2754" spans="1:25">
      <c r="A2754" s="2">
        <f>+Get_Data!A2753</f>
        <v>43437</v>
      </c>
      <c r="B2754">
        <f>+ROUND(Get_Data!B2753,5)</f>
        <v>112.18868000000001</v>
      </c>
      <c r="C2754">
        <f>+ROUND(Get_Data!C2753,5)</f>
        <v>46.935360000000003</v>
      </c>
      <c r="D2754" s="4">
        <f t="shared" si="180"/>
        <v>2.3902800000000002</v>
      </c>
      <c r="E2754" s="22">
        <f t="shared" ca="1" si="159"/>
        <v>2.4447899999999998</v>
      </c>
      <c r="F2754" s="23">
        <f t="shared" ca="1" si="160"/>
        <v>2.3302999999999998</v>
      </c>
      <c r="G2754" s="10">
        <f t="shared" ca="1" si="161"/>
        <v>0</v>
      </c>
      <c r="H2754" s="12">
        <f t="shared" ca="1" si="162"/>
        <v>0</v>
      </c>
      <c r="I2754" s="11">
        <f t="shared" ca="1" si="163"/>
        <v>0</v>
      </c>
      <c r="J2754" s="11">
        <f t="shared" ca="1" si="164"/>
        <v>-2</v>
      </c>
      <c r="K2754" s="10">
        <f t="shared" ca="1" si="174"/>
        <v>102.01456</v>
      </c>
      <c r="L2754" s="11">
        <f t="shared" ca="1" si="175"/>
        <v>-43.558860000000003</v>
      </c>
      <c r="M2754" s="11">
        <f t="shared" ca="1" si="176"/>
        <v>2.34199</v>
      </c>
      <c r="N2754" s="15">
        <f t="shared" ca="1" si="177"/>
        <v>10</v>
      </c>
      <c r="O2754" s="15">
        <f t="shared" ca="1" si="178"/>
        <v>23</v>
      </c>
      <c r="P2754" s="16">
        <f t="shared" ca="1" si="179"/>
        <v>18.29182000000003</v>
      </c>
      <c r="Q2754" s="11" t="str">
        <f t="shared" ca="1" si="165"/>
        <v/>
      </c>
      <c r="R2754" s="11" t="str">
        <f t="shared" ca="1" si="166"/>
        <v/>
      </c>
      <c r="S2754" s="61" t="str">
        <f t="shared" ca="1" si="167"/>
        <v/>
      </c>
      <c r="T2754" s="11" t="str">
        <f t="shared" ca="1" si="168"/>
        <v/>
      </c>
      <c r="U2754" s="11" t="str">
        <f t="shared" ca="1" si="169"/>
        <v/>
      </c>
      <c r="V2754" s="18" t="str">
        <f t="shared" ca="1" si="170"/>
        <v/>
      </c>
      <c r="W2754" s="61" t="str">
        <f t="shared" ca="1" si="171"/>
        <v/>
      </c>
      <c r="X2754" s="61">
        <f t="shared" ca="1" si="172"/>
        <v>0</v>
      </c>
      <c r="Y2754" s="64" t="str">
        <f t="shared" ca="1" si="173"/>
        <v/>
      </c>
    </row>
    <row r="2755" spans="1:25">
      <c r="A2755" s="2">
        <f>+Get_Data!A2754</f>
        <v>43438</v>
      </c>
      <c r="B2755">
        <f>+ROUND(Get_Data!B2754,5)</f>
        <v>111.07605</v>
      </c>
      <c r="C2755">
        <f>+ROUND(Get_Data!C2754,5)</f>
        <v>46.83146</v>
      </c>
      <c r="D2755" s="4">
        <f t="shared" si="180"/>
        <v>2.3718300000000001</v>
      </c>
      <c r="E2755" s="22">
        <f t="shared" ca="1" si="159"/>
        <v>2.4152399999999998</v>
      </c>
      <c r="F2755" s="23">
        <f t="shared" ca="1" si="160"/>
        <v>2.3302999999999998</v>
      </c>
      <c r="G2755" s="10">
        <f t="shared" ca="1" si="161"/>
        <v>0</v>
      </c>
      <c r="H2755" s="12">
        <f t="shared" ca="1" si="162"/>
        <v>0</v>
      </c>
      <c r="I2755" s="11">
        <f t="shared" ca="1" si="163"/>
        <v>0</v>
      </c>
      <c r="J2755" s="11">
        <f t="shared" ca="1" si="164"/>
        <v>-2</v>
      </c>
      <c r="K2755" s="10">
        <f t="shared" ca="1" si="174"/>
        <v>102.01456</v>
      </c>
      <c r="L2755" s="11">
        <f t="shared" ca="1" si="175"/>
        <v>-43.558860000000003</v>
      </c>
      <c r="M2755" s="11">
        <f t="shared" ca="1" si="176"/>
        <v>2.34199</v>
      </c>
      <c r="N2755" s="15">
        <f t="shared" ca="1" si="177"/>
        <v>10</v>
      </c>
      <c r="O2755" s="15">
        <f t="shared" ca="1" si="178"/>
        <v>23</v>
      </c>
      <c r="P2755" s="16">
        <f t="shared" ca="1" si="179"/>
        <v>18.29182000000003</v>
      </c>
      <c r="Q2755" s="11" t="str">
        <f t="shared" ca="1" si="165"/>
        <v/>
      </c>
      <c r="R2755" s="11" t="str">
        <f t="shared" ca="1" si="166"/>
        <v/>
      </c>
      <c r="S2755" s="61" t="str">
        <f t="shared" ca="1" si="167"/>
        <v/>
      </c>
      <c r="T2755" s="11" t="str">
        <f t="shared" ca="1" si="168"/>
        <v/>
      </c>
      <c r="U2755" s="11" t="str">
        <f t="shared" ca="1" si="169"/>
        <v/>
      </c>
      <c r="V2755" s="18" t="str">
        <f t="shared" ca="1" si="170"/>
        <v/>
      </c>
      <c r="W2755" s="61" t="str">
        <f t="shared" ca="1" si="171"/>
        <v/>
      </c>
      <c r="X2755" s="61">
        <f t="shared" ca="1" si="172"/>
        <v>0</v>
      </c>
      <c r="Y2755" s="64" t="str">
        <f t="shared" ca="1" si="173"/>
        <v/>
      </c>
    </row>
    <row r="2756" spans="1:25">
      <c r="A2756" s="2">
        <f>+Get_Data!A2755</f>
        <v>43440</v>
      </c>
      <c r="B2756">
        <f>+ROUND(Get_Data!B2755,5)</f>
        <v>111.04562</v>
      </c>
      <c r="C2756">
        <f>+ROUND(Get_Data!C2755,5)</f>
        <v>46.642539999999997</v>
      </c>
      <c r="D2756" s="4">
        <f t="shared" si="180"/>
        <v>2.3807800000000001</v>
      </c>
      <c r="E2756" s="22">
        <f t="shared" ca="1" si="159"/>
        <v>2.4152399999999998</v>
      </c>
      <c r="F2756" s="23">
        <f t="shared" ca="1" si="160"/>
        <v>2.3302999999999998</v>
      </c>
      <c r="G2756" s="10">
        <f t="shared" ca="1" si="161"/>
        <v>0</v>
      </c>
      <c r="H2756" s="12">
        <f t="shared" ca="1" si="162"/>
        <v>0</v>
      </c>
      <c r="I2756" s="11">
        <f t="shared" ca="1" si="163"/>
        <v>0</v>
      </c>
      <c r="J2756" s="11">
        <f t="shared" ca="1" si="164"/>
        <v>-2</v>
      </c>
      <c r="K2756" s="10">
        <f t="shared" ca="1" si="174"/>
        <v>102.01456</v>
      </c>
      <c r="L2756" s="11">
        <f t="shared" ca="1" si="175"/>
        <v>-43.558860000000003</v>
      </c>
      <c r="M2756" s="11">
        <f t="shared" ca="1" si="176"/>
        <v>2.34199</v>
      </c>
      <c r="N2756" s="15">
        <f t="shared" ca="1" si="177"/>
        <v>10</v>
      </c>
      <c r="O2756" s="15">
        <f t="shared" ca="1" si="178"/>
        <v>23</v>
      </c>
      <c r="P2756" s="16">
        <f t="shared" ca="1" si="179"/>
        <v>18.29182000000003</v>
      </c>
      <c r="Q2756" s="11" t="str">
        <f t="shared" ca="1" si="165"/>
        <v/>
      </c>
      <c r="R2756" s="11" t="str">
        <f t="shared" ca="1" si="166"/>
        <v/>
      </c>
      <c r="S2756" s="61" t="str">
        <f t="shared" ca="1" si="167"/>
        <v/>
      </c>
      <c r="T2756" s="11" t="str">
        <f t="shared" ca="1" si="168"/>
        <v/>
      </c>
      <c r="U2756" s="11" t="str">
        <f t="shared" ca="1" si="169"/>
        <v/>
      </c>
      <c r="V2756" s="18" t="str">
        <f t="shared" ca="1" si="170"/>
        <v/>
      </c>
      <c r="W2756" s="61" t="str">
        <f t="shared" ca="1" si="171"/>
        <v/>
      </c>
      <c r="X2756" s="61">
        <f t="shared" ca="1" si="172"/>
        <v>0</v>
      </c>
      <c r="Y2756" s="64" t="str">
        <f t="shared" ca="1" si="173"/>
        <v/>
      </c>
    </row>
    <row r="2757" spans="1:25">
      <c r="A2757" s="2">
        <f>+Get_Data!A2756</f>
        <v>43441</v>
      </c>
      <c r="B2757">
        <f>+ROUND(Get_Data!B2756,5)</f>
        <v>110.0762</v>
      </c>
      <c r="C2757">
        <f>+ROUND(Get_Data!C2756,5)</f>
        <v>46.368609999999997</v>
      </c>
      <c r="D2757" s="4">
        <f t="shared" si="180"/>
        <v>2.3739400000000002</v>
      </c>
      <c r="E2757" s="22">
        <f t="shared" ref="E2757:E2820" ca="1" si="181">+MAX(OFFSET(D2757,-$G$2+1,,$G$2))</f>
        <v>2.4152399999999998</v>
      </c>
      <c r="F2757" s="23">
        <f t="shared" ref="F2757:F2820" ca="1" si="182">+MIN(OFFSET(D2757,-$G$2+1,,$G$2))</f>
        <v>2.3302999999999998</v>
      </c>
      <c r="G2757" s="10">
        <f t="shared" ref="G2757:G2820" ca="1" si="183">+IF(E2757=D2757,1,0)</f>
        <v>0</v>
      </c>
      <c r="H2757" s="12">
        <f t="shared" ref="H2757:H2820" ca="1" si="184">+IF(F2757=D2757,1,0)</f>
        <v>0</v>
      </c>
      <c r="I2757" s="11">
        <f t="shared" ref="I2757:I2820" ca="1" si="185">+G2757-H2757</f>
        <v>0</v>
      </c>
      <c r="J2757" s="11">
        <f t="shared" ca="1" si="164"/>
        <v>-2</v>
      </c>
      <c r="K2757" s="10">
        <f t="shared" ca="1" si="174"/>
        <v>102.01456</v>
      </c>
      <c r="L2757" s="11">
        <f t="shared" ca="1" si="175"/>
        <v>-43.558860000000003</v>
      </c>
      <c r="M2757" s="11">
        <f t="shared" ca="1" si="176"/>
        <v>2.34199</v>
      </c>
      <c r="N2757" s="15">
        <f t="shared" ca="1" si="177"/>
        <v>10</v>
      </c>
      <c r="O2757" s="15">
        <f t="shared" ca="1" si="178"/>
        <v>23</v>
      </c>
      <c r="P2757" s="16">
        <f t="shared" ca="1" si="179"/>
        <v>18.29182000000003</v>
      </c>
      <c r="Q2757" s="11" t="str">
        <f t="shared" ca="1" si="165"/>
        <v/>
      </c>
      <c r="R2757" s="11" t="str">
        <f t="shared" ca="1" si="166"/>
        <v/>
      </c>
      <c r="S2757" s="61" t="str">
        <f t="shared" ca="1" si="167"/>
        <v/>
      </c>
      <c r="T2757" s="11" t="str">
        <f t="shared" ca="1" si="168"/>
        <v/>
      </c>
      <c r="U2757" s="11" t="str">
        <f t="shared" ca="1" si="169"/>
        <v/>
      </c>
      <c r="V2757" s="18" t="str">
        <f t="shared" ca="1" si="170"/>
        <v/>
      </c>
      <c r="W2757" s="61" t="str">
        <f t="shared" ca="1" si="171"/>
        <v/>
      </c>
      <c r="X2757" s="61">
        <f t="shared" ca="1" si="172"/>
        <v>0</v>
      </c>
      <c r="Y2757" s="64" t="str">
        <f t="shared" ca="1" si="173"/>
        <v/>
      </c>
    </row>
    <row r="2758" spans="1:25">
      <c r="A2758" s="2">
        <f>+Get_Data!A2757</f>
        <v>43444</v>
      </c>
      <c r="B2758">
        <f>+ROUND(Get_Data!B2757,5)</f>
        <v>110.42786</v>
      </c>
      <c r="C2758">
        <f>+ROUND(Get_Data!C2757,5)</f>
        <v>46.510300000000001</v>
      </c>
      <c r="D2758" s="4">
        <f t="shared" si="180"/>
        <v>2.3742700000000001</v>
      </c>
      <c r="E2758" s="22">
        <f t="shared" ca="1" si="181"/>
        <v>2.4152399999999998</v>
      </c>
      <c r="F2758" s="23">
        <f t="shared" ca="1" si="182"/>
        <v>2.3302999999999998</v>
      </c>
      <c r="G2758" s="10">
        <f t="shared" ca="1" si="183"/>
        <v>0</v>
      </c>
      <c r="H2758" s="12">
        <f t="shared" ca="1" si="184"/>
        <v>0</v>
      </c>
      <c r="I2758" s="11">
        <f t="shared" ca="1" si="185"/>
        <v>0</v>
      </c>
      <c r="J2758" s="11">
        <f t="shared" ref="J2758:J2821" ca="1" si="186">+IF(AND(ABS(J2757)=2,ABS(I2758)=1),0,J2757+I2758)</f>
        <v>-2</v>
      </c>
      <c r="K2758" s="10">
        <f t="shared" ca="1" si="174"/>
        <v>102.01456</v>
      </c>
      <c r="L2758" s="11">
        <f t="shared" ca="1" si="175"/>
        <v>-43.558860000000003</v>
      </c>
      <c r="M2758" s="11">
        <f t="shared" ca="1" si="176"/>
        <v>2.34199</v>
      </c>
      <c r="N2758" s="15">
        <f t="shared" ca="1" si="177"/>
        <v>10</v>
      </c>
      <c r="O2758" s="15">
        <f t="shared" ca="1" si="178"/>
        <v>23</v>
      </c>
      <c r="P2758" s="16">
        <f t="shared" ca="1" si="179"/>
        <v>18.29182000000003</v>
      </c>
      <c r="Q2758" s="11" t="str">
        <f t="shared" ca="1" si="165"/>
        <v/>
      </c>
      <c r="R2758" s="11" t="str">
        <f t="shared" ca="1" si="166"/>
        <v/>
      </c>
      <c r="S2758" s="61" t="str">
        <f t="shared" ca="1" si="167"/>
        <v/>
      </c>
      <c r="T2758" s="11" t="str">
        <f t="shared" ca="1" si="168"/>
        <v/>
      </c>
      <c r="U2758" s="11" t="str">
        <f t="shared" ca="1" si="169"/>
        <v/>
      </c>
      <c r="V2758" s="18" t="str">
        <f t="shared" ca="1" si="170"/>
        <v/>
      </c>
      <c r="W2758" s="61" t="str">
        <f t="shared" ca="1" si="171"/>
        <v/>
      </c>
      <c r="X2758" s="61">
        <f t="shared" ca="1" si="172"/>
        <v>0</v>
      </c>
      <c r="Y2758" s="64" t="str">
        <f t="shared" ca="1" si="173"/>
        <v/>
      </c>
    </row>
    <row r="2759" spans="1:25">
      <c r="A2759" s="2">
        <f>+Get_Data!A2758</f>
        <v>43445</v>
      </c>
      <c r="B2759">
        <f>+ROUND(Get_Data!B2758,5)</f>
        <v>111.47329999999999</v>
      </c>
      <c r="C2759">
        <f>+ROUND(Get_Data!C2758,5)</f>
        <v>46.793669999999999</v>
      </c>
      <c r="D2759" s="4">
        <f t="shared" si="180"/>
        <v>2.3822299999999998</v>
      </c>
      <c r="E2759" s="22">
        <f t="shared" ca="1" si="181"/>
        <v>2.4152399999999998</v>
      </c>
      <c r="F2759" s="23">
        <f t="shared" ca="1" si="182"/>
        <v>2.3561200000000002</v>
      </c>
      <c r="G2759" s="10">
        <f t="shared" ca="1" si="183"/>
        <v>0</v>
      </c>
      <c r="H2759" s="12">
        <f t="shared" ca="1" si="184"/>
        <v>0</v>
      </c>
      <c r="I2759" s="11">
        <f t="shared" ca="1" si="185"/>
        <v>0</v>
      </c>
      <c r="J2759" s="11">
        <f t="shared" ca="1" si="186"/>
        <v>-2</v>
      </c>
      <c r="K2759" s="10">
        <f t="shared" ca="1" si="174"/>
        <v>102.01456</v>
      </c>
      <c r="L2759" s="11">
        <f t="shared" ca="1" si="175"/>
        <v>-43.558860000000003</v>
      </c>
      <c r="M2759" s="11">
        <f t="shared" ca="1" si="176"/>
        <v>2.34199</v>
      </c>
      <c r="N2759" s="15">
        <f t="shared" ca="1" si="177"/>
        <v>10</v>
      </c>
      <c r="O2759" s="15">
        <f t="shared" ca="1" si="178"/>
        <v>23</v>
      </c>
      <c r="P2759" s="16">
        <f t="shared" ca="1" si="179"/>
        <v>18.29182000000003</v>
      </c>
      <c r="Q2759" s="11" t="str">
        <f t="shared" ca="1" si="165"/>
        <v/>
      </c>
      <c r="R2759" s="11" t="str">
        <f t="shared" ca="1" si="166"/>
        <v/>
      </c>
      <c r="S2759" s="61" t="str">
        <f t="shared" ca="1" si="167"/>
        <v/>
      </c>
      <c r="T2759" s="11" t="str">
        <f t="shared" ca="1" si="168"/>
        <v/>
      </c>
      <c r="U2759" s="11" t="str">
        <f t="shared" ca="1" si="169"/>
        <v/>
      </c>
      <c r="V2759" s="18" t="str">
        <f t="shared" ca="1" si="170"/>
        <v/>
      </c>
      <c r="W2759" s="61" t="str">
        <f t="shared" ca="1" si="171"/>
        <v/>
      </c>
      <c r="X2759" s="61">
        <f t="shared" ca="1" si="172"/>
        <v>0</v>
      </c>
      <c r="Y2759" s="64" t="str">
        <f t="shared" ca="1" si="173"/>
        <v/>
      </c>
    </row>
    <row r="2760" spans="1:25">
      <c r="A2760" s="2">
        <f>+Get_Data!A2759</f>
        <v>43446</v>
      </c>
      <c r="B2760">
        <f>+ROUND(Get_Data!B2759,5)</f>
        <v>111.19768999999999</v>
      </c>
      <c r="C2760">
        <f>+ROUND(Get_Data!C2759,5)</f>
        <v>46.491410000000002</v>
      </c>
      <c r="D2760" s="4">
        <f t="shared" si="180"/>
        <v>2.3917899999999999</v>
      </c>
      <c r="E2760" s="22">
        <f t="shared" ca="1" si="181"/>
        <v>2.4152399999999998</v>
      </c>
      <c r="F2760" s="23">
        <f t="shared" ca="1" si="182"/>
        <v>2.3561200000000002</v>
      </c>
      <c r="G2760" s="10">
        <f t="shared" ca="1" si="183"/>
        <v>0</v>
      </c>
      <c r="H2760" s="12">
        <f t="shared" ca="1" si="184"/>
        <v>0</v>
      </c>
      <c r="I2760" s="11">
        <f t="shared" ca="1" si="185"/>
        <v>0</v>
      </c>
      <c r="J2760" s="11">
        <f t="shared" ca="1" si="186"/>
        <v>-2</v>
      </c>
      <c r="K2760" s="10">
        <f t="shared" ca="1" si="174"/>
        <v>102.01456</v>
      </c>
      <c r="L2760" s="11">
        <f t="shared" ca="1" si="175"/>
        <v>-43.558860000000003</v>
      </c>
      <c r="M2760" s="11">
        <f t="shared" ca="1" si="176"/>
        <v>2.34199</v>
      </c>
      <c r="N2760" s="15">
        <f t="shared" ca="1" si="177"/>
        <v>10</v>
      </c>
      <c r="O2760" s="15">
        <f t="shared" ca="1" si="178"/>
        <v>23</v>
      </c>
      <c r="P2760" s="16">
        <f t="shared" ca="1" si="179"/>
        <v>18.29182000000003</v>
      </c>
      <c r="Q2760" s="11" t="str">
        <f t="shared" ca="1" si="165"/>
        <v/>
      </c>
      <c r="R2760" s="11" t="str">
        <f t="shared" ca="1" si="166"/>
        <v/>
      </c>
      <c r="S2760" s="61" t="str">
        <f t="shared" ca="1" si="167"/>
        <v/>
      </c>
      <c r="T2760" s="11" t="str">
        <f t="shared" ca="1" si="168"/>
        <v/>
      </c>
      <c r="U2760" s="11" t="str">
        <f t="shared" ca="1" si="169"/>
        <v/>
      </c>
      <c r="V2760" s="18" t="str">
        <f t="shared" ca="1" si="170"/>
        <v/>
      </c>
      <c r="W2760" s="61" t="str">
        <f t="shared" ca="1" si="171"/>
        <v/>
      </c>
      <c r="X2760" s="61">
        <f t="shared" ca="1" si="172"/>
        <v>0</v>
      </c>
      <c r="Y2760" s="64" t="str">
        <f t="shared" ca="1" si="173"/>
        <v/>
      </c>
    </row>
    <row r="2761" spans="1:25">
      <c r="A2761" s="2">
        <f>+Get_Data!A2760</f>
        <v>43447</v>
      </c>
      <c r="B2761">
        <f>+ROUND(Get_Data!B2760,5)</f>
        <v>112.48072999999999</v>
      </c>
      <c r="C2761">
        <f>+ROUND(Get_Data!C2760,5)</f>
        <v>46.727550000000001</v>
      </c>
      <c r="D2761" s="4">
        <f t="shared" si="180"/>
        <v>2.4071600000000002</v>
      </c>
      <c r="E2761" s="22">
        <f t="shared" ca="1" si="181"/>
        <v>2.4152399999999998</v>
      </c>
      <c r="F2761" s="23">
        <f t="shared" ca="1" si="182"/>
        <v>2.3561200000000002</v>
      </c>
      <c r="G2761" s="10">
        <f t="shared" ca="1" si="183"/>
        <v>0</v>
      </c>
      <c r="H2761" s="12">
        <f t="shared" ca="1" si="184"/>
        <v>0</v>
      </c>
      <c r="I2761" s="11">
        <f t="shared" ca="1" si="185"/>
        <v>0</v>
      </c>
      <c r="J2761" s="11">
        <f t="shared" ca="1" si="186"/>
        <v>-2</v>
      </c>
      <c r="K2761" s="10">
        <f t="shared" ca="1" si="174"/>
        <v>102.01456</v>
      </c>
      <c r="L2761" s="11">
        <f t="shared" ca="1" si="175"/>
        <v>-43.558860000000003</v>
      </c>
      <c r="M2761" s="11">
        <f t="shared" ca="1" si="176"/>
        <v>2.34199</v>
      </c>
      <c r="N2761" s="15">
        <f t="shared" ca="1" si="177"/>
        <v>10</v>
      </c>
      <c r="O2761" s="15">
        <f t="shared" ca="1" si="178"/>
        <v>23</v>
      </c>
      <c r="P2761" s="16">
        <f t="shared" ca="1" si="179"/>
        <v>18.29182000000003</v>
      </c>
      <c r="Q2761" s="11" t="str">
        <f t="shared" ca="1" si="165"/>
        <v/>
      </c>
      <c r="R2761" s="11" t="str">
        <f t="shared" ca="1" si="166"/>
        <v/>
      </c>
      <c r="S2761" s="61" t="str">
        <f t="shared" ca="1" si="167"/>
        <v/>
      </c>
      <c r="T2761" s="11" t="str">
        <f t="shared" ca="1" si="168"/>
        <v/>
      </c>
      <c r="U2761" s="11" t="str">
        <f t="shared" ca="1" si="169"/>
        <v/>
      </c>
      <c r="V2761" s="18" t="str">
        <f t="shared" ca="1" si="170"/>
        <v/>
      </c>
      <c r="W2761" s="61" t="str">
        <f t="shared" ca="1" si="171"/>
        <v/>
      </c>
      <c r="X2761" s="61">
        <f t="shared" ca="1" si="172"/>
        <v>0</v>
      </c>
      <c r="Y2761" s="64" t="str">
        <f t="shared" ca="1" si="173"/>
        <v/>
      </c>
    </row>
    <row r="2762" spans="1:25">
      <c r="A2762" s="2">
        <f>+Get_Data!A2761</f>
        <v>43448</v>
      </c>
      <c r="B2762">
        <f>+ROUND(Get_Data!B2761,5)</f>
        <v>108.29894</v>
      </c>
      <c r="C2762">
        <f>+ROUND(Get_Data!C2761,5)</f>
        <v>46.604759999999999</v>
      </c>
      <c r="D2762" s="4">
        <f t="shared" si="180"/>
        <v>2.3237700000000001</v>
      </c>
      <c r="E2762" s="22">
        <f t="shared" ca="1" si="181"/>
        <v>2.4152399999999998</v>
      </c>
      <c r="F2762" s="23">
        <f t="shared" ca="1" si="182"/>
        <v>2.3237700000000001</v>
      </c>
      <c r="G2762" s="10">
        <f t="shared" ca="1" si="183"/>
        <v>0</v>
      </c>
      <c r="H2762" s="12">
        <f t="shared" ca="1" si="184"/>
        <v>1</v>
      </c>
      <c r="I2762" s="11">
        <f t="shared" ca="1" si="185"/>
        <v>-1</v>
      </c>
      <c r="J2762" s="11">
        <f t="shared" ca="1" si="186"/>
        <v>0</v>
      </c>
      <c r="K2762" s="10">
        <f t="shared" ca="1" si="174"/>
        <v>102.01456</v>
      </c>
      <c r="L2762" s="11">
        <f t="shared" ca="1" si="175"/>
        <v>-43.558860000000003</v>
      </c>
      <c r="M2762" s="11">
        <f t="shared" ca="1" si="176"/>
        <v>2.34199</v>
      </c>
      <c r="N2762" s="15">
        <f t="shared" ca="1" si="177"/>
        <v>10</v>
      </c>
      <c r="O2762" s="15">
        <f t="shared" ca="1" si="178"/>
        <v>23</v>
      </c>
      <c r="P2762" s="16">
        <f t="shared" ca="1" si="179"/>
        <v>18.29182000000003</v>
      </c>
      <c r="Q2762" s="11" t="str">
        <f t="shared" ca="1" si="165"/>
        <v/>
      </c>
      <c r="R2762" s="11" t="str">
        <f t="shared" ca="1" si="166"/>
        <v/>
      </c>
      <c r="S2762" s="61" t="str">
        <f t="shared" ca="1" si="167"/>
        <v/>
      </c>
      <c r="T2762" s="11" t="str">
        <f t="shared" ca="1" si="168"/>
        <v/>
      </c>
      <c r="U2762" s="11" t="str">
        <f t="shared" ca="1" si="169"/>
        <v/>
      </c>
      <c r="V2762" s="18" t="str">
        <f t="shared" ca="1" si="170"/>
        <v/>
      </c>
      <c r="W2762" s="61" t="str">
        <f t="shared" ca="1" si="171"/>
        <v/>
      </c>
      <c r="X2762" s="61">
        <f t="shared" ca="1" si="172"/>
        <v>0</v>
      </c>
      <c r="Y2762" s="64" t="str">
        <f t="shared" ca="1" si="173"/>
        <v/>
      </c>
    </row>
    <row r="2763" spans="1:25">
      <c r="A2763" s="2">
        <f>+Get_Data!A2762</f>
        <v>43451</v>
      </c>
      <c r="B2763">
        <f>+ROUND(Get_Data!B2762,5)</f>
        <v>107.27251</v>
      </c>
      <c r="C2763">
        <f>+ROUND(Get_Data!C2762,5)</f>
        <v>45.650750000000002</v>
      </c>
      <c r="D2763" s="4">
        <f t="shared" si="180"/>
        <v>2.34985</v>
      </c>
      <c r="E2763" s="22">
        <f t="shared" ca="1" si="181"/>
        <v>2.4152399999999998</v>
      </c>
      <c r="F2763" s="23">
        <f t="shared" ca="1" si="182"/>
        <v>2.3237700000000001</v>
      </c>
      <c r="G2763" s="10">
        <f t="shared" ca="1" si="183"/>
        <v>0</v>
      </c>
      <c r="H2763" s="12">
        <f t="shared" ca="1" si="184"/>
        <v>0</v>
      </c>
      <c r="I2763" s="11">
        <f t="shared" ca="1" si="185"/>
        <v>0</v>
      </c>
      <c r="J2763" s="11">
        <f t="shared" ca="1" si="186"/>
        <v>0</v>
      </c>
      <c r="K2763" s="10" t="str">
        <f t="shared" ca="1" si="174"/>
        <v/>
      </c>
      <c r="L2763" s="11" t="str">
        <f t="shared" ca="1" si="175"/>
        <v/>
      </c>
      <c r="M2763" s="11" t="str">
        <f t="shared" ca="1" si="176"/>
        <v/>
      </c>
      <c r="N2763" s="15" t="str">
        <f t="shared" ca="1" si="177"/>
        <v/>
      </c>
      <c r="O2763" s="15" t="str">
        <f t="shared" ca="1" si="178"/>
        <v/>
      </c>
      <c r="P2763" s="16" t="str">
        <f t="shared" ca="1" si="179"/>
        <v/>
      </c>
      <c r="Q2763" s="11">
        <f t="shared" ca="1" si="165"/>
        <v>107.27251</v>
      </c>
      <c r="R2763" s="11">
        <f t="shared" ca="1" si="166"/>
        <v>45.650750000000002</v>
      </c>
      <c r="S2763" s="61">
        <f t="shared" ca="1" si="167"/>
        <v>2.34985</v>
      </c>
      <c r="T2763" s="11">
        <f t="shared" ca="1" si="168"/>
        <v>10</v>
      </c>
      <c r="U2763" s="11">
        <f t="shared" ca="1" si="169"/>
        <v>23</v>
      </c>
      <c r="V2763" s="18">
        <f t="shared" ca="1" si="170"/>
        <v>-52.579499999999939</v>
      </c>
      <c r="W2763" s="61">
        <f t="shared" ca="1" si="171"/>
        <v>48.113469999999985</v>
      </c>
      <c r="X2763" s="61">
        <f t="shared" ca="1" si="172"/>
        <v>-4.4660299999999538</v>
      </c>
      <c r="Y2763" s="64">
        <f t="shared" ca="1" si="173"/>
        <v>-4.2534945732830747E-3</v>
      </c>
    </row>
    <row r="2764" spans="1:25">
      <c r="A2764" s="2">
        <f>+Get_Data!A2763</f>
        <v>43452</v>
      </c>
      <c r="B2764">
        <f>+ROUND(Get_Data!B2763,5)</f>
        <v>106.29358000000001</v>
      </c>
      <c r="C2764">
        <f>+ROUND(Get_Data!C2763,5)</f>
        <v>45.641300000000001</v>
      </c>
      <c r="D2764" s="4">
        <f t="shared" si="180"/>
        <v>2.3288899999999999</v>
      </c>
      <c r="E2764" s="22">
        <f t="shared" ca="1" si="181"/>
        <v>2.4152399999999998</v>
      </c>
      <c r="F2764" s="23">
        <f t="shared" ca="1" si="182"/>
        <v>2.3237700000000001</v>
      </c>
      <c r="G2764" s="10">
        <f t="shared" ca="1" si="183"/>
        <v>0</v>
      </c>
      <c r="H2764" s="12">
        <f t="shared" ca="1" si="184"/>
        <v>0</v>
      </c>
      <c r="I2764" s="11">
        <f t="shared" ca="1" si="185"/>
        <v>0</v>
      </c>
      <c r="J2764" s="11">
        <f t="shared" ca="1" si="186"/>
        <v>0</v>
      </c>
      <c r="K2764" s="10" t="str">
        <f t="shared" ca="1" si="174"/>
        <v/>
      </c>
      <c r="L2764" s="11" t="str">
        <f t="shared" ca="1" si="175"/>
        <v/>
      </c>
      <c r="M2764" s="11" t="str">
        <f t="shared" ca="1" si="176"/>
        <v/>
      </c>
      <c r="N2764" s="15" t="str">
        <f t="shared" ca="1" si="177"/>
        <v/>
      </c>
      <c r="O2764" s="15" t="str">
        <f t="shared" ca="1" si="178"/>
        <v/>
      </c>
      <c r="P2764" s="16" t="str">
        <f t="shared" ca="1" si="179"/>
        <v/>
      </c>
      <c r="Q2764" s="11" t="str">
        <f t="shared" ca="1" si="165"/>
        <v/>
      </c>
      <c r="R2764" s="11" t="str">
        <f t="shared" ca="1" si="166"/>
        <v/>
      </c>
      <c r="S2764" s="61" t="str">
        <f t="shared" ca="1" si="167"/>
        <v/>
      </c>
      <c r="T2764" s="11" t="str">
        <f t="shared" ca="1" si="168"/>
        <v/>
      </c>
      <c r="U2764" s="11" t="str">
        <f t="shared" ca="1" si="169"/>
        <v/>
      </c>
      <c r="V2764" s="18" t="str">
        <f t="shared" ca="1" si="170"/>
        <v/>
      </c>
      <c r="W2764" s="61" t="str">
        <f t="shared" ca="1" si="171"/>
        <v/>
      </c>
      <c r="X2764" s="61">
        <f t="shared" ca="1" si="172"/>
        <v>0</v>
      </c>
      <c r="Y2764" s="64" t="str">
        <f t="shared" ca="1" si="173"/>
        <v/>
      </c>
    </row>
    <row r="2765" spans="1:25">
      <c r="A2765" s="2">
        <f>+Get_Data!A2764</f>
        <v>43453</v>
      </c>
      <c r="B2765">
        <f>+ROUND(Get_Data!B2764,5)</f>
        <v>104.58284999999999</v>
      </c>
      <c r="C2765">
        <f>+ROUND(Get_Data!C2764,5)</f>
        <v>45.244579999999999</v>
      </c>
      <c r="D2765" s="4">
        <f t="shared" si="180"/>
        <v>2.3115000000000001</v>
      </c>
      <c r="E2765" s="22">
        <f t="shared" ca="1" si="181"/>
        <v>2.4152399999999998</v>
      </c>
      <c r="F2765" s="23">
        <f t="shared" ca="1" si="182"/>
        <v>2.3115000000000001</v>
      </c>
      <c r="G2765" s="10">
        <f t="shared" ca="1" si="183"/>
        <v>0</v>
      </c>
      <c r="H2765" s="12">
        <f t="shared" ca="1" si="184"/>
        <v>1</v>
      </c>
      <c r="I2765" s="11">
        <f t="shared" ca="1" si="185"/>
        <v>-1</v>
      </c>
      <c r="J2765" s="11">
        <f t="shared" ca="1" si="186"/>
        <v>-1</v>
      </c>
      <c r="K2765" s="10" t="str">
        <f t="shared" ca="1" si="174"/>
        <v/>
      </c>
      <c r="L2765" s="11" t="str">
        <f t="shared" ca="1" si="175"/>
        <v/>
      </c>
      <c r="M2765" s="11" t="str">
        <f t="shared" ca="1" si="176"/>
        <v/>
      </c>
      <c r="N2765" s="15" t="str">
        <f t="shared" ca="1" si="177"/>
        <v/>
      </c>
      <c r="O2765" s="15" t="str">
        <f t="shared" ca="1" si="178"/>
        <v/>
      </c>
      <c r="P2765" s="16" t="str">
        <f t="shared" ca="1" si="179"/>
        <v/>
      </c>
      <c r="Q2765" s="11" t="str">
        <f t="shared" ca="1" si="165"/>
        <v/>
      </c>
      <c r="R2765" s="11" t="str">
        <f t="shared" ca="1" si="166"/>
        <v/>
      </c>
      <c r="S2765" s="61" t="str">
        <f t="shared" ca="1" si="167"/>
        <v/>
      </c>
      <c r="T2765" s="11" t="str">
        <f t="shared" ca="1" si="168"/>
        <v/>
      </c>
      <c r="U2765" s="11" t="str">
        <f t="shared" ca="1" si="169"/>
        <v/>
      </c>
      <c r="V2765" s="18" t="str">
        <f t="shared" ca="1" si="170"/>
        <v/>
      </c>
      <c r="W2765" s="61" t="str">
        <f t="shared" ca="1" si="171"/>
        <v/>
      </c>
      <c r="X2765" s="61">
        <f t="shared" ca="1" si="172"/>
        <v>0</v>
      </c>
      <c r="Y2765" s="64" t="str">
        <f t="shared" ca="1" si="173"/>
        <v/>
      </c>
    </row>
    <row r="2766" spans="1:25">
      <c r="A2766" s="2">
        <f>+Get_Data!A2765</f>
        <v>43454</v>
      </c>
      <c r="B2766">
        <f>+ROUND(Get_Data!B2765,5)</f>
        <v>104.74442000000001</v>
      </c>
      <c r="C2766">
        <f>+ROUND(Get_Data!C2765,5)</f>
        <v>44.90455</v>
      </c>
      <c r="D2766" s="4">
        <f t="shared" si="180"/>
        <v>2.3325999999999998</v>
      </c>
      <c r="E2766" s="22">
        <f t="shared" ca="1" si="181"/>
        <v>2.4152399999999998</v>
      </c>
      <c r="F2766" s="23">
        <f t="shared" ca="1" si="182"/>
        <v>2.3115000000000001</v>
      </c>
      <c r="G2766" s="10">
        <f t="shared" ca="1" si="183"/>
        <v>0</v>
      </c>
      <c r="H2766" s="12">
        <f t="shared" ca="1" si="184"/>
        <v>0</v>
      </c>
      <c r="I2766" s="11">
        <f t="shared" ca="1" si="185"/>
        <v>0</v>
      </c>
      <c r="J2766" s="11">
        <f t="shared" ca="1" si="186"/>
        <v>-1</v>
      </c>
      <c r="K2766" s="10">
        <f t="shared" ca="1" si="174"/>
        <v>104.74442000000001</v>
      </c>
      <c r="L2766" s="11">
        <f t="shared" ca="1" si="175"/>
        <v>-44.90455</v>
      </c>
      <c r="M2766" s="11">
        <f t="shared" ca="1" si="176"/>
        <v>2.3325999999999998</v>
      </c>
      <c r="N2766" s="15">
        <f t="shared" ca="1" si="177"/>
        <v>10</v>
      </c>
      <c r="O2766" s="15">
        <f t="shared" ca="1" si="178"/>
        <v>23</v>
      </c>
      <c r="P2766" s="16">
        <f t="shared" ca="1" si="179"/>
        <v>14.639550000000099</v>
      </c>
      <c r="Q2766" s="11" t="str">
        <f t="shared" ca="1" si="165"/>
        <v/>
      </c>
      <c r="R2766" s="11" t="str">
        <f t="shared" ca="1" si="166"/>
        <v/>
      </c>
      <c r="S2766" s="61" t="str">
        <f t="shared" ca="1" si="167"/>
        <v/>
      </c>
      <c r="T2766" s="11" t="str">
        <f t="shared" ca="1" si="168"/>
        <v/>
      </c>
      <c r="U2766" s="11" t="str">
        <f t="shared" ca="1" si="169"/>
        <v/>
      </c>
      <c r="V2766" s="18" t="str">
        <f t="shared" ca="1" si="170"/>
        <v/>
      </c>
      <c r="W2766" s="61" t="str">
        <f t="shared" ca="1" si="171"/>
        <v/>
      </c>
      <c r="X2766" s="61">
        <f t="shared" ca="1" si="172"/>
        <v>0</v>
      </c>
      <c r="Y2766" s="64" t="str">
        <f t="shared" ca="1" si="173"/>
        <v/>
      </c>
    </row>
    <row r="2767" spans="1:25">
      <c r="A2767" s="2">
        <f>+Get_Data!A2766</f>
        <v>43455</v>
      </c>
      <c r="B2767">
        <f>+ROUND(Get_Data!B2766,5)</f>
        <v>103.9936</v>
      </c>
      <c r="C2767">
        <f>+ROUND(Get_Data!C2766,5)</f>
        <v>44.932879999999997</v>
      </c>
      <c r="D2767" s="4">
        <f t="shared" si="180"/>
        <v>2.3144200000000001</v>
      </c>
      <c r="E2767" s="22">
        <f t="shared" ca="1" si="181"/>
        <v>2.4152399999999998</v>
      </c>
      <c r="F2767" s="23">
        <f t="shared" ca="1" si="182"/>
        <v>2.3115000000000001</v>
      </c>
      <c r="G2767" s="10">
        <f t="shared" ca="1" si="183"/>
        <v>0</v>
      </c>
      <c r="H2767" s="12">
        <f t="shared" ca="1" si="184"/>
        <v>0</v>
      </c>
      <c r="I2767" s="11">
        <f t="shared" ca="1" si="185"/>
        <v>0</v>
      </c>
      <c r="J2767" s="11">
        <f t="shared" ca="1" si="186"/>
        <v>-1</v>
      </c>
      <c r="K2767" s="10">
        <f t="shared" ca="1" si="174"/>
        <v>104.74442000000001</v>
      </c>
      <c r="L2767" s="11">
        <f t="shared" ca="1" si="175"/>
        <v>-44.90455</v>
      </c>
      <c r="M2767" s="11">
        <f t="shared" ca="1" si="176"/>
        <v>2.3325999999999998</v>
      </c>
      <c r="N2767" s="15">
        <f t="shared" ca="1" si="177"/>
        <v>10</v>
      </c>
      <c r="O2767" s="15">
        <f t="shared" ca="1" si="178"/>
        <v>23</v>
      </c>
      <c r="P2767" s="16">
        <f t="shared" ca="1" si="179"/>
        <v>14.639550000000099</v>
      </c>
      <c r="Q2767" s="11" t="str">
        <f t="shared" ca="1" si="165"/>
        <v/>
      </c>
      <c r="R2767" s="11" t="str">
        <f t="shared" ca="1" si="166"/>
        <v/>
      </c>
      <c r="S2767" s="61" t="str">
        <f t="shared" ca="1" si="167"/>
        <v/>
      </c>
      <c r="T2767" s="11" t="str">
        <f t="shared" ca="1" si="168"/>
        <v/>
      </c>
      <c r="U2767" s="11" t="str">
        <f t="shared" ca="1" si="169"/>
        <v/>
      </c>
      <c r="V2767" s="18" t="str">
        <f t="shared" ca="1" si="170"/>
        <v/>
      </c>
      <c r="W2767" s="61" t="str">
        <f t="shared" ca="1" si="171"/>
        <v/>
      </c>
      <c r="X2767" s="61">
        <f t="shared" ca="1" si="172"/>
        <v>0</v>
      </c>
      <c r="Y2767" s="64" t="str">
        <f t="shared" ca="1" si="173"/>
        <v/>
      </c>
    </row>
    <row r="2768" spans="1:25">
      <c r="A2768" s="2">
        <f>+Get_Data!A2767</f>
        <v>43458</v>
      </c>
      <c r="B2768">
        <f>+ROUND(Get_Data!B2767,5)</f>
        <v>100.77171</v>
      </c>
      <c r="C2768">
        <f>+ROUND(Get_Data!C2767,5)</f>
        <v>43.412140000000001</v>
      </c>
      <c r="D2768" s="4">
        <f t="shared" si="180"/>
        <v>2.3212799999999998</v>
      </c>
      <c r="E2768" s="22">
        <f t="shared" ca="1" si="181"/>
        <v>2.4152399999999998</v>
      </c>
      <c r="F2768" s="23">
        <f t="shared" ca="1" si="182"/>
        <v>2.3115000000000001</v>
      </c>
      <c r="G2768" s="10">
        <f t="shared" ca="1" si="183"/>
        <v>0</v>
      </c>
      <c r="H2768" s="12">
        <f t="shared" ca="1" si="184"/>
        <v>0</v>
      </c>
      <c r="I2768" s="11">
        <f t="shared" ca="1" si="185"/>
        <v>0</v>
      </c>
      <c r="J2768" s="11">
        <f t="shared" ca="1" si="186"/>
        <v>-1</v>
      </c>
      <c r="K2768" s="10">
        <f t="shared" ca="1" si="174"/>
        <v>104.74442000000001</v>
      </c>
      <c r="L2768" s="11">
        <f t="shared" ca="1" si="175"/>
        <v>-44.90455</v>
      </c>
      <c r="M2768" s="11">
        <f t="shared" ca="1" si="176"/>
        <v>2.3325999999999998</v>
      </c>
      <c r="N2768" s="15">
        <f t="shared" ca="1" si="177"/>
        <v>10</v>
      </c>
      <c r="O2768" s="15">
        <f t="shared" ca="1" si="178"/>
        <v>23</v>
      </c>
      <c r="P2768" s="16">
        <f t="shared" ca="1" si="179"/>
        <v>14.639550000000099</v>
      </c>
      <c r="Q2768" s="11" t="str">
        <f t="shared" ca="1" si="165"/>
        <v/>
      </c>
      <c r="R2768" s="11" t="str">
        <f t="shared" ca="1" si="166"/>
        <v/>
      </c>
      <c r="S2768" s="61" t="str">
        <f t="shared" ca="1" si="167"/>
        <v/>
      </c>
      <c r="T2768" s="11" t="str">
        <f t="shared" ca="1" si="168"/>
        <v/>
      </c>
      <c r="U2768" s="11" t="str">
        <f t="shared" ca="1" si="169"/>
        <v/>
      </c>
      <c r="V2768" s="18" t="str">
        <f t="shared" ca="1" si="170"/>
        <v/>
      </c>
      <c r="W2768" s="61" t="str">
        <f t="shared" ca="1" si="171"/>
        <v/>
      </c>
      <c r="X2768" s="61">
        <f t="shared" ca="1" si="172"/>
        <v>0</v>
      </c>
      <c r="Y2768" s="64" t="str">
        <f t="shared" ca="1" si="173"/>
        <v/>
      </c>
    </row>
    <row r="2769" spans="1:25">
      <c r="A2769" s="2">
        <f>+Get_Data!A2768</f>
        <v>43460</v>
      </c>
      <c r="B2769">
        <f>+ROUND(Get_Data!B2768,5)</f>
        <v>102.95765</v>
      </c>
      <c r="C2769">
        <f>+ROUND(Get_Data!C2768,5)</f>
        <v>44.337800000000001</v>
      </c>
      <c r="D2769" s="4">
        <f t="shared" si="180"/>
        <v>2.32212</v>
      </c>
      <c r="E2769" s="22">
        <f t="shared" ca="1" si="181"/>
        <v>2.4152399999999998</v>
      </c>
      <c r="F2769" s="23">
        <f t="shared" ca="1" si="182"/>
        <v>2.3115000000000001</v>
      </c>
      <c r="G2769" s="10">
        <f t="shared" ca="1" si="183"/>
        <v>0</v>
      </c>
      <c r="H2769" s="12">
        <f t="shared" ca="1" si="184"/>
        <v>0</v>
      </c>
      <c r="I2769" s="11">
        <f t="shared" ca="1" si="185"/>
        <v>0</v>
      </c>
      <c r="J2769" s="11">
        <f t="shared" ca="1" si="186"/>
        <v>-1</v>
      </c>
      <c r="K2769" s="10">
        <f t="shared" ca="1" si="174"/>
        <v>104.74442000000001</v>
      </c>
      <c r="L2769" s="11">
        <f t="shared" ca="1" si="175"/>
        <v>-44.90455</v>
      </c>
      <c r="M2769" s="11">
        <f t="shared" ca="1" si="176"/>
        <v>2.3325999999999998</v>
      </c>
      <c r="N2769" s="15">
        <f t="shared" ca="1" si="177"/>
        <v>10</v>
      </c>
      <c r="O2769" s="15">
        <f t="shared" ca="1" si="178"/>
        <v>23</v>
      </c>
      <c r="P2769" s="16">
        <f t="shared" ca="1" si="179"/>
        <v>14.639550000000099</v>
      </c>
      <c r="Q2769" s="11" t="str">
        <f t="shared" ca="1" si="165"/>
        <v/>
      </c>
      <c r="R2769" s="11" t="str">
        <f t="shared" ca="1" si="166"/>
        <v/>
      </c>
      <c r="S2769" s="61" t="str">
        <f t="shared" ca="1" si="167"/>
        <v/>
      </c>
      <c r="T2769" s="11" t="str">
        <f t="shared" ca="1" si="168"/>
        <v/>
      </c>
      <c r="U2769" s="11" t="str">
        <f t="shared" ca="1" si="169"/>
        <v/>
      </c>
      <c r="V2769" s="18" t="str">
        <f t="shared" ca="1" si="170"/>
        <v/>
      </c>
      <c r="W2769" s="61" t="str">
        <f t="shared" ca="1" si="171"/>
        <v/>
      </c>
      <c r="X2769" s="61">
        <f t="shared" ca="1" si="172"/>
        <v>0</v>
      </c>
      <c r="Y2769" s="64" t="str">
        <f t="shared" ca="1" si="173"/>
        <v/>
      </c>
    </row>
    <row r="2770" spans="1:25">
      <c r="A2770" s="2">
        <f>+Get_Data!A2769</f>
        <v>43461</v>
      </c>
      <c r="B2770">
        <f>+ROUND(Get_Data!B2769,5)</f>
        <v>103.9936</v>
      </c>
      <c r="C2770">
        <f>+ROUND(Get_Data!C2769,5)</f>
        <v>44.895099999999999</v>
      </c>
      <c r="D2770" s="4">
        <f t="shared" si="180"/>
        <v>2.31637</v>
      </c>
      <c r="E2770" s="22">
        <f t="shared" ca="1" si="181"/>
        <v>2.4152399999999998</v>
      </c>
      <c r="F2770" s="23">
        <f t="shared" ca="1" si="182"/>
        <v>2.3115000000000001</v>
      </c>
      <c r="G2770" s="10">
        <f t="shared" ca="1" si="183"/>
        <v>0</v>
      </c>
      <c r="H2770" s="12">
        <f t="shared" ca="1" si="184"/>
        <v>0</v>
      </c>
      <c r="I2770" s="11">
        <f t="shared" ca="1" si="185"/>
        <v>0</v>
      </c>
      <c r="J2770" s="11">
        <f t="shared" ca="1" si="186"/>
        <v>-1</v>
      </c>
      <c r="K2770" s="10">
        <f t="shared" ca="1" si="174"/>
        <v>104.74442000000001</v>
      </c>
      <c r="L2770" s="11">
        <f t="shared" ca="1" si="175"/>
        <v>-44.90455</v>
      </c>
      <c r="M2770" s="11">
        <f t="shared" ca="1" si="176"/>
        <v>2.3325999999999998</v>
      </c>
      <c r="N2770" s="15">
        <f t="shared" ca="1" si="177"/>
        <v>10</v>
      </c>
      <c r="O2770" s="15">
        <f t="shared" ca="1" si="178"/>
        <v>23</v>
      </c>
      <c r="P2770" s="16">
        <f t="shared" ca="1" si="179"/>
        <v>14.639550000000099</v>
      </c>
      <c r="Q2770" s="11" t="str">
        <f t="shared" ca="1" si="165"/>
        <v/>
      </c>
      <c r="R2770" s="11" t="str">
        <f t="shared" ca="1" si="166"/>
        <v/>
      </c>
      <c r="S2770" s="61" t="str">
        <f t="shared" ca="1" si="167"/>
        <v/>
      </c>
      <c r="T2770" s="11" t="str">
        <f t="shared" ca="1" si="168"/>
        <v/>
      </c>
      <c r="U2770" s="11" t="str">
        <f t="shared" ca="1" si="169"/>
        <v/>
      </c>
      <c r="V2770" s="18" t="str">
        <f t="shared" ca="1" si="170"/>
        <v/>
      </c>
      <c r="W2770" s="61" t="str">
        <f t="shared" ca="1" si="171"/>
        <v/>
      </c>
      <c r="X2770" s="61">
        <f t="shared" ca="1" si="172"/>
        <v>0</v>
      </c>
      <c r="Y2770" s="64" t="str">
        <f t="shared" ca="1" si="173"/>
        <v/>
      </c>
    </row>
    <row r="2771" spans="1:25">
      <c r="A2771" s="2">
        <f>+Get_Data!A2770</f>
        <v>43462</v>
      </c>
      <c r="B2771">
        <f>+ROUND(Get_Data!B2770,5)</f>
        <v>104.88697999999999</v>
      </c>
      <c r="C2771">
        <f>+ROUND(Get_Data!C2770,5)</f>
        <v>44.583390000000001</v>
      </c>
      <c r="D2771" s="4">
        <f t="shared" si="180"/>
        <v>2.3525999999999998</v>
      </c>
      <c r="E2771" s="22">
        <f t="shared" ca="1" si="181"/>
        <v>2.4152399999999998</v>
      </c>
      <c r="F2771" s="23">
        <f t="shared" ca="1" si="182"/>
        <v>2.3115000000000001</v>
      </c>
      <c r="G2771" s="10">
        <f t="shared" ca="1" si="183"/>
        <v>0</v>
      </c>
      <c r="H2771" s="12">
        <f t="shared" ca="1" si="184"/>
        <v>0</v>
      </c>
      <c r="I2771" s="11">
        <f t="shared" ca="1" si="185"/>
        <v>0</v>
      </c>
      <c r="J2771" s="11">
        <f t="shared" ca="1" si="186"/>
        <v>-1</v>
      </c>
      <c r="K2771" s="10">
        <f t="shared" ca="1" si="174"/>
        <v>104.74442000000001</v>
      </c>
      <c r="L2771" s="11">
        <f t="shared" ca="1" si="175"/>
        <v>-44.90455</v>
      </c>
      <c r="M2771" s="11">
        <f t="shared" ca="1" si="176"/>
        <v>2.3325999999999998</v>
      </c>
      <c r="N2771" s="15">
        <f t="shared" ca="1" si="177"/>
        <v>10</v>
      </c>
      <c r="O2771" s="15">
        <f t="shared" ca="1" si="178"/>
        <v>23</v>
      </c>
      <c r="P2771" s="16">
        <f t="shared" ca="1" si="179"/>
        <v>14.639550000000099</v>
      </c>
      <c r="Q2771" s="11" t="str">
        <f t="shared" ref="Q2771:Q2834" ca="1" si="187">+IF(ISNUMBER(T2771),B2771,"")</f>
        <v/>
      </c>
      <c r="R2771" s="11" t="str">
        <f t="shared" ref="R2771:R2834" ca="1" si="188">+IF(ISNUMBER(U2771),C2771,"")</f>
        <v/>
      </c>
      <c r="S2771" s="61" t="str">
        <f t="shared" ref="S2771:S2834" ca="1" si="189">+IF(ISNUMBER(T2771),D2771,"")</f>
        <v/>
      </c>
      <c r="T2771" s="11" t="str">
        <f t="shared" ref="T2771:T2834" ca="1" si="190">+IF(AND(ISNUMBER(N2770),NOT(ISNUMBER(N2771))),N2770,"")</f>
        <v/>
      </c>
      <c r="U2771" s="11" t="str">
        <f t="shared" ref="U2771:U2834" ca="1" si="191">+IF(AND(ISNUMBER(O2770),NOT(ISNUMBER(O2771))),O2770,"")</f>
        <v/>
      </c>
      <c r="V2771" s="18" t="str">
        <f t="shared" ref="V2771:V2834" ca="1" si="192">+IFERROR(T2771*(K2770-Q2771),"")</f>
        <v/>
      </c>
      <c r="W2771" s="61" t="str">
        <f t="shared" ref="W2771:W2834" ca="1" si="193">+IFERROR(U2771*(L2770+R2771),"")</f>
        <v/>
      </c>
      <c r="X2771" s="61">
        <f t="shared" ref="X2771:X2834" ca="1" si="194">+IFERROR(SUM(V2771:W2771),"")</f>
        <v>0</v>
      </c>
      <c r="Y2771" s="64" t="str">
        <f t="shared" ref="Y2771:Y2834" ca="1" si="195">IFERROR(+X2771/ABS(R2771*U2771),"")</f>
        <v/>
      </c>
    </row>
    <row r="2772" spans="1:25">
      <c r="A2772" s="2">
        <f>+Get_Data!A2771</f>
        <v>43465</v>
      </c>
      <c r="B2772">
        <f>+ROUND(Get_Data!B2771,5)</f>
        <v>105.00103</v>
      </c>
      <c r="C2772">
        <f>+ROUND(Get_Data!C2771,5)</f>
        <v>44.725079999999998</v>
      </c>
      <c r="D2772" s="4">
        <f t="shared" si="180"/>
        <v>2.3477000000000001</v>
      </c>
      <c r="E2772" s="22">
        <f t="shared" ca="1" si="181"/>
        <v>2.4152399999999998</v>
      </c>
      <c r="F2772" s="23">
        <f t="shared" ca="1" si="182"/>
        <v>2.3115000000000001</v>
      </c>
      <c r="G2772" s="10">
        <f t="shared" ca="1" si="183"/>
        <v>0</v>
      </c>
      <c r="H2772" s="12">
        <f t="shared" ca="1" si="184"/>
        <v>0</v>
      </c>
      <c r="I2772" s="11">
        <f t="shared" ca="1" si="185"/>
        <v>0</v>
      </c>
      <c r="J2772" s="11">
        <f t="shared" ca="1" si="186"/>
        <v>-1</v>
      </c>
      <c r="K2772" s="10">
        <f t="shared" ca="1" si="174"/>
        <v>104.74442000000001</v>
      </c>
      <c r="L2772" s="11">
        <f t="shared" ca="1" si="175"/>
        <v>-44.90455</v>
      </c>
      <c r="M2772" s="11">
        <f t="shared" ca="1" si="176"/>
        <v>2.3325999999999998</v>
      </c>
      <c r="N2772" s="15">
        <f t="shared" ca="1" si="177"/>
        <v>10</v>
      </c>
      <c r="O2772" s="15">
        <f t="shared" ca="1" si="178"/>
        <v>23</v>
      </c>
      <c r="P2772" s="16">
        <f t="shared" ca="1" si="179"/>
        <v>14.639550000000099</v>
      </c>
      <c r="Q2772" s="11" t="str">
        <f t="shared" ca="1" si="187"/>
        <v/>
      </c>
      <c r="R2772" s="11" t="str">
        <f t="shared" ca="1" si="188"/>
        <v/>
      </c>
      <c r="S2772" s="61" t="str">
        <f t="shared" ca="1" si="189"/>
        <v/>
      </c>
      <c r="T2772" s="11" t="str">
        <f t="shared" ca="1" si="190"/>
        <v/>
      </c>
      <c r="U2772" s="11" t="str">
        <f t="shared" ca="1" si="191"/>
        <v/>
      </c>
      <c r="V2772" s="18" t="str">
        <f t="shared" ca="1" si="192"/>
        <v/>
      </c>
      <c r="W2772" s="61" t="str">
        <f t="shared" ca="1" si="193"/>
        <v/>
      </c>
      <c r="X2772" s="61">
        <f t="shared" ca="1" si="194"/>
        <v>0</v>
      </c>
      <c r="Y2772" s="64" t="str">
        <f t="shared" ca="1" si="195"/>
        <v/>
      </c>
    </row>
    <row r="2773" spans="1:25">
      <c r="A2773" s="2">
        <f>+Get_Data!A2772</f>
        <v>43467</v>
      </c>
      <c r="B2773">
        <f>+ROUND(Get_Data!B2772,5)</f>
        <v>103.86053</v>
      </c>
      <c r="C2773">
        <f>+ROUND(Get_Data!C2772,5)</f>
        <v>44.328360000000004</v>
      </c>
      <c r="D2773" s="4">
        <f t="shared" si="180"/>
        <v>2.3429799999999998</v>
      </c>
      <c r="E2773" s="22">
        <f t="shared" ca="1" si="181"/>
        <v>2.4152399999999998</v>
      </c>
      <c r="F2773" s="23">
        <f t="shared" ca="1" si="182"/>
        <v>2.3115000000000001</v>
      </c>
      <c r="G2773" s="10">
        <f t="shared" ca="1" si="183"/>
        <v>0</v>
      </c>
      <c r="H2773" s="12">
        <f t="shared" ca="1" si="184"/>
        <v>0</v>
      </c>
      <c r="I2773" s="11">
        <f t="shared" ca="1" si="185"/>
        <v>0</v>
      </c>
      <c r="J2773" s="11">
        <f t="shared" ca="1" si="186"/>
        <v>-1</v>
      </c>
      <c r="K2773" s="10">
        <f t="shared" ca="1" si="174"/>
        <v>104.74442000000001</v>
      </c>
      <c r="L2773" s="11">
        <f t="shared" ca="1" si="175"/>
        <v>-44.90455</v>
      </c>
      <c r="M2773" s="11">
        <f t="shared" ca="1" si="176"/>
        <v>2.3325999999999998</v>
      </c>
      <c r="N2773" s="15">
        <f t="shared" ca="1" si="177"/>
        <v>10</v>
      </c>
      <c r="O2773" s="15">
        <f t="shared" ca="1" si="178"/>
        <v>23</v>
      </c>
      <c r="P2773" s="16">
        <f t="shared" ca="1" si="179"/>
        <v>14.639550000000099</v>
      </c>
      <c r="Q2773" s="11" t="str">
        <f t="shared" ca="1" si="187"/>
        <v/>
      </c>
      <c r="R2773" s="11" t="str">
        <f t="shared" ca="1" si="188"/>
        <v/>
      </c>
      <c r="S2773" s="61" t="str">
        <f t="shared" ca="1" si="189"/>
        <v/>
      </c>
      <c r="T2773" s="11" t="str">
        <f t="shared" ca="1" si="190"/>
        <v/>
      </c>
      <c r="U2773" s="11" t="str">
        <f t="shared" ca="1" si="191"/>
        <v/>
      </c>
      <c r="V2773" s="18" t="str">
        <f t="shared" ca="1" si="192"/>
        <v/>
      </c>
      <c r="W2773" s="61" t="str">
        <f t="shared" ca="1" si="193"/>
        <v/>
      </c>
      <c r="X2773" s="61">
        <f t="shared" ca="1" si="194"/>
        <v>0</v>
      </c>
      <c r="Y2773" s="64" t="str">
        <f t="shared" ca="1" si="195"/>
        <v/>
      </c>
    </row>
    <row r="2774" spans="1:25">
      <c r="A2774" s="2">
        <f>+Get_Data!A2773</f>
        <v>43468</v>
      </c>
      <c r="B2774">
        <f>+ROUND(Get_Data!B2773,5)</f>
        <v>102.89112</v>
      </c>
      <c r="C2774">
        <f>+ROUND(Get_Data!C2773,5)</f>
        <v>44.05444</v>
      </c>
      <c r="D2774" s="4">
        <f t="shared" si="180"/>
        <v>2.3355399999999999</v>
      </c>
      <c r="E2774" s="22">
        <f t="shared" ca="1" si="181"/>
        <v>2.4152399999999998</v>
      </c>
      <c r="F2774" s="23">
        <f t="shared" ca="1" si="182"/>
        <v>2.3115000000000001</v>
      </c>
      <c r="G2774" s="10">
        <f t="shared" ca="1" si="183"/>
        <v>0</v>
      </c>
      <c r="H2774" s="12">
        <f t="shared" ca="1" si="184"/>
        <v>0</v>
      </c>
      <c r="I2774" s="11">
        <f t="shared" ca="1" si="185"/>
        <v>0</v>
      </c>
      <c r="J2774" s="11">
        <f t="shared" ca="1" si="186"/>
        <v>-1</v>
      </c>
      <c r="K2774" s="10">
        <f t="shared" ca="1" si="174"/>
        <v>104.74442000000001</v>
      </c>
      <c r="L2774" s="11">
        <f t="shared" ca="1" si="175"/>
        <v>-44.90455</v>
      </c>
      <c r="M2774" s="11">
        <f t="shared" ca="1" si="176"/>
        <v>2.3325999999999998</v>
      </c>
      <c r="N2774" s="15">
        <f t="shared" ca="1" si="177"/>
        <v>10</v>
      </c>
      <c r="O2774" s="15">
        <f t="shared" ca="1" si="178"/>
        <v>23</v>
      </c>
      <c r="P2774" s="16">
        <f t="shared" ca="1" si="179"/>
        <v>14.639550000000099</v>
      </c>
      <c r="Q2774" s="11" t="str">
        <f t="shared" ca="1" si="187"/>
        <v/>
      </c>
      <c r="R2774" s="11" t="str">
        <f t="shared" ca="1" si="188"/>
        <v/>
      </c>
      <c r="S2774" s="61" t="str">
        <f t="shared" ca="1" si="189"/>
        <v/>
      </c>
      <c r="T2774" s="11" t="str">
        <f t="shared" ca="1" si="190"/>
        <v/>
      </c>
      <c r="U2774" s="11" t="str">
        <f t="shared" ca="1" si="191"/>
        <v/>
      </c>
      <c r="V2774" s="18" t="str">
        <f t="shared" ca="1" si="192"/>
        <v/>
      </c>
      <c r="W2774" s="61" t="str">
        <f t="shared" ca="1" si="193"/>
        <v/>
      </c>
      <c r="X2774" s="61">
        <f t="shared" ca="1" si="194"/>
        <v>0</v>
      </c>
      <c r="Y2774" s="64" t="str">
        <f t="shared" ca="1" si="195"/>
        <v/>
      </c>
    </row>
    <row r="2775" spans="1:25">
      <c r="A2775" s="2">
        <f>+Get_Data!A2774</f>
        <v>43469</v>
      </c>
      <c r="B2775">
        <f>+ROUND(Get_Data!B2774,5)</f>
        <v>105.00103</v>
      </c>
      <c r="C2775">
        <f>+ROUND(Get_Data!C2774,5)</f>
        <v>44.932879999999997</v>
      </c>
      <c r="D2775" s="4">
        <f t="shared" si="180"/>
        <v>2.33684</v>
      </c>
      <c r="E2775" s="22">
        <f t="shared" ca="1" si="181"/>
        <v>2.4152399999999998</v>
      </c>
      <c r="F2775" s="23">
        <f t="shared" ca="1" si="182"/>
        <v>2.3115000000000001</v>
      </c>
      <c r="G2775" s="10">
        <f t="shared" ca="1" si="183"/>
        <v>0</v>
      </c>
      <c r="H2775" s="12">
        <f t="shared" ca="1" si="184"/>
        <v>0</v>
      </c>
      <c r="I2775" s="11">
        <f t="shared" ca="1" si="185"/>
        <v>0</v>
      </c>
      <c r="J2775" s="11">
        <f t="shared" ca="1" si="186"/>
        <v>-1</v>
      </c>
      <c r="K2775" s="10">
        <f t="shared" ca="1" si="174"/>
        <v>104.74442000000001</v>
      </c>
      <c r="L2775" s="11">
        <f t="shared" ca="1" si="175"/>
        <v>-44.90455</v>
      </c>
      <c r="M2775" s="11">
        <f t="shared" ca="1" si="176"/>
        <v>2.3325999999999998</v>
      </c>
      <c r="N2775" s="15">
        <f t="shared" ca="1" si="177"/>
        <v>10</v>
      </c>
      <c r="O2775" s="15">
        <f t="shared" ca="1" si="178"/>
        <v>23</v>
      </c>
      <c r="P2775" s="16">
        <f t="shared" ca="1" si="179"/>
        <v>14.639550000000099</v>
      </c>
      <c r="Q2775" s="11" t="str">
        <f t="shared" ca="1" si="187"/>
        <v/>
      </c>
      <c r="R2775" s="11" t="str">
        <f t="shared" ca="1" si="188"/>
        <v/>
      </c>
      <c r="S2775" s="61" t="str">
        <f t="shared" ca="1" si="189"/>
        <v/>
      </c>
      <c r="T2775" s="11" t="str">
        <f t="shared" ca="1" si="190"/>
        <v/>
      </c>
      <c r="U2775" s="11" t="str">
        <f t="shared" ca="1" si="191"/>
        <v/>
      </c>
      <c r="V2775" s="18" t="str">
        <f t="shared" ca="1" si="192"/>
        <v/>
      </c>
      <c r="W2775" s="61" t="str">
        <f t="shared" ca="1" si="193"/>
        <v/>
      </c>
      <c r="X2775" s="61">
        <f t="shared" ca="1" si="194"/>
        <v>0</v>
      </c>
      <c r="Y2775" s="64" t="str">
        <f t="shared" ca="1" si="195"/>
        <v/>
      </c>
    </row>
    <row r="2776" spans="1:25">
      <c r="A2776" s="2">
        <f>+Get_Data!A2775</f>
        <v>43472</v>
      </c>
      <c r="B2776">
        <f>+ROUND(Get_Data!B2775,5)</f>
        <v>104.09814</v>
      </c>
      <c r="C2776">
        <f>+ROUND(Get_Data!C2775,5)</f>
        <v>44.347250000000003</v>
      </c>
      <c r="D2776" s="4">
        <f t="shared" si="180"/>
        <v>2.34734</v>
      </c>
      <c r="E2776" s="22">
        <f t="shared" ca="1" si="181"/>
        <v>2.4152399999999998</v>
      </c>
      <c r="F2776" s="23">
        <f t="shared" ca="1" si="182"/>
        <v>2.3115000000000001</v>
      </c>
      <c r="G2776" s="10">
        <f t="shared" ca="1" si="183"/>
        <v>0</v>
      </c>
      <c r="H2776" s="12">
        <f t="shared" ca="1" si="184"/>
        <v>0</v>
      </c>
      <c r="I2776" s="11">
        <f t="shared" ca="1" si="185"/>
        <v>0</v>
      </c>
      <c r="J2776" s="11">
        <f t="shared" ca="1" si="186"/>
        <v>-1</v>
      </c>
      <c r="K2776" s="10">
        <f t="shared" ca="1" si="174"/>
        <v>104.74442000000001</v>
      </c>
      <c r="L2776" s="11">
        <f t="shared" ca="1" si="175"/>
        <v>-44.90455</v>
      </c>
      <c r="M2776" s="11">
        <f t="shared" ca="1" si="176"/>
        <v>2.3325999999999998</v>
      </c>
      <c r="N2776" s="15">
        <f t="shared" ca="1" si="177"/>
        <v>10</v>
      </c>
      <c r="O2776" s="15">
        <f t="shared" ca="1" si="178"/>
        <v>23</v>
      </c>
      <c r="P2776" s="16">
        <f t="shared" ca="1" si="179"/>
        <v>14.639550000000099</v>
      </c>
      <c r="Q2776" s="11" t="str">
        <f t="shared" ca="1" si="187"/>
        <v/>
      </c>
      <c r="R2776" s="11" t="str">
        <f t="shared" ca="1" si="188"/>
        <v/>
      </c>
      <c r="S2776" s="61" t="str">
        <f t="shared" ca="1" si="189"/>
        <v/>
      </c>
      <c r="T2776" s="11" t="str">
        <f t="shared" ca="1" si="190"/>
        <v/>
      </c>
      <c r="U2776" s="11" t="str">
        <f t="shared" ca="1" si="191"/>
        <v/>
      </c>
      <c r="V2776" s="18" t="str">
        <f t="shared" ca="1" si="192"/>
        <v/>
      </c>
      <c r="W2776" s="61" t="str">
        <f t="shared" ca="1" si="193"/>
        <v/>
      </c>
      <c r="X2776" s="61">
        <f t="shared" ca="1" si="194"/>
        <v>0</v>
      </c>
      <c r="Y2776" s="64" t="str">
        <f t="shared" ca="1" si="195"/>
        <v/>
      </c>
    </row>
    <row r="2777" spans="1:25">
      <c r="A2777" s="2">
        <f>+Get_Data!A2776</f>
        <v>43473</v>
      </c>
      <c r="B2777">
        <f>+ROUND(Get_Data!B2776,5)</f>
        <v>105.09605999999999</v>
      </c>
      <c r="C2777">
        <f>+ROUND(Get_Data!C2776,5)</f>
        <v>44.84787</v>
      </c>
      <c r="D2777" s="4">
        <f t="shared" si="180"/>
        <v>2.3433899999999999</v>
      </c>
      <c r="E2777" s="22">
        <f t="shared" ca="1" si="181"/>
        <v>2.4152399999999998</v>
      </c>
      <c r="F2777" s="23">
        <f t="shared" ca="1" si="182"/>
        <v>2.3115000000000001</v>
      </c>
      <c r="G2777" s="10">
        <f t="shared" ca="1" si="183"/>
        <v>0</v>
      </c>
      <c r="H2777" s="12">
        <f t="shared" ca="1" si="184"/>
        <v>0</v>
      </c>
      <c r="I2777" s="11">
        <f t="shared" ca="1" si="185"/>
        <v>0</v>
      </c>
      <c r="J2777" s="11">
        <f t="shared" ca="1" si="186"/>
        <v>-1</v>
      </c>
      <c r="K2777" s="10">
        <f t="shared" ca="1" si="174"/>
        <v>104.74442000000001</v>
      </c>
      <c r="L2777" s="11">
        <f t="shared" ca="1" si="175"/>
        <v>-44.90455</v>
      </c>
      <c r="M2777" s="11">
        <f t="shared" ca="1" si="176"/>
        <v>2.3325999999999998</v>
      </c>
      <c r="N2777" s="15">
        <f t="shared" ca="1" si="177"/>
        <v>10</v>
      </c>
      <c r="O2777" s="15">
        <f t="shared" ca="1" si="178"/>
        <v>23</v>
      </c>
      <c r="P2777" s="16">
        <f t="shared" ca="1" si="179"/>
        <v>14.639550000000099</v>
      </c>
      <c r="Q2777" s="11" t="str">
        <f t="shared" ca="1" si="187"/>
        <v/>
      </c>
      <c r="R2777" s="11" t="str">
        <f t="shared" ca="1" si="188"/>
        <v/>
      </c>
      <c r="S2777" s="61" t="str">
        <f t="shared" ca="1" si="189"/>
        <v/>
      </c>
      <c r="T2777" s="11" t="str">
        <f t="shared" ca="1" si="190"/>
        <v/>
      </c>
      <c r="U2777" s="11" t="str">
        <f t="shared" ca="1" si="191"/>
        <v/>
      </c>
      <c r="V2777" s="18" t="str">
        <f t="shared" ca="1" si="192"/>
        <v/>
      </c>
      <c r="W2777" s="61" t="str">
        <f t="shared" ca="1" si="193"/>
        <v/>
      </c>
      <c r="X2777" s="61">
        <f t="shared" ca="1" si="194"/>
        <v>0</v>
      </c>
      <c r="Y2777" s="64" t="str">
        <f t="shared" ca="1" si="195"/>
        <v/>
      </c>
    </row>
    <row r="2778" spans="1:25">
      <c r="A2778" s="2">
        <f>+Get_Data!A2777</f>
        <v>43474</v>
      </c>
      <c r="B2778">
        <f>+ROUND(Get_Data!B2777,5)</f>
        <v>102.15931</v>
      </c>
      <c r="C2778">
        <f>+ROUND(Get_Data!C2777,5)</f>
        <v>43.988320000000002</v>
      </c>
      <c r="D2778" s="4">
        <f t="shared" si="180"/>
        <v>2.3224200000000002</v>
      </c>
      <c r="E2778" s="22">
        <f t="shared" ca="1" si="181"/>
        <v>2.4071600000000002</v>
      </c>
      <c r="F2778" s="23">
        <f t="shared" ca="1" si="182"/>
        <v>2.3115000000000001</v>
      </c>
      <c r="G2778" s="10">
        <f t="shared" ca="1" si="183"/>
        <v>0</v>
      </c>
      <c r="H2778" s="12">
        <f t="shared" ca="1" si="184"/>
        <v>0</v>
      </c>
      <c r="I2778" s="11">
        <f t="shared" ca="1" si="185"/>
        <v>0</v>
      </c>
      <c r="J2778" s="11">
        <f t="shared" ca="1" si="186"/>
        <v>-1</v>
      </c>
      <c r="K2778" s="10">
        <f t="shared" ref="K2778:K2841" ca="1" si="196">+IF($J2777=0,"",IF(AND(ABS($J2777)=1,ABS($I2777)=1),-$J2777*B2778,K2777))</f>
        <v>104.74442000000001</v>
      </c>
      <c r="L2778" s="11">
        <f t="shared" ref="L2778:L2841" ca="1" si="197">+IF($J2777=0,"",IF(AND(ABS($J2777)=1,ABS($I2777)=1),$J2777*C2778,L2777))</f>
        <v>-44.90455</v>
      </c>
      <c r="M2778" s="11">
        <f t="shared" ref="M2778:M2841" ca="1" si="198">+IF($J2777=0,"",IF(AND(ABS($J2777)=1,ABS($I2777)=1),D2778,M2777))</f>
        <v>2.3325999999999998</v>
      </c>
      <c r="N2778" s="15">
        <f t="shared" ref="N2778:N2841" ca="1" si="199">+IF(ISNUMBER(K2778),stocks,"")</f>
        <v>10</v>
      </c>
      <c r="O2778" s="15">
        <f t="shared" ref="O2778:O2841" ca="1" si="200">+IFERROR(ROUND(N2778*M2778,0),"")</f>
        <v>23</v>
      </c>
      <c r="P2778" s="16">
        <f t="shared" ref="P2778:P2841" ca="1" si="201">IFERROR(+N2778*K2778+O2778*L2778,"")</f>
        <v>14.639550000000099</v>
      </c>
      <c r="Q2778" s="11" t="str">
        <f t="shared" ca="1" si="187"/>
        <v/>
      </c>
      <c r="R2778" s="11" t="str">
        <f t="shared" ca="1" si="188"/>
        <v/>
      </c>
      <c r="S2778" s="61" t="str">
        <f t="shared" ca="1" si="189"/>
        <v/>
      </c>
      <c r="T2778" s="11" t="str">
        <f t="shared" ca="1" si="190"/>
        <v/>
      </c>
      <c r="U2778" s="11" t="str">
        <f t="shared" ca="1" si="191"/>
        <v/>
      </c>
      <c r="V2778" s="18" t="str">
        <f t="shared" ca="1" si="192"/>
        <v/>
      </c>
      <c r="W2778" s="61" t="str">
        <f t="shared" ca="1" si="193"/>
        <v/>
      </c>
      <c r="X2778" s="61">
        <f t="shared" ca="1" si="194"/>
        <v>0</v>
      </c>
      <c r="Y2778" s="64" t="str">
        <f t="shared" ca="1" si="195"/>
        <v/>
      </c>
    </row>
    <row r="2779" spans="1:25">
      <c r="A2779" s="2">
        <f>+Get_Data!A2778</f>
        <v>43475</v>
      </c>
      <c r="B2779">
        <f>+ROUND(Get_Data!B2778,5)</f>
        <v>102.78658</v>
      </c>
      <c r="C2779">
        <f>+ROUND(Get_Data!C2778,5)</f>
        <v>44.460599999999999</v>
      </c>
      <c r="D2779" s="4">
        <f t="shared" si="180"/>
        <v>2.3118599999999998</v>
      </c>
      <c r="E2779" s="22">
        <f t="shared" ca="1" si="181"/>
        <v>2.4071600000000002</v>
      </c>
      <c r="F2779" s="23">
        <f t="shared" ca="1" si="182"/>
        <v>2.3115000000000001</v>
      </c>
      <c r="G2779" s="10">
        <f t="shared" ca="1" si="183"/>
        <v>0</v>
      </c>
      <c r="H2779" s="12">
        <f t="shared" ca="1" si="184"/>
        <v>0</v>
      </c>
      <c r="I2779" s="11">
        <f t="shared" ca="1" si="185"/>
        <v>0</v>
      </c>
      <c r="J2779" s="11">
        <f t="shared" ca="1" si="186"/>
        <v>-1</v>
      </c>
      <c r="K2779" s="10">
        <f t="shared" ca="1" si="196"/>
        <v>104.74442000000001</v>
      </c>
      <c r="L2779" s="11">
        <f t="shared" ca="1" si="197"/>
        <v>-44.90455</v>
      </c>
      <c r="M2779" s="11">
        <f t="shared" ca="1" si="198"/>
        <v>2.3325999999999998</v>
      </c>
      <c r="N2779" s="15">
        <f t="shared" ca="1" si="199"/>
        <v>10</v>
      </c>
      <c r="O2779" s="15">
        <f t="shared" ca="1" si="200"/>
        <v>23</v>
      </c>
      <c r="P2779" s="16">
        <f t="shared" ca="1" si="201"/>
        <v>14.639550000000099</v>
      </c>
      <c r="Q2779" s="11" t="str">
        <f t="shared" ca="1" si="187"/>
        <v/>
      </c>
      <c r="R2779" s="11" t="str">
        <f t="shared" ca="1" si="188"/>
        <v/>
      </c>
      <c r="S2779" s="61" t="str">
        <f t="shared" ca="1" si="189"/>
        <v/>
      </c>
      <c r="T2779" s="11" t="str">
        <f t="shared" ca="1" si="190"/>
        <v/>
      </c>
      <c r="U2779" s="11" t="str">
        <f t="shared" ca="1" si="191"/>
        <v/>
      </c>
      <c r="V2779" s="18" t="str">
        <f t="shared" ca="1" si="192"/>
        <v/>
      </c>
      <c r="W2779" s="61" t="str">
        <f t="shared" ca="1" si="193"/>
        <v/>
      </c>
      <c r="X2779" s="61">
        <f t="shared" ca="1" si="194"/>
        <v>0</v>
      </c>
      <c r="Y2779" s="64" t="str">
        <f t="shared" ca="1" si="195"/>
        <v/>
      </c>
    </row>
    <row r="2780" spans="1:25">
      <c r="A2780" s="2">
        <f>+Get_Data!A2779</f>
        <v>43476</v>
      </c>
      <c r="B2780">
        <f>+ROUND(Get_Data!B2779,5)</f>
        <v>102.79608</v>
      </c>
      <c r="C2780">
        <f>+ROUND(Get_Data!C2779,5)</f>
        <v>44.71564</v>
      </c>
      <c r="D2780" s="4">
        <f t="shared" si="180"/>
        <v>2.29888</v>
      </c>
      <c r="E2780" s="22">
        <f t="shared" ca="1" si="181"/>
        <v>2.4071600000000002</v>
      </c>
      <c r="F2780" s="23">
        <f t="shared" ca="1" si="182"/>
        <v>2.29888</v>
      </c>
      <c r="G2780" s="10">
        <f t="shared" ca="1" si="183"/>
        <v>0</v>
      </c>
      <c r="H2780" s="12">
        <f t="shared" ca="1" si="184"/>
        <v>1</v>
      </c>
      <c r="I2780" s="11">
        <f t="shared" ca="1" si="185"/>
        <v>-1</v>
      </c>
      <c r="J2780" s="11">
        <f t="shared" ca="1" si="186"/>
        <v>-2</v>
      </c>
      <c r="K2780" s="10">
        <f t="shared" ca="1" si="196"/>
        <v>104.74442000000001</v>
      </c>
      <c r="L2780" s="11">
        <f t="shared" ca="1" si="197"/>
        <v>-44.90455</v>
      </c>
      <c r="M2780" s="11">
        <f t="shared" ca="1" si="198"/>
        <v>2.3325999999999998</v>
      </c>
      <c r="N2780" s="15">
        <f t="shared" ca="1" si="199"/>
        <v>10</v>
      </c>
      <c r="O2780" s="15">
        <f t="shared" ca="1" si="200"/>
        <v>23</v>
      </c>
      <c r="P2780" s="16">
        <f t="shared" ca="1" si="201"/>
        <v>14.639550000000099</v>
      </c>
      <c r="Q2780" s="11" t="str">
        <f t="shared" ca="1" si="187"/>
        <v/>
      </c>
      <c r="R2780" s="11" t="str">
        <f t="shared" ca="1" si="188"/>
        <v/>
      </c>
      <c r="S2780" s="61" t="str">
        <f t="shared" ca="1" si="189"/>
        <v/>
      </c>
      <c r="T2780" s="11" t="str">
        <f t="shared" ca="1" si="190"/>
        <v/>
      </c>
      <c r="U2780" s="11" t="str">
        <f t="shared" ca="1" si="191"/>
        <v/>
      </c>
      <c r="V2780" s="18" t="str">
        <f t="shared" ca="1" si="192"/>
        <v/>
      </c>
      <c r="W2780" s="61" t="str">
        <f t="shared" ca="1" si="193"/>
        <v/>
      </c>
      <c r="X2780" s="61">
        <f t="shared" ca="1" si="194"/>
        <v>0</v>
      </c>
      <c r="Y2780" s="64" t="str">
        <f t="shared" ca="1" si="195"/>
        <v/>
      </c>
    </row>
    <row r="2781" spans="1:25">
      <c r="A2781" s="2">
        <f>+Get_Data!A2780</f>
        <v>43479</v>
      </c>
      <c r="B2781">
        <f>+ROUND(Get_Data!B2780,5)</f>
        <v>101.99775</v>
      </c>
      <c r="C2781">
        <f>+ROUND(Get_Data!C2780,5)</f>
        <v>44.536169999999998</v>
      </c>
      <c r="D2781" s="4">
        <f t="shared" si="180"/>
        <v>2.2902200000000001</v>
      </c>
      <c r="E2781" s="22">
        <f t="shared" ca="1" si="181"/>
        <v>2.4071600000000002</v>
      </c>
      <c r="F2781" s="23">
        <f t="shared" ca="1" si="182"/>
        <v>2.2902200000000001</v>
      </c>
      <c r="G2781" s="10">
        <f t="shared" ca="1" si="183"/>
        <v>0</v>
      </c>
      <c r="H2781" s="12">
        <f t="shared" ca="1" si="184"/>
        <v>1</v>
      </c>
      <c r="I2781" s="11">
        <f t="shared" ca="1" si="185"/>
        <v>-1</v>
      </c>
      <c r="J2781" s="11">
        <f t="shared" ca="1" si="186"/>
        <v>0</v>
      </c>
      <c r="K2781" s="10">
        <f t="shared" ca="1" si="196"/>
        <v>104.74442000000001</v>
      </c>
      <c r="L2781" s="11">
        <f t="shared" ca="1" si="197"/>
        <v>-44.90455</v>
      </c>
      <c r="M2781" s="11">
        <f t="shared" ca="1" si="198"/>
        <v>2.3325999999999998</v>
      </c>
      <c r="N2781" s="15">
        <f t="shared" ca="1" si="199"/>
        <v>10</v>
      </c>
      <c r="O2781" s="15">
        <f t="shared" ca="1" si="200"/>
        <v>23</v>
      </c>
      <c r="P2781" s="16">
        <f t="shared" ca="1" si="201"/>
        <v>14.639550000000099</v>
      </c>
      <c r="Q2781" s="11" t="str">
        <f t="shared" ca="1" si="187"/>
        <v/>
      </c>
      <c r="R2781" s="11" t="str">
        <f t="shared" ca="1" si="188"/>
        <v/>
      </c>
      <c r="S2781" s="61" t="str">
        <f t="shared" ca="1" si="189"/>
        <v/>
      </c>
      <c r="T2781" s="11" t="str">
        <f t="shared" ca="1" si="190"/>
        <v/>
      </c>
      <c r="U2781" s="11" t="str">
        <f t="shared" ca="1" si="191"/>
        <v/>
      </c>
      <c r="V2781" s="18" t="str">
        <f t="shared" ca="1" si="192"/>
        <v/>
      </c>
      <c r="W2781" s="61" t="str">
        <f t="shared" ca="1" si="193"/>
        <v/>
      </c>
      <c r="X2781" s="61">
        <f t="shared" ca="1" si="194"/>
        <v>0</v>
      </c>
      <c r="Y2781" s="64" t="str">
        <f t="shared" ca="1" si="195"/>
        <v/>
      </c>
    </row>
    <row r="2782" spans="1:25">
      <c r="A2782" s="2">
        <f>+Get_Data!A2781</f>
        <v>43480</v>
      </c>
      <c r="B2782">
        <f>+ROUND(Get_Data!B2781,5)</f>
        <v>103.58492</v>
      </c>
      <c r="C2782">
        <f>+ROUND(Get_Data!C2781,5)</f>
        <v>44.932879999999997</v>
      </c>
      <c r="D2782" s="4">
        <f t="shared" si="180"/>
        <v>2.3053300000000001</v>
      </c>
      <c r="E2782" s="22">
        <f t="shared" ca="1" si="181"/>
        <v>2.4071600000000002</v>
      </c>
      <c r="F2782" s="23">
        <f t="shared" ca="1" si="182"/>
        <v>2.2902200000000001</v>
      </c>
      <c r="G2782" s="10">
        <f t="shared" ca="1" si="183"/>
        <v>0</v>
      </c>
      <c r="H2782" s="12">
        <f t="shared" ca="1" si="184"/>
        <v>0</v>
      </c>
      <c r="I2782" s="11">
        <f t="shared" ca="1" si="185"/>
        <v>0</v>
      </c>
      <c r="J2782" s="11">
        <f t="shared" ca="1" si="186"/>
        <v>0</v>
      </c>
      <c r="K2782" s="10" t="str">
        <f t="shared" ca="1" si="196"/>
        <v/>
      </c>
      <c r="L2782" s="11" t="str">
        <f t="shared" ca="1" si="197"/>
        <v/>
      </c>
      <c r="M2782" s="11" t="str">
        <f t="shared" ca="1" si="198"/>
        <v/>
      </c>
      <c r="N2782" s="15" t="str">
        <f t="shared" ca="1" si="199"/>
        <v/>
      </c>
      <c r="O2782" s="15" t="str">
        <f t="shared" ca="1" si="200"/>
        <v/>
      </c>
      <c r="P2782" s="16" t="str">
        <f t="shared" ca="1" si="201"/>
        <v/>
      </c>
      <c r="Q2782" s="11">
        <f t="shared" ca="1" si="187"/>
        <v>103.58492</v>
      </c>
      <c r="R2782" s="11">
        <f t="shared" ca="1" si="188"/>
        <v>44.932879999999997</v>
      </c>
      <c r="S2782" s="61">
        <f t="shared" ca="1" si="189"/>
        <v>2.3053300000000001</v>
      </c>
      <c r="T2782" s="11">
        <f t="shared" ca="1" si="190"/>
        <v>10</v>
      </c>
      <c r="U2782" s="11">
        <f t="shared" ca="1" si="191"/>
        <v>23</v>
      </c>
      <c r="V2782" s="18">
        <f t="shared" ca="1" si="192"/>
        <v>11.595000000000084</v>
      </c>
      <c r="W2782" s="61">
        <f t="shared" ca="1" si="193"/>
        <v>0.65158999999992773</v>
      </c>
      <c r="X2782" s="61">
        <f t="shared" ca="1" si="194"/>
        <v>12.246590000000012</v>
      </c>
      <c r="Y2782" s="64">
        <f t="shared" ca="1" si="195"/>
        <v>1.1850129232370799E-2</v>
      </c>
    </row>
    <row r="2783" spans="1:25">
      <c r="A2783" s="2">
        <f>+Get_Data!A2782</f>
        <v>43481</v>
      </c>
      <c r="B2783">
        <f>+ROUND(Get_Data!B2782,5)</f>
        <v>102.96716000000001</v>
      </c>
      <c r="C2783">
        <f>+ROUND(Get_Data!C2782,5)</f>
        <v>44.318919999999999</v>
      </c>
      <c r="D2783" s="4">
        <f t="shared" si="180"/>
        <v>2.3233199999999998</v>
      </c>
      <c r="E2783" s="22">
        <f t="shared" ca="1" si="181"/>
        <v>2.4071600000000002</v>
      </c>
      <c r="F2783" s="23">
        <f t="shared" ca="1" si="182"/>
        <v>2.2902200000000001</v>
      </c>
      <c r="G2783" s="10">
        <f t="shared" ca="1" si="183"/>
        <v>0</v>
      </c>
      <c r="H2783" s="12">
        <f t="shared" ca="1" si="184"/>
        <v>0</v>
      </c>
      <c r="I2783" s="11">
        <f t="shared" ca="1" si="185"/>
        <v>0</v>
      </c>
      <c r="J2783" s="11">
        <f t="shared" ca="1" si="186"/>
        <v>0</v>
      </c>
      <c r="K2783" s="10" t="str">
        <f t="shared" ca="1" si="196"/>
        <v/>
      </c>
      <c r="L2783" s="11" t="str">
        <f t="shared" ca="1" si="197"/>
        <v/>
      </c>
      <c r="M2783" s="11" t="str">
        <f t="shared" ca="1" si="198"/>
        <v/>
      </c>
      <c r="N2783" s="15" t="str">
        <f t="shared" ca="1" si="199"/>
        <v/>
      </c>
      <c r="O2783" s="15" t="str">
        <f t="shared" ca="1" si="200"/>
        <v/>
      </c>
      <c r="P2783" s="16" t="str">
        <f t="shared" ca="1" si="201"/>
        <v/>
      </c>
      <c r="Q2783" s="11" t="str">
        <f t="shared" ca="1" si="187"/>
        <v/>
      </c>
      <c r="R2783" s="11" t="str">
        <f t="shared" ca="1" si="188"/>
        <v/>
      </c>
      <c r="S2783" s="61" t="str">
        <f t="shared" ca="1" si="189"/>
        <v/>
      </c>
      <c r="T2783" s="11" t="str">
        <f t="shared" ca="1" si="190"/>
        <v/>
      </c>
      <c r="U2783" s="11" t="str">
        <f t="shared" ca="1" si="191"/>
        <v/>
      </c>
      <c r="V2783" s="18" t="str">
        <f t="shared" ca="1" si="192"/>
        <v/>
      </c>
      <c r="W2783" s="61" t="str">
        <f t="shared" ca="1" si="193"/>
        <v/>
      </c>
      <c r="X2783" s="61">
        <f t="shared" ca="1" si="194"/>
        <v>0</v>
      </c>
      <c r="Y2783" s="64" t="str">
        <f t="shared" ca="1" si="195"/>
        <v/>
      </c>
    </row>
    <row r="2784" spans="1:25">
      <c r="A2784" s="2">
        <f>+Get_Data!A2783</f>
        <v>43482</v>
      </c>
      <c r="B2784">
        <f>+ROUND(Get_Data!B2783,5)</f>
        <v>103.80351</v>
      </c>
      <c r="C2784">
        <f>+ROUND(Get_Data!C2783,5)</f>
        <v>44.451160000000002</v>
      </c>
      <c r="D2784" s="4">
        <f t="shared" si="180"/>
        <v>2.3352300000000001</v>
      </c>
      <c r="E2784" s="22">
        <f t="shared" ca="1" si="181"/>
        <v>2.4071600000000002</v>
      </c>
      <c r="F2784" s="23">
        <f t="shared" ca="1" si="182"/>
        <v>2.2902200000000001</v>
      </c>
      <c r="G2784" s="10">
        <f t="shared" ca="1" si="183"/>
        <v>0</v>
      </c>
      <c r="H2784" s="12">
        <f t="shared" ca="1" si="184"/>
        <v>0</v>
      </c>
      <c r="I2784" s="11">
        <f t="shared" ca="1" si="185"/>
        <v>0</v>
      </c>
      <c r="J2784" s="11">
        <f t="shared" ca="1" si="186"/>
        <v>0</v>
      </c>
      <c r="K2784" s="10" t="str">
        <f t="shared" ca="1" si="196"/>
        <v/>
      </c>
      <c r="L2784" s="11" t="str">
        <f t="shared" ca="1" si="197"/>
        <v/>
      </c>
      <c r="M2784" s="11" t="str">
        <f t="shared" ca="1" si="198"/>
        <v/>
      </c>
      <c r="N2784" s="15" t="str">
        <f t="shared" ca="1" si="199"/>
        <v/>
      </c>
      <c r="O2784" s="15" t="str">
        <f t="shared" ca="1" si="200"/>
        <v/>
      </c>
      <c r="P2784" s="16" t="str">
        <f t="shared" ca="1" si="201"/>
        <v/>
      </c>
      <c r="Q2784" s="11" t="str">
        <f t="shared" ca="1" si="187"/>
        <v/>
      </c>
      <c r="R2784" s="11" t="str">
        <f t="shared" ca="1" si="188"/>
        <v/>
      </c>
      <c r="S2784" s="61" t="str">
        <f t="shared" ca="1" si="189"/>
        <v/>
      </c>
      <c r="T2784" s="11" t="str">
        <f t="shared" ca="1" si="190"/>
        <v/>
      </c>
      <c r="U2784" s="11" t="str">
        <f t="shared" ca="1" si="191"/>
        <v/>
      </c>
      <c r="V2784" s="18" t="str">
        <f t="shared" ca="1" si="192"/>
        <v/>
      </c>
      <c r="W2784" s="61" t="str">
        <f t="shared" ca="1" si="193"/>
        <v/>
      </c>
      <c r="X2784" s="61">
        <f t="shared" ca="1" si="194"/>
        <v>0</v>
      </c>
      <c r="Y2784" s="64" t="str">
        <f t="shared" ca="1" si="195"/>
        <v/>
      </c>
    </row>
    <row r="2785" spans="1:25">
      <c r="A2785" s="2">
        <f>+Get_Data!A2784</f>
        <v>43483</v>
      </c>
      <c r="B2785">
        <f>+ROUND(Get_Data!B2784,5)</f>
        <v>104.61136</v>
      </c>
      <c r="C2785">
        <f>+ROUND(Get_Data!C2784,5)</f>
        <v>44.970660000000002</v>
      </c>
      <c r="D2785" s="4">
        <f t="shared" si="180"/>
        <v>2.3262100000000001</v>
      </c>
      <c r="E2785" s="22">
        <f t="shared" ca="1" si="181"/>
        <v>2.4071600000000002</v>
      </c>
      <c r="F2785" s="23">
        <f t="shared" ca="1" si="182"/>
        <v>2.2902200000000001</v>
      </c>
      <c r="G2785" s="10">
        <f t="shared" ca="1" si="183"/>
        <v>0</v>
      </c>
      <c r="H2785" s="12">
        <f t="shared" ca="1" si="184"/>
        <v>0</v>
      </c>
      <c r="I2785" s="11">
        <f t="shared" ca="1" si="185"/>
        <v>0</v>
      </c>
      <c r="J2785" s="11">
        <f t="shared" ca="1" si="186"/>
        <v>0</v>
      </c>
      <c r="K2785" s="10" t="str">
        <f t="shared" ca="1" si="196"/>
        <v/>
      </c>
      <c r="L2785" s="11" t="str">
        <f t="shared" ca="1" si="197"/>
        <v/>
      </c>
      <c r="M2785" s="11" t="str">
        <f t="shared" ca="1" si="198"/>
        <v/>
      </c>
      <c r="N2785" s="15" t="str">
        <f t="shared" ca="1" si="199"/>
        <v/>
      </c>
      <c r="O2785" s="15" t="str">
        <f t="shared" ca="1" si="200"/>
        <v/>
      </c>
      <c r="P2785" s="16" t="str">
        <f t="shared" ca="1" si="201"/>
        <v/>
      </c>
      <c r="Q2785" s="11" t="str">
        <f t="shared" ca="1" si="187"/>
        <v/>
      </c>
      <c r="R2785" s="11" t="str">
        <f t="shared" ca="1" si="188"/>
        <v/>
      </c>
      <c r="S2785" s="61" t="str">
        <f t="shared" ca="1" si="189"/>
        <v/>
      </c>
      <c r="T2785" s="11" t="str">
        <f t="shared" ca="1" si="190"/>
        <v/>
      </c>
      <c r="U2785" s="11" t="str">
        <f t="shared" ca="1" si="191"/>
        <v/>
      </c>
      <c r="V2785" s="18" t="str">
        <f t="shared" ca="1" si="192"/>
        <v/>
      </c>
      <c r="W2785" s="61" t="str">
        <f t="shared" ca="1" si="193"/>
        <v/>
      </c>
      <c r="X2785" s="61">
        <f t="shared" ca="1" si="194"/>
        <v>0</v>
      </c>
      <c r="Y2785" s="64" t="str">
        <f t="shared" ca="1" si="195"/>
        <v/>
      </c>
    </row>
    <row r="2786" spans="1:25">
      <c r="A2786" s="2">
        <f>+Get_Data!A2785</f>
        <v>43487</v>
      </c>
      <c r="B2786">
        <f>+ROUND(Get_Data!B2785,5)</f>
        <v>104.4593</v>
      </c>
      <c r="C2786">
        <f>+ROUND(Get_Data!C2785,5)</f>
        <v>45.074570000000001</v>
      </c>
      <c r="D2786" s="4">
        <f t="shared" si="180"/>
        <v>2.3174800000000002</v>
      </c>
      <c r="E2786" s="22">
        <f t="shared" ca="1" si="181"/>
        <v>2.3525999999999998</v>
      </c>
      <c r="F2786" s="23">
        <f t="shared" ca="1" si="182"/>
        <v>2.2902200000000001</v>
      </c>
      <c r="G2786" s="10">
        <f t="shared" ca="1" si="183"/>
        <v>0</v>
      </c>
      <c r="H2786" s="12">
        <f t="shared" ca="1" si="184"/>
        <v>0</v>
      </c>
      <c r="I2786" s="11">
        <f t="shared" ca="1" si="185"/>
        <v>0</v>
      </c>
      <c r="J2786" s="11">
        <f t="shared" ca="1" si="186"/>
        <v>0</v>
      </c>
      <c r="K2786" s="10" t="str">
        <f t="shared" ca="1" si="196"/>
        <v/>
      </c>
      <c r="L2786" s="11" t="str">
        <f t="shared" ca="1" si="197"/>
        <v/>
      </c>
      <c r="M2786" s="11" t="str">
        <f t="shared" ca="1" si="198"/>
        <v/>
      </c>
      <c r="N2786" s="15" t="str">
        <f t="shared" ca="1" si="199"/>
        <v/>
      </c>
      <c r="O2786" s="15" t="str">
        <f t="shared" ca="1" si="200"/>
        <v/>
      </c>
      <c r="P2786" s="16" t="str">
        <f t="shared" ca="1" si="201"/>
        <v/>
      </c>
      <c r="Q2786" s="11" t="str">
        <f t="shared" ca="1" si="187"/>
        <v/>
      </c>
      <c r="R2786" s="11" t="str">
        <f t="shared" ca="1" si="188"/>
        <v/>
      </c>
      <c r="S2786" s="61" t="str">
        <f t="shared" ca="1" si="189"/>
        <v/>
      </c>
      <c r="T2786" s="11" t="str">
        <f t="shared" ca="1" si="190"/>
        <v/>
      </c>
      <c r="U2786" s="11" t="str">
        <f t="shared" ca="1" si="191"/>
        <v/>
      </c>
      <c r="V2786" s="18" t="str">
        <f t="shared" ca="1" si="192"/>
        <v/>
      </c>
      <c r="W2786" s="61" t="str">
        <f t="shared" ca="1" si="193"/>
        <v/>
      </c>
      <c r="X2786" s="61">
        <f t="shared" ca="1" si="194"/>
        <v>0</v>
      </c>
      <c r="Y2786" s="64" t="str">
        <f t="shared" ca="1" si="195"/>
        <v/>
      </c>
    </row>
    <row r="2787" spans="1:25">
      <c r="A2787" s="2">
        <f>+Get_Data!A2786</f>
        <v>43488</v>
      </c>
      <c r="B2787">
        <f>+ROUND(Get_Data!B2786,5)</f>
        <v>105.23862</v>
      </c>
      <c r="C2787">
        <f>+ROUND(Get_Data!C2786,5)</f>
        <v>45.594079999999998</v>
      </c>
      <c r="D2787" s="4">
        <f t="shared" si="180"/>
        <v>2.30816</v>
      </c>
      <c r="E2787" s="22">
        <f t="shared" ca="1" si="181"/>
        <v>2.3525999999999998</v>
      </c>
      <c r="F2787" s="23">
        <f t="shared" ca="1" si="182"/>
        <v>2.2902200000000001</v>
      </c>
      <c r="G2787" s="10">
        <f t="shared" ca="1" si="183"/>
        <v>0</v>
      </c>
      <c r="H2787" s="12">
        <f t="shared" ca="1" si="184"/>
        <v>0</v>
      </c>
      <c r="I2787" s="11">
        <f t="shared" ca="1" si="185"/>
        <v>0</v>
      </c>
      <c r="J2787" s="11">
        <f t="shared" ca="1" si="186"/>
        <v>0</v>
      </c>
      <c r="K2787" s="10" t="str">
        <f t="shared" ca="1" si="196"/>
        <v/>
      </c>
      <c r="L2787" s="11" t="str">
        <f t="shared" ca="1" si="197"/>
        <v/>
      </c>
      <c r="M2787" s="11" t="str">
        <f t="shared" ca="1" si="198"/>
        <v/>
      </c>
      <c r="N2787" s="15" t="str">
        <f t="shared" ca="1" si="199"/>
        <v/>
      </c>
      <c r="O2787" s="15" t="str">
        <f t="shared" ca="1" si="200"/>
        <v/>
      </c>
      <c r="P2787" s="16" t="str">
        <f t="shared" ca="1" si="201"/>
        <v/>
      </c>
      <c r="Q2787" s="11" t="str">
        <f t="shared" ca="1" si="187"/>
        <v/>
      </c>
      <c r="R2787" s="11" t="str">
        <f t="shared" ca="1" si="188"/>
        <v/>
      </c>
      <c r="S2787" s="61" t="str">
        <f t="shared" ca="1" si="189"/>
        <v/>
      </c>
      <c r="T2787" s="11" t="str">
        <f t="shared" ca="1" si="190"/>
        <v/>
      </c>
      <c r="U2787" s="11" t="str">
        <f t="shared" ca="1" si="191"/>
        <v/>
      </c>
      <c r="V2787" s="18" t="str">
        <f t="shared" ca="1" si="192"/>
        <v/>
      </c>
      <c r="W2787" s="61" t="str">
        <f t="shared" ca="1" si="193"/>
        <v/>
      </c>
      <c r="X2787" s="61">
        <f t="shared" ca="1" si="194"/>
        <v>0</v>
      </c>
      <c r="Y2787" s="64" t="str">
        <f t="shared" ca="1" si="195"/>
        <v/>
      </c>
    </row>
    <row r="2788" spans="1:25">
      <c r="A2788" s="2">
        <f>+Get_Data!A2787</f>
        <v>43489</v>
      </c>
      <c r="B2788">
        <f>+ROUND(Get_Data!B2787,5)</f>
        <v>104.06964000000001</v>
      </c>
      <c r="C2788">
        <f>+ROUND(Get_Data!C2787,5)</f>
        <v>45.046230000000001</v>
      </c>
      <c r="D2788" s="4">
        <f t="shared" si="180"/>
        <v>2.3102900000000002</v>
      </c>
      <c r="E2788" s="22">
        <f t="shared" ca="1" si="181"/>
        <v>2.3525999999999998</v>
      </c>
      <c r="F2788" s="23">
        <f t="shared" ca="1" si="182"/>
        <v>2.2902200000000001</v>
      </c>
      <c r="G2788" s="10">
        <f t="shared" ca="1" si="183"/>
        <v>0</v>
      </c>
      <c r="H2788" s="12">
        <f t="shared" ca="1" si="184"/>
        <v>0</v>
      </c>
      <c r="I2788" s="11">
        <f t="shared" ca="1" si="185"/>
        <v>0</v>
      </c>
      <c r="J2788" s="11">
        <f t="shared" ca="1" si="186"/>
        <v>0</v>
      </c>
      <c r="K2788" s="10" t="str">
        <f t="shared" ca="1" si="196"/>
        <v/>
      </c>
      <c r="L2788" s="11" t="str">
        <f t="shared" ca="1" si="197"/>
        <v/>
      </c>
      <c r="M2788" s="11" t="str">
        <f t="shared" ca="1" si="198"/>
        <v/>
      </c>
      <c r="N2788" s="15" t="str">
        <f t="shared" ca="1" si="199"/>
        <v/>
      </c>
      <c r="O2788" s="15" t="str">
        <f t="shared" ca="1" si="200"/>
        <v/>
      </c>
      <c r="P2788" s="16" t="str">
        <f t="shared" ca="1" si="201"/>
        <v/>
      </c>
      <c r="Q2788" s="11" t="str">
        <f t="shared" ca="1" si="187"/>
        <v/>
      </c>
      <c r="R2788" s="11" t="str">
        <f t="shared" ca="1" si="188"/>
        <v/>
      </c>
      <c r="S2788" s="61" t="str">
        <f t="shared" ca="1" si="189"/>
        <v/>
      </c>
      <c r="T2788" s="11" t="str">
        <f t="shared" ca="1" si="190"/>
        <v/>
      </c>
      <c r="U2788" s="11" t="str">
        <f t="shared" ca="1" si="191"/>
        <v/>
      </c>
      <c r="V2788" s="18" t="str">
        <f t="shared" ca="1" si="192"/>
        <v/>
      </c>
      <c r="W2788" s="61" t="str">
        <f t="shared" ca="1" si="193"/>
        <v/>
      </c>
      <c r="X2788" s="61">
        <f t="shared" ca="1" si="194"/>
        <v>0</v>
      </c>
      <c r="Y2788" s="64" t="str">
        <f t="shared" ca="1" si="195"/>
        <v/>
      </c>
    </row>
    <row r="2789" spans="1:25">
      <c r="A2789" s="2">
        <f>+Get_Data!A2788</f>
        <v>43490</v>
      </c>
      <c r="B2789">
        <f>+ROUND(Get_Data!B2788,5)</f>
        <v>103.92707</v>
      </c>
      <c r="C2789">
        <f>+ROUND(Get_Data!C2788,5)</f>
        <v>44.743969999999997</v>
      </c>
      <c r="D2789" s="4">
        <f t="shared" si="180"/>
        <v>2.3227099999999998</v>
      </c>
      <c r="E2789" s="22">
        <f t="shared" ca="1" si="181"/>
        <v>2.3525999999999998</v>
      </c>
      <c r="F2789" s="23">
        <f t="shared" ca="1" si="182"/>
        <v>2.2902200000000001</v>
      </c>
      <c r="G2789" s="10">
        <f t="shared" ca="1" si="183"/>
        <v>0</v>
      </c>
      <c r="H2789" s="12">
        <f t="shared" ca="1" si="184"/>
        <v>0</v>
      </c>
      <c r="I2789" s="11">
        <f t="shared" ca="1" si="185"/>
        <v>0</v>
      </c>
      <c r="J2789" s="11">
        <f t="shared" ca="1" si="186"/>
        <v>0</v>
      </c>
      <c r="K2789" s="10" t="str">
        <f t="shared" ca="1" si="196"/>
        <v/>
      </c>
      <c r="L2789" s="11" t="str">
        <f t="shared" ca="1" si="197"/>
        <v/>
      </c>
      <c r="M2789" s="11" t="str">
        <f t="shared" ca="1" si="198"/>
        <v/>
      </c>
      <c r="N2789" s="15" t="str">
        <f t="shared" ca="1" si="199"/>
        <v/>
      </c>
      <c r="O2789" s="15" t="str">
        <f t="shared" ca="1" si="200"/>
        <v/>
      </c>
      <c r="P2789" s="16" t="str">
        <f t="shared" ca="1" si="201"/>
        <v/>
      </c>
      <c r="Q2789" s="11" t="str">
        <f t="shared" ca="1" si="187"/>
        <v/>
      </c>
      <c r="R2789" s="11" t="str">
        <f t="shared" ca="1" si="188"/>
        <v/>
      </c>
      <c r="S2789" s="61" t="str">
        <f t="shared" ca="1" si="189"/>
        <v/>
      </c>
      <c r="T2789" s="11" t="str">
        <f t="shared" ca="1" si="190"/>
        <v/>
      </c>
      <c r="U2789" s="11" t="str">
        <f t="shared" ca="1" si="191"/>
        <v/>
      </c>
      <c r="V2789" s="18" t="str">
        <f t="shared" ca="1" si="192"/>
        <v/>
      </c>
      <c r="W2789" s="61" t="str">
        <f t="shared" ca="1" si="193"/>
        <v/>
      </c>
      <c r="X2789" s="61">
        <f t="shared" ca="1" si="194"/>
        <v>0</v>
      </c>
      <c r="Y2789" s="64" t="str">
        <f t="shared" ca="1" si="195"/>
        <v/>
      </c>
    </row>
    <row r="2790" spans="1:25">
      <c r="A2790" s="2">
        <f>+Get_Data!A2789</f>
        <v>43493</v>
      </c>
      <c r="B2790">
        <f>+ROUND(Get_Data!B2789,5)</f>
        <v>103.42336</v>
      </c>
      <c r="C2790">
        <f>+ROUND(Get_Data!C2789,5)</f>
        <v>44.555050000000001</v>
      </c>
      <c r="D2790" s="4">
        <f t="shared" si="180"/>
        <v>2.32125</v>
      </c>
      <c r="E2790" s="22">
        <f t="shared" ca="1" si="181"/>
        <v>2.3525999999999998</v>
      </c>
      <c r="F2790" s="23">
        <f t="shared" ca="1" si="182"/>
        <v>2.2902200000000001</v>
      </c>
      <c r="G2790" s="10">
        <f t="shared" ca="1" si="183"/>
        <v>0</v>
      </c>
      <c r="H2790" s="12">
        <f t="shared" ca="1" si="184"/>
        <v>0</v>
      </c>
      <c r="I2790" s="11">
        <f t="shared" ca="1" si="185"/>
        <v>0</v>
      </c>
      <c r="J2790" s="11">
        <f t="shared" ca="1" si="186"/>
        <v>0</v>
      </c>
      <c r="K2790" s="10" t="str">
        <f t="shared" ca="1" si="196"/>
        <v/>
      </c>
      <c r="L2790" s="11" t="str">
        <f t="shared" ca="1" si="197"/>
        <v/>
      </c>
      <c r="M2790" s="11" t="str">
        <f t="shared" ca="1" si="198"/>
        <v/>
      </c>
      <c r="N2790" s="15" t="str">
        <f t="shared" ca="1" si="199"/>
        <v/>
      </c>
      <c r="O2790" s="15" t="str">
        <f t="shared" ca="1" si="200"/>
        <v/>
      </c>
      <c r="P2790" s="16" t="str">
        <f t="shared" ca="1" si="201"/>
        <v/>
      </c>
      <c r="Q2790" s="11" t="str">
        <f t="shared" ca="1" si="187"/>
        <v/>
      </c>
      <c r="R2790" s="11" t="str">
        <f t="shared" ca="1" si="188"/>
        <v/>
      </c>
      <c r="S2790" s="61" t="str">
        <f t="shared" ca="1" si="189"/>
        <v/>
      </c>
      <c r="T2790" s="11" t="str">
        <f t="shared" ca="1" si="190"/>
        <v/>
      </c>
      <c r="U2790" s="11" t="str">
        <f t="shared" ca="1" si="191"/>
        <v/>
      </c>
      <c r="V2790" s="18" t="str">
        <f t="shared" ca="1" si="192"/>
        <v/>
      </c>
      <c r="W2790" s="61" t="str">
        <f t="shared" ca="1" si="193"/>
        <v/>
      </c>
      <c r="X2790" s="61">
        <f t="shared" ca="1" si="194"/>
        <v>0</v>
      </c>
      <c r="Y2790" s="64" t="str">
        <f t="shared" ca="1" si="195"/>
        <v/>
      </c>
    </row>
    <row r="2791" spans="1:25">
      <c r="A2791" s="2">
        <f>+Get_Data!A2790</f>
        <v>43494</v>
      </c>
      <c r="B2791">
        <f>+ROUND(Get_Data!B2790,5)</f>
        <v>103.59442</v>
      </c>
      <c r="C2791">
        <f>+ROUND(Get_Data!C2790,5)</f>
        <v>44.772309999999997</v>
      </c>
      <c r="D2791" s="4">
        <f t="shared" si="180"/>
        <v>2.3138100000000001</v>
      </c>
      <c r="E2791" s="22">
        <f t="shared" ca="1" si="181"/>
        <v>2.3525999999999998</v>
      </c>
      <c r="F2791" s="23">
        <f t="shared" ca="1" si="182"/>
        <v>2.2902200000000001</v>
      </c>
      <c r="G2791" s="10">
        <f t="shared" ca="1" si="183"/>
        <v>0</v>
      </c>
      <c r="H2791" s="12">
        <f t="shared" ca="1" si="184"/>
        <v>0</v>
      </c>
      <c r="I2791" s="11">
        <f t="shared" ca="1" si="185"/>
        <v>0</v>
      </c>
      <c r="J2791" s="11">
        <f t="shared" ca="1" si="186"/>
        <v>0</v>
      </c>
      <c r="K2791" s="10" t="str">
        <f t="shared" ca="1" si="196"/>
        <v/>
      </c>
      <c r="L2791" s="11" t="str">
        <f t="shared" ca="1" si="197"/>
        <v/>
      </c>
      <c r="M2791" s="11" t="str">
        <f t="shared" ca="1" si="198"/>
        <v/>
      </c>
      <c r="N2791" s="15" t="str">
        <f t="shared" ca="1" si="199"/>
        <v/>
      </c>
      <c r="O2791" s="15" t="str">
        <f t="shared" ca="1" si="200"/>
        <v/>
      </c>
      <c r="P2791" s="16" t="str">
        <f t="shared" ca="1" si="201"/>
        <v/>
      </c>
      <c r="Q2791" s="11" t="str">
        <f t="shared" ca="1" si="187"/>
        <v/>
      </c>
      <c r="R2791" s="11" t="str">
        <f t="shared" ca="1" si="188"/>
        <v/>
      </c>
      <c r="S2791" s="61" t="str">
        <f t="shared" ca="1" si="189"/>
        <v/>
      </c>
      <c r="T2791" s="11" t="str">
        <f t="shared" ca="1" si="190"/>
        <v/>
      </c>
      <c r="U2791" s="11" t="str">
        <f t="shared" ca="1" si="191"/>
        <v/>
      </c>
      <c r="V2791" s="18" t="str">
        <f t="shared" ca="1" si="192"/>
        <v/>
      </c>
      <c r="W2791" s="61" t="str">
        <f t="shared" ca="1" si="193"/>
        <v/>
      </c>
      <c r="X2791" s="61">
        <f t="shared" ca="1" si="194"/>
        <v>0</v>
      </c>
      <c r="Y2791" s="64" t="str">
        <f t="shared" ca="1" si="195"/>
        <v/>
      </c>
    </row>
    <row r="2792" spans="1:25">
      <c r="A2792" s="2">
        <f>+Get_Data!A2791</f>
        <v>43495</v>
      </c>
      <c r="B2792">
        <f>+ROUND(Get_Data!B2791,5)</f>
        <v>105.32417</v>
      </c>
      <c r="C2792">
        <f>+ROUND(Get_Data!C2791,5)</f>
        <v>45.206809999999997</v>
      </c>
      <c r="D2792" s="4">
        <f t="shared" si="180"/>
        <v>2.3298299999999998</v>
      </c>
      <c r="E2792" s="22">
        <f t="shared" ca="1" si="181"/>
        <v>2.3525999999999998</v>
      </c>
      <c r="F2792" s="23">
        <f t="shared" ca="1" si="182"/>
        <v>2.2902200000000001</v>
      </c>
      <c r="G2792" s="10">
        <f t="shared" ca="1" si="183"/>
        <v>0</v>
      </c>
      <c r="H2792" s="12">
        <f t="shared" ca="1" si="184"/>
        <v>0</v>
      </c>
      <c r="I2792" s="11">
        <f t="shared" ca="1" si="185"/>
        <v>0</v>
      </c>
      <c r="J2792" s="11">
        <f t="shared" ca="1" si="186"/>
        <v>0</v>
      </c>
      <c r="K2792" s="10" t="str">
        <f t="shared" ca="1" si="196"/>
        <v/>
      </c>
      <c r="L2792" s="11" t="str">
        <f t="shared" ca="1" si="197"/>
        <v/>
      </c>
      <c r="M2792" s="11" t="str">
        <f t="shared" ca="1" si="198"/>
        <v/>
      </c>
      <c r="N2792" s="15" t="str">
        <f t="shared" ca="1" si="199"/>
        <v/>
      </c>
      <c r="O2792" s="15" t="str">
        <f t="shared" ca="1" si="200"/>
        <v/>
      </c>
      <c r="P2792" s="16" t="str">
        <f t="shared" ca="1" si="201"/>
        <v/>
      </c>
      <c r="Q2792" s="11" t="str">
        <f t="shared" ca="1" si="187"/>
        <v/>
      </c>
      <c r="R2792" s="11" t="str">
        <f t="shared" ca="1" si="188"/>
        <v/>
      </c>
      <c r="S2792" s="61" t="str">
        <f t="shared" ca="1" si="189"/>
        <v/>
      </c>
      <c r="T2792" s="11" t="str">
        <f t="shared" ca="1" si="190"/>
        <v/>
      </c>
      <c r="U2792" s="11" t="str">
        <f t="shared" ca="1" si="191"/>
        <v/>
      </c>
      <c r="V2792" s="18" t="str">
        <f t="shared" ca="1" si="192"/>
        <v/>
      </c>
      <c r="W2792" s="61" t="str">
        <f t="shared" ca="1" si="193"/>
        <v/>
      </c>
      <c r="X2792" s="61">
        <f t="shared" ca="1" si="194"/>
        <v>0</v>
      </c>
      <c r="Y2792" s="64" t="str">
        <f t="shared" ca="1" si="195"/>
        <v/>
      </c>
    </row>
    <row r="2793" spans="1:25">
      <c r="A2793" s="2">
        <f>+Get_Data!A2792</f>
        <v>43496</v>
      </c>
      <c r="B2793">
        <f>+ROUND(Get_Data!B2792,5)</f>
        <v>107.08242</v>
      </c>
      <c r="C2793">
        <f>+ROUND(Get_Data!C2792,5)</f>
        <v>45.461829999999999</v>
      </c>
      <c r="D2793" s="4">
        <f t="shared" si="180"/>
        <v>2.3554400000000002</v>
      </c>
      <c r="E2793" s="22">
        <f t="shared" ca="1" si="181"/>
        <v>2.3554400000000002</v>
      </c>
      <c r="F2793" s="23">
        <f t="shared" ca="1" si="182"/>
        <v>2.2902200000000001</v>
      </c>
      <c r="G2793" s="10">
        <f t="shared" ca="1" si="183"/>
        <v>1</v>
      </c>
      <c r="H2793" s="12">
        <f t="shared" ca="1" si="184"/>
        <v>0</v>
      </c>
      <c r="I2793" s="11">
        <f t="shared" ca="1" si="185"/>
        <v>1</v>
      </c>
      <c r="J2793" s="11">
        <f t="shared" ca="1" si="186"/>
        <v>1</v>
      </c>
      <c r="K2793" s="10" t="str">
        <f t="shared" ca="1" si="196"/>
        <v/>
      </c>
      <c r="L2793" s="11" t="str">
        <f t="shared" ca="1" si="197"/>
        <v/>
      </c>
      <c r="M2793" s="11" t="str">
        <f t="shared" ca="1" si="198"/>
        <v/>
      </c>
      <c r="N2793" s="15" t="str">
        <f t="shared" ca="1" si="199"/>
        <v/>
      </c>
      <c r="O2793" s="15" t="str">
        <f t="shared" ca="1" si="200"/>
        <v/>
      </c>
      <c r="P2793" s="16" t="str">
        <f t="shared" ca="1" si="201"/>
        <v/>
      </c>
      <c r="Q2793" s="11" t="str">
        <f t="shared" ca="1" si="187"/>
        <v/>
      </c>
      <c r="R2793" s="11" t="str">
        <f t="shared" ca="1" si="188"/>
        <v/>
      </c>
      <c r="S2793" s="61" t="str">
        <f t="shared" ca="1" si="189"/>
        <v/>
      </c>
      <c r="T2793" s="11" t="str">
        <f t="shared" ca="1" si="190"/>
        <v/>
      </c>
      <c r="U2793" s="11" t="str">
        <f t="shared" ca="1" si="191"/>
        <v/>
      </c>
      <c r="V2793" s="18" t="str">
        <f t="shared" ca="1" si="192"/>
        <v/>
      </c>
      <c r="W2793" s="61" t="str">
        <f t="shared" ca="1" si="193"/>
        <v/>
      </c>
      <c r="X2793" s="61">
        <f t="shared" ca="1" si="194"/>
        <v>0</v>
      </c>
      <c r="Y2793" s="64" t="str">
        <f t="shared" ca="1" si="195"/>
        <v/>
      </c>
    </row>
    <row r="2794" spans="1:25">
      <c r="A2794" s="2">
        <f>+Get_Data!A2793</f>
        <v>43497</v>
      </c>
      <c r="B2794">
        <f>+ROUND(Get_Data!B2793,5)</f>
        <v>106.62623000000001</v>
      </c>
      <c r="C2794">
        <f>+ROUND(Get_Data!C2793,5)</f>
        <v>46.000239999999998</v>
      </c>
      <c r="D2794" s="4">
        <f t="shared" si="180"/>
        <v>2.3179500000000002</v>
      </c>
      <c r="E2794" s="22">
        <f t="shared" ca="1" si="181"/>
        <v>2.3554400000000002</v>
      </c>
      <c r="F2794" s="23">
        <f t="shared" ca="1" si="182"/>
        <v>2.2902200000000001</v>
      </c>
      <c r="G2794" s="10">
        <f t="shared" ca="1" si="183"/>
        <v>0</v>
      </c>
      <c r="H2794" s="12">
        <f t="shared" ca="1" si="184"/>
        <v>0</v>
      </c>
      <c r="I2794" s="11">
        <f t="shared" ca="1" si="185"/>
        <v>0</v>
      </c>
      <c r="J2794" s="11">
        <f t="shared" ca="1" si="186"/>
        <v>1</v>
      </c>
      <c r="K2794" s="10">
        <f t="shared" ca="1" si="196"/>
        <v>-106.62623000000001</v>
      </c>
      <c r="L2794" s="11">
        <f t="shared" ca="1" si="197"/>
        <v>46.000239999999998</v>
      </c>
      <c r="M2794" s="11">
        <f t="shared" ca="1" si="198"/>
        <v>2.3179500000000002</v>
      </c>
      <c r="N2794" s="15">
        <f t="shared" ca="1" si="199"/>
        <v>10</v>
      </c>
      <c r="O2794" s="15">
        <f t="shared" ca="1" si="200"/>
        <v>23</v>
      </c>
      <c r="P2794" s="16">
        <f t="shared" ca="1" si="201"/>
        <v>-8.2567800000001625</v>
      </c>
      <c r="Q2794" s="11" t="str">
        <f t="shared" ca="1" si="187"/>
        <v/>
      </c>
      <c r="R2794" s="11" t="str">
        <f t="shared" ca="1" si="188"/>
        <v/>
      </c>
      <c r="S2794" s="61" t="str">
        <f t="shared" ca="1" si="189"/>
        <v/>
      </c>
      <c r="T2794" s="11" t="str">
        <f t="shared" ca="1" si="190"/>
        <v/>
      </c>
      <c r="U2794" s="11" t="str">
        <f t="shared" ca="1" si="191"/>
        <v/>
      </c>
      <c r="V2794" s="18" t="str">
        <f t="shared" ca="1" si="192"/>
        <v/>
      </c>
      <c r="W2794" s="61" t="str">
        <f t="shared" ca="1" si="193"/>
        <v/>
      </c>
      <c r="X2794" s="61">
        <f t="shared" ca="1" si="194"/>
        <v>0</v>
      </c>
      <c r="Y2794" s="64" t="str">
        <f t="shared" ca="1" si="195"/>
        <v/>
      </c>
    </row>
    <row r="2795" spans="1:25">
      <c r="A2795" s="2">
        <f>+Get_Data!A2794</f>
        <v>43500</v>
      </c>
      <c r="B2795">
        <f>+ROUND(Get_Data!B2794,5)</f>
        <v>107.48159</v>
      </c>
      <c r="C2795">
        <f>+ROUND(Get_Data!C2794,5)</f>
        <v>46.519750000000002</v>
      </c>
      <c r="D2795" s="4">
        <f t="shared" si="180"/>
        <v>2.3104499999999999</v>
      </c>
      <c r="E2795" s="22">
        <f t="shared" ca="1" si="181"/>
        <v>2.3554400000000002</v>
      </c>
      <c r="F2795" s="23">
        <f t="shared" ca="1" si="182"/>
        <v>2.2902200000000001</v>
      </c>
      <c r="G2795" s="10">
        <f t="shared" ca="1" si="183"/>
        <v>0</v>
      </c>
      <c r="H2795" s="12">
        <f t="shared" ca="1" si="184"/>
        <v>0</v>
      </c>
      <c r="I2795" s="11">
        <f t="shared" ca="1" si="185"/>
        <v>0</v>
      </c>
      <c r="J2795" s="11">
        <f t="shared" ca="1" si="186"/>
        <v>1</v>
      </c>
      <c r="K2795" s="10">
        <f t="shared" ca="1" si="196"/>
        <v>-106.62623000000001</v>
      </c>
      <c r="L2795" s="11">
        <f t="shared" ca="1" si="197"/>
        <v>46.000239999999998</v>
      </c>
      <c r="M2795" s="11">
        <f t="shared" ca="1" si="198"/>
        <v>2.3179500000000002</v>
      </c>
      <c r="N2795" s="15">
        <f t="shared" ca="1" si="199"/>
        <v>10</v>
      </c>
      <c r="O2795" s="15">
        <f t="shared" ca="1" si="200"/>
        <v>23</v>
      </c>
      <c r="P2795" s="16">
        <f t="shared" ca="1" si="201"/>
        <v>-8.2567800000001625</v>
      </c>
      <c r="Q2795" s="11" t="str">
        <f t="shared" ca="1" si="187"/>
        <v/>
      </c>
      <c r="R2795" s="11" t="str">
        <f t="shared" ca="1" si="188"/>
        <v/>
      </c>
      <c r="S2795" s="61" t="str">
        <f t="shared" ca="1" si="189"/>
        <v/>
      </c>
      <c r="T2795" s="11" t="str">
        <f t="shared" ca="1" si="190"/>
        <v/>
      </c>
      <c r="U2795" s="11" t="str">
        <f t="shared" ca="1" si="191"/>
        <v/>
      </c>
      <c r="V2795" s="18" t="str">
        <f t="shared" ca="1" si="192"/>
        <v/>
      </c>
      <c r="W2795" s="61" t="str">
        <f t="shared" ca="1" si="193"/>
        <v/>
      </c>
      <c r="X2795" s="61">
        <f t="shared" ca="1" si="194"/>
        <v>0</v>
      </c>
      <c r="Y2795" s="64" t="str">
        <f t="shared" ca="1" si="195"/>
        <v/>
      </c>
    </row>
    <row r="2796" spans="1:25">
      <c r="A2796" s="2">
        <f>+Get_Data!A2795</f>
        <v>43501</v>
      </c>
      <c r="B2796">
        <f>+ROUND(Get_Data!B2795,5)</f>
        <v>107.30101000000001</v>
      </c>
      <c r="C2796">
        <f>+ROUND(Get_Data!C2795,5)</f>
        <v>46.52919</v>
      </c>
      <c r="D2796" s="4">
        <f t="shared" si="180"/>
        <v>2.3060999999999998</v>
      </c>
      <c r="E2796" s="22">
        <f t="shared" ca="1" si="181"/>
        <v>2.3554400000000002</v>
      </c>
      <c r="F2796" s="23">
        <f t="shared" ca="1" si="182"/>
        <v>2.2902200000000001</v>
      </c>
      <c r="G2796" s="10">
        <f t="shared" ca="1" si="183"/>
        <v>0</v>
      </c>
      <c r="H2796" s="12">
        <f t="shared" ca="1" si="184"/>
        <v>0</v>
      </c>
      <c r="I2796" s="11">
        <f t="shared" ca="1" si="185"/>
        <v>0</v>
      </c>
      <c r="J2796" s="11">
        <f t="shared" ca="1" si="186"/>
        <v>1</v>
      </c>
      <c r="K2796" s="10">
        <f t="shared" ca="1" si="196"/>
        <v>-106.62623000000001</v>
      </c>
      <c r="L2796" s="11">
        <f t="shared" ca="1" si="197"/>
        <v>46.000239999999998</v>
      </c>
      <c r="M2796" s="11">
        <f t="shared" ca="1" si="198"/>
        <v>2.3179500000000002</v>
      </c>
      <c r="N2796" s="15">
        <f t="shared" ca="1" si="199"/>
        <v>10</v>
      </c>
      <c r="O2796" s="15">
        <f t="shared" ca="1" si="200"/>
        <v>23</v>
      </c>
      <c r="P2796" s="16">
        <f t="shared" ca="1" si="201"/>
        <v>-8.2567800000001625</v>
      </c>
      <c r="Q2796" s="11" t="str">
        <f t="shared" ca="1" si="187"/>
        <v/>
      </c>
      <c r="R2796" s="11" t="str">
        <f t="shared" ca="1" si="188"/>
        <v/>
      </c>
      <c r="S2796" s="61" t="str">
        <f t="shared" ca="1" si="189"/>
        <v/>
      </c>
      <c r="T2796" s="11" t="str">
        <f t="shared" ca="1" si="190"/>
        <v/>
      </c>
      <c r="U2796" s="11" t="str">
        <f t="shared" ca="1" si="191"/>
        <v/>
      </c>
      <c r="V2796" s="18" t="str">
        <f t="shared" ca="1" si="192"/>
        <v/>
      </c>
      <c r="W2796" s="61" t="str">
        <f t="shared" ca="1" si="193"/>
        <v/>
      </c>
      <c r="X2796" s="61">
        <f t="shared" ca="1" si="194"/>
        <v>0</v>
      </c>
      <c r="Y2796" s="64" t="str">
        <f t="shared" ca="1" si="195"/>
        <v/>
      </c>
    </row>
    <row r="2797" spans="1:25">
      <c r="A2797" s="2">
        <f>+Get_Data!A2796</f>
        <v>43502</v>
      </c>
      <c r="B2797">
        <f>+ROUND(Get_Data!B2796,5)</f>
        <v>107.44358</v>
      </c>
      <c r="C2797">
        <f>+ROUND(Get_Data!C2796,5)</f>
        <v>46.52919</v>
      </c>
      <c r="D2797" s="4">
        <f t="shared" si="180"/>
        <v>2.3091699999999999</v>
      </c>
      <c r="E2797" s="22">
        <f t="shared" ca="1" si="181"/>
        <v>2.3554400000000002</v>
      </c>
      <c r="F2797" s="23">
        <f t="shared" ca="1" si="182"/>
        <v>2.2902200000000001</v>
      </c>
      <c r="G2797" s="10">
        <f t="shared" ca="1" si="183"/>
        <v>0</v>
      </c>
      <c r="H2797" s="12">
        <f t="shared" ca="1" si="184"/>
        <v>0</v>
      </c>
      <c r="I2797" s="11">
        <f t="shared" ca="1" si="185"/>
        <v>0</v>
      </c>
      <c r="J2797" s="11">
        <f t="shared" ca="1" si="186"/>
        <v>1</v>
      </c>
      <c r="K2797" s="10">
        <f t="shared" ca="1" si="196"/>
        <v>-106.62623000000001</v>
      </c>
      <c r="L2797" s="11">
        <f t="shared" ca="1" si="197"/>
        <v>46.000239999999998</v>
      </c>
      <c r="M2797" s="11">
        <f t="shared" ca="1" si="198"/>
        <v>2.3179500000000002</v>
      </c>
      <c r="N2797" s="15">
        <f t="shared" ca="1" si="199"/>
        <v>10</v>
      </c>
      <c r="O2797" s="15">
        <f t="shared" ca="1" si="200"/>
        <v>23</v>
      </c>
      <c r="P2797" s="16">
        <f t="shared" ca="1" si="201"/>
        <v>-8.2567800000001625</v>
      </c>
      <c r="Q2797" s="11" t="str">
        <f t="shared" ca="1" si="187"/>
        <v/>
      </c>
      <c r="R2797" s="11" t="str">
        <f t="shared" ca="1" si="188"/>
        <v/>
      </c>
      <c r="S2797" s="61" t="str">
        <f t="shared" ca="1" si="189"/>
        <v/>
      </c>
      <c r="T2797" s="11" t="str">
        <f t="shared" ca="1" si="190"/>
        <v/>
      </c>
      <c r="U2797" s="11" t="str">
        <f t="shared" ca="1" si="191"/>
        <v/>
      </c>
      <c r="V2797" s="18" t="str">
        <f t="shared" ca="1" si="192"/>
        <v/>
      </c>
      <c r="W2797" s="61" t="str">
        <f t="shared" ca="1" si="193"/>
        <v/>
      </c>
      <c r="X2797" s="61">
        <f t="shared" ca="1" si="194"/>
        <v>0</v>
      </c>
      <c r="Y2797" s="64" t="str">
        <f t="shared" ca="1" si="195"/>
        <v/>
      </c>
    </row>
    <row r="2798" spans="1:25">
      <c r="A2798" s="2">
        <f>+Get_Data!A2797</f>
        <v>43503</v>
      </c>
      <c r="B2798">
        <f>+ROUND(Get_Data!B2797,5)</f>
        <v>107.48159</v>
      </c>
      <c r="C2798">
        <f>+ROUND(Get_Data!C2797,5)</f>
        <v>46.680320000000002</v>
      </c>
      <c r="D2798" s="4">
        <f t="shared" si="180"/>
        <v>2.3025000000000002</v>
      </c>
      <c r="E2798" s="22">
        <f t="shared" ca="1" si="181"/>
        <v>2.3554400000000002</v>
      </c>
      <c r="F2798" s="23">
        <f t="shared" ca="1" si="182"/>
        <v>2.2902200000000001</v>
      </c>
      <c r="G2798" s="10">
        <f t="shared" ca="1" si="183"/>
        <v>0</v>
      </c>
      <c r="H2798" s="12">
        <f t="shared" ca="1" si="184"/>
        <v>0</v>
      </c>
      <c r="I2798" s="11">
        <f t="shared" ca="1" si="185"/>
        <v>0</v>
      </c>
      <c r="J2798" s="11">
        <f t="shared" ca="1" si="186"/>
        <v>1</v>
      </c>
      <c r="K2798" s="10">
        <f t="shared" ca="1" si="196"/>
        <v>-106.62623000000001</v>
      </c>
      <c r="L2798" s="11">
        <f t="shared" ca="1" si="197"/>
        <v>46.000239999999998</v>
      </c>
      <c r="M2798" s="11">
        <f t="shared" ca="1" si="198"/>
        <v>2.3179500000000002</v>
      </c>
      <c r="N2798" s="15">
        <f t="shared" ca="1" si="199"/>
        <v>10</v>
      </c>
      <c r="O2798" s="15">
        <f t="shared" ca="1" si="200"/>
        <v>23</v>
      </c>
      <c r="P2798" s="16">
        <f t="shared" ca="1" si="201"/>
        <v>-8.2567800000001625</v>
      </c>
      <c r="Q2798" s="11" t="str">
        <f t="shared" ca="1" si="187"/>
        <v/>
      </c>
      <c r="R2798" s="11" t="str">
        <f t="shared" ca="1" si="188"/>
        <v/>
      </c>
      <c r="S2798" s="61" t="str">
        <f t="shared" ca="1" si="189"/>
        <v/>
      </c>
      <c r="T2798" s="11" t="str">
        <f t="shared" ca="1" si="190"/>
        <v/>
      </c>
      <c r="U2798" s="11" t="str">
        <f t="shared" ca="1" si="191"/>
        <v/>
      </c>
      <c r="V2798" s="18" t="str">
        <f t="shared" ca="1" si="192"/>
        <v/>
      </c>
      <c r="W2798" s="61" t="str">
        <f t="shared" ca="1" si="193"/>
        <v/>
      </c>
      <c r="X2798" s="61">
        <f t="shared" ca="1" si="194"/>
        <v>0</v>
      </c>
      <c r="Y2798" s="64" t="str">
        <f t="shared" ca="1" si="195"/>
        <v/>
      </c>
    </row>
    <row r="2799" spans="1:25">
      <c r="A2799" s="2">
        <f>+Get_Data!A2798</f>
        <v>43504</v>
      </c>
      <c r="B2799">
        <f>+ROUND(Get_Data!B2798,5)</f>
        <v>107.41506</v>
      </c>
      <c r="C2799">
        <f>+ROUND(Get_Data!C2798,5)</f>
        <v>46.755890000000001</v>
      </c>
      <c r="D2799" s="4">
        <f t="shared" si="180"/>
        <v>2.2973599999999998</v>
      </c>
      <c r="E2799" s="22">
        <f t="shared" ca="1" si="181"/>
        <v>2.3554400000000002</v>
      </c>
      <c r="F2799" s="23">
        <f t="shared" ca="1" si="182"/>
        <v>2.2902200000000001</v>
      </c>
      <c r="G2799" s="10">
        <f t="shared" ca="1" si="183"/>
        <v>0</v>
      </c>
      <c r="H2799" s="12">
        <f t="shared" ca="1" si="184"/>
        <v>0</v>
      </c>
      <c r="I2799" s="11">
        <f t="shared" ca="1" si="185"/>
        <v>0</v>
      </c>
      <c r="J2799" s="11">
        <f t="shared" ca="1" si="186"/>
        <v>1</v>
      </c>
      <c r="K2799" s="10">
        <f t="shared" ca="1" si="196"/>
        <v>-106.62623000000001</v>
      </c>
      <c r="L2799" s="11">
        <f t="shared" ca="1" si="197"/>
        <v>46.000239999999998</v>
      </c>
      <c r="M2799" s="11">
        <f t="shared" ca="1" si="198"/>
        <v>2.3179500000000002</v>
      </c>
      <c r="N2799" s="15">
        <f t="shared" ca="1" si="199"/>
        <v>10</v>
      </c>
      <c r="O2799" s="15">
        <f t="shared" ca="1" si="200"/>
        <v>23</v>
      </c>
      <c r="P2799" s="16">
        <f t="shared" ca="1" si="201"/>
        <v>-8.2567800000001625</v>
      </c>
      <c r="Q2799" s="11" t="str">
        <f t="shared" ca="1" si="187"/>
        <v/>
      </c>
      <c r="R2799" s="11" t="str">
        <f t="shared" ca="1" si="188"/>
        <v/>
      </c>
      <c r="S2799" s="61" t="str">
        <f t="shared" ca="1" si="189"/>
        <v/>
      </c>
      <c r="T2799" s="11" t="str">
        <f t="shared" ca="1" si="190"/>
        <v/>
      </c>
      <c r="U2799" s="11" t="str">
        <f t="shared" ca="1" si="191"/>
        <v/>
      </c>
      <c r="V2799" s="18" t="str">
        <f t="shared" ca="1" si="192"/>
        <v/>
      </c>
      <c r="W2799" s="61" t="str">
        <f t="shared" ca="1" si="193"/>
        <v/>
      </c>
      <c r="X2799" s="61">
        <f t="shared" ca="1" si="194"/>
        <v>0</v>
      </c>
      <c r="Y2799" s="64" t="str">
        <f t="shared" ca="1" si="195"/>
        <v/>
      </c>
    </row>
    <row r="2800" spans="1:25">
      <c r="A2800" s="2">
        <f>+Get_Data!A2799</f>
        <v>43507</v>
      </c>
      <c r="B2800">
        <f>+ROUND(Get_Data!B2799,5)</f>
        <v>107.36754000000001</v>
      </c>
      <c r="C2800">
        <f>+ROUND(Get_Data!C2799,5)</f>
        <v>46.859789999999997</v>
      </c>
      <c r="D2800" s="4">
        <f t="shared" si="180"/>
        <v>2.2912499999999998</v>
      </c>
      <c r="E2800" s="22">
        <f t="shared" ca="1" si="181"/>
        <v>2.3554400000000002</v>
      </c>
      <c r="F2800" s="23">
        <f t="shared" ca="1" si="182"/>
        <v>2.2902200000000001</v>
      </c>
      <c r="G2800" s="10">
        <f t="shared" ca="1" si="183"/>
        <v>0</v>
      </c>
      <c r="H2800" s="12">
        <f t="shared" ca="1" si="184"/>
        <v>0</v>
      </c>
      <c r="I2800" s="11">
        <f t="shared" ca="1" si="185"/>
        <v>0</v>
      </c>
      <c r="J2800" s="11">
        <f t="shared" ca="1" si="186"/>
        <v>1</v>
      </c>
      <c r="K2800" s="10">
        <f t="shared" ca="1" si="196"/>
        <v>-106.62623000000001</v>
      </c>
      <c r="L2800" s="11">
        <f t="shared" ca="1" si="197"/>
        <v>46.000239999999998</v>
      </c>
      <c r="M2800" s="11">
        <f t="shared" ca="1" si="198"/>
        <v>2.3179500000000002</v>
      </c>
      <c r="N2800" s="15">
        <f t="shared" ca="1" si="199"/>
        <v>10</v>
      </c>
      <c r="O2800" s="15">
        <f t="shared" ca="1" si="200"/>
        <v>23</v>
      </c>
      <c r="P2800" s="16">
        <f t="shared" ca="1" si="201"/>
        <v>-8.2567800000001625</v>
      </c>
      <c r="Q2800" s="11" t="str">
        <f t="shared" ca="1" si="187"/>
        <v/>
      </c>
      <c r="R2800" s="11" t="str">
        <f t="shared" ca="1" si="188"/>
        <v/>
      </c>
      <c r="S2800" s="61" t="str">
        <f t="shared" ca="1" si="189"/>
        <v/>
      </c>
      <c r="T2800" s="11" t="str">
        <f t="shared" ca="1" si="190"/>
        <v/>
      </c>
      <c r="U2800" s="11" t="str">
        <f t="shared" ca="1" si="191"/>
        <v/>
      </c>
      <c r="V2800" s="18" t="str">
        <f t="shared" ca="1" si="192"/>
        <v/>
      </c>
      <c r="W2800" s="61" t="str">
        <f t="shared" ca="1" si="193"/>
        <v/>
      </c>
      <c r="X2800" s="61">
        <f t="shared" ca="1" si="194"/>
        <v>0</v>
      </c>
      <c r="Y2800" s="64" t="str">
        <f t="shared" ca="1" si="195"/>
        <v/>
      </c>
    </row>
    <row r="2801" spans="1:25">
      <c r="A2801" s="2">
        <f>+Get_Data!A2800</f>
        <v>43508</v>
      </c>
      <c r="B2801">
        <f>+ROUND(Get_Data!B2800,5)</f>
        <v>108.14688</v>
      </c>
      <c r="C2801">
        <f>+ROUND(Get_Data!C2800,5)</f>
        <v>46.907020000000003</v>
      </c>
      <c r="D2801" s="4">
        <f t="shared" si="180"/>
        <v>2.3055599999999998</v>
      </c>
      <c r="E2801" s="22">
        <f t="shared" ca="1" si="181"/>
        <v>2.3554400000000002</v>
      </c>
      <c r="F2801" s="23">
        <f t="shared" ca="1" si="182"/>
        <v>2.2902200000000001</v>
      </c>
      <c r="G2801" s="10">
        <f t="shared" ca="1" si="183"/>
        <v>0</v>
      </c>
      <c r="H2801" s="12">
        <f t="shared" ca="1" si="184"/>
        <v>0</v>
      </c>
      <c r="I2801" s="11">
        <f t="shared" ca="1" si="185"/>
        <v>0</v>
      </c>
      <c r="J2801" s="11">
        <f t="shared" ca="1" si="186"/>
        <v>1</v>
      </c>
      <c r="K2801" s="10">
        <f t="shared" ca="1" si="196"/>
        <v>-106.62623000000001</v>
      </c>
      <c r="L2801" s="11">
        <f t="shared" ca="1" si="197"/>
        <v>46.000239999999998</v>
      </c>
      <c r="M2801" s="11">
        <f t="shared" ca="1" si="198"/>
        <v>2.3179500000000002</v>
      </c>
      <c r="N2801" s="15">
        <f t="shared" ca="1" si="199"/>
        <v>10</v>
      </c>
      <c r="O2801" s="15">
        <f t="shared" ca="1" si="200"/>
        <v>23</v>
      </c>
      <c r="P2801" s="16">
        <f t="shared" ca="1" si="201"/>
        <v>-8.2567800000001625</v>
      </c>
      <c r="Q2801" s="11" t="str">
        <f t="shared" ca="1" si="187"/>
        <v/>
      </c>
      <c r="R2801" s="11" t="str">
        <f t="shared" ca="1" si="188"/>
        <v/>
      </c>
      <c r="S2801" s="61" t="str">
        <f t="shared" ca="1" si="189"/>
        <v/>
      </c>
      <c r="T2801" s="11" t="str">
        <f t="shared" ca="1" si="190"/>
        <v/>
      </c>
      <c r="U2801" s="11" t="str">
        <f t="shared" ca="1" si="191"/>
        <v/>
      </c>
      <c r="V2801" s="18" t="str">
        <f t="shared" ca="1" si="192"/>
        <v/>
      </c>
      <c r="W2801" s="61" t="str">
        <f t="shared" ca="1" si="193"/>
        <v/>
      </c>
      <c r="X2801" s="61">
        <f t="shared" ca="1" si="194"/>
        <v>0</v>
      </c>
      <c r="Y2801" s="64" t="str">
        <f t="shared" ca="1" si="195"/>
        <v/>
      </c>
    </row>
    <row r="2802" spans="1:25">
      <c r="A2802" s="2">
        <f>+Get_Data!A2801</f>
        <v>43509</v>
      </c>
      <c r="B2802">
        <f>+ROUND(Get_Data!B2801,5)</f>
        <v>108.46051</v>
      </c>
      <c r="C2802">
        <f>+ROUND(Get_Data!C2801,5)</f>
        <v>47.029820000000001</v>
      </c>
      <c r="D2802" s="4">
        <f t="shared" ref="D2802:D2865" si="202">IFERROR(ROUND(B2802/C2802,5),"")</f>
        <v>2.3062100000000001</v>
      </c>
      <c r="E2802" s="22">
        <f t="shared" ca="1" si="181"/>
        <v>2.3554400000000002</v>
      </c>
      <c r="F2802" s="23">
        <f t="shared" ca="1" si="182"/>
        <v>2.2902200000000001</v>
      </c>
      <c r="G2802" s="10">
        <f t="shared" ca="1" si="183"/>
        <v>0</v>
      </c>
      <c r="H2802" s="12">
        <f t="shared" ca="1" si="184"/>
        <v>0</v>
      </c>
      <c r="I2802" s="11">
        <f t="shared" ca="1" si="185"/>
        <v>0</v>
      </c>
      <c r="J2802" s="11">
        <f t="shared" ca="1" si="186"/>
        <v>1</v>
      </c>
      <c r="K2802" s="10">
        <f t="shared" ca="1" si="196"/>
        <v>-106.62623000000001</v>
      </c>
      <c r="L2802" s="11">
        <f t="shared" ca="1" si="197"/>
        <v>46.000239999999998</v>
      </c>
      <c r="M2802" s="11">
        <f t="shared" ca="1" si="198"/>
        <v>2.3179500000000002</v>
      </c>
      <c r="N2802" s="15">
        <f t="shared" ca="1" si="199"/>
        <v>10</v>
      </c>
      <c r="O2802" s="15">
        <f t="shared" ca="1" si="200"/>
        <v>23</v>
      </c>
      <c r="P2802" s="16">
        <f t="shared" ca="1" si="201"/>
        <v>-8.2567800000001625</v>
      </c>
      <c r="Q2802" s="11" t="str">
        <f t="shared" ca="1" si="187"/>
        <v/>
      </c>
      <c r="R2802" s="11" t="str">
        <f t="shared" ca="1" si="188"/>
        <v/>
      </c>
      <c r="S2802" s="61" t="str">
        <f t="shared" ca="1" si="189"/>
        <v/>
      </c>
      <c r="T2802" s="11" t="str">
        <f t="shared" ca="1" si="190"/>
        <v/>
      </c>
      <c r="U2802" s="11" t="str">
        <f t="shared" ca="1" si="191"/>
        <v/>
      </c>
      <c r="V2802" s="18" t="str">
        <f t="shared" ca="1" si="192"/>
        <v/>
      </c>
      <c r="W2802" s="61" t="str">
        <f t="shared" ca="1" si="193"/>
        <v/>
      </c>
      <c r="X2802" s="61">
        <f t="shared" ca="1" si="194"/>
        <v>0</v>
      </c>
      <c r="Y2802" s="64" t="str">
        <f t="shared" ca="1" si="195"/>
        <v/>
      </c>
    </row>
    <row r="2803" spans="1:25">
      <c r="A2803" s="2">
        <f>+Get_Data!A2802</f>
        <v>43510</v>
      </c>
      <c r="B2803">
        <f>+ROUND(Get_Data!B2802,5)</f>
        <v>107.00639</v>
      </c>
      <c r="C2803">
        <f>+ROUND(Get_Data!C2802,5)</f>
        <v>43.062640000000002</v>
      </c>
      <c r="D2803" s="4">
        <f t="shared" si="202"/>
        <v>2.4849000000000001</v>
      </c>
      <c r="E2803" s="22">
        <f t="shared" ca="1" si="181"/>
        <v>2.4849000000000001</v>
      </c>
      <c r="F2803" s="23">
        <f t="shared" ca="1" si="182"/>
        <v>2.2902200000000001</v>
      </c>
      <c r="G2803" s="10">
        <f t="shared" ca="1" si="183"/>
        <v>1</v>
      </c>
      <c r="H2803" s="12">
        <f t="shared" ca="1" si="184"/>
        <v>0</v>
      </c>
      <c r="I2803" s="11">
        <f t="shared" ca="1" si="185"/>
        <v>1</v>
      </c>
      <c r="J2803" s="11">
        <f t="shared" ca="1" si="186"/>
        <v>2</v>
      </c>
      <c r="K2803" s="10">
        <f t="shared" ca="1" si="196"/>
        <v>-106.62623000000001</v>
      </c>
      <c r="L2803" s="11">
        <f t="shared" ca="1" si="197"/>
        <v>46.000239999999998</v>
      </c>
      <c r="M2803" s="11">
        <f t="shared" ca="1" si="198"/>
        <v>2.3179500000000002</v>
      </c>
      <c r="N2803" s="15">
        <f t="shared" ca="1" si="199"/>
        <v>10</v>
      </c>
      <c r="O2803" s="15">
        <f t="shared" ca="1" si="200"/>
        <v>23</v>
      </c>
      <c r="P2803" s="16">
        <f t="shared" ca="1" si="201"/>
        <v>-8.2567800000001625</v>
      </c>
      <c r="Q2803" s="11" t="str">
        <f t="shared" ca="1" si="187"/>
        <v/>
      </c>
      <c r="R2803" s="11" t="str">
        <f t="shared" ca="1" si="188"/>
        <v/>
      </c>
      <c r="S2803" s="61" t="str">
        <f t="shared" ca="1" si="189"/>
        <v/>
      </c>
      <c r="T2803" s="11" t="str">
        <f t="shared" ca="1" si="190"/>
        <v/>
      </c>
      <c r="U2803" s="11" t="str">
        <f t="shared" ca="1" si="191"/>
        <v/>
      </c>
      <c r="V2803" s="18" t="str">
        <f t="shared" ca="1" si="192"/>
        <v/>
      </c>
      <c r="W2803" s="61" t="str">
        <f t="shared" ca="1" si="193"/>
        <v/>
      </c>
      <c r="X2803" s="61">
        <f t="shared" ca="1" si="194"/>
        <v>0</v>
      </c>
      <c r="Y2803" s="64" t="str">
        <f t="shared" ca="1" si="195"/>
        <v/>
      </c>
    </row>
    <row r="2804" spans="1:25">
      <c r="A2804" s="2">
        <f>+Get_Data!A2803</f>
        <v>43511</v>
      </c>
      <c r="B2804">
        <f>+ROUND(Get_Data!B2803,5)</f>
        <v>110.16175</v>
      </c>
      <c r="C2804">
        <f>+ROUND(Get_Data!C2803,5)</f>
        <v>42.732050000000001</v>
      </c>
      <c r="D2804" s="4">
        <f t="shared" si="202"/>
        <v>2.5779700000000001</v>
      </c>
      <c r="E2804" s="22">
        <f t="shared" ca="1" si="181"/>
        <v>2.5779700000000001</v>
      </c>
      <c r="F2804" s="23">
        <f t="shared" ca="1" si="182"/>
        <v>2.2902200000000001</v>
      </c>
      <c r="G2804" s="10">
        <f t="shared" ca="1" si="183"/>
        <v>1</v>
      </c>
      <c r="H2804" s="12">
        <f t="shared" ca="1" si="184"/>
        <v>0</v>
      </c>
      <c r="I2804" s="11">
        <f t="shared" ca="1" si="185"/>
        <v>1</v>
      </c>
      <c r="J2804" s="11">
        <f t="shared" ca="1" si="186"/>
        <v>0</v>
      </c>
      <c r="K2804" s="10">
        <f t="shared" ca="1" si="196"/>
        <v>-106.62623000000001</v>
      </c>
      <c r="L2804" s="11">
        <f t="shared" ca="1" si="197"/>
        <v>46.000239999999998</v>
      </c>
      <c r="M2804" s="11">
        <f t="shared" ca="1" si="198"/>
        <v>2.3179500000000002</v>
      </c>
      <c r="N2804" s="15">
        <f t="shared" ca="1" si="199"/>
        <v>10</v>
      </c>
      <c r="O2804" s="15">
        <f t="shared" ca="1" si="200"/>
        <v>23</v>
      </c>
      <c r="P2804" s="16">
        <f t="shared" ca="1" si="201"/>
        <v>-8.2567800000001625</v>
      </c>
      <c r="Q2804" s="11" t="str">
        <f t="shared" ca="1" si="187"/>
        <v/>
      </c>
      <c r="R2804" s="11" t="str">
        <f t="shared" ca="1" si="188"/>
        <v/>
      </c>
      <c r="S2804" s="61" t="str">
        <f t="shared" ca="1" si="189"/>
        <v/>
      </c>
      <c r="T2804" s="11" t="str">
        <f t="shared" ca="1" si="190"/>
        <v/>
      </c>
      <c r="U2804" s="11" t="str">
        <f t="shared" ca="1" si="191"/>
        <v/>
      </c>
      <c r="V2804" s="18" t="str">
        <f t="shared" ca="1" si="192"/>
        <v/>
      </c>
      <c r="W2804" s="61" t="str">
        <f t="shared" ca="1" si="193"/>
        <v/>
      </c>
      <c r="X2804" s="61">
        <f t="shared" ca="1" si="194"/>
        <v>0</v>
      </c>
      <c r="Y2804" s="64" t="str">
        <f t="shared" ca="1" si="195"/>
        <v/>
      </c>
    </row>
    <row r="2805" spans="1:25">
      <c r="A2805" s="2">
        <f>+Get_Data!A2804</f>
        <v>43515</v>
      </c>
      <c r="B2805">
        <f>+ROUND(Get_Data!B2804,5)</f>
        <v>110.18076000000001</v>
      </c>
      <c r="C2805">
        <f>+ROUND(Get_Data!C2804,5)</f>
        <v>42.34478</v>
      </c>
      <c r="D2805" s="4">
        <f t="shared" si="202"/>
        <v>2.6019899999999998</v>
      </c>
      <c r="E2805" s="22">
        <f t="shared" ca="1" si="181"/>
        <v>2.6019899999999998</v>
      </c>
      <c r="F2805" s="23">
        <f t="shared" ca="1" si="182"/>
        <v>2.2902200000000001</v>
      </c>
      <c r="G2805" s="10">
        <f t="shared" ca="1" si="183"/>
        <v>1</v>
      </c>
      <c r="H2805" s="12">
        <f t="shared" ca="1" si="184"/>
        <v>0</v>
      </c>
      <c r="I2805" s="11">
        <f t="shared" ca="1" si="185"/>
        <v>1</v>
      </c>
      <c r="J2805" s="11">
        <f t="shared" ca="1" si="186"/>
        <v>1</v>
      </c>
      <c r="K2805" s="10" t="str">
        <f t="shared" ca="1" si="196"/>
        <v/>
      </c>
      <c r="L2805" s="11" t="str">
        <f t="shared" ca="1" si="197"/>
        <v/>
      </c>
      <c r="M2805" s="11" t="str">
        <f t="shared" ca="1" si="198"/>
        <v/>
      </c>
      <c r="N2805" s="15" t="str">
        <f t="shared" ca="1" si="199"/>
        <v/>
      </c>
      <c r="O2805" s="15" t="str">
        <f t="shared" ca="1" si="200"/>
        <v/>
      </c>
      <c r="P2805" s="16" t="str">
        <f t="shared" ca="1" si="201"/>
        <v/>
      </c>
      <c r="Q2805" s="11">
        <f t="shared" ca="1" si="187"/>
        <v>110.18076000000001</v>
      </c>
      <c r="R2805" s="11">
        <f t="shared" ca="1" si="188"/>
        <v>42.34478</v>
      </c>
      <c r="S2805" s="61">
        <f t="shared" ca="1" si="189"/>
        <v>2.6019899999999998</v>
      </c>
      <c r="T2805" s="11">
        <f t="shared" ca="1" si="190"/>
        <v>10</v>
      </c>
      <c r="U2805" s="11">
        <f t="shared" ca="1" si="191"/>
        <v>23</v>
      </c>
      <c r="V2805" s="18">
        <f t="shared" ca="1" si="192"/>
        <v>-2168.0699</v>
      </c>
      <c r="W2805" s="61">
        <f t="shared" ca="1" si="193"/>
        <v>2031.9354600000001</v>
      </c>
      <c r="X2805" s="61">
        <f t="shared" ca="1" si="194"/>
        <v>-136.13443999999981</v>
      </c>
      <c r="Y2805" s="64">
        <f t="shared" ca="1" si="195"/>
        <v>-0.13977847318257802</v>
      </c>
    </row>
    <row r="2806" spans="1:25">
      <c r="A2806" s="2">
        <f>+Get_Data!A2805</f>
        <v>43516</v>
      </c>
      <c r="B2806">
        <f>+ROUND(Get_Data!B2805,5)</f>
        <v>110.08571999999999</v>
      </c>
      <c r="C2806">
        <f>+ROUND(Get_Data!C2805,5)</f>
        <v>42.599809999999998</v>
      </c>
      <c r="D2806" s="4">
        <f t="shared" si="202"/>
        <v>2.5841799999999999</v>
      </c>
      <c r="E2806" s="22">
        <f t="shared" ca="1" si="181"/>
        <v>2.6019899999999998</v>
      </c>
      <c r="F2806" s="23">
        <f t="shared" ca="1" si="182"/>
        <v>2.2912499999999998</v>
      </c>
      <c r="G2806" s="10">
        <f t="shared" ca="1" si="183"/>
        <v>0</v>
      </c>
      <c r="H2806" s="12">
        <f t="shared" ca="1" si="184"/>
        <v>0</v>
      </c>
      <c r="I2806" s="11">
        <f t="shared" ca="1" si="185"/>
        <v>0</v>
      </c>
      <c r="J2806" s="11">
        <f t="shared" ca="1" si="186"/>
        <v>1</v>
      </c>
      <c r="K2806" s="10">
        <f t="shared" ca="1" si="196"/>
        <v>-110.08571999999999</v>
      </c>
      <c r="L2806" s="11">
        <f t="shared" ca="1" si="197"/>
        <v>42.599809999999998</v>
      </c>
      <c r="M2806" s="11">
        <f t="shared" ca="1" si="198"/>
        <v>2.5841799999999999</v>
      </c>
      <c r="N2806" s="15">
        <f t="shared" ca="1" si="199"/>
        <v>10</v>
      </c>
      <c r="O2806" s="15">
        <f t="shared" ca="1" si="200"/>
        <v>26</v>
      </c>
      <c r="P2806" s="16">
        <f t="shared" ca="1" si="201"/>
        <v>6.7378599999999551</v>
      </c>
      <c r="Q2806" s="11" t="str">
        <f t="shared" ca="1" si="187"/>
        <v/>
      </c>
      <c r="R2806" s="11" t="str">
        <f t="shared" ca="1" si="188"/>
        <v/>
      </c>
      <c r="S2806" s="61" t="str">
        <f t="shared" ca="1" si="189"/>
        <v/>
      </c>
      <c r="T2806" s="11" t="str">
        <f t="shared" ca="1" si="190"/>
        <v/>
      </c>
      <c r="U2806" s="11" t="str">
        <f t="shared" ca="1" si="191"/>
        <v/>
      </c>
      <c r="V2806" s="18" t="str">
        <f t="shared" ca="1" si="192"/>
        <v/>
      </c>
      <c r="W2806" s="61" t="str">
        <f t="shared" ca="1" si="193"/>
        <v/>
      </c>
      <c r="X2806" s="61">
        <f t="shared" ca="1" si="194"/>
        <v>0</v>
      </c>
      <c r="Y2806" s="64" t="str">
        <f t="shared" ca="1" si="195"/>
        <v/>
      </c>
    </row>
    <row r="2807" spans="1:25">
      <c r="A2807" s="2">
        <f>+Get_Data!A2806</f>
        <v>43517</v>
      </c>
      <c r="B2807">
        <f>+ROUND(Get_Data!B2806,5)</f>
        <v>110.34231</v>
      </c>
      <c r="C2807">
        <f>+ROUND(Get_Data!C2806,5)</f>
        <v>43.317680000000003</v>
      </c>
      <c r="D2807" s="4">
        <f t="shared" si="202"/>
        <v>2.5472800000000002</v>
      </c>
      <c r="E2807" s="22">
        <f t="shared" ca="1" si="181"/>
        <v>2.6019899999999998</v>
      </c>
      <c r="F2807" s="23">
        <f t="shared" ca="1" si="182"/>
        <v>2.2912499999999998</v>
      </c>
      <c r="G2807" s="10">
        <f t="shared" ca="1" si="183"/>
        <v>0</v>
      </c>
      <c r="H2807" s="12">
        <f t="shared" ca="1" si="184"/>
        <v>0</v>
      </c>
      <c r="I2807" s="11">
        <f t="shared" ca="1" si="185"/>
        <v>0</v>
      </c>
      <c r="J2807" s="11">
        <f t="shared" ca="1" si="186"/>
        <v>1</v>
      </c>
      <c r="K2807" s="10">
        <f t="shared" ca="1" si="196"/>
        <v>-110.08571999999999</v>
      </c>
      <c r="L2807" s="11">
        <f t="shared" ca="1" si="197"/>
        <v>42.599809999999998</v>
      </c>
      <c r="M2807" s="11">
        <f t="shared" ca="1" si="198"/>
        <v>2.5841799999999999</v>
      </c>
      <c r="N2807" s="15">
        <f t="shared" ca="1" si="199"/>
        <v>10</v>
      </c>
      <c r="O2807" s="15">
        <f t="shared" ca="1" si="200"/>
        <v>26</v>
      </c>
      <c r="P2807" s="16">
        <f t="shared" ca="1" si="201"/>
        <v>6.7378599999999551</v>
      </c>
      <c r="Q2807" s="11" t="str">
        <f t="shared" ca="1" si="187"/>
        <v/>
      </c>
      <c r="R2807" s="11" t="str">
        <f t="shared" ca="1" si="188"/>
        <v/>
      </c>
      <c r="S2807" s="61" t="str">
        <f t="shared" ca="1" si="189"/>
        <v/>
      </c>
      <c r="T2807" s="11" t="str">
        <f t="shared" ca="1" si="190"/>
        <v/>
      </c>
      <c r="U2807" s="11" t="str">
        <f t="shared" ca="1" si="191"/>
        <v/>
      </c>
      <c r="V2807" s="18" t="str">
        <f t="shared" ca="1" si="192"/>
        <v/>
      </c>
      <c r="W2807" s="61" t="str">
        <f t="shared" ca="1" si="193"/>
        <v/>
      </c>
      <c r="X2807" s="61">
        <f t="shared" ca="1" si="194"/>
        <v>0</v>
      </c>
      <c r="Y2807" s="64" t="str">
        <f t="shared" ca="1" si="195"/>
        <v/>
      </c>
    </row>
    <row r="2808" spans="1:25">
      <c r="A2808" s="2">
        <f>+Get_Data!A2807</f>
        <v>43518</v>
      </c>
      <c r="B2808">
        <f>+ROUND(Get_Data!B2807,5)</f>
        <v>110.96959</v>
      </c>
      <c r="C2808">
        <f>+ROUND(Get_Data!C2807,5)</f>
        <v>42.769829999999999</v>
      </c>
      <c r="D2808" s="4">
        <f t="shared" si="202"/>
        <v>2.5945800000000001</v>
      </c>
      <c r="E2808" s="22">
        <f t="shared" ca="1" si="181"/>
        <v>2.6019899999999998</v>
      </c>
      <c r="F2808" s="23">
        <f t="shared" ca="1" si="182"/>
        <v>2.2912499999999998</v>
      </c>
      <c r="G2808" s="10">
        <f t="shared" ca="1" si="183"/>
        <v>0</v>
      </c>
      <c r="H2808" s="12">
        <f t="shared" ca="1" si="184"/>
        <v>0</v>
      </c>
      <c r="I2808" s="11">
        <f t="shared" ca="1" si="185"/>
        <v>0</v>
      </c>
      <c r="J2808" s="11">
        <f t="shared" ca="1" si="186"/>
        <v>1</v>
      </c>
      <c r="K2808" s="10">
        <f t="shared" ca="1" si="196"/>
        <v>-110.08571999999999</v>
      </c>
      <c r="L2808" s="11">
        <f t="shared" ca="1" si="197"/>
        <v>42.599809999999998</v>
      </c>
      <c r="M2808" s="11">
        <f t="shared" ca="1" si="198"/>
        <v>2.5841799999999999</v>
      </c>
      <c r="N2808" s="15">
        <f t="shared" ca="1" si="199"/>
        <v>10</v>
      </c>
      <c r="O2808" s="15">
        <f t="shared" ca="1" si="200"/>
        <v>26</v>
      </c>
      <c r="P2808" s="16">
        <f t="shared" ca="1" si="201"/>
        <v>6.7378599999999551</v>
      </c>
      <c r="Q2808" s="11" t="str">
        <f t="shared" ca="1" si="187"/>
        <v/>
      </c>
      <c r="R2808" s="11" t="str">
        <f t="shared" ca="1" si="188"/>
        <v/>
      </c>
      <c r="S2808" s="61" t="str">
        <f t="shared" ca="1" si="189"/>
        <v/>
      </c>
      <c r="T2808" s="11" t="str">
        <f t="shared" ca="1" si="190"/>
        <v/>
      </c>
      <c r="U2808" s="11" t="str">
        <f t="shared" ca="1" si="191"/>
        <v/>
      </c>
      <c r="V2808" s="18" t="str">
        <f t="shared" ca="1" si="192"/>
        <v/>
      </c>
      <c r="W2808" s="61" t="str">
        <f t="shared" ca="1" si="193"/>
        <v/>
      </c>
      <c r="X2808" s="61">
        <f t="shared" ca="1" si="194"/>
        <v>0</v>
      </c>
      <c r="Y2808" s="64" t="str">
        <f t="shared" ca="1" si="195"/>
        <v/>
      </c>
    </row>
    <row r="2809" spans="1:25">
      <c r="A2809" s="2">
        <f>+Get_Data!A2808</f>
        <v>43521</v>
      </c>
      <c r="B2809">
        <f>+ROUND(Get_Data!B2808,5)</f>
        <v>110.30431</v>
      </c>
      <c r="C2809">
        <f>+ROUND(Get_Data!C2808,5)</f>
        <v>42.448680000000003</v>
      </c>
      <c r="D2809" s="4">
        <f t="shared" si="202"/>
        <v>2.5985299999999998</v>
      </c>
      <c r="E2809" s="22">
        <f t="shared" ca="1" si="181"/>
        <v>2.6019899999999998</v>
      </c>
      <c r="F2809" s="23">
        <f t="shared" ca="1" si="182"/>
        <v>2.2912499999999998</v>
      </c>
      <c r="G2809" s="10">
        <f t="shared" ca="1" si="183"/>
        <v>0</v>
      </c>
      <c r="H2809" s="12">
        <f t="shared" ca="1" si="184"/>
        <v>0</v>
      </c>
      <c r="I2809" s="11">
        <f t="shared" ca="1" si="185"/>
        <v>0</v>
      </c>
      <c r="J2809" s="11">
        <f t="shared" ca="1" si="186"/>
        <v>1</v>
      </c>
      <c r="K2809" s="10">
        <f t="shared" ca="1" si="196"/>
        <v>-110.08571999999999</v>
      </c>
      <c r="L2809" s="11">
        <f t="shared" ca="1" si="197"/>
        <v>42.599809999999998</v>
      </c>
      <c r="M2809" s="11">
        <f t="shared" ca="1" si="198"/>
        <v>2.5841799999999999</v>
      </c>
      <c r="N2809" s="15">
        <f t="shared" ca="1" si="199"/>
        <v>10</v>
      </c>
      <c r="O2809" s="15">
        <f t="shared" ca="1" si="200"/>
        <v>26</v>
      </c>
      <c r="P2809" s="16">
        <f t="shared" ca="1" si="201"/>
        <v>6.7378599999999551</v>
      </c>
      <c r="Q2809" s="11" t="str">
        <f t="shared" ca="1" si="187"/>
        <v/>
      </c>
      <c r="R2809" s="11" t="str">
        <f t="shared" ca="1" si="188"/>
        <v/>
      </c>
      <c r="S2809" s="61" t="str">
        <f t="shared" ca="1" si="189"/>
        <v/>
      </c>
      <c r="T2809" s="11" t="str">
        <f t="shared" ca="1" si="190"/>
        <v/>
      </c>
      <c r="U2809" s="11" t="str">
        <f t="shared" ca="1" si="191"/>
        <v/>
      </c>
      <c r="V2809" s="18" t="str">
        <f t="shared" ca="1" si="192"/>
        <v/>
      </c>
      <c r="W2809" s="61" t="str">
        <f t="shared" ca="1" si="193"/>
        <v/>
      </c>
      <c r="X2809" s="61">
        <f t="shared" ca="1" si="194"/>
        <v>0</v>
      </c>
      <c r="Y2809" s="64" t="str">
        <f t="shared" ca="1" si="195"/>
        <v/>
      </c>
    </row>
    <row r="2810" spans="1:25">
      <c r="A2810" s="2">
        <f>+Get_Data!A2809</f>
        <v>43522</v>
      </c>
      <c r="B2810">
        <f>+ROUND(Get_Data!B2809,5)</f>
        <v>110.21877000000001</v>
      </c>
      <c r="C2810">
        <f>+ROUND(Get_Data!C2809,5)</f>
        <v>42.212539999999997</v>
      </c>
      <c r="D2810" s="4">
        <f t="shared" si="202"/>
        <v>2.61104</v>
      </c>
      <c r="E2810" s="22">
        <f t="shared" ca="1" si="181"/>
        <v>2.61104</v>
      </c>
      <c r="F2810" s="23">
        <f t="shared" ca="1" si="182"/>
        <v>2.2912499999999998</v>
      </c>
      <c r="G2810" s="10">
        <f t="shared" ca="1" si="183"/>
        <v>1</v>
      </c>
      <c r="H2810" s="12">
        <f t="shared" ca="1" si="184"/>
        <v>0</v>
      </c>
      <c r="I2810" s="11">
        <f t="shared" ca="1" si="185"/>
        <v>1</v>
      </c>
      <c r="J2810" s="11">
        <f t="shared" ca="1" si="186"/>
        <v>2</v>
      </c>
      <c r="K2810" s="10">
        <f t="shared" ca="1" si="196"/>
        <v>-110.08571999999999</v>
      </c>
      <c r="L2810" s="11">
        <f t="shared" ca="1" si="197"/>
        <v>42.599809999999998</v>
      </c>
      <c r="M2810" s="11">
        <f t="shared" ca="1" si="198"/>
        <v>2.5841799999999999</v>
      </c>
      <c r="N2810" s="15">
        <f t="shared" ca="1" si="199"/>
        <v>10</v>
      </c>
      <c r="O2810" s="15">
        <f t="shared" ca="1" si="200"/>
        <v>26</v>
      </c>
      <c r="P2810" s="16">
        <f t="shared" ca="1" si="201"/>
        <v>6.7378599999999551</v>
      </c>
      <c r="Q2810" s="11" t="str">
        <f t="shared" ca="1" si="187"/>
        <v/>
      </c>
      <c r="R2810" s="11" t="str">
        <f t="shared" ca="1" si="188"/>
        <v/>
      </c>
      <c r="S2810" s="61" t="str">
        <f t="shared" ca="1" si="189"/>
        <v/>
      </c>
      <c r="T2810" s="11" t="str">
        <f t="shared" ca="1" si="190"/>
        <v/>
      </c>
      <c r="U2810" s="11" t="str">
        <f t="shared" ca="1" si="191"/>
        <v/>
      </c>
      <c r="V2810" s="18" t="str">
        <f t="shared" ca="1" si="192"/>
        <v/>
      </c>
      <c r="W2810" s="61" t="str">
        <f t="shared" ca="1" si="193"/>
        <v/>
      </c>
      <c r="X2810" s="61">
        <f t="shared" ca="1" si="194"/>
        <v>0</v>
      </c>
      <c r="Y2810" s="64" t="str">
        <f t="shared" ca="1" si="195"/>
        <v/>
      </c>
    </row>
    <row r="2811" spans="1:25">
      <c r="A2811" s="2">
        <f>+Get_Data!A2810</f>
        <v>43523</v>
      </c>
      <c r="B2811">
        <f>+ROUND(Get_Data!B2810,5)</f>
        <v>109.64852</v>
      </c>
      <c r="C2811">
        <f>+ROUND(Get_Data!C2810,5)</f>
        <v>42.448680000000003</v>
      </c>
      <c r="D2811" s="4">
        <f t="shared" si="202"/>
        <v>2.5830799999999998</v>
      </c>
      <c r="E2811" s="22">
        <f t="shared" ca="1" si="181"/>
        <v>2.61104</v>
      </c>
      <c r="F2811" s="23">
        <f t="shared" ca="1" si="182"/>
        <v>2.2912499999999998</v>
      </c>
      <c r="G2811" s="10">
        <f t="shared" ca="1" si="183"/>
        <v>0</v>
      </c>
      <c r="H2811" s="12">
        <f t="shared" ca="1" si="184"/>
        <v>0</v>
      </c>
      <c r="I2811" s="11">
        <f t="shared" ca="1" si="185"/>
        <v>0</v>
      </c>
      <c r="J2811" s="11">
        <f t="shared" ca="1" si="186"/>
        <v>2</v>
      </c>
      <c r="K2811" s="10">
        <f t="shared" ca="1" si="196"/>
        <v>-110.08571999999999</v>
      </c>
      <c r="L2811" s="11">
        <f t="shared" ca="1" si="197"/>
        <v>42.599809999999998</v>
      </c>
      <c r="M2811" s="11">
        <f t="shared" ca="1" si="198"/>
        <v>2.5841799999999999</v>
      </c>
      <c r="N2811" s="15">
        <f t="shared" ca="1" si="199"/>
        <v>10</v>
      </c>
      <c r="O2811" s="15">
        <f t="shared" ca="1" si="200"/>
        <v>26</v>
      </c>
      <c r="P2811" s="16">
        <f t="shared" ca="1" si="201"/>
        <v>6.7378599999999551</v>
      </c>
      <c r="Q2811" s="11" t="str">
        <f t="shared" ca="1" si="187"/>
        <v/>
      </c>
      <c r="R2811" s="11" t="str">
        <f t="shared" ca="1" si="188"/>
        <v/>
      </c>
      <c r="S2811" s="61" t="str">
        <f t="shared" ca="1" si="189"/>
        <v/>
      </c>
      <c r="T2811" s="11" t="str">
        <f t="shared" ca="1" si="190"/>
        <v/>
      </c>
      <c r="U2811" s="11" t="str">
        <f t="shared" ca="1" si="191"/>
        <v/>
      </c>
      <c r="V2811" s="18" t="str">
        <f t="shared" ca="1" si="192"/>
        <v/>
      </c>
      <c r="W2811" s="61" t="str">
        <f t="shared" ca="1" si="193"/>
        <v/>
      </c>
      <c r="X2811" s="61">
        <f t="shared" ca="1" si="194"/>
        <v>0</v>
      </c>
      <c r="Y2811" s="64" t="str">
        <f t="shared" ca="1" si="195"/>
        <v/>
      </c>
    </row>
    <row r="2812" spans="1:25">
      <c r="A2812" s="2">
        <f>+Get_Data!A2811</f>
        <v>43524</v>
      </c>
      <c r="B2812">
        <f>+ROUND(Get_Data!B2811,5)</f>
        <v>110.79634</v>
      </c>
      <c r="C2812">
        <f>+ROUND(Get_Data!C2811,5)</f>
        <v>42.826500000000003</v>
      </c>
      <c r="D2812" s="4">
        <f t="shared" si="202"/>
        <v>2.5871</v>
      </c>
      <c r="E2812" s="22">
        <f t="shared" ca="1" si="181"/>
        <v>2.61104</v>
      </c>
      <c r="F2812" s="23">
        <f t="shared" ca="1" si="182"/>
        <v>2.2912499999999998</v>
      </c>
      <c r="G2812" s="10">
        <f t="shared" ca="1" si="183"/>
        <v>0</v>
      </c>
      <c r="H2812" s="12">
        <f t="shared" ca="1" si="184"/>
        <v>0</v>
      </c>
      <c r="I2812" s="11">
        <f t="shared" ca="1" si="185"/>
        <v>0</v>
      </c>
      <c r="J2812" s="11">
        <f t="shared" ca="1" si="186"/>
        <v>2</v>
      </c>
      <c r="K2812" s="10">
        <f t="shared" ca="1" si="196"/>
        <v>-110.08571999999999</v>
      </c>
      <c r="L2812" s="11">
        <f t="shared" ca="1" si="197"/>
        <v>42.599809999999998</v>
      </c>
      <c r="M2812" s="11">
        <f t="shared" ca="1" si="198"/>
        <v>2.5841799999999999</v>
      </c>
      <c r="N2812" s="15">
        <f t="shared" ca="1" si="199"/>
        <v>10</v>
      </c>
      <c r="O2812" s="15">
        <f t="shared" ca="1" si="200"/>
        <v>26</v>
      </c>
      <c r="P2812" s="16">
        <f t="shared" ca="1" si="201"/>
        <v>6.7378599999999551</v>
      </c>
      <c r="Q2812" s="11" t="str">
        <f t="shared" ca="1" si="187"/>
        <v/>
      </c>
      <c r="R2812" s="11" t="str">
        <f t="shared" ca="1" si="188"/>
        <v/>
      </c>
      <c r="S2812" s="61" t="str">
        <f t="shared" ca="1" si="189"/>
        <v/>
      </c>
      <c r="T2812" s="11" t="str">
        <f t="shared" ca="1" si="190"/>
        <v/>
      </c>
      <c r="U2812" s="11" t="str">
        <f t="shared" ca="1" si="191"/>
        <v/>
      </c>
      <c r="V2812" s="18" t="str">
        <f t="shared" ca="1" si="192"/>
        <v/>
      </c>
      <c r="W2812" s="61" t="str">
        <f t="shared" ca="1" si="193"/>
        <v/>
      </c>
      <c r="X2812" s="61">
        <f t="shared" ca="1" si="194"/>
        <v>0</v>
      </c>
      <c r="Y2812" s="64" t="str">
        <f t="shared" ca="1" si="195"/>
        <v/>
      </c>
    </row>
    <row r="2813" spans="1:25">
      <c r="A2813" s="2">
        <f>+Get_Data!A2812</f>
        <v>43525</v>
      </c>
      <c r="B2813">
        <f>+ROUND(Get_Data!B2812,5)</f>
        <v>111.31373000000001</v>
      </c>
      <c r="C2813">
        <f>+ROUND(Get_Data!C2812,5)</f>
        <v>42.864289999999997</v>
      </c>
      <c r="D2813" s="4">
        <f t="shared" si="202"/>
        <v>2.5968900000000001</v>
      </c>
      <c r="E2813" s="22">
        <f t="shared" ca="1" si="181"/>
        <v>2.61104</v>
      </c>
      <c r="F2813" s="23">
        <f t="shared" ca="1" si="182"/>
        <v>2.2912499999999998</v>
      </c>
      <c r="G2813" s="10">
        <f t="shared" ca="1" si="183"/>
        <v>0</v>
      </c>
      <c r="H2813" s="12">
        <f t="shared" ca="1" si="184"/>
        <v>0</v>
      </c>
      <c r="I2813" s="11">
        <f t="shared" ca="1" si="185"/>
        <v>0</v>
      </c>
      <c r="J2813" s="11">
        <f t="shared" ca="1" si="186"/>
        <v>2</v>
      </c>
      <c r="K2813" s="10">
        <f t="shared" ca="1" si="196"/>
        <v>-110.08571999999999</v>
      </c>
      <c r="L2813" s="11">
        <f t="shared" ca="1" si="197"/>
        <v>42.599809999999998</v>
      </c>
      <c r="M2813" s="11">
        <f t="shared" ca="1" si="198"/>
        <v>2.5841799999999999</v>
      </c>
      <c r="N2813" s="15">
        <f t="shared" ca="1" si="199"/>
        <v>10</v>
      </c>
      <c r="O2813" s="15">
        <f t="shared" ca="1" si="200"/>
        <v>26</v>
      </c>
      <c r="P2813" s="16">
        <f t="shared" ca="1" si="201"/>
        <v>6.7378599999999551</v>
      </c>
      <c r="Q2813" s="11" t="str">
        <f t="shared" ca="1" si="187"/>
        <v/>
      </c>
      <c r="R2813" s="11" t="str">
        <f t="shared" ca="1" si="188"/>
        <v/>
      </c>
      <c r="S2813" s="61" t="str">
        <f t="shared" ca="1" si="189"/>
        <v/>
      </c>
      <c r="T2813" s="11" t="str">
        <f t="shared" ca="1" si="190"/>
        <v/>
      </c>
      <c r="U2813" s="11" t="str">
        <f t="shared" ca="1" si="191"/>
        <v/>
      </c>
      <c r="V2813" s="18" t="str">
        <f t="shared" ca="1" si="192"/>
        <v/>
      </c>
      <c r="W2813" s="61" t="str">
        <f t="shared" ca="1" si="193"/>
        <v/>
      </c>
      <c r="X2813" s="61">
        <f t="shared" ca="1" si="194"/>
        <v>0</v>
      </c>
      <c r="Y2813" s="64" t="str">
        <f t="shared" ca="1" si="195"/>
        <v/>
      </c>
    </row>
    <row r="2814" spans="1:25">
      <c r="A2814" s="2">
        <f>+Get_Data!A2813</f>
        <v>43528</v>
      </c>
      <c r="B2814">
        <f>+ROUND(Get_Data!B2813,5)</f>
        <v>111.30415000000001</v>
      </c>
      <c r="C2814">
        <f>+ROUND(Get_Data!C2813,5)</f>
        <v>43.119320000000002</v>
      </c>
      <c r="D2814" s="4">
        <f t="shared" si="202"/>
        <v>2.5813100000000002</v>
      </c>
      <c r="E2814" s="22">
        <f t="shared" ca="1" si="181"/>
        <v>2.61104</v>
      </c>
      <c r="F2814" s="23">
        <f t="shared" ca="1" si="182"/>
        <v>2.2912499999999998</v>
      </c>
      <c r="G2814" s="10">
        <f t="shared" ca="1" si="183"/>
        <v>0</v>
      </c>
      <c r="H2814" s="12">
        <f t="shared" ca="1" si="184"/>
        <v>0</v>
      </c>
      <c r="I2814" s="11">
        <f t="shared" ca="1" si="185"/>
        <v>0</v>
      </c>
      <c r="J2814" s="11">
        <f t="shared" ca="1" si="186"/>
        <v>2</v>
      </c>
      <c r="K2814" s="10">
        <f t="shared" ca="1" si="196"/>
        <v>-110.08571999999999</v>
      </c>
      <c r="L2814" s="11">
        <f t="shared" ca="1" si="197"/>
        <v>42.599809999999998</v>
      </c>
      <c r="M2814" s="11">
        <f t="shared" ca="1" si="198"/>
        <v>2.5841799999999999</v>
      </c>
      <c r="N2814" s="15">
        <f t="shared" ca="1" si="199"/>
        <v>10</v>
      </c>
      <c r="O2814" s="15">
        <f t="shared" ca="1" si="200"/>
        <v>26</v>
      </c>
      <c r="P2814" s="16">
        <f t="shared" ca="1" si="201"/>
        <v>6.7378599999999551</v>
      </c>
      <c r="Q2814" s="11" t="str">
        <f t="shared" ca="1" si="187"/>
        <v/>
      </c>
      <c r="R2814" s="11" t="str">
        <f t="shared" ca="1" si="188"/>
        <v/>
      </c>
      <c r="S2814" s="61" t="str">
        <f t="shared" ca="1" si="189"/>
        <v/>
      </c>
      <c r="T2814" s="11" t="str">
        <f t="shared" ca="1" si="190"/>
        <v/>
      </c>
      <c r="U2814" s="11" t="str">
        <f t="shared" ca="1" si="191"/>
        <v/>
      </c>
      <c r="V2814" s="18" t="str">
        <f t="shared" ca="1" si="192"/>
        <v/>
      </c>
      <c r="W2814" s="61" t="str">
        <f t="shared" ca="1" si="193"/>
        <v/>
      </c>
      <c r="X2814" s="61">
        <f t="shared" ca="1" si="194"/>
        <v>0</v>
      </c>
      <c r="Y2814" s="64" t="str">
        <f t="shared" ca="1" si="195"/>
        <v/>
      </c>
    </row>
    <row r="2815" spans="1:25">
      <c r="A2815" s="2">
        <f>+Get_Data!A2814</f>
        <v>43529</v>
      </c>
      <c r="B2815">
        <f>+ROUND(Get_Data!B2814,5)</f>
        <v>111.17001</v>
      </c>
      <c r="C2815">
        <f>+ROUND(Get_Data!C2814,5)</f>
        <v>43.072090000000003</v>
      </c>
      <c r="D2815" s="4">
        <f t="shared" si="202"/>
        <v>2.5810200000000001</v>
      </c>
      <c r="E2815" s="22">
        <f t="shared" ca="1" si="181"/>
        <v>2.61104</v>
      </c>
      <c r="F2815" s="23">
        <f t="shared" ca="1" si="182"/>
        <v>2.2912499999999998</v>
      </c>
      <c r="G2815" s="10">
        <f t="shared" ca="1" si="183"/>
        <v>0</v>
      </c>
      <c r="H2815" s="12">
        <f t="shared" ca="1" si="184"/>
        <v>0</v>
      </c>
      <c r="I2815" s="11">
        <f t="shared" ca="1" si="185"/>
        <v>0</v>
      </c>
      <c r="J2815" s="11">
        <f t="shared" ca="1" si="186"/>
        <v>2</v>
      </c>
      <c r="K2815" s="10">
        <f t="shared" ca="1" si="196"/>
        <v>-110.08571999999999</v>
      </c>
      <c r="L2815" s="11">
        <f t="shared" ca="1" si="197"/>
        <v>42.599809999999998</v>
      </c>
      <c r="M2815" s="11">
        <f t="shared" ca="1" si="198"/>
        <v>2.5841799999999999</v>
      </c>
      <c r="N2815" s="15">
        <f t="shared" ca="1" si="199"/>
        <v>10</v>
      </c>
      <c r="O2815" s="15">
        <f t="shared" ca="1" si="200"/>
        <v>26</v>
      </c>
      <c r="P2815" s="16">
        <f t="shared" ca="1" si="201"/>
        <v>6.7378599999999551</v>
      </c>
      <c r="Q2815" s="11" t="str">
        <f t="shared" ca="1" si="187"/>
        <v/>
      </c>
      <c r="R2815" s="11" t="str">
        <f t="shared" ca="1" si="188"/>
        <v/>
      </c>
      <c r="S2815" s="61" t="str">
        <f t="shared" ca="1" si="189"/>
        <v/>
      </c>
      <c r="T2815" s="11" t="str">
        <f t="shared" ca="1" si="190"/>
        <v/>
      </c>
      <c r="U2815" s="11" t="str">
        <f t="shared" ca="1" si="191"/>
        <v/>
      </c>
      <c r="V2815" s="18" t="str">
        <f t="shared" ca="1" si="192"/>
        <v/>
      </c>
      <c r="W2815" s="61" t="str">
        <f t="shared" ca="1" si="193"/>
        <v/>
      </c>
      <c r="X2815" s="61">
        <f t="shared" ca="1" si="194"/>
        <v>0</v>
      </c>
      <c r="Y2815" s="64" t="str">
        <f t="shared" ca="1" si="195"/>
        <v/>
      </c>
    </row>
    <row r="2816" spans="1:25">
      <c r="A2816" s="2">
        <f>+Get_Data!A2815</f>
        <v>43530</v>
      </c>
      <c r="B2816">
        <f>+ROUND(Get_Data!B2815,5)</f>
        <v>111.77361000000001</v>
      </c>
      <c r="C2816">
        <f>+ROUND(Get_Data!C2815,5)</f>
        <v>42.930410000000002</v>
      </c>
      <c r="D2816" s="4">
        <f t="shared" si="202"/>
        <v>2.6036000000000001</v>
      </c>
      <c r="E2816" s="22">
        <f t="shared" ca="1" si="181"/>
        <v>2.61104</v>
      </c>
      <c r="F2816" s="23">
        <f t="shared" ca="1" si="182"/>
        <v>2.2912499999999998</v>
      </c>
      <c r="G2816" s="10">
        <f t="shared" ca="1" si="183"/>
        <v>0</v>
      </c>
      <c r="H2816" s="12">
        <f t="shared" ca="1" si="184"/>
        <v>0</v>
      </c>
      <c r="I2816" s="11">
        <f t="shared" ca="1" si="185"/>
        <v>0</v>
      </c>
      <c r="J2816" s="11">
        <f t="shared" ca="1" si="186"/>
        <v>2</v>
      </c>
      <c r="K2816" s="10">
        <f t="shared" ca="1" si="196"/>
        <v>-110.08571999999999</v>
      </c>
      <c r="L2816" s="11">
        <f t="shared" ca="1" si="197"/>
        <v>42.599809999999998</v>
      </c>
      <c r="M2816" s="11">
        <f t="shared" ca="1" si="198"/>
        <v>2.5841799999999999</v>
      </c>
      <c r="N2816" s="15">
        <f t="shared" ca="1" si="199"/>
        <v>10</v>
      </c>
      <c r="O2816" s="15">
        <f t="shared" ca="1" si="200"/>
        <v>26</v>
      </c>
      <c r="P2816" s="16">
        <f t="shared" ca="1" si="201"/>
        <v>6.7378599999999551</v>
      </c>
      <c r="Q2816" s="11" t="str">
        <f t="shared" ca="1" si="187"/>
        <v/>
      </c>
      <c r="R2816" s="11" t="str">
        <f t="shared" ca="1" si="188"/>
        <v/>
      </c>
      <c r="S2816" s="61" t="str">
        <f t="shared" ca="1" si="189"/>
        <v/>
      </c>
      <c r="T2816" s="11" t="str">
        <f t="shared" ca="1" si="190"/>
        <v/>
      </c>
      <c r="U2816" s="11" t="str">
        <f t="shared" ca="1" si="191"/>
        <v/>
      </c>
      <c r="V2816" s="18" t="str">
        <f t="shared" ca="1" si="192"/>
        <v/>
      </c>
      <c r="W2816" s="61" t="str">
        <f t="shared" ca="1" si="193"/>
        <v/>
      </c>
      <c r="X2816" s="61">
        <f t="shared" ca="1" si="194"/>
        <v>0</v>
      </c>
      <c r="Y2816" s="64" t="str">
        <f t="shared" ca="1" si="195"/>
        <v/>
      </c>
    </row>
    <row r="2817" spans="1:25">
      <c r="A2817" s="2">
        <f>+Get_Data!A2816</f>
        <v>43531</v>
      </c>
      <c r="B2817">
        <f>+ROUND(Get_Data!B2816,5)</f>
        <v>111.23708000000001</v>
      </c>
      <c r="C2817">
        <f>+ROUND(Get_Data!C2816,5)</f>
        <v>42.769829999999999</v>
      </c>
      <c r="D2817" s="4">
        <f t="shared" si="202"/>
        <v>2.6008300000000002</v>
      </c>
      <c r="E2817" s="22">
        <f t="shared" ca="1" si="181"/>
        <v>2.61104</v>
      </c>
      <c r="F2817" s="23">
        <f t="shared" ca="1" si="182"/>
        <v>2.2912499999999998</v>
      </c>
      <c r="G2817" s="10">
        <f t="shared" ca="1" si="183"/>
        <v>0</v>
      </c>
      <c r="H2817" s="12">
        <f t="shared" ca="1" si="184"/>
        <v>0</v>
      </c>
      <c r="I2817" s="11">
        <f t="shared" ca="1" si="185"/>
        <v>0</v>
      </c>
      <c r="J2817" s="11">
        <f t="shared" ca="1" si="186"/>
        <v>2</v>
      </c>
      <c r="K2817" s="10">
        <f t="shared" ca="1" si="196"/>
        <v>-110.08571999999999</v>
      </c>
      <c r="L2817" s="11">
        <f t="shared" ca="1" si="197"/>
        <v>42.599809999999998</v>
      </c>
      <c r="M2817" s="11">
        <f t="shared" ca="1" si="198"/>
        <v>2.5841799999999999</v>
      </c>
      <c r="N2817" s="15">
        <f t="shared" ca="1" si="199"/>
        <v>10</v>
      </c>
      <c r="O2817" s="15">
        <f t="shared" ca="1" si="200"/>
        <v>26</v>
      </c>
      <c r="P2817" s="16">
        <f t="shared" ca="1" si="201"/>
        <v>6.7378599999999551</v>
      </c>
      <c r="Q2817" s="11" t="str">
        <f t="shared" ca="1" si="187"/>
        <v/>
      </c>
      <c r="R2817" s="11" t="str">
        <f t="shared" ca="1" si="188"/>
        <v/>
      </c>
      <c r="S2817" s="61" t="str">
        <f t="shared" ca="1" si="189"/>
        <v/>
      </c>
      <c r="T2817" s="11" t="str">
        <f t="shared" ca="1" si="190"/>
        <v/>
      </c>
      <c r="U2817" s="11" t="str">
        <f t="shared" ca="1" si="191"/>
        <v/>
      </c>
      <c r="V2817" s="18" t="str">
        <f t="shared" ca="1" si="192"/>
        <v/>
      </c>
      <c r="W2817" s="61" t="str">
        <f t="shared" ca="1" si="193"/>
        <v/>
      </c>
      <c r="X2817" s="61">
        <f t="shared" ca="1" si="194"/>
        <v>0</v>
      </c>
      <c r="Y2817" s="64" t="str">
        <f t="shared" ca="1" si="195"/>
        <v/>
      </c>
    </row>
    <row r="2818" spans="1:25">
      <c r="A2818" s="2">
        <f>+Get_Data!A2817</f>
        <v>43532</v>
      </c>
      <c r="B2818">
        <f>+ROUND(Get_Data!B2817,5)</f>
        <v>110.40352</v>
      </c>
      <c r="C2818">
        <f>+ROUND(Get_Data!C2817,5)</f>
        <v>42.354219999999998</v>
      </c>
      <c r="D2818" s="4">
        <f t="shared" si="202"/>
        <v>2.6066699999999998</v>
      </c>
      <c r="E2818" s="22">
        <f t="shared" ca="1" si="181"/>
        <v>2.61104</v>
      </c>
      <c r="F2818" s="23">
        <f t="shared" ca="1" si="182"/>
        <v>2.2912499999999998</v>
      </c>
      <c r="G2818" s="10">
        <f t="shared" ca="1" si="183"/>
        <v>0</v>
      </c>
      <c r="H2818" s="12">
        <f t="shared" ca="1" si="184"/>
        <v>0</v>
      </c>
      <c r="I2818" s="11">
        <f t="shared" ca="1" si="185"/>
        <v>0</v>
      </c>
      <c r="J2818" s="11">
        <f t="shared" ca="1" si="186"/>
        <v>2</v>
      </c>
      <c r="K2818" s="10">
        <f t="shared" ca="1" si="196"/>
        <v>-110.08571999999999</v>
      </c>
      <c r="L2818" s="11">
        <f t="shared" ca="1" si="197"/>
        <v>42.599809999999998</v>
      </c>
      <c r="M2818" s="11">
        <f t="shared" ca="1" si="198"/>
        <v>2.5841799999999999</v>
      </c>
      <c r="N2818" s="15">
        <f t="shared" ca="1" si="199"/>
        <v>10</v>
      </c>
      <c r="O2818" s="15">
        <f t="shared" ca="1" si="200"/>
        <v>26</v>
      </c>
      <c r="P2818" s="16">
        <f t="shared" ca="1" si="201"/>
        <v>6.7378599999999551</v>
      </c>
      <c r="Q2818" s="11" t="str">
        <f t="shared" ca="1" si="187"/>
        <v/>
      </c>
      <c r="R2818" s="11" t="str">
        <f t="shared" ca="1" si="188"/>
        <v/>
      </c>
      <c r="S2818" s="61" t="str">
        <f t="shared" ca="1" si="189"/>
        <v/>
      </c>
      <c r="T2818" s="11" t="str">
        <f t="shared" ca="1" si="190"/>
        <v/>
      </c>
      <c r="U2818" s="11" t="str">
        <f t="shared" ca="1" si="191"/>
        <v/>
      </c>
      <c r="V2818" s="18" t="str">
        <f t="shared" ca="1" si="192"/>
        <v/>
      </c>
      <c r="W2818" s="61" t="str">
        <f t="shared" ca="1" si="193"/>
        <v/>
      </c>
      <c r="X2818" s="61">
        <f t="shared" ca="1" si="194"/>
        <v>0</v>
      </c>
      <c r="Y2818" s="64" t="str">
        <f t="shared" ca="1" si="195"/>
        <v/>
      </c>
    </row>
    <row r="2819" spans="1:25">
      <c r="A2819" s="2">
        <f>+Get_Data!A2818</f>
        <v>43535</v>
      </c>
      <c r="B2819">
        <f>+ROUND(Get_Data!B2818,5)</f>
        <v>111.70654999999999</v>
      </c>
      <c r="C2819">
        <f>+ROUND(Get_Data!C2818,5)</f>
        <v>43.619929999999997</v>
      </c>
      <c r="D2819" s="4">
        <f t="shared" si="202"/>
        <v>2.5609099999999998</v>
      </c>
      <c r="E2819" s="22">
        <f t="shared" ca="1" si="181"/>
        <v>2.61104</v>
      </c>
      <c r="F2819" s="23">
        <f t="shared" ca="1" si="182"/>
        <v>2.2912499999999998</v>
      </c>
      <c r="G2819" s="10">
        <f t="shared" ca="1" si="183"/>
        <v>0</v>
      </c>
      <c r="H2819" s="12">
        <f t="shared" ca="1" si="184"/>
        <v>0</v>
      </c>
      <c r="I2819" s="11">
        <f t="shared" ca="1" si="185"/>
        <v>0</v>
      </c>
      <c r="J2819" s="11">
        <f t="shared" ca="1" si="186"/>
        <v>2</v>
      </c>
      <c r="K2819" s="10">
        <f t="shared" ca="1" si="196"/>
        <v>-110.08571999999999</v>
      </c>
      <c r="L2819" s="11">
        <f t="shared" ca="1" si="197"/>
        <v>42.599809999999998</v>
      </c>
      <c r="M2819" s="11">
        <f t="shared" ca="1" si="198"/>
        <v>2.5841799999999999</v>
      </c>
      <c r="N2819" s="15">
        <f t="shared" ca="1" si="199"/>
        <v>10</v>
      </c>
      <c r="O2819" s="15">
        <f t="shared" ca="1" si="200"/>
        <v>26</v>
      </c>
      <c r="P2819" s="16">
        <f t="shared" ca="1" si="201"/>
        <v>6.7378599999999551</v>
      </c>
      <c r="Q2819" s="11" t="str">
        <f t="shared" ca="1" si="187"/>
        <v/>
      </c>
      <c r="R2819" s="11" t="str">
        <f t="shared" ca="1" si="188"/>
        <v/>
      </c>
      <c r="S2819" s="61" t="str">
        <f t="shared" ca="1" si="189"/>
        <v/>
      </c>
      <c r="T2819" s="11" t="str">
        <f t="shared" ca="1" si="190"/>
        <v/>
      </c>
      <c r="U2819" s="11" t="str">
        <f t="shared" ca="1" si="191"/>
        <v/>
      </c>
      <c r="V2819" s="18" t="str">
        <f t="shared" ca="1" si="192"/>
        <v/>
      </c>
      <c r="W2819" s="61" t="str">
        <f t="shared" ca="1" si="193"/>
        <v/>
      </c>
      <c r="X2819" s="61">
        <f t="shared" ca="1" si="194"/>
        <v>0</v>
      </c>
      <c r="Y2819" s="64" t="str">
        <f t="shared" ca="1" si="195"/>
        <v/>
      </c>
    </row>
    <row r="2820" spans="1:25">
      <c r="A2820" s="2">
        <f>+Get_Data!A2819</f>
        <v>43536</v>
      </c>
      <c r="B2820">
        <f>+ROUND(Get_Data!B2819,5)</f>
        <v>111.68738999999999</v>
      </c>
      <c r="C2820">
        <f>+ROUND(Get_Data!C2819,5)</f>
        <v>43.497149999999998</v>
      </c>
      <c r="D2820" s="4">
        <f t="shared" si="202"/>
        <v>2.5676899999999998</v>
      </c>
      <c r="E2820" s="22">
        <f t="shared" ca="1" si="181"/>
        <v>2.61104</v>
      </c>
      <c r="F2820" s="23">
        <f t="shared" ca="1" si="182"/>
        <v>2.2912499999999998</v>
      </c>
      <c r="G2820" s="10">
        <f t="shared" ca="1" si="183"/>
        <v>0</v>
      </c>
      <c r="H2820" s="12">
        <f t="shared" ca="1" si="184"/>
        <v>0</v>
      </c>
      <c r="I2820" s="11">
        <f t="shared" ca="1" si="185"/>
        <v>0</v>
      </c>
      <c r="J2820" s="11">
        <f t="shared" ca="1" si="186"/>
        <v>2</v>
      </c>
      <c r="K2820" s="10">
        <f t="shared" ca="1" si="196"/>
        <v>-110.08571999999999</v>
      </c>
      <c r="L2820" s="11">
        <f t="shared" ca="1" si="197"/>
        <v>42.599809999999998</v>
      </c>
      <c r="M2820" s="11">
        <f t="shared" ca="1" si="198"/>
        <v>2.5841799999999999</v>
      </c>
      <c r="N2820" s="15">
        <f t="shared" ca="1" si="199"/>
        <v>10</v>
      </c>
      <c r="O2820" s="15">
        <f t="shared" ca="1" si="200"/>
        <v>26</v>
      </c>
      <c r="P2820" s="16">
        <f t="shared" ca="1" si="201"/>
        <v>6.7378599999999551</v>
      </c>
      <c r="Q2820" s="11" t="str">
        <f t="shared" ca="1" si="187"/>
        <v/>
      </c>
      <c r="R2820" s="11" t="str">
        <f t="shared" ca="1" si="188"/>
        <v/>
      </c>
      <c r="S2820" s="61" t="str">
        <f t="shared" ca="1" si="189"/>
        <v/>
      </c>
      <c r="T2820" s="11" t="str">
        <f t="shared" ca="1" si="190"/>
        <v/>
      </c>
      <c r="U2820" s="11" t="str">
        <f t="shared" ca="1" si="191"/>
        <v/>
      </c>
      <c r="V2820" s="18" t="str">
        <f t="shared" ca="1" si="192"/>
        <v/>
      </c>
      <c r="W2820" s="61" t="str">
        <f t="shared" ca="1" si="193"/>
        <v/>
      </c>
      <c r="X2820" s="61">
        <f t="shared" ca="1" si="194"/>
        <v>0</v>
      </c>
      <c r="Y2820" s="64" t="str">
        <f t="shared" ca="1" si="195"/>
        <v/>
      </c>
    </row>
    <row r="2821" spans="1:25">
      <c r="A2821" s="2">
        <f>+Get_Data!A2820</f>
        <v>43537</v>
      </c>
      <c r="B2821">
        <f>+ROUND(Get_Data!B2820,5)</f>
        <v>111.69698</v>
      </c>
      <c r="C2821">
        <f>+ROUND(Get_Data!C2820,5)</f>
        <v>43.657719999999998</v>
      </c>
      <c r="D2821" s="4">
        <f t="shared" si="202"/>
        <v>2.5584699999999998</v>
      </c>
      <c r="E2821" s="22">
        <f t="shared" ref="E2821:E2884" ca="1" si="203">+MAX(OFFSET(D2821,-$G$2+1,,$G$2))</f>
        <v>2.61104</v>
      </c>
      <c r="F2821" s="23">
        <f t="shared" ref="F2821:F2884" ca="1" si="204">+MIN(OFFSET(D2821,-$G$2+1,,$G$2))</f>
        <v>2.2912499999999998</v>
      </c>
      <c r="G2821" s="10">
        <f t="shared" ref="G2821:G2884" ca="1" si="205">+IF(E2821=D2821,1,0)</f>
        <v>0</v>
      </c>
      <c r="H2821" s="12">
        <f t="shared" ref="H2821:H2884" ca="1" si="206">+IF(F2821=D2821,1,0)</f>
        <v>0</v>
      </c>
      <c r="I2821" s="11">
        <f t="shared" ref="I2821:I2884" ca="1" si="207">+G2821-H2821</f>
        <v>0</v>
      </c>
      <c r="J2821" s="11">
        <f t="shared" ca="1" si="186"/>
        <v>2</v>
      </c>
      <c r="K2821" s="10">
        <f t="shared" ca="1" si="196"/>
        <v>-110.08571999999999</v>
      </c>
      <c r="L2821" s="11">
        <f t="shared" ca="1" si="197"/>
        <v>42.599809999999998</v>
      </c>
      <c r="M2821" s="11">
        <f t="shared" ca="1" si="198"/>
        <v>2.5841799999999999</v>
      </c>
      <c r="N2821" s="15">
        <f t="shared" ca="1" si="199"/>
        <v>10</v>
      </c>
      <c r="O2821" s="15">
        <f t="shared" ca="1" si="200"/>
        <v>26</v>
      </c>
      <c r="P2821" s="16">
        <f t="shared" ca="1" si="201"/>
        <v>6.7378599999999551</v>
      </c>
      <c r="Q2821" s="11" t="str">
        <f t="shared" ca="1" si="187"/>
        <v/>
      </c>
      <c r="R2821" s="11" t="str">
        <f t="shared" ca="1" si="188"/>
        <v/>
      </c>
      <c r="S2821" s="61" t="str">
        <f t="shared" ca="1" si="189"/>
        <v/>
      </c>
      <c r="T2821" s="11" t="str">
        <f t="shared" ca="1" si="190"/>
        <v/>
      </c>
      <c r="U2821" s="11" t="str">
        <f t="shared" ca="1" si="191"/>
        <v/>
      </c>
      <c r="V2821" s="18" t="str">
        <f t="shared" ca="1" si="192"/>
        <v/>
      </c>
      <c r="W2821" s="61" t="str">
        <f t="shared" ca="1" si="193"/>
        <v/>
      </c>
      <c r="X2821" s="61">
        <f t="shared" ca="1" si="194"/>
        <v>0</v>
      </c>
      <c r="Y2821" s="64" t="str">
        <f t="shared" ca="1" si="195"/>
        <v/>
      </c>
    </row>
    <row r="2822" spans="1:25">
      <c r="A2822" s="2">
        <f>+Get_Data!A2821</f>
        <v>43538</v>
      </c>
      <c r="B2822">
        <f>+ROUND(Get_Data!B2821,5)</f>
        <v>110.66221</v>
      </c>
      <c r="C2822">
        <f>+ROUND(Get_Data!C2821,5)</f>
        <v>43.543379999999999</v>
      </c>
      <c r="D2822" s="4">
        <f t="shared" si="202"/>
        <v>2.54142</v>
      </c>
      <c r="E2822" s="22">
        <f t="shared" ca="1" si="203"/>
        <v>2.61104</v>
      </c>
      <c r="F2822" s="23">
        <f t="shared" ca="1" si="204"/>
        <v>2.2912499999999998</v>
      </c>
      <c r="G2822" s="10">
        <f t="shared" ca="1" si="205"/>
        <v>0</v>
      </c>
      <c r="H2822" s="12">
        <f t="shared" ca="1" si="206"/>
        <v>0</v>
      </c>
      <c r="I2822" s="11">
        <f t="shared" ca="1" si="207"/>
        <v>0</v>
      </c>
      <c r="J2822" s="11">
        <f t="shared" ref="J2822:J2885" ca="1" si="208">+IF(AND(ABS(J2821)=2,ABS(I2822)=1),0,J2821+I2822)</f>
        <v>2</v>
      </c>
      <c r="K2822" s="10">
        <f t="shared" ca="1" si="196"/>
        <v>-110.08571999999999</v>
      </c>
      <c r="L2822" s="11">
        <f t="shared" ca="1" si="197"/>
        <v>42.599809999999998</v>
      </c>
      <c r="M2822" s="11">
        <f t="shared" ca="1" si="198"/>
        <v>2.5841799999999999</v>
      </c>
      <c r="N2822" s="15">
        <f t="shared" ca="1" si="199"/>
        <v>10</v>
      </c>
      <c r="O2822" s="15">
        <f t="shared" ca="1" si="200"/>
        <v>26</v>
      </c>
      <c r="P2822" s="16">
        <f t="shared" ca="1" si="201"/>
        <v>6.7378599999999551</v>
      </c>
      <c r="Q2822" s="11" t="str">
        <f t="shared" ca="1" si="187"/>
        <v/>
      </c>
      <c r="R2822" s="11" t="str">
        <f t="shared" ca="1" si="188"/>
        <v/>
      </c>
      <c r="S2822" s="61" t="str">
        <f t="shared" ca="1" si="189"/>
        <v/>
      </c>
      <c r="T2822" s="11" t="str">
        <f t="shared" ca="1" si="190"/>
        <v/>
      </c>
      <c r="U2822" s="11" t="str">
        <f t="shared" ca="1" si="191"/>
        <v/>
      </c>
      <c r="V2822" s="18" t="str">
        <f t="shared" ca="1" si="192"/>
        <v/>
      </c>
      <c r="W2822" s="61" t="str">
        <f t="shared" ca="1" si="193"/>
        <v/>
      </c>
      <c r="X2822" s="61">
        <f t="shared" ca="1" si="194"/>
        <v>0</v>
      </c>
      <c r="Y2822" s="64" t="str">
        <f t="shared" ca="1" si="195"/>
        <v/>
      </c>
    </row>
    <row r="2823" spans="1:25">
      <c r="A2823" s="2">
        <f>+Get_Data!A2822</f>
        <v>43539</v>
      </c>
      <c r="B2823">
        <f>+ROUND(Get_Data!B2822,5)</f>
        <v>110.81551</v>
      </c>
      <c r="C2823">
        <f>+ROUND(Get_Data!C2822,5)</f>
        <v>43.162260000000003</v>
      </c>
      <c r="D2823" s="4">
        <f t="shared" si="202"/>
        <v>2.5674199999999998</v>
      </c>
      <c r="E2823" s="22">
        <f t="shared" ca="1" si="203"/>
        <v>2.61104</v>
      </c>
      <c r="F2823" s="23">
        <f t="shared" ca="1" si="204"/>
        <v>2.2912499999999998</v>
      </c>
      <c r="G2823" s="10">
        <f t="shared" ca="1" si="205"/>
        <v>0</v>
      </c>
      <c r="H2823" s="12">
        <f t="shared" ca="1" si="206"/>
        <v>0</v>
      </c>
      <c r="I2823" s="11">
        <f t="shared" ca="1" si="207"/>
        <v>0</v>
      </c>
      <c r="J2823" s="11">
        <f t="shared" ca="1" si="208"/>
        <v>2</v>
      </c>
      <c r="K2823" s="10">
        <f t="shared" ca="1" si="196"/>
        <v>-110.08571999999999</v>
      </c>
      <c r="L2823" s="11">
        <f t="shared" ca="1" si="197"/>
        <v>42.599809999999998</v>
      </c>
      <c r="M2823" s="11">
        <f t="shared" ca="1" si="198"/>
        <v>2.5841799999999999</v>
      </c>
      <c r="N2823" s="15">
        <f t="shared" ca="1" si="199"/>
        <v>10</v>
      </c>
      <c r="O2823" s="15">
        <f t="shared" ca="1" si="200"/>
        <v>26</v>
      </c>
      <c r="P2823" s="16">
        <f t="shared" ca="1" si="201"/>
        <v>6.7378599999999551</v>
      </c>
      <c r="Q2823" s="11" t="str">
        <f t="shared" ca="1" si="187"/>
        <v/>
      </c>
      <c r="R2823" s="11" t="str">
        <f t="shared" ca="1" si="188"/>
        <v/>
      </c>
      <c r="S2823" s="61" t="str">
        <f t="shared" ca="1" si="189"/>
        <v/>
      </c>
      <c r="T2823" s="11" t="str">
        <f t="shared" ca="1" si="190"/>
        <v/>
      </c>
      <c r="U2823" s="11" t="str">
        <f t="shared" ca="1" si="191"/>
        <v/>
      </c>
      <c r="V2823" s="18" t="str">
        <f t="shared" ca="1" si="192"/>
        <v/>
      </c>
      <c r="W2823" s="61" t="str">
        <f t="shared" ca="1" si="193"/>
        <v/>
      </c>
      <c r="X2823" s="61">
        <f t="shared" ca="1" si="194"/>
        <v>0</v>
      </c>
      <c r="Y2823" s="64" t="str">
        <f t="shared" ca="1" si="195"/>
        <v/>
      </c>
    </row>
    <row r="2824" spans="1:25">
      <c r="A2824" s="2">
        <f>+Get_Data!A2823</f>
        <v>43542</v>
      </c>
      <c r="B2824">
        <f>+ROUND(Get_Data!B2823,5)</f>
        <v>112.35805999999999</v>
      </c>
      <c r="C2824">
        <f>+ROUND(Get_Data!C2823,5)</f>
        <v>43.267069999999997</v>
      </c>
      <c r="D2824" s="4">
        <f t="shared" si="202"/>
        <v>2.5968499999999999</v>
      </c>
      <c r="E2824" s="22">
        <f t="shared" ca="1" si="203"/>
        <v>2.61104</v>
      </c>
      <c r="F2824" s="23">
        <f t="shared" ca="1" si="204"/>
        <v>2.2912499999999998</v>
      </c>
      <c r="G2824" s="10">
        <f t="shared" ca="1" si="205"/>
        <v>0</v>
      </c>
      <c r="H2824" s="12">
        <f t="shared" ca="1" si="206"/>
        <v>0</v>
      </c>
      <c r="I2824" s="11">
        <f t="shared" ca="1" si="207"/>
        <v>0</v>
      </c>
      <c r="J2824" s="11">
        <f t="shared" ca="1" si="208"/>
        <v>2</v>
      </c>
      <c r="K2824" s="10">
        <f t="shared" ca="1" si="196"/>
        <v>-110.08571999999999</v>
      </c>
      <c r="L2824" s="11">
        <f t="shared" ca="1" si="197"/>
        <v>42.599809999999998</v>
      </c>
      <c r="M2824" s="11">
        <f t="shared" ca="1" si="198"/>
        <v>2.5841799999999999</v>
      </c>
      <c r="N2824" s="15">
        <f t="shared" ca="1" si="199"/>
        <v>10</v>
      </c>
      <c r="O2824" s="15">
        <f t="shared" ca="1" si="200"/>
        <v>26</v>
      </c>
      <c r="P2824" s="16">
        <f t="shared" ca="1" si="201"/>
        <v>6.7378599999999551</v>
      </c>
      <c r="Q2824" s="11" t="str">
        <f t="shared" ca="1" si="187"/>
        <v/>
      </c>
      <c r="R2824" s="11" t="str">
        <f t="shared" ca="1" si="188"/>
        <v/>
      </c>
      <c r="S2824" s="61" t="str">
        <f t="shared" ca="1" si="189"/>
        <v/>
      </c>
      <c r="T2824" s="11" t="str">
        <f t="shared" ca="1" si="190"/>
        <v/>
      </c>
      <c r="U2824" s="11" t="str">
        <f t="shared" ca="1" si="191"/>
        <v/>
      </c>
      <c r="V2824" s="18" t="str">
        <f t="shared" ca="1" si="192"/>
        <v/>
      </c>
      <c r="W2824" s="61" t="str">
        <f t="shared" ca="1" si="193"/>
        <v/>
      </c>
      <c r="X2824" s="61">
        <f t="shared" ca="1" si="194"/>
        <v>0</v>
      </c>
      <c r="Y2824" s="64" t="str">
        <f t="shared" ca="1" si="195"/>
        <v/>
      </c>
    </row>
    <row r="2825" spans="1:25">
      <c r="A2825" s="2">
        <f>+Get_Data!A2824</f>
        <v>43543</v>
      </c>
      <c r="B2825">
        <f>+ROUND(Get_Data!B2824,5)</f>
        <v>113.14371</v>
      </c>
      <c r="C2825">
        <f>+ROUND(Get_Data!C2824,5)</f>
        <v>43.409990000000001</v>
      </c>
      <c r="D2825" s="4">
        <f t="shared" si="202"/>
        <v>2.6063999999999998</v>
      </c>
      <c r="E2825" s="22">
        <f t="shared" ca="1" si="203"/>
        <v>2.61104</v>
      </c>
      <c r="F2825" s="23">
        <f t="shared" ca="1" si="204"/>
        <v>2.3055599999999998</v>
      </c>
      <c r="G2825" s="10">
        <f t="shared" ca="1" si="205"/>
        <v>0</v>
      </c>
      <c r="H2825" s="12">
        <f t="shared" ca="1" si="206"/>
        <v>0</v>
      </c>
      <c r="I2825" s="11">
        <f t="shared" ca="1" si="207"/>
        <v>0</v>
      </c>
      <c r="J2825" s="11">
        <f t="shared" ca="1" si="208"/>
        <v>2</v>
      </c>
      <c r="K2825" s="10">
        <f t="shared" ca="1" si="196"/>
        <v>-110.08571999999999</v>
      </c>
      <c r="L2825" s="11">
        <f t="shared" ca="1" si="197"/>
        <v>42.599809999999998</v>
      </c>
      <c r="M2825" s="11">
        <f t="shared" ca="1" si="198"/>
        <v>2.5841799999999999</v>
      </c>
      <c r="N2825" s="15">
        <f t="shared" ca="1" si="199"/>
        <v>10</v>
      </c>
      <c r="O2825" s="15">
        <f t="shared" ca="1" si="200"/>
        <v>26</v>
      </c>
      <c r="P2825" s="16">
        <f t="shared" ca="1" si="201"/>
        <v>6.7378599999999551</v>
      </c>
      <c r="Q2825" s="11" t="str">
        <f t="shared" ca="1" si="187"/>
        <v/>
      </c>
      <c r="R2825" s="11" t="str">
        <f t="shared" ca="1" si="188"/>
        <v/>
      </c>
      <c r="S2825" s="61" t="str">
        <f t="shared" ca="1" si="189"/>
        <v/>
      </c>
      <c r="T2825" s="11" t="str">
        <f t="shared" ca="1" si="190"/>
        <v/>
      </c>
      <c r="U2825" s="11" t="str">
        <f t="shared" ca="1" si="191"/>
        <v/>
      </c>
      <c r="V2825" s="18" t="str">
        <f t="shared" ca="1" si="192"/>
        <v/>
      </c>
      <c r="W2825" s="61" t="str">
        <f t="shared" ca="1" si="193"/>
        <v/>
      </c>
      <c r="X2825" s="61">
        <f t="shared" ca="1" si="194"/>
        <v>0</v>
      </c>
      <c r="Y2825" s="64" t="str">
        <f t="shared" ca="1" si="195"/>
        <v/>
      </c>
    </row>
    <row r="2826" spans="1:25">
      <c r="A2826" s="2">
        <f>+Get_Data!A2825</f>
        <v>43544</v>
      </c>
      <c r="B2826">
        <f>+ROUND(Get_Data!B2825,5)</f>
        <v>113.36409</v>
      </c>
      <c r="C2826">
        <f>+ROUND(Get_Data!C2825,5)</f>
        <v>43.381399999999999</v>
      </c>
      <c r="D2826" s="4">
        <f t="shared" si="202"/>
        <v>2.6132</v>
      </c>
      <c r="E2826" s="22">
        <f t="shared" ca="1" si="203"/>
        <v>2.6132</v>
      </c>
      <c r="F2826" s="23">
        <f t="shared" ca="1" si="204"/>
        <v>2.3062100000000001</v>
      </c>
      <c r="G2826" s="10">
        <f t="shared" ca="1" si="205"/>
        <v>1</v>
      </c>
      <c r="H2826" s="12">
        <f t="shared" ca="1" si="206"/>
        <v>0</v>
      </c>
      <c r="I2826" s="11">
        <f t="shared" ca="1" si="207"/>
        <v>1</v>
      </c>
      <c r="J2826" s="11">
        <f t="shared" ca="1" si="208"/>
        <v>0</v>
      </c>
      <c r="K2826" s="10">
        <f t="shared" ca="1" si="196"/>
        <v>-110.08571999999999</v>
      </c>
      <c r="L2826" s="11">
        <f t="shared" ca="1" si="197"/>
        <v>42.599809999999998</v>
      </c>
      <c r="M2826" s="11">
        <f t="shared" ca="1" si="198"/>
        <v>2.5841799999999999</v>
      </c>
      <c r="N2826" s="15">
        <f t="shared" ca="1" si="199"/>
        <v>10</v>
      </c>
      <c r="O2826" s="15">
        <f t="shared" ca="1" si="200"/>
        <v>26</v>
      </c>
      <c r="P2826" s="16">
        <f t="shared" ca="1" si="201"/>
        <v>6.7378599999999551</v>
      </c>
      <c r="Q2826" s="11" t="str">
        <f t="shared" ca="1" si="187"/>
        <v/>
      </c>
      <c r="R2826" s="11" t="str">
        <f t="shared" ca="1" si="188"/>
        <v/>
      </c>
      <c r="S2826" s="61" t="str">
        <f t="shared" ca="1" si="189"/>
        <v/>
      </c>
      <c r="T2826" s="11" t="str">
        <f t="shared" ca="1" si="190"/>
        <v/>
      </c>
      <c r="U2826" s="11" t="str">
        <f t="shared" ca="1" si="191"/>
        <v/>
      </c>
      <c r="V2826" s="18" t="str">
        <f t="shared" ca="1" si="192"/>
        <v/>
      </c>
      <c r="W2826" s="61" t="str">
        <f t="shared" ca="1" si="193"/>
        <v/>
      </c>
      <c r="X2826" s="61">
        <f t="shared" ca="1" si="194"/>
        <v>0</v>
      </c>
      <c r="Y2826" s="64" t="str">
        <f t="shared" ca="1" si="195"/>
        <v/>
      </c>
    </row>
    <row r="2827" spans="1:25">
      <c r="A2827" s="2">
        <f>+Get_Data!A2826</f>
        <v>43545</v>
      </c>
      <c r="B2827">
        <f>+ROUND(Get_Data!B2826,5)</f>
        <v>114.43716999999999</v>
      </c>
      <c r="C2827">
        <f>+ROUND(Get_Data!C2826,5)</f>
        <v>43.362340000000003</v>
      </c>
      <c r="D2827" s="4">
        <f t="shared" si="202"/>
        <v>2.6390899999999999</v>
      </c>
      <c r="E2827" s="22">
        <f t="shared" ca="1" si="203"/>
        <v>2.6390899999999999</v>
      </c>
      <c r="F2827" s="23">
        <f t="shared" ca="1" si="204"/>
        <v>2.4849000000000001</v>
      </c>
      <c r="G2827" s="10">
        <f t="shared" ca="1" si="205"/>
        <v>1</v>
      </c>
      <c r="H2827" s="12">
        <f t="shared" ca="1" si="206"/>
        <v>0</v>
      </c>
      <c r="I2827" s="11">
        <f t="shared" ca="1" si="207"/>
        <v>1</v>
      </c>
      <c r="J2827" s="11">
        <f t="shared" ca="1" si="208"/>
        <v>1</v>
      </c>
      <c r="K2827" s="10" t="str">
        <f t="shared" ca="1" si="196"/>
        <v/>
      </c>
      <c r="L2827" s="11" t="str">
        <f t="shared" ca="1" si="197"/>
        <v/>
      </c>
      <c r="M2827" s="11" t="str">
        <f t="shared" ca="1" si="198"/>
        <v/>
      </c>
      <c r="N2827" s="15" t="str">
        <f t="shared" ca="1" si="199"/>
        <v/>
      </c>
      <c r="O2827" s="15" t="str">
        <f t="shared" ca="1" si="200"/>
        <v/>
      </c>
      <c r="P2827" s="16" t="str">
        <f t="shared" ca="1" si="201"/>
        <v/>
      </c>
      <c r="Q2827" s="11">
        <f t="shared" ca="1" si="187"/>
        <v>114.43716999999999</v>
      </c>
      <c r="R2827" s="11">
        <f t="shared" ca="1" si="188"/>
        <v>43.362340000000003</v>
      </c>
      <c r="S2827" s="61">
        <f t="shared" ca="1" si="189"/>
        <v>2.6390899999999999</v>
      </c>
      <c r="T2827" s="11">
        <f t="shared" ca="1" si="190"/>
        <v>10</v>
      </c>
      <c r="U2827" s="11">
        <f t="shared" ca="1" si="191"/>
        <v>26</v>
      </c>
      <c r="V2827" s="18">
        <f t="shared" ca="1" si="192"/>
        <v>-2245.2289000000001</v>
      </c>
      <c r="W2827" s="61">
        <f t="shared" ca="1" si="193"/>
        <v>2235.0159000000003</v>
      </c>
      <c r="X2827" s="61">
        <f t="shared" ca="1" si="194"/>
        <v>-10.212999999999738</v>
      </c>
      <c r="Y2827" s="64">
        <f t="shared" ca="1" si="195"/>
        <v>-9.058729125496507E-3</v>
      </c>
    </row>
    <row r="2828" spans="1:25">
      <c r="A2828" s="2">
        <f>+Get_Data!A2827</f>
        <v>43546</v>
      </c>
      <c r="B2828">
        <f>+ROUND(Get_Data!B2827,5)</f>
        <v>115.66357000000001</v>
      </c>
      <c r="C2828">
        <f>+ROUND(Get_Data!C2827,5)</f>
        <v>43.762529999999998</v>
      </c>
      <c r="D2828" s="4">
        <f t="shared" si="202"/>
        <v>2.6429800000000001</v>
      </c>
      <c r="E2828" s="22">
        <f t="shared" ca="1" si="203"/>
        <v>2.6429800000000001</v>
      </c>
      <c r="F2828" s="23">
        <f t="shared" ca="1" si="204"/>
        <v>2.54142</v>
      </c>
      <c r="G2828" s="10">
        <f t="shared" ca="1" si="205"/>
        <v>1</v>
      </c>
      <c r="H2828" s="12">
        <f t="shared" ca="1" si="206"/>
        <v>0</v>
      </c>
      <c r="I2828" s="11">
        <f t="shared" ca="1" si="207"/>
        <v>1</v>
      </c>
      <c r="J2828" s="11">
        <f t="shared" ca="1" si="208"/>
        <v>2</v>
      </c>
      <c r="K2828" s="10">
        <f t="shared" ca="1" si="196"/>
        <v>-115.66357000000001</v>
      </c>
      <c r="L2828" s="11">
        <f t="shared" ca="1" si="197"/>
        <v>43.762529999999998</v>
      </c>
      <c r="M2828" s="11">
        <f t="shared" ca="1" si="198"/>
        <v>2.6429800000000001</v>
      </c>
      <c r="N2828" s="15">
        <f t="shared" ca="1" si="199"/>
        <v>10</v>
      </c>
      <c r="O2828" s="15">
        <f t="shared" ca="1" si="200"/>
        <v>26</v>
      </c>
      <c r="P2828" s="16">
        <f t="shared" ca="1" si="201"/>
        <v>-18.809920000000147</v>
      </c>
      <c r="Q2828" s="11" t="str">
        <f t="shared" ca="1" si="187"/>
        <v/>
      </c>
      <c r="R2828" s="11" t="str">
        <f t="shared" ca="1" si="188"/>
        <v/>
      </c>
      <c r="S2828" s="61" t="str">
        <f t="shared" ca="1" si="189"/>
        <v/>
      </c>
      <c r="T2828" s="11" t="str">
        <f t="shared" ca="1" si="190"/>
        <v/>
      </c>
      <c r="U2828" s="11" t="str">
        <f t="shared" ca="1" si="191"/>
        <v/>
      </c>
      <c r="V2828" s="18" t="str">
        <f t="shared" ca="1" si="192"/>
        <v/>
      </c>
      <c r="W2828" s="61" t="str">
        <f t="shared" ca="1" si="193"/>
        <v/>
      </c>
      <c r="X2828" s="61">
        <f t="shared" ca="1" si="194"/>
        <v>0</v>
      </c>
      <c r="Y2828" s="64" t="str">
        <f t="shared" ca="1" si="195"/>
        <v/>
      </c>
    </row>
    <row r="2829" spans="1:25">
      <c r="A2829" s="2">
        <f>+Get_Data!A2828</f>
        <v>43549</v>
      </c>
      <c r="B2829">
        <f>+ROUND(Get_Data!B2828,5)</f>
        <v>115.78812000000001</v>
      </c>
      <c r="C2829">
        <f>+ROUND(Get_Data!C2828,5)</f>
        <v>43.857810000000001</v>
      </c>
      <c r="D2829" s="4">
        <f t="shared" si="202"/>
        <v>2.6400800000000002</v>
      </c>
      <c r="E2829" s="22">
        <f t="shared" ca="1" si="203"/>
        <v>2.6429800000000001</v>
      </c>
      <c r="F2829" s="23">
        <f t="shared" ca="1" si="204"/>
        <v>2.54142</v>
      </c>
      <c r="G2829" s="10">
        <f t="shared" ca="1" si="205"/>
        <v>0</v>
      </c>
      <c r="H2829" s="12">
        <f t="shared" ca="1" si="206"/>
        <v>0</v>
      </c>
      <c r="I2829" s="11">
        <f t="shared" ca="1" si="207"/>
        <v>0</v>
      </c>
      <c r="J2829" s="11">
        <f t="shared" ca="1" si="208"/>
        <v>2</v>
      </c>
      <c r="K2829" s="10">
        <f t="shared" ca="1" si="196"/>
        <v>-115.66357000000001</v>
      </c>
      <c r="L2829" s="11">
        <f t="shared" ca="1" si="197"/>
        <v>43.762529999999998</v>
      </c>
      <c r="M2829" s="11">
        <f t="shared" ca="1" si="198"/>
        <v>2.6429800000000001</v>
      </c>
      <c r="N2829" s="15">
        <f t="shared" ca="1" si="199"/>
        <v>10</v>
      </c>
      <c r="O2829" s="15">
        <f t="shared" ca="1" si="200"/>
        <v>26</v>
      </c>
      <c r="P2829" s="16">
        <f t="shared" ca="1" si="201"/>
        <v>-18.809920000000147</v>
      </c>
      <c r="Q2829" s="11" t="str">
        <f t="shared" ca="1" si="187"/>
        <v/>
      </c>
      <c r="R2829" s="11" t="str">
        <f t="shared" ca="1" si="188"/>
        <v/>
      </c>
      <c r="S2829" s="61" t="str">
        <f t="shared" ca="1" si="189"/>
        <v/>
      </c>
      <c r="T2829" s="11" t="str">
        <f t="shared" ca="1" si="190"/>
        <v/>
      </c>
      <c r="U2829" s="11" t="str">
        <f t="shared" ca="1" si="191"/>
        <v/>
      </c>
      <c r="V2829" s="18" t="str">
        <f t="shared" ca="1" si="192"/>
        <v/>
      </c>
      <c r="W2829" s="61" t="str">
        <f t="shared" ca="1" si="193"/>
        <v/>
      </c>
      <c r="X2829" s="61">
        <f t="shared" ca="1" si="194"/>
        <v>0</v>
      </c>
      <c r="Y2829" s="64" t="str">
        <f t="shared" ca="1" si="195"/>
        <v/>
      </c>
    </row>
    <row r="2830" spans="1:25">
      <c r="A2830" s="2">
        <f>+Get_Data!A2829</f>
        <v>43550</v>
      </c>
      <c r="B2830">
        <f>+ROUND(Get_Data!B2829,5)</f>
        <v>116.9091</v>
      </c>
      <c r="C2830">
        <f>+ROUND(Get_Data!C2829,5)</f>
        <v>44.439019999999999</v>
      </c>
      <c r="D2830" s="4">
        <f t="shared" si="202"/>
        <v>2.6307800000000001</v>
      </c>
      <c r="E2830" s="22">
        <f t="shared" ca="1" si="203"/>
        <v>2.6429800000000001</v>
      </c>
      <c r="F2830" s="23">
        <f t="shared" ca="1" si="204"/>
        <v>2.54142</v>
      </c>
      <c r="G2830" s="10">
        <f t="shared" ca="1" si="205"/>
        <v>0</v>
      </c>
      <c r="H2830" s="12">
        <f t="shared" ca="1" si="206"/>
        <v>0</v>
      </c>
      <c r="I2830" s="11">
        <f t="shared" ca="1" si="207"/>
        <v>0</v>
      </c>
      <c r="J2830" s="11">
        <f t="shared" ca="1" si="208"/>
        <v>2</v>
      </c>
      <c r="K2830" s="10">
        <f t="shared" ca="1" si="196"/>
        <v>-115.66357000000001</v>
      </c>
      <c r="L2830" s="11">
        <f t="shared" ca="1" si="197"/>
        <v>43.762529999999998</v>
      </c>
      <c r="M2830" s="11">
        <f t="shared" ca="1" si="198"/>
        <v>2.6429800000000001</v>
      </c>
      <c r="N2830" s="15">
        <f t="shared" ca="1" si="199"/>
        <v>10</v>
      </c>
      <c r="O2830" s="15">
        <f t="shared" ca="1" si="200"/>
        <v>26</v>
      </c>
      <c r="P2830" s="16">
        <f t="shared" ca="1" si="201"/>
        <v>-18.809920000000147</v>
      </c>
      <c r="Q2830" s="11" t="str">
        <f t="shared" ca="1" si="187"/>
        <v/>
      </c>
      <c r="R2830" s="11" t="str">
        <f t="shared" ca="1" si="188"/>
        <v/>
      </c>
      <c r="S2830" s="61" t="str">
        <f t="shared" ca="1" si="189"/>
        <v/>
      </c>
      <c r="T2830" s="11" t="str">
        <f t="shared" ca="1" si="190"/>
        <v/>
      </c>
      <c r="U2830" s="11" t="str">
        <f t="shared" ca="1" si="191"/>
        <v/>
      </c>
      <c r="V2830" s="18" t="str">
        <f t="shared" ca="1" si="192"/>
        <v/>
      </c>
      <c r="W2830" s="61" t="str">
        <f t="shared" ca="1" si="193"/>
        <v/>
      </c>
      <c r="X2830" s="61">
        <f t="shared" ca="1" si="194"/>
        <v>0</v>
      </c>
      <c r="Y2830" s="64" t="str">
        <f t="shared" ca="1" si="195"/>
        <v/>
      </c>
    </row>
    <row r="2831" spans="1:25">
      <c r="A2831" s="2">
        <f>+Get_Data!A2830</f>
        <v>43551</v>
      </c>
      <c r="B2831">
        <f>+ROUND(Get_Data!B2830,5)</f>
        <v>116.78455</v>
      </c>
      <c r="C2831">
        <f>+ROUND(Get_Data!C2830,5)</f>
        <v>44.410429999999998</v>
      </c>
      <c r="D2831" s="4">
        <f t="shared" si="202"/>
        <v>2.6296599999999999</v>
      </c>
      <c r="E2831" s="22">
        <f t="shared" ca="1" si="203"/>
        <v>2.6429800000000001</v>
      </c>
      <c r="F2831" s="23">
        <f t="shared" ca="1" si="204"/>
        <v>2.54142</v>
      </c>
      <c r="G2831" s="10">
        <f t="shared" ca="1" si="205"/>
        <v>0</v>
      </c>
      <c r="H2831" s="12">
        <f t="shared" ca="1" si="206"/>
        <v>0</v>
      </c>
      <c r="I2831" s="11">
        <f t="shared" ca="1" si="207"/>
        <v>0</v>
      </c>
      <c r="J2831" s="11">
        <f t="shared" ca="1" si="208"/>
        <v>2</v>
      </c>
      <c r="K2831" s="10">
        <f t="shared" ca="1" si="196"/>
        <v>-115.66357000000001</v>
      </c>
      <c r="L2831" s="11">
        <f t="shared" ca="1" si="197"/>
        <v>43.762529999999998</v>
      </c>
      <c r="M2831" s="11">
        <f t="shared" ca="1" si="198"/>
        <v>2.6429800000000001</v>
      </c>
      <c r="N2831" s="15">
        <f t="shared" ca="1" si="199"/>
        <v>10</v>
      </c>
      <c r="O2831" s="15">
        <f t="shared" ca="1" si="200"/>
        <v>26</v>
      </c>
      <c r="P2831" s="16">
        <f t="shared" ca="1" si="201"/>
        <v>-18.809920000000147</v>
      </c>
      <c r="Q2831" s="11" t="str">
        <f t="shared" ca="1" si="187"/>
        <v/>
      </c>
      <c r="R2831" s="11" t="str">
        <f t="shared" ca="1" si="188"/>
        <v/>
      </c>
      <c r="S2831" s="61" t="str">
        <f t="shared" ca="1" si="189"/>
        <v/>
      </c>
      <c r="T2831" s="11" t="str">
        <f t="shared" ca="1" si="190"/>
        <v/>
      </c>
      <c r="U2831" s="11" t="str">
        <f t="shared" ca="1" si="191"/>
        <v/>
      </c>
      <c r="V2831" s="18" t="str">
        <f t="shared" ca="1" si="192"/>
        <v/>
      </c>
      <c r="W2831" s="61" t="str">
        <f t="shared" ca="1" si="193"/>
        <v/>
      </c>
      <c r="X2831" s="61">
        <f t="shared" ca="1" si="194"/>
        <v>0</v>
      </c>
      <c r="Y2831" s="64" t="str">
        <f t="shared" ca="1" si="195"/>
        <v/>
      </c>
    </row>
    <row r="2832" spans="1:25">
      <c r="A2832" s="2">
        <f>+Get_Data!A2831</f>
        <v>43552</v>
      </c>
      <c r="B2832">
        <f>+ROUND(Get_Data!B2831,5)</f>
        <v>116.73665</v>
      </c>
      <c r="C2832">
        <f>+ROUND(Get_Data!C2831,5)</f>
        <v>44.381860000000003</v>
      </c>
      <c r="D2832" s="4">
        <f t="shared" si="202"/>
        <v>2.63028</v>
      </c>
      <c r="E2832" s="22">
        <f t="shared" ca="1" si="203"/>
        <v>2.6429800000000001</v>
      </c>
      <c r="F2832" s="23">
        <f t="shared" ca="1" si="204"/>
        <v>2.54142</v>
      </c>
      <c r="G2832" s="10">
        <f t="shared" ca="1" si="205"/>
        <v>0</v>
      </c>
      <c r="H2832" s="12">
        <f t="shared" ca="1" si="206"/>
        <v>0</v>
      </c>
      <c r="I2832" s="11">
        <f t="shared" ca="1" si="207"/>
        <v>0</v>
      </c>
      <c r="J2832" s="11">
        <f t="shared" ca="1" si="208"/>
        <v>2</v>
      </c>
      <c r="K2832" s="10">
        <f t="shared" ca="1" si="196"/>
        <v>-115.66357000000001</v>
      </c>
      <c r="L2832" s="11">
        <f t="shared" ca="1" si="197"/>
        <v>43.762529999999998</v>
      </c>
      <c r="M2832" s="11">
        <f t="shared" ca="1" si="198"/>
        <v>2.6429800000000001</v>
      </c>
      <c r="N2832" s="15">
        <f t="shared" ca="1" si="199"/>
        <v>10</v>
      </c>
      <c r="O2832" s="15">
        <f t="shared" ca="1" si="200"/>
        <v>26</v>
      </c>
      <c r="P2832" s="16">
        <f t="shared" ca="1" si="201"/>
        <v>-18.809920000000147</v>
      </c>
      <c r="Q2832" s="11" t="str">
        <f t="shared" ca="1" si="187"/>
        <v/>
      </c>
      <c r="R2832" s="11" t="str">
        <f t="shared" ca="1" si="188"/>
        <v/>
      </c>
      <c r="S2832" s="61" t="str">
        <f t="shared" ca="1" si="189"/>
        <v/>
      </c>
      <c r="T2832" s="11" t="str">
        <f t="shared" ca="1" si="190"/>
        <v/>
      </c>
      <c r="U2832" s="11" t="str">
        <f t="shared" ca="1" si="191"/>
        <v/>
      </c>
      <c r="V2832" s="18" t="str">
        <f t="shared" ca="1" si="192"/>
        <v/>
      </c>
      <c r="W2832" s="61" t="str">
        <f t="shared" ca="1" si="193"/>
        <v/>
      </c>
      <c r="X2832" s="61">
        <f t="shared" ca="1" si="194"/>
        <v>0</v>
      </c>
      <c r="Y2832" s="64" t="str">
        <f t="shared" ca="1" si="195"/>
        <v/>
      </c>
    </row>
    <row r="2833" spans="1:25">
      <c r="A2833" s="2">
        <f>+Get_Data!A2832</f>
        <v>43553</v>
      </c>
      <c r="B2833">
        <f>+ROUND(Get_Data!B2832,5)</f>
        <v>117.41691</v>
      </c>
      <c r="C2833">
        <f>+ROUND(Get_Data!C2832,5)</f>
        <v>44.64864</v>
      </c>
      <c r="D2833" s="4">
        <f t="shared" si="202"/>
        <v>2.6297999999999999</v>
      </c>
      <c r="E2833" s="22">
        <f t="shared" ca="1" si="203"/>
        <v>2.6429800000000001</v>
      </c>
      <c r="F2833" s="23">
        <f t="shared" ca="1" si="204"/>
        <v>2.54142</v>
      </c>
      <c r="G2833" s="10">
        <f t="shared" ca="1" si="205"/>
        <v>0</v>
      </c>
      <c r="H2833" s="12">
        <f t="shared" ca="1" si="206"/>
        <v>0</v>
      </c>
      <c r="I2833" s="11">
        <f t="shared" ca="1" si="207"/>
        <v>0</v>
      </c>
      <c r="J2833" s="11">
        <f t="shared" ca="1" si="208"/>
        <v>2</v>
      </c>
      <c r="K2833" s="10">
        <f t="shared" ca="1" si="196"/>
        <v>-115.66357000000001</v>
      </c>
      <c r="L2833" s="11">
        <f t="shared" ca="1" si="197"/>
        <v>43.762529999999998</v>
      </c>
      <c r="M2833" s="11">
        <f t="shared" ca="1" si="198"/>
        <v>2.6429800000000001</v>
      </c>
      <c r="N2833" s="15">
        <f t="shared" ca="1" si="199"/>
        <v>10</v>
      </c>
      <c r="O2833" s="15">
        <f t="shared" ca="1" si="200"/>
        <v>26</v>
      </c>
      <c r="P2833" s="16">
        <f t="shared" ca="1" si="201"/>
        <v>-18.809920000000147</v>
      </c>
      <c r="Q2833" s="11" t="str">
        <f t="shared" ca="1" si="187"/>
        <v/>
      </c>
      <c r="R2833" s="11" t="str">
        <f t="shared" ca="1" si="188"/>
        <v/>
      </c>
      <c r="S2833" s="61" t="str">
        <f t="shared" ca="1" si="189"/>
        <v/>
      </c>
      <c r="T2833" s="11" t="str">
        <f t="shared" ca="1" si="190"/>
        <v/>
      </c>
      <c r="U2833" s="11" t="str">
        <f t="shared" ca="1" si="191"/>
        <v/>
      </c>
      <c r="V2833" s="18" t="str">
        <f t="shared" ca="1" si="192"/>
        <v/>
      </c>
      <c r="W2833" s="61" t="str">
        <f t="shared" ca="1" si="193"/>
        <v/>
      </c>
      <c r="X2833" s="61">
        <f t="shared" ca="1" si="194"/>
        <v>0</v>
      </c>
      <c r="Y2833" s="64" t="str">
        <f t="shared" ca="1" si="195"/>
        <v/>
      </c>
    </row>
    <row r="2834" spans="1:25">
      <c r="A2834" s="2">
        <f>+Get_Data!A2833</f>
        <v>43556</v>
      </c>
      <c r="B2834">
        <f>+ROUND(Get_Data!B2833,5)</f>
        <v>116.88996</v>
      </c>
      <c r="C2834">
        <f>+ROUND(Get_Data!C2833,5)</f>
        <v>44.515250000000002</v>
      </c>
      <c r="D2834" s="4">
        <f t="shared" si="202"/>
        <v>2.6258400000000002</v>
      </c>
      <c r="E2834" s="22">
        <f t="shared" ca="1" si="203"/>
        <v>2.6429800000000001</v>
      </c>
      <c r="F2834" s="23">
        <f t="shared" ca="1" si="204"/>
        <v>2.54142</v>
      </c>
      <c r="G2834" s="10">
        <f t="shared" ca="1" si="205"/>
        <v>0</v>
      </c>
      <c r="H2834" s="12">
        <f t="shared" ca="1" si="206"/>
        <v>0</v>
      </c>
      <c r="I2834" s="11">
        <f t="shared" ca="1" si="207"/>
        <v>0</v>
      </c>
      <c r="J2834" s="11">
        <f t="shared" ca="1" si="208"/>
        <v>2</v>
      </c>
      <c r="K2834" s="10">
        <f t="shared" ca="1" si="196"/>
        <v>-115.66357000000001</v>
      </c>
      <c r="L2834" s="11">
        <f t="shared" ca="1" si="197"/>
        <v>43.762529999999998</v>
      </c>
      <c r="M2834" s="11">
        <f t="shared" ca="1" si="198"/>
        <v>2.6429800000000001</v>
      </c>
      <c r="N2834" s="15">
        <f t="shared" ca="1" si="199"/>
        <v>10</v>
      </c>
      <c r="O2834" s="15">
        <f t="shared" ca="1" si="200"/>
        <v>26</v>
      </c>
      <c r="P2834" s="16">
        <f t="shared" ca="1" si="201"/>
        <v>-18.809920000000147</v>
      </c>
      <c r="Q2834" s="11" t="str">
        <f t="shared" ca="1" si="187"/>
        <v/>
      </c>
      <c r="R2834" s="11" t="str">
        <f t="shared" ca="1" si="188"/>
        <v/>
      </c>
      <c r="S2834" s="61" t="str">
        <f t="shared" ca="1" si="189"/>
        <v/>
      </c>
      <c r="T2834" s="11" t="str">
        <f t="shared" ca="1" si="190"/>
        <v/>
      </c>
      <c r="U2834" s="11" t="str">
        <f t="shared" ca="1" si="191"/>
        <v/>
      </c>
      <c r="V2834" s="18" t="str">
        <f t="shared" ca="1" si="192"/>
        <v/>
      </c>
      <c r="W2834" s="61" t="str">
        <f t="shared" ca="1" si="193"/>
        <v/>
      </c>
      <c r="X2834" s="61">
        <f t="shared" ca="1" si="194"/>
        <v>0</v>
      </c>
      <c r="Y2834" s="64" t="str">
        <f t="shared" ca="1" si="195"/>
        <v/>
      </c>
    </row>
    <row r="2835" spans="1:25">
      <c r="A2835" s="2">
        <f>+Get_Data!A2834</f>
        <v>43557</v>
      </c>
      <c r="B2835">
        <f>+ROUND(Get_Data!B2834,5)</f>
        <v>116.58335</v>
      </c>
      <c r="C2835">
        <f>+ROUND(Get_Data!C2834,5)</f>
        <v>44.372329999999998</v>
      </c>
      <c r="D2835" s="4">
        <f t="shared" si="202"/>
        <v>2.6273900000000001</v>
      </c>
      <c r="E2835" s="22">
        <f t="shared" ca="1" si="203"/>
        <v>2.6429800000000001</v>
      </c>
      <c r="F2835" s="23">
        <f t="shared" ca="1" si="204"/>
        <v>2.54142</v>
      </c>
      <c r="G2835" s="10">
        <f t="shared" ca="1" si="205"/>
        <v>0</v>
      </c>
      <c r="H2835" s="12">
        <f t="shared" ca="1" si="206"/>
        <v>0</v>
      </c>
      <c r="I2835" s="11">
        <f t="shared" ca="1" si="207"/>
        <v>0</v>
      </c>
      <c r="J2835" s="11">
        <f t="shared" ca="1" si="208"/>
        <v>2</v>
      </c>
      <c r="K2835" s="10">
        <f t="shared" ca="1" si="196"/>
        <v>-115.66357000000001</v>
      </c>
      <c r="L2835" s="11">
        <f t="shared" ca="1" si="197"/>
        <v>43.762529999999998</v>
      </c>
      <c r="M2835" s="11">
        <f t="shared" ca="1" si="198"/>
        <v>2.6429800000000001</v>
      </c>
      <c r="N2835" s="15">
        <f t="shared" ca="1" si="199"/>
        <v>10</v>
      </c>
      <c r="O2835" s="15">
        <f t="shared" ca="1" si="200"/>
        <v>26</v>
      </c>
      <c r="P2835" s="16">
        <f t="shared" ca="1" si="201"/>
        <v>-18.809920000000147</v>
      </c>
      <c r="Q2835" s="11" t="str">
        <f t="shared" ref="Q2835:Q2898" ca="1" si="209">+IF(ISNUMBER(T2835),B2835,"")</f>
        <v/>
      </c>
      <c r="R2835" s="11" t="str">
        <f t="shared" ref="R2835:R2898" ca="1" si="210">+IF(ISNUMBER(U2835),C2835,"")</f>
        <v/>
      </c>
      <c r="S2835" s="61" t="str">
        <f t="shared" ref="S2835:S2898" ca="1" si="211">+IF(ISNUMBER(T2835),D2835,"")</f>
        <v/>
      </c>
      <c r="T2835" s="11" t="str">
        <f t="shared" ref="T2835:T2898" ca="1" si="212">+IF(AND(ISNUMBER(N2834),NOT(ISNUMBER(N2835))),N2834,"")</f>
        <v/>
      </c>
      <c r="U2835" s="11" t="str">
        <f t="shared" ref="U2835:U2898" ca="1" si="213">+IF(AND(ISNUMBER(O2834),NOT(ISNUMBER(O2835))),O2834,"")</f>
        <v/>
      </c>
      <c r="V2835" s="18" t="str">
        <f t="shared" ref="V2835:V2898" ca="1" si="214">+IFERROR(T2835*(K2834-Q2835),"")</f>
        <v/>
      </c>
      <c r="W2835" s="61" t="str">
        <f t="shared" ref="W2835:W2898" ca="1" si="215">+IFERROR(U2835*(L2834+R2835),"")</f>
        <v/>
      </c>
      <c r="X2835" s="61">
        <f t="shared" ref="X2835:X2898" ca="1" si="216">+IFERROR(SUM(V2835:W2835),"")</f>
        <v>0</v>
      </c>
      <c r="Y2835" s="64" t="str">
        <f t="shared" ref="Y2835:Y2898" ca="1" si="217">IFERROR(+X2835/ABS(R2835*U2835),"")</f>
        <v/>
      </c>
    </row>
    <row r="2836" spans="1:25">
      <c r="A2836" s="2">
        <f>+Get_Data!A2835</f>
        <v>43558</v>
      </c>
      <c r="B2836">
        <f>+ROUND(Get_Data!B2835,5)</f>
        <v>116.46838</v>
      </c>
      <c r="C2836">
        <f>+ROUND(Get_Data!C2835,5)</f>
        <v>44.000729999999997</v>
      </c>
      <c r="D2836" s="4">
        <f t="shared" si="202"/>
        <v>2.64696</v>
      </c>
      <c r="E2836" s="22">
        <f t="shared" ca="1" si="203"/>
        <v>2.64696</v>
      </c>
      <c r="F2836" s="23">
        <f t="shared" ca="1" si="204"/>
        <v>2.54142</v>
      </c>
      <c r="G2836" s="10">
        <f t="shared" ca="1" si="205"/>
        <v>1</v>
      </c>
      <c r="H2836" s="12">
        <f t="shared" ca="1" si="206"/>
        <v>0</v>
      </c>
      <c r="I2836" s="11">
        <f t="shared" ca="1" si="207"/>
        <v>1</v>
      </c>
      <c r="J2836" s="11">
        <f t="shared" ca="1" si="208"/>
        <v>0</v>
      </c>
      <c r="K2836" s="10">
        <f t="shared" ca="1" si="196"/>
        <v>-115.66357000000001</v>
      </c>
      <c r="L2836" s="11">
        <f t="shared" ca="1" si="197"/>
        <v>43.762529999999998</v>
      </c>
      <c r="M2836" s="11">
        <f t="shared" ca="1" si="198"/>
        <v>2.6429800000000001</v>
      </c>
      <c r="N2836" s="15">
        <f t="shared" ca="1" si="199"/>
        <v>10</v>
      </c>
      <c r="O2836" s="15">
        <f t="shared" ca="1" si="200"/>
        <v>26</v>
      </c>
      <c r="P2836" s="16">
        <f t="shared" ca="1" si="201"/>
        <v>-18.809920000000147</v>
      </c>
      <c r="Q2836" s="11" t="str">
        <f t="shared" ca="1" si="209"/>
        <v/>
      </c>
      <c r="R2836" s="11" t="str">
        <f t="shared" ca="1" si="210"/>
        <v/>
      </c>
      <c r="S2836" s="61" t="str">
        <f t="shared" ca="1" si="211"/>
        <v/>
      </c>
      <c r="T2836" s="11" t="str">
        <f t="shared" ca="1" si="212"/>
        <v/>
      </c>
      <c r="U2836" s="11" t="str">
        <f t="shared" ca="1" si="213"/>
        <v/>
      </c>
      <c r="V2836" s="18" t="str">
        <f t="shared" ca="1" si="214"/>
        <v/>
      </c>
      <c r="W2836" s="61" t="str">
        <f t="shared" ca="1" si="215"/>
        <v/>
      </c>
      <c r="X2836" s="61">
        <f t="shared" ca="1" si="216"/>
        <v>0</v>
      </c>
      <c r="Y2836" s="64" t="str">
        <f t="shared" ca="1" si="217"/>
        <v/>
      </c>
    </row>
    <row r="2837" spans="1:25">
      <c r="A2837" s="2">
        <f>+Get_Data!A2836</f>
        <v>43559</v>
      </c>
      <c r="B2837">
        <f>+ROUND(Get_Data!B2836,5)</f>
        <v>116.38215</v>
      </c>
      <c r="C2837">
        <f>+ROUND(Get_Data!C2836,5)</f>
        <v>44.286580000000001</v>
      </c>
      <c r="D2837" s="4">
        <f t="shared" si="202"/>
        <v>2.6279300000000001</v>
      </c>
      <c r="E2837" s="22">
        <f t="shared" ca="1" si="203"/>
        <v>2.64696</v>
      </c>
      <c r="F2837" s="23">
        <f t="shared" ca="1" si="204"/>
        <v>2.54142</v>
      </c>
      <c r="G2837" s="10">
        <f t="shared" ca="1" si="205"/>
        <v>0</v>
      </c>
      <c r="H2837" s="12">
        <f t="shared" ca="1" si="206"/>
        <v>0</v>
      </c>
      <c r="I2837" s="11">
        <f t="shared" ca="1" si="207"/>
        <v>0</v>
      </c>
      <c r="J2837" s="11">
        <f t="shared" ca="1" si="208"/>
        <v>0</v>
      </c>
      <c r="K2837" s="10" t="str">
        <f t="shared" ca="1" si="196"/>
        <v/>
      </c>
      <c r="L2837" s="11" t="str">
        <f t="shared" ca="1" si="197"/>
        <v/>
      </c>
      <c r="M2837" s="11" t="str">
        <f t="shared" ca="1" si="198"/>
        <v/>
      </c>
      <c r="N2837" s="15" t="str">
        <f t="shared" ca="1" si="199"/>
        <v/>
      </c>
      <c r="O2837" s="15" t="str">
        <f t="shared" ca="1" si="200"/>
        <v/>
      </c>
      <c r="P2837" s="16" t="str">
        <f t="shared" ca="1" si="201"/>
        <v/>
      </c>
      <c r="Q2837" s="11">
        <f t="shared" ca="1" si="209"/>
        <v>116.38215</v>
      </c>
      <c r="R2837" s="11">
        <f t="shared" ca="1" si="210"/>
        <v>44.286580000000001</v>
      </c>
      <c r="S2837" s="61">
        <f t="shared" ca="1" si="211"/>
        <v>2.6279300000000001</v>
      </c>
      <c r="T2837" s="11">
        <f t="shared" ca="1" si="212"/>
        <v>10</v>
      </c>
      <c r="U2837" s="11">
        <f t="shared" ca="1" si="213"/>
        <v>26</v>
      </c>
      <c r="V2837" s="18">
        <f t="shared" ca="1" si="214"/>
        <v>-2320.4572000000003</v>
      </c>
      <c r="W2837" s="61">
        <f t="shared" ca="1" si="215"/>
        <v>2289.2768599999999</v>
      </c>
      <c r="X2837" s="61">
        <f t="shared" ca="1" si="216"/>
        <v>-31.180340000000342</v>
      </c>
      <c r="Y2837" s="64">
        <f t="shared" ca="1" si="217"/>
        <v>-2.7079170397756144E-2</v>
      </c>
    </row>
    <row r="2838" spans="1:25">
      <c r="A2838" s="2">
        <f>+Get_Data!A2837</f>
        <v>43560</v>
      </c>
      <c r="B2838">
        <f>+ROUND(Get_Data!B2837,5)</f>
        <v>116.52585999999999</v>
      </c>
      <c r="C2838">
        <f>+ROUND(Get_Data!C2837,5)</f>
        <v>44.27704</v>
      </c>
      <c r="D2838" s="4">
        <f t="shared" si="202"/>
        <v>2.6317400000000002</v>
      </c>
      <c r="E2838" s="22">
        <f t="shared" ca="1" si="203"/>
        <v>2.64696</v>
      </c>
      <c r="F2838" s="23">
        <f t="shared" ca="1" si="204"/>
        <v>2.54142</v>
      </c>
      <c r="G2838" s="10">
        <f t="shared" ca="1" si="205"/>
        <v>0</v>
      </c>
      <c r="H2838" s="12">
        <f t="shared" ca="1" si="206"/>
        <v>0</v>
      </c>
      <c r="I2838" s="11">
        <f t="shared" ca="1" si="207"/>
        <v>0</v>
      </c>
      <c r="J2838" s="11">
        <f t="shared" ca="1" si="208"/>
        <v>0</v>
      </c>
      <c r="K2838" s="10" t="str">
        <f t="shared" ca="1" si="196"/>
        <v/>
      </c>
      <c r="L2838" s="11" t="str">
        <f t="shared" ca="1" si="197"/>
        <v/>
      </c>
      <c r="M2838" s="11" t="str">
        <f t="shared" ca="1" si="198"/>
        <v/>
      </c>
      <c r="N2838" s="15" t="str">
        <f t="shared" ca="1" si="199"/>
        <v/>
      </c>
      <c r="O2838" s="15" t="str">
        <f t="shared" ca="1" si="200"/>
        <v/>
      </c>
      <c r="P2838" s="16" t="str">
        <f t="shared" ca="1" si="201"/>
        <v/>
      </c>
      <c r="Q2838" s="11" t="str">
        <f t="shared" ca="1" si="209"/>
        <v/>
      </c>
      <c r="R2838" s="11" t="str">
        <f t="shared" ca="1" si="210"/>
        <v/>
      </c>
      <c r="S2838" s="61" t="str">
        <f t="shared" ca="1" si="211"/>
        <v/>
      </c>
      <c r="T2838" s="11" t="str">
        <f t="shared" ca="1" si="212"/>
        <v/>
      </c>
      <c r="U2838" s="11" t="str">
        <f t="shared" ca="1" si="213"/>
        <v/>
      </c>
      <c r="V2838" s="18" t="str">
        <f t="shared" ca="1" si="214"/>
        <v/>
      </c>
      <c r="W2838" s="61" t="str">
        <f t="shared" ca="1" si="215"/>
        <v/>
      </c>
      <c r="X2838" s="61">
        <f t="shared" ca="1" si="216"/>
        <v>0</v>
      </c>
      <c r="Y2838" s="64" t="str">
        <f t="shared" ca="1" si="217"/>
        <v/>
      </c>
    </row>
    <row r="2839" spans="1:25">
      <c r="A2839" s="2">
        <f>+Get_Data!A2838</f>
        <v>43563</v>
      </c>
      <c r="B2839">
        <f>+ROUND(Get_Data!B2838,5)</f>
        <v>116.88996</v>
      </c>
      <c r="C2839">
        <f>+ROUND(Get_Data!C2838,5)</f>
        <v>44.353270000000002</v>
      </c>
      <c r="D2839" s="4">
        <f t="shared" si="202"/>
        <v>2.6354299999999999</v>
      </c>
      <c r="E2839" s="22">
        <f t="shared" ca="1" si="203"/>
        <v>2.64696</v>
      </c>
      <c r="F2839" s="23">
        <f t="shared" ca="1" si="204"/>
        <v>2.54142</v>
      </c>
      <c r="G2839" s="10">
        <f t="shared" ca="1" si="205"/>
        <v>0</v>
      </c>
      <c r="H2839" s="12">
        <f t="shared" ca="1" si="206"/>
        <v>0</v>
      </c>
      <c r="I2839" s="11">
        <f t="shared" ca="1" si="207"/>
        <v>0</v>
      </c>
      <c r="J2839" s="11">
        <f t="shared" ca="1" si="208"/>
        <v>0</v>
      </c>
      <c r="K2839" s="10" t="str">
        <f t="shared" ca="1" si="196"/>
        <v/>
      </c>
      <c r="L2839" s="11" t="str">
        <f t="shared" ca="1" si="197"/>
        <v/>
      </c>
      <c r="M2839" s="11" t="str">
        <f t="shared" ca="1" si="198"/>
        <v/>
      </c>
      <c r="N2839" s="15" t="str">
        <f t="shared" ca="1" si="199"/>
        <v/>
      </c>
      <c r="O2839" s="15" t="str">
        <f t="shared" ca="1" si="200"/>
        <v/>
      </c>
      <c r="P2839" s="16" t="str">
        <f t="shared" ca="1" si="201"/>
        <v/>
      </c>
      <c r="Q2839" s="11" t="str">
        <f t="shared" ca="1" si="209"/>
        <v/>
      </c>
      <c r="R2839" s="11" t="str">
        <f t="shared" ca="1" si="210"/>
        <v/>
      </c>
      <c r="S2839" s="61" t="str">
        <f t="shared" ca="1" si="211"/>
        <v/>
      </c>
      <c r="T2839" s="11" t="str">
        <f t="shared" ca="1" si="212"/>
        <v/>
      </c>
      <c r="U2839" s="11" t="str">
        <f t="shared" ca="1" si="213"/>
        <v/>
      </c>
      <c r="V2839" s="18" t="str">
        <f t="shared" ca="1" si="214"/>
        <v/>
      </c>
      <c r="W2839" s="61" t="str">
        <f t="shared" ca="1" si="215"/>
        <v/>
      </c>
      <c r="X2839" s="61">
        <f t="shared" ca="1" si="216"/>
        <v>0</v>
      </c>
      <c r="Y2839" s="64" t="str">
        <f t="shared" ca="1" si="217"/>
        <v/>
      </c>
    </row>
    <row r="2840" spans="1:25">
      <c r="A2840" s="2">
        <f>+Get_Data!A2839</f>
        <v>43564</v>
      </c>
      <c r="B2840">
        <f>+ROUND(Get_Data!B2839,5)</f>
        <v>117.05283</v>
      </c>
      <c r="C2840">
        <f>+ROUND(Get_Data!C2839,5)</f>
        <v>44.467610000000001</v>
      </c>
      <c r="D2840" s="4">
        <f t="shared" si="202"/>
        <v>2.63232</v>
      </c>
      <c r="E2840" s="22">
        <f t="shared" ca="1" si="203"/>
        <v>2.64696</v>
      </c>
      <c r="F2840" s="23">
        <f t="shared" ca="1" si="204"/>
        <v>2.54142</v>
      </c>
      <c r="G2840" s="10">
        <f t="shared" ca="1" si="205"/>
        <v>0</v>
      </c>
      <c r="H2840" s="12">
        <f t="shared" ca="1" si="206"/>
        <v>0</v>
      </c>
      <c r="I2840" s="11">
        <f t="shared" ca="1" si="207"/>
        <v>0</v>
      </c>
      <c r="J2840" s="11">
        <f t="shared" ca="1" si="208"/>
        <v>0</v>
      </c>
      <c r="K2840" s="10" t="str">
        <f t="shared" ca="1" si="196"/>
        <v/>
      </c>
      <c r="L2840" s="11" t="str">
        <f t="shared" ca="1" si="197"/>
        <v/>
      </c>
      <c r="M2840" s="11" t="str">
        <f t="shared" ca="1" si="198"/>
        <v/>
      </c>
      <c r="N2840" s="15" t="str">
        <f t="shared" ca="1" si="199"/>
        <v/>
      </c>
      <c r="O2840" s="15" t="str">
        <f t="shared" ca="1" si="200"/>
        <v/>
      </c>
      <c r="P2840" s="16" t="str">
        <f t="shared" ca="1" si="201"/>
        <v/>
      </c>
      <c r="Q2840" s="11" t="str">
        <f t="shared" ca="1" si="209"/>
        <v/>
      </c>
      <c r="R2840" s="11" t="str">
        <f t="shared" ca="1" si="210"/>
        <v/>
      </c>
      <c r="S2840" s="61" t="str">
        <f t="shared" ca="1" si="211"/>
        <v/>
      </c>
      <c r="T2840" s="11" t="str">
        <f t="shared" ca="1" si="212"/>
        <v/>
      </c>
      <c r="U2840" s="11" t="str">
        <f t="shared" ca="1" si="213"/>
        <v/>
      </c>
      <c r="V2840" s="18" t="str">
        <f t="shared" ca="1" si="214"/>
        <v/>
      </c>
      <c r="W2840" s="61" t="str">
        <f t="shared" ca="1" si="215"/>
        <v/>
      </c>
      <c r="X2840" s="61">
        <f t="shared" ca="1" si="216"/>
        <v>0</v>
      </c>
      <c r="Y2840" s="64" t="str">
        <f t="shared" ca="1" si="217"/>
        <v/>
      </c>
    </row>
    <row r="2841" spans="1:25">
      <c r="A2841" s="2">
        <f>+Get_Data!A2840</f>
        <v>43565</v>
      </c>
      <c r="B2841">
        <f>+ROUND(Get_Data!B2840,5)</f>
        <v>116.92828</v>
      </c>
      <c r="C2841">
        <f>+ROUND(Get_Data!C2840,5)</f>
        <v>44.439019999999999</v>
      </c>
      <c r="D2841" s="4">
        <f t="shared" si="202"/>
        <v>2.6312099999999998</v>
      </c>
      <c r="E2841" s="22">
        <f t="shared" ca="1" si="203"/>
        <v>2.64696</v>
      </c>
      <c r="F2841" s="23">
        <f t="shared" ca="1" si="204"/>
        <v>2.54142</v>
      </c>
      <c r="G2841" s="10">
        <f t="shared" ca="1" si="205"/>
        <v>0</v>
      </c>
      <c r="H2841" s="12">
        <f t="shared" ca="1" si="206"/>
        <v>0</v>
      </c>
      <c r="I2841" s="11">
        <f t="shared" ca="1" si="207"/>
        <v>0</v>
      </c>
      <c r="J2841" s="11">
        <f t="shared" ca="1" si="208"/>
        <v>0</v>
      </c>
      <c r="K2841" s="10" t="str">
        <f t="shared" ca="1" si="196"/>
        <v/>
      </c>
      <c r="L2841" s="11" t="str">
        <f t="shared" ca="1" si="197"/>
        <v/>
      </c>
      <c r="M2841" s="11" t="str">
        <f t="shared" ca="1" si="198"/>
        <v/>
      </c>
      <c r="N2841" s="15" t="str">
        <f t="shared" ca="1" si="199"/>
        <v/>
      </c>
      <c r="O2841" s="15" t="str">
        <f t="shared" ca="1" si="200"/>
        <v/>
      </c>
      <c r="P2841" s="16" t="str">
        <f t="shared" ca="1" si="201"/>
        <v/>
      </c>
      <c r="Q2841" s="11" t="str">
        <f t="shared" ca="1" si="209"/>
        <v/>
      </c>
      <c r="R2841" s="11" t="str">
        <f t="shared" ca="1" si="210"/>
        <v/>
      </c>
      <c r="S2841" s="61" t="str">
        <f t="shared" ca="1" si="211"/>
        <v/>
      </c>
      <c r="T2841" s="11" t="str">
        <f t="shared" ca="1" si="212"/>
        <v/>
      </c>
      <c r="U2841" s="11" t="str">
        <f t="shared" ca="1" si="213"/>
        <v/>
      </c>
      <c r="V2841" s="18" t="str">
        <f t="shared" ca="1" si="214"/>
        <v/>
      </c>
      <c r="W2841" s="61" t="str">
        <f t="shared" ca="1" si="215"/>
        <v/>
      </c>
      <c r="X2841" s="61">
        <f t="shared" ca="1" si="216"/>
        <v>0</v>
      </c>
      <c r="Y2841" s="64" t="str">
        <f t="shared" ca="1" si="217"/>
        <v/>
      </c>
    </row>
    <row r="2842" spans="1:25">
      <c r="A2842" s="2">
        <f>+Get_Data!A2841</f>
        <v>43566</v>
      </c>
      <c r="B2842">
        <f>+ROUND(Get_Data!B2841,5)</f>
        <v>116.57378</v>
      </c>
      <c r="C2842">
        <f>+ROUND(Get_Data!C2841,5)</f>
        <v>44.505719999999997</v>
      </c>
      <c r="D2842" s="4">
        <f t="shared" si="202"/>
        <v>2.6193</v>
      </c>
      <c r="E2842" s="22">
        <f t="shared" ca="1" si="203"/>
        <v>2.64696</v>
      </c>
      <c r="F2842" s="23">
        <f t="shared" ca="1" si="204"/>
        <v>2.54142</v>
      </c>
      <c r="G2842" s="10">
        <f t="shared" ca="1" si="205"/>
        <v>0</v>
      </c>
      <c r="H2842" s="12">
        <f t="shared" ca="1" si="206"/>
        <v>0</v>
      </c>
      <c r="I2842" s="11">
        <f t="shared" ca="1" si="207"/>
        <v>0</v>
      </c>
      <c r="J2842" s="11">
        <f t="shared" ca="1" si="208"/>
        <v>0</v>
      </c>
      <c r="K2842" s="10" t="str">
        <f t="shared" ref="K2842:K2905" ca="1" si="218">+IF($J2841=0,"",IF(AND(ABS($J2841)=1,ABS($I2841)=1),-$J2841*B2842,K2841))</f>
        <v/>
      </c>
      <c r="L2842" s="11" t="str">
        <f t="shared" ref="L2842:L2905" ca="1" si="219">+IF($J2841=0,"",IF(AND(ABS($J2841)=1,ABS($I2841)=1),$J2841*C2842,L2841))</f>
        <v/>
      </c>
      <c r="M2842" s="11" t="str">
        <f t="shared" ref="M2842:M2905" ca="1" si="220">+IF($J2841=0,"",IF(AND(ABS($J2841)=1,ABS($I2841)=1),D2842,M2841))</f>
        <v/>
      </c>
      <c r="N2842" s="15" t="str">
        <f t="shared" ref="N2842:N2905" ca="1" si="221">+IF(ISNUMBER(K2842),stocks,"")</f>
        <v/>
      </c>
      <c r="O2842" s="15" t="str">
        <f t="shared" ref="O2842:O2905" ca="1" si="222">+IFERROR(ROUND(N2842*M2842,0),"")</f>
        <v/>
      </c>
      <c r="P2842" s="16" t="str">
        <f t="shared" ref="P2842:P2905" ca="1" si="223">IFERROR(+N2842*K2842+O2842*L2842,"")</f>
        <v/>
      </c>
      <c r="Q2842" s="11" t="str">
        <f t="shared" ca="1" si="209"/>
        <v/>
      </c>
      <c r="R2842" s="11" t="str">
        <f t="shared" ca="1" si="210"/>
        <v/>
      </c>
      <c r="S2842" s="61" t="str">
        <f t="shared" ca="1" si="211"/>
        <v/>
      </c>
      <c r="T2842" s="11" t="str">
        <f t="shared" ca="1" si="212"/>
        <v/>
      </c>
      <c r="U2842" s="11" t="str">
        <f t="shared" ca="1" si="213"/>
        <v/>
      </c>
      <c r="V2842" s="18" t="str">
        <f t="shared" ca="1" si="214"/>
        <v/>
      </c>
      <c r="W2842" s="61" t="str">
        <f t="shared" ca="1" si="215"/>
        <v/>
      </c>
      <c r="X2842" s="61">
        <f t="shared" ca="1" si="216"/>
        <v>0</v>
      </c>
      <c r="Y2842" s="64" t="str">
        <f t="shared" ca="1" si="217"/>
        <v/>
      </c>
    </row>
    <row r="2843" spans="1:25">
      <c r="A2843" s="2">
        <f>+Get_Data!A2842</f>
        <v>43567</v>
      </c>
      <c r="B2843">
        <f>+ROUND(Get_Data!B2842,5)</f>
        <v>117.11032</v>
      </c>
      <c r="C2843">
        <f>+ROUND(Get_Data!C2842,5)</f>
        <v>44.534309999999998</v>
      </c>
      <c r="D2843" s="4">
        <f t="shared" si="202"/>
        <v>2.62967</v>
      </c>
      <c r="E2843" s="22">
        <f t="shared" ca="1" si="203"/>
        <v>2.64696</v>
      </c>
      <c r="F2843" s="23">
        <f t="shared" ca="1" si="204"/>
        <v>2.54142</v>
      </c>
      <c r="G2843" s="10">
        <f t="shared" ca="1" si="205"/>
        <v>0</v>
      </c>
      <c r="H2843" s="12">
        <f t="shared" ca="1" si="206"/>
        <v>0</v>
      </c>
      <c r="I2843" s="11">
        <f t="shared" ca="1" si="207"/>
        <v>0</v>
      </c>
      <c r="J2843" s="11">
        <f t="shared" ca="1" si="208"/>
        <v>0</v>
      </c>
      <c r="K2843" s="10" t="str">
        <f t="shared" ca="1" si="218"/>
        <v/>
      </c>
      <c r="L2843" s="11" t="str">
        <f t="shared" ca="1" si="219"/>
        <v/>
      </c>
      <c r="M2843" s="11" t="str">
        <f t="shared" ca="1" si="220"/>
        <v/>
      </c>
      <c r="N2843" s="15" t="str">
        <f t="shared" ca="1" si="221"/>
        <v/>
      </c>
      <c r="O2843" s="15" t="str">
        <f t="shared" ca="1" si="222"/>
        <v/>
      </c>
      <c r="P2843" s="16" t="str">
        <f t="shared" ca="1" si="223"/>
        <v/>
      </c>
      <c r="Q2843" s="11" t="str">
        <f t="shared" ca="1" si="209"/>
        <v/>
      </c>
      <c r="R2843" s="11" t="str">
        <f t="shared" ca="1" si="210"/>
        <v/>
      </c>
      <c r="S2843" s="61" t="str">
        <f t="shared" ca="1" si="211"/>
        <v/>
      </c>
      <c r="T2843" s="11" t="str">
        <f t="shared" ca="1" si="212"/>
        <v/>
      </c>
      <c r="U2843" s="11" t="str">
        <f t="shared" ca="1" si="213"/>
        <v/>
      </c>
      <c r="V2843" s="18" t="str">
        <f t="shared" ca="1" si="214"/>
        <v/>
      </c>
      <c r="W2843" s="61" t="str">
        <f t="shared" ca="1" si="215"/>
        <v/>
      </c>
      <c r="X2843" s="61">
        <f t="shared" ca="1" si="216"/>
        <v>0</v>
      </c>
      <c r="Y2843" s="64" t="str">
        <f t="shared" ca="1" si="217"/>
        <v/>
      </c>
    </row>
    <row r="2844" spans="1:25">
      <c r="A2844" s="2">
        <f>+Get_Data!A2843</f>
        <v>43570</v>
      </c>
      <c r="B2844">
        <f>+ROUND(Get_Data!B2843,5)</f>
        <v>118.48042</v>
      </c>
      <c r="C2844">
        <f>+ROUND(Get_Data!C2843,5)</f>
        <v>44.782040000000002</v>
      </c>
      <c r="D2844" s="4">
        <f t="shared" si="202"/>
        <v>2.6457099999999998</v>
      </c>
      <c r="E2844" s="22">
        <f t="shared" ca="1" si="203"/>
        <v>2.64696</v>
      </c>
      <c r="F2844" s="23">
        <f t="shared" ca="1" si="204"/>
        <v>2.54142</v>
      </c>
      <c r="G2844" s="10">
        <f t="shared" ca="1" si="205"/>
        <v>0</v>
      </c>
      <c r="H2844" s="12">
        <f t="shared" ca="1" si="206"/>
        <v>0</v>
      </c>
      <c r="I2844" s="11">
        <f t="shared" ca="1" si="207"/>
        <v>0</v>
      </c>
      <c r="J2844" s="11">
        <f t="shared" ca="1" si="208"/>
        <v>0</v>
      </c>
      <c r="K2844" s="10" t="str">
        <f t="shared" ca="1" si="218"/>
        <v/>
      </c>
      <c r="L2844" s="11" t="str">
        <f t="shared" ca="1" si="219"/>
        <v/>
      </c>
      <c r="M2844" s="11" t="str">
        <f t="shared" ca="1" si="220"/>
        <v/>
      </c>
      <c r="N2844" s="15" t="str">
        <f t="shared" ca="1" si="221"/>
        <v/>
      </c>
      <c r="O2844" s="15" t="str">
        <f t="shared" ca="1" si="222"/>
        <v/>
      </c>
      <c r="P2844" s="16" t="str">
        <f t="shared" ca="1" si="223"/>
        <v/>
      </c>
      <c r="Q2844" s="11" t="str">
        <f t="shared" ca="1" si="209"/>
        <v/>
      </c>
      <c r="R2844" s="11" t="str">
        <f t="shared" ca="1" si="210"/>
        <v/>
      </c>
      <c r="S2844" s="61" t="str">
        <f t="shared" ca="1" si="211"/>
        <v/>
      </c>
      <c r="T2844" s="11" t="str">
        <f t="shared" ca="1" si="212"/>
        <v/>
      </c>
      <c r="U2844" s="11" t="str">
        <f t="shared" ca="1" si="213"/>
        <v/>
      </c>
      <c r="V2844" s="18" t="str">
        <f t="shared" ca="1" si="214"/>
        <v/>
      </c>
      <c r="W2844" s="61" t="str">
        <f t="shared" ca="1" si="215"/>
        <v/>
      </c>
      <c r="X2844" s="61">
        <f t="shared" ca="1" si="216"/>
        <v>0</v>
      </c>
      <c r="Y2844" s="64" t="str">
        <f t="shared" ca="1" si="217"/>
        <v/>
      </c>
    </row>
    <row r="2845" spans="1:25">
      <c r="A2845" s="2">
        <f>+Get_Data!A2844</f>
        <v>43571</v>
      </c>
      <c r="B2845">
        <f>+ROUND(Get_Data!B2844,5)</f>
        <v>117.28279000000001</v>
      </c>
      <c r="C2845">
        <f>+ROUND(Get_Data!C2844,5)</f>
        <v>44.734389999999998</v>
      </c>
      <c r="D2845" s="4">
        <f t="shared" si="202"/>
        <v>2.6217600000000001</v>
      </c>
      <c r="E2845" s="22">
        <f t="shared" ca="1" si="203"/>
        <v>2.64696</v>
      </c>
      <c r="F2845" s="23">
        <f t="shared" ca="1" si="204"/>
        <v>2.54142</v>
      </c>
      <c r="G2845" s="10">
        <f t="shared" ca="1" si="205"/>
        <v>0</v>
      </c>
      <c r="H2845" s="12">
        <f t="shared" ca="1" si="206"/>
        <v>0</v>
      </c>
      <c r="I2845" s="11">
        <f t="shared" ca="1" si="207"/>
        <v>0</v>
      </c>
      <c r="J2845" s="11">
        <f t="shared" ca="1" si="208"/>
        <v>0</v>
      </c>
      <c r="K2845" s="10" t="str">
        <f t="shared" ca="1" si="218"/>
        <v/>
      </c>
      <c r="L2845" s="11" t="str">
        <f t="shared" ca="1" si="219"/>
        <v/>
      </c>
      <c r="M2845" s="11" t="str">
        <f t="shared" ca="1" si="220"/>
        <v/>
      </c>
      <c r="N2845" s="15" t="str">
        <f t="shared" ca="1" si="221"/>
        <v/>
      </c>
      <c r="O2845" s="15" t="str">
        <f t="shared" ca="1" si="222"/>
        <v/>
      </c>
      <c r="P2845" s="16" t="str">
        <f t="shared" ca="1" si="223"/>
        <v/>
      </c>
      <c r="Q2845" s="11" t="str">
        <f t="shared" ca="1" si="209"/>
        <v/>
      </c>
      <c r="R2845" s="11" t="str">
        <f t="shared" ca="1" si="210"/>
        <v/>
      </c>
      <c r="S2845" s="61" t="str">
        <f t="shared" ca="1" si="211"/>
        <v/>
      </c>
      <c r="T2845" s="11" t="str">
        <f t="shared" ca="1" si="212"/>
        <v/>
      </c>
      <c r="U2845" s="11" t="str">
        <f t="shared" ca="1" si="213"/>
        <v/>
      </c>
      <c r="V2845" s="18" t="str">
        <f t="shared" ca="1" si="214"/>
        <v/>
      </c>
      <c r="W2845" s="61" t="str">
        <f t="shared" ca="1" si="215"/>
        <v/>
      </c>
      <c r="X2845" s="61">
        <f t="shared" ca="1" si="216"/>
        <v>0</v>
      </c>
      <c r="Y2845" s="64" t="str">
        <f t="shared" ca="1" si="217"/>
        <v/>
      </c>
    </row>
    <row r="2846" spans="1:25">
      <c r="A2846" s="2">
        <f>+Get_Data!A2845</f>
        <v>43572</v>
      </c>
      <c r="B2846">
        <f>+ROUND(Get_Data!B2845,5)</f>
        <v>121.6901</v>
      </c>
      <c r="C2846">
        <f>+ROUND(Get_Data!C2845,5)</f>
        <v>45.048819999999999</v>
      </c>
      <c r="D2846" s="4">
        <f t="shared" si="202"/>
        <v>2.7012900000000002</v>
      </c>
      <c r="E2846" s="22">
        <f t="shared" ca="1" si="203"/>
        <v>2.7012900000000002</v>
      </c>
      <c r="F2846" s="23">
        <f t="shared" ca="1" si="204"/>
        <v>2.54142</v>
      </c>
      <c r="G2846" s="10">
        <f t="shared" ca="1" si="205"/>
        <v>1</v>
      </c>
      <c r="H2846" s="12">
        <f t="shared" ca="1" si="206"/>
        <v>0</v>
      </c>
      <c r="I2846" s="11">
        <f t="shared" ca="1" si="207"/>
        <v>1</v>
      </c>
      <c r="J2846" s="11">
        <f t="shared" ca="1" si="208"/>
        <v>1</v>
      </c>
      <c r="K2846" s="10" t="str">
        <f t="shared" ca="1" si="218"/>
        <v/>
      </c>
      <c r="L2846" s="11" t="str">
        <f t="shared" ca="1" si="219"/>
        <v/>
      </c>
      <c r="M2846" s="11" t="str">
        <f t="shared" ca="1" si="220"/>
        <v/>
      </c>
      <c r="N2846" s="15" t="str">
        <f t="shared" ca="1" si="221"/>
        <v/>
      </c>
      <c r="O2846" s="15" t="str">
        <f t="shared" ca="1" si="222"/>
        <v/>
      </c>
      <c r="P2846" s="16" t="str">
        <f t="shared" ca="1" si="223"/>
        <v/>
      </c>
      <c r="Q2846" s="11" t="str">
        <f t="shared" ca="1" si="209"/>
        <v/>
      </c>
      <c r="R2846" s="11" t="str">
        <f t="shared" ca="1" si="210"/>
        <v/>
      </c>
      <c r="S2846" s="61" t="str">
        <f t="shared" ca="1" si="211"/>
        <v/>
      </c>
      <c r="T2846" s="11" t="str">
        <f t="shared" ca="1" si="212"/>
        <v/>
      </c>
      <c r="U2846" s="11" t="str">
        <f t="shared" ca="1" si="213"/>
        <v/>
      </c>
      <c r="V2846" s="18" t="str">
        <f t="shared" ca="1" si="214"/>
        <v/>
      </c>
      <c r="W2846" s="61" t="str">
        <f t="shared" ca="1" si="215"/>
        <v/>
      </c>
      <c r="X2846" s="61">
        <f t="shared" ca="1" si="216"/>
        <v>0</v>
      </c>
      <c r="Y2846" s="64" t="str">
        <f t="shared" ca="1" si="217"/>
        <v/>
      </c>
    </row>
    <row r="2847" spans="1:25">
      <c r="A2847" s="2">
        <f>+Get_Data!A2846</f>
        <v>43573</v>
      </c>
      <c r="B2847">
        <f>+ROUND(Get_Data!B2846,5)</f>
        <v>121.76675</v>
      </c>
      <c r="C2847">
        <f>+ROUND(Get_Data!C2846,5)</f>
        <v>45.239379999999997</v>
      </c>
      <c r="D2847" s="4">
        <f t="shared" si="202"/>
        <v>2.6916099999999998</v>
      </c>
      <c r="E2847" s="22">
        <f t="shared" ca="1" si="203"/>
        <v>2.7012900000000002</v>
      </c>
      <c r="F2847" s="23">
        <f t="shared" ca="1" si="204"/>
        <v>2.5674199999999998</v>
      </c>
      <c r="G2847" s="10">
        <f t="shared" ca="1" si="205"/>
        <v>0</v>
      </c>
      <c r="H2847" s="12">
        <f t="shared" ca="1" si="206"/>
        <v>0</v>
      </c>
      <c r="I2847" s="11">
        <f t="shared" ca="1" si="207"/>
        <v>0</v>
      </c>
      <c r="J2847" s="11">
        <f t="shared" ca="1" si="208"/>
        <v>1</v>
      </c>
      <c r="K2847" s="10">
        <f t="shared" ca="1" si="218"/>
        <v>-121.76675</v>
      </c>
      <c r="L2847" s="11">
        <f t="shared" ca="1" si="219"/>
        <v>45.239379999999997</v>
      </c>
      <c r="M2847" s="11">
        <f t="shared" ca="1" si="220"/>
        <v>2.6916099999999998</v>
      </c>
      <c r="N2847" s="15">
        <f t="shared" ca="1" si="221"/>
        <v>10</v>
      </c>
      <c r="O2847" s="15">
        <f t="shared" ca="1" si="222"/>
        <v>27</v>
      </c>
      <c r="P2847" s="16">
        <f t="shared" ca="1" si="223"/>
        <v>3.7957599999999729</v>
      </c>
      <c r="Q2847" s="11" t="str">
        <f t="shared" ca="1" si="209"/>
        <v/>
      </c>
      <c r="R2847" s="11" t="str">
        <f t="shared" ca="1" si="210"/>
        <v/>
      </c>
      <c r="S2847" s="61" t="str">
        <f t="shared" ca="1" si="211"/>
        <v/>
      </c>
      <c r="T2847" s="11" t="str">
        <f t="shared" ca="1" si="212"/>
        <v/>
      </c>
      <c r="U2847" s="11" t="str">
        <f t="shared" ca="1" si="213"/>
        <v/>
      </c>
      <c r="V2847" s="18" t="str">
        <f t="shared" ca="1" si="214"/>
        <v/>
      </c>
      <c r="W2847" s="61" t="str">
        <f t="shared" ca="1" si="215"/>
        <v/>
      </c>
      <c r="X2847" s="61">
        <f t="shared" ca="1" si="216"/>
        <v>0</v>
      </c>
      <c r="Y2847" s="64" t="str">
        <f t="shared" ca="1" si="217"/>
        <v/>
      </c>
    </row>
    <row r="2848" spans="1:25">
      <c r="A2848" s="2">
        <f>+Get_Data!A2847</f>
        <v>43577</v>
      </c>
      <c r="B2848">
        <f>+ROUND(Get_Data!B2847,5)</f>
        <v>121.14397</v>
      </c>
      <c r="C2848">
        <f>+ROUND(Get_Data!C2847,5)</f>
        <v>45.163159999999998</v>
      </c>
      <c r="D2848" s="4">
        <f t="shared" si="202"/>
        <v>2.6823600000000001</v>
      </c>
      <c r="E2848" s="22">
        <f t="shared" ca="1" si="203"/>
        <v>2.7012900000000002</v>
      </c>
      <c r="F2848" s="23">
        <f t="shared" ca="1" si="204"/>
        <v>2.5968499999999999</v>
      </c>
      <c r="G2848" s="10">
        <f t="shared" ca="1" si="205"/>
        <v>0</v>
      </c>
      <c r="H2848" s="12">
        <f t="shared" ca="1" si="206"/>
        <v>0</v>
      </c>
      <c r="I2848" s="11">
        <f t="shared" ca="1" si="207"/>
        <v>0</v>
      </c>
      <c r="J2848" s="11">
        <f t="shared" ca="1" si="208"/>
        <v>1</v>
      </c>
      <c r="K2848" s="10">
        <f t="shared" ca="1" si="218"/>
        <v>-121.76675</v>
      </c>
      <c r="L2848" s="11">
        <f t="shared" ca="1" si="219"/>
        <v>45.239379999999997</v>
      </c>
      <c r="M2848" s="11">
        <f t="shared" ca="1" si="220"/>
        <v>2.6916099999999998</v>
      </c>
      <c r="N2848" s="15">
        <f t="shared" ca="1" si="221"/>
        <v>10</v>
      </c>
      <c r="O2848" s="15">
        <f t="shared" ca="1" si="222"/>
        <v>27</v>
      </c>
      <c r="P2848" s="16">
        <f t="shared" ca="1" si="223"/>
        <v>3.7957599999999729</v>
      </c>
      <c r="Q2848" s="11" t="str">
        <f t="shared" ca="1" si="209"/>
        <v/>
      </c>
      <c r="R2848" s="11" t="str">
        <f t="shared" ca="1" si="210"/>
        <v/>
      </c>
      <c r="S2848" s="61" t="str">
        <f t="shared" ca="1" si="211"/>
        <v/>
      </c>
      <c r="T2848" s="11" t="str">
        <f t="shared" ca="1" si="212"/>
        <v/>
      </c>
      <c r="U2848" s="11" t="str">
        <f t="shared" ca="1" si="213"/>
        <v/>
      </c>
      <c r="V2848" s="18" t="str">
        <f t="shared" ca="1" si="214"/>
        <v/>
      </c>
      <c r="W2848" s="61" t="str">
        <f t="shared" ca="1" si="215"/>
        <v/>
      </c>
      <c r="X2848" s="61">
        <f t="shared" ca="1" si="216"/>
        <v>0</v>
      </c>
      <c r="Y2848" s="64" t="str">
        <f t="shared" ca="1" si="217"/>
        <v/>
      </c>
    </row>
    <row r="2849" spans="1:25">
      <c r="A2849" s="2">
        <f>+Get_Data!A2848</f>
        <v>43578</v>
      </c>
      <c r="B2849">
        <f>+ROUND(Get_Data!B2848,5)</f>
        <v>121.76675</v>
      </c>
      <c r="C2849">
        <f>+ROUND(Get_Data!C2848,5)</f>
        <v>45.934930000000001</v>
      </c>
      <c r="D2849" s="4">
        <f t="shared" si="202"/>
        <v>2.6508500000000002</v>
      </c>
      <c r="E2849" s="22">
        <f t="shared" ca="1" si="203"/>
        <v>2.7012900000000002</v>
      </c>
      <c r="F2849" s="23">
        <f t="shared" ca="1" si="204"/>
        <v>2.6063999999999998</v>
      </c>
      <c r="G2849" s="10">
        <f t="shared" ca="1" si="205"/>
        <v>0</v>
      </c>
      <c r="H2849" s="12">
        <f t="shared" ca="1" si="206"/>
        <v>0</v>
      </c>
      <c r="I2849" s="11">
        <f t="shared" ca="1" si="207"/>
        <v>0</v>
      </c>
      <c r="J2849" s="11">
        <f t="shared" ca="1" si="208"/>
        <v>1</v>
      </c>
      <c r="K2849" s="10">
        <f t="shared" ca="1" si="218"/>
        <v>-121.76675</v>
      </c>
      <c r="L2849" s="11">
        <f t="shared" ca="1" si="219"/>
        <v>45.239379999999997</v>
      </c>
      <c r="M2849" s="11">
        <f t="shared" ca="1" si="220"/>
        <v>2.6916099999999998</v>
      </c>
      <c r="N2849" s="15">
        <f t="shared" ca="1" si="221"/>
        <v>10</v>
      </c>
      <c r="O2849" s="15">
        <f t="shared" ca="1" si="222"/>
        <v>27</v>
      </c>
      <c r="P2849" s="16">
        <f t="shared" ca="1" si="223"/>
        <v>3.7957599999999729</v>
      </c>
      <c r="Q2849" s="11" t="str">
        <f t="shared" ca="1" si="209"/>
        <v/>
      </c>
      <c r="R2849" s="11" t="str">
        <f t="shared" ca="1" si="210"/>
        <v/>
      </c>
      <c r="S2849" s="61" t="str">
        <f t="shared" ca="1" si="211"/>
        <v/>
      </c>
      <c r="T2849" s="11" t="str">
        <f t="shared" ca="1" si="212"/>
        <v/>
      </c>
      <c r="U2849" s="11" t="str">
        <f t="shared" ca="1" si="213"/>
        <v/>
      </c>
      <c r="V2849" s="18" t="str">
        <f t="shared" ca="1" si="214"/>
        <v/>
      </c>
      <c r="W2849" s="61" t="str">
        <f t="shared" ca="1" si="215"/>
        <v/>
      </c>
      <c r="X2849" s="61">
        <f t="shared" ca="1" si="216"/>
        <v>0</v>
      </c>
      <c r="Y2849" s="64" t="str">
        <f t="shared" ca="1" si="217"/>
        <v/>
      </c>
    </row>
    <row r="2850" spans="1:25">
      <c r="A2850" s="2">
        <f>+Get_Data!A2849</f>
        <v>43579</v>
      </c>
      <c r="B2850">
        <f>+ROUND(Get_Data!B2849,5)</f>
        <v>121.60387</v>
      </c>
      <c r="C2850">
        <f>+ROUND(Get_Data!C2849,5)</f>
        <v>45.715789999999998</v>
      </c>
      <c r="D2850" s="4">
        <f t="shared" si="202"/>
        <v>2.66</v>
      </c>
      <c r="E2850" s="22">
        <f t="shared" ca="1" si="203"/>
        <v>2.7012900000000002</v>
      </c>
      <c r="F2850" s="23">
        <f t="shared" ca="1" si="204"/>
        <v>2.6132</v>
      </c>
      <c r="G2850" s="10">
        <f t="shared" ca="1" si="205"/>
        <v>0</v>
      </c>
      <c r="H2850" s="12">
        <f t="shared" ca="1" si="206"/>
        <v>0</v>
      </c>
      <c r="I2850" s="11">
        <f t="shared" ca="1" si="207"/>
        <v>0</v>
      </c>
      <c r="J2850" s="11">
        <f t="shared" ca="1" si="208"/>
        <v>1</v>
      </c>
      <c r="K2850" s="10">
        <f t="shared" ca="1" si="218"/>
        <v>-121.76675</v>
      </c>
      <c r="L2850" s="11">
        <f t="shared" ca="1" si="219"/>
        <v>45.239379999999997</v>
      </c>
      <c r="M2850" s="11">
        <f t="shared" ca="1" si="220"/>
        <v>2.6916099999999998</v>
      </c>
      <c r="N2850" s="15">
        <f t="shared" ca="1" si="221"/>
        <v>10</v>
      </c>
      <c r="O2850" s="15">
        <f t="shared" ca="1" si="222"/>
        <v>27</v>
      </c>
      <c r="P2850" s="16">
        <f t="shared" ca="1" si="223"/>
        <v>3.7957599999999729</v>
      </c>
      <c r="Q2850" s="11" t="str">
        <f t="shared" ca="1" si="209"/>
        <v/>
      </c>
      <c r="R2850" s="11" t="str">
        <f t="shared" ca="1" si="210"/>
        <v/>
      </c>
      <c r="S2850" s="61" t="str">
        <f t="shared" ca="1" si="211"/>
        <v/>
      </c>
      <c r="T2850" s="11" t="str">
        <f t="shared" ca="1" si="212"/>
        <v/>
      </c>
      <c r="U2850" s="11" t="str">
        <f t="shared" ca="1" si="213"/>
        <v/>
      </c>
      <c r="V2850" s="18" t="str">
        <f t="shared" ca="1" si="214"/>
        <v/>
      </c>
      <c r="W2850" s="61" t="str">
        <f t="shared" ca="1" si="215"/>
        <v/>
      </c>
      <c r="X2850" s="61">
        <f t="shared" ca="1" si="216"/>
        <v>0</v>
      </c>
      <c r="Y2850" s="64" t="str">
        <f t="shared" ca="1" si="217"/>
        <v/>
      </c>
    </row>
    <row r="2851" spans="1:25">
      <c r="A2851" s="2">
        <f>+Get_Data!A2850</f>
        <v>43580</v>
      </c>
      <c r="B2851">
        <f>+ROUND(Get_Data!B2850,5)</f>
        <v>120.84697</v>
      </c>
      <c r="C2851">
        <f>+ROUND(Get_Data!C2850,5)</f>
        <v>45.582389999999997</v>
      </c>
      <c r="D2851" s="4">
        <f t="shared" si="202"/>
        <v>2.6511800000000001</v>
      </c>
      <c r="E2851" s="22">
        <f t="shared" ca="1" si="203"/>
        <v>2.7012900000000002</v>
      </c>
      <c r="F2851" s="23">
        <f t="shared" ca="1" si="204"/>
        <v>2.6193</v>
      </c>
      <c r="G2851" s="10">
        <f t="shared" ca="1" si="205"/>
        <v>0</v>
      </c>
      <c r="H2851" s="12">
        <f t="shared" ca="1" si="206"/>
        <v>0</v>
      </c>
      <c r="I2851" s="11">
        <f t="shared" ca="1" si="207"/>
        <v>0</v>
      </c>
      <c r="J2851" s="11">
        <f t="shared" ca="1" si="208"/>
        <v>1</v>
      </c>
      <c r="K2851" s="10">
        <f t="shared" ca="1" si="218"/>
        <v>-121.76675</v>
      </c>
      <c r="L2851" s="11">
        <f t="shared" ca="1" si="219"/>
        <v>45.239379999999997</v>
      </c>
      <c r="M2851" s="11">
        <f t="shared" ca="1" si="220"/>
        <v>2.6916099999999998</v>
      </c>
      <c r="N2851" s="15">
        <f t="shared" ca="1" si="221"/>
        <v>10</v>
      </c>
      <c r="O2851" s="15">
        <f t="shared" ca="1" si="222"/>
        <v>27</v>
      </c>
      <c r="P2851" s="16">
        <f t="shared" ca="1" si="223"/>
        <v>3.7957599999999729</v>
      </c>
      <c r="Q2851" s="11" t="str">
        <f t="shared" ca="1" si="209"/>
        <v/>
      </c>
      <c r="R2851" s="11" t="str">
        <f t="shared" ca="1" si="210"/>
        <v/>
      </c>
      <c r="S2851" s="61" t="str">
        <f t="shared" ca="1" si="211"/>
        <v/>
      </c>
      <c r="T2851" s="11" t="str">
        <f t="shared" ca="1" si="212"/>
        <v/>
      </c>
      <c r="U2851" s="11" t="str">
        <f t="shared" ca="1" si="213"/>
        <v/>
      </c>
      <c r="V2851" s="18" t="str">
        <f t="shared" ca="1" si="214"/>
        <v/>
      </c>
      <c r="W2851" s="61" t="str">
        <f t="shared" ca="1" si="215"/>
        <v/>
      </c>
      <c r="X2851" s="61">
        <f t="shared" ca="1" si="216"/>
        <v>0</v>
      </c>
      <c r="Y2851" s="64" t="str">
        <f t="shared" ca="1" si="217"/>
        <v/>
      </c>
    </row>
    <row r="2852" spans="1:25">
      <c r="A2852" s="2">
        <f>+Get_Data!A2851</f>
        <v>43581</v>
      </c>
      <c r="B2852">
        <f>+ROUND(Get_Data!B2851,5)</f>
        <v>121.10565</v>
      </c>
      <c r="C2852">
        <f>+ROUND(Get_Data!C2851,5)</f>
        <v>45.982570000000003</v>
      </c>
      <c r="D2852" s="4">
        <f t="shared" si="202"/>
        <v>2.6337299999999999</v>
      </c>
      <c r="E2852" s="22">
        <f t="shared" ca="1" si="203"/>
        <v>2.7012900000000002</v>
      </c>
      <c r="F2852" s="23">
        <f t="shared" ca="1" si="204"/>
        <v>2.6193</v>
      </c>
      <c r="G2852" s="10">
        <f t="shared" ca="1" si="205"/>
        <v>0</v>
      </c>
      <c r="H2852" s="12">
        <f t="shared" ca="1" si="206"/>
        <v>0</v>
      </c>
      <c r="I2852" s="11">
        <f t="shared" ca="1" si="207"/>
        <v>0</v>
      </c>
      <c r="J2852" s="11">
        <f t="shared" ca="1" si="208"/>
        <v>1</v>
      </c>
      <c r="K2852" s="10">
        <f t="shared" ca="1" si="218"/>
        <v>-121.76675</v>
      </c>
      <c r="L2852" s="11">
        <f t="shared" ca="1" si="219"/>
        <v>45.239379999999997</v>
      </c>
      <c r="M2852" s="11">
        <f t="shared" ca="1" si="220"/>
        <v>2.6916099999999998</v>
      </c>
      <c r="N2852" s="15">
        <f t="shared" ca="1" si="221"/>
        <v>10</v>
      </c>
      <c r="O2852" s="15">
        <f t="shared" ca="1" si="222"/>
        <v>27</v>
      </c>
      <c r="P2852" s="16">
        <f t="shared" ca="1" si="223"/>
        <v>3.7957599999999729</v>
      </c>
      <c r="Q2852" s="11" t="str">
        <f t="shared" ca="1" si="209"/>
        <v/>
      </c>
      <c r="R2852" s="11" t="str">
        <f t="shared" ca="1" si="210"/>
        <v/>
      </c>
      <c r="S2852" s="61" t="str">
        <f t="shared" ca="1" si="211"/>
        <v/>
      </c>
      <c r="T2852" s="11" t="str">
        <f t="shared" ca="1" si="212"/>
        <v/>
      </c>
      <c r="U2852" s="11" t="str">
        <f t="shared" ca="1" si="213"/>
        <v/>
      </c>
      <c r="V2852" s="18" t="str">
        <f t="shared" ca="1" si="214"/>
        <v/>
      </c>
      <c r="W2852" s="61" t="str">
        <f t="shared" ca="1" si="215"/>
        <v/>
      </c>
      <c r="X2852" s="61">
        <f t="shared" ca="1" si="216"/>
        <v>0</v>
      </c>
      <c r="Y2852" s="64" t="str">
        <f t="shared" ca="1" si="217"/>
        <v/>
      </c>
    </row>
    <row r="2853" spans="1:25">
      <c r="A2853" s="2">
        <f>+Get_Data!A2852</f>
        <v>43584</v>
      </c>
      <c r="B2853">
        <f>+ROUND(Get_Data!B2852,5)</f>
        <v>121.38351</v>
      </c>
      <c r="C2853">
        <f>+ROUND(Get_Data!C2852,5)</f>
        <v>46.135019999999997</v>
      </c>
      <c r="D2853" s="4">
        <f t="shared" si="202"/>
        <v>2.6310500000000001</v>
      </c>
      <c r="E2853" s="22">
        <f t="shared" ca="1" si="203"/>
        <v>2.7012900000000002</v>
      </c>
      <c r="F2853" s="23">
        <f t="shared" ca="1" si="204"/>
        <v>2.6193</v>
      </c>
      <c r="G2853" s="10">
        <f t="shared" ca="1" si="205"/>
        <v>0</v>
      </c>
      <c r="H2853" s="12">
        <f t="shared" ca="1" si="206"/>
        <v>0</v>
      </c>
      <c r="I2853" s="11">
        <f t="shared" ca="1" si="207"/>
        <v>0</v>
      </c>
      <c r="J2853" s="11">
        <f t="shared" ca="1" si="208"/>
        <v>1</v>
      </c>
      <c r="K2853" s="10">
        <f t="shared" ca="1" si="218"/>
        <v>-121.76675</v>
      </c>
      <c r="L2853" s="11">
        <f t="shared" ca="1" si="219"/>
        <v>45.239379999999997</v>
      </c>
      <c r="M2853" s="11">
        <f t="shared" ca="1" si="220"/>
        <v>2.6916099999999998</v>
      </c>
      <c r="N2853" s="15">
        <f t="shared" ca="1" si="221"/>
        <v>10</v>
      </c>
      <c r="O2853" s="15">
        <f t="shared" ca="1" si="222"/>
        <v>27</v>
      </c>
      <c r="P2853" s="16">
        <f t="shared" ca="1" si="223"/>
        <v>3.7957599999999729</v>
      </c>
      <c r="Q2853" s="11" t="str">
        <f t="shared" ca="1" si="209"/>
        <v/>
      </c>
      <c r="R2853" s="11" t="str">
        <f t="shared" ca="1" si="210"/>
        <v/>
      </c>
      <c r="S2853" s="61" t="str">
        <f t="shared" ca="1" si="211"/>
        <v/>
      </c>
      <c r="T2853" s="11" t="str">
        <f t="shared" ca="1" si="212"/>
        <v/>
      </c>
      <c r="U2853" s="11" t="str">
        <f t="shared" ca="1" si="213"/>
        <v/>
      </c>
      <c r="V2853" s="18" t="str">
        <f t="shared" ca="1" si="214"/>
        <v/>
      </c>
      <c r="W2853" s="61" t="str">
        <f t="shared" ca="1" si="215"/>
        <v/>
      </c>
      <c r="X2853" s="61">
        <f t="shared" ca="1" si="216"/>
        <v>0</v>
      </c>
      <c r="Y2853" s="64" t="str">
        <f t="shared" ca="1" si="217"/>
        <v/>
      </c>
    </row>
    <row r="2854" spans="1:25">
      <c r="A2854" s="2">
        <f>+Get_Data!A2853</f>
        <v>43585</v>
      </c>
      <c r="B2854">
        <f>+ROUND(Get_Data!B2853,5)</f>
        <v>122.68655</v>
      </c>
      <c r="C2854">
        <f>+ROUND(Get_Data!C2853,5)</f>
        <v>46.74483</v>
      </c>
      <c r="D2854" s="4">
        <f t="shared" si="202"/>
        <v>2.6246</v>
      </c>
      <c r="E2854" s="22">
        <f t="shared" ca="1" si="203"/>
        <v>2.7012900000000002</v>
      </c>
      <c r="F2854" s="23">
        <f t="shared" ca="1" si="204"/>
        <v>2.6193</v>
      </c>
      <c r="G2854" s="10">
        <f t="shared" ca="1" si="205"/>
        <v>0</v>
      </c>
      <c r="H2854" s="12">
        <f t="shared" ca="1" si="206"/>
        <v>0</v>
      </c>
      <c r="I2854" s="11">
        <f t="shared" ca="1" si="207"/>
        <v>0</v>
      </c>
      <c r="J2854" s="11">
        <f t="shared" ca="1" si="208"/>
        <v>1</v>
      </c>
      <c r="K2854" s="10">
        <f t="shared" ca="1" si="218"/>
        <v>-121.76675</v>
      </c>
      <c r="L2854" s="11">
        <f t="shared" ca="1" si="219"/>
        <v>45.239379999999997</v>
      </c>
      <c r="M2854" s="11">
        <f t="shared" ca="1" si="220"/>
        <v>2.6916099999999998</v>
      </c>
      <c r="N2854" s="15">
        <f t="shared" ca="1" si="221"/>
        <v>10</v>
      </c>
      <c r="O2854" s="15">
        <f t="shared" ca="1" si="222"/>
        <v>27</v>
      </c>
      <c r="P2854" s="16">
        <f t="shared" ca="1" si="223"/>
        <v>3.7957599999999729</v>
      </c>
      <c r="Q2854" s="11" t="str">
        <f t="shared" ca="1" si="209"/>
        <v/>
      </c>
      <c r="R2854" s="11" t="str">
        <f t="shared" ca="1" si="210"/>
        <v/>
      </c>
      <c r="S2854" s="61" t="str">
        <f t="shared" ca="1" si="211"/>
        <v/>
      </c>
      <c r="T2854" s="11" t="str">
        <f t="shared" ca="1" si="212"/>
        <v/>
      </c>
      <c r="U2854" s="11" t="str">
        <f t="shared" ca="1" si="213"/>
        <v/>
      </c>
      <c r="V2854" s="18" t="str">
        <f t="shared" ca="1" si="214"/>
        <v/>
      </c>
      <c r="W2854" s="61" t="str">
        <f t="shared" ca="1" si="215"/>
        <v/>
      </c>
      <c r="X2854" s="61">
        <f t="shared" ca="1" si="216"/>
        <v>0</v>
      </c>
      <c r="Y2854" s="64" t="str">
        <f t="shared" ca="1" si="217"/>
        <v/>
      </c>
    </row>
    <row r="2855" spans="1:25">
      <c r="A2855" s="2">
        <f>+Get_Data!A2854</f>
        <v>43586</v>
      </c>
      <c r="B2855">
        <f>+ROUND(Get_Data!B2854,5)</f>
        <v>121.91047</v>
      </c>
      <c r="C2855">
        <f>+ROUND(Get_Data!C2854,5)</f>
        <v>46.296999999999997</v>
      </c>
      <c r="D2855" s="4">
        <f t="shared" si="202"/>
        <v>2.6332300000000002</v>
      </c>
      <c r="E2855" s="22">
        <f t="shared" ca="1" si="203"/>
        <v>2.7012900000000002</v>
      </c>
      <c r="F2855" s="23">
        <f t="shared" ca="1" si="204"/>
        <v>2.6193</v>
      </c>
      <c r="G2855" s="10">
        <f t="shared" ca="1" si="205"/>
        <v>0</v>
      </c>
      <c r="H2855" s="12">
        <f t="shared" ca="1" si="206"/>
        <v>0</v>
      </c>
      <c r="I2855" s="11">
        <f t="shared" ca="1" si="207"/>
        <v>0</v>
      </c>
      <c r="J2855" s="11">
        <f t="shared" ca="1" si="208"/>
        <v>1</v>
      </c>
      <c r="K2855" s="10">
        <f t="shared" ca="1" si="218"/>
        <v>-121.76675</v>
      </c>
      <c r="L2855" s="11">
        <f t="shared" ca="1" si="219"/>
        <v>45.239379999999997</v>
      </c>
      <c r="M2855" s="11">
        <f t="shared" ca="1" si="220"/>
        <v>2.6916099999999998</v>
      </c>
      <c r="N2855" s="15">
        <f t="shared" ca="1" si="221"/>
        <v>10</v>
      </c>
      <c r="O2855" s="15">
        <f t="shared" ca="1" si="222"/>
        <v>27</v>
      </c>
      <c r="P2855" s="16">
        <f t="shared" ca="1" si="223"/>
        <v>3.7957599999999729</v>
      </c>
      <c r="Q2855" s="11" t="str">
        <f t="shared" ca="1" si="209"/>
        <v/>
      </c>
      <c r="R2855" s="11" t="str">
        <f t="shared" ca="1" si="210"/>
        <v/>
      </c>
      <c r="S2855" s="61" t="str">
        <f t="shared" ca="1" si="211"/>
        <v/>
      </c>
      <c r="T2855" s="11" t="str">
        <f t="shared" ca="1" si="212"/>
        <v/>
      </c>
      <c r="U2855" s="11" t="str">
        <f t="shared" ca="1" si="213"/>
        <v/>
      </c>
      <c r="V2855" s="18" t="str">
        <f t="shared" ca="1" si="214"/>
        <v/>
      </c>
      <c r="W2855" s="61" t="str">
        <f t="shared" ca="1" si="215"/>
        <v/>
      </c>
      <c r="X2855" s="61">
        <f t="shared" ca="1" si="216"/>
        <v>0</v>
      </c>
      <c r="Y2855" s="64" t="str">
        <f t="shared" ca="1" si="217"/>
        <v/>
      </c>
    </row>
    <row r="2856" spans="1:25">
      <c r="A2856" s="2">
        <f>+Get_Data!A2855</f>
        <v>43587</v>
      </c>
      <c r="B2856">
        <f>+ROUND(Get_Data!B2855,5)</f>
        <v>121.51765</v>
      </c>
      <c r="C2856">
        <f>+ROUND(Get_Data!C2855,5)</f>
        <v>46.106439999999999</v>
      </c>
      <c r="D2856" s="4">
        <f t="shared" si="202"/>
        <v>2.6355900000000001</v>
      </c>
      <c r="E2856" s="22">
        <f t="shared" ca="1" si="203"/>
        <v>2.7012900000000002</v>
      </c>
      <c r="F2856" s="23">
        <f t="shared" ca="1" si="204"/>
        <v>2.6193</v>
      </c>
      <c r="G2856" s="10">
        <f t="shared" ca="1" si="205"/>
        <v>0</v>
      </c>
      <c r="H2856" s="12">
        <f t="shared" ca="1" si="206"/>
        <v>0</v>
      </c>
      <c r="I2856" s="11">
        <f t="shared" ca="1" si="207"/>
        <v>0</v>
      </c>
      <c r="J2856" s="11">
        <f t="shared" ca="1" si="208"/>
        <v>1</v>
      </c>
      <c r="K2856" s="10">
        <f t="shared" ca="1" si="218"/>
        <v>-121.76675</v>
      </c>
      <c r="L2856" s="11">
        <f t="shared" ca="1" si="219"/>
        <v>45.239379999999997</v>
      </c>
      <c r="M2856" s="11">
        <f t="shared" ca="1" si="220"/>
        <v>2.6916099999999998</v>
      </c>
      <c r="N2856" s="15">
        <f t="shared" ca="1" si="221"/>
        <v>10</v>
      </c>
      <c r="O2856" s="15">
        <f t="shared" ca="1" si="222"/>
        <v>27</v>
      </c>
      <c r="P2856" s="16">
        <f t="shared" ca="1" si="223"/>
        <v>3.7957599999999729</v>
      </c>
      <c r="Q2856" s="11" t="str">
        <f t="shared" ca="1" si="209"/>
        <v/>
      </c>
      <c r="R2856" s="11" t="str">
        <f t="shared" ca="1" si="210"/>
        <v/>
      </c>
      <c r="S2856" s="61" t="str">
        <f t="shared" ca="1" si="211"/>
        <v/>
      </c>
      <c r="T2856" s="11" t="str">
        <f t="shared" ca="1" si="212"/>
        <v/>
      </c>
      <c r="U2856" s="11" t="str">
        <f t="shared" ca="1" si="213"/>
        <v/>
      </c>
      <c r="V2856" s="18" t="str">
        <f t="shared" ca="1" si="214"/>
        <v/>
      </c>
      <c r="W2856" s="61" t="str">
        <f t="shared" ca="1" si="215"/>
        <v/>
      </c>
      <c r="X2856" s="61">
        <f t="shared" ca="1" si="216"/>
        <v>0</v>
      </c>
      <c r="Y2856" s="64" t="str">
        <f t="shared" ca="1" si="217"/>
        <v/>
      </c>
    </row>
    <row r="2857" spans="1:25">
      <c r="A2857" s="2">
        <f>+Get_Data!A2856</f>
        <v>43588</v>
      </c>
      <c r="B2857">
        <f>+ROUND(Get_Data!B2856,5)</f>
        <v>122.32246000000001</v>
      </c>
      <c r="C2857">
        <f>+ROUND(Get_Data!C2856,5)</f>
        <v>46.420870000000001</v>
      </c>
      <c r="D2857" s="4">
        <f t="shared" si="202"/>
        <v>2.6350699999999998</v>
      </c>
      <c r="E2857" s="22">
        <f t="shared" ca="1" si="203"/>
        <v>2.7012900000000002</v>
      </c>
      <c r="F2857" s="23">
        <f t="shared" ca="1" si="204"/>
        <v>2.6193</v>
      </c>
      <c r="G2857" s="10">
        <f t="shared" ca="1" si="205"/>
        <v>0</v>
      </c>
      <c r="H2857" s="12">
        <f t="shared" ca="1" si="206"/>
        <v>0</v>
      </c>
      <c r="I2857" s="11">
        <f t="shared" ca="1" si="207"/>
        <v>0</v>
      </c>
      <c r="J2857" s="11">
        <f t="shared" ca="1" si="208"/>
        <v>1</v>
      </c>
      <c r="K2857" s="10">
        <f t="shared" ca="1" si="218"/>
        <v>-121.76675</v>
      </c>
      <c r="L2857" s="11">
        <f t="shared" ca="1" si="219"/>
        <v>45.239379999999997</v>
      </c>
      <c r="M2857" s="11">
        <f t="shared" ca="1" si="220"/>
        <v>2.6916099999999998</v>
      </c>
      <c r="N2857" s="15">
        <f t="shared" ca="1" si="221"/>
        <v>10</v>
      </c>
      <c r="O2857" s="15">
        <f t="shared" ca="1" si="222"/>
        <v>27</v>
      </c>
      <c r="P2857" s="16">
        <f t="shared" ca="1" si="223"/>
        <v>3.7957599999999729</v>
      </c>
      <c r="Q2857" s="11" t="str">
        <f t="shared" ca="1" si="209"/>
        <v/>
      </c>
      <c r="R2857" s="11" t="str">
        <f t="shared" ca="1" si="210"/>
        <v/>
      </c>
      <c r="S2857" s="61" t="str">
        <f t="shared" ca="1" si="211"/>
        <v/>
      </c>
      <c r="T2857" s="11" t="str">
        <f t="shared" ca="1" si="212"/>
        <v/>
      </c>
      <c r="U2857" s="11" t="str">
        <f t="shared" ca="1" si="213"/>
        <v/>
      </c>
      <c r="V2857" s="18" t="str">
        <f t="shared" ca="1" si="214"/>
        <v/>
      </c>
      <c r="W2857" s="61" t="str">
        <f t="shared" ca="1" si="215"/>
        <v/>
      </c>
      <c r="X2857" s="61">
        <f t="shared" ca="1" si="216"/>
        <v>0</v>
      </c>
      <c r="Y2857" s="64" t="str">
        <f t="shared" ca="1" si="217"/>
        <v/>
      </c>
    </row>
    <row r="2858" spans="1:25">
      <c r="A2858" s="2">
        <f>+Get_Data!A2857</f>
        <v>43591</v>
      </c>
      <c r="B2858">
        <f>+ROUND(Get_Data!B2857,5)</f>
        <v>121.9392</v>
      </c>
      <c r="C2858">
        <f>+ROUND(Get_Data!C2857,5)</f>
        <v>46.182670000000002</v>
      </c>
      <c r="D2858" s="4">
        <f t="shared" si="202"/>
        <v>2.6403699999999999</v>
      </c>
      <c r="E2858" s="22">
        <f t="shared" ca="1" si="203"/>
        <v>2.7012900000000002</v>
      </c>
      <c r="F2858" s="23">
        <f t="shared" ca="1" si="204"/>
        <v>2.6193</v>
      </c>
      <c r="G2858" s="10">
        <f t="shared" ca="1" si="205"/>
        <v>0</v>
      </c>
      <c r="H2858" s="12">
        <f t="shared" ca="1" si="206"/>
        <v>0</v>
      </c>
      <c r="I2858" s="11">
        <f t="shared" ca="1" si="207"/>
        <v>0</v>
      </c>
      <c r="J2858" s="11">
        <f t="shared" ca="1" si="208"/>
        <v>1</v>
      </c>
      <c r="K2858" s="10">
        <f t="shared" ca="1" si="218"/>
        <v>-121.76675</v>
      </c>
      <c r="L2858" s="11">
        <f t="shared" ca="1" si="219"/>
        <v>45.239379999999997</v>
      </c>
      <c r="M2858" s="11">
        <f t="shared" ca="1" si="220"/>
        <v>2.6916099999999998</v>
      </c>
      <c r="N2858" s="15">
        <f t="shared" ca="1" si="221"/>
        <v>10</v>
      </c>
      <c r="O2858" s="15">
        <f t="shared" ca="1" si="222"/>
        <v>27</v>
      </c>
      <c r="P2858" s="16">
        <f t="shared" ca="1" si="223"/>
        <v>3.7957599999999729</v>
      </c>
      <c r="Q2858" s="11" t="str">
        <f t="shared" ca="1" si="209"/>
        <v/>
      </c>
      <c r="R2858" s="11" t="str">
        <f t="shared" ca="1" si="210"/>
        <v/>
      </c>
      <c r="S2858" s="61" t="str">
        <f t="shared" ca="1" si="211"/>
        <v/>
      </c>
      <c r="T2858" s="11" t="str">
        <f t="shared" ca="1" si="212"/>
        <v/>
      </c>
      <c r="U2858" s="11" t="str">
        <f t="shared" ca="1" si="213"/>
        <v/>
      </c>
      <c r="V2858" s="18" t="str">
        <f t="shared" ca="1" si="214"/>
        <v/>
      </c>
      <c r="W2858" s="61" t="str">
        <f t="shared" ca="1" si="215"/>
        <v/>
      </c>
      <c r="X2858" s="61">
        <f t="shared" ca="1" si="216"/>
        <v>0</v>
      </c>
      <c r="Y2858" s="64" t="str">
        <f t="shared" ca="1" si="217"/>
        <v/>
      </c>
    </row>
    <row r="2859" spans="1:25">
      <c r="A2859" s="2">
        <f>+Get_Data!A2858</f>
        <v>43592</v>
      </c>
      <c r="B2859">
        <f>+ROUND(Get_Data!B2858,5)</f>
        <v>120.70325</v>
      </c>
      <c r="C2859">
        <f>+ROUND(Get_Data!C2858,5)</f>
        <v>45.734839999999998</v>
      </c>
      <c r="D2859" s="4">
        <f t="shared" si="202"/>
        <v>2.6392000000000002</v>
      </c>
      <c r="E2859" s="22">
        <f t="shared" ca="1" si="203"/>
        <v>2.7012900000000002</v>
      </c>
      <c r="F2859" s="23">
        <f t="shared" ca="1" si="204"/>
        <v>2.6193</v>
      </c>
      <c r="G2859" s="10">
        <f t="shared" ca="1" si="205"/>
        <v>0</v>
      </c>
      <c r="H2859" s="12">
        <f t="shared" ca="1" si="206"/>
        <v>0</v>
      </c>
      <c r="I2859" s="11">
        <f t="shared" ca="1" si="207"/>
        <v>0</v>
      </c>
      <c r="J2859" s="11">
        <f t="shared" ca="1" si="208"/>
        <v>1</v>
      </c>
      <c r="K2859" s="10">
        <f t="shared" ca="1" si="218"/>
        <v>-121.76675</v>
      </c>
      <c r="L2859" s="11">
        <f t="shared" ca="1" si="219"/>
        <v>45.239379999999997</v>
      </c>
      <c r="M2859" s="11">
        <f t="shared" ca="1" si="220"/>
        <v>2.6916099999999998</v>
      </c>
      <c r="N2859" s="15">
        <f t="shared" ca="1" si="221"/>
        <v>10</v>
      </c>
      <c r="O2859" s="15">
        <f t="shared" ca="1" si="222"/>
        <v>27</v>
      </c>
      <c r="P2859" s="16">
        <f t="shared" ca="1" si="223"/>
        <v>3.7957599999999729</v>
      </c>
      <c r="Q2859" s="11" t="str">
        <f t="shared" ca="1" si="209"/>
        <v/>
      </c>
      <c r="R2859" s="11" t="str">
        <f t="shared" ca="1" si="210"/>
        <v/>
      </c>
      <c r="S2859" s="61" t="str">
        <f t="shared" ca="1" si="211"/>
        <v/>
      </c>
      <c r="T2859" s="11" t="str">
        <f t="shared" ca="1" si="212"/>
        <v/>
      </c>
      <c r="U2859" s="11" t="str">
        <f t="shared" ca="1" si="213"/>
        <v/>
      </c>
      <c r="V2859" s="18" t="str">
        <f t="shared" ca="1" si="214"/>
        <v/>
      </c>
      <c r="W2859" s="61" t="str">
        <f t="shared" ca="1" si="215"/>
        <v/>
      </c>
      <c r="X2859" s="61">
        <f t="shared" ca="1" si="216"/>
        <v>0</v>
      </c>
      <c r="Y2859" s="64" t="str">
        <f t="shared" ca="1" si="217"/>
        <v/>
      </c>
    </row>
    <row r="2860" spans="1:25">
      <c r="A2860" s="2">
        <f>+Get_Data!A2859</f>
        <v>43593</v>
      </c>
      <c r="B2860">
        <f>+ROUND(Get_Data!B2859,5)</f>
        <v>120.74156000000001</v>
      </c>
      <c r="C2860">
        <f>+ROUND(Get_Data!C2859,5)</f>
        <v>45.591920000000002</v>
      </c>
      <c r="D2860" s="4">
        <f t="shared" si="202"/>
        <v>2.6483099999999999</v>
      </c>
      <c r="E2860" s="22">
        <f t="shared" ca="1" si="203"/>
        <v>2.7012900000000002</v>
      </c>
      <c r="F2860" s="23">
        <f t="shared" ca="1" si="204"/>
        <v>2.6193</v>
      </c>
      <c r="G2860" s="10">
        <f t="shared" ca="1" si="205"/>
        <v>0</v>
      </c>
      <c r="H2860" s="12">
        <f t="shared" ca="1" si="206"/>
        <v>0</v>
      </c>
      <c r="I2860" s="11">
        <f t="shared" ca="1" si="207"/>
        <v>0</v>
      </c>
      <c r="J2860" s="11">
        <f t="shared" ca="1" si="208"/>
        <v>1</v>
      </c>
      <c r="K2860" s="10">
        <f t="shared" ca="1" si="218"/>
        <v>-121.76675</v>
      </c>
      <c r="L2860" s="11">
        <f t="shared" ca="1" si="219"/>
        <v>45.239379999999997</v>
      </c>
      <c r="M2860" s="11">
        <f t="shared" ca="1" si="220"/>
        <v>2.6916099999999998</v>
      </c>
      <c r="N2860" s="15">
        <f t="shared" ca="1" si="221"/>
        <v>10</v>
      </c>
      <c r="O2860" s="15">
        <f t="shared" ca="1" si="222"/>
        <v>27</v>
      </c>
      <c r="P2860" s="16">
        <f t="shared" ca="1" si="223"/>
        <v>3.7957599999999729</v>
      </c>
      <c r="Q2860" s="11" t="str">
        <f t="shared" ca="1" si="209"/>
        <v/>
      </c>
      <c r="R2860" s="11" t="str">
        <f t="shared" ca="1" si="210"/>
        <v/>
      </c>
      <c r="S2860" s="61" t="str">
        <f t="shared" ca="1" si="211"/>
        <v/>
      </c>
      <c r="T2860" s="11" t="str">
        <f t="shared" ca="1" si="212"/>
        <v/>
      </c>
      <c r="U2860" s="11" t="str">
        <f t="shared" ca="1" si="213"/>
        <v/>
      </c>
      <c r="V2860" s="18" t="str">
        <f t="shared" ca="1" si="214"/>
        <v/>
      </c>
      <c r="W2860" s="61" t="str">
        <f t="shared" ca="1" si="215"/>
        <v/>
      </c>
      <c r="X2860" s="61">
        <f t="shared" ca="1" si="216"/>
        <v>0</v>
      </c>
      <c r="Y2860" s="64" t="str">
        <f t="shared" ca="1" si="217"/>
        <v/>
      </c>
    </row>
    <row r="2861" spans="1:25">
      <c r="A2861" s="2">
        <f>+Get_Data!A2860</f>
        <v>43594</v>
      </c>
      <c r="B2861">
        <f>+ROUND(Get_Data!B2860,5)</f>
        <v>120.77032</v>
      </c>
      <c r="C2861">
        <f>+ROUND(Get_Data!C2860,5)</f>
        <v>45.163159999999998</v>
      </c>
      <c r="D2861" s="4">
        <f t="shared" si="202"/>
        <v>2.6740900000000001</v>
      </c>
      <c r="E2861" s="22">
        <f t="shared" ca="1" si="203"/>
        <v>2.7012900000000002</v>
      </c>
      <c r="F2861" s="23">
        <f t="shared" ca="1" si="204"/>
        <v>2.6193</v>
      </c>
      <c r="G2861" s="10">
        <f t="shared" ca="1" si="205"/>
        <v>0</v>
      </c>
      <c r="H2861" s="12">
        <f t="shared" ca="1" si="206"/>
        <v>0</v>
      </c>
      <c r="I2861" s="11">
        <f t="shared" ca="1" si="207"/>
        <v>0</v>
      </c>
      <c r="J2861" s="11">
        <f t="shared" ca="1" si="208"/>
        <v>1</v>
      </c>
      <c r="K2861" s="10">
        <f t="shared" ca="1" si="218"/>
        <v>-121.76675</v>
      </c>
      <c r="L2861" s="11">
        <f t="shared" ca="1" si="219"/>
        <v>45.239379999999997</v>
      </c>
      <c r="M2861" s="11">
        <f t="shared" ca="1" si="220"/>
        <v>2.6916099999999998</v>
      </c>
      <c r="N2861" s="15">
        <f t="shared" ca="1" si="221"/>
        <v>10</v>
      </c>
      <c r="O2861" s="15">
        <f t="shared" ca="1" si="222"/>
        <v>27</v>
      </c>
      <c r="P2861" s="16">
        <f t="shared" ca="1" si="223"/>
        <v>3.7957599999999729</v>
      </c>
      <c r="Q2861" s="11" t="str">
        <f t="shared" ca="1" si="209"/>
        <v/>
      </c>
      <c r="R2861" s="11" t="str">
        <f t="shared" ca="1" si="210"/>
        <v/>
      </c>
      <c r="S2861" s="61" t="str">
        <f t="shared" ca="1" si="211"/>
        <v/>
      </c>
      <c r="T2861" s="11" t="str">
        <f t="shared" ca="1" si="212"/>
        <v/>
      </c>
      <c r="U2861" s="11" t="str">
        <f t="shared" ca="1" si="213"/>
        <v/>
      </c>
      <c r="V2861" s="18" t="str">
        <f t="shared" ca="1" si="214"/>
        <v/>
      </c>
      <c r="W2861" s="61" t="str">
        <f t="shared" ca="1" si="215"/>
        <v/>
      </c>
      <c r="X2861" s="61">
        <f t="shared" ca="1" si="216"/>
        <v>0</v>
      </c>
      <c r="Y2861" s="64" t="str">
        <f t="shared" ca="1" si="217"/>
        <v/>
      </c>
    </row>
    <row r="2862" spans="1:25">
      <c r="A2862" s="2">
        <f>+Get_Data!A2861</f>
        <v>43595</v>
      </c>
      <c r="B2862">
        <f>+ROUND(Get_Data!B2861,5)</f>
        <v>122.64821000000001</v>
      </c>
      <c r="C2862">
        <f>+ROUND(Get_Data!C2861,5)</f>
        <v>45.915869999999998</v>
      </c>
      <c r="D2862" s="4">
        <f t="shared" si="202"/>
        <v>2.6711499999999999</v>
      </c>
      <c r="E2862" s="22">
        <f t="shared" ca="1" si="203"/>
        <v>2.7012900000000002</v>
      </c>
      <c r="F2862" s="23">
        <f t="shared" ca="1" si="204"/>
        <v>2.6193</v>
      </c>
      <c r="G2862" s="10">
        <f t="shared" ca="1" si="205"/>
        <v>0</v>
      </c>
      <c r="H2862" s="12">
        <f t="shared" ca="1" si="206"/>
        <v>0</v>
      </c>
      <c r="I2862" s="11">
        <f t="shared" ca="1" si="207"/>
        <v>0</v>
      </c>
      <c r="J2862" s="11">
        <f t="shared" ca="1" si="208"/>
        <v>1</v>
      </c>
      <c r="K2862" s="10">
        <f t="shared" ca="1" si="218"/>
        <v>-121.76675</v>
      </c>
      <c r="L2862" s="11">
        <f t="shared" ca="1" si="219"/>
        <v>45.239379999999997</v>
      </c>
      <c r="M2862" s="11">
        <f t="shared" ca="1" si="220"/>
        <v>2.6916099999999998</v>
      </c>
      <c r="N2862" s="15">
        <f t="shared" ca="1" si="221"/>
        <v>10</v>
      </c>
      <c r="O2862" s="15">
        <f t="shared" ca="1" si="222"/>
        <v>27</v>
      </c>
      <c r="P2862" s="16">
        <f t="shared" ca="1" si="223"/>
        <v>3.7957599999999729</v>
      </c>
      <c r="Q2862" s="11" t="str">
        <f t="shared" ca="1" si="209"/>
        <v/>
      </c>
      <c r="R2862" s="11" t="str">
        <f t="shared" ca="1" si="210"/>
        <v/>
      </c>
      <c r="S2862" s="61" t="str">
        <f t="shared" ca="1" si="211"/>
        <v/>
      </c>
      <c r="T2862" s="11" t="str">
        <f t="shared" ca="1" si="212"/>
        <v/>
      </c>
      <c r="U2862" s="11" t="str">
        <f t="shared" ca="1" si="213"/>
        <v/>
      </c>
      <c r="V2862" s="18" t="str">
        <f t="shared" ca="1" si="214"/>
        <v/>
      </c>
      <c r="W2862" s="61" t="str">
        <f t="shared" ca="1" si="215"/>
        <v/>
      </c>
      <c r="X2862" s="61">
        <f t="shared" ca="1" si="216"/>
        <v>0</v>
      </c>
      <c r="Y2862" s="64" t="str">
        <f t="shared" ca="1" si="217"/>
        <v/>
      </c>
    </row>
    <row r="2863" spans="1:25">
      <c r="A2863" s="2">
        <f>+Get_Data!A2862</f>
        <v>43598</v>
      </c>
      <c r="B2863">
        <f>+ROUND(Get_Data!B2862,5)</f>
        <v>121.83382</v>
      </c>
      <c r="C2863">
        <f>+ROUND(Get_Data!C2862,5)</f>
        <v>45.782490000000003</v>
      </c>
      <c r="D2863" s="4">
        <f t="shared" si="202"/>
        <v>2.6611400000000001</v>
      </c>
      <c r="E2863" s="22">
        <f t="shared" ca="1" si="203"/>
        <v>2.7012900000000002</v>
      </c>
      <c r="F2863" s="23">
        <f t="shared" ca="1" si="204"/>
        <v>2.6193</v>
      </c>
      <c r="G2863" s="10">
        <f t="shared" ca="1" si="205"/>
        <v>0</v>
      </c>
      <c r="H2863" s="12">
        <f t="shared" ca="1" si="206"/>
        <v>0</v>
      </c>
      <c r="I2863" s="11">
        <f t="shared" ca="1" si="207"/>
        <v>0</v>
      </c>
      <c r="J2863" s="11">
        <f t="shared" ca="1" si="208"/>
        <v>1</v>
      </c>
      <c r="K2863" s="10">
        <f t="shared" ca="1" si="218"/>
        <v>-121.76675</v>
      </c>
      <c r="L2863" s="11">
        <f t="shared" ca="1" si="219"/>
        <v>45.239379999999997</v>
      </c>
      <c r="M2863" s="11">
        <f t="shared" ca="1" si="220"/>
        <v>2.6916099999999998</v>
      </c>
      <c r="N2863" s="15">
        <f t="shared" ca="1" si="221"/>
        <v>10</v>
      </c>
      <c r="O2863" s="15">
        <f t="shared" ca="1" si="222"/>
        <v>27</v>
      </c>
      <c r="P2863" s="16">
        <f t="shared" ca="1" si="223"/>
        <v>3.7957599999999729</v>
      </c>
      <c r="Q2863" s="11" t="str">
        <f t="shared" ca="1" si="209"/>
        <v/>
      </c>
      <c r="R2863" s="11" t="str">
        <f t="shared" ca="1" si="210"/>
        <v/>
      </c>
      <c r="S2863" s="61" t="str">
        <f t="shared" ca="1" si="211"/>
        <v/>
      </c>
      <c r="T2863" s="11" t="str">
        <f t="shared" ca="1" si="212"/>
        <v/>
      </c>
      <c r="U2863" s="11" t="str">
        <f t="shared" ca="1" si="213"/>
        <v/>
      </c>
      <c r="V2863" s="18" t="str">
        <f t="shared" ca="1" si="214"/>
        <v/>
      </c>
      <c r="W2863" s="61" t="str">
        <f t="shared" ca="1" si="215"/>
        <v/>
      </c>
      <c r="X2863" s="61">
        <f t="shared" ca="1" si="216"/>
        <v>0</v>
      </c>
      <c r="Y2863" s="64" t="str">
        <f t="shared" ca="1" si="217"/>
        <v/>
      </c>
    </row>
    <row r="2864" spans="1:25">
      <c r="A2864" s="2">
        <f>+Get_Data!A2863</f>
        <v>43599</v>
      </c>
      <c r="B2864">
        <f>+ROUND(Get_Data!B2863,5)</f>
        <v>122.07335999999999</v>
      </c>
      <c r="C2864">
        <f>+ROUND(Get_Data!C2863,5)</f>
        <v>46.39228</v>
      </c>
      <c r="D2864" s="4">
        <f t="shared" si="202"/>
        <v>2.6313300000000002</v>
      </c>
      <c r="E2864" s="22">
        <f t="shared" ca="1" si="203"/>
        <v>2.7012900000000002</v>
      </c>
      <c r="F2864" s="23">
        <f t="shared" ca="1" si="204"/>
        <v>2.6193</v>
      </c>
      <c r="G2864" s="10">
        <f t="shared" ca="1" si="205"/>
        <v>0</v>
      </c>
      <c r="H2864" s="12">
        <f t="shared" ca="1" si="206"/>
        <v>0</v>
      </c>
      <c r="I2864" s="11">
        <f t="shared" ca="1" si="207"/>
        <v>0</v>
      </c>
      <c r="J2864" s="11">
        <f t="shared" ca="1" si="208"/>
        <v>1</v>
      </c>
      <c r="K2864" s="10">
        <f t="shared" ca="1" si="218"/>
        <v>-121.76675</v>
      </c>
      <c r="L2864" s="11">
        <f t="shared" ca="1" si="219"/>
        <v>45.239379999999997</v>
      </c>
      <c r="M2864" s="11">
        <f t="shared" ca="1" si="220"/>
        <v>2.6916099999999998</v>
      </c>
      <c r="N2864" s="15">
        <f t="shared" ca="1" si="221"/>
        <v>10</v>
      </c>
      <c r="O2864" s="15">
        <f t="shared" ca="1" si="222"/>
        <v>27</v>
      </c>
      <c r="P2864" s="16">
        <f t="shared" ca="1" si="223"/>
        <v>3.7957599999999729</v>
      </c>
      <c r="Q2864" s="11" t="str">
        <f t="shared" ca="1" si="209"/>
        <v/>
      </c>
      <c r="R2864" s="11" t="str">
        <f t="shared" ca="1" si="210"/>
        <v/>
      </c>
      <c r="S2864" s="61" t="str">
        <f t="shared" ca="1" si="211"/>
        <v/>
      </c>
      <c r="T2864" s="11" t="str">
        <f t="shared" ca="1" si="212"/>
        <v/>
      </c>
      <c r="U2864" s="11" t="str">
        <f t="shared" ca="1" si="213"/>
        <v/>
      </c>
      <c r="V2864" s="18" t="str">
        <f t="shared" ca="1" si="214"/>
        <v/>
      </c>
      <c r="W2864" s="61" t="str">
        <f t="shared" ca="1" si="215"/>
        <v/>
      </c>
      <c r="X2864" s="61">
        <f t="shared" ca="1" si="216"/>
        <v>0</v>
      </c>
      <c r="Y2864" s="64" t="str">
        <f t="shared" ca="1" si="217"/>
        <v/>
      </c>
    </row>
    <row r="2865" spans="1:25">
      <c r="A2865" s="2">
        <f>+Get_Data!A2864</f>
        <v>43600</v>
      </c>
      <c r="B2865">
        <f>+ROUND(Get_Data!B2864,5)</f>
        <v>123.93209</v>
      </c>
      <c r="C2865">
        <f>+ROUND(Get_Data!C2864,5)</f>
        <v>46.85915</v>
      </c>
      <c r="D2865" s="4">
        <f t="shared" si="202"/>
        <v>2.6447799999999999</v>
      </c>
      <c r="E2865" s="22">
        <f t="shared" ca="1" si="203"/>
        <v>2.7012900000000002</v>
      </c>
      <c r="F2865" s="23">
        <f t="shared" ca="1" si="204"/>
        <v>2.6193</v>
      </c>
      <c r="G2865" s="10">
        <f t="shared" ca="1" si="205"/>
        <v>0</v>
      </c>
      <c r="H2865" s="12">
        <f t="shared" ca="1" si="206"/>
        <v>0</v>
      </c>
      <c r="I2865" s="11">
        <f t="shared" ca="1" si="207"/>
        <v>0</v>
      </c>
      <c r="J2865" s="11">
        <f t="shared" ca="1" si="208"/>
        <v>1</v>
      </c>
      <c r="K2865" s="10">
        <f t="shared" ca="1" si="218"/>
        <v>-121.76675</v>
      </c>
      <c r="L2865" s="11">
        <f t="shared" ca="1" si="219"/>
        <v>45.239379999999997</v>
      </c>
      <c r="M2865" s="11">
        <f t="shared" ca="1" si="220"/>
        <v>2.6916099999999998</v>
      </c>
      <c r="N2865" s="15">
        <f t="shared" ca="1" si="221"/>
        <v>10</v>
      </c>
      <c r="O2865" s="15">
        <f t="shared" ca="1" si="222"/>
        <v>27</v>
      </c>
      <c r="P2865" s="16">
        <f t="shared" ca="1" si="223"/>
        <v>3.7957599999999729</v>
      </c>
      <c r="Q2865" s="11" t="str">
        <f t="shared" ca="1" si="209"/>
        <v/>
      </c>
      <c r="R2865" s="11" t="str">
        <f t="shared" ca="1" si="210"/>
        <v/>
      </c>
      <c r="S2865" s="61" t="str">
        <f t="shared" ca="1" si="211"/>
        <v/>
      </c>
      <c r="T2865" s="11" t="str">
        <f t="shared" ca="1" si="212"/>
        <v/>
      </c>
      <c r="U2865" s="11" t="str">
        <f t="shared" ca="1" si="213"/>
        <v/>
      </c>
      <c r="V2865" s="18" t="str">
        <f t="shared" ca="1" si="214"/>
        <v/>
      </c>
      <c r="W2865" s="61" t="str">
        <f t="shared" ca="1" si="215"/>
        <v/>
      </c>
      <c r="X2865" s="61">
        <f t="shared" ca="1" si="216"/>
        <v>0</v>
      </c>
      <c r="Y2865" s="64" t="str">
        <f t="shared" ca="1" si="217"/>
        <v/>
      </c>
    </row>
    <row r="2866" spans="1:25">
      <c r="A2866" s="2">
        <f>+Get_Data!A2865</f>
        <v>43601</v>
      </c>
      <c r="B2866">
        <f>+ROUND(Get_Data!B2865,5)</f>
        <v>124.81356</v>
      </c>
      <c r="C2866">
        <f>+ROUND(Get_Data!C2865,5)</f>
        <v>47.240279999999998</v>
      </c>
      <c r="D2866" s="4">
        <f t="shared" ref="D2866:D2929" si="224">IFERROR(ROUND(B2866/C2866,5),"")</f>
        <v>2.6421000000000001</v>
      </c>
      <c r="E2866" s="22">
        <f t="shared" ca="1" si="203"/>
        <v>2.7012900000000002</v>
      </c>
      <c r="F2866" s="23">
        <f t="shared" ca="1" si="204"/>
        <v>2.6193</v>
      </c>
      <c r="G2866" s="10">
        <f t="shared" ca="1" si="205"/>
        <v>0</v>
      </c>
      <c r="H2866" s="12">
        <f t="shared" ca="1" si="206"/>
        <v>0</v>
      </c>
      <c r="I2866" s="11">
        <f t="shared" ca="1" si="207"/>
        <v>0</v>
      </c>
      <c r="J2866" s="11">
        <f t="shared" ca="1" si="208"/>
        <v>1</v>
      </c>
      <c r="K2866" s="10">
        <f t="shared" ca="1" si="218"/>
        <v>-121.76675</v>
      </c>
      <c r="L2866" s="11">
        <f t="shared" ca="1" si="219"/>
        <v>45.239379999999997</v>
      </c>
      <c r="M2866" s="11">
        <f t="shared" ca="1" si="220"/>
        <v>2.6916099999999998</v>
      </c>
      <c r="N2866" s="15">
        <f t="shared" ca="1" si="221"/>
        <v>10</v>
      </c>
      <c r="O2866" s="15">
        <f t="shared" ca="1" si="222"/>
        <v>27</v>
      </c>
      <c r="P2866" s="16">
        <f t="shared" ca="1" si="223"/>
        <v>3.7957599999999729</v>
      </c>
      <c r="Q2866" s="11" t="str">
        <f t="shared" ca="1" si="209"/>
        <v/>
      </c>
      <c r="R2866" s="11" t="str">
        <f t="shared" ca="1" si="210"/>
        <v/>
      </c>
      <c r="S2866" s="61" t="str">
        <f t="shared" ca="1" si="211"/>
        <v/>
      </c>
      <c r="T2866" s="11" t="str">
        <f t="shared" ca="1" si="212"/>
        <v/>
      </c>
      <c r="U2866" s="11" t="str">
        <f t="shared" ca="1" si="213"/>
        <v/>
      </c>
      <c r="V2866" s="18" t="str">
        <f t="shared" ca="1" si="214"/>
        <v/>
      </c>
      <c r="W2866" s="61" t="str">
        <f t="shared" ca="1" si="215"/>
        <v/>
      </c>
      <c r="X2866" s="61">
        <f t="shared" ca="1" si="216"/>
        <v>0</v>
      </c>
      <c r="Y2866" s="64" t="str">
        <f t="shared" ca="1" si="217"/>
        <v/>
      </c>
    </row>
    <row r="2867" spans="1:25">
      <c r="A2867" s="2">
        <f>+Get_Data!A2866</f>
        <v>43602</v>
      </c>
      <c r="B2867">
        <f>+ROUND(Get_Data!B2866,5)</f>
        <v>125.04349999999999</v>
      </c>
      <c r="C2867">
        <f>+ROUND(Get_Data!C2866,5)</f>
        <v>46.878219999999999</v>
      </c>
      <c r="D2867" s="4">
        <f t="shared" si="224"/>
        <v>2.6674099999999998</v>
      </c>
      <c r="E2867" s="22">
        <f t="shared" ca="1" si="203"/>
        <v>2.7012900000000002</v>
      </c>
      <c r="F2867" s="23">
        <f t="shared" ca="1" si="204"/>
        <v>2.6217600000000001</v>
      </c>
      <c r="G2867" s="10">
        <f t="shared" ca="1" si="205"/>
        <v>0</v>
      </c>
      <c r="H2867" s="12">
        <f t="shared" ca="1" si="206"/>
        <v>0</v>
      </c>
      <c r="I2867" s="11">
        <f t="shared" ca="1" si="207"/>
        <v>0</v>
      </c>
      <c r="J2867" s="11">
        <f t="shared" ca="1" si="208"/>
        <v>1</v>
      </c>
      <c r="K2867" s="10">
        <f t="shared" ca="1" si="218"/>
        <v>-121.76675</v>
      </c>
      <c r="L2867" s="11">
        <f t="shared" ca="1" si="219"/>
        <v>45.239379999999997</v>
      </c>
      <c r="M2867" s="11">
        <f t="shared" ca="1" si="220"/>
        <v>2.6916099999999998</v>
      </c>
      <c r="N2867" s="15">
        <f t="shared" ca="1" si="221"/>
        <v>10</v>
      </c>
      <c r="O2867" s="15">
        <f t="shared" ca="1" si="222"/>
        <v>27</v>
      </c>
      <c r="P2867" s="16">
        <f t="shared" ca="1" si="223"/>
        <v>3.7957599999999729</v>
      </c>
      <c r="Q2867" s="11" t="str">
        <f t="shared" ca="1" si="209"/>
        <v/>
      </c>
      <c r="R2867" s="11" t="str">
        <f t="shared" ca="1" si="210"/>
        <v/>
      </c>
      <c r="S2867" s="61" t="str">
        <f t="shared" ca="1" si="211"/>
        <v/>
      </c>
      <c r="T2867" s="11" t="str">
        <f t="shared" ca="1" si="212"/>
        <v/>
      </c>
      <c r="U2867" s="11" t="str">
        <f t="shared" ca="1" si="213"/>
        <v/>
      </c>
      <c r="V2867" s="18" t="str">
        <f t="shared" ca="1" si="214"/>
        <v/>
      </c>
      <c r="W2867" s="61" t="str">
        <f t="shared" ca="1" si="215"/>
        <v/>
      </c>
      <c r="X2867" s="61">
        <f t="shared" ca="1" si="216"/>
        <v>0</v>
      </c>
      <c r="Y2867" s="64" t="str">
        <f t="shared" ca="1" si="217"/>
        <v/>
      </c>
    </row>
    <row r="2868" spans="1:25">
      <c r="A2868" s="2">
        <f>+Get_Data!A2867</f>
        <v>43605</v>
      </c>
      <c r="B2868">
        <f>+ROUND(Get_Data!B2867,5)</f>
        <v>124.54528999999999</v>
      </c>
      <c r="C2868">
        <f>+ROUND(Get_Data!C2867,5)</f>
        <v>46.544730000000001</v>
      </c>
      <c r="D2868" s="4">
        <f t="shared" si="224"/>
        <v>2.6758199999999999</v>
      </c>
      <c r="E2868" s="22">
        <f t="shared" ca="1" si="203"/>
        <v>2.7012900000000002</v>
      </c>
      <c r="F2868" s="23">
        <f t="shared" ca="1" si="204"/>
        <v>2.6217600000000001</v>
      </c>
      <c r="G2868" s="10">
        <f t="shared" ca="1" si="205"/>
        <v>0</v>
      </c>
      <c r="H2868" s="12">
        <f t="shared" ca="1" si="206"/>
        <v>0</v>
      </c>
      <c r="I2868" s="11">
        <f t="shared" ca="1" si="207"/>
        <v>0</v>
      </c>
      <c r="J2868" s="11">
        <f t="shared" ca="1" si="208"/>
        <v>1</v>
      </c>
      <c r="K2868" s="10">
        <f t="shared" ca="1" si="218"/>
        <v>-121.76675</v>
      </c>
      <c r="L2868" s="11">
        <f t="shared" ca="1" si="219"/>
        <v>45.239379999999997</v>
      </c>
      <c r="M2868" s="11">
        <f t="shared" ca="1" si="220"/>
        <v>2.6916099999999998</v>
      </c>
      <c r="N2868" s="15">
        <f t="shared" ca="1" si="221"/>
        <v>10</v>
      </c>
      <c r="O2868" s="15">
        <f t="shared" ca="1" si="222"/>
        <v>27</v>
      </c>
      <c r="P2868" s="16">
        <f t="shared" ca="1" si="223"/>
        <v>3.7957599999999729</v>
      </c>
      <c r="Q2868" s="11" t="str">
        <f t="shared" ca="1" si="209"/>
        <v/>
      </c>
      <c r="R2868" s="11" t="str">
        <f t="shared" ca="1" si="210"/>
        <v/>
      </c>
      <c r="S2868" s="61" t="str">
        <f t="shared" ca="1" si="211"/>
        <v/>
      </c>
      <c r="T2868" s="11" t="str">
        <f t="shared" ca="1" si="212"/>
        <v/>
      </c>
      <c r="U2868" s="11" t="str">
        <f t="shared" ca="1" si="213"/>
        <v/>
      </c>
      <c r="V2868" s="18" t="str">
        <f t="shared" ca="1" si="214"/>
        <v/>
      </c>
      <c r="W2868" s="61" t="str">
        <f t="shared" ca="1" si="215"/>
        <v/>
      </c>
      <c r="X2868" s="61">
        <f t="shared" ca="1" si="216"/>
        <v>0</v>
      </c>
      <c r="Y2868" s="64" t="str">
        <f t="shared" ca="1" si="217"/>
        <v/>
      </c>
    </row>
    <row r="2869" spans="1:25">
      <c r="A2869" s="2">
        <f>+Get_Data!A2868</f>
        <v>43606</v>
      </c>
      <c r="B2869">
        <f>+ROUND(Get_Data!B2868,5)</f>
        <v>123.64466</v>
      </c>
      <c r="C2869">
        <f>+ROUND(Get_Data!C2868,5)</f>
        <v>46.306530000000002</v>
      </c>
      <c r="D2869" s="4">
        <f t="shared" si="224"/>
        <v>2.6701299999999999</v>
      </c>
      <c r="E2869" s="22">
        <f t="shared" ca="1" si="203"/>
        <v>2.7012900000000002</v>
      </c>
      <c r="F2869" s="23">
        <f t="shared" ca="1" si="204"/>
        <v>2.6217600000000001</v>
      </c>
      <c r="G2869" s="10">
        <f t="shared" ca="1" si="205"/>
        <v>0</v>
      </c>
      <c r="H2869" s="12">
        <f t="shared" ca="1" si="206"/>
        <v>0</v>
      </c>
      <c r="I2869" s="11">
        <f t="shared" ca="1" si="207"/>
        <v>0</v>
      </c>
      <c r="J2869" s="11">
        <f t="shared" ca="1" si="208"/>
        <v>1</v>
      </c>
      <c r="K2869" s="10">
        <f t="shared" ca="1" si="218"/>
        <v>-121.76675</v>
      </c>
      <c r="L2869" s="11">
        <f t="shared" ca="1" si="219"/>
        <v>45.239379999999997</v>
      </c>
      <c r="M2869" s="11">
        <f t="shared" ca="1" si="220"/>
        <v>2.6916099999999998</v>
      </c>
      <c r="N2869" s="15">
        <f t="shared" ca="1" si="221"/>
        <v>10</v>
      </c>
      <c r="O2869" s="15">
        <f t="shared" ca="1" si="222"/>
        <v>27</v>
      </c>
      <c r="P2869" s="16">
        <f t="shared" ca="1" si="223"/>
        <v>3.7957599999999729</v>
      </c>
      <c r="Q2869" s="11" t="str">
        <f t="shared" ca="1" si="209"/>
        <v/>
      </c>
      <c r="R2869" s="11" t="str">
        <f t="shared" ca="1" si="210"/>
        <v/>
      </c>
      <c r="S2869" s="61" t="str">
        <f t="shared" ca="1" si="211"/>
        <v/>
      </c>
      <c r="T2869" s="11" t="str">
        <f t="shared" ca="1" si="212"/>
        <v/>
      </c>
      <c r="U2869" s="11" t="str">
        <f t="shared" ca="1" si="213"/>
        <v/>
      </c>
      <c r="V2869" s="18" t="str">
        <f t="shared" ca="1" si="214"/>
        <v/>
      </c>
      <c r="W2869" s="61" t="str">
        <f t="shared" ca="1" si="215"/>
        <v/>
      </c>
      <c r="X2869" s="61">
        <f t="shared" ca="1" si="216"/>
        <v>0</v>
      </c>
      <c r="Y2869" s="64" t="str">
        <f t="shared" ca="1" si="217"/>
        <v/>
      </c>
    </row>
    <row r="2870" spans="1:25">
      <c r="A2870" s="2">
        <f>+Get_Data!A2869</f>
        <v>43607</v>
      </c>
      <c r="B2870">
        <f>+ROUND(Get_Data!B2869,5)</f>
        <v>124.62195</v>
      </c>
      <c r="C2870">
        <f>+ROUND(Get_Data!C2869,5)</f>
        <v>47.306980000000003</v>
      </c>
      <c r="D2870" s="4">
        <f t="shared" si="224"/>
        <v>2.6343200000000002</v>
      </c>
      <c r="E2870" s="22">
        <f t="shared" ca="1" si="203"/>
        <v>2.7012900000000002</v>
      </c>
      <c r="F2870" s="23">
        <f t="shared" ca="1" si="204"/>
        <v>2.6246</v>
      </c>
      <c r="G2870" s="10">
        <f t="shared" ca="1" si="205"/>
        <v>0</v>
      </c>
      <c r="H2870" s="12">
        <f t="shared" ca="1" si="206"/>
        <v>0</v>
      </c>
      <c r="I2870" s="11">
        <f t="shared" ca="1" si="207"/>
        <v>0</v>
      </c>
      <c r="J2870" s="11">
        <f t="shared" ca="1" si="208"/>
        <v>1</v>
      </c>
      <c r="K2870" s="10">
        <f t="shared" ca="1" si="218"/>
        <v>-121.76675</v>
      </c>
      <c r="L2870" s="11">
        <f t="shared" ca="1" si="219"/>
        <v>45.239379999999997</v>
      </c>
      <c r="M2870" s="11">
        <f t="shared" ca="1" si="220"/>
        <v>2.6916099999999998</v>
      </c>
      <c r="N2870" s="15">
        <f t="shared" ca="1" si="221"/>
        <v>10</v>
      </c>
      <c r="O2870" s="15">
        <f t="shared" ca="1" si="222"/>
        <v>27</v>
      </c>
      <c r="P2870" s="16">
        <f t="shared" ca="1" si="223"/>
        <v>3.7957599999999729</v>
      </c>
      <c r="Q2870" s="11" t="str">
        <f t="shared" ca="1" si="209"/>
        <v/>
      </c>
      <c r="R2870" s="11" t="str">
        <f t="shared" ca="1" si="210"/>
        <v/>
      </c>
      <c r="S2870" s="61" t="str">
        <f t="shared" ca="1" si="211"/>
        <v/>
      </c>
      <c r="T2870" s="11" t="str">
        <f t="shared" ca="1" si="212"/>
        <v/>
      </c>
      <c r="U2870" s="11" t="str">
        <f t="shared" ca="1" si="213"/>
        <v/>
      </c>
      <c r="V2870" s="18" t="str">
        <f t="shared" ca="1" si="214"/>
        <v/>
      </c>
      <c r="W2870" s="61" t="str">
        <f t="shared" ca="1" si="215"/>
        <v/>
      </c>
      <c r="X2870" s="61">
        <f t="shared" ca="1" si="216"/>
        <v>0</v>
      </c>
      <c r="Y2870" s="64" t="str">
        <f t="shared" ca="1" si="217"/>
        <v/>
      </c>
    </row>
    <row r="2871" spans="1:25">
      <c r="A2871" s="2">
        <f>+Get_Data!A2870</f>
        <v>43608</v>
      </c>
      <c r="B2871">
        <f>+ROUND(Get_Data!B2870,5)</f>
        <v>124.52612000000001</v>
      </c>
      <c r="C2871">
        <f>+ROUND(Get_Data!C2870,5)</f>
        <v>47.497540000000001</v>
      </c>
      <c r="D2871" s="4">
        <f t="shared" si="224"/>
        <v>2.62174</v>
      </c>
      <c r="E2871" s="22">
        <f t="shared" ca="1" si="203"/>
        <v>2.6916099999999998</v>
      </c>
      <c r="F2871" s="23">
        <f t="shared" ca="1" si="204"/>
        <v>2.62174</v>
      </c>
      <c r="G2871" s="10">
        <f t="shared" ca="1" si="205"/>
        <v>0</v>
      </c>
      <c r="H2871" s="12">
        <f t="shared" ca="1" si="206"/>
        <v>1</v>
      </c>
      <c r="I2871" s="11">
        <f t="shared" ca="1" si="207"/>
        <v>-1</v>
      </c>
      <c r="J2871" s="11">
        <f t="shared" ca="1" si="208"/>
        <v>0</v>
      </c>
      <c r="K2871" s="10">
        <f t="shared" ca="1" si="218"/>
        <v>-121.76675</v>
      </c>
      <c r="L2871" s="11">
        <f t="shared" ca="1" si="219"/>
        <v>45.239379999999997</v>
      </c>
      <c r="M2871" s="11">
        <f t="shared" ca="1" si="220"/>
        <v>2.6916099999999998</v>
      </c>
      <c r="N2871" s="15">
        <f t="shared" ca="1" si="221"/>
        <v>10</v>
      </c>
      <c r="O2871" s="15">
        <f t="shared" ca="1" si="222"/>
        <v>27</v>
      </c>
      <c r="P2871" s="16">
        <f t="shared" ca="1" si="223"/>
        <v>3.7957599999999729</v>
      </c>
      <c r="Q2871" s="11" t="str">
        <f t="shared" ca="1" si="209"/>
        <v/>
      </c>
      <c r="R2871" s="11" t="str">
        <f t="shared" ca="1" si="210"/>
        <v/>
      </c>
      <c r="S2871" s="61" t="str">
        <f t="shared" ca="1" si="211"/>
        <v/>
      </c>
      <c r="T2871" s="11" t="str">
        <f t="shared" ca="1" si="212"/>
        <v/>
      </c>
      <c r="U2871" s="11" t="str">
        <f t="shared" ca="1" si="213"/>
        <v/>
      </c>
      <c r="V2871" s="18" t="str">
        <f t="shared" ca="1" si="214"/>
        <v/>
      </c>
      <c r="W2871" s="61" t="str">
        <f t="shared" ca="1" si="215"/>
        <v/>
      </c>
      <c r="X2871" s="61">
        <f t="shared" ca="1" si="216"/>
        <v>0</v>
      </c>
      <c r="Y2871" s="64" t="str">
        <f t="shared" ca="1" si="217"/>
        <v/>
      </c>
    </row>
    <row r="2872" spans="1:25">
      <c r="A2872" s="2">
        <f>+Get_Data!A2871</f>
        <v>43609</v>
      </c>
      <c r="B2872">
        <f>+ROUND(Get_Data!B2871,5)</f>
        <v>124.07581</v>
      </c>
      <c r="C2872">
        <f>+ROUND(Get_Data!C2871,5)</f>
        <v>47.26887</v>
      </c>
      <c r="D2872" s="4">
        <f t="shared" si="224"/>
        <v>2.6248900000000002</v>
      </c>
      <c r="E2872" s="22">
        <f t="shared" ca="1" si="203"/>
        <v>2.6823600000000001</v>
      </c>
      <c r="F2872" s="23">
        <f t="shared" ca="1" si="204"/>
        <v>2.62174</v>
      </c>
      <c r="G2872" s="10">
        <f t="shared" ca="1" si="205"/>
        <v>0</v>
      </c>
      <c r="H2872" s="12">
        <f t="shared" ca="1" si="206"/>
        <v>0</v>
      </c>
      <c r="I2872" s="11">
        <f t="shared" ca="1" si="207"/>
        <v>0</v>
      </c>
      <c r="J2872" s="11">
        <f t="shared" ca="1" si="208"/>
        <v>0</v>
      </c>
      <c r="K2872" s="10" t="str">
        <f t="shared" ca="1" si="218"/>
        <v/>
      </c>
      <c r="L2872" s="11" t="str">
        <f t="shared" ca="1" si="219"/>
        <v/>
      </c>
      <c r="M2872" s="11" t="str">
        <f t="shared" ca="1" si="220"/>
        <v/>
      </c>
      <c r="N2872" s="15" t="str">
        <f t="shared" ca="1" si="221"/>
        <v/>
      </c>
      <c r="O2872" s="15" t="str">
        <f t="shared" ca="1" si="222"/>
        <v/>
      </c>
      <c r="P2872" s="16" t="str">
        <f t="shared" ca="1" si="223"/>
        <v/>
      </c>
      <c r="Q2872" s="11">
        <f t="shared" ca="1" si="209"/>
        <v>124.07581</v>
      </c>
      <c r="R2872" s="11">
        <f t="shared" ca="1" si="210"/>
        <v>47.26887</v>
      </c>
      <c r="S2872" s="61">
        <f t="shared" ca="1" si="211"/>
        <v>2.6248900000000002</v>
      </c>
      <c r="T2872" s="11">
        <f t="shared" ca="1" si="212"/>
        <v>10</v>
      </c>
      <c r="U2872" s="11">
        <f t="shared" ca="1" si="213"/>
        <v>27</v>
      </c>
      <c r="V2872" s="18">
        <f t="shared" ca="1" si="214"/>
        <v>-2458.4256</v>
      </c>
      <c r="W2872" s="61">
        <f t="shared" ca="1" si="215"/>
        <v>2497.7227499999999</v>
      </c>
      <c r="X2872" s="61">
        <f t="shared" ca="1" si="216"/>
        <v>39.297149999999874</v>
      </c>
      <c r="Y2872" s="64">
        <f t="shared" ca="1" si="217"/>
        <v>3.0790877801817464E-2</v>
      </c>
    </row>
    <row r="2873" spans="1:25">
      <c r="A2873" s="2">
        <f>+Get_Data!A2872</f>
        <v>43613</v>
      </c>
      <c r="B2873">
        <f>+ROUND(Get_Data!B2872,5)</f>
        <v>122.28413</v>
      </c>
      <c r="C2873">
        <f>+ROUND(Get_Data!C2872,5)</f>
        <v>46.782940000000004</v>
      </c>
      <c r="D2873" s="4">
        <f t="shared" si="224"/>
        <v>2.6138599999999999</v>
      </c>
      <c r="E2873" s="22">
        <f t="shared" ca="1" si="203"/>
        <v>2.6758199999999999</v>
      </c>
      <c r="F2873" s="23">
        <f t="shared" ca="1" si="204"/>
        <v>2.6138599999999999</v>
      </c>
      <c r="G2873" s="10">
        <f t="shared" ca="1" si="205"/>
        <v>0</v>
      </c>
      <c r="H2873" s="12">
        <f t="shared" ca="1" si="206"/>
        <v>1</v>
      </c>
      <c r="I2873" s="11">
        <f t="shared" ca="1" si="207"/>
        <v>-1</v>
      </c>
      <c r="J2873" s="11">
        <f t="shared" ca="1" si="208"/>
        <v>-1</v>
      </c>
      <c r="K2873" s="10" t="str">
        <f t="shared" ca="1" si="218"/>
        <v/>
      </c>
      <c r="L2873" s="11" t="str">
        <f t="shared" ca="1" si="219"/>
        <v/>
      </c>
      <c r="M2873" s="11" t="str">
        <f t="shared" ca="1" si="220"/>
        <v/>
      </c>
      <c r="N2873" s="15" t="str">
        <f t="shared" ca="1" si="221"/>
        <v/>
      </c>
      <c r="O2873" s="15" t="str">
        <f t="shared" ca="1" si="222"/>
        <v/>
      </c>
      <c r="P2873" s="16" t="str">
        <f t="shared" ca="1" si="223"/>
        <v/>
      </c>
      <c r="Q2873" s="11" t="str">
        <f t="shared" ca="1" si="209"/>
        <v/>
      </c>
      <c r="R2873" s="11" t="str">
        <f t="shared" ca="1" si="210"/>
        <v/>
      </c>
      <c r="S2873" s="61" t="str">
        <f t="shared" ca="1" si="211"/>
        <v/>
      </c>
      <c r="T2873" s="11" t="str">
        <f t="shared" ca="1" si="212"/>
        <v/>
      </c>
      <c r="U2873" s="11" t="str">
        <f t="shared" ca="1" si="213"/>
        <v/>
      </c>
      <c r="V2873" s="18" t="str">
        <f t="shared" ca="1" si="214"/>
        <v/>
      </c>
      <c r="W2873" s="61" t="str">
        <f t="shared" ca="1" si="215"/>
        <v/>
      </c>
      <c r="X2873" s="61">
        <f t="shared" ca="1" si="216"/>
        <v>0</v>
      </c>
      <c r="Y2873" s="64" t="str">
        <f t="shared" ca="1" si="217"/>
        <v/>
      </c>
    </row>
    <row r="2874" spans="1:25">
      <c r="A2874" s="2">
        <f>+Get_Data!A2873</f>
        <v>43614</v>
      </c>
      <c r="B2874">
        <f>+ROUND(Get_Data!B2873,5)</f>
        <v>122.80150999999999</v>
      </c>
      <c r="C2874">
        <f>+ROUND(Get_Data!C2873,5)</f>
        <v>46.31606</v>
      </c>
      <c r="D2874" s="4">
        <f t="shared" si="224"/>
        <v>2.6513800000000001</v>
      </c>
      <c r="E2874" s="22">
        <f t="shared" ca="1" si="203"/>
        <v>2.6758199999999999</v>
      </c>
      <c r="F2874" s="23">
        <f t="shared" ca="1" si="204"/>
        <v>2.6138599999999999</v>
      </c>
      <c r="G2874" s="10">
        <f t="shared" ca="1" si="205"/>
        <v>0</v>
      </c>
      <c r="H2874" s="12">
        <f t="shared" ca="1" si="206"/>
        <v>0</v>
      </c>
      <c r="I2874" s="11">
        <f t="shared" ca="1" si="207"/>
        <v>0</v>
      </c>
      <c r="J2874" s="11">
        <f t="shared" ca="1" si="208"/>
        <v>-1</v>
      </c>
      <c r="K2874" s="10">
        <f t="shared" ca="1" si="218"/>
        <v>122.80150999999999</v>
      </c>
      <c r="L2874" s="11">
        <f t="shared" ca="1" si="219"/>
        <v>-46.31606</v>
      </c>
      <c r="M2874" s="11">
        <f t="shared" ca="1" si="220"/>
        <v>2.6513800000000001</v>
      </c>
      <c r="N2874" s="15">
        <f t="shared" ca="1" si="221"/>
        <v>10</v>
      </c>
      <c r="O2874" s="15">
        <f t="shared" ca="1" si="222"/>
        <v>27</v>
      </c>
      <c r="P2874" s="16">
        <f t="shared" ca="1" si="223"/>
        <v>-22.51852000000008</v>
      </c>
      <c r="Q2874" s="11" t="str">
        <f t="shared" ca="1" si="209"/>
        <v/>
      </c>
      <c r="R2874" s="11" t="str">
        <f t="shared" ca="1" si="210"/>
        <v/>
      </c>
      <c r="S2874" s="61" t="str">
        <f t="shared" ca="1" si="211"/>
        <v/>
      </c>
      <c r="T2874" s="11" t="str">
        <f t="shared" ca="1" si="212"/>
        <v/>
      </c>
      <c r="U2874" s="11" t="str">
        <f t="shared" ca="1" si="213"/>
        <v/>
      </c>
      <c r="V2874" s="18" t="str">
        <f t="shared" ca="1" si="214"/>
        <v/>
      </c>
      <c r="W2874" s="61" t="str">
        <f t="shared" ca="1" si="215"/>
        <v/>
      </c>
      <c r="X2874" s="61">
        <f t="shared" ca="1" si="216"/>
        <v>0</v>
      </c>
      <c r="Y2874" s="64" t="str">
        <f t="shared" ca="1" si="217"/>
        <v/>
      </c>
    </row>
    <row r="2875" spans="1:25">
      <c r="A2875" s="2">
        <f>+Get_Data!A2874</f>
        <v>43615</v>
      </c>
      <c r="B2875">
        <f>+ROUND(Get_Data!B2874,5)</f>
        <v>123.22308</v>
      </c>
      <c r="C2875">
        <f>+ROUND(Get_Data!C2874,5)</f>
        <v>46.92586</v>
      </c>
      <c r="D2875" s="4">
        <f t="shared" si="224"/>
        <v>2.6259100000000002</v>
      </c>
      <c r="E2875" s="22">
        <f t="shared" ca="1" si="203"/>
        <v>2.6758199999999999</v>
      </c>
      <c r="F2875" s="23">
        <f t="shared" ca="1" si="204"/>
        <v>2.6138599999999999</v>
      </c>
      <c r="G2875" s="10">
        <f t="shared" ca="1" si="205"/>
        <v>0</v>
      </c>
      <c r="H2875" s="12">
        <f t="shared" ca="1" si="206"/>
        <v>0</v>
      </c>
      <c r="I2875" s="11">
        <f t="shared" ca="1" si="207"/>
        <v>0</v>
      </c>
      <c r="J2875" s="11">
        <f t="shared" ca="1" si="208"/>
        <v>-1</v>
      </c>
      <c r="K2875" s="10">
        <f t="shared" ca="1" si="218"/>
        <v>122.80150999999999</v>
      </c>
      <c r="L2875" s="11">
        <f t="shared" ca="1" si="219"/>
        <v>-46.31606</v>
      </c>
      <c r="M2875" s="11">
        <f t="shared" ca="1" si="220"/>
        <v>2.6513800000000001</v>
      </c>
      <c r="N2875" s="15">
        <f t="shared" ca="1" si="221"/>
        <v>10</v>
      </c>
      <c r="O2875" s="15">
        <f t="shared" ca="1" si="222"/>
        <v>27</v>
      </c>
      <c r="P2875" s="16">
        <f t="shared" ca="1" si="223"/>
        <v>-22.51852000000008</v>
      </c>
      <c r="Q2875" s="11" t="str">
        <f t="shared" ca="1" si="209"/>
        <v/>
      </c>
      <c r="R2875" s="11" t="str">
        <f t="shared" ca="1" si="210"/>
        <v/>
      </c>
      <c r="S2875" s="61" t="str">
        <f t="shared" ca="1" si="211"/>
        <v/>
      </c>
      <c r="T2875" s="11" t="str">
        <f t="shared" ca="1" si="212"/>
        <v/>
      </c>
      <c r="U2875" s="11" t="str">
        <f t="shared" ca="1" si="213"/>
        <v/>
      </c>
      <c r="V2875" s="18" t="str">
        <f t="shared" ca="1" si="214"/>
        <v/>
      </c>
      <c r="W2875" s="61" t="str">
        <f t="shared" ca="1" si="215"/>
        <v/>
      </c>
      <c r="X2875" s="61">
        <f t="shared" ca="1" si="216"/>
        <v>0</v>
      </c>
      <c r="Y2875" s="64" t="str">
        <f t="shared" ca="1" si="217"/>
        <v/>
      </c>
    </row>
    <row r="2876" spans="1:25">
      <c r="A2876" s="2">
        <f>+Get_Data!A2875</f>
        <v>43616</v>
      </c>
      <c r="B2876">
        <f>+ROUND(Get_Data!B2875,5)</f>
        <v>122.63864</v>
      </c>
      <c r="C2876">
        <f>+ROUND(Get_Data!C2875,5)</f>
        <v>46.811520000000002</v>
      </c>
      <c r="D2876" s="4">
        <f t="shared" si="224"/>
        <v>2.6198399999999999</v>
      </c>
      <c r="E2876" s="22">
        <f t="shared" ca="1" si="203"/>
        <v>2.6758199999999999</v>
      </c>
      <c r="F2876" s="23">
        <f t="shared" ca="1" si="204"/>
        <v>2.6138599999999999</v>
      </c>
      <c r="G2876" s="10">
        <f t="shared" ca="1" si="205"/>
        <v>0</v>
      </c>
      <c r="H2876" s="12">
        <f t="shared" ca="1" si="206"/>
        <v>0</v>
      </c>
      <c r="I2876" s="11">
        <f t="shared" ca="1" si="207"/>
        <v>0</v>
      </c>
      <c r="J2876" s="11">
        <f t="shared" ca="1" si="208"/>
        <v>-1</v>
      </c>
      <c r="K2876" s="10">
        <f t="shared" ca="1" si="218"/>
        <v>122.80150999999999</v>
      </c>
      <c r="L2876" s="11">
        <f t="shared" ca="1" si="219"/>
        <v>-46.31606</v>
      </c>
      <c r="M2876" s="11">
        <f t="shared" ca="1" si="220"/>
        <v>2.6513800000000001</v>
      </c>
      <c r="N2876" s="15">
        <f t="shared" ca="1" si="221"/>
        <v>10</v>
      </c>
      <c r="O2876" s="15">
        <f t="shared" ca="1" si="222"/>
        <v>27</v>
      </c>
      <c r="P2876" s="16">
        <f t="shared" ca="1" si="223"/>
        <v>-22.51852000000008</v>
      </c>
      <c r="Q2876" s="11" t="str">
        <f t="shared" ca="1" si="209"/>
        <v/>
      </c>
      <c r="R2876" s="11" t="str">
        <f t="shared" ca="1" si="210"/>
        <v/>
      </c>
      <c r="S2876" s="61" t="str">
        <f t="shared" ca="1" si="211"/>
        <v/>
      </c>
      <c r="T2876" s="11" t="str">
        <f t="shared" ca="1" si="212"/>
        <v/>
      </c>
      <c r="U2876" s="11" t="str">
        <f t="shared" ca="1" si="213"/>
        <v/>
      </c>
      <c r="V2876" s="18" t="str">
        <f t="shared" ca="1" si="214"/>
        <v/>
      </c>
      <c r="W2876" s="61" t="str">
        <f t="shared" ca="1" si="215"/>
        <v/>
      </c>
      <c r="X2876" s="61">
        <f t="shared" ca="1" si="216"/>
        <v>0</v>
      </c>
      <c r="Y2876" s="64" t="str">
        <f t="shared" ca="1" si="217"/>
        <v/>
      </c>
    </row>
    <row r="2877" spans="1:25">
      <c r="A2877" s="2">
        <f>+Get_Data!A2876</f>
        <v>43619</v>
      </c>
      <c r="B2877">
        <f>+ROUND(Get_Data!B2876,5)</f>
        <v>123.57758</v>
      </c>
      <c r="C2877">
        <f>+ROUND(Get_Data!C2876,5)</f>
        <v>47.621409999999997</v>
      </c>
      <c r="D2877" s="4">
        <f t="shared" si="224"/>
        <v>2.5950000000000002</v>
      </c>
      <c r="E2877" s="22">
        <f t="shared" ca="1" si="203"/>
        <v>2.6758199999999999</v>
      </c>
      <c r="F2877" s="23">
        <f t="shared" ca="1" si="204"/>
        <v>2.5950000000000002</v>
      </c>
      <c r="G2877" s="10">
        <f t="shared" ca="1" si="205"/>
        <v>0</v>
      </c>
      <c r="H2877" s="12">
        <f t="shared" ca="1" si="206"/>
        <v>1</v>
      </c>
      <c r="I2877" s="11">
        <f t="shared" ca="1" si="207"/>
        <v>-1</v>
      </c>
      <c r="J2877" s="11">
        <f t="shared" ca="1" si="208"/>
        <v>-2</v>
      </c>
      <c r="K2877" s="10">
        <f t="shared" ca="1" si="218"/>
        <v>122.80150999999999</v>
      </c>
      <c r="L2877" s="11">
        <f t="shared" ca="1" si="219"/>
        <v>-46.31606</v>
      </c>
      <c r="M2877" s="11">
        <f t="shared" ca="1" si="220"/>
        <v>2.6513800000000001</v>
      </c>
      <c r="N2877" s="15">
        <f t="shared" ca="1" si="221"/>
        <v>10</v>
      </c>
      <c r="O2877" s="15">
        <f t="shared" ca="1" si="222"/>
        <v>27</v>
      </c>
      <c r="P2877" s="16">
        <f t="shared" ca="1" si="223"/>
        <v>-22.51852000000008</v>
      </c>
      <c r="Q2877" s="11" t="str">
        <f t="shared" ca="1" si="209"/>
        <v/>
      </c>
      <c r="R2877" s="11" t="str">
        <f t="shared" ca="1" si="210"/>
        <v/>
      </c>
      <c r="S2877" s="61" t="str">
        <f t="shared" ca="1" si="211"/>
        <v/>
      </c>
      <c r="T2877" s="11" t="str">
        <f t="shared" ca="1" si="212"/>
        <v/>
      </c>
      <c r="U2877" s="11" t="str">
        <f t="shared" ca="1" si="213"/>
        <v/>
      </c>
      <c r="V2877" s="18" t="str">
        <f t="shared" ca="1" si="214"/>
        <v/>
      </c>
      <c r="W2877" s="61" t="str">
        <f t="shared" ca="1" si="215"/>
        <v/>
      </c>
      <c r="X2877" s="61">
        <f t="shared" ca="1" si="216"/>
        <v>0</v>
      </c>
      <c r="Y2877" s="64" t="str">
        <f t="shared" ca="1" si="217"/>
        <v/>
      </c>
    </row>
    <row r="2878" spans="1:25">
      <c r="A2878" s="2">
        <f>+Get_Data!A2877</f>
        <v>43620</v>
      </c>
      <c r="B2878">
        <f>+ROUND(Get_Data!B2877,5)</f>
        <v>123.66383</v>
      </c>
      <c r="C2878">
        <f>+ROUND(Get_Data!C2877,5)</f>
        <v>47.640459999999997</v>
      </c>
      <c r="D2878" s="4">
        <f t="shared" si="224"/>
        <v>2.5957699999999999</v>
      </c>
      <c r="E2878" s="22">
        <f t="shared" ca="1" si="203"/>
        <v>2.6758199999999999</v>
      </c>
      <c r="F2878" s="23">
        <f t="shared" ca="1" si="204"/>
        <v>2.5950000000000002</v>
      </c>
      <c r="G2878" s="10">
        <f t="shared" ca="1" si="205"/>
        <v>0</v>
      </c>
      <c r="H2878" s="12">
        <f t="shared" ca="1" si="206"/>
        <v>0</v>
      </c>
      <c r="I2878" s="11">
        <f t="shared" ca="1" si="207"/>
        <v>0</v>
      </c>
      <c r="J2878" s="11">
        <f t="shared" ca="1" si="208"/>
        <v>-2</v>
      </c>
      <c r="K2878" s="10">
        <f t="shared" ca="1" si="218"/>
        <v>122.80150999999999</v>
      </c>
      <c r="L2878" s="11">
        <f t="shared" ca="1" si="219"/>
        <v>-46.31606</v>
      </c>
      <c r="M2878" s="11">
        <f t="shared" ca="1" si="220"/>
        <v>2.6513800000000001</v>
      </c>
      <c r="N2878" s="15">
        <f t="shared" ca="1" si="221"/>
        <v>10</v>
      </c>
      <c r="O2878" s="15">
        <f t="shared" ca="1" si="222"/>
        <v>27</v>
      </c>
      <c r="P2878" s="16">
        <f t="shared" ca="1" si="223"/>
        <v>-22.51852000000008</v>
      </c>
      <c r="Q2878" s="11" t="str">
        <f t="shared" ca="1" si="209"/>
        <v/>
      </c>
      <c r="R2878" s="11" t="str">
        <f t="shared" ca="1" si="210"/>
        <v/>
      </c>
      <c r="S2878" s="61" t="str">
        <f t="shared" ca="1" si="211"/>
        <v/>
      </c>
      <c r="T2878" s="11" t="str">
        <f t="shared" ca="1" si="212"/>
        <v/>
      </c>
      <c r="U2878" s="11" t="str">
        <f t="shared" ca="1" si="213"/>
        <v/>
      </c>
      <c r="V2878" s="18" t="str">
        <f t="shared" ca="1" si="214"/>
        <v/>
      </c>
      <c r="W2878" s="61" t="str">
        <f t="shared" ca="1" si="215"/>
        <v/>
      </c>
      <c r="X2878" s="61">
        <f t="shared" ca="1" si="216"/>
        <v>0</v>
      </c>
      <c r="Y2878" s="64" t="str">
        <f t="shared" ca="1" si="217"/>
        <v/>
      </c>
    </row>
    <row r="2879" spans="1:25">
      <c r="A2879" s="2">
        <f>+Get_Data!A2878</f>
        <v>43621</v>
      </c>
      <c r="B2879">
        <f>+ROUND(Get_Data!B2878,5)</f>
        <v>125.88666000000001</v>
      </c>
      <c r="C2879">
        <f>+ROUND(Get_Data!C2878,5)</f>
        <v>48.383650000000003</v>
      </c>
      <c r="D2879" s="4">
        <f t="shared" si="224"/>
        <v>2.6018400000000002</v>
      </c>
      <c r="E2879" s="22">
        <f t="shared" ca="1" si="203"/>
        <v>2.6758199999999999</v>
      </c>
      <c r="F2879" s="23">
        <f t="shared" ca="1" si="204"/>
        <v>2.5950000000000002</v>
      </c>
      <c r="G2879" s="10">
        <f t="shared" ca="1" si="205"/>
        <v>0</v>
      </c>
      <c r="H2879" s="12">
        <f t="shared" ca="1" si="206"/>
        <v>0</v>
      </c>
      <c r="I2879" s="11">
        <f t="shared" ca="1" si="207"/>
        <v>0</v>
      </c>
      <c r="J2879" s="11">
        <f t="shared" ca="1" si="208"/>
        <v>-2</v>
      </c>
      <c r="K2879" s="10">
        <f t="shared" ca="1" si="218"/>
        <v>122.80150999999999</v>
      </c>
      <c r="L2879" s="11">
        <f t="shared" ca="1" si="219"/>
        <v>-46.31606</v>
      </c>
      <c r="M2879" s="11">
        <f t="shared" ca="1" si="220"/>
        <v>2.6513800000000001</v>
      </c>
      <c r="N2879" s="15">
        <f t="shared" ca="1" si="221"/>
        <v>10</v>
      </c>
      <c r="O2879" s="15">
        <f t="shared" ca="1" si="222"/>
        <v>27</v>
      </c>
      <c r="P2879" s="16">
        <f t="shared" ca="1" si="223"/>
        <v>-22.51852000000008</v>
      </c>
      <c r="Q2879" s="11" t="str">
        <f t="shared" ca="1" si="209"/>
        <v/>
      </c>
      <c r="R2879" s="11" t="str">
        <f t="shared" ca="1" si="210"/>
        <v/>
      </c>
      <c r="S2879" s="61" t="str">
        <f t="shared" ca="1" si="211"/>
        <v/>
      </c>
      <c r="T2879" s="11" t="str">
        <f t="shared" ca="1" si="212"/>
        <v/>
      </c>
      <c r="U2879" s="11" t="str">
        <f t="shared" ca="1" si="213"/>
        <v/>
      </c>
      <c r="V2879" s="18" t="str">
        <f t="shared" ca="1" si="214"/>
        <v/>
      </c>
      <c r="W2879" s="61" t="str">
        <f t="shared" ca="1" si="215"/>
        <v/>
      </c>
      <c r="X2879" s="61">
        <f t="shared" ca="1" si="216"/>
        <v>0</v>
      </c>
      <c r="Y2879" s="64" t="str">
        <f t="shared" ca="1" si="217"/>
        <v/>
      </c>
    </row>
    <row r="2880" spans="1:25">
      <c r="A2880" s="2">
        <f>+Get_Data!A2879</f>
        <v>43622</v>
      </c>
      <c r="B2880">
        <f>+ROUND(Get_Data!B2879,5)</f>
        <v>127.37775999999999</v>
      </c>
      <c r="C2880">
        <f>+ROUND(Get_Data!C2879,5)</f>
        <v>48.974400000000003</v>
      </c>
      <c r="D2880" s="4">
        <f t="shared" si="224"/>
        <v>2.6009000000000002</v>
      </c>
      <c r="E2880" s="22">
        <f t="shared" ca="1" si="203"/>
        <v>2.6758199999999999</v>
      </c>
      <c r="F2880" s="23">
        <f t="shared" ca="1" si="204"/>
        <v>2.5950000000000002</v>
      </c>
      <c r="G2880" s="10">
        <f t="shared" ca="1" si="205"/>
        <v>0</v>
      </c>
      <c r="H2880" s="12">
        <f t="shared" ca="1" si="206"/>
        <v>0</v>
      </c>
      <c r="I2880" s="11">
        <f t="shared" ca="1" si="207"/>
        <v>0</v>
      </c>
      <c r="J2880" s="11">
        <f t="shared" ca="1" si="208"/>
        <v>-2</v>
      </c>
      <c r="K2880" s="10">
        <f t="shared" ca="1" si="218"/>
        <v>122.80150999999999</v>
      </c>
      <c r="L2880" s="11">
        <f t="shared" ca="1" si="219"/>
        <v>-46.31606</v>
      </c>
      <c r="M2880" s="11">
        <f t="shared" ca="1" si="220"/>
        <v>2.6513800000000001</v>
      </c>
      <c r="N2880" s="15">
        <f t="shared" ca="1" si="221"/>
        <v>10</v>
      </c>
      <c r="O2880" s="15">
        <f t="shared" ca="1" si="222"/>
        <v>27</v>
      </c>
      <c r="P2880" s="16">
        <f t="shared" ca="1" si="223"/>
        <v>-22.51852000000008</v>
      </c>
      <c r="Q2880" s="11" t="str">
        <f t="shared" ca="1" si="209"/>
        <v/>
      </c>
      <c r="R2880" s="11" t="str">
        <f t="shared" ca="1" si="210"/>
        <v/>
      </c>
      <c r="S2880" s="61" t="str">
        <f t="shared" ca="1" si="211"/>
        <v/>
      </c>
      <c r="T2880" s="11" t="str">
        <f t="shared" ca="1" si="212"/>
        <v/>
      </c>
      <c r="U2880" s="11" t="str">
        <f t="shared" ca="1" si="213"/>
        <v/>
      </c>
      <c r="V2880" s="18" t="str">
        <f t="shared" ca="1" si="214"/>
        <v/>
      </c>
      <c r="W2880" s="61" t="str">
        <f t="shared" ca="1" si="215"/>
        <v/>
      </c>
      <c r="X2880" s="61">
        <f t="shared" ca="1" si="216"/>
        <v>0</v>
      </c>
      <c r="Y2880" s="64" t="str">
        <f t="shared" ca="1" si="217"/>
        <v/>
      </c>
    </row>
    <row r="2881" spans="1:25">
      <c r="A2881" s="2">
        <f>+Get_Data!A2880</f>
        <v>43623</v>
      </c>
      <c r="B2881">
        <f>+ROUND(Get_Data!B2880,5)</f>
        <v>128.81583000000001</v>
      </c>
      <c r="C2881">
        <f>+ROUND(Get_Data!C2880,5)</f>
        <v>49.06015</v>
      </c>
      <c r="D2881" s="4">
        <f t="shared" si="224"/>
        <v>2.6256699999999999</v>
      </c>
      <c r="E2881" s="22">
        <f t="shared" ca="1" si="203"/>
        <v>2.6758199999999999</v>
      </c>
      <c r="F2881" s="23">
        <f t="shared" ca="1" si="204"/>
        <v>2.5950000000000002</v>
      </c>
      <c r="G2881" s="10">
        <f t="shared" ca="1" si="205"/>
        <v>0</v>
      </c>
      <c r="H2881" s="12">
        <f t="shared" ca="1" si="206"/>
        <v>0</v>
      </c>
      <c r="I2881" s="11">
        <f t="shared" ca="1" si="207"/>
        <v>0</v>
      </c>
      <c r="J2881" s="11">
        <f t="shared" ca="1" si="208"/>
        <v>-2</v>
      </c>
      <c r="K2881" s="10">
        <f t="shared" ca="1" si="218"/>
        <v>122.80150999999999</v>
      </c>
      <c r="L2881" s="11">
        <f t="shared" ca="1" si="219"/>
        <v>-46.31606</v>
      </c>
      <c r="M2881" s="11">
        <f t="shared" ca="1" si="220"/>
        <v>2.6513800000000001</v>
      </c>
      <c r="N2881" s="15">
        <f t="shared" ca="1" si="221"/>
        <v>10</v>
      </c>
      <c r="O2881" s="15">
        <f t="shared" ca="1" si="222"/>
        <v>27</v>
      </c>
      <c r="P2881" s="16">
        <f t="shared" ca="1" si="223"/>
        <v>-22.51852000000008</v>
      </c>
      <c r="Q2881" s="11" t="str">
        <f t="shared" ca="1" si="209"/>
        <v/>
      </c>
      <c r="R2881" s="11" t="str">
        <f t="shared" ca="1" si="210"/>
        <v/>
      </c>
      <c r="S2881" s="61" t="str">
        <f t="shared" ca="1" si="211"/>
        <v/>
      </c>
      <c r="T2881" s="11" t="str">
        <f t="shared" ca="1" si="212"/>
        <v/>
      </c>
      <c r="U2881" s="11" t="str">
        <f t="shared" ca="1" si="213"/>
        <v/>
      </c>
      <c r="V2881" s="18" t="str">
        <f t="shared" ca="1" si="214"/>
        <v/>
      </c>
      <c r="W2881" s="61" t="str">
        <f t="shared" ca="1" si="215"/>
        <v/>
      </c>
      <c r="X2881" s="61">
        <f t="shared" ca="1" si="216"/>
        <v>0</v>
      </c>
      <c r="Y2881" s="64" t="str">
        <f t="shared" ca="1" si="217"/>
        <v/>
      </c>
    </row>
    <row r="2882" spans="1:25">
      <c r="A2882" s="2">
        <f>+Get_Data!A2881</f>
        <v>43626</v>
      </c>
      <c r="B2882">
        <f>+ROUND(Get_Data!B2881,5)</f>
        <v>128.93163000000001</v>
      </c>
      <c r="C2882">
        <f>+ROUND(Get_Data!C2881,5)</f>
        <v>48.95534</v>
      </c>
      <c r="D2882" s="4">
        <f t="shared" si="224"/>
        <v>2.6336599999999999</v>
      </c>
      <c r="E2882" s="22">
        <f t="shared" ca="1" si="203"/>
        <v>2.6758199999999999</v>
      </c>
      <c r="F2882" s="23">
        <f t="shared" ca="1" si="204"/>
        <v>2.5950000000000002</v>
      </c>
      <c r="G2882" s="10">
        <f t="shared" ca="1" si="205"/>
        <v>0</v>
      </c>
      <c r="H2882" s="12">
        <f t="shared" ca="1" si="206"/>
        <v>0</v>
      </c>
      <c r="I2882" s="11">
        <f t="shared" ca="1" si="207"/>
        <v>0</v>
      </c>
      <c r="J2882" s="11">
        <f t="shared" ca="1" si="208"/>
        <v>-2</v>
      </c>
      <c r="K2882" s="10">
        <f t="shared" ca="1" si="218"/>
        <v>122.80150999999999</v>
      </c>
      <c r="L2882" s="11">
        <f t="shared" ca="1" si="219"/>
        <v>-46.31606</v>
      </c>
      <c r="M2882" s="11">
        <f t="shared" ca="1" si="220"/>
        <v>2.6513800000000001</v>
      </c>
      <c r="N2882" s="15">
        <f t="shared" ca="1" si="221"/>
        <v>10</v>
      </c>
      <c r="O2882" s="15">
        <f t="shared" ca="1" si="222"/>
        <v>27</v>
      </c>
      <c r="P2882" s="16">
        <f t="shared" ca="1" si="223"/>
        <v>-22.51852000000008</v>
      </c>
      <c r="Q2882" s="11" t="str">
        <f t="shared" ca="1" si="209"/>
        <v/>
      </c>
      <c r="R2882" s="11" t="str">
        <f t="shared" ca="1" si="210"/>
        <v/>
      </c>
      <c r="S2882" s="61" t="str">
        <f t="shared" ca="1" si="211"/>
        <v/>
      </c>
      <c r="T2882" s="11" t="str">
        <f t="shared" ca="1" si="212"/>
        <v/>
      </c>
      <c r="U2882" s="11" t="str">
        <f t="shared" ca="1" si="213"/>
        <v/>
      </c>
      <c r="V2882" s="18" t="str">
        <f t="shared" ca="1" si="214"/>
        <v/>
      </c>
      <c r="W2882" s="61" t="str">
        <f t="shared" ca="1" si="215"/>
        <v/>
      </c>
      <c r="X2882" s="61">
        <f t="shared" ca="1" si="216"/>
        <v>0</v>
      </c>
      <c r="Y2882" s="64" t="str">
        <f t="shared" ca="1" si="217"/>
        <v/>
      </c>
    </row>
    <row r="2883" spans="1:25">
      <c r="A2883" s="2">
        <f>+Get_Data!A2882</f>
        <v>43627</v>
      </c>
      <c r="B2883">
        <f>+ROUND(Get_Data!B2882,5)</f>
        <v>128.55521999999999</v>
      </c>
      <c r="C2883">
        <f>+ROUND(Get_Data!C2882,5)</f>
        <v>48.907699999999998</v>
      </c>
      <c r="D2883" s="4">
        <f t="shared" si="224"/>
        <v>2.62853</v>
      </c>
      <c r="E2883" s="22">
        <f t="shared" ca="1" si="203"/>
        <v>2.6758199999999999</v>
      </c>
      <c r="F2883" s="23">
        <f t="shared" ca="1" si="204"/>
        <v>2.5950000000000002</v>
      </c>
      <c r="G2883" s="10">
        <f t="shared" ca="1" si="205"/>
        <v>0</v>
      </c>
      <c r="H2883" s="12">
        <f t="shared" ca="1" si="206"/>
        <v>0</v>
      </c>
      <c r="I2883" s="11">
        <f t="shared" ca="1" si="207"/>
        <v>0</v>
      </c>
      <c r="J2883" s="11">
        <f t="shared" ca="1" si="208"/>
        <v>-2</v>
      </c>
      <c r="K2883" s="10">
        <f t="shared" ca="1" si="218"/>
        <v>122.80150999999999</v>
      </c>
      <c r="L2883" s="11">
        <f t="shared" ca="1" si="219"/>
        <v>-46.31606</v>
      </c>
      <c r="M2883" s="11">
        <f t="shared" ca="1" si="220"/>
        <v>2.6513800000000001</v>
      </c>
      <c r="N2883" s="15">
        <f t="shared" ca="1" si="221"/>
        <v>10</v>
      </c>
      <c r="O2883" s="15">
        <f t="shared" ca="1" si="222"/>
        <v>27</v>
      </c>
      <c r="P2883" s="16">
        <f t="shared" ca="1" si="223"/>
        <v>-22.51852000000008</v>
      </c>
      <c r="Q2883" s="11" t="str">
        <f t="shared" ca="1" si="209"/>
        <v/>
      </c>
      <c r="R2883" s="11" t="str">
        <f t="shared" ca="1" si="210"/>
        <v/>
      </c>
      <c r="S2883" s="61" t="str">
        <f t="shared" ca="1" si="211"/>
        <v/>
      </c>
      <c r="T2883" s="11" t="str">
        <f t="shared" ca="1" si="212"/>
        <v/>
      </c>
      <c r="U2883" s="11" t="str">
        <f t="shared" ca="1" si="213"/>
        <v/>
      </c>
      <c r="V2883" s="18" t="str">
        <f t="shared" ca="1" si="214"/>
        <v/>
      </c>
      <c r="W2883" s="61" t="str">
        <f t="shared" ca="1" si="215"/>
        <v/>
      </c>
      <c r="X2883" s="61">
        <f t="shared" ca="1" si="216"/>
        <v>0</v>
      </c>
      <c r="Y2883" s="64" t="str">
        <f t="shared" ca="1" si="217"/>
        <v/>
      </c>
    </row>
    <row r="2884" spans="1:25">
      <c r="A2884" s="2">
        <f>+Get_Data!A2883</f>
        <v>43628</v>
      </c>
      <c r="B2884">
        <f>+ROUND(Get_Data!B2883,5)</f>
        <v>128.49731</v>
      </c>
      <c r="C2884">
        <f>+ROUND(Get_Data!C2883,5)</f>
        <v>49.203069999999997</v>
      </c>
      <c r="D2884" s="4">
        <f t="shared" si="224"/>
        <v>2.6115699999999999</v>
      </c>
      <c r="E2884" s="22">
        <f t="shared" ca="1" si="203"/>
        <v>2.6758199999999999</v>
      </c>
      <c r="F2884" s="23">
        <f t="shared" ca="1" si="204"/>
        <v>2.5950000000000002</v>
      </c>
      <c r="G2884" s="10">
        <f t="shared" ca="1" si="205"/>
        <v>0</v>
      </c>
      <c r="H2884" s="12">
        <f t="shared" ca="1" si="206"/>
        <v>0</v>
      </c>
      <c r="I2884" s="11">
        <f t="shared" ca="1" si="207"/>
        <v>0</v>
      </c>
      <c r="J2884" s="11">
        <f t="shared" ca="1" si="208"/>
        <v>-2</v>
      </c>
      <c r="K2884" s="10">
        <f t="shared" ca="1" si="218"/>
        <v>122.80150999999999</v>
      </c>
      <c r="L2884" s="11">
        <f t="shared" ca="1" si="219"/>
        <v>-46.31606</v>
      </c>
      <c r="M2884" s="11">
        <f t="shared" ca="1" si="220"/>
        <v>2.6513800000000001</v>
      </c>
      <c r="N2884" s="15">
        <f t="shared" ca="1" si="221"/>
        <v>10</v>
      </c>
      <c r="O2884" s="15">
        <f t="shared" ca="1" si="222"/>
        <v>27</v>
      </c>
      <c r="P2884" s="16">
        <f t="shared" ca="1" si="223"/>
        <v>-22.51852000000008</v>
      </c>
      <c r="Q2884" s="11" t="str">
        <f t="shared" ca="1" si="209"/>
        <v/>
      </c>
      <c r="R2884" s="11" t="str">
        <f t="shared" ca="1" si="210"/>
        <v/>
      </c>
      <c r="S2884" s="61" t="str">
        <f t="shared" ca="1" si="211"/>
        <v/>
      </c>
      <c r="T2884" s="11" t="str">
        <f t="shared" ca="1" si="212"/>
        <v/>
      </c>
      <c r="U2884" s="11" t="str">
        <f t="shared" ca="1" si="213"/>
        <v/>
      </c>
      <c r="V2884" s="18" t="str">
        <f t="shared" ca="1" si="214"/>
        <v/>
      </c>
      <c r="W2884" s="61" t="str">
        <f t="shared" ca="1" si="215"/>
        <v/>
      </c>
      <c r="X2884" s="61">
        <f t="shared" ca="1" si="216"/>
        <v>0</v>
      </c>
      <c r="Y2884" s="64" t="str">
        <f t="shared" ca="1" si="217"/>
        <v/>
      </c>
    </row>
    <row r="2885" spans="1:25">
      <c r="A2885" s="2">
        <f>+Get_Data!A2884</f>
        <v>43629</v>
      </c>
      <c r="B2885">
        <f>+ROUND(Get_Data!B2884,5)</f>
        <v>128.30429000000001</v>
      </c>
      <c r="C2885">
        <f>+ROUND(Get_Data!C2884,5)</f>
        <v>49.097439999999999</v>
      </c>
      <c r="D2885" s="4">
        <f t="shared" si="224"/>
        <v>2.6132599999999999</v>
      </c>
      <c r="E2885" s="22">
        <f t="shared" ref="E2885:E2948" ca="1" si="225">+MAX(OFFSET(D2885,-$G$2+1,,$G$2))</f>
        <v>2.6758199999999999</v>
      </c>
      <c r="F2885" s="23">
        <f t="shared" ref="F2885:F2948" ca="1" si="226">+MIN(OFFSET(D2885,-$G$2+1,,$G$2))</f>
        <v>2.5950000000000002</v>
      </c>
      <c r="G2885" s="10">
        <f t="shared" ref="G2885:G2948" ca="1" si="227">+IF(E2885=D2885,1,0)</f>
        <v>0</v>
      </c>
      <c r="H2885" s="12">
        <f t="shared" ref="H2885:H2948" ca="1" si="228">+IF(F2885=D2885,1,0)</f>
        <v>0</v>
      </c>
      <c r="I2885" s="11">
        <f t="shared" ref="I2885:I2948" ca="1" si="229">+G2885-H2885</f>
        <v>0</v>
      </c>
      <c r="J2885" s="11">
        <f t="shared" ca="1" si="208"/>
        <v>-2</v>
      </c>
      <c r="K2885" s="10">
        <f t="shared" ca="1" si="218"/>
        <v>122.80150999999999</v>
      </c>
      <c r="L2885" s="11">
        <f t="shared" ca="1" si="219"/>
        <v>-46.31606</v>
      </c>
      <c r="M2885" s="11">
        <f t="shared" ca="1" si="220"/>
        <v>2.6513800000000001</v>
      </c>
      <c r="N2885" s="15">
        <f t="shared" ca="1" si="221"/>
        <v>10</v>
      </c>
      <c r="O2885" s="15">
        <f t="shared" ca="1" si="222"/>
        <v>27</v>
      </c>
      <c r="P2885" s="16">
        <f t="shared" ca="1" si="223"/>
        <v>-22.51852000000008</v>
      </c>
      <c r="Q2885" s="11" t="str">
        <f t="shared" ca="1" si="209"/>
        <v/>
      </c>
      <c r="R2885" s="11" t="str">
        <f t="shared" ca="1" si="210"/>
        <v/>
      </c>
      <c r="S2885" s="61" t="str">
        <f t="shared" ca="1" si="211"/>
        <v/>
      </c>
      <c r="T2885" s="11" t="str">
        <f t="shared" ca="1" si="212"/>
        <v/>
      </c>
      <c r="U2885" s="11" t="str">
        <f t="shared" ca="1" si="213"/>
        <v/>
      </c>
      <c r="V2885" s="18" t="str">
        <f t="shared" ca="1" si="214"/>
        <v/>
      </c>
      <c r="W2885" s="61" t="str">
        <f t="shared" ca="1" si="215"/>
        <v/>
      </c>
      <c r="X2885" s="61">
        <f t="shared" ca="1" si="216"/>
        <v>0</v>
      </c>
      <c r="Y2885" s="64" t="str">
        <f t="shared" ca="1" si="217"/>
        <v/>
      </c>
    </row>
    <row r="2886" spans="1:25">
      <c r="A2886" s="2">
        <f>+Get_Data!A2885</f>
        <v>43630</v>
      </c>
      <c r="B2886">
        <f>+ROUND(Get_Data!B2885,5)</f>
        <v>128.10158999999999</v>
      </c>
      <c r="C2886">
        <f>+ROUND(Get_Data!C2885,5)</f>
        <v>49.270290000000003</v>
      </c>
      <c r="D2886" s="4">
        <f t="shared" si="224"/>
        <v>2.59998</v>
      </c>
      <c r="E2886" s="22">
        <f t="shared" ca="1" si="225"/>
        <v>2.6758199999999999</v>
      </c>
      <c r="F2886" s="23">
        <f t="shared" ca="1" si="226"/>
        <v>2.5950000000000002</v>
      </c>
      <c r="G2886" s="10">
        <f t="shared" ca="1" si="227"/>
        <v>0</v>
      </c>
      <c r="H2886" s="12">
        <f t="shared" ca="1" si="228"/>
        <v>0</v>
      </c>
      <c r="I2886" s="11">
        <f t="shared" ca="1" si="229"/>
        <v>0</v>
      </c>
      <c r="J2886" s="11">
        <f t="shared" ref="J2886:J2949" ca="1" si="230">+IF(AND(ABS(J2885)=2,ABS(I2886)=1),0,J2885+I2886)</f>
        <v>-2</v>
      </c>
      <c r="K2886" s="10">
        <f t="shared" ca="1" si="218"/>
        <v>122.80150999999999</v>
      </c>
      <c r="L2886" s="11">
        <f t="shared" ca="1" si="219"/>
        <v>-46.31606</v>
      </c>
      <c r="M2886" s="11">
        <f t="shared" ca="1" si="220"/>
        <v>2.6513800000000001</v>
      </c>
      <c r="N2886" s="15">
        <f t="shared" ca="1" si="221"/>
        <v>10</v>
      </c>
      <c r="O2886" s="15">
        <f t="shared" ca="1" si="222"/>
        <v>27</v>
      </c>
      <c r="P2886" s="16">
        <f t="shared" ca="1" si="223"/>
        <v>-22.51852000000008</v>
      </c>
      <c r="Q2886" s="11" t="str">
        <f t="shared" ca="1" si="209"/>
        <v/>
      </c>
      <c r="R2886" s="11" t="str">
        <f t="shared" ca="1" si="210"/>
        <v/>
      </c>
      <c r="S2886" s="61" t="str">
        <f t="shared" ca="1" si="211"/>
        <v/>
      </c>
      <c r="T2886" s="11" t="str">
        <f t="shared" ca="1" si="212"/>
        <v/>
      </c>
      <c r="U2886" s="11" t="str">
        <f t="shared" ca="1" si="213"/>
        <v/>
      </c>
      <c r="V2886" s="18" t="str">
        <f t="shared" ca="1" si="214"/>
        <v/>
      </c>
      <c r="W2886" s="61" t="str">
        <f t="shared" ca="1" si="215"/>
        <v/>
      </c>
      <c r="X2886" s="61">
        <f t="shared" ca="1" si="216"/>
        <v>0</v>
      </c>
      <c r="Y2886" s="64" t="str">
        <f t="shared" ca="1" si="217"/>
        <v/>
      </c>
    </row>
    <row r="2887" spans="1:25">
      <c r="A2887" s="2">
        <f>+Get_Data!A2886</f>
        <v>43633</v>
      </c>
      <c r="B2887">
        <f>+ROUND(Get_Data!B2886,5)</f>
        <v>127.89894</v>
      </c>
      <c r="C2887">
        <f>+ROUND(Get_Data!C2886,5)</f>
        <v>48.84778</v>
      </c>
      <c r="D2887" s="4">
        <f t="shared" si="224"/>
        <v>2.6183200000000002</v>
      </c>
      <c r="E2887" s="22">
        <f t="shared" ca="1" si="225"/>
        <v>2.6758199999999999</v>
      </c>
      <c r="F2887" s="23">
        <f t="shared" ca="1" si="226"/>
        <v>2.5950000000000002</v>
      </c>
      <c r="G2887" s="10">
        <f t="shared" ca="1" si="227"/>
        <v>0</v>
      </c>
      <c r="H2887" s="12">
        <f t="shared" ca="1" si="228"/>
        <v>0</v>
      </c>
      <c r="I2887" s="11">
        <f t="shared" ca="1" si="229"/>
        <v>0</v>
      </c>
      <c r="J2887" s="11">
        <f t="shared" ca="1" si="230"/>
        <v>-2</v>
      </c>
      <c r="K2887" s="10">
        <f t="shared" ca="1" si="218"/>
        <v>122.80150999999999</v>
      </c>
      <c r="L2887" s="11">
        <f t="shared" ca="1" si="219"/>
        <v>-46.31606</v>
      </c>
      <c r="M2887" s="11">
        <f t="shared" ca="1" si="220"/>
        <v>2.6513800000000001</v>
      </c>
      <c r="N2887" s="15">
        <f t="shared" ca="1" si="221"/>
        <v>10</v>
      </c>
      <c r="O2887" s="15">
        <f t="shared" ca="1" si="222"/>
        <v>27</v>
      </c>
      <c r="P2887" s="16">
        <f t="shared" ca="1" si="223"/>
        <v>-22.51852000000008</v>
      </c>
      <c r="Q2887" s="11" t="str">
        <f t="shared" ca="1" si="209"/>
        <v/>
      </c>
      <c r="R2887" s="11" t="str">
        <f t="shared" ca="1" si="210"/>
        <v/>
      </c>
      <c r="S2887" s="61" t="str">
        <f t="shared" ca="1" si="211"/>
        <v/>
      </c>
      <c r="T2887" s="11" t="str">
        <f t="shared" ca="1" si="212"/>
        <v/>
      </c>
      <c r="U2887" s="11" t="str">
        <f t="shared" ca="1" si="213"/>
        <v/>
      </c>
      <c r="V2887" s="18" t="str">
        <f t="shared" ca="1" si="214"/>
        <v/>
      </c>
      <c r="W2887" s="61" t="str">
        <f t="shared" ca="1" si="215"/>
        <v/>
      </c>
      <c r="X2887" s="61">
        <f t="shared" ca="1" si="216"/>
        <v>0</v>
      </c>
      <c r="Y2887" s="64" t="str">
        <f t="shared" ca="1" si="217"/>
        <v/>
      </c>
    </row>
    <row r="2888" spans="1:25">
      <c r="A2888" s="2">
        <f>+Get_Data!A2887</f>
        <v>43634</v>
      </c>
      <c r="B2888">
        <f>+ROUND(Get_Data!B2887,5)</f>
        <v>127.45499</v>
      </c>
      <c r="C2888">
        <f>+ROUND(Get_Data!C2887,5)</f>
        <v>48.626919999999998</v>
      </c>
      <c r="D2888" s="4">
        <f t="shared" si="224"/>
        <v>2.6210800000000001</v>
      </c>
      <c r="E2888" s="22">
        <f t="shared" ca="1" si="225"/>
        <v>2.6758199999999999</v>
      </c>
      <c r="F2888" s="23">
        <f t="shared" ca="1" si="226"/>
        <v>2.5950000000000002</v>
      </c>
      <c r="G2888" s="10">
        <f t="shared" ca="1" si="227"/>
        <v>0</v>
      </c>
      <c r="H2888" s="12">
        <f t="shared" ca="1" si="228"/>
        <v>0</v>
      </c>
      <c r="I2888" s="11">
        <f t="shared" ca="1" si="229"/>
        <v>0</v>
      </c>
      <c r="J2888" s="11">
        <f t="shared" ca="1" si="230"/>
        <v>-2</v>
      </c>
      <c r="K2888" s="10">
        <f t="shared" ca="1" si="218"/>
        <v>122.80150999999999</v>
      </c>
      <c r="L2888" s="11">
        <f t="shared" ca="1" si="219"/>
        <v>-46.31606</v>
      </c>
      <c r="M2888" s="11">
        <f t="shared" ca="1" si="220"/>
        <v>2.6513800000000001</v>
      </c>
      <c r="N2888" s="15">
        <f t="shared" ca="1" si="221"/>
        <v>10</v>
      </c>
      <c r="O2888" s="15">
        <f t="shared" ca="1" si="222"/>
        <v>27</v>
      </c>
      <c r="P2888" s="16">
        <f t="shared" ca="1" si="223"/>
        <v>-22.51852000000008</v>
      </c>
      <c r="Q2888" s="11" t="str">
        <f t="shared" ca="1" si="209"/>
        <v/>
      </c>
      <c r="R2888" s="11" t="str">
        <f t="shared" ca="1" si="210"/>
        <v/>
      </c>
      <c r="S2888" s="61" t="str">
        <f t="shared" ca="1" si="211"/>
        <v/>
      </c>
      <c r="T2888" s="11" t="str">
        <f t="shared" ca="1" si="212"/>
        <v/>
      </c>
      <c r="U2888" s="11" t="str">
        <f t="shared" ca="1" si="213"/>
        <v/>
      </c>
      <c r="V2888" s="18" t="str">
        <f t="shared" ca="1" si="214"/>
        <v/>
      </c>
      <c r="W2888" s="61" t="str">
        <f t="shared" ca="1" si="215"/>
        <v/>
      </c>
      <c r="X2888" s="61">
        <f t="shared" ca="1" si="216"/>
        <v>0</v>
      </c>
      <c r="Y2888" s="64" t="str">
        <f t="shared" ca="1" si="217"/>
        <v/>
      </c>
    </row>
    <row r="2889" spans="1:25">
      <c r="A2889" s="2">
        <f>+Get_Data!A2888</f>
        <v>43635</v>
      </c>
      <c r="B2889">
        <f>+ROUND(Get_Data!B2888,5)</f>
        <v>128.21745000000001</v>
      </c>
      <c r="C2889">
        <f>+ROUND(Get_Data!C2888,5)</f>
        <v>49.08784</v>
      </c>
      <c r="D2889" s="4">
        <f t="shared" si="224"/>
        <v>2.6120000000000001</v>
      </c>
      <c r="E2889" s="22">
        <f t="shared" ca="1" si="225"/>
        <v>2.6758199999999999</v>
      </c>
      <c r="F2889" s="23">
        <f t="shared" ca="1" si="226"/>
        <v>2.5950000000000002</v>
      </c>
      <c r="G2889" s="10">
        <f t="shared" ca="1" si="227"/>
        <v>0</v>
      </c>
      <c r="H2889" s="12">
        <f t="shared" ca="1" si="228"/>
        <v>0</v>
      </c>
      <c r="I2889" s="11">
        <f t="shared" ca="1" si="229"/>
        <v>0</v>
      </c>
      <c r="J2889" s="11">
        <f t="shared" ca="1" si="230"/>
        <v>-2</v>
      </c>
      <c r="K2889" s="10">
        <f t="shared" ca="1" si="218"/>
        <v>122.80150999999999</v>
      </c>
      <c r="L2889" s="11">
        <f t="shared" ca="1" si="219"/>
        <v>-46.31606</v>
      </c>
      <c r="M2889" s="11">
        <f t="shared" ca="1" si="220"/>
        <v>2.6513800000000001</v>
      </c>
      <c r="N2889" s="15">
        <f t="shared" ca="1" si="221"/>
        <v>10</v>
      </c>
      <c r="O2889" s="15">
        <f t="shared" ca="1" si="222"/>
        <v>27</v>
      </c>
      <c r="P2889" s="16">
        <f t="shared" ca="1" si="223"/>
        <v>-22.51852000000008</v>
      </c>
      <c r="Q2889" s="11" t="str">
        <f t="shared" ca="1" si="209"/>
        <v/>
      </c>
      <c r="R2889" s="11" t="str">
        <f t="shared" ca="1" si="210"/>
        <v/>
      </c>
      <c r="S2889" s="61" t="str">
        <f t="shared" ca="1" si="211"/>
        <v/>
      </c>
      <c r="T2889" s="11" t="str">
        <f t="shared" ca="1" si="212"/>
        <v/>
      </c>
      <c r="U2889" s="11" t="str">
        <f t="shared" ca="1" si="213"/>
        <v/>
      </c>
      <c r="V2889" s="18" t="str">
        <f t="shared" ca="1" si="214"/>
        <v/>
      </c>
      <c r="W2889" s="61" t="str">
        <f t="shared" ca="1" si="215"/>
        <v/>
      </c>
      <c r="X2889" s="61">
        <f t="shared" ca="1" si="216"/>
        <v>0</v>
      </c>
      <c r="Y2889" s="64" t="str">
        <f t="shared" ca="1" si="217"/>
        <v/>
      </c>
    </row>
    <row r="2890" spans="1:25">
      <c r="A2890" s="2">
        <f>+Get_Data!A2889</f>
        <v>43636</v>
      </c>
      <c r="B2890">
        <f>+ROUND(Get_Data!B2889,5)</f>
        <v>129.48175000000001</v>
      </c>
      <c r="C2890">
        <f>+ROUND(Get_Data!C2889,5)</f>
        <v>49.606369999999998</v>
      </c>
      <c r="D2890" s="4">
        <f t="shared" si="224"/>
        <v>2.6101800000000002</v>
      </c>
      <c r="E2890" s="22">
        <f t="shared" ca="1" si="225"/>
        <v>2.6758199999999999</v>
      </c>
      <c r="F2890" s="23">
        <f t="shared" ca="1" si="226"/>
        <v>2.5950000000000002</v>
      </c>
      <c r="G2890" s="10">
        <f t="shared" ca="1" si="227"/>
        <v>0</v>
      </c>
      <c r="H2890" s="12">
        <f t="shared" ca="1" si="228"/>
        <v>0</v>
      </c>
      <c r="I2890" s="11">
        <f t="shared" ca="1" si="229"/>
        <v>0</v>
      </c>
      <c r="J2890" s="11">
        <f t="shared" ca="1" si="230"/>
        <v>-2</v>
      </c>
      <c r="K2890" s="10">
        <f t="shared" ca="1" si="218"/>
        <v>122.80150999999999</v>
      </c>
      <c r="L2890" s="11">
        <f t="shared" ca="1" si="219"/>
        <v>-46.31606</v>
      </c>
      <c r="M2890" s="11">
        <f t="shared" ca="1" si="220"/>
        <v>2.6513800000000001</v>
      </c>
      <c r="N2890" s="15">
        <f t="shared" ca="1" si="221"/>
        <v>10</v>
      </c>
      <c r="O2890" s="15">
        <f t="shared" ca="1" si="222"/>
        <v>27</v>
      </c>
      <c r="P2890" s="16">
        <f t="shared" ca="1" si="223"/>
        <v>-22.51852000000008</v>
      </c>
      <c r="Q2890" s="11" t="str">
        <f t="shared" ca="1" si="209"/>
        <v/>
      </c>
      <c r="R2890" s="11" t="str">
        <f t="shared" ca="1" si="210"/>
        <v/>
      </c>
      <c r="S2890" s="61" t="str">
        <f t="shared" ca="1" si="211"/>
        <v/>
      </c>
      <c r="T2890" s="11" t="str">
        <f t="shared" ca="1" si="212"/>
        <v/>
      </c>
      <c r="U2890" s="11" t="str">
        <f t="shared" ca="1" si="213"/>
        <v/>
      </c>
      <c r="V2890" s="18" t="str">
        <f t="shared" ca="1" si="214"/>
        <v/>
      </c>
      <c r="W2890" s="61" t="str">
        <f t="shared" ca="1" si="215"/>
        <v/>
      </c>
      <c r="X2890" s="61">
        <f t="shared" ca="1" si="216"/>
        <v>0</v>
      </c>
      <c r="Y2890" s="64" t="str">
        <f t="shared" ca="1" si="217"/>
        <v/>
      </c>
    </row>
    <row r="2891" spans="1:25">
      <c r="A2891" s="2">
        <f>+Get_Data!A2890</f>
        <v>43637</v>
      </c>
      <c r="B2891">
        <f>+ROUND(Get_Data!B2890,5)</f>
        <v>129.28872999999999</v>
      </c>
      <c r="C2891">
        <f>+ROUND(Get_Data!C2890,5)</f>
        <v>49.50074</v>
      </c>
      <c r="D2891" s="4">
        <f t="shared" si="224"/>
        <v>2.61185</v>
      </c>
      <c r="E2891" s="22">
        <f t="shared" ca="1" si="225"/>
        <v>2.6758199999999999</v>
      </c>
      <c r="F2891" s="23">
        <f t="shared" ca="1" si="226"/>
        <v>2.5950000000000002</v>
      </c>
      <c r="G2891" s="10">
        <f t="shared" ca="1" si="227"/>
        <v>0</v>
      </c>
      <c r="H2891" s="12">
        <f t="shared" ca="1" si="228"/>
        <v>0</v>
      </c>
      <c r="I2891" s="11">
        <f t="shared" ca="1" si="229"/>
        <v>0</v>
      </c>
      <c r="J2891" s="11">
        <f t="shared" ca="1" si="230"/>
        <v>-2</v>
      </c>
      <c r="K2891" s="10">
        <f t="shared" ca="1" si="218"/>
        <v>122.80150999999999</v>
      </c>
      <c r="L2891" s="11">
        <f t="shared" ca="1" si="219"/>
        <v>-46.31606</v>
      </c>
      <c r="M2891" s="11">
        <f t="shared" ca="1" si="220"/>
        <v>2.6513800000000001</v>
      </c>
      <c r="N2891" s="15">
        <f t="shared" ca="1" si="221"/>
        <v>10</v>
      </c>
      <c r="O2891" s="15">
        <f t="shared" ca="1" si="222"/>
        <v>27</v>
      </c>
      <c r="P2891" s="16">
        <f t="shared" ca="1" si="223"/>
        <v>-22.51852000000008</v>
      </c>
      <c r="Q2891" s="11" t="str">
        <f t="shared" ca="1" si="209"/>
        <v/>
      </c>
      <c r="R2891" s="11" t="str">
        <f t="shared" ca="1" si="210"/>
        <v/>
      </c>
      <c r="S2891" s="61" t="str">
        <f t="shared" ca="1" si="211"/>
        <v/>
      </c>
      <c r="T2891" s="11" t="str">
        <f t="shared" ca="1" si="212"/>
        <v/>
      </c>
      <c r="U2891" s="11" t="str">
        <f t="shared" ca="1" si="213"/>
        <v/>
      </c>
      <c r="V2891" s="18" t="str">
        <f t="shared" ca="1" si="214"/>
        <v/>
      </c>
      <c r="W2891" s="61" t="str">
        <f t="shared" ca="1" si="215"/>
        <v/>
      </c>
      <c r="X2891" s="61">
        <f t="shared" ca="1" si="216"/>
        <v>0</v>
      </c>
      <c r="Y2891" s="64" t="str">
        <f t="shared" ca="1" si="217"/>
        <v/>
      </c>
    </row>
    <row r="2892" spans="1:25">
      <c r="A2892" s="2">
        <f>+Get_Data!A2891</f>
        <v>43640</v>
      </c>
      <c r="B2892">
        <f>+ROUND(Get_Data!B2891,5)</f>
        <v>129.46244999999999</v>
      </c>
      <c r="C2892">
        <f>+ROUND(Get_Data!C2891,5)</f>
        <v>49.85604</v>
      </c>
      <c r="D2892" s="4">
        <f t="shared" si="224"/>
        <v>2.59673</v>
      </c>
      <c r="E2892" s="22">
        <f t="shared" ca="1" si="225"/>
        <v>2.6758199999999999</v>
      </c>
      <c r="F2892" s="23">
        <f t="shared" ca="1" si="226"/>
        <v>2.5950000000000002</v>
      </c>
      <c r="G2892" s="10">
        <f t="shared" ca="1" si="227"/>
        <v>0</v>
      </c>
      <c r="H2892" s="12">
        <f t="shared" ca="1" si="228"/>
        <v>0</v>
      </c>
      <c r="I2892" s="11">
        <f t="shared" ca="1" si="229"/>
        <v>0</v>
      </c>
      <c r="J2892" s="11">
        <f t="shared" ca="1" si="230"/>
        <v>-2</v>
      </c>
      <c r="K2892" s="10">
        <f t="shared" ca="1" si="218"/>
        <v>122.80150999999999</v>
      </c>
      <c r="L2892" s="11">
        <f t="shared" ca="1" si="219"/>
        <v>-46.31606</v>
      </c>
      <c r="M2892" s="11">
        <f t="shared" ca="1" si="220"/>
        <v>2.6513800000000001</v>
      </c>
      <c r="N2892" s="15">
        <f t="shared" ca="1" si="221"/>
        <v>10</v>
      </c>
      <c r="O2892" s="15">
        <f t="shared" ca="1" si="222"/>
        <v>27</v>
      </c>
      <c r="P2892" s="16">
        <f t="shared" ca="1" si="223"/>
        <v>-22.51852000000008</v>
      </c>
      <c r="Q2892" s="11" t="str">
        <f t="shared" ca="1" si="209"/>
        <v/>
      </c>
      <c r="R2892" s="11" t="str">
        <f t="shared" ca="1" si="210"/>
        <v/>
      </c>
      <c r="S2892" s="61" t="str">
        <f t="shared" ca="1" si="211"/>
        <v/>
      </c>
      <c r="T2892" s="11" t="str">
        <f t="shared" ca="1" si="212"/>
        <v/>
      </c>
      <c r="U2892" s="11" t="str">
        <f t="shared" ca="1" si="213"/>
        <v/>
      </c>
      <c r="V2892" s="18" t="str">
        <f t="shared" ca="1" si="214"/>
        <v/>
      </c>
      <c r="W2892" s="61" t="str">
        <f t="shared" ca="1" si="215"/>
        <v/>
      </c>
      <c r="X2892" s="61">
        <f t="shared" ca="1" si="216"/>
        <v>0</v>
      </c>
      <c r="Y2892" s="64" t="str">
        <f t="shared" ca="1" si="217"/>
        <v/>
      </c>
    </row>
    <row r="2893" spans="1:25">
      <c r="A2893" s="2">
        <f>+Get_Data!A2892</f>
        <v>43641</v>
      </c>
      <c r="B2893">
        <f>+ROUND(Get_Data!B2892,5)</f>
        <v>129.14394999999999</v>
      </c>
      <c r="C2893">
        <f>+ROUND(Get_Data!C2892,5)</f>
        <v>49.702399999999997</v>
      </c>
      <c r="D2893" s="4">
        <f t="shared" si="224"/>
        <v>2.5983399999999999</v>
      </c>
      <c r="E2893" s="22">
        <f t="shared" ca="1" si="225"/>
        <v>2.6701299999999999</v>
      </c>
      <c r="F2893" s="23">
        <f t="shared" ca="1" si="226"/>
        <v>2.5950000000000002</v>
      </c>
      <c r="G2893" s="10">
        <f t="shared" ca="1" si="227"/>
        <v>0</v>
      </c>
      <c r="H2893" s="12">
        <f t="shared" ca="1" si="228"/>
        <v>0</v>
      </c>
      <c r="I2893" s="11">
        <f t="shared" ca="1" si="229"/>
        <v>0</v>
      </c>
      <c r="J2893" s="11">
        <f t="shared" ca="1" si="230"/>
        <v>-2</v>
      </c>
      <c r="K2893" s="10">
        <f t="shared" ca="1" si="218"/>
        <v>122.80150999999999</v>
      </c>
      <c r="L2893" s="11">
        <f t="shared" ca="1" si="219"/>
        <v>-46.31606</v>
      </c>
      <c r="M2893" s="11">
        <f t="shared" ca="1" si="220"/>
        <v>2.6513800000000001</v>
      </c>
      <c r="N2893" s="15">
        <f t="shared" ca="1" si="221"/>
        <v>10</v>
      </c>
      <c r="O2893" s="15">
        <f t="shared" ca="1" si="222"/>
        <v>27</v>
      </c>
      <c r="P2893" s="16">
        <f t="shared" ca="1" si="223"/>
        <v>-22.51852000000008</v>
      </c>
      <c r="Q2893" s="11" t="str">
        <f t="shared" ca="1" si="209"/>
        <v/>
      </c>
      <c r="R2893" s="11" t="str">
        <f t="shared" ca="1" si="210"/>
        <v/>
      </c>
      <c r="S2893" s="61" t="str">
        <f t="shared" ca="1" si="211"/>
        <v/>
      </c>
      <c r="T2893" s="11" t="str">
        <f t="shared" ca="1" si="212"/>
        <v/>
      </c>
      <c r="U2893" s="11" t="str">
        <f t="shared" ca="1" si="213"/>
        <v/>
      </c>
      <c r="V2893" s="18" t="str">
        <f t="shared" ca="1" si="214"/>
        <v/>
      </c>
      <c r="W2893" s="61" t="str">
        <f t="shared" ca="1" si="215"/>
        <v/>
      </c>
      <c r="X2893" s="61">
        <f t="shared" ca="1" si="216"/>
        <v>0</v>
      </c>
      <c r="Y2893" s="64" t="str">
        <f t="shared" ca="1" si="217"/>
        <v/>
      </c>
    </row>
    <row r="2894" spans="1:25">
      <c r="A2894" s="2">
        <f>+Get_Data!A2893</f>
        <v>43642</v>
      </c>
      <c r="B2894">
        <f>+ROUND(Get_Data!B2893,5)</f>
        <v>127.70592000000001</v>
      </c>
      <c r="C2894">
        <f>+ROUND(Get_Data!C2893,5)</f>
        <v>49.08784</v>
      </c>
      <c r="D2894" s="4">
        <f t="shared" si="224"/>
        <v>2.6015799999999998</v>
      </c>
      <c r="E2894" s="22">
        <f t="shared" ca="1" si="225"/>
        <v>2.6513800000000001</v>
      </c>
      <c r="F2894" s="23">
        <f t="shared" ca="1" si="226"/>
        <v>2.5950000000000002</v>
      </c>
      <c r="G2894" s="10">
        <f t="shared" ca="1" si="227"/>
        <v>0</v>
      </c>
      <c r="H2894" s="12">
        <f t="shared" ca="1" si="228"/>
        <v>0</v>
      </c>
      <c r="I2894" s="11">
        <f t="shared" ca="1" si="229"/>
        <v>0</v>
      </c>
      <c r="J2894" s="11">
        <f t="shared" ca="1" si="230"/>
        <v>-2</v>
      </c>
      <c r="K2894" s="10">
        <f t="shared" ca="1" si="218"/>
        <v>122.80150999999999</v>
      </c>
      <c r="L2894" s="11">
        <f t="shared" ca="1" si="219"/>
        <v>-46.31606</v>
      </c>
      <c r="M2894" s="11">
        <f t="shared" ca="1" si="220"/>
        <v>2.6513800000000001</v>
      </c>
      <c r="N2894" s="15">
        <f t="shared" ca="1" si="221"/>
        <v>10</v>
      </c>
      <c r="O2894" s="15">
        <f t="shared" ca="1" si="222"/>
        <v>27</v>
      </c>
      <c r="P2894" s="16">
        <f t="shared" ca="1" si="223"/>
        <v>-22.51852000000008</v>
      </c>
      <c r="Q2894" s="11" t="str">
        <f t="shared" ca="1" si="209"/>
        <v/>
      </c>
      <c r="R2894" s="11" t="str">
        <f t="shared" ca="1" si="210"/>
        <v/>
      </c>
      <c r="S2894" s="61" t="str">
        <f t="shared" ca="1" si="211"/>
        <v/>
      </c>
      <c r="T2894" s="11" t="str">
        <f t="shared" ca="1" si="212"/>
        <v/>
      </c>
      <c r="U2894" s="11" t="str">
        <f t="shared" ca="1" si="213"/>
        <v/>
      </c>
      <c r="V2894" s="18" t="str">
        <f t="shared" ca="1" si="214"/>
        <v/>
      </c>
      <c r="W2894" s="61" t="str">
        <f t="shared" ca="1" si="215"/>
        <v/>
      </c>
      <c r="X2894" s="61">
        <f t="shared" ca="1" si="216"/>
        <v>0</v>
      </c>
      <c r="Y2894" s="64" t="str">
        <f t="shared" ca="1" si="217"/>
        <v/>
      </c>
    </row>
    <row r="2895" spans="1:25">
      <c r="A2895" s="2">
        <f>+Get_Data!A2894</f>
        <v>43643</v>
      </c>
      <c r="B2895">
        <f>+ROUND(Get_Data!B2894,5)</f>
        <v>127.09789000000001</v>
      </c>
      <c r="C2895">
        <f>+ROUND(Get_Data!C2894,5)</f>
        <v>49.049430000000001</v>
      </c>
      <c r="D2895" s="4">
        <f t="shared" si="224"/>
        <v>2.5912199999999999</v>
      </c>
      <c r="E2895" s="22">
        <f t="shared" ca="1" si="225"/>
        <v>2.6513800000000001</v>
      </c>
      <c r="F2895" s="23">
        <f t="shared" ca="1" si="226"/>
        <v>2.5912199999999999</v>
      </c>
      <c r="G2895" s="10">
        <f t="shared" ca="1" si="227"/>
        <v>0</v>
      </c>
      <c r="H2895" s="12">
        <f t="shared" ca="1" si="228"/>
        <v>1</v>
      </c>
      <c r="I2895" s="11">
        <f t="shared" ca="1" si="229"/>
        <v>-1</v>
      </c>
      <c r="J2895" s="11">
        <f t="shared" ca="1" si="230"/>
        <v>0</v>
      </c>
      <c r="K2895" s="10">
        <f t="shared" ca="1" si="218"/>
        <v>122.80150999999999</v>
      </c>
      <c r="L2895" s="11">
        <f t="shared" ca="1" si="219"/>
        <v>-46.31606</v>
      </c>
      <c r="M2895" s="11">
        <f t="shared" ca="1" si="220"/>
        <v>2.6513800000000001</v>
      </c>
      <c r="N2895" s="15">
        <f t="shared" ca="1" si="221"/>
        <v>10</v>
      </c>
      <c r="O2895" s="15">
        <f t="shared" ca="1" si="222"/>
        <v>27</v>
      </c>
      <c r="P2895" s="16">
        <f t="shared" ca="1" si="223"/>
        <v>-22.51852000000008</v>
      </c>
      <c r="Q2895" s="11" t="str">
        <f t="shared" ca="1" si="209"/>
        <v/>
      </c>
      <c r="R2895" s="11" t="str">
        <f t="shared" ca="1" si="210"/>
        <v/>
      </c>
      <c r="S2895" s="61" t="str">
        <f t="shared" ca="1" si="211"/>
        <v/>
      </c>
      <c r="T2895" s="11" t="str">
        <f t="shared" ca="1" si="212"/>
        <v/>
      </c>
      <c r="U2895" s="11" t="str">
        <f t="shared" ca="1" si="213"/>
        <v/>
      </c>
      <c r="V2895" s="18" t="str">
        <f t="shared" ca="1" si="214"/>
        <v/>
      </c>
      <c r="W2895" s="61" t="str">
        <f t="shared" ca="1" si="215"/>
        <v/>
      </c>
      <c r="X2895" s="61">
        <f t="shared" ca="1" si="216"/>
        <v>0</v>
      </c>
      <c r="Y2895" s="64" t="str">
        <f t="shared" ca="1" si="217"/>
        <v/>
      </c>
    </row>
    <row r="2896" spans="1:25">
      <c r="A2896" s="2">
        <f>+Get_Data!A2895</f>
        <v>43644</v>
      </c>
      <c r="B2896">
        <f>+ROUND(Get_Data!B2895,5)</f>
        <v>126.55741999999999</v>
      </c>
      <c r="C2896">
        <f>+ROUND(Get_Data!C2895,5)</f>
        <v>48.895789999999998</v>
      </c>
      <c r="D2896" s="4">
        <f t="shared" si="224"/>
        <v>2.5883099999999999</v>
      </c>
      <c r="E2896" s="22">
        <f t="shared" ca="1" si="225"/>
        <v>2.6513800000000001</v>
      </c>
      <c r="F2896" s="23">
        <f t="shared" ca="1" si="226"/>
        <v>2.5883099999999999</v>
      </c>
      <c r="G2896" s="10">
        <f t="shared" ca="1" si="227"/>
        <v>0</v>
      </c>
      <c r="H2896" s="12">
        <f t="shared" ca="1" si="228"/>
        <v>1</v>
      </c>
      <c r="I2896" s="11">
        <f t="shared" ca="1" si="229"/>
        <v>-1</v>
      </c>
      <c r="J2896" s="11">
        <f t="shared" ca="1" si="230"/>
        <v>-1</v>
      </c>
      <c r="K2896" s="10" t="str">
        <f t="shared" ca="1" si="218"/>
        <v/>
      </c>
      <c r="L2896" s="11" t="str">
        <f t="shared" ca="1" si="219"/>
        <v/>
      </c>
      <c r="M2896" s="11" t="str">
        <f t="shared" ca="1" si="220"/>
        <v/>
      </c>
      <c r="N2896" s="15" t="str">
        <f t="shared" ca="1" si="221"/>
        <v/>
      </c>
      <c r="O2896" s="15" t="str">
        <f t="shared" ca="1" si="222"/>
        <v/>
      </c>
      <c r="P2896" s="16" t="str">
        <f t="shared" ca="1" si="223"/>
        <v/>
      </c>
      <c r="Q2896" s="11">
        <f t="shared" ca="1" si="209"/>
        <v>126.55741999999999</v>
      </c>
      <c r="R2896" s="11">
        <f t="shared" ca="1" si="210"/>
        <v>48.895789999999998</v>
      </c>
      <c r="S2896" s="61">
        <f t="shared" ca="1" si="211"/>
        <v>2.5883099999999999</v>
      </c>
      <c r="T2896" s="11">
        <f t="shared" ca="1" si="212"/>
        <v>10</v>
      </c>
      <c r="U2896" s="11">
        <f t="shared" ca="1" si="213"/>
        <v>27</v>
      </c>
      <c r="V2896" s="18">
        <f t="shared" ca="1" si="214"/>
        <v>-37.559100000000001</v>
      </c>
      <c r="W2896" s="61">
        <f t="shared" ca="1" si="215"/>
        <v>69.652709999999942</v>
      </c>
      <c r="X2896" s="61">
        <f t="shared" ca="1" si="216"/>
        <v>32.093609999999941</v>
      </c>
      <c r="Y2896" s="64">
        <f t="shared" ca="1" si="217"/>
        <v>2.4309909344387728E-2</v>
      </c>
    </row>
    <row r="2897" spans="1:25">
      <c r="A2897" s="2">
        <f>+Get_Data!A2896</f>
        <v>43647</v>
      </c>
      <c r="B2897">
        <f>+ROUND(Get_Data!B2896,5)</f>
        <v>127.27159</v>
      </c>
      <c r="C2897">
        <f>+ROUND(Get_Data!C2896,5)</f>
        <v>49.548760000000001</v>
      </c>
      <c r="D2897" s="4">
        <f t="shared" si="224"/>
        <v>2.5686100000000001</v>
      </c>
      <c r="E2897" s="22">
        <f t="shared" ca="1" si="225"/>
        <v>2.6513800000000001</v>
      </c>
      <c r="F2897" s="23">
        <f t="shared" ca="1" si="226"/>
        <v>2.5686100000000001</v>
      </c>
      <c r="G2897" s="10">
        <f t="shared" ca="1" si="227"/>
        <v>0</v>
      </c>
      <c r="H2897" s="12">
        <f t="shared" ca="1" si="228"/>
        <v>1</v>
      </c>
      <c r="I2897" s="11">
        <f t="shared" ca="1" si="229"/>
        <v>-1</v>
      </c>
      <c r="J2897" s="11">
        <f t="shared" ca="1" si="230"/>
        <v>-2</v>
      </c>
      <c r="K2897" s="10">
        <f t="shared" ca="1" si="218"/>
        <v>127.27159</v>
      </c>
      <c r="L2897" s="11">
        <f t="shared" ca="1" si="219"/>
        <v>-49.548760000000001</v>
      </c>
      <c r="M2897" s="11">
        <f t="shared" ca="1" si="220"/>
        <v>2.5686100000000001</v>
      </c>
      <c r="N2897" s="15">
        <f t="shared" ca="1" si="221"/>
        <v>10</v>
      </c>
      <c r="O2897" s="15">
        <f t="shared" ca="1" si="222"/>
        <v>26</v>
      </c>
      <c r="P2897" s="16">
        <f t="shared" ca="1" si="223"/>
        <v>-15.551859999999806</v>
      </c>
      <c r="Q2897" s="11" t="str">
        <f t="shared" ca="1" si="209"/>
        <v/>
      </c>
      <c r="R2897" s="11" t="str">
        <f t="shared" ca="1" si="210"/>
        <v/>
      </c>
      <c r="S2897" s="61" t="str">
        <f t="shared" ca="1" si="211"/>
        <v/>
      </c>
      <c r="T2897" s="11" t="str">
        <f t="shared" ca="1" si="212"/>
        <v/>
      </c>
      <c r="U2897" s="11" t="str">
        <f t="shared" ca="1" si="213"/>
        <v/>
      </c>
      <c r="V2897" s="18" t="str">
        <f t="shared" ca="1" si="214"/>
        <v/>
      </c>
      <c r="W2897" s="61" t="str">
        <f t="shared" ca="1" si="215"/>
        <v/>
      </c>
      <c r="X2897" s="61">
        <f t="shared" ca="1" si="216"/>
        <v>0</v>
      </c>
      <c r="Y2897" s="64" t="str">
        <f t="shared" ca="1" si="217"/>
        <v/>
      </c>
    </row>
    <row r="2898" spans="1:25">
      <c r="A2898" s="2">
        <f>+Get_Data!A2897</f>
        <v>43648</v>
      </c>
      <c r="B2898">
        <f>+ROUND(Get_Data!B2897,5)</f>
        <v>127.81207000000001</v>
      </c>
      <c r="C2898">
        <f>+ROUND(Get_Data!C2897,5)</f>
        <v>49.913649999999997</v>
      </c>
      <c r="D2898" s="4">
        <f t="shared" si="224"/>
        <v>2.5606599999999999</v>
      </c>
      <c r="E2898" s="22">
        <f t="shared" ca="1" si="225"/>
        <v>2.6513800000000001</v>
      </c>
      <c r="F2898" s="23">
        <f t="shared" ca="1" si="226"/>
        <v>2.5606599999999999</v>
      </c>
      <c r="G2898" s="10">
        <f t="shared" ca="1" si="227"/>
        <v>0</v>
      </c>
      <c r="H2898" s="12">
        <f t="shared" ca="1" si="228"/>
        <v>1</v>
      </c>
      <c r="I2898" s="11">
        <f t="shared" ca="1" si="229"/>
        <v>-1</v>
      </c>
      <c r="J2898" s="11">
        <f t="shared" ca="1" si="230"/>
        <v>0</v>
      </c>
      <c r="K2898" s="10">
        <f t="shared" ca="1" si="218"/>
        <v>127.27159</v>
      </c>
      <c r="L2898" s="11">
        <f t="shared" ca="1" si="219"/>
        <v>-49.548760000000001</v>
      </c>
      <c r="M2898" s="11">
        <f t="shared" ca="1" si="220"/>
        <v>2.5686100000000001</v>
      </c>
      <c r="N2898" s="15">
        <f t="shared" ca="1" si="221"/>
        <v>10</v>
      </c>
      <c r="O2898" s="15">
        <f t="shared" ca="1" si="222"/>
        <v>26</v>
      </c>
      <c r="P2898" s="16">
        <f t="shared" ca="1" si="223"/>
        <v>-15.551859999999806</v>
      </c>
      <c r="Q2898" s="11" t="str">
        <f t="shared" ca="1" si="209"/>
        <v/>
      </c>
      <c r="R2898" s="11" t="str">
        <f t="shared" ca="1" si="210"/>
        <v/>
      </c>
      <c r="S2898" s="61" t="str">
        <f t="shared" ca="1" si="211"/>
        <v/>
      </c>
      <c r="T2898" s="11" t="str">
        <f t="shared" ca="1" si="212"/>
        <v/>
      </c>
      <c r="U2898" s="11" t="str">
        <f t="shared" ca="1" si="213"/>
        <v/>
      </c>
      <c r="V2898" s="18" t="str">
        <f t="shared" ca="1" si="214"/>
        <v/>
      </c>
      <c r="W2898" s="61" t="str">
        <f t="shared" ca="1" si="215"/>
        <v/>
      </c>
      <c r="X2898" s="61">
        <f t="shared" ca="1" si="216"/>
        <v>0</v>
      </c>
      <c r="Y2898" s="64" t="str">
        <f t="shared" ca="1" si="217"/>
        <v/>
      </c>
    </row>
    <row r="2899" spans="1:25">
      <c r="A2899" s="2">
        <f>+Get_Data!A2898</f>
        <v>43649</v>
      </c>
      <c r="B2899">
        <f>+ROUND(Get_Data!B2898,5)</f>
        <v>129.31769</v>
      </c>
      <c r="C2899">
        <f>+ROUND(Get_Data!C2898,5)</f>
        <v>50.028880000000001</v>
      </c>
      <c r="D2899" s="4">
        <f t="shared" si="224"/>
        <v>2.5848599999999999</v>
      </c>
      <c r="E2899" s="22">
        <f t="shared" ca="1" si="225"/>
        <v>2.6336599999999999</v>
      </c>
      <c r="F2899" s="23">
        <f t="shared" ca="1" si="226"/>
        <v>2.5606599999999999</v>
      </c>
      <c r="G2899" s="10">
        <f t="shared" ca="1" si="227"/>
        <v>0</v>
      </c>
      <c r="H2899" s="12">
        <f t="shared" ca="1" si="228"/>
        <v>0</v>
      </c>
      <c r="I2899" s="11">
        <f t="shared" ca="1" si="229"/>
        <v>0</v>
      </c>
      <c r="J2899" s="11">
        <f t="shared" ca="1" si="230"/>
        <v>0</v>
      </c>
      <c r="K2899" s="10" t="str">
        <f t="shared" ca="1" si="218"/>
        <v/>
      </c>
      <c r="L2899" s="11" t="str">
        <f t="shared" ca="1" si="219"/>
        <v/>
      </c>
      <c r="M2899" s="11" t="str">
        <f t="shared" ca="1" si="220"/>
        <v/>
      </c>
      <c r="N2899" s="15" t="str">
        <f t="shared" ca="1" si="221"/>
        <v/>
      </c>
      <c r="O2899" s="15" t="str">
        <f t="shared" ca="1" si="222"/>
        <v/>
      </c>
      <c r="P2899" s="16" t="str">
        <f t="shared" ca="1" si="223"/>
        <v/>
      </c>
      <c r="Q2899" s="11">
        <f t="shared" ref="Q2899:Q2962" ca="1" si="231">+IF(ISNUMBER(T2899),B2899,"")</f>
        <v>129.31769</v>
      </c>
      <c r="R2899" s="11">
        <f t="shared" ref="R2899:R2962" ca="1" si="232">+IF(ISNUMBER(U2899),C2899,"")</f>
        <v>50.028880000000001</v>
      </c>
      <c r="S2899" s="61">
        <f t="shared" ref="S2899:S2962" ca="1" si="233">+IF(ISNUMBER(T2899),D2899,"")</f>
        <v>2.5848599999999999</v>
      </c>
      <c r="T2899" s="11">
        <f t="shared" ref="T2899:T2962" ca="1" si="234">+IF(AND(ISNUMBER(N2898),NOT(ISNUMBER(N2899))),N2898,"")</f>
        <v>10</v>
      </c>
      <c r="U2899" s="11">
        <f t="shared" ref="U2899:U2962" ca="1" si="235">+IF(AND(ISNUMBER(O2898),NOT(ISNUMBER(O2899))),O2898,"")</f>
        <v>26</v>
      </c>
      <c r="V2899" s="18">
        <f t="shared" ref="V2899:V2962" ca="1" si="236">+IFERROR(T2899*(K2898-Q2899),"")</f>
        <v>-20.460999999999956</v>
      </c>
      <c r="W2899" s="61">
        <f t="shared" ref="W2899:W2962" ca="1" si="237">+IFERROR(U2899*(L2898+R2899),"")</f>
        <v>12.483119999999985</v>
      </c>
      <c r="X2899" s="61">
        <f t="shared" ref="X2899:X2962" ca="1" si="238">+IFERROR(SUM(V2899:W2899),"")</f>
        <v>-7.9778799999999706</v>
      </c>
      <c r="Y2899" s="64">
        <f t="shared" ref="Y2899:Y2962" ca="1" si="239">IFERROR(+X2899/ABS(R2899*U2899),"")</f>
        <v>-6.1332881819768361E-3</v>
      </c>
    </row>
    <row r="2900" spans="1:25">
      <c r="A2900" s="2">
        <f>+Get_Data!A2899</f>
        <v>43651</v>
      </c>
      <c r="B2900">
        <f>+ROUND(Get_Data!B2899,5)</f>
        <v>128.38151999999999</v>
      </c>
      <c r="C2900">
        <f>+ROUND(Get_Data!C2899,5)</f>
        <v>50.038490000000003</v>
      </c>
      <c r="D2900" s="4">
        <f t="shared" si="224"/>
        <v>2.5656599999999998</v>
      </c>
      <c r="E2900" s="22">
        <f t="shared" ca="1" si="225"/>
        <v>2.6336599999999999</v>
      </c>
      <c r="F2900" s="23">
        <f t="shared" ca="1" si="226"/>
        <v>2.5606599999999999</v>
      </c>
      <c r="G2900" s="10">
        <f t="shared" ca="1" si="227"/>
        <v>0</v>
      </c>
      <c r="H2900" s="12">
        <f t="shared" ca="1" si="228"/>
        <v>0</v>
      </c>
      <c r="I2900" s="11">
        <f t="shared" ca="1" si="229"/>
        <v>0</v>
      </c>
      <c r="J2900" s="11">
        <f t="shared" ca="1" si="230"/>
        <v>0</v>
      </c>
      <c r="K2900" s="10" t="str">
        <f t="shared" ca="1" si="218"/>
        <v/>
      </c>
      <c r="L2900" s="11" t="str">
        <f t="shared" ca="1" si="219"/>
        <v/>
      </c>
      <c r="M2900" s="11" t="str">
        <f t="shared" ca="1" si="220"/>
        <v/>
      </c>
      <c r="N2900" s="15" t="str">
        <f t="shared" ca="1" si="221"/>
        <v/>
      </c>
      <c r="O2900" s="15" t="str">
        <f t="shared" ca="1" si="222"/>
        <v/>
      </c>
      <c r="P2900" s="16" t="str">
        <f t="shared" ca="1" si="223"/>
        <v/>
      </c>
      <c r="Q2900" s="11" t="str">
        <f t="shared" ca="1" si="231"/>
        <v/>
      </c>
      <c r="R2900" s="11" t="str">
        <f t="shared" ca="1" si="232"/>
        <v/>
      </c>
      <c r="S2900" s="61" t="str">
        <f t="shared" ca="1" si="233"/>
        <v/>
      </c>
      <c r="T2900" s="11" t="str">
        <f t="shared" ca="1" si="234"/>
        <v/>
      </c>
      <c r="U2900" s="11" t="str">
        <f t="shared" ca="1" si="235"/>
        <v/>
      </c>
      <c r="V2900" s="18" t="str">
        <f t="shared" ca="1" si="236"/>
        <v/>
      </c>
      <c r="W2900" s="61" t="str">
        <f t="shared" ca="1" si="237"/>
        <v/>
      </c>
      <c r="X2900" s="61">
        <f t="shared" ca="1" si="238"/>
        <v>0</v>
      </c>
      <c r="Y2900" s="64" t="str">
        <f t="shared" ca="1" si="239"/>
        <v/>
      </c>
    </row>
    <row r="2901" spans="1:25">
      <c r="A2901" s="2">
        <f>+Get_Data!A2900</f>
        <v>43654</v>
      </c>
      <c r="B2901">
        <f>+ROUND(Get_Data!B2900,5)</f>
        <v>127.93755</v>
      </c>
      <c r="C2901">
        <f>+ROUND(Get_Data!C2900,5)</f>
        <v>49.932850000000002</v>
      </c>
      <c r="D2901" s="4">
        <f t="shared" si="224"/>
        <v>2.5621900000000002</v>
      </c>
      <c r="E2901" s="22">
        <f t="shared" ca="1" si="225"/>
        <v>2.6336599999999999</v>
      </c>
      <c r="F2901" s="23">
        <f t="shared" ca="1" si="226"/>
        <v>2.5606599999999999</v>
      </c>
      <c r="G2901" s="10">
        <f t="shared" ca="1" si="227"/>
        <v>0</v>
      </c>
      <c r="H2901" s="12">
        <f t="shared" ca="1" si="228"/>
        <v>0</v>
      </c>
      <c r="I2901" s="11">
        <f t="shared" ca="1" si="229"/>
        <v>0</v>
      </c>
      <c r="J2901" s="11">
        <f t="shared" ca="1" si="230"/>
        <v>0</v>
      </c>
      <c r="K2901" s="10" t="str">
        <f t="shared" ca="1" si="218"/>
        <v/>
      </c>
      <c r="L2901" s="11" t="str">
        <f t="shared" ca="1" si="219"/>
        <v/>
      </c>
      <c r="M2901" s="11" t="str">
        <f t="shared" ca="1" si="220"/>
        <v/>
      </c>
      <c r="N2901" s="15" t="str">
        <f t="shared" ca="1" si="221"/>
        <v/>
      </c>
      <c r="O2901" s="15" t="str">
        <f t="shared" ca="1" si="222"/>
        <v/>
      </c>
      <c r="P2901" s="16" t="str">
        <f t="shared" ca="1" si="223"/>
        <v/>
      </c>
      <c r="Q2901" s="11" t="str">
        <f t="shared" ca="1" si="231"/>
        <v/>
      </c>
      <c r="R2901" s="11" t="str">
        <f t="shared" ca="1" si="232"/>
        <v/>
      </c>
      <c r="S2901" s="61" t="str">
        <f t="shared" ca="1" si="233"/>
        <v/>
      </c>
      <c r="T2901" s="11" t="str">
        <f t="shared" ca="1" si="234"/>
        <v/>
      </c>
      <c r="U2901" s="11" t="str">
        <f t="shared" ca="1" si="235"/>
        <v/>
      </c>
      <c r="V2901" s="18" t="str">
        <f t="shared" ca="1" si="236"/>
        <v/>
      </c>
      <c r="W2901" s="61" t="str">
        <f t="shared" ca="1" si="237"/>
        <v/>
      </c>
      <c r="X2901" s="61">
        <f t="shared" ca="1" si="238"/>
        <v>0</v>
      </c>
      <c r="Y2901" s="64" t="str">
        <f t="shared" ca="1" si="239"/>
        <v/>
      </c>
    </row>
    <row r="2902" spans="1:25">
      <c r="A2902" s="2">
        <f>+Get_Data!A2901</f>
        <v>43655</v>
      </c>
      <c r="B2902">
        <f>+ROUND(Get_Data!B2901,5)</f>
        <v>127.14615000000001</v>
      </c>
      <c r="C2902">
        <f>+ROUND(Get_Data!C2901,5)</f>
        <v>49.539149999999999</v>
      </c>
      <c r="D2902" s="4">
        <f t="shared" si="224"/>
        <v>2.5665800000000001</v>
      </c>
      <c r="E2902" s="22">
        <f t="shared" ca="1" si="225"/>
        <v>2.6336599999999999</v>
      </c>
      <c r="F2902" s="23">
        <f t="shared" ca="1" si="226"/>
        <v>2.5606599999999999</v>
      </c>
      <c r="G2902" s="10">
        <f t="shared" ca="1" si="227"/>
        <v>0</v>
      </c>
      <c r="H2902" s="12">
        <f t="shared" ca="1" si="228"/>
        <v>0</v>
      </c>
      <c r="I2902" s="11">
        <f t="shared" ca="1" si="229"/>
        <v>0</v>
      </c>
      <c r="J2902" s="11">
        <f t="shared" ca="1" si="230"/>
        <v>0</v>
      </c>
      <c r="K2902" s="10" t="str">
        <f t="shared" ca="1" si="218"/>
        <v/>
      </c>
      <c r="L2902" s="11" t="str">
        <f t="shared" ca="1" si="219"/>
        <v/>
      </c>
      <c r="M2902" s="11" t="str">
        <f t="shared" ca="1" si="220"/>
        <v/>
      </c>
      <c r="N2902" s="15" t="str">
        <f t="shared" ca="1" si="221"/>
        <v/>
      </c>
      <c r="O2902" s="15" t="str">
        <f t="shared" ca="1" si="222"/>
        <v/>
      </c>
      <c r="P2902" s="16" t="str">
        <f t="shared" ca="1" si="223"/>
        <v/>
      </c>
      <c r="Q2902" s="11" t="str">
        <f t="shared" ca="1" si="231"/>
        <v/>
      </c>
      <c r="R2902" s="11" t="str">
        <f t="shared" ca="1" si="232"/>
        <v/>
      </c>
      <c r="S2902" s="61" t="str">
        <f t="shared" ca="1" si="233"/>
        <v/>
      </c>
      <c r="T2902" s="11" t="str">
        <f t="shared" ca="1" si="234"/>
        <v/>
      </c>
      <c r="U2902" s="11" t="str">
        <f t="shared" ca="1" si="235"/>
        <v/>
      </c>
      <c r="V2902" s="18" t="str">
        <f t="shared" ca="1" si="236"/>
        <v/>
      </c>
      <c r="W2902" s="61" t="str">
        <f t="shared" ca="1" si="237"/>
        <v/>
      </c>
      <c r="X2902" s="61">
        <f t="shared" ca="1" si="238"/>
        <v>0</v>
      </c>
      <c r="Y2902" s="64" t="str">
        <f t="shared" ca="1" si="239"/>
        <v/>
      </c>
    </row>
    <row r="2903" spans="1:25">
      <c r="A2903" s="2">
        <f>+Get_Data!A2902</f>
        <v>43656</v>
      </c>
      <c r="B2903">
        <f>+ROUND(Get_Data!B2902,5)</f>
        <v>129.72305</v>
      </c>
      <c r="C2903">
        <f>+ROUND(Get_Data!C2902,5)</f>
        <v>49.760010000000001</v>
      </c>
      <c r="D2903" s="4">
        <f t="shared" si="224"/>
        <v>2.60697</v>
      </c>
      <c r="E2903" s="22">
        <f t="shared" ca="1" si="225"/>
        <v>2.6336599999999999</v>
      </c>
      <c r="F2903" s="23">
        <f t="shared" ca="1" si="226"/>
        <v>2.5606599999999999</v>
      </c>
      <c r="G2903" s="10">
        <f t="shared" ca="1" si="227"/>
        <v>0</v>
      </c>
      <c r="H2903" s="12">
        <f t="shared" ca="1" si="228"/>
        <v>0</v>
      </c>
      <c r="I2903" s="11">
        <f t="shared" ca="1" si="229"/>
        <v>0</v>
      </c>
      <c r="J2903" s="11">
        <f t="shared" ca="1" si="230"/>
        <v>0</v>
      </c>
      <c r="K2903" s="10" t="str">
        <f t="shared" ca="1" si="218"/>
        <v/>
      </c>
      <c r="L2903" s="11" t="str">
        <f t="shared" ca="1" si="219"/>
        <v/>
      </c>
      <c r="M2903" s="11" t="str">
        <f t="shared" ca="1" si="220"/>
        <v/>
      </c>
      <c r="N2903" s="15" t="str">
        <f t="shared" ca="1" si="221"/>
        <v/>
      </c>
      <c r="O2903" s="15" t="str">
        <f t="shared" ca="1" si="222"/>
        <v/>
      </c>
      <c r="P2903" s="16" t="str">
        <f t="shared" ca="1" si="223"/>
        <v/>
      </c>
      <c r="Q2903" s="11" t="str">
        <f t="shared" ca="1" si="231"/>
        <v/>
      </c>
      <c r="R2903" s="11" t="str">
        <f t="shared" ca="1" si="232"/>
        <v/>
      </c>
      <c r="S2903" s="61" t="str">
        <f t="shared" ca="1" si="233"/>
        <v/>
      </c>
      <c r="T2903" s="11" t="str">
        <f t="shared" ca="1" si="234"/>
        <v/>
      </c>
      <c r="U2903" s="11" t="str">
        <f t="shared" ca="1" si="235"/>
        <v/>
      </c>
      <c r="V2903" s="18" t="str">
        <f t="shared" ca="1" si="236"/>
        <v/>
      </c>
      <c r="W2903" s="61" t="str">
        <f t="shared" ca="1" si="237"/>
        <v/>
      </c>
      <c r="X2903" s="61">
        <f t="shared" ca="1" si="238"/>
        <v>0</v>
      </c>
      <c r="Y2903" s="64" t="str">
        <f t="shared" ca="1" si="239"/>
        <v/>
      </c>
    </row>
    <row r="2904" spans="1:25">
      <c r="A2904" s="2">
        <f>+Get_Data!A2903</f>
        <v>43657</v>
      </c>
      <c r="B2904">
        <f>+ROUND(Get_Data!B2903,5)</f>
        <v>129.66515000000001</v>
      </c>
      <c r="C2904">
        <f>+ROUND(Get_Data!C2903,5)</f>
        <v>49.971269999999997</v>
      </c>
      <c r="D2904" s="4">
        <f t="shared" si="224"/>
        <v>2.5947900000000002</v>
      </c>
      <c r="E2904" s="22">
        <f t="shared" ca="1" si="225"/>
        <v>2.6336599999999999</v>
      </c>
      <c r="F2904" s="23">
        <f t="shared" ca="1" si="226"/>
        <v>2.5606599999999999</v>
      </c>
      <c r="G2904" s="10">
        <f t="shared" ca="1" si="227"/>
        <v>0</v>
      </c>
      <c r="H2904" s="12">
        <f t="shared" ca="1" si="228"/>
        <v>0</v>
      </c>
      <c r="I2904" s="11">
        <f t="shared" ca="1" si="229"/>
        <v>0</v>
      </c>
      <c r="J2904" s="11">
        <f t="shared" ca="1" si="230"/>
        <v>0</v>
      </c>
      <c r="K2904" s="10" t="str">
        <f t="shared" ca="1" si="218"/>
        <v/>
      </c>
      <c r="L2904" s="11" t="str">
        <f t="shared" ca="1" si="219"/>
        <v/>
      </c>
      <c r="M2904" s="11" t="str">
        <f t="shared" ca="1" si="220"/>
        <v/>
      </c>
      <c r="N2904" s="15" t="str">
        <f t="shared" ca="1" si="221"/>
        <v/>
      </c>
      <c r="O2904" s="15" t="str">
        <f t="shared" ca="1" si="222"/>
        <v/>
      </c>
      <c r="P2904" s="16" t="str">
        <f t="shared" ca="1" si="223"/>
        <v/>
      </c>
      <c r="Q2904" s="11" t="str">
        <f t="shared" ca="1" si="231"/>
        <v/>
      </c>
      <c r="R2904" s="11" t="str">
        <f t="shared" ca="1" si="232"/>
        <v/>
      </c>
      <c r="S2904" s="61" t="str">
        <f t="shared" ca="1" si="233"/>
        <v/>
      </c>
      <c r="T2904" s="11" t="str">
        <f t="shared" ca="1" si="234"/>
        <v/>
      </c>
      <c r="U2904" s="11" t="str">
        <f t="shared" ca="1" si="235"/>
        <v/>
      </c>
      <c r="V2904" s="18" t="str">
        <f t="shared" ca="1" si="236"/>
        <v/>
      </c>
      <c r="W2904" s="61" t="str">
        <f t="shared" ca="1" si="237"/>
        <v/>
      </c>
      <c r="X2904" s="61">
        <f t="shared" ca="1" si="238"/>
        <v>0</v>
      </c>
      <c r="Y2904" s="64" t="str">
        <f t="shared" ca="1" si="239"/>
        <v/>
      </c>
    </row>
    <row r="2905" spans="1:25">
      <c r="A2905" s="2">
        <f>+Get_Data!A2904</f>
        <v>43658</v>
      </c>
      <c r="B2905">
        <f>+ROUND(Get_Data!B2904,5)</f>
        <v>128.63245000000001</v>
      </c>
      <c r="C2905">
        <f>+ROUND(Get_Data!C2904,5)</f>
        <v>50.048090000000002</v>
      </c>
      <c r="D2905" s="4">
        <f t="shared" si="224"/>
        <v>2.5701800000000001</v>
      </c>
      <c r="E2905" s="22">
        <f t="shared" ca="1" si="225"/>
        <v>2.6336599999999999</v>
      </c>
      <c r="F2905" s="23">
        <f t="shared" ca="1" si="226"/>
        <v>2.5606599999999999</v>
      </c>
      <c r="G2905" s="10">
        <f t="shared" ca="1" si="227"/>
        <v>0</v>
      </c>
      <c r="H2905" s="12">
        <f t="shared" ca="1" si="228"/>
        <v>0</v>
      </c>
      <c r="I2905" s="11">
        <f t="shared" ca="1" si="229"/>
        <v>0</v>
      </c>
      <c r="J2905" s="11">
        <f t="shared" ca="1" si="230"/>
        <v>0</v>
      </c>
      <c r="K2905" s="10" t="str">
        <f t="shared" ca="1" si="218"/>
        <v/>
      </c>
      <c r="L2905" s="11" t="str">
        <f t="shared" ca="1" si="219"/>
        <v/>
      </c>
      <c r="M2905" s="11" t="str">
        <f t="shared" ca="1" si="220"/>
        <v/>
      </c>
      <c r="N2905" s="15" t="str">
        <f t="shared" ca="1" si="221"/>
        <v/>
      </c>
      <c r="O2905" s="15" t="str">
        <f t="shared" ca="1" si="222"/>
        <v/>
      </c>
      <c r="P2905" s="16" t="str">
        <f t="shared" ca="1" si="223"/>
        <v/>
      </c>
      <c r="Q2905" s="11" t="str">
        <f t="shared" ca="1" si="231"/>
        <v/>
      </c>
      <c r="R2905" s="11" t="str">
        <f t="shared" ca="1" si="232"/>
        <v/>
      </c>
      <c r="S2905" s="61" t="str">
        <f t="shared" ca="1" si="233"/>
        <v/>
      </c>
      <c r="T2905" s="11" t="str">
        <f t="shared" ca="1" si="234"/>
        <v/>
      </c>
      <c r="U2905" s="11" t="str">
        <f t="shared" ca="1" si="235"/>
        <v/>
      </c>
      <c r="V2905" s="18" t="str">
        <f t="shared" ca="1" si="236"/>
        <v/>
      </c>
      <c r="W2905" s="61" t="str">
        <f t="shared" ca="1" si="237"/>
        <v/>
      </c>
      <c r="X2905" s="61">
        <f t="shared" ca="1" si="238"/>
        <v>0</v>
      </c>
      <c r="Y2905" s="64" t="str">
        <f t="shared" ca="1" si="239"/>
        <v/>
      </c>
    </row>
    <row r="2906" spans="1:25">
      <c r="A2906" s="2">
        <f>+Get_Data!A2905</f>
        <v>43661</v>
      </c>
      <c r="B2906">
        <f>+ROUND(Get_Data!B2905,5)</f>
        <v>129.47209000000001</v>
      </c>
      <c r="C2906">
        <f>+ROUND(Get_Data!C2905,5)</f>
        <v>50.057690000000001</v>
      </c>
      <c r="D2906" s="4">
        <f t="shared" si="224"/>
        <v>2.5864600000000002</v>
      </c>
      <c r="E2906" s="22">
        <f t="shared" ca="1" si="225"/>
        <v>2.6336599999999999</v>
      </c>
      <c r="F2906" s="23">
        <f t="shared" ca="1" si="226"/>
        <v>2.5606599999999999</v>
      </c>
      <c r="G2906" s="10">
        <f t="shared" ca="1" si="227"/>
        <v>0</v>
      </c>
      <c r="H2906" s="12">
        <f t="shared" ca="1" si="228"/>
        <v>0</v>
      </c>
      <c r="I2906" s="11">
        <f t="shared" ca="1" si="229"/>
        <v>0</v>
      </c>
      <c r="J2906" s="11">
        <f t="shared" ca="1" si="230"/>
        <v>0</v>
      </c>
      <c r="K2906" s="10" t="str">
        <f t="shared" ref="K2906:K2969" ca="1" si="240">+IF($J2905=0,"",IF(AND(ABS($J2905)=1,ABS($I2905)=1),-$J2905*B2906,K2905))</f>
        <v/>
      </c>
      <c r="L2906" s="11" t="str">
        <f t="shared" ref="L2906:L2969" ca="1" si="241">+IF($J2905=0,"",IF(AND(ABS($J2905)=1,ABS($I2905)=1),$J2905*C2906,L2905))</f>
        <v/>
      </c>
      <c r="M2906" s="11" t="str">
        <f t="shared" ref="M2906:M2969" ca="1" si="242">+IF($J2905=0,"",IF(AND(ABS($J2905)=1,ABS($I2905)=1),D2906,M2905))</f>
        <v/>
      </c>
      <c r="N2906" s="15" t="str">
        <f t="shared" ref="N2906:N2969" ca="1" si="243">+IF(ISNUMBER(K2906),stocks,"")</f>
        <v/>
      </c>
      <c r="O2906" s="15" t="str">
        <f t="shared" ref="O2906:O2969" ca="1" si="244">+IFERROR(ROUND(N2906*M2906,0),"")</f>
        <v/>
      </c>
      <c r="P2906" s="16" t="str">
        <f t="shared" ref="P2906:P2969" ca="1" si="245">IFERROR(+N2906*K2906+O2906*L2906,"")</f>
        <v/>
      </c>
      <c r="Q2906" s="11" t="str">
        <f t="shared" ca="1" si="231"/>
        <v/>
      </c>
      <c r="R2906" s="11" t="str">
        <f t="shared" ca="1" si="232"/>
        <v/>
      </c>
      <c r="S2906" s="61" t="str">
        <f t="shared" ca="1" si="233"/>
        <v/>
      </c>
      <c r="T2906" s="11" t="str">
        <f t="shared" ca="1" si="234"/>
        <v/>
      </c>
      <c r="U2906" s="11" t="str">
        <f t="shared" ca="1" si="235"/>
        <v/>
      </c>
      <c r="V2906" s="18" t="str">
        <f t="shared" ca="1" si="236"/>
        <v/>
      </c>
      <c r="W2906" s="61" t="str">
        <f t="shared" ca="1" si="237"/>
        <v/>
      </c>
      <c r="X2906" s="61">
        <f t="shared" ca="1" si="238"/>
        <v>0</v>
      </c>
      <c r="Y2906" s="64" t="str">
        <f t="shared" ca="1" si="239"/>
        <v/>
      </c>
    </row>
    <row r="2907" spans="1:25">
      <c r="A2907" s="2">
        <f>+Get_Data!A2906</f>
        <v>43662</v>
      </c>
      <c r="B2907">
        <f>+ROUND(Get_Data!B2906,5)</f>
        <v>129.13428999999999</v>
      </c>
      <c r="C2907">
        <f>+ROUND(Get_Data!C2906,5)</f>
        <v>50.067300000000003</v>
      </c>
      <c r="D2907" s="4">
        <f t="shared" si="224"/>
        <v>2.5792099999999998</v>
      </c>
      <c r="E2907" s="22">
        <f t="shared" ca="1" si="225"/>
        <v>2.62853</v>
      </c>
      <c r="F2907" s="23">
        <f t="shared" ca="1" si="226"/>
        <v>2.5606599999999999</v>
      </c>
      <c r="G2907" s="10">
        <f t="shared" ca="1" si="227"/>
        <v>0</v>
      </c>
      <c r="H2907" s="12">
        <f t="shared" ca="1" si="228"/>
        <v>0</v>
      </c>
      <c r="I2907" s="11">
        <f t="shared" ca="1" si="229"/>
        <v>0</v>
      </c>
      <c r="J2907" s="11">
        <f t="shared" ca="1" si="230"/>
        <v>0</v>
      </c>
      <c r="K2907" s="10" t="str">
        <f t="shared" ca="1" si="240"/>
        <v/>
      </c>
      <c r="L2907" s="11" t="str">
        <f t="shared" ca="1" si="241"/>
        <v/>
      </c>
      <c r="M2907" s="11" t="str">
        <f t="shared" ca="1" si="242"/>
        <v/>
      </c>
      <c r="N2907" s="15" t="str">
        <f t="shared" ca="1" si="243"/>
        <v/>
      </c>
      <c r="O2907" s="15" t="str">
        <f t="shared" ca="1" si="244"/>
        <v/>
      </c>
      <c r="P2907" s="16" t="str">
        <f t="shared" ca="1" si="245"/>
        <v/>
      </c>
      <c r="Q2907" s="11" t="str">
        <f t="shared" ca="1" si="231"/>
        <v/>
      </c>
      <c r="R2907" s="11" t="str">
        <f t="shared" ca="1" si="232"/>
        <v/>
      </c>
      <c r="S2907" s="61" t="str">
        <f t="shared" ca="1" si="233"/>
        <v/>
      </c>
      <c r="T2907" s="11" t="str">
        <f t="shared" ca="1" si="234"/>
        <v/>
      </c>
      <c r="U2907" s="11" t="str">
        <f t="shared" ca="1" si="235"/>
        <v/>
      </c>
      <c r="V2907" s="18" t="str">
        <f t="shared" ca="1" si="236"/>
        <v/>
      </c>
      <c r="W2907" s="61" t="str">
        <f t="shared" ca="1" si="237"/>
        <v/>
      </c>
      <c r="X2907" s="61">
        <f t="shared" ca="1" si="238"/>
        <v>0</v>
      </c>
      <c r="Y2907" s="64" t="str">
        <f t="shared" ca="1" si="239"/>
        <v/>
      </c>
    </row>
    <row r="2908" spans="1:25">
      <c r="A2908" s="2">
        <f>+Get_Data!A2907</f>
        <v>43663</v>
      </c>
      <c r="B2908">
        <f>+ROUND(Get_Data!B2907,5)</f>
        <v>128.14986999999999</v>
      </c>
      <c r="C2908">
        <f>+ROUND(Get_Data!C2907,5)</f>
        <v>50.105699999999999</v>
      </c>
      <c r="D2908" s="4">
        <f t="shared" si="224"/>
        <v>2.5575899999999998</v>
      </c>
      <c r="E2908" s="22">
        <f t="shared" ca="1" si="225"/>
        <v>2.6210800000000001</v>
      </c>
      <c r="F2908" s="23">
        <f t="shared" ca="1" si="226"/>
        <v>2.5575899999999998</v>
      </c>
      <c r="G2908" s="10">
        <f t="shared" ca="1" si="227"/>
        <v>0</v>
      </c>
      <c r="H2908" s="12">
        <f t="shared" ca="1" si="228"/>
        <v>1</v>
      </c>
      <c r="I2908" s="11">
        <f t="shared" ca="1" si="229"/>
        <v>-1</v>
      </c>
      <c r="J2908" s="11">
        <f t="shared" ca="1" si="230"/>
        <v>-1</v>
      </c>
      <c r="K2908" s="10" t="str">
        <f t="shared" ca="1" si="240"/>
        <v/>
      </c>
      <c r="L2908" s="11" t="str">
        <f t="shared" ca="1" si="241"/>
        <v/>
      </c>
      <c r="M2908" s="11" t="str">
        <f t="shared" ca="1" si="242"/>
        <v/>
      </c>
      <c r="N2908" s="15" t="str">
        <f t="shared" ca="1" si="243"/>
        <v/>
      </c>
      <c r="O2908" s="15" t="str">
        <f t="shared" ca="1" si="244"/>
        <v/>
      </c>
      <c r="P2908" s="16" t="str">
        <f t="shared" ca="1" si="245"/>
        <v/>
      </c>
      <c r="Q2908" s="11" t="str">
        <f t="shared" ca="1" si="231"/>
        <v/>
      </c>
      <c r="R2908" s="11" t="str">
        <f t="shared" ca="1" si="232"/>
        <v/>
      </c>
      <c r="S2908" s="61" t="str">
        <f t="shared" ca="1" si="233"/>
        <v/>
      </c>
      <c r="T2908" s="11" t="str">
        <f t="shared" ca="1" si="234"/>
        <v/>
      </c>
      <c r="U2908" s="11" t="str">
        <f t="shared" ca="1" si="235"/>
        <v/>
      </c>
      <c r="V2908" s="18" t="str">
        <f t="shared" ca="1" si="236"/>
        <v/>
      </c>
      <c r="W2908" s="61" t="str">
        <f t="shared" ca="1" si="237"/>
        <v/>
      </c>
      <c r="X2908" s="61">
        <f t="shared" ca="1" si="238"/>
        <v>0</v>
      </c>
      <c r="Y2908" s="64" t="str">
        <f t="shared" ca="1" si="239"/>
        <v/>
      </c>
    </row>
    <row r="2909" spans="1:25">
      <c r="A2909" s="2">
        <f>+Get_Data!A2908</f>
        <v>43664</v>
      </c>
      <c r="B2909">
        <f>+ROUND(Get_Data!B2908,5)</f>
        <v>128.24639999999999</v>
      </c>
      <c r="C2909">
        <f>+ROUND(Get_Data!C2908,5)</f>
        <v>49.961669999999998</v>
      </c>
      <c r="D2909" s="4">
        <f t="shared" si="224"/>
        <v>2.5669</v>
      </c>
      <c r="E2909" s="22">
        <f t="shared" ca="1" si="225"/>
        <v>2.6210800000000001</v>
      </c>
      <c r="F2909" s="23">
        <f t="shared" ca="1" si="226"/>
        <v>2.5575899999999998</v>
      </c>
      <c r="G2909" s="10">
        <f t="shared" ca="1" si="227"/>
        <v>0</v>
      </c>
      <c r="H2909" s="12">
        <f t="shared" ca="1" si="228"/>
        <v>0</v>
      </c>
      <c r="I2909" s="11">
        <f t="shared" ca="1" si="229"/>
        <v>0</v>
      </c>
      <c r="J2909" s="11">
        <f t="shared" ca="1" si="230"/>
        <v>-1</v>
      </c>
      <c r="K2909" s="10">
        <f t="shared" ca="1" si="240"/>
        <v>128.24639999999999</v>
      </c>
      <c r="L2909" s="11">
        <f t="shared" ca="1" si="241"/>
        <v>-49.961669999999998</v>
      </c>
      <c r="M2909" s="11">
        <f t="shared" ca="1" si="242"/>
        <v>2.5669</v>
      </c>
      <c r="N2909" s="15">
        <f t="shared" ca="1" si="243"/>
        <v>10</v>
      </c>
      <c r="O2909" s="15">
        <f t="shared" ca="1" si="244"/>
        <v>26</v>
      </c>
      <c r="P2909" s="16">
        <f t="shared" ca="1" si="245"/>
        <v>-16.539420000000064</v>
      </c>
      <c r="Q2909" s="11" t="str">
        <f t="shared" ca="1" si="231"/>
        <v/>
      </c>
      <c r="R2909" s="11" t="str">
        <f t="shared" ca="1" si="232"/>
        <v/>
      </c>
      <c r="S2909" s="61" t="str">
        <f t="shared" ca="1" si="233"/>
        <v/>
      </c>
      <c r="T2909" s="11" t="str">
        <f t="shared" ca="1" si="234"/>
        <v/>
      </c>
      <c r="U2909" s="11" t="str">
        <f t="shared" ca="1" si="235"/>
        <v/>
      </c>
      <c r="V2909" s="18" t="str">
        <f t="shared" ca="1" si="236"/>
        <v/>
      </c>
      <c r="W2909" s="61" t="str">
        <f t="shared" ca="1" si="237"/>
        <v/>
      </c>
      <c r="X2909" s="61">
        <f t="shared" ca="1" si="238"/>
        <v>0</v>
      </c>
      <c r="Y2909" s="64" t="str">
        <f t="shared" ca="1" si="239"/>
        <v/>
      </c>
    </row>
    <row r="2910" spans="1:25">
      <c r="A2910" s="2">
        <f>+Get_Data!A2909</f>
        <v>43665</v>
      </c>
      <c r="B2910">
        <f>+ROUND(Get_Data!B2909,5)</f>
        <v>125.55367</v>
      </c>
      <c r="C2910">
        <f>+ROUND(Get_Data!C2909,5)</f>
        <v>49.347110000000001</v>
      </c>
      <c r="D2910" s="4">
        <f t="shared" si="224"/>
        <v>2.5442999999999998</v>
      </c>
      <c r="E2910" s="22">
        <f t="shared" ca="1" si="225"/>
        <v>2.6210800000000001</v>
      </c>
      <c r="F2910" s="23">
        <f t="shared" ca="1" si="226"/>
        <v>2.5442999999999998</v>
      </c>
      <c r="G2910" s="10">
        <f t="shared" ca="1" si="227"/>
        <v>0</v>
      </c>
      <c r="H2910" s="12">
        <f t="shared" ca="1" si="228"/>
        <v>1</v>
      </c>
      <c r="I2910" s="11">
        <f t="shared" ca="1" si="229"/>
        <v>-1</v>
      </c>
      <c r="J2910" s="11">
        <f t="shared" ca="1" si="230"/>
        <v>-2</v>
      </c>
      <c r="K2910" s="10">
        <f t="shared" ca="1" si="240"/>
        <v>128.24639999999999</v>
      </c>
      <c r="L2910" s="11">
        <f t="shared" ca="1" si="241"/>
        <v>-49.961669999999998</v>
      </c>
      <c r="M2910" s="11">
        <f t="shared" ca="1" si="242"/>
        <v>2.5669</v>
      </c>
      <c r="N2910" s="15">
        <f t="shared" ca="1" si="243"/>
        <v>10</v>
      </c>
      <c r="O2910" s="15">
        <f t="shared" ca="1" si="244"/>
        <v>26</v>
      </c>
      <c r="P2910" s="16">
        <f t="shared" ca="1" si="245"/>
        <v>-16.539420000000064</v>
      </c>
      <c r="Q2910" s="11" t="str">
        <f t="shared" ca="1" si="231"/>
        <v/>
      </c>
      <c r="R2910" s="11" t="str">
        <f t="shared" ca="1" si="232"/>
        <v/>
      </c>
      <c r="S2910" s="61" t="str">
        <f t="shared" ca="1" si="233"/>
        <v/>
      </c>
      <c r="T2910" s="11" t="str">
        <f t="shared" ca="1" si="234"/>
        <v/>
      </c>
      <c r="U2910" s="11" t="str">
        <f t="shared" ca="1" si="235"/>
        <v/>
      </c>
      <c r="V2910" s="18" t="str">
        <f t="shared" ca="1" si="236"/>
        <v/>
      </c>
      <c r="W2910" s="61" t="str">
        <f t="shared" ca="1" si="237"/>
        <v/>
      </c>
      <c r="X2910" s="61">
        <f t="shared" ca="1" si="238"/>
        <v>0</v>
      </c>
      <c r="Y2910" s="64" t="str">
        <f t="shared" ca="1" si="239"/>
        <v/>
      </c>
    </row>
    <row r="2911" spans="1:25">
      <c r="A2911" s="2">
        <f>+Get_Data!A2910</f>
        <v>43668</v>
      </c>
      <c r="B2911">
        <f>+ROUND(Get_Data!B2910,5)</f>
        <v>125.73705</v>
      </c>
      <c r="C2911">
        <f>+ROUND(Get_Data!C2910,5)</f>
        <v>49.183860000000003</v>
      </c>
      <c r="D2911" s="4">
        <f t="shared" si="224"/>
        <v>2.55647</v>
      </c>
      <c r="E2911" s="22">
        <f t="shared" ca="1" si="225"/>
        <v>2.6210800000000001</v>
      </c>
      <c r="F2911" s="23">
        <f t="shared" ca="1" si="226"/>
        <v>2.5442999999999998</v>
      </c>
      <c r="G2911" s="10">
        <f t="shared" ca="1" si="227"/>
        <v>0</v>
      </c>
      <c r="H2911" s="12">
        <f t="shared" ca="1" si="228"/>
        <v>0</v>
      </c>
      <c r="I2911" s="11">
        <f t="shared" ca="1" si="229"/>
        <v>0</v>
      </c>
      <c r="J2911" s="11">
        <f t="shared" ca="1" si="230"/>
        <v>-2</v>
      </c>
      <c r="K2911" s="10">
        <f t="shared" ca="1" si="240"/>
        <v>128.24639999999999</v>
      </c>
      <c r="L2911" s="11">
        <f t="shared" ca="1" si="241"/>
        <v>-49.961669999999998</v>
      </c>
      <c r="M2911" s="11">
        <f t="shared" ca="1" si="242"/>
        <v>2.5669</v>
      </c>
      <c r="N2911" s="15">
        <f t="shared" ca="1" si="243"/>
        <v>10</v>
      </c>
      <c r="O2911" s="15">
        <f t="shared" ca="1" si="244"/>
        <v>26</v>
      </c>
      <c r="P2911" s="16">
        <f t="shared" ca="1" si="245"/>
        <v>-16.539420000000064</v>
      </c>
      <c r="Q2911" s="11" t="str">
        <f t="shared" ca="1" si="231"/>
        <v/>
      </c>
      <c r="R2911" s="11" t="str">
        <f t="shared" ca="1" si="232"/>
        <v/>
      </c>
      <c r="S2911" s="61" t="str">
        <f t="shared" ca="1" si="233"/>
        <v/>
      </c>
      <c r="T2911" s="11" t="str">
        <f t="shared" ca="1" si="234"/>
        <v/>
      </c>
      <c r="U2911" s="11" t="str">
        <f t="shared" ca="1" si="235"/>
        <v/>
      </c>
      <c r="V2911" s="18" t="str">
        <f t="shared" ca="1" si="236"/>
        <v/>
      </c>
      <c r="W2911" s="61" t="str">
        <f t="shared" ca="1" si="237"/>
        <v/>
      </c>
      <c r="X2911" s="61">
        <f t="shared" ca="1" si="238"/>
        <v>0</v>
      </c>
      <c r="Y2911" s="64" t="str">
        <f t="shared" ca="1" si="239"/>
        <v/>
      </c>
    </row>
    <row r="2912" spans="1:25">
      <c r="A2912" s="2">
        <f>+Get_Data!A2911</f>
        <v>43669</v>
      </c>
      <c r="B2912">
        <f>+ROUND(Get_Data!B2911,5)</f>
        <v>126.18101</v>
      </c>
      <c r="C2912">
        <f>+ROUND(Get_Data!C2911,5)</f>
        <v>52.170229999999997</v>
      </c>
      <c r="D2912" s="4">
        <f t="shared" si="224"/>
        <v>2.4186399999999999</v>
      </c>
      <c r="E2912" s="22">
        <f t="shared" ca="1" si="225"/>
        <v>2.6210800000000001</v>
      </c>
      <c r="F2912" s="23">
        <f t="shared" ca="1" si="226"/>
        <v>2.4186399999999999</v>
      </c>
      <c r="G2912" s="10">
        <f t="shared" ca="1" si="227"/>
        <v>0</v>
      </c>
      <c r="H2912" s="12">
        <f t="shared" ca="1" si="228"/>
        <v>1</v>
      </c>
      <c r="I2912" s="11">
        <f t="shared" ca="1" si="229"/>
        <v>-1</v>
      </c>
      <c r="J2912" s="11">
        <f t="shared" ca="1" si="230"/>
        <v>0</v>
      </c>
      <c r="K2912" s="10">
        <f t="shared" ca="1" si="240"/>
        <v>128.24639999999999</v>
      </c>
      <c r="L2912" s="11">
        <f t="shared" ca="1" si="241"/>
        <v>-49.961669999999998</v>
      </c>
      <c r="M2912" s="11">
        <f t="shared" ca="1" si="242"/>
        <v>2.5669</v>
      </c>
      <c r="N2912" s="15">
        <f t="shared" ca="1" si="243"/>
        <v>10</v>
      </c>
      <c r="O2912" s="15">
        <f t="shared" ca="1" si="244"/>
        <v>26</v>
      </c>
      <c r="P2912" s="16">
        <f t="shared" ca="1" si="245"/>
        <v>-16.539420000000064</v>
      </c>
      <c r="Q2912" s="11" t="str">
        <f t="shared" ca="1" si="231"/>
        <v/>
      </c>
      <c r="R2912" s="11" t="str">
        <f t="shared" ca="1" si="232"/>
        <v/>
      </c>
      <c r="S2912" s="61" t="str">
        <f t="shared" ca="1" si="233"/>
        <v/>
      </c>
      <c r="T2912" s="11" t="str">
        <f t="shared" ca="1" si="234"/>
        <v/>
      </c>
      <c r="U2912" s="11" t="str">
        <f t="shared" ca="1" si="235"/>
        <v/>
      </c>
      <c r="V2912" s="18" t="str">
        <f t="shared" ca="1" si="236"/>
        <v/>
      </c>
      <c r="W2912" s="61" t="str">
        <f t="shared" ca="1" si="237"/>
        <v/>
      </c>
      <c r="X2912" s="61">
        <f t="shared" ca="1" si="238"/>
        <v>0</v>
      </c>
      <c r="Y2912" s="64" t="str">
        <f t="shared" ca="1" si="239"/>
        <v/>
      </c>
    </row>
    <row r="2913" spans="1:25">
      <c r="A2913" s="2">
        <f>+Get_Data!A2912</f>
        <v>43670</v>
      </c>
      <c r="B2913">
        <f>+ROUND(Get_Data!B2912,5)</f>
        <v>124.70437</v>
      </c>
      <c r="C2913">
        <f>+ROUND(Get_Data!C2912,5)</f>
        <v>51.642099999999999</v>
      </c>
      <c r="D2913" s="4">
        <f t="shared" si="224"/>
        <v>2.4147799999999999</v>
      </c>
      <c r="E2913" s="22">
        <f t="shared" ca="1" si="225"/>
        <v>2.6120000000000001</v>
      </c>
      <c r="F2913" s="23">
        <f t="shared" ca="1" si="226"/>
        <v>2.4147799999999999</v>
      </c>
      <c r="G2913" s="10">
        <f t="shared" ca="1" si="227"/>
        <v>0</v>
      </c>
      <c r="H2913" s="12">
        <f t="shared" ca="1" si="228"/>
        <v>1</v>
      </c>
      <c r="I2913" s="11">
        <f t="shared" ca="1" si="229"/>
        <v>-1</v>
      </c>
      <c r="J2913" s="11">
        <f t="shared" ca="1" si="230"/>
        <v>-1</v>
      </c>
      <c r="K2913" s="10" t="str">
        <f t="shared" ca="1" si="240"/>
        <v/>
      </c>
      <c r="L2913" s="11" t="str">
        <f t="shared" ca="1" si="241"/>
        <v/>
      </c>
      <c r="M2913" s="11" t="str">
        <f t="shared" ca="1" si="242"/>
        <v/>
      </c>
      <c r="N2913" s="15" t="str">
        <f t="shared" ca="1" si="243"/>
        <v/>
      </c>
      <c r="O2913" s="15" t="str">
        <f t="shared" ca="1" si="244"/>
        <v/>
      </c>
      <c r="P2913" s="16" t="str">
        <f t="shared" ca="1" si="245"/>
        <v/>
      </c>
      <c r="Q2913" s="11">
        <f t="shared" ca="1" si="231"/>
        <v>124.70437</v>
      </c>
      <c r="R2913" s="11">
        <f t="shared" ca="1" si="232"/>
        <v>51.642099999999999</v>
      </c>
      <c r="S2913" s="61">
        <f t="shared" ca="1" si="233"/>
        <v>2.4147799999999999</v>
      </c>
      <c r="T2913" s="11">
        <f t="shared" ca="1" si="234"/>
        <v>10</v>
      </c>
      <c r="U2913" s="11">
        <f t="shared" ca="1" si="235"/>
        <v>26</v>
      </c>
      <c r="V2913" s="18">
        <f t="shared" ca="1" si="236"/>
        <v>35.420299999999969</v>
      </c>
      <c r="W2913" s="61">
        <f t="shared" ca="1" si="237"/>
        <v>43.691180000000031</v>
      </c>
      <c r="X2913" s="61">
        <f t="shared" ca="1" si="238"/>
        <v>79.11148</v>
      </c>
      <c r="Y2913" s="64">
        <f t="shared" ca="1" si="239"/>
        <v>5.8919936074815521E-2</v>
      </c>
    </row>
    <row r="2914" spans="1:25">
      <c r="A2914" s="2">
        <f>+Get_Data!A2913</f>
        <v>43671</v>
      </c>
      <c r="B2914">
        <f>+ROUND(Get_Data!B2913,5)</f>
        <v>124.49203</v>
      </c>
      <c r="C2914">
        <f>+ROUND(Get_Data!C2913,5)</f>
        <v>50.960320000000003</v>
      </c>
      <c r="D2914" s="4">
        <f t="shared" si="224"/>
        <v>2.44292</v>
      </c>
      <c r="E2914" s="22">
        <f t="shared" ca="1" si="225"/>
        <v>2.61185</v>
      </c>
      <c r="F2914" s="23">
        <f t="shared" ca="1" si="226"/>
        <v>2.4147799999999999</v>
      </c>
      <c r="G2914" s="10">
        <f t="shared" ca="1" si="227"/>
        <v>0</v>
      </c>
      <c r="H2914" s="12">
        <f t="shared" ca="1" si="228"/>
        <v>0</v>
      </c>
      <c r="I2914" s="11">
        <f t="shared" ca="1" si="229"/>
        <v>0</v>
      </c>
      <c r="J2914" s="11">
        <f t="shared" ca="1" si="230"/>
        <v>-1</v>
      </c>
      <c r="K2914" s="10">
        <f t="shared" ca="1" si="240"/>
        <v>124.49203</v>
      </c>
      <c r="L2914" s="11">
        <f t="shared" ca="1" si="241"/>
        <v>-50.960320000000003</v>
      </c>
      <c r="M2914" s="11">
        <f t="shared" ca="1" si="242"/>
        <v>2.44292</v>
      </c>
      <c r="N2914" s="15">
        <f t="shared" ca="1" si="243"/>
        <v>10</v>
      </c>
      <c r="O2914" s="15">
        <f t="shared" ca="1" si="244"/>
        <v>24</v>
      </c>
      <c r="P2914" s="16">
        <f t="shared" ca="1" si="245"/>
        <v>21.87261999999987</v>
      </c>
      <c r="Q2914" s="11" t="str">
        <f t="shared" ca="1" si="231"/>
        <v/>
      </c>
      <c r="R2914" s="11" t="str">
        <f t="shared" ca="1" si="232"/>
        <v/>
      </c>
      <c r="S2914" s="61" t="str">
        <f t="shared" ca="1" si="233"/>
        <v/>
      </c>
      <c r="T2914" s="11" t="str">
        <f t="shared" ca="1" si="234"/>
        <v/>
      </c>
      <c r="U2914" s="11" t="str">
        <f t="shared" ca="1" si="235"/>
        <v/>
      </c>
      <c r="V2914" s="18" t="str">
        <f t="shared" ca="1" si="236"/>
        <v/>
      </c>
      <c r="W2914" s="61" t="str">
        <f t="shared" ca="1" si="237"/>
        <v/>
      </c>
      <c r="X2914" s="61">
        <f t="shared" ca="1" si="238"/>
        <v>0</v>
      </c>
      <c r="Y2914" s="64" t="str">
        <f t="shared" ca="1" si="239"/>
        <v/>
      </c>
    </row>
    <row r="2915" spans="1:25">
      <c r="A2915" s="2">
        <f>+Get_Data!A2914</f>
        <v>43672</v>
      </c>
      <c r="B2915">
        <f>+ROUND(Get_Data!B2914,5)</f>
        <v>126.64427000000001</v>
      </c>
      <c r="C2915">
        <f>+ROUND(Get_Data!C2914,5)</f>
        <v>52.016590000000001</v>
      </c>
      <c r="D2915" s="4">
        <f t="shared" si="224"/>
        <v>2.4346899999999998</v>
      </c>
      <c r="E2915" s="22">
        <f t="shared" ca="1" si="225"/>
        <v>2.61185</v>
      </c>
      <c r="F2915" s="23">
        <f t="shared" ca="1" si="226"/>
        <v>2.4147799999999999</v>
      </c>
      <c r="G2915" s="10">
        <f t="shared" ca="1" si="227"/>
        <v>0</v>
      </c>
      <c r="H2915" s="12">
        <f t="shared" ca="1" si="228"/>
        <v>0</v>
      </c>
      <c r="I2915" s="11">
        <f t="shared" ca="1" si="229"/>
        <v>0</v>
      </c>
      <c r="J2915" s="11">
        <f t="shared" ca="1" si="230"/>
        <v>-1</v>
      </c>
      <c r="K2915" s="10">
        <f t="shared" ca="1" si="240"/>
        <v>124.49203</v>
      </c>
      <c r="L2915" s="11">
        <f t="shared" ca="1" si="241"/>
        <v>-50.960320000000003</v>
      </c>
      <c r="M2915" s="11">
        <f t="shared" ca="1" si="242"/>
        <v>2.44292</v>
      </c>
      <c r="N2915" s="15">
        <f t="shared" ca="1" si="243"/>
        <v>10</v>
      </c>
      <c r="O2915" s="15">
        <f t="shared" ca="1" si="244"/>
        <v>24</v>
      </c>
      <c r="P2915" s="16">
        <f t="shared" ca="1" si="245"/>
        <v>21.87261999999987</v>
      </c>
      <c r="Q2915" s="11" t="str">
        <f t="shared" ca="1" si="231"/>
        <v/>
      </c>
      <c r="R2915" s="11" t="str">
        <f t="shared" ca="1" si="232"/>
        <v/>
      </c>
      <c r="S2915" s="61" t="str">
        <f t="shared" ca="1" si="233"/>
        <v/>
      </c>
      <c r="T2915" s="11" t="str">
        <f t="shared" ca="1" si="234"/>
        <v/>
      </c>
      <c r="U2915" s="11" t="str">
        <f t="shared" ca="1" si="235"/>
        <v/>
      </c>
      <c r="V2915" s="18" t="str">
        <f t="shared" ca="1" si="236"/>
        <v/>
      </c>
      <c r="W2915" s="61" t="str">
        <f t="shared" ca="1" si="237"/>
        <v/>
      </c>
      <c r="X2915" s="61">
        <f t="shared" ca="1" si="238"/>
        <v>0</v>
      </c>
      <c r="Y2915" s="64" t="str">
        <f t="shared" ca="1" si="239"/>
        <v/>
      </c>
    </row>
    <row r="2916" spans="1:25">
      <c r="A2916" s="2">
        <f>+Get_Data!A2915</f>
        <v>43675</v>
      </c>
      <c r="B2916">
        <f>+ROUND(Get_Data!B2915,5)</f>
        <v>126.94345</v>
      </c>
      <c r="C2916">
        <f>+ROUND(Get_Data!C2915,5)</f>
        <v>51.84375</v>
      </c>
      <c r="D2916" s="4">
        <f t="shared" si="224"/>
        <v>2.4485800000000002</v>
      </c>
      <c r="E2916" s="22">
        <f t="shared" ca="1" si="225"/>
        <v>2.60697</v>
      </c>
      <c r="F2916" s="23">
        <f t="shared" ca="1" si="226"/>
        <v>2.4147799999999999</v>
      </c>
      <c r="G2916" s="10">
        <f t="shared" ca="1" si="227"/>
        <v>0</v>
      </c>
      <c r="H2916" s="12">
        <f t="shared" ca="1" si="228"/>
        <v>0</v>
      </c>
      <c r="I2916" s="11">
        <f t="shared" ca="1" si="229"/>
        <v>0</v>
      </c>
      <c r="J2916" s="11">
        <f t="shared" ca="1" si="230"/>
        <v>-1</v>
      </c>
      <c r="K2916" s="10">
        <f t="shared" ca="1" si="240"/>
        <v>124.49203</v>
      </c>
      <c r="L2916" s="11">
        <f t="shared" ca="1" si="241"/>
        <v>-50.960320000000003</v>
      </c>
      <c r="M2916" s="11">
        <f t="shared" ca="1" si="242"/>
        <v>2.44292</v>
      </c>
      <c r="N2916" s="15">
        <f t="shared" ca="1" si="243"/>
        <v>10</v>
      </c>
      <c r="O2916" s="15">
        <f t="shared" ca="1" si="244"/>
        <v>24</v>
      </c>
      <c r="P2916" s="16">
        <f t="shared" ca="1" si="245"/>
        <v>21.87261999999987</v>
      </c>
      <c r="Q2916" s="11" t="str">
        <f t="shared" ca="1" si="231"/>
        <v/>
      </c>
      <c r="R2916" s="11" t="str">
        <f t="shared" ca="1" si="232"/>
        <v/>
      </c>
      <c r="S2916" s="61" t="str">
        <f t="shared" ca="1" si="233"/>
        <v/>
      </c>
      <c r="T2916" s="11" t="str">
        <f t="shared" ca="1" si="234"/>
        <v/>
      </c>
      <c r="U2916" s="11" t="str">
        <f t="shared" ca="1" si="235"/>
        <v/>
      </c>
      <c r="V2916" s="18" t="str">
        <f t="shared" ca="1" si="236"/>
        <v/>
      </c>
      <c r="W2916" s="61" t="str">
        <f t="shared" ca="1" si="237"/>
        <v/>
      </c>
      <c r="X2916" s="61">
        <f t="shared" ca="1" si="238"/>
        <v>0</v>
      </c>
      <c r="Y2916" s="64" t="str">
        <f t="shared" ca="1" si="239"/>
        <v/>
      </c>
    </row>
    <row r="2917" spans="1:25">
      <c r="A2917" s="2">
        <f>+Get_Data!A2916</f>
        <v>43676</v>
      </c>
      <c r="B2917">
        <f>+ROUND(Get_Data!B2916,5)</f>
        <v>125.93007</v>
      </c>
      <c r="C2917">
        <f>+ROUND(Get_Data!C2916,5)</f>
        <v>51.584479999999999</v>
      </c>
      <c r="D2917" s="4">
        <f t="shared" si="224"/>
        <v>2.4412400000000001</v>
      </c>
      <c r="E2917" s="22">
        <f t="shared" ca="1" si="225"/>
        <v>2.60697</v>
      </c>
      <c r="F2917" s="23">
        <f t="shared" ca="1" si="226"/>
        <v>2.4147799999999999</v>
      </c>
      <c r="G2917" s="10">
        <f t="shared" ca="1" si="227"/>
        <v>0</v>
      </c>
      <c r="H2917" s="12">
        <f t="shared" ca="1" si="228"/>
        <v>0</v>
      </c>
      <c r="I2917" s="11">
        <f t="shared" ca="1" si="229"/>
        <v>0</v>
      </c>
      <c r="J2917" s="11">
        <f t="shared" ca="1" si="230"/>
        <v>-1</v>
      </c>
      <c r="K2917" s="10">
        <f t="shared" ca="1" si="240"/>
        <v>124.49203</v>
      </c>
      <c r="L2917" s="11">
        <f t="shared" ca="1" si="241"/>
        <v>-50.960320000000003</v>
      </c>
      <c r="M2917" s="11">
        <f t="shared" ca="1" si="242"/>
        <v>2.44292</v>
      </c>
      <c r="N2917" s="15">
        <f t="shared" ca="1" si="243"/>
        <v>10</v>
      </c>
      <c r="O2917" s="15">
        <f t="shared" ca="1" si="244"/>
        <v>24</v>
      </c>
      <c r="P2917" s="16">
        <f t="shared" ca="1" si="245"/>
        <v>21.87261999999987</v>
      </c>
      <c r="Q2917" s="11" t="str">
        <f t="shared" ca="1" si="231"/>
        <v/>
      </c>
      <c r="R2917" s="11" t="str">
        <f t="shared" ca="1" si="232"/>
        <v/>
      </c>
      <c r="S2917" s="61" t="str">
        <f t="shared" ca="1" si="233"/>
        <v/>
      </c>
      <c r="T2917" s="11" t="str">
        <f t="shared" ca="1" si="234"/>
        <v/>
      </c>
      <c r="U2917" s="11" t="str">
        <f t="shared" ca="1" si="235"/>
        <v/>
      </c>
      <c r="V2917" s="18" t="str">
        <f t="shared" ca="1" si="236"/>
        <v/>
      </c>
      <c r="W2917" s="61" t="str">
        <f t="shared" ca="1" si="237"/>
        <v/>
      </c>
      <c r="X2917" s="61">
        <f t="shared" ca="1" si="238"/>
        <v>0</v>
      </c>
      <c r="Y2917" s="64" t="str">
        <f t="shared" ca="1" si="239"/>
        <v/>
      </c>
    </row>
    <row r="2918" spans="1:25">
      <c r="A2918" s="2">
        <f>+Get_Data!A2917</f>
        <v>43677</v>
      </c>
      <c r="B2918">
        <f>+ROUND(Get_Data!B2917,5)</f>
        <v>123.35317000000001</v>
      </c>
      <c r="C2918">
        <f>+ROUND(Get_Data!C2917,5)</f>
        <v>50.53781</v>
      </c>
      <c r="D2918" s="4">
        <f t="shared" si="224"/>
        <v>2.4408099999999999</v>
      </c>
      <c r="E2918" s="22">
        <f t="shared" ca="1" si="225"/>
        <v>2.60697</v>
      </c>
      <c r="F2918" s="23">
        <f t="shared" ca="1" si="226"/>
        <v>2.4147799999999999</v>
      </c>
      <c r="G2918" s="10">
        <f t="shared" ca="1" si="227"/>
        <v>0</v>
      </c>
      <c r="H2918" s="12">
        <f t="shared" ca="1" si="228"/>
        <v>0</v>
      </c>
      <c r="I2918" s="11">
        <f t="shared" ca="1" si="229"/>
        <v>0</v>
      </c>
      <c r="J2918" s="11">
        <f t="shared" ca="1" si="230"/>
        <v>-1</v>
      </c>
      <c r="K2918" s="10">
        <f t="shared" ca="1" si="240"/>
        <v>124.49203</v>
      </c>
      <c r="L2918" s="11">
        <f t="shared" ca="1" si="241"/>
        <v>-50.960320000000003</v>
      </c>
      <c r="M2918" s="11">
        <f t="shared" ca="1" si="242"/>
        <v>2.44292</v>
      </c>
      <c r="N2918" s="15">
        <f t="shared" ca="1" si="243"/>
        <v>10</v>
      </c>
      <c r="O2918" s="15">
        <f t="shared" ca="1" si="244"/>
        <v>24</v>
      </c>
      <c r="P2918" s="16">
        <f t="shared" ca="1" si="245"/>
        <v>21.87261999999987</v>
      </c>
      <c r="Q2918" s="11" t="str">
        <f t="shared" ca="1" si="231"/>
        <v/>
      </c>
      <c r="R2918" s="11" t="str">
        <f t="shared" ca="1" si="232"/>
        <v/>
      </c>
      <c r="S2918" s="61" t="str">
        <f t="shared" ca="1" si="233"/>
        <v/>
      </c>
      <c r="T2918" s="11" t="str">
        <f t="shared" ca="1" si="234"/>
        <v/>
      </c>
      <c r="U2918" s="11" t="str">
        <f t="shared" ca="1" si="235"/>
        <v/>
      </c>
      <c r="V2918" s="18" t="str">
        <f t="shared" ca="1" si="236"/>
        <v/>
      </c>
      <c r="W2918" s="61" t="str">
        <f t="shared" ca="1" si="237"/>
        <v/>
      </c>
      <c r="X2918" s="61">
        <f t="shared" ca="1" si="238"/>
        <v>0</v>
      </c>
      <c r="Y2918" s="64" t="str">
        <f t="shared" ca="1" si="239"/>
        <v/>
      </c>
    </row>
    <row r="2919" spans="1:25">
      <c r="A2919" s="2">
        <f>+Get_Data!A2918</f>
        <v>43678</v>
      </c>
      <c r="B2919">
        <f>+ROUND(Get_Data!B2918,5)</f>
        <v>122.70654</v>
      </c>
      <c r="C2919">
        <f>+ROUND(Get_Data!C2918,5)</f>
        <v>49.961669999999998</v>
      </c>
      <c r="D2919" s="4">
        <f t="shared" si="224"/>
        <v>2.45601</v>
      </c>
      <c r="E2919" s="22">
        <f t="shared" ca="1" si="225"/>
        <v>2.60697</v>
      </c>
      <c r="F2919" s="23">
        <f t="shared" ca="1" si="226"/>
        <v>2.4147799999999999</v>
      </c>
      <c r="G2919" s="10">
        <f t="shared" ca="1" si="227"/>
        <v>0</v>
      </c>
      <c r="H2919" s="12">
        <f t="shared" ca="1" si="228"/>
        <v>0</v>
      </c>
      <c r="I2919" s="11">
        <f t="shared" ca="1" si="229"/>
        <v>0</v>
      </c>
      <c r="J2919" s="11">
        <f t="shared" ca="1" si="230"/>
        <v>-1</v>
      </c>
      <c r="K2919" s="10">
        <f t="shared" ca="1" si="240"/>
        <v>124.49203</v>
      </c>
      <c r="L2919" s="11">
        <f t="shared" ca="1" si="241"/>
        <v>-50.960320000000003</v>
      </c>
      <c r="M2919" s="11">
        <f t="shared" ca="1" si="242"/>
        <v>2.44292</v>
      </c>
      <c r="N2919" s="15">
        <f t="shared" ca="1" si="243"/>
        <v>10</v>
      </c>
      <c r="O2919" s="15">
        <f t="shared" ca="1" si="244"/>
        <v>24</v>
      </c>
      <c r="P2919" s="16">
        <f t="shared" ca="1" si="245"/>
        <v>21.87261999999987</v>
      </c>
      <c r="Q2919" s="11" t="str">
        <f t="shared" ca="1" si="231"/>
        <v/>
      </c>
      <c r="R2919" s="11" t="str">
        <f t="shared" ca="1" si="232"/>
        <v/>
      </c>
      <c r="S2919" s="61" t="str">
        <f t="shared" ca="1" si="233"/>
        <v/>
      </c>
      <c r="T2919" s="11" t="str">
        <f t="shared" ca="1" si="234"/>
        <v/>
      </c>
      <c r="U2919" s="11" t="str">
        <f t="shared" ca="1" si="235"/>
        <v/>
      </c>
      <c r="V2919" s="18" t="str">
        <f t="shared" ca="1" si="236"/>
        <v/>
      </c>
      <c r="W2919" s="61" t="str">
        <f t="shared" ca="1" si="237"/>
        <v/>
      </c>
      <c r="X2919" s="61">
        <f t="shared" ca="1" si="238"/>
        <v>0</v>
      </c>
      <c r="Y2919" s="64" t="str">
        <f t="shared" ca="1" si="239"/>
        <v/>
      </c>
    </row>
    <row r="2920" spans="1:25">
      <c r="A2920" s="2">
        <f>+Get_Data!A2919</f>
        <v>43679</v>
      </c>
      <c r="B2920">
        <f>+ROUND(Get_Data!B2919,5)</f>
        <v>123.45934</v>
      </c>
      <c r="C2920">
        <f>+ROUND(Get_Data!C2919,5)</f>
        <v>50.249740000000003</v>
      </c>
      <c r="D2920" s="4">
        <f t="shared" si="224"/>
        <v>2.4569200000000002</v>
      </c>
      <c r="E2920" s="22">
        <f t="shared" ca="1" si="225"/>
        <v>2.60697</v>
      </c>
      <c r="F2920" s="23">
        <f t="shared" ca="1" si="226"/>
        <v>2.4147799999999999</v>
      </c>
      <c r="G2920" s="10">
        <f t="shared" ca="1" si="227"/>
        <v>0</v>
      </c>
      <c r="H2920" s="12">
        <f t="shared" ca="1" si="228"/>
        <v>0</v>
      </c>
      <c r="I2920" s="11">
        <f t="shared" ca="1" si="229"/>
        <v>0</v>
      </c>
      <c r="J2920" s="11">
        <f t="shared" ca="1" si="230"/>
        <v>-1</v>
      </c>
      <c r="K2920" s="10">
        <f t="shared" ca="1" si="240"/>
        <v>124.49203</v>
      </c>
      <c r="L2920" s="11">
        <f t="shared" ca="1" si="241"/>
        <v>-50.960320000000003</v>
      </c>
      <c r="M2920" s="11">
        <f t="shared" ca="1" si="242"/>
        <v>2.44292</v>
      </c>
      <c r="N2920" s="15">
        <f t="shared" ca="1" si="243"/>
        <v>10</v>
      </c>
      <c r="O2920" s="15">
        <f t="shared" ca="1" si="244"/>
        <v>24</v>
      </c>
      <c r="P2920" s="16">
        <f t="shared" ca="1" si="245"/>
        <v>21.87261999999987</v>
      </c>
      <c r="Q2920" s="11" t="str">
        <f t="shared" ca="1" si="231"/>
        <v/>
      </c>
      <c r="R2920" s="11" t="str">
        <f t="shared" ca="1" si="232"/>
        <v/>
      </c>
      <c r="S2920" s="61" t="str">
        <f t="shared" ca="1" si="233"/>
        <v/>
      </c>
      <c r="T2920" s="11" t="str">
        <f t="shared" ca="1" si="234"/>
        <v/>
      </c>
      <c r="U2920" s="11" t="str">
        <f t="shared" ca="1" si="235"/>
        <v/>
      </c>
      <c r="V2920" s="18" t="str">
        <f t="shared" ca="1" si="236"/>
        <v/>
      </c>
      <c r="W2920" s="61" t="str">
        <f t="shared" ca="1" si="237"/>
        <v/>
      </c>
      <c r="X2920" s="61">
        <f t="shared" ca="1" si="238"/>
        <v>0</v>
      </c>
      <c r="Y2920" s="64" t="str">
        <f t="shared" ca="1" si="239"/>
        <v/>
      </c>
    </row>
    <row r="2921" spans="1:25">
      <c r="A2921" s="2">
        <f>+Get_Data!A2920</f>
        <v>43682</v>
      </c>
      <c r="B2921">
        <f>+ROUND(Get_Data!B2920,5)</f>
        <v>120.06207999999999</v>
      </c>
      <c r="C2921">
        <f>+ROUND(Get_Data!C2920,5)</f>
        <v>49.596769999999999</v>
      </c>
      <c r="D2921" s="4">
        <f t="shared" si="224"/>
        <v>2.42076</v>
      </c>
      <c r="E2921" s="22">
        <f t="shared" ca="1" si="225"/>
        <v>2.60697</v>
      </c>
      <c r="F2921" s="23">
        <f t="shared" ca="1" si="226"/>
        <v>2.4147799999999999</v>
      </c>
      <c r="G2921" s="10">
        <f t="shared" ca="1" si="227"/>
        <v>0</v>
      </c>
      <c r="H2921" s="12">
        <f t="shared" ca="1" si="228"/>
        <v>0</v>
      </c>
      <c r="I2921" s="11">
        <f t="shared" ca="1" si="229"/>
        <v>0</v>
      </c>
      <c r="J2921" s="11">
        <f t="shared" ca="1" si="230"/>
        <v>-1</v>
      </c>
      <c r="K2921" s="10">
        <f t="shared" ca="1" si="240"/>
        <v>124.49203</v>
      </c>
      <c r="L2921" s="11">
        <f t="shared" ca="1" si="241"/>
        <v>-50.960320000000003</v>
      </c>
      <c r="M2921" s="11">
        <f t="shared" ca="1" si="242"/>
        <v>2.44292</v>
      </c>
      <c r="N2921" s="15">
        <f t="shared" ca="1" si="243"/>
        <v>10</v>
      </c>
      <c r="O2921" s="15">
        <f t="shared" ca="1" si="244"/>
        <v>24</v>
      </c>
      <c r="P2921" s="16">
        <f t="shared" ca="1" si="245"/>
        <v>21.87261999999987</v>
      </c>
      <c r="Q2921" s="11" t="str">
        <f t="shared" ca="1" si="231"/>
        <v/>
      </c>
      <c r="R2921" s="11" t="str">
        <f t="shared" ca="1" si="232"/>
        <v/>
      </c>
      <c r="S2921" s="61" t="str">
        <f t="shared" ca="1" si="233"/>
        <v/>
      </c>
      <c r="T2921" s="11" t="str">
        <f t="shared" ca="1" si="234"/>
        <v/>
      </c>
      <c r="U2921" s="11" t="str">
        <f t="shared" ca="1" si="235"/>
        <v/>
      </c>
      <c r="V2921" s="18" t="str">
        <f t="shared" ca="1" si="236"/>
        <v/>
      </c>
      <c r="W2921" s="61" t="str">
        <f t="shared" ca="1" si="237"/>
        <v/>
      </c>
      <c r="X2921" s="61">
        <f t="shared" ca="1" si="238"/>
        <v>0</v>
      </c>
      <c r="Y2921" s="64" t="str">
        <f t="shared" ca="1" si="239"/>
        <v/>
      </c>
    </row>
    <row r="2922" spans="1:25">
      <c r="A2922" s="2">
        <f>+Get_Data!A2921</f>
        <v>43683</v>
      </c>
      <c r="B2922">
        <f>+ROUND(Get_Data!B2921,5)</f>
        <v>122.0406</v>
      </c>
      <c r="C2922">
        <f>+ROUND(Get_Data!C2921,5)</f>
        <v>50.192120000000003</v>
      </c>
      <c r="D2922" s="4">
        <f t="shared" si="224"/>
        <v>2.43147</v>
      </c>
      <c r="E2922" s="22">
        <f t="shared" ca="1" si="225"/>
        <v>2.60697</v>
      </c>
      <c r="F2922" s="23">
        <f t="shared" ca="1" si="226"/>
        <v>2.4147799999999999</v>
      </c>
      <c r="G2922" s="10">
        <f t="shared" ca="1" si="227"/>
        <v>0</v>
      </c>
      <c r="H2922" s="12">
        <f t="shared" ca="1" si="228"/>
        <v>0</v>
      </c>
      <c r="I2922" s="11">
        <f t="shared" ca="1" si="229"/>
        <v>0</v>
      </c>
      <c r="J2922" s="11">
        <f t="shared" ca="1" si="230"/>
        <v>-1</v>
      </c>
      <c r="K2922" s="10">
        <f t="shared" ca="1" si="240"/>
        <v>124.49203</v>
      </c>
      <c r="L2922" s="11">
        <f t="shared" ca="1" si="241"/>
        <v>-50.960320000000003</v>
      </c>
      <c r="M2922" s="11">
        <f t="shared" ca="1" si="242"/>
        <v>2.44292</v>
      </c>
      <c r="N2922" s="15">
        <f t="shared" ca="1" si="243"/>
        <v>10</v>
      </c>
      <c r="O2922" s="15">
        <f t="shared" ca="1" si="244"/>
        <v>24</v>
      </c>
      <c r="P2922" s="16">
        <f t="shared" ca="1" si="245"/>
        <v>21.87261999999987</v>
      </c>
      <c r="Q2922" s="11" t="str">
        <f t="shared" ca="1" si="231"/>
        <v/>
      </c>
      <c r="R2922" s="11" t="str">
        <f t="shared" ca="1" si="232"/>
        <v/>
      </c>
      <c r="S2922" s="61" t="str">
        <f t="shared" ca="1" si="233"/>
        <v/>
      </c>
      <c r="T2922" s="11" t="str">
        <f t="shared" ca="1" si="234"/>
        <v/>
      </c>
      <c r="U2922" s="11" t="str">
        <f t="shared" ca="1" si="235"/>
        <v/>
      </c>
      <c r="V2922" s="18" t="str">
        <f t="shared" ca="1" si="236"/>
        <v/>
      </c>
      <c r="W2922" s="61" t="str">
        <f t="shared" ca="1" si="237"/>
        <v/>
      </c>
      <c r="X2922" s="61">
        <f t="shared" ca="1" si="238"/>
        <v>0</v>
      </c>
      <c r="Y2922" s="64" t="str">
        <f t="shared" ca="1" si="239"/>
        <v/>
      </c>
    </row>
    <row r="2923" spans="1:25">
      <c r="A2923" s="2">
        <f>+Get_Data!A2922</f>
        <v>43684</v>
      </c>
      <c r="B2923">
        <f>+ROUND(Get_Data!B2922,5)</f>
        <v>123.32423</v>
      </c>
      <c r="C2923">
        <f>+ROUND(Get_Data!C2922,5)</f>
        <v>51.065950000000001</v>
      </c>
      <c r="D2923" s="4">
        <f t="shared" si="224"/>
        <v>2.415</v>
      </c>
      <c r="E2923" s="22">
        <f t="shared" ca="1" si="225"/>
        <v>2.60697</v>
      </c>
      <c r="F2923" s="23">
        <f t="shared" ca="1" si="226"/>
        <v>2.4147799999999999</v>
      </c>
      <c r="G2923" s="10">
        <f t="shared" ca="1" si="227"/>
        <v>0</v>
      </c>
      <c r="H2923" s="12">
        <f t="shared" ca="1" si="228"/>
        <v>0</v>
      </c>
      <c r="I2923" s="11">
        <f t="shared" ca="1" si="229"/>
        <v>0</v>
      </c>
      <c r="J2923" s="11">
        <f t="shared" ca="1" si="230"/>
        <v>-1</v>
      </c>
      <c r="K2923" s="10">
        <f t="shared" ca="1" si="240"/>
        <v>124.49203</v>
      </c>
      <c r="L2923" s="11">
        <f t="shared" ca="1" si="241"/>
        <v>-50.960320000000003</v>
      </c>
      <c r="M2923" s="11">
        <f t="shared" ca="1" si="242"/>
        <v>2.44292</v>
      </c>
      <c r="N2923" s="15">
        <f t="shared" ca="1" si="243"/>
        <v>10</v>
      </c>
      <c r="O2923" s="15">
        <f t="shared" ca="1" si="244"/>
        <v>24</v>
      </c>
      <c r="P2923" s="16">
        <f t="shared" ca="1" si="245"/>
        <v>21.87261999999987</v>
      </c>
      <c r="Q2923" s="11" t="str">
        <f t="shared" ca="1" si="231"/>
        <v/>
      </c>
      <c r="R2923" s="11" t="str">
        <f t="shared" ca="1" si="232"/>
        <v/>
      </c>
      <c r="S2923" s="61" t="str">
        <f t="shared" ca="1" si="233"/>
        <v/>
      </c>
      <c r="T2923" s="11" t="str">
        <f t="shared" ca="1" si="234"/>
        <v/>
      </c>
      <c r="U2923" s="11" t="str">
        <f t="shared" ca="1" si="235"/>
        <v/>
      </c>
      <c r="V2923" s="18" t="str">
        <f t="shared" ca="1" si="236"/>
        <v/>
      </c>
      <c r="W2923" s="61" t="str">
        <f t="shared" ca="1" si="237"/>
        <v/>
      </c>
      <c r="X2923" s="61">
        <f t="shared" ca="1" si="238"/>
        <v>0</v>
      </c>
      <c r="Y2923" s="64" t="str">
        <f t="shared" ca="1" si="239"/>
        <v/>
      </c>
    </row>
    <row r="2924" spans="1:25">
      <c r="A2924" s="2">
        <f>+Get_Data!A2923</f>
        <v>43685</v>
      </c>
      <c r="B2924">
        <f>+ROUND(Get_Data!B2923,5)</f>
        <v>124.95529000000001</v>
      </c>
      <c r="C2924">
        <f>+ROUND(Get_Data!C2923,5)</f>
        <v>51.555669999999999</v>
      </c>
      <c r="D2924" s="4">
        <f t="shared" si="224"/>
        <v>2.4237000000000002</v>
      </c>
      <c r="E2924" s="22">
        <f t="shared" ca="1" si="225"/>
        <v>2.60697</v>
      </c>
      <c r="F2924" s="23">
        <f t="shared" ca="1" si="226"/>
        <v>2.4147799999999999</v>
      </c>
      <c r="G2924" s="10">
        <f t="shared" ca="1" si="227"/>
        <v>0</v>
      </c>
      <c r="H2924" s="12">
        <f t="shared" ca="1" si="228"/>
        <v>0</v>
      </c>
      <c r="I2924" s="11">
        <f t="shared" ca="1" si="229"/>
        <v>0</v>
      </c>
      <c r="J2924" s="11">
        <f t="shared" ca="1" si="230"/>
        <v>-1</v>
      </c>
      <c r="K2924" s="10">
        <f t="shared" ca="1" si="240"/>
        <v>124.49203</v>
      </c>
      <c r="L2924" s="11">
        <f t="shared" ca="1" si="241"/>
        <v>-50.960320000000003</v>
      </c>
      <c r="M2924" s="11">
        <f t="shared" ca="1" si="242"/>
        <v>2.44292</v>
      </c>
      <c r="N2924" s="15">
        <f t="shared" ca="1" si="243"/>
        <v>10</v>
      </c>
      <c r="O2924" s="15">
        <f t="shared" ca="1" si="244"/>
        <v>24</v>
      </c>
      <c r="P2924" s="16">
        <f t="shared" ca="1" si="245"/>
        <v>21.87261999999987</v>
      </c>
      <c r="Q2924" s="11" t="str">
        <f t="shared" ca="1" si="231"/>
        <v/>
      </c>
      <c r="R2924" s="11" t="str">
        <f t="shared" ca="1" si="232"/>
        <v/>
      </c>
      <c r="S2924" s="61" t="str">
        <f t="shared" ca="1" si="233"/>
        <v/>
      </c>
      <c r="T2924" s="11" t="str">
        <f t="shared" ca="1" si="234"/>
        <v/>
      </c>
      <c r="U2924" s="11" t="str">
        <f t="shared" ca="1" si="235"/>
        <v/>
      </c>
      <c r="V2924" s="18" t="str">
        <f t="shared" ca="1" si="236"/>
        <v/>
      </c>
      <c r="W2924" s="61" t="str">
        <f t="shared" ca="1" si="237"/>
        <v/>
      </c>
      <c r="X2924" s="61">
        <f t="shared" ca="1" si="238"/>
        <v>0</v>
      </c>
      <c r="Y2924" s="64" t="str">
        <f t="shared" ca="1" si="239"/>
        <v/>
      </c>
    </row>
    <row r="2925" spans="1:25">
      <c r="A2925" s="2">
        <f>+Get_Data!A2924</f>
        <v>43686</v>
      </c>
      <c r="B2925">
        <f>+ROUND(Get_Data!B2924,5)</f>
        <v>124.11565</v>
      </c>
      <c r="C2925">
        <f>+ROUND(Get_Data!C2924,5)</f>
        <v>51.296410000000002</v>
      </c>
      <c r="D2925" s="4">
        <f t="shared" si="224"/>
        <v>2.4195799999999998</v>
      </c>
      <c r="E2925" s="22">
        <f t="shared" ca="1" si="225"/>
        <v>2.60697</v>
      </c>
      <c r="F2925" s="23">
        <f t="shared" ca="1" si="226"/>
        <v>2.4147799999999999</v>
      </c>
      <c r="G2925" s="10">
        <f t="shared" ca="1" si="227"/>
        <v>0</v>
      </c>
      <c r="H2925" s="12">
        <f t="shared" ca="1" si="228"/>
        <v>0</v>
      </c>
      <c r="I2925" s="11">
        <f t="shared" ca="1" si="229"/>
        <v>0</v>
      </c>
      <c r="J2925" s="11">
        <f t="shared" ca="1" si="230"/>
        <v>-1</v>
      </c>
      <c r="K2925" s="10">
        <f t="shared" ca="1" si="240"/>
        <v>124.49203</v>
      </c>
      <c r="L2925" s="11">
        <f t="shared" ca="1" si="241"/>
        <v>-50.960320000000003</v>
      </c>
      <c r="M2925" s="11">
        <f t="shared" ca="1" si="242"/>
        <v>2.44292</v>
      </c>
      <c r="N2925" s="15">
        <f t="shared" ca="1" si="243"/>
        <v>10</v>
      </c>
      <c r="O2925" s="15">
        <f t="shared" ca="1" si="244"/>
        <v>24</v>
      </c>
      <c r="P2925" s="16">
        <f t="shared" ca="1" si="245"/>
        <v>21.87261999999987</v>
      </c>
      <c r="Q2925" s="11" t="str">
        <f t="shared" ca="1" si="231"/>
        <v/>
      </c>
      <c r="R2925" s="11" t="str">
        <f t="shared" ca="1" si="232"/>
        <v/>
      </c>
      <c r="S2925" s="61" t="str">
        <f t="shared" ca="1" si="233"/>
        <v/>
      </c>
      <c r="T2925" s="11" t="str">
        <f t="shared" ca="1" si="234"/>
        <v/>
      </c>
      <c r="U2925" s="11" t="str">
        <f t="shared" ca="1" si="235"/>
        <v/>
      </c>
      <c r="V2925" s="18" t="str">
        <f t="shared" ca="1" si="236"/>
        <v/>
      </c>
      <c r="W2925" s="61" t="str">
        <f t="shared" ca="1" si="237"/>
        <v/>
      </c>
      <c r="X2925" s="61">
        <f t="shared" ca="1" si="238"/>
        <v>0</v>
      </c>
      <c r="Y2925" s="64" t="str">
        <f t="shared" ca="1" si="239"/>
        <v/>
      </c>
    </row>
    <row r="2926" spans="1:25">
      <c r="A2926" s="2">
        <f>+Get_Data!A2925</f>
        <v>43689</v>
      </c>
      <c r="B2926">
        <f>+ROUND(Get_Data!B2925,5)</f>
        <v>123.87436</v>
      </c>
      <c r="C2926">
        <f>+ROUND(Get_Data!C2925,5)</f>
        <v>51.085160000000002</v>
      </c>
      <c r="D2926" s="4">
        <f t="shared" si="224"/>
        <v>2.4248599999999998</v>
      </c>
      <c r="E2926" s="22">
        <f t="shared" ca="1" si="225"/>
        <v>2.60697</v>
      </c>
      <c r="F2926" s="23">
        <f t="shared" ca="1" si="226"/>
        <v>2.4147799999999999</v>
      </c>
      <c r="G2926" s="10">
        <f t="shared" ca="1" si="227"/>
        <v>0</v>
      </c>
      <c r="H2926" s="12">
        <f t="shared" ca="1" si="228"/>
        <v>0</v>
      </c>
      <c r="I2926" s="11">
        <f t="shared" ca="1" si="229"/>
        <v>0</v>
      </c>
      <c r="J2926" s="11">
        <f t="shared" ca="1" si="230"/>
        <v>-1</v>
      </c>
      <c r="K2926" s="10">
        <f t="shared" ca="1" si="240"/>
        <v>124.49203</v>
      </c>
      <c r="L2926" s="11">
        <f t="shared" ca="1" si="241"/>
        <v>-50.960320000000003</v>
      </c>
      <c r="M2926" s="11">
        <f t="shared" ca="1" si="242"/>
        <v>2.44292</v>
      </c>
      <c r="N2926" s="15">
        <f t="shared" ca="1" si="243"/>
        <v>10</v>
      </c>
      <c r="O2926" s="15">
        <f t="shared" ca="1" si="244"/>
        <v>24</v>
      </c>
      <c r="P2926" s="16">
        <f t="shared" ca="1" si="245"/>
        <v>21.87261999999987</v>
      </c>
      <c r="Q2926" s="11" t="str">
        <f t="shared" ca="1" si="231"/>
        <v/>
      </c>
      <c r="R2926" s="11" t="str">
        <f t="shared" ca="1" si="232"/>
        <v/>
      </c>
      <c r="S2926" s="61" t="str">
        <f t="shared" ca="1" si="233"/>
        <v/>
      </c>
      <c r="T2926" s="11" t="str">
        <f t="shared" ca="1" si="234"/>
        <v/>
      </c>
      <c r="U2926" s="11" t="str">
        <f t="shared" ca="1" si="235"/>
        <v/>
      </c>
      <c r="V2926" s="18" t="str">
        <f t="shared" ca="1" si="236"/>
        <v/>
      </c>
      <c r="W2926" s="61" t="str">
        <f t="shared" ca="1" si="237"/>
        <v/>
      </c>
      <c r="X2926" s="61">
        <f t="shared" ca="1" si="238"/>
        <v>0</v>
      </c>
      <c r="Y2926" s="64" t="str">
        <f t="shared" ca="1" si="239"/>
        <v/>
      </c>
    </row>
    <row r="2927" spans="1:25">
      <c r="A2927" s="2">
        <f>+Get_Data!A2926</f>
        <v>43690</v>
      </c>
      <c r="B2927">
        <f>+ROUND(Get_Data!B2926,5)</f>
        <v>125.39924999999999</v>
      </c>
      <c r="C2927">
        <f>+ROUND(Get_Data!C2926,5)</f>
        <v>51.37323</v>
      </c>
      <c r="D2927" s="4">
        <f t="shared" si="224"/>
        <v>2.44095</v>
      </c>
      <c r="E2927" s="22">
        <f t="shared" ca="1" si="225"/>
        <v>2.60697</v>
      </c>
      <c r="F2927" s="23">
        <f t="shared" ca="1" si="226"/>
        <v>2.4147799999999999</v>
      </c>
      <c r="G2927" s="10">
        <f t="shared" ca="1" si="227"/>
        <v>0</v>
      </c>
      <c r="H2927" s="12">
        <f t="shared" ca="1" si="228"/>
        <v>0</v>
      </c>
      <c r="I2927" s="11">
        <f t="shared" ca="1" si="229"/>
        <v>0</v>
      </c>
      <c r="J2927" s="11">
        <f t="shared" ca="1" si="230"/>
        <v>-1</v>
      </c>
      <c r="K2927" s="10">
        <f t="shared" ca="1" si="240"/>
        <v>124.49203</v>
      </c>
      <c r="L2927" s="11">
        <f t="shared" ca="1" si="241"/>
        <v>-50.960320000000003</v>
      </c>
      <c r="M2927" s="11">
        <f t="shared" ca="1" si="242"/>
        <v>2.44292</v>
      </c>
      <c r="N2927" s="15">
        <f t="shared" ca="1" si="243"/>
        <v>10</v>
      </c>
      <c r="O2927" s="15">
        <f t="shared" ca="1" si="244"/>
        <v>24</v>
      </c>
      <c r="P2927" s="16">
        <f t="shared" ca="1" si="245"/>
        <v>21.87261999999987</v>
      </c>
      <c r="Q2927" s="11" t="str">
        <f t="shared" ca="1" si="231"/>
        <v/>
      </c>
      <c r="R2927" s="11" t="str">
        <f t="shared" ca="1" si="232"/>
        <v/>
      </c>
      <c r="S2927" s="61" t="str">
        <f t="shared" ca="1" si="233"/>
        <v/>
      </c>
      <c r="T2927" s="11" t="str">
        <f t="shared" ca="1" si="234"/>
        <v/>
      </c>
      <c r="U2927" s="11" t="str">
        <f t="shared" ca="1" si="235"/>
        <v/>
      </c>
      <c r="V2927" s="18" t="str">
        <f t="shared" ca="1" si="236"/>
        <v/>
      </c>
      <c r="W2927" s="61" t="str">
        <f t="shared" ca="1" si="237"/>
        <v/>
      </c>
      <c r="X2927" s="61">
        <f t="shared" ca="1" si="238"/>
        <v>0</v>
      </c>
      <c r="Y2927" s="64" t="str">
        <f t="shared" ca="1" si="239"/>
        <v/>
      </c>
    </row>
    <row r="2928" spans="1:25">
      <c r="A2928" s="2">
        <f>+Get_Data!A2927</f>
        <v>43691</v>
      </c>
      <c r="B2928">
        <f>+ROUND(Get_Data!B2927,5)</f>
        <v>124.61749</v>
      </c>
      <c r="C2928">
        <f>+ROUND(Get_Data!C2927,5)</f>
        <v>50.883510000000001</v>
      </c>
      <c r="D2928" s="4">
        <f t="shared" si="224"/>
        <v>2.4490699999999999</v>
      </c>
      <c r="E2928" s="22">
        <f t="shared" ca="1" si="225"/>
        <v>2.5947900000000002</v>
      </c>
      <c r="F2928" s="23">
        <f t="shared" ca="1" si="226"/>
        <v>2.4147799999999999</v>
      </c>
      <c r="G2928" s="10">
        <f t="shared" ca="1" si="227"/>
        <v>0</v>
      </c>
      <c r="H2928" s="12">
        <f t="shared" ca="1" si="228"/>
        <v>0</v>
      </c>
      <c r="I2928" s="11">
        <f t="shared" ca="1" si="229"/>
        <v>0</v>
      </c>
      <c r="J2928" s="11">
        <f t="shared" ca="1" si="230"/>
        <v>-1</v>
      </c>
      <c r="K2928" s="10">
        <f t="shared" ca="1" si="240"/>
        <v>124.49203</v>
      </c>
      <c r="L2928" s="11">
        <f t="shared" ca="1" si="241"/>
        <v>-50.960320000000003</v>
      </c>
      <c r="M2928" s="11">
        <f t="shared" ca="1" si="242"/>
        <v>2.44292</v>
      </c>
      <c r="N2928" s="15">
        <f t="shared" ca="1" si="243"/>
        <v>10</v>
      </c>
      <c r="O2928" s="15">
        <f t="shared" ca="1" si="244"/>
        <v>24</v>
      </c>
      <c r="P2928" s="16">
        <f t="shared" ca="1" si="245"/>
        <v>21.87261999999987</v>
      </c>
      <c r="Q2928" s="11" t="str">
        <f t="shared" ca="1" si="231"/>
        <v/>
      </c>
      <c r="R2928" s="11" t="str">
        <f t="shared" ca="1" si="232"/>
        <v/>
      </c>
      <c r="S2928" s="61" t="str">
        <f t="shared" ca="1" si="233"/>
        <v/>
      </c>
      <c r="T2928" s="11" t="str">
        <f t="shared" ca="1" si="234"/>
        <v/>
      </c>
      <c r="U2928" s="11" t="str">
        <f t="shared" ca="1" si="235"/>
        <v/>
      </c>
      <c r="V2928" s="18" t="str">
        <f t="shared" ca="1" si="236"/>
        <v/>
      </c>
      <c r="W2928" s="61" t="str">
        <f t="shared" ca="1" si="237"/>
        <v/>
      </c>
      <c r="X2928" s="61">
        <f t="shared" ca="1" si="238"/>
        <v>0</v>
      </c>
      <c r="Y2928" s="64" t="str">
        <f t="shared" ca="1" si="239"/>
        <v/>
      </c>
    </row>
    <row r="2929" spans="1:25">
      <c r="A2929" s="2">
        <f>+Get_Data!A2928</f>
        <v>43692</v>
      </c>
      <c r="B2929">
        <f>+ROUND(Get_Data!B2928,5)</f>
        <v>126.16171</v>
      </c>
      <c r="C2929">
        <f>+ROUND(Get_Data!C2928,5)</f>
        <v>51.728520000000003</v>
      </c>
      <c r="D2929" s="4">
        <f t="shared" si="224"/>
        <v>2.43892</v>
      </c>
      <c r="E2929" s="22">
        <f t="shared" ca="1" si="225"/>
        <v>2.5864600000000002</v>
      </c>
      <c r="F2929" s="23">
        <f t="shared" ca="1" si="226"/>
        <v>2.4147799999999999</v>
      </c>
      <c r="G2929" s="10">
        <f t="shared" ca="1" si="227"/>
        <v>0</v>
      </c>
      <c r="H2929" s="12">
        <f t="shared" ca="1" si="228"/>
        <v>0</v>
      </c>
      <c r="I2929" s="11">
        <f t="shared" ca="1" si="229"/>
        <v>0</v>
      </c>
      <c r="J2929" s="11">
        <f t="shared" ca="1" si="230"/>
        <v>-1</v>
      </c>
      <c r="K2929" s="10">
        <f t="shared" ca="1" si="240"/>
        <v>124.49203</v>
      </c>
      <c r="L2929" s="11">
        <f t="shared" ca="1" si="241"/>
        <v>-50.960320000000003</v>
      </c>
      <c r="M2929" s="11">
        <f t="shared" ca="1" si="242"/>
        <v>2.44292</v>
      </c>
      <c r="N2929" s="15">
        <f t="shared" ca="1" si="243"/>
        <v>10</v>
      </c>
      <c r="O2929" s="15">
        <f t="shared" ca="1" si="244"/>
        <v>24</v>
      </c>
      <c r="P2929" s="16">
        <f t="shared" ca="1" si="245"/>
        <v>21.87261999999987</v>
      </c>
      <c r="Q2929" s="11" t="str">
        <f t="shared" ca="1" si="231"/>
        <v/>
      </c>
      <c r="R2929" s="11" t="str">
        <f t="shared" ca="1" si="232"/>
        <v/>
      </c>
      <c r="S2929" s="61" t="str">
        <f t="shared" ca="1" si="233"/>
        <v/>
      </c>
      <c r="T2929" s="11" t="str">
        <f t="shared" ca="1" si="234"/>
        <v/>
      </c>
      <c r="U2929" s="11" t="str">
        <f t="shared" ca="1" si="235"/>
        <v/>
      </c>
      <c r="V2929" s="18" t="str">
        <f t="shared" ca="1" si="236"/>
        <v/>
      </c>
      <c r="W2929" s="61" t="str">
        <f t="shared" ca="1" si="237"/>
        <v/>
      </c>
      <c r="X2929" s="61">
        <f t="shared" ca="1" si="238"/>
        <v>0</v>
      </c>
      <c r="Y2929" s="64" t="str">
        <f t="shared" ca="1" si="239"/>
        <v/>
      </c>
    </row>
    <row r="2930" spans="1:25">
      <c r="A2930" s="2">
        <f>+Get_Data!A2929</f>
        <v>43693</v>
      </c>
      <c r="B2930">
        <f>+ROUND(Get_Data!B2929,5)</f>
        <v>127.16545000000001</v>
      </c>
      <c r="C2930">
        <f>+ROUND(Get_Data!C2929,5)</f>
        <v>52.247050000000002</v>
      </c>
      <c r="D2930" s="4">
        <f t="shared" ref="D2930:D2993" si="246">IFERROR(ROUND(B2930/C2930,5),"")</f>
        <v>2.4339300000000001</v>
      </c>
      <c r="E2930" s="22">
        <f t="shared" ca="1" si="225"/>
        <v>2.5864600000000002</v>
      </c>
      <c r="F2930" s="23">
        <f t="shared" ca="1" si="226"/>
        <v>2.4147799999999999</v>
      </c>
      <c r="G2930" s="10">
        <f t="shared" ca="1" si="227"/>
        <v>0</v>
      </c>
      <c r="H2930" s="12">
        <f t="shared" ca="1" si="228"/>
        <v>0</v>
      </c>
      <c r="I2930" s="11">
        <f t="shared" ca="1" si="229"/>
        <v>0</v>
      </c>
      <c r="J2930" s="11">
        <f t="shared" ca="1" si="230"/>
        <v>-1</v>
      </c>
      <c r="K2930" s="10">
        <f t="shared" ca="1" si="240"/>
        <v>124.49203</v>
      </c>
      <c r="L2930" s="11">
        <f t="shared" ca="1" si="241"/>
        <v>-50.960320000000003</v>
      </c>
      <c r="M2930" s="11">
        <f t="shared" ca="1" si="242"/>
        <v>2.44292</v>
      </c>
      <c r="N2930" s="15">
        <f t="shared" ca="1" si="243"/>
        <v>10</v>
      </c>
      <c r="O2930" s="15">
        <f t="shared" ca="1" si="244"/>
        <v>24</v>
      </c>
      <c r="P2930" s="16">
        <f t="shared" ca="1" si="245"/>
        <v>21.87261999999987</v>
      </c>
      <c r="Q2930" s="11" t="str">
        <f t="shared" ca="1" si="231"/>
        <v/>
      </c>
      <c r="R2930" s="11" t="str">
        <f t="shared" ca="1" si="232"/>
        <v/>
      </c>
      <c r="S2930" s="61" t="str">
        <f t="shared" ca="1" si="233"/>
        <v/>
      </c>
      <c r="T2930" s="11" t="str">
        <f t="shared" ca="1" si="234"/>
        <v/>
      </c>
      <c r="U2930" s="11" t="str">
        <f t="shared" ca="1" si="235"/>
        <v/>
      </c>
      <c r="V2930" s="18" t="str">
        <f t="shared" ca="1" si="236"/>
        <v/>
      </c>
      <c r="W2930" s="61" t="str">
        <f t="shared" ca="1" si="237"/>
        <v/>
      </c>
      <c r="X2930" s="61">
        <f t="shared" ca="1" si="238"/>
        <v>0</v>
      </c>
      <c r="Y2930" s="64" t="str">
        <f t="shared" ca="1" si="239"/>
        <v/>
      </c>
    </row>
    <row r="2931" spans="1:25">
      <c r="A2931" s="2">
        <f>+Get_Data!A2930</f>
        <v>43696</v>
      </c>
      <c r="B2931">
        <f>+ROUND(Get_Data!B2930,5)</f>
        <v>127.9472</v>
      </c>
      <c r="C2931">
        <f>+ROUND(Get_Data!C2930,5)</f>
        <v>52.515920000000001</v>
      </c>
      <c r="D2931" s="4">
        <f t="shared" si="246"/>
        <v>2.43635</v>
      </c>
      <c r="E2931" s="22">
        <f t="shared" ca="1" si="225"/>
        <v>2.5792099999999998</v>
      </c>
      <c r="F2931" s="23">
        <f t="shared" ca="1" si="226"/>
        <v>2.4147799999999999</v>
      </c>
      <c r="G2931" s="10">
        <f t="shared" ca="1" si="227"/>
        <v>0</v>
      </c>
      <c r="H2931" s="12">
        <f t="shared" ca="1" si="228"/>
        <v>0</v>
      </c>
      <c r="I2931" s="11">
        <f t="shared" ca="1" si="229"/>
        <v>0</v>
      </c>
      <c r="J2931" s="11">
        <f t="shared" ca="1" si="230"/>
        <v>-1</v>
      </c>
      <c r="K2931" s="10">
        <f t="shared" ca="1" si="240"/>
        <v>124.49203</v>
      </c>
      <c r="L2931" s="11">
        <f t="shared" ca="1" si="241"/>
        <v>-50.960320000000003</v>
      </c>
      <c r="M2931" s="11">
        <f t="shared" ca="1" si="242"/>
        <v>2.44292</v>
      </c>
      <c r="N2931" s="15">
        <f t="shared" ca="1" si="243"/>
        <v>10</v>
      </c>
      <c r="O2931" s="15">
        <f t="shared" ca="1" si="244"/>
        <v>24</v>
      </c>
      <c r="P2931" s="16">
        <f t="shared" ca="1" si="245"/>
        <v>21.87261999999987</v>
      </c>
      <c r="Q2931" s="11" t="str">
        <f t="shared" ca="1" si="231"/>
        <v/>
      </c>
      <c r="R2931" s="11" t="str">
        <f t="shared" ca="1" si="232"/>
        <v/>
      </c>
      <c r="S2931" s="61" t="str">
        <f t="shared" ca="1" si="233"/>
        <v/>
      </c>
      <c r="T2931" s="11" t="str">
        <f t="shared" ca="1" si="234"/>
        <v/>
      </c>
      <c r="U2931" s="11" t="str">
        <f t="shared" ca="1" si="235"/>
        <v/>
      </c>
      <c r="V2931" s="18" t="str">
        <f t="shared" ca="1" si="236"/>
        <v/>
      </c>
      <c r="W2931" s="61" t="str">
        <f t="shared" ca="1" si="237"/>
        <v/>
      </c>
      <c r="X2931" s="61">
        <f t="shared" ca="1" si="238"/>
        <v>0</v>
      </c>
      <c r="Y2931" s="64" t="str">
        <f t="shared" ca="1" si="239"/>
        <v/>
      </c>
    </row>
    <row r="2932" spans="1:25">
      <c r="A2932" s="2">
        <f>+Get_Data!A2931</f>
        <v>43697</v>
      </c>
      <c r="B2932">
        <f>+ROUND(Get_Data!B2931,5)</f>
        <v>127.45499</v>
      </c>
      <c r="C2932">
        <f>+ROUND(Get_Data!C2931,5)</f>
        <v>51.738120000000002</v>
      </c>
      <c r="D2932" s="4">
        <f t="shared" si="246"/>
        <v>2.46346</v>
      </c>
      <c r="E2932" s="22">
        <f t="shared" ca="1" si="225"/>
        <v>2.5669</v>
      </c>
      <c r="F2932" s="23">
        <f t="shared" ca="1" si="226"/>
        <v>2.4147799999999999</v>
      </c>
      <c r="G2932" s="10">
        <f t="shared" ca="1" si="227"/>
        <v>0</v>
      </c>
      <c r="H2932" s="12">
        <f t="shared" ca="1" si="228"/>
        <v>0</v>
      </c>
      <c r="I2932" s="11">
        <f t="shared" ca="1" si="229"/>
        <v>0</v>
      </c>
      <c r="J2932" s="11">
        <f t="shared" ca="1" si="230"/>
        <v>-1</v>
      </c>
      <c r="K2932" s="10">
        <f t="shared" ca="1" si="240"/>
        <v>124.49203</v>
      </c>
      <c r="L2932" s="11">
        <f t="shared" ca="1" si="241"/>
        <v>-50.960320000000003</v>
      </c>
      <c r="M2932" s="11">
        <f t="shared" ca="1" si="242"/>
        <v>2.44292</v>
      </c>
      <c r="N2932" s="15">
        <f t="shared" ca="1" si="243"/>
        <v>10</v>
      </c>
      <c r="O2932" s="15">
        <f t="shared" ca="1" si="244"/>
        <v>24</v>
      </c>
      <c r="P2932" s="16">
        <f t="shared" ca="1" si="245"/>
        <v>21.87261999999987</v>
      </c>
      <c r="Q2932" s="11" t="str">
        <f t="shared" ca="1" si="231"/>
        <v/>
      </c>
      <c r="R2932" s="11" t="str">
        <f t="shared" ca="1" si="232"/>
        <v/>
      </c>
      <c r="S2932" s="61" t="str">
        <f t="shared" ca="1" si="233"/>
        <v/>
      </c>
      <c r="T2932" s="11" t="str">
        <f t="shared" ca="1" si="234"/>
        <v/>
      </c>
      <c r="U2932" s="11" t="str">
        <f t="shared" ca="1" si="235"/>
        <v/>
      </c>
      <c r="V2932" s="18" t="str">
        <f t="shared" ca="1" si="236"/>
        <v/>
      </c>
      <c r="W2932" s="61" t="str">
        <f t="shared" ca="1" si="237"/>
        <v/>
      </c>
      <c r="X2932" s="61">
        <f t="shared" ca="1" si="238"/>
        <v>0</v>
      </c>
      <c r="Y2932" s="64" t="str">
        <f t="shared" ca="1" si="239"/>
        <v/>
      </c>
    </row>
    <row r="2933" spans="1:25">
      <c r="A2933" s="2">
        <f>+Get_Data!A2932</f>
        <v>43698</v>
      </c>
      <c r="B2933">
        <f>+ROUND(Get_Data!B2932,5)</f>
        <v>127.72521</v>
      </c>
      <c r="C2933">
        <f>+ROUND(Get_Data!C2932,5)</f>
        <v>51.949370000000002</v>
      </c>
      <c r="D2933" s="4">
        <f t="shared" si="246"/>
        <v>2.45865</v>
      </c>
      <c r="E2933" s="22">
        <f t="shared" ca="1" si="225"/>
        <v>2.5669</v>
      </c>
      <c r="F2933" s="23">
        <f t="shared" ca="1" si="226"/>
        <v>2.4147799999999999</v>
      </c>
      <c r="G2933" s="10">
        <f t="shared" ca="1" si="227"/>
        <v>0</v>
      </c>
      <c r="H2933" s="12">
        <f t="shared" ca="1" si="228"/>
        <v>0</v>
      </c>
      <c r="I2933" s="11">
        <f t="shared" ca="1" si="229"/>
        <v>0</v>
      </c>
      <c r="J2933" s="11">
        <f t="shared" ca="1" si="230"/>
        <v>-1</v>
      </c>
      <c r="K2933" s="10">
        <f t="shared" ca="1" si="240"/>
        <v>124.49203</v>
      </c>
      <c r="L2933" s="11">
        <f t="shared" ca="1" si="241"/>
        <v>-50.960320000000003</v>
      </c>
      <c r="M2933" s="11">
        <f t="shared" ca="1" si="242"/>
        <v>2.44292</v>
      </c>
      <c r="N2933" s="15">
        <f t="shared" ca="1" si="243"/>
        <v>10</v>
      </c>
      <c r="O2933" s="15">
        <f t="shared" ca="1" si="244"/>
        <v>24</v>
      </c>
      <c r="P2933" s="16">
        <f t="shared" ca="1" si="245"/>
        <v>21.87261999999987</v>
      </c>
      <c r="Q2933" s="11" t="str">
        <f t="shared" ca="1" si="231"/>
        <v/>
      </c>
      <c r="R2933" s="11" t="str">
        <f t="shared" ca="1" si="232"/>
        <v/>
      </c>
      <c r="S2933" s="61" t="str">
        <f t="shared" ca="1" si="233"/>
        <v/>
      </c>
      <c r="T2933" s="11" t="str">
        <f t="shared" ca="1" si="234"/>
        <v/>
      </c>
      <c r="U2933" s="11" t="str">
        <f t="shared" ca="1" si="235"/>
        <v/>
      </c>
      <c r="V2933" s="18" t="str">
        <f t="shared" ca="1" si="236"/>
        <v/>
      </c>
      <c r="W2933" s="61" t="str">
        <f t="shared" ca="1" si="237"/>
        <v/>
      </c>
      <c r="X2933" s="61">
        <f t="shared" ca="1" si="238"/>
        <v>0</v>
      </c>
      <c r="Y2933" s="64" t="str">
        <f t="shared" ca="1" si="239"/>
        <v/>
      </c>
    </row>
    <row r="2934" spans="1:25">
      <c r="A2934" s="2">
        <f>+Get_Data!A2933</f>
        <v>43699</v>
      </c>
      <c r="B2934">
        <f>+ROUND(Get_Data!B2933,5)</f>
        <v>128.03407000000001</v>
      </c>
      <c r="C2934">
        <f>+ROUND(Get_Data!C2933,5)</f>
        <v>52.323880000000003</v>
      </c>
      <c r="D2934" s="4">
        <f t="shared" si="246"/>
        <v>2.4469500000000002</v>
      </c>
      <c r="E2934" s="22">
        <f t="shared" ca="1" si="225"/>
        <v>2.55647</v>
      </c>
      <c r="F2934" s="23">
        <f t="shared" ca="1" si="226"/>
        <v>2.4147799999999999</v>
      </c>
      <c r="G2934" s="10">
        <f t="shared" ca="1" si="227"/>
        <v>0</v>
      </c>
      <c r="H2934" s="12">
        <f t="shared" ca="1" si="228"/>
        <v>0</v>
      </c>
      <c r="I2934" s="11">
        <f t="shared" ca="1" si="229"/>
        <v>0</v>
      </c>
      <c r="J2934" s="11">
        <f t="shared" ca="1" si="230"/>
        <v>-1</v>
      </c>
      <c r="K2934" s="10">
        <f t="shared" ca="1" si="240"/>
        <v>124.49203</v>
      </c>
      <c r="L2934" s="11">
        <f t="shared" ca="1" si="241"/>
        <v>-50.960320000000003</v>
      </c>
      <c r="M2934" s="11">
        <f t="shared" ca="1" si="242"/>
        <v>2.44292</v>
      </c>
      <c r="N2934" s="15">
        <f t="shared" ca="1" si="243"/>
        <v>10</v>
      </c>
      <c r="O2934" s="15">
        <f t="shared" ca="1" si="244"/>
        <v>24</v>
      </c>
      <c r="P2934" s="16">
        <f t="shared" ca="1" si="245"/>
        <v>21.87261999999987</v>
      </c>
      <c r="Q2934" s="11" t="str">
        <f t="shared" ca="1" si="231"/>
        <v/>
      </c>
      <c r="R2934" s="11" t="str">
        <f t="shared" ca="1" si="232"/>
        <v/>
      </c>
      <c r="S2934" s="61" t="str">
        <f t="shared" ca="1" si="233"/>
        <v/>
      </c>
      <c r="T2934" s="11" t="str">
        <f t="shared" ca="1" si="234"/>
        <v/>
      </c>
      <c r="U2934" s="11" t="str">
        <f t="shared" ca="1" si="235"/>
        <v/>
      </c>
      <c r="V2934" s="18" t="str">
        <f t="shared" ca="1" si="236"/>
        <v/>
      </c>
      <c r="W2934" s="61" t="str">
        <f t="shared" ca="1" si="237"/>
        <v/>
      </c>
      <c r="X2934" s="61">
        <f t="shared" ca="1" si="238"/>
        <v>0</v>
      </c>
      <c r="Y2934" s="64" t="str">
        <f t="shared" ca="1" si="239"/>
        <v/>
      </c>
    </row>
    <row r="2935" spans="1:25">
      <c r="A2935" s="2">
        <f>+Get_Data!A2934</f>
        <v>43700</v>
      </c>
      <c r="B2935">
        <f>+ROUND(Get_Data!B2934,5)</f>
        <v>125.7274</v>
      </c>
      <c r="C2935">
        <f>+ROUND(Get_Data!C2934,5)</f>
        <v>51.60369</v>
      </c>
      <c r="D2935" s="4">
        <f t="shared" si="246"/>
        <v>2.4363999999999999</v>
      </c>
      <c r="E2935" s="22">
        <f t="shared" ca="1" si="225"/>
        <v>2.55647</v>
      </c>
      <c r="F2935" s="23">
        <f t="shared" ca="1" si="226"/>
        <v>2.4147799999999999</v>
      </c>
      <c r="G2935" s="10">
        <f t="shared" ca="1" si="227"/>
        <v>0</v>
      </c>
      <c r="H2935" s="12">
        <f t="shared" ca="1" si="228"/>
        <v>0</v>
      </c>
      <c r="I2935" s="11">
        <f t="shared" ca="1" si="229"/>
        <v>0</v>
      </c>
      <c r="J2935" s="11">
        <f t="shared" ca="1" si="230"/>
        <v>-1</v>
      </c>
      <c r="K2935" s="10">
        <f t="shared" ca="1" si="240"/>
        <v>124.49203</v>
      </c>
      <c r="L2935" s="11">
        <f t="shared" ca="1" si="241"/>
        <v>-50.960320000000003</v>
      </c>
      <c r="M2935" s="11">
        <f t="shared" ca="1" si="242"/>
        <v>2.44292</v>
      </c>
      <c r="N2935" s="15">
        <f t="shared" ca="1" si="243"/>
        <v>10</v>
      </c>
      <c r="O2935" s="15">
        <f t="shared" ca="1" si="244"/>
        <v>24</v>
      </c>
      <c r="P2935" s="16">
        <f t="shared" ca="1" si="245"/>
        <v>21.87261999999987</v>
      </c>
      <c r="Q2935" s="11" t="str">
        <f t="shared" ca="1" si="231"/>
        <v/>
      </c>
      <c r="R2935" s="11" t="str">
        <f t="shared" ca="1" si="232"/>
        <v/>
      </c>
      <c r="S2935" s="61" t="str">
        <f t="shared" ca="1" si="233"/>
        <v/>
      </c>
      <c r="T2935" s="11" t="str">
        <f t="shared" ca="1" si="234"/>
        <v/>
      </c>
      <c r="U2935" s="11" t="str">
        <f t="shared" ca="1" si="235"/>
        <v/>
      </c>
      <c r="V2935" s="18" t="str">
        <f t="shared" ca="1" si="236"/>
        <v/>
      </c>
      <c r="W2935" s="61" t="str">
        <f t="shared" ca="1" si="237"/>
        <v/>
      </c>
      <c r="X2935" s="61">
        <f t="shared" ca="1" si="238"/>
        <v>0</v>
      </c>
      <c r="Y2935" s="64" t="str">
        <f t="shared" ca="1" si="239"/>
        <v/>
      </c>
    </row>
    <row r="2936" spans="1:25">
      <c r="A2936" s="2">
        <f>+Get_Data!A2935</f>
        <v>43703</v>
      </c>
      <c r="B2936">
        <f>+ROUND(Get_Data!B2935,5)</f>
        <v>129.07640000000001</v>
      </c>
      <c r="C2936">
        <f>+ROUND(Get_Data!C2935,5)</f>
        <v>52.37189</v>
      </c>
      <c r="D2936" s="4">
        <f t="shared" si="246"/>
        <v>2.46461</v>
      </c>
      <c r="E2936" s="22">
        <f t="shared" ca="1" si="225"/>
        <v>2.46461</v>
      </c>
      <c r="F2936" s="23">
        <f t="shared" ca="1" si="226"/>
        <v>2.4147799999999999</v>
      </c>
      <c r="G2936" s="10">
        <f t="shared" ca="1" si="227"/>
        <v>1</v>
      </c>
      <c r="H2936" s="12">
        <f t="shared" ca="1" si="228"/>
        <v>0</v>
      </c>
      <c r="I2936" s="11">
        <f t="shared" ca="1" si="229"/>
        <v>1</v>
      </c>
      <c r="J2936" s="11">
        <f t="shared" ca="1" si="230"/>
        <v>0</v>
      </c>
      <c r="K2936" s="10">
        <f t="shared" ca="1" si="240"/>
        <v>124.49203</v>
      </c>
      <c r="L2936" s="11">
        <f t="shared" ca="1" si="241"/>
        <v>-50.960320000000003</v>
      </c>
      <c r="M2936" s="11">
        <f t="shared" ca="1" si="242"/>
        <v>2.44292</v>
      </c>
      <c r="N2936" s="15">
        <f t="shared" ca="1" si="243"/>
        <v>10</v>
      </c>
      <c r="O2936" s="15">
        <f t="shared" ca="1" si="244"/>
        <v>24</v>
      </c>
      <c r="P2936" s="16">
        <f t="shared" ca="1" si="245"/>
        <v>21.87261999999987</v>
      </c>
      <c r="Q2936" s="11" t="str">
        <f t="shared" ca="1" si="231"/>
        <v/>
      </c>
      <c r="R2936" s="11" t="str">
        <f t="shared" ca="1" si="232"/>
        <v/>
      </c>
      <c r="S2936" s="61" t="str">
        <f t="shared" ca="1" si="233"/>
        <v/>
      </c>
      <c r="T2936" s="11" t="str">
        <f t="shared" ca="1" si="234"/>
        <v/>
      </c>
      <c r="U2936" s="11" t="str">
        <f t="shared" ca="1" si="235"/>
        <v/>
      </c>
      <c r="V2936" s="18" t="str">
        <f t="shared" ca="1" si="236"/>
        <v/>
      </c>
      <c r="W2936" s="61" t="str">
        <f t="shared" ca="1" si="237"/>
        <v/>
      </c>
      <c r="X2936" s="61">
        <f t="shared" ca="1" si="238"/>
        <v>0</v>
      </c>
      <c r="Y2936" s="64" t="str">
        <f t="shared" ca="1" si="239"/>
        <v/>
      </c>
    </row>
    <row r="2937" spans="1:25">
      <c r="A2937" s="2">
        <f>+Get_Data!A2936</f>
        <v>43704</v>
      </c>
      <c r="B2937">
        <f>+ROUND(Get_Data!B2936,5)</f>
        <v>130.06082000000001</v>
      </c>
      <c r="C2937">
        <f>+ROUND(Get_Data!C2936,5)</f>
        <v>52.544730000000001</v>
      </c>
      <c r="D2937" s="4">
        <f t="shared" si="246"/>
        <v>2.4752399999999999</v>
      </c>
      <c r="E2937" s="22">
        <f t="shared" ca="1" si="225"/>
        <v>2.4752399999999999</v>
      </c>
      <c r="F2937" s="23">
        <f t="shared" ca="1" si="226"/>
        <v>2.4147799999999999</v>
      </c>
      <c r="G2937" s="10">
        <f t="shared" ca="1" si="227"/>
        <v>1</v>
      </c>
      <c r="H2937" s="12">
        <f t="shared" ca="1" si="228"/>
        <v>0</v>
      </c>
      <c r="I2937" s="11">
        <f t="shared" ca="1" si="229"/>
        <v>1</v>
      </c>
      <c r="J2937" s="11">
        <f t="shared" ca="1" si="230"/>
        <v>1</v>
      </c>
      <c r="K2937" s="10" t="str">
        <f t="shared" ca="1" si="240"/>
        <v/>
      </c>
      <c r="L2937" s="11" t="str">
        <f t="shared" ca="1" si="241"/>
        <v/>
      </c>
      <c r="M2937" s="11" t="str">
        <f t="shared" ca="1" si="242"/>
        <v/>
      </c>
      <c r="N2937" s="15" t="str">
        <f t="shared" ca="1" si="243"/>
        <v/>
      </c>
      <c r="O2937" s="15" t="str">
        <f t="shared" ca="1" si="244"/>
        <v/>
      </c>
      <c r="P2937" s="16" t="str">
        <f t="shared" ca="1" si="245"/>
        <v/>
      </c>
      <c r="Q2937" s="11">
        <f t="shared" ca="1" si="231"/>
        <v>130.06082000000001</v>
      </c>
      <c r="R2937" s="11">
        <f t="shared" ca="1" si="232"/>
        <v>52.544730000000001</v>
      </c>
      <c r="S2937" s="61">
        <f t="shared" ca="1" si="233"/>
        <v>2.4752399999999999</v>
      </c>
      <c r="T2937" s="11">
        <f t="shared" ca="1" si="234"/>
        <v>10</v>
      </c>
      <c r="U2937" s="11">
        <f t="shared" ca="1" si="235"/>
        <v>24</v>
      </c>
      <c r="V2937" s="18">
        <f t="shared" ca="1" si="236"/>
        <v>-55.68790000000007</v>
      </c>
      <c r="W2937" s="61">
        <f t="shared" ca="1" si="237"/>
        <v>38.02583999999996</v>
      </c>
      <c r="X2937" s="61">
        <f t="shared" ca="1" si="238"/>
        <v>-17.66206000000011</v>
      </c>
      <c r="Y2937" s="64">
        <f t="shared" ca="1" si="239"/>
        <v>-1.400557518644917E-2</v>
      </c>
    </row>
    <row r="2938" spans="1:25">
      <c r="A2938" s="2">
        <f>+Get_Data!A2937</f>
        <v>43705</v>
      </c>
      <c r="B2938">
        <f>+ROUND(Get_Data!B2937,5)</f>
        <v>130.47585000000001</v>
      </c>
      <c r="C2938">
        <f>+ROUND(Get_Data!C2937,5)</f>
        <v>52.919229999999999</v>
      </c>
      <c r="D2938" s="4">
        <f t="shared" si="246"/>
        <v>2.46557</v>
      </c>
      <c r="E2938" s="22">
        <f t="shared" ca="1" si="225"/>
        <v>2.4752399999999999</v>
      </c>
      <c r="F2938" s="23">
        <f t="shared" ca="1" si="226"/>
        <v>2.415</v>
      </c>
      <c r="G2938" s="10">
        <f t="shared" ca="1" si="227"/>
        <v>0</v>
      </c>
      <c r="H2938" s="12">
        <f t="shared" ca="1" si="228"/>
        <v>0</v>
      </c>
      <c r="I2938" s="11">
        <f t="shared" ca="1" si="229"/>
        <v>0</v>
      </c>
      <c r="J2938" s="11">
        <f t="shared" ca="1" si="230"/>
        <v>1</v>
      </c>
      <c r="K2938" s="10">
        <f t="shared" ca="1" si="240"/>
        <v>-130.47585000000001</v>
      </c>
      <c r="L2938" s="11">
        <f t="shared" ca="1" si="241"/>
        <v>52.919229999999999</v>
      </c>
      <c r="M2938" s="11">
        <f t="shared" ca="1" si="242"/>
        <v>2.46557</v>
      </c>
      <c r="N2938" s="15">
        <f t="shared" ca="1" si="243"/>
        <v>10</v>
      </c>
      <c r="O2938" s="15">
        <f t="shared" ca="1" si="244"/>
        <v>25</v>
      </c>
      <c r="P2938" s="16">
        <f t="shared" ca="1" si="245"/>
        <v>18.222249999999804</v>
      </c>
      <c r="Q2938" s="11" t="str">
        <f t="shared" ca="1" si="231"/>
        <v/>
      </c>
      <c r="R2938" s="11" t="str">
        <f t="shared" ca="1" si="232"/>
        <v/>
      </c>
      <c r="S2938" s="61" t="str">
        <f t="shared" ca="1" si="233"/>
        <v/>
      </c>
      <c r="T2938" s="11" t="str">
        <f t="shared" ca="1" si="234"/>
        <v/>
      </c>
      <c r="U2938" s="11" t="str">
        <f t="shared" ca="1" si="235"/>
        <v/>
      </c>
      <c r="V2938" s="18" t="str">
        <f t="shared" ca="1" si="236"/>
        <v/>
      </c>
      <c r="W2938" s="61" t="str">
        <f t="shared" ca="1" si="237"/>
        <v/>
      </c>
      <c r="X2938" s="61">
        <f t="shared" ca="1" si="238"/>
        <v>0</v>
      </c>
      <c r="Y2938" s="64" t="str">
        <f t="shared" ca="1" si="239"/>
        <v/>
      </c>
    </row>
    <row r="2939" spans="1:25">
      <c r="A2939" s="2">
        <f>+Get_Data!A2938</f>
        <v>43706</v>
      </c>
      <c r="B2939">
        <f>+ROUND(Get_Data!B2938,5)</f>
        <v>131.27691999999999</v>
      </c>
      <c r="C2939">
        <f>+ROUND(Get_Data!C2938,5)</f>
        <v>52.861609999999999</v>
      </c>
      <c r="D2939" s="4">
        <f t="shared" si="246"/>
        <v>2.4834100000000001</v>
      </c>
      <c r="E2939" s="22">
        <f t="shared" ca="1" si="225"/>
        <v>2.4834100000000001</v>
      </c>
      <c r="F2939" s="23">
        <f t="shared" ca="1" si="226"/>
        <v>2.415</v>
      </c>
      <c r="G2939" s="10">
        <f t="shared" ca="1" si="227"/>
        <v>1</v>
      </c>
      <c r="H2939" s="12">
        <f t="shared" ca="1" si="228"/>
        <v>0</v>
      </c>
      <c r="I2939" s="11">
        <f t="shared" ca="1" si="229"/>
        <v>1</v>
      </c>
      <c r="J2939" s="11">
        <f t="shared" ca="1" si="230"/>
        <v>2</v>
      </c>
      <c r="K2939" s="10">
        <f t="shared" ca="1" si="240"/>
        <v>-130.47585000000001</v>
      </c>
      <c r="L2939" s="11">
        <f t="shared" ca="1" si="241"/>
        <v>52.919229999999999</v>
      </c>
      <c r="M2939" s="11">
        <f t="shared" ca="1" si="242"/>
        <v>2.46557</v>
      </c>
      <c r="N2939" s="15">
        <f t="shared" ca="1" si="243"/>
        <v>10</v>
      </c>
      <c r="O2939" s="15">
        <f t="shared" ca="1" si="244"/>
        <v>25</v>
      </c>
      <c r="P2939" s="16">
        <f t="shared" ca="1" si="245"/>
        <v>18.222249999999804</v>
      </c>
      <c r="Q2939" s="11" t="str">
        <f t="shared" ca="1" si="231"/>
        <v/>
      </c>
      <c r="R2939" s="11" t="str">
        <f t="shared" ca="1" si="232"/>
        <v/>
      </c>
      <c r="S2939" s="61" t="str">
        <f t="shared" ca="1" si="233"/>
        <v/>
      </c>
      <c r="T2939" s="11" t="str">
        <f t="shared" ca="1" si="234"/>
        <v/>
      </c>
      <c r="U2939" s="11" t="str">
        <f t="shared" ca="1" si="235"/>
        <v/>
      </c>
      <c r="V2939" s="18" t="str">
        <f t="shared" ca="1" si="236"/>
        <v/>
      </c>
      <c r="W2939" s="61" t="str">
        <f t="shared" ca="1" si="237"/>
        <v/>
      </c>
      <c r="X2939" s="61">
        <f t="shared" ca="1" si="238"/>
        <v>0</v>
      </c>
      <c r="Y2939" s="64" t="str">
        <f t="shared" ca="1" si="239"/>
        <v/>
      </c>
    </row>
    <row r="2940" spans="1:25">
      <c r="A2940" s="2">
        <f>+Get_Data!A2939</f>
        <v>43707</v>
      </c>
      <c r="B2940">
        <f>+ROUND(Get_Data!B2939,5)</f>
        <v>131.96213</v>
      </c>
      <c r="C2940">
        <f>+ROUND(Get_Data!C2939,5)</f>
        <v>52.85201</v>
      </c>
      <c r="D2940" s="4">
        <f t="shared" si="246"/>
        <v>2.49682</v>
      </c>
      <c r="E2940" s="22">
        <f t="shared" ca="1" si="225"/>
        <v>2.49682</v>
      </c>
      <c r="F2940" s="23">
        <f t="shared" ca="1" si="226"/>
        <v>2.415</v>
      </c>
      <c r="G2940" s="10">
        <f t="shared" ca="1" si="227"/>
        <v>1</v>
      </c>
      <c r="H2940" s="12">
        <f t="shared" ca="1" si="228"/>
        <v>0</v>
      </c>
      <c r="I2940" s="11">
        <f t="shared" ca="1" si="229"/>
        <v>1</v>
      </c>
      <c r="J2940" s="11">
        <f t="shared" ca="1" si="230"/>
        <v>0</v>
      </c>
      <c r="K2940" s="10">
        <f t="shared" ca="1" si="240"/>
        <v>-130.47585000000001</v>
      </c>
      <c r="L2940" s="11">
        <f t="shared" ca="1" si="241"/>
        <v>52.919229999999999</v>
      </c>
      <c r="M2940" s="11">
        <f t="shared" ca="1" si="242"/>
        <v>2.46557</v>
      </c>
      <c r="N2940" s="15">
        <f t="shared" ca="1" si="243"/>
        <v>10</v>
      </c>
      <c r="O2940" s="15">
        <f t="shared" ca="1" si="244"/>
        <v>25</v>
      </c>
      <c r="P2940" s="16">
        <f t="shared" ca="1" si="245"/>
        <v>18.222249999999804</v>
      </c>
      <c r="Q2940" s="11" t="str">
        <f t="shared" ca="1" si="231"/>
        <v/>
      </c>
      <c r="R2940" s="11" t="str">
        <f t="shared" ca="1" si="232"/>
        <v/>
      </c>
      <c r="S2940" s="61" t="str">
        <f t="shared" ca="1" si="233"/>
        <v/>
      </c>
      <c r="T2940" s="11" t="str">
        <f t="shared" ca="1" si="234"/>
        <v/>
      </c>
      <c r="U2940" s="11" t="str">
        <f t="shared" ca="1" si="235"/>
        <v/>
      </c>
      <c r="V2940" s="18" t="str">
        <f t="shared" ca="1" si="236"/>
        <v/>
      </c>
      <c r="W2940" s="61" t="str">
        <f t="shared" ca="1" si="237"/>
        <v/>
      </c>
      <c r="X2940" s="61">
        <f t="shared" ca="1" si="238"/>
        <v>0</v>
      </c>
      <c r="Y2940" s="64" t="str">
        <f t="shared" ca="1" si="239"/>
        <v/>
      </c>
    </row>
    <row r="2941" spans="1:25">
      <c r="A2941" s="2">
        <f>+Get_Data!A2940</f>
        <v>43711</v>
      </c>
      <c r="B2941">
        <f>+ROUND(Get_Data!B2940,5)</f>
        <v>132.66668999999999</v>
      </c>
      <c r="C2941">
        <f>+ROUND(Get_Data!C2940,5)</f>
        <v>53.101680000000002</v>
      </c>
      <c r="D2941" s="4">
        <f t="shared" si="246"/>
        <v>2.4983499999999998</v>
      </c>
      <c r="E2941" s="22">
        <f t="shared" ca="1" si="225"/>
        <v>2.4983499999999998</v>
      </c>
      <c r="F2941" s="23">
        <f t="shared" ca="1" si="226"/>
        <v>2.415</v>
      </c>
      <c r="G2941" s="10">
        <f t="shared" ca="1" si="227"/>
        <v>1</v>
      </c>
      <c r="H2941" s="12">
        <f t="shared" ca="1" si="228"/>
        <v>0</v>
      </c>
      <c r="I2941" s="11">
        <f t="shared" ca="1" si="229"/>
        <v>1</v>
      </c>
      <c r="J2941" s="11">
        <f t="shared" ca="1" si="230"/>
        <v>1</v>
      </c>
      <c r="K2941" s="10" t="str">
        <f t="shared" ca="1" si="240"/>
        <v/>
      </c>
      <c r="L2941" s="11" t="str">
        <f t="shared" ca="1" si="241"/>
        <v/>
      </c>
      <c r="M2941" s="11" t="str">
        <f t="shared" ca="1" si="242"/>
        <v/>
      </c>
      <c r="N2941" s="15" t="str">
        <f t="shared" ca="1" si="243"/>
        <v/>
      </c>
      <c r="O2941" s="15" t="str">
        <f t="shared" ca="1" si="244"/>
        <v/>
      </c>
      <c r="P2941" s="16" t="str">
        <f t="shared" ca="1" si="245"/>
        <v/>
      </c>
      <c r="Q2941" s="11">
        <f t="shared" ca="1" si="231"/>
        <v>132.66668999999999</v>
      </c>
      <c r="R2941" s="11">
        <f t="shared" ca="1" si="232"/>
        <v>53.101680000000002</v>
      </c>
      <c r="S2941" s="61">
        <f t="shared" ca="1" si="233"/>
        <v>2.4983499999999998</v>
      </c>
      <c r="T2941" s="11">
        <f t="shared" ca="1" si="234"/>
        <v>10</v>
      </c>
      <c r="U2941" s="11">
        <f t="shared" ca="1" si="235"/>
        <v>25</v>
      </c>
      <c r="V2941" s="18">
        <f t="shared" ca="1" si="236"/>
        <v>-2631.4254000000001</v>
      </c>
      <c r="W2941" s="61">
        <f t="shared" ca="1" si="237"/>
        <v>2650.5227500000001</v>
      </c>
      <c r="X2941" s="61">
        <f t="shared" ca="1" si="238"/>
        <v>19.097350000000006</v>
      </c>
      <c r="Y2941" s="64">
        <f t="shared" ca="1" si="239"/>
        <v>1.4385495901447942E-2</v>
      </c>
    </row>
    <row r="2942" spans="1:25">
      <c r="A2942" s="2">
        <f>+Get_Data!A2941</f>
        <v>43712</v>
      </c>
      <c r="B2942">
        <f>+ROUND(Get_Data!B2941,5)</f>
        <v>134.29774</v>
      </c>
      <c r="C2942">
        <f>+ROUND(Get_Data!C2941,5)</f>
        <v>53.552990000000001</v>
      </c>
      <c r="D2942" s="4">
        <f t="shared" si="246"/>
        <v>2.5077500000000001</v>
      </c>
      <c r="E2942" s="22">
        <f t="shared" ca="1" si="225"/>
        <v>2.5077500000000001</v>
      </c>
      <c r="F2942" s="23">
        <f t="shared" ca="1" si="226"/>
        <v>2.415</v>
      </c>
      <c r="G2942" s="10">
        <f t="shared" ca="1" si="227"/>
        <v>1</v>
      </c>
      <c r="H2942" s="12">
        <f t="shared" ca="1" si="228"/>
        <v>0</v>
      </c>
      <c r="I2942" s="11">
        <f t="shared" ca="1" si="229"/>
        <v>1</v>
      </c>
      <c r="J2942" s="11">
        <f t="shared" ca="1" si="230"/>
        <v>2</v>
      </c>
      <c r="K2942" s="10">
        <f t="shared" ca="1" si="240"/>
        <v>-134.29774</v>
      </c>
      <c r="L2942" s="11">
        <f t="shared" ca="1" si="241"/>
        <v>53.552990000000001</v>
      </c>
      <c r="M2942" s="11">
        <f t="shared" ca="1" si="242"/>
        <v>2.5077500000000001</v>
      </c>
      <c r="N2942" s="15">
        <f t="shared" ca="1" si="243"/>
        <v>10</v>
      </c>
      <c r="O2942" s="15">
        <f t="shared" ca="1" si="244"/>
        <v>25</v>
      </c>
      <c r="P2942" s="16">
        <f t="shared" ca="1" si="245"/>
        <v>-4.1526499999999942</v>
      </c>
      <c r="Q2942" s="11" t="str">
        <f t="shared" ca="1" si="231"/>
        <v/>
      </c>
      <c r="R2942" s="11" t="str">
        <f t="shared" ca="1" si="232"/>
        <v/>
      </c>
      <c r="S2942" s="61" t="str">
        <f t="shared" ca="1" si="233"/>
        <v/>
      </c>
      <c r="T2942" s="11" t="str">
        <f t="shared" ca="1" si="234"/>
        <v/>
      </c>
      <c r="U2942" s="11" t="str">
        <f t="shared" ca="1" si="235"/>
        <v/>
      </c>
      <c r="V2942" s="18" t="str">
        <f t="shared" ca="1" si="236"/>
        <v/>
      </c>
      <c r="W2942" s="61" t="str">
        <f t="shared" ca="1" si="237"/>
        <v/>
      </c>
      <c r="X2942" s="61">
        <f t="shared" ca="1" si="238"/>
        <v>0</v>
      </c>
      <c r="Y2942" s="64" t="str">
        <f t="shared" ca="1" si="239"/>
        <v/>
      </c>
    </row>
    <row r="2943" spans="1:25">
      <c r="A2943" s="2">
        <f>+Get_Data!A2942</f>
        <v>43713</v>
      </c>
      <c r="B2943">
        <f>+ROUND(Get_Data!B2942,5)</f>
        <v>132.14519999999999</v>
      </c>
      <c r="C2943">
        <f>+ROUND(Get_Data!C2942,5)</f>
        <v>52.928829999999998</v>
      </c>
      <c r="D2943" s="4">
        <f t="shared" si="246"/>
        <v>2.4966599999999999</v>
      </c>
      <c r="E2943" s="22">
        <f t="shared" ca="1" si="225"/>
        <v>2.5077500000000001</v>
      </c>
      <c r="F2943" s="23">
        <f t="shared" ca="1" si="226"/>
        <v>2.415</v>
      </c>
      <c r="G2943" s="10">
        <f t="shared" ca="1" si="227"/>
        <v>0</v>
      </c>
      <c r="H2943" s="12">
        <f t="shared" ca="1" si="228"/>
        <v>0</v>
      </c>
      <c r="I2943" s="11">
        <f t="shared" ca="1" si="229"/>
        <v>0</v>
      </c>
      <c r="J2943" s="11">
        <f t="shared" ca="1" si="230"/>
        <v>2</v>
      </c>
      <c r="K2943" s="10">
        <f t="shared" ca="1" si="240"/>
        <v>-134.29774</v>
      </c>
      <c r="L2943" s="11">
        <f t="shared" ca="1" si="241"/>
        <v>53.552990000000001</v>
      </c>
      <c r="M2943" s="11">
        <f t="shared" ca="1" si="242"/>
        <v>2.5077500000000001</v>
      </c>
      <c r="N2943" s="15">
        <f t="shared" ca="1" si="243"/>
        <v>10</v>
      </c>
      <c r="O2943" s="15">
        <f t="shared" ca="1" si="244"/>
        <v>25</v>
      </c>
      <c r="P2943" s="16">
        <f t="shared" ca="1" si="245"/>
        <v>-4.1526499999999942</v>
      </c>
      <c r="Q2943" s="11" t="str">
        <f t="shared" ca="1" si="231"/>
        <v/>
      </c>
      <c r="R2943" s="11" t="str">
        <f t="shared" ca="1" si="232"/>
        <v/>
      </c>
      <c r="S2943" s="61" t="str">
        <f t="shared" ca="1" si="233"/>
        <v/>
      </c>
      <c r="T2943" s="11" t="str">
        <f t="shared" ca="1" si="234"/>
        <v/>
      </c>
      <c r="U2943" s="11" t="str">
        <f t="shared" ca="1" si="235"/>
        <v/>
      </c>
      <c r="V2943" s="18" t="str">
        <f t="shared" ca="1" si="236"/>
        <v/>
      </c>
      <c r="W2943" s="61" t="str">
        <f t="shared" ca="1" si="237"/>
        <v/>
      </c>
      <c r="X2943" s="61">
        <f t="shared" ca="1" si="238"/>
        <v>0</v>
      </c>
      <c r="Y2943" s="64" t="str">
        <f t="shared" ca="1" si="239"/>
        <v/>
      </c>
    </row>
    <row r="2944" spans="1:25">
      <c r="A2944" s="2">
        <f>+Get_Data!A2943</f>
        <v>43714</v>
      </c>
      <c r="B2944">
        <f>+ROUND(Get_Data!B2943,5)</f>
        <v>133.49600000000001</v>
      </c>
      <c r="C2944">
        <f>+ROUND(Get_Data!C2943,5)</f>
        <v>53.03445</v>
      </c>
      <c r="D2944" s="4">
        <f t="shared" si="246"/>
        <v>2.5171600000000001</v>
      </c>
      <c r="E2944" s="22">
        <f t="shared" ca="1" si="225"/>
        <v>2.5171600000000001</v>
      </c>
      <c r="F2944" s="23">
        <f t="shared" ca="1" si="226"/>
        <v>2.415</v>
      </c>
      <c r="G2944" s="10">
        <f t="shared" ca="1" si="227"/>
        <v>1</v>
      </c>
      <c r="H2944" s="12">
        <f t="shared" ca="1" si="228"/>
        <v>0</v>
      </c>
      <c r="I2944" s="11">
        <f t="shared" ca="1" si="229"/>
        <v>1</v>
      </c>
      <c r="J2944" s="11">
        <f t="shared" ca="1" si="230"/>
        <v>0</v>
      </c>
      <c r="K2944" s="10">
        <f t="shared" ca="1" si="240"/>
        <v>-134.29774</v>
      </c>
      <c r="L2944" s="11">
        <f t="shared" ca="1" si="241"/>
        <v>53.552990000000001</v>
      </c>
      <c r="M2944" s="11">
        <f t="shared" ca="1" si="242"/>
        <v>2.5077500000000001</v>
      </c>
      <c r="N2944" s="15">
        <f t="shared" ca="1" si="243"/>
        <v>10</v>
      </c>
      <c r="O2944" s="15">
        <f t="shared" ca="1" si="244"/>
        <v>25</v>
      </c>
      <c r="P2944" s="16">
        <f t="shared" ca="1" si="245"/>
        <v>-4.1526499999999942</v>
      </c>
      <c r="Q2944" s="11" t="str">
        <f t="shared" ca="1" si="231"/>
        <v/>
      </c>
      <c r="R2944" s="11" t="str">
        <f t="shared" ca="1" si="232"/>
        <v/>
      </c>
      <c r="S2944" s="61" t="str">
        <f t="shared" ca="1" si="233"/>
        <v/>
      </c>
      <c r="T2944" s="11" t="str">
        <f t="shared" ca="1" si="234"/>
        <v/>
      </c>
      <c r="U2944" s="11" t="str">
        <f t="shared" ca="1" si="235"/>
        <v/>
      </c>
      <c r="V2944" s="18" t="str">
        <f t="shared" ca="1" si="236"/>
        <v/>
      </c>
      <c r="W2944" s="61" t="str">
        <f t="shared" ca="1" si="237"/>
        <v/>
      </c>
      <c r="X2944" s="61">
        <f t="shared" ca="1" si="238"/>
        <v>0</v>
      </c>
      <c r="Y2944" s="64" t="str">
        <f t="shared" ca="1" si="239"/>
        <v/>
      </c>
    </row>
    <row r="2945" spans="1:25">
      <c r="A2945" s="2">
        <f>+Get_Data!A2944</f>
        <v>43717</v>
      </c>
      <c r="B2945">
        <f>+ROUND(Get_Data!B2944,5)</f>
        <v>132.55333999999999</v>
      </c>
      <c r="C2945">
        <f>+ROUND(Get_Data!C2944,5)</f>
        <v>52.352679999999999</v>
      </c>
      <c r="D2945" s="4">
        <f t="shared" si="246"/>
        <v>2.53193</v>
      </c>
      <c r="E2945" s="22">
        <f t="shared" ca="1" si="225"/>
        <v>2.53193</v>
      </c>
      <c r="F2945" s="23">
        <f t="shared" ca="1" si="226"/>
        <v>2.415</v>
      </c>
      <c r="G2945" s="10">
        <f t="shared" ca="1" si="227"/>
        <v>1</v>
      </c>
      <c r="H2945" s="12">
        <f t="shared" ca="1" si="228"/>
        <v>0</v>
      </c>
      <c r="I2945" s="11">
        <f t="shared" ca="1" si="229"/>
        <v>1</v>
      </c>
      <c r="J2945" s="11">
        <f t="shared" ca="1" si="230"/>
        <v>1</v>
      </c>
      <c r="K2945" s="10" t="str">
        <f t="shared" ca="1" si="240"/>
        <v/>
      </c>
      <c r="L2945" s="11" t="str">
        <f t="shared" ca="1" si="241"/>
        <v/>
      </c>
      <c r="M2945" s="11" t="str">
        <f t="shared" ca="1" si="242"/>
        <v/>
      </c>
      <c r="N2945" s="15" t="str">
        <f t="shared" ca="1" si="243"/>
        <v/>
      </c>
      <c r="O2945" s="15" t="str">
        <f t="shared" ca="1" si="244"/>
        <v/>
      </c>
      <c r="P2945" s="16" t="str">
        <f t="shared" ca="1" si="245"/>
        <v/>
      </c>
      <c r="Q2945" s="11">
        <f t="shared" ca="1" si="231"/>
        <v>132.55333999999999</v>
      </c>
      <c r="R2945" s="11">
        <f t="shared" ca="1" si="232"/>
        <v>52.352679999999999</v>
      </c>
      <c r="S2945" s="61">
        <f t="shared" ca="1" si="233"/>
        <v>2.53193</v>
      </c>
      <c r="T2945" s="11">
        <f t="shared" ca="1" si="234"/>
        <v>10</v>
      </c>
      <c r="U2945" s="11">
        <f t="shared" ca="1" si="235"/>
        <v>25</v>
      </c>
      <c r="V2945" s="18">
        <f t="shared" ca="1" si="236"/>
        <v>-2668.5108</v>
      </c>
      <c r="W2945" s="61">
        <f t="shared" ca="1" si="237"/>
        <v>2647.6417500000002</v>
      </c>
      <c r="X2945" s="61">
        <f t="shared" ca="1" si="238"/>
        <v>-20.869049999999788</v>
      </c>
      <c r="Y2945" s="64">
        <f t="shared" ca="1" si="239"/>
        <v>-1.5944971680532716E-2</v>
      </c>
    </row>
    <row r="2946" spans="1:25">
      <c r="A2946" s="2">
        <f>+Get_Data!A2945</f>
        <v>43718</v>
      </c>
      <c r="B2946">
        <f>+ROUND(Get_Data!B2945,5)</f>
        <v>132.02859000000001</v>
      </c>
      <c r="C2946">
        <f>+ROUND(Get_Data!C2945,5)</f>
        <v>52.237459999999999</v>
      </c>
      <c r="D2946" s="4">
        <f t="shared" si="246"/>
        <v>2.5274700000000001</v>
      </c>
      <c r="E2946" s="22">
        <f t="shared" ca="1" si="225"/>
        <v>2.53193</v>
      </c>
      <c r="F2946" s="23">
        <f t="shared" ca="1" si="226"/>
        <v>2.415</v>
      </c>
      <c r="G2946" s="10">
        <f t="shared" ca="1" si="227"/>
        <v>0</v>
      </c>
      <c r="H2946" s="12">
        <f t="shared" ca="1" si="228"/>
        <v>0</v>
      </c>
      <c r="I2946" s="11">
        <f t="shared" ca="1" si="229"/>
        <v>0</v>
      </c>
      <c r="J2946" s="11">
        <f t="shared" ca="1" si="230"/>
        <v>1</v>
      </c>
      <c r="K2946" s="10">
        <f t="shared" ca="1" si="240"/>
        <v>-132.02859000000001</v>
      </c>
      <c r="L2946" s="11">
        <f t="shared" ca="1" si="241"/>
        <v>52.237459999999999</v>
      </c>
      <c r="M2946" s="11">
        <f t="shared" ca="1" si="242"/>
        <v>2.5274700000000001</v>
      </c>
      <c r="N2946" s="15">
        <f t="shared" ca="1" si="243"/>
        <v>10</v>
      </c>
      <c r="O2946" s="15">
        <f t="shared" ca="1" si="244"/>
        <v>25</v>
      </c>
      <c r="P2946" s="16">
        <f t="shared" ca="1" si="245"/>
        <v>-14.34940000000006</v>
      </c>
      <c r="Q2946" s="11" t="str">
        <f t="shared" ca="1" si="231"/>
        <v/>
      </c>
      <c r="R2946" s="11" t="str">
        <f t="shared" ca="1" si="232"/>
        <v/>
      </c>
      <c r="S2946" s="61" t="str">
        <f t="shared" ca="1" si="233"/>
        <v/>
      </c>
      <c r="T2946" s="11" t="str">
        <f t="shared" ca="1" si="234"/>
        <v/>
      </c>
      <c r="U2946" s="11" t="str">
        <f t="shared" ca="1" si="235"/>
        <v/>
      </c>
      <c r="V2946" s="18" t="str">
        <f t="shared" ca="1" si="236"/>
        <v/>
      </c>
      <c r="W2946" s="61" t="str">
        <f t="shared" ca="1" si="237"/>
        <v/>
      </c>
      <c r="X2946" s="61">
        <f t="shared" ca="1" si="238"/>
        <v>0</v>
      </c>
      <c r="Y2946" s="64" t="str">
        <f t="shared" ca="1" si="239"/>
        <v/>
      </c>
    </row>
    <row r="2947" spans="1:25">
      <c r="A2947" s="2">
        <f>+Get_Data!A2946</f>
        <v>43719</v>
      </c>
      <c r="B2947">
        <f>+ROUND(Get_Data!B2946,5)</f>
        <v>132.5145</v>
      </c>
      <c r="C2947">
        <f>+ROUND(Get_Data!C2946,5)</f>
        <v>52.592739999999999</v>
      </c>
      <c r="D2947" s="4">
        <f t="shared" si="246"/>
        <v>2.5196299999999998</v>
      </c>
      <c r="E2947" s="22">
        <f t="shared" ca="1" si="225"/>
        <v>2.53193</v>
      </c>
      <c r="F2947" s="23">
        <f t="shared" ca="1" si="226"/>
        <v>2.415</v>
      </c>
      <c r="G2947" s="10">
        <f t="shared" ca="1" si="227"/>
        <v>0</v>
      </c>
      <c r="H2947" s="12">
        <f t="shared" ca="1" si="228"/>
        <v>0</v>
      </c>
      <c r="I2947" s="11">
        <f t="shared" ca="1" si="229"/>
        <v>0</v>
      </c>
      <c r="J2947" s="11">
        <f t="shared" ca="1" si="230"/>
        <v>1</v>
      </c>
      <c r="K2947" s="10">
        <f t="shared" ca="1" si="240"/>
        <v>-132.02859000000001</v>
      </c>
      <c r="L2947" s="11">
        <f t="shared" ca="1" si="241"/>
        <v>52.237459999999999</v>
      </c>
      <c r="M2947" s="11">
        <f t="shared" ca="1" si="242"/>
        <v>2.5274700000000001</v>
      </c>
      <c r="N2947" s="15">
        <f t="shared" ca="1" si="243"/>
        <v>10</v>
      </c>
      <c r="O2947" s="15">
        <f t="shared" ca="1" si="244"/>
        <v>25</v>
      </c>
      <c r="P2947" s="16">
        <f t="shared" ca="1" si="245"/>
        <v>-14.34940000000006</v>
      </c>
      <c r="Q2947" s="11" t="str">
        <f t="shared" ca="1" si="231"/>
        <v/>
      </c>
      <c r="R2947" s="11" t="str">
        <f t="shared" ca="1" si="232"/>
        <v/>
      </c>
      <c r="S2947" s="61" t="str">
        <f t="shared" ca="1" si="233"/>
        <v/>
      </c>
      <c r="T2947" s="11" t="str">
        <f t="shared" ca="1" si="234"/>
        <v/>
      </c>
      <c r="U2947" s="11" t="str">
        <f t="shared" ca="1" si="235"/>
        <v/>
      </c>
      <c r="V2947" s="18" t="str">
        <f t="shared" ca="1" si="236"/>
        <v/>
      </c>
      <c r="W2947" s="61" t="str">
        <f t="shared" ca="1" si="237"/>
        <v/>
      </c>
      <c r="X2947" s="61">
        <f t="shared" ca="1" si="238"/>
        <v>0</v>
      </c>
      <c r="Y2947" s="64" t="str">
        <f t="shared" ca="1" si="239"/>
        <v/>
      </c>
    </row>
    <row r="2948" spans="1:25">
      <c r="A2948" s="2">
        <f>+Get_Data!A2947</f>
        <v>43720</v>
      </c>
      <c r="B2948">
        <f>+ROUND(Get_Data!B2947,5)</f>
        <v>133.41827000000001</v>
      </c>
      <c r="C2948">
        <f>+ROUND(Get_Data!C2947,5)</f>
        <v>52.919229999999999</v>
      </c>
      <c r="D2948" s="4">
        <f t="shared" si="246"/>
        <v>2.5211700000000001</v>
      </c>
      <c r="E2948" s="22">
        <f t="shared" ca="1" si="225"/>
        <v>2.53193</v>
      </c>
      <c r="F2948" s="23">
        <f t="shared" ca="1" si="226"/>
        <v>2.4195799999999998</v>
      </c>
      <c r="G2948" s="10">
        <f t="shared" ca="1" si="227"/>
        <v>0</v>
      </c>
      <c r="H2948" s="12">
        <f t="shared" ca="1" si="228"/>
        <v>0</v>
      </c>
      <c r="I2948" s="11">
        <f t="shared" ca="1" si="229"/>
        <v>0</v>
      </c>
      <c r="J2948" s="11">
        <f t="shared" ca="1" si="230"/>
        <v>1</v>
      </c>
      <c r="K2948" s="10">
        <f t="shared" ca="1" si="240"/>
        <v>-132.02859000000001</v>
      </c>
      <c r="L2948" s="11">
        <f t="shared" ca="1" si="241"/>
        <v>52.237459999999999</v>
      </c>
      <c r="M2948" s="11">
        <f t="shared" ca="1" si="242"/>
        <v>2.5274700000000001</v>
      </c>
      <c r="N2948" s="15">
        <f t="shared" ca="1" si="243"/>
        <v>10</v>
      </c>
      <c r="O2948" s="15">
        <f t="shared" ca="1" si="244"/>
        <v>25</v>
      </c>
      <c r="P2948" s="16">
        <f t="shared" ca="1" si="245"/>
        <v>-14.34940000000006</v>
      </c>
      <c r="Q2948" s="11" t="str">
        <f t="shared" ca="1" si="231"/>
        <v/>
      </c>
      <c r="R2948" s="11" t="str">
        <f t="shared" ca="1" si="232"/>
        <v/>
      </c>
      <c r="S2948" s="61" t="str">
        <f t="shared" ca="1" si="233"/>
        <v/>
      </c>
      <c r="T2948" s="11" t="str">
        <f t="shared" ca="1" si="234"/>
        <v/>
      </c>
      <c r="U2948" s="11" t="str">
        <f t="shared" ca="1" si="235"/>
        <v/>
      </c>
      <c r="V2948" s="18" t="str">
        <f t="shared" ca="1" si="236"/>
        <v/>
      </c>
      <c r="W2948" s="61" t="str">
        <f t="shared" ca="1" si="237"/>
        <v/>
      </c>
      <c r="X2948" s="61">
        <f t="shared" ca="1" si="238"/>
        <v>0</v>
      </c>
      <c r="Y2948" s="64" t="str">
        <f t="shared" ca="1" si="239"/>
        <v/>
      </c>
    </row>
    <row r="2949" spans="1:25">
      <c r="A2949" s="2">
        <f>+Get_Data!A2948</f>
        <v>43721</v>
      </c>
      <c r="B2949">
        <f>+ROUND(Get_Data!B2948,5)</f>
        <v>132.59225000000001</v>
      </c>
      <c r="C2949">
        <f>+ROUND(Get_Data!C2948,5)</f>
        <v>52.483960000000003</v>
      </c>
      <c r="D2949" s="4">
        <f t="shared" si="246"/>
        <v>2.5263399999999998</v>
      </c>
      <c r="E2949" s="22">
        <f t="shared" ref="E2949:E3012" ca="1" si="247">+MAX(OFFSET(D2949,-$G$2+1,,$G$2))</f>
        <v>2.53193</v>
      </c>
      <c r="F2949" s="23">
        <f t="shared" ref="F2949:F3012" ca="1" si="248">+MIN(OFFSET(D2949,-$G$2+1,,$G$2))</f>
        <v>2.4195799999999998</v>
      </c>
      <c r="G2949" s="10">
        <f t="shared" ref="G2949:G3012" ca="1" si="249">+IF(E2949=D2949,1,0)</f>
        <v>0</v>
      </c>
      <c r="H2949" s="12">
        <f t="shared" ref="H2949:H3012" ca="1" si="250">+IF(F2949=D2949,1,0)</f>
        <v>0</v>
      </c>
      <c r="I2949" s="11">
        <f t="shared" ref="I2949:I3012" ca="1" si="251">+G2949-H2949</f>
        <v>0</v>
      </c>
      <c r="J2949" s="11">
        <f t="shared" ca="1" si="230"/>
        <v>1</v>
      </c>
      <c r="K2949" s="10">
        <f t="shared" ca="1" si="240"/>
        <v>-132.02859000000001</v>
      </c>
      <c r="L2949" s="11">
        <f t="shared" ca="1" si="241"/>
        <v>52.237459999999999</v>
      </c>
      <c r="M2949" s="11">
        <f t="shared" ca="1" si="242"/>
        <v>2.5274700000000001</v>
      </c>
      <c r="N2949" s="15">
        <f t="shared" ca="1" si="243"/>
        <v>10</v>
      </c>
      <c r="O2949" s="15">
        <f t="shared" ca="1" si="244"/>
        <v>25</v>
      </c>
      <c r="P2949" s="16">
        <f t="shared" ca="1" si="245"/>
        <v>-14.34940000000006</v>
      </c>
      <c r="Q2949" s="11" t="str">
        <f t="shared" ca="1" si="231"/>
        <v/>
      </c>
      <c r="R2949" s="11" t="str">
        <f t="shared" ca="1" si="232"/>
        <v/>
      </c>
      <c r="S2949" s="61" t="str">
        <f t="shared" ca="1" si="233"/>
        <v/>
      </c>
      <c r="T2949" s="11" t="str">
        <f t="shared" ca="1" si="234"/>
        <v/>
      </c>
      <c r="U2949" s="11" t="str">
        <f t="shared" ca="1" si="235"/>
        <v/>
      </c>
      <c r="V2949" s="18" t="str">
        <f t="shared" ca="1" si="236"/>
        <v/>
      </c>
      <c r="W2949" s="61" t="str">
        <f t="shared" ca="1" si="237"/>
        <v/>
      </c>
      <c r="X2949" s="61">
        <f t="shared" ca="1" si="238"/>
        <v>0</v>
      </c>
      <c r="Y2949" s="64" t="str">
        <f t="shared" ca="1" si="239"/>
        <v/>
      </c>
    </row>
    <row r="2950" spans="1:25">
      <c r="A2950" s="2">
        <f>+Get_Data!A2949</f>
        <v>43724</v>
      </c>
      <c r="B2950">
        <f>+ROUND(Get_Data!B2949,5)</f>
        <v>131.07623000000001</v>
      </c>
      <c r="C2950">
        <f>+ROUND(Get_Data!C2949,5)</f>
        <v>52.193779999999997</v>
      </c>
      <c r="D2950" s="4">
        <f t="shared" si="246"/>
        <v>2.5113400000000001</v>
      </c>
      <c r="E2950" s="22">
        <f t="shared" ca="1" si="247"/>
        <v>2.53193</v>
      </c>
      <c r="F2950" s="23">
        <f t="shared" ca="1" si="248"/>
        <v>2.4248599999999998</v>
      </c>
      <c r="G2950" s="10">
        <f t="shared" ca="1" si="249"/>
        <v>0</v>
      </c>
      <c r="H2950" s="12">
        <f t="shared" ca="1" si="250"/>
        <v>0</v>
      </c>
      <c r="I2950" s="11">
        <f t="shared" ca="1" si="251"/>
        <v>0</v>
      </c>
      <c r="J2950" s="11">
        <f t="shared" ref="J2950:J3013" ca="1" si="252">+IF(AND(ABS(J2949)=2,ABS(I2950)=1),0,J2949+I2950)</f>
        <v>1</v>
      </c>
      <c r="K2950" s="10">
        <f t="shared" ca="1" si="240"/>
        <v>-132.02859000000001</v>
      </c>
      <c r="L2950" s="11">
        <f t="shared" ca="1" si="241"/>
        <v>52.237459999999999</v>
      </c>
      <c r="M2950" s="11">
        <f t="shared" ca="1" si="242"/>
        <v>2.5274700000000001</v>
      </c>
      <c r="N2950" s="15">
        <f t="shared" ca="1" si="243"/>
        <v>10</v>
      </c>
      <c r="O2950" s="15">
        <f t="shared" ca="1" si="244"/>
        <v>25</v>
      </c>
      <c r="P2950" s="16">
        <f t="shared" ca="1" si="245"/>
        <v>-14.34940000000006</v>
      </c>
      <c r="Q2950" s="11" t="str">
        <f t="shared" ca="1" si="231"/>
        <v/>
      </c>
      <c r="R2950" s="11" t="str">
        <f t="shared" ca="1" si="232"/>
        <v/>
      </c>
      <c r="S2950" s="61" t="str">
        <f t="shared" ca="1" si="233"/>
        <v/>
      </c>
      <c r="T2950" s="11" t="str">
        <f t="shared" ca="1" si="234"/>
        <v/>
      </c>
      <c r="U2950" s="11" t="str">
        <f t="shared" ca="1" si="235"/>
        <v/>
      </c>
      <c r="V2950" s="18" t="str">
        <f t="shared" ca="1" si="236"/>
        <v/>
      </c>
      <c r="W2950" s="61" t="str">
        <f t="shared" ca="1" si="237"/>
        <v/>
      </c>
      <c r="X2950" s="61">
        <f t="shared" ca="1" si="238"/>
        <v>0</v>
      </c>
      <c r="Y2950" s="64" t="str">
        <f t="shared" ca="1" si="239"/>
        <v/>
      </c>
    </row>
    <row r="2951" spans="1:25">
      <c r="A2951" s="2">
        <f>+Get_Data!A2950</f>
        <v>43725</v>
      </c>
      <c r="B2951">
        <f>+ROUND(Get_Data!B2950,5)</f>
        <v>131.87311</v>
      </c>
      <c r="C2951">
        <f>+ROUND(Get_Data!C2950,5)</f>
        <v>52.46461</v>
      </c>
      <c r="D2951" s="4">
        <f t="shared" si="246"/>
        <v>2.51356</v>
      </c>
      <c r="E2951" s="22">
        <f t="shared" ca="1" si="247"/>
        <v>2.53193</v>
      </c>
      <c r="F2951" s="23">
        <f t="shared" ca="1" si="248"/>
        <v>2.4339300000000001</v>
      </c>
      <c r="G2951" s="10">
        <f t="shared" ca="1" si="249"/>
        <v>0</v>
      </c>
      <c r="H2951" s="12">
        <f t="shared" ca="1" si="250"/>
        <v>0</v>
      </c>
      <c r="I2951" s="11">
        <f t="shared" ca="1" si="251"/>
        <v>0</v>
      </c>
      <c r="J2951" s="11">
        <f t="shared" ca="1" si="252"/>
        <v>1</v>
      </c>
      <c r="K2951" s="10">
        <f t="shared" ca="1" si="240"/>
        <v>-132.02859000000001</v>
      </c>
      <c r="L2951" s="11">
        <f t="shared" ca="1" si="241"/>
        <v>52.237459999999999</v>
      </c>
      <c r="M2951" s="11">
        <f t="shared" ca="1" si="242"/>
        <v>2.5274700000000001</v>
      </c>
      <c r="N2951" s="15">
        <f t="shared" ca="1" si="243"/>
        <v>10</v>
      </c>
      <c r="O2951" s="15">
        <f t="shared" ca="1" si="244"/>
        <v>25</v>
      </c>
      <c r="P2951" s="16">
        <f t="shared" ca="1" si="245"/>
        <v>-14.34940000000006</v>
      </c>
      <c r="Q2951" s="11" t="str">
        <f t="shared" ca="1" si="231"/>
        <v/>
      </c>
      <c r="R2951" s="11" t="str">
        <f t="shared" ca="1" si="232"/>
        <v/>
      </c>
      <c r="S2951" s="61" t="str">
        <f t="shared" ca="1" si="233"/>
        <v/>
      </c>
      <c r="T2951" s="11" t="str">
        <f t="shared" ca="1" si="234"/>
        <v/>
      </c>
      <c r="U2951" s="11" t="str">
        <f t="shared" ca="1" si="235"/>
        <v/>
      </c>
      <c r="V2951" s="18" t="str">
        <f t="shared" ca="1" si="236"/>
        <v/>
      </c>
      <c r="W2951" s="61" t="str">
        <f t="shared" ca="1" si="237"/>
        <v/>
      </c>
      <c r="X2951" s="61">
        <f t="shared" ca="1" si="238"/>
        <v>0</v>
      </c>
      <c r="Y2951" s="64" t="str">
        <f t="shared" ca="1" si="239"/>
        <v/>
      </c>
    </row>
    <row r="2952" spans="1:25">
      <c r="A2952" s="2">
        <f>+Get_Data!A2951</f>
        <v>43726</v>
      </c>
      <c r="B2952">
        <f>+ROUND(Get_Data!B2951,5)</f>
        <v>131.67874</v>
      </c>
      <c r="C2952">
        <f>+ROUND(Get_Data!C2951,5)</f>
        <v>52.454940000000001</v>
      </c>
      <c r="D2952" s="4">
        <f t="shared" si="246"/>
        <v>2.5103200000000001</v>
      </c>
      <c r="E2952" s="22">
        <f t="shared" ca="1" si="247"/>
        <v>2.53193</v>
      </c>
      <c r="F2952" s="23">
        <f t="shared" ca="1" si="248"/>
        <v>2.4339300000000001</v>
      </c>
      <c r="G2952" s="10">
        <f t="shared" ca="1" si="249"/>
        <v>0</v>
      </c>
      <c r="H2952" s="12">
        <f t="shared" ca="1" si="250"/>
        <v>0</v>
      </c>
      <c r="I2952" s="11">
        <f t="shared" ca="1" si="251"/>
        <v>0</v>
      </c>
      <c r="J2952" s="11">
        <f t="shared" ca="1" si="252"/>
        <v>1</v>
      </c>
      <c r="K2952" s="10">
        <f t="shared" ca="1" si="240"/>
        <v>-132.02859000000001</v>
      </c>
      <c r="L2952" s="11">
        <f t="shared" ca="1" si="241"/>
        <v>52.237459999999999</v>
      </c>
      <c r="M2952" s="11">
        <f t="shared" ca="1" si="242"/>
        <v>2.5274700000000001</v>
      </c>
      <c r="N2952" s="15">
        <f t="shared" ca="1" si="243"/>
        <v>10</v>
      </c>
      <c r="O2952" s="15">
        <f t="shared" ca="1" si="244"/>
        <v>25</v>
      </c>
      <c r="P2952" s="16">
        <f t="shared" ca="1" si="245"/>
        <v>-14.34940000000006</v>
      </c>
      <c r="Q2952" s="11" t="str">
        <f t="shared" ca="1" si="231"/>
        <v/>
      </c>
      <c r="R2952" s="11" t="str">
        <f t="shared" ca="1" si="232"/>
        <v/>
      </c>
      <c r="S2952" s="61" t="str">
        <f t="shared" ca="1" si="233"/>
        <v/>
      </c>
      <c r="T2952" s="11" t="str">
        <f t="shared" ca="1" si="234"/>
        <v/>
      </c>
      <c r="U2952" s="11" t="str">
        <f t="shared" ca="1" si="235"/>
        <v/>
      </c>
      <c r="V2952" s="18" t="str">
        <f t="shared" ca="1" si="236"/>
        <v/>
      </c>
      <c r="W2952" s="61" t="str">
        <f t="shared" ca="1" si="237"/>
        <v/>
      </c>
      <c r="X2952" s="61">
        <f t="shared" ca="1" si="238"/>
        <v>0</v>
      </c>
      <c r="Y2952" s="64" t="str">
        <f t="shared" ca="1" si="239"/>
        <v/>
      </c>
    </row>
    <row r="2953" spans="1:25">
      <c r="A2953" s="2">
        <f>+Get_Data!A2952</f>
        <v>43727</v>
      </c>
      <c r="B2953">
        <f>+ROUND(Get_Data!B2952,5)</f>
        <v>131.65932000000001</v>
      </c>
      <c r="C2953">
        <f>+ROUND(Get_Data!C2952,5)</f>
        <v>52.735439999999997</v>
      </c>
      <c r="D2953" s="4">
        <f t="shared" si="246"/>
        <v>2.4965999999999999</v>
      </c>
      <c r="E2953" s="22">
        <f t="shared" ca="1" si="247"/>
        <v>2.53193</v>
      </c>
      <c r="F2953" s="23">
        <f t="shared" ca="1" si="248"/>
        <v>2.4339300000000001</v>
      </c>
      <c r="G2953" s="10">
        <f t="shared" ca="1" si="249"/>
        <v>0</v>
      </c>
      <c r="H2953" s="12">
        <f t="shared" ca="1" si="250"/>
        <v>0</v>
      </c>
      <c r="I2953" s="11">
        <f t="shared" ca="1" si="251"/>
        <v>0</v>
      </c>
      <c r="J2953" s="11">
        <f t="shared" ca="1" si="252"/>
        <v>1</v>
      </c>
      <c r="K2953" s="10">
        <f t="shared" ca="1" si="240"/>
        <v>-132.02859000000001</v>
      </c>
      <c r="L2953" s="11">
        <f t="shared" ca="1" si="241"/>
        <v>52.237459999999999</v>
      </c>
      <c r="M2953" s="11">
        <f t="shared" ca="1" si="242"/>
        <v>2.5274700000000001</v>
      </c>
      <c r="N2953" s="15">
        <f t="shared" ca="1" si="243"/>
        <v>10</v>
      </c>
      <c r="O2953" s="15">
        <f t="shared" ca="1" si="244"/>
        <v>25</v>
      </c>
      <c r="P2953" s="16">
        <f t="shared" ca="1" si="245"/>
        <v>-14.34940000000006</v>
      </c>
      <c r="Q2953" s="11" t="str">
        <f t="shared" ca="1" si="231"/>
        <v/>
      </c>
      <c r="R2953" s="11" t="str">
        <f t="shared" ca="1" si="232"/>
        <v/>
      </c>
      <c r="S2953" s="61" t="str">
        <f t="shared" ca="1" si="233"/>
        <v/>
      </c>
      <c r="T2953" s="11" t="str">
        <f t="shared" ca="1" si="234"/>
        <v/>
      </c>
      <c r="U2953" s="11" t="str">
        <f t="shared" ca="1" si="235"/>
        <v/>
      </c>
      <c r="V2953" s="18" t="str">
        <f t="shared" ca="1" si="236"/>
        <v/>
      </c>
      <c r="W2953" s="61" t="str">
        <f t="shared" ca="1" si="237"/>
        <v/>
      </c>
      <c r="X2953" s="61">
        <f t="shared" ca="1" si="238"/>
        <v>0</v>
      </c>
      <c r="Y2953" s="64" t="str">
        <f t="shared" ca="1" si="239"/>
        <v/>
      </c>
    </row>
    <row r="2954" spans="1:25">
      <c r="A2954" s="2">
        <f>+Get_Data!A2953</f>
        <v>43728</v>
      </c>
      <c r="B2954">
        <f>+ROUND(Get_Data!B2953,5)</f>
        <v>130.91104000000001</v>
      </c>
      <c r="C2954">
        <f>+ROUND(Get_Data!C2953,5)</f>
        <v>52.145409999999998</v>
      </c>
      <c r="D2954" s="4">
        <f t="shared" si="246"/>
        <v>2.5105</v>
      </c>
      <c r="E2954" s="22">
        <f t="shared" ca="1" si="247"/>
        <v>2.53193</v>
      </c>
      <c r="F2954" s="23">
        <f t="shared" ca="1" si="248"/>
        <v>2.4339300000000001</v>
      </c>
      <c r="G2954" s="10">
        <f t="shared" ca="1" si="249"/>
        <v>0</v>
      </c>
      <c r="H2954" s="12">
        <f t="shared" ca="1" si="250"/>
        <v>0</v>
      </c>
      <c r="I2954" s="11">
        <f t="shared" ca="1" si="251"/>
        <v>0</v>
      </c>
      <c r="J2954" s="11">
        <f t="shared" ca="1" si="252"/>
        <v>1</v>
      </c>
      <c r="K2954" s="10">
        <f t="shared" ca="1" si="240"/>
        <v>-132.02859000000001</v>
      </c>
      <c r="L2954" s="11">
        <f t="shared" ca="1" si="241"/>
        <v>52.237459999999999</v>
      </c>
      <c r="M2954" s="11">
        <f t="shared" ca="1" si="242"/>
        <v>2.5274700000000001</v>
      </c>
      <c r="N2954" s="15">
        <f t="shared" ca="1" si="243"/>
        <v>10</v>
      </c>
      <c r="O2954" s="15">
        <f t="shared" ca="1" si="244"/>
        <v>25</v>
      </c>
      <c r="P2954" s="16">
        <f t="shared" ca="1" si="245"/>
        <v>-14.34940000000006</v>
      </c>
      <c r="Q2954" s="11" t="str">
        <f t="shared" ca="1" si="231"/>
        <v/>
      </c>
      <c r="R2954" s="11" t="str">
        <f t="shared" ca="1" si="232"/>
        <v/>
      </c>
      <c r="S2954" s="61" t="str">
        <f t="shared" ca="1" si="233"/>
        <v/>
      </c>
      <c r="T2954" s="11" t="str">
        <f t="shared" ca="1" si="234"/>
        <v/>
      </c>
      <c r="U2954" s="11" t="str">
        <f t="shared" ca="1" si="235"/>
        <v/>
      </c>
      <c r="V2954" s="18" t="str">
        <f t="shared" ca="1" si="236"/>
        <v/>
      </c>
      <c r="W2954" s="61" t="str">
        <f t="shared" ca="1" si="237"/>
        <v/>
      </c>
      <c r="X2954" s="61">
        <f t="shared" ca="1" si="238"/>
        <v>0</v>
      </c>
      <c r="Y2954" s="64" t="str">
        <f t="shared" ca="1" si="239"/>
        <v/>
      </c>
    </row>
    <row r="2955" spans="1:25">
      <c r="A2955" s="2">
        <f>+Get_Data!A2954</f>
        <v>43731</v>
      </c>
      <c r="B2955">
        <f>+ROUND(Get_Data!B2954,5)</f>
        <v>131.62044</v>
      </c>
      <c r="C2955">
        <f>+ROUND(Get_Data!C2954,5)</f>
        <v>52.367890000000003</v>
      </c>
      <c r="D2955" s="4">
        <f t="shared" si="246"/>
        <v>2.5133800000000002</v>
      </c>
      <c r="E2955" s="22">
        <f t="shared" ca="1" si="247"/>
        <v>2.53193</v>
      </c>
      <c r="F2955" s="23">
        <f t="shared" ca="1" si="248"/>
        <v>2.43635</v>
      </c>
      <c r="G2955" s="10">
        <f t="shared" ca="1" si="249"/>
        <v>0</v>
      </c>
      <c r="H2955" s="12">
        <f t="shared" ca="1" si="250"/>
        <v>0</v>
      </c>
      <c r="I2955" s="11">
        <f t="shared" ca="1" si="251"/>
        <v>0</v>
      </c>
      <c r="J2955" s="11">
        <f t="shared" ca="1" si="252"/>
        <v>1</v>
      </c>
      <c r="K2955" s="10">
        <f t="shared" ca="1" si="240"/>
        <v>-132.02859000000001</v>
      </c>
      <c r="L2955" s="11">
        <f t="shared" ca="1" si="241"/>
        <v>52.237459999999999</v>
      </c>
      <c r="M2955" s="11">
        <f t="shared" ca="1" si="242"/>
        <v>2.5274700000000001</v>
      </c>
      <c r="N2955" s="15">
        <f t="shared" ca="1" si="243"/>
        <v>10</v>
      </c>
      <c r="O2955" s="15">
        <f t="shared" ca="1" si="244"/>
        <v>25</v>
      </c>
      <c r="P2955" s="16">
        <f t="shared" ca="1" si="245"/>
        <v>-14.34940000000006</v>
      </c>
      <c r="Q2955" s="11" t="str">
        <f t="shared" ca="1" si="231"/>
        <v/>
      </c>
      <c r="R2955" s="11" t="str">
        <f t="shared" ca="1" si="232"/>
        <v/>
      </c>
      <c r="S2955" s="61" t="str">
        <f t="shared" ca="1" si="233"/>
        <v/>
      </c>
      <c r="T2955" s="11" t="str">
        <f t="shared" ca="1" si="234"/>
        <v/>
      </c>
      <c r="U2955" s="11" t="str">
        <f t="shared" ca="1" si="235"/>
        <v/>
      </c>
      <c r="V2955" s="18" t="str">
        <f t="shared" ca="1" si="236"/>
        <v/>
      </c>
      <c r="W2955" s="61" t="str">
        <f t="shared" ca="1" si="237"/>
        <v/>
      </c>
      <c r="X2955" s="61">
        <f t="shared" ca="1" si="238"/>
        <v>0</v>
      </c>
      <c r="Y2955" s="64" t="str">
        <f t="shared" ca="1" si="239"/>
        <v/>
      </c>
    </row>
    <row r="2956" spans="1:25">
      <c r="A2956" s="2">
        <f>+Get_Data!A2955</f>
        <v>43732</v>
      </c>
      <c r="B2956">
        <f>+ROUND(Get_Data!B2955,5)</f>
        <v>131.54268999999999</v>
      </c>
      <c r="C2956">
        <f>+ROUND(Get_Data!C2955,5)</f>
        <v>52.522640000000003</v>
      </c>
      <c r="D2956" s="4">
        <f t="shared" si="246"/>
        <v>2.5045000000000002</v>
      </c>
      <c r="E2956" s="22">
        <f t="shared" ca="1" si="247"/>
        <v>2.53193</v>
      </c>
      <c r="F2956" s="23">
        <f t="shared" ca="1" si="248"/>
        <v>2.4363999999999999</v>
      </c>
      <c r="G2956" s="10">
        <f t="shared" ca="1" si="249"/>
        <v>0</v>
      </c>
      <c r="H2956" s="12">
        <f t="shared" ca="1" si="250"/>
        <v>0</v>
      </c>
      <c r="I2956" s="11">
        <f t="shared" ca="1" si="251"/>
        <v>0</v>
      </c>
      <c r="J2956" s="11">
        <f t="shared" ca="1" si="252"/>
        <v>1</v>
      </c>
      <c r="K2956" s="10">
        <f t="shared" ca="1" si="240"/>
        <v>-132.02859000000001</v>
      </c>
      <c r="L2956" s="11">
        <f t="shared" ca="1" si="241"/>
        <v>52.237459999999999</v>
      </c>
      <c r="M2956" s="11">
        <f t="shared" ca="1" si="242"/>
        <v>2.5274700000000001</v>
      </c>
      <c r="N2956" s="15">
        <f t="shared" ca="1" si="243"/>
        <v>10</v>
      </c>
      <c r="O2956" s="15">
        <f t="shared" ca="1" si="244"/>
        <v>25</v>
      </c>
      <c r="P2956" s="16">
        <f t="shared" ca="1" si="245"/>
        <v>-14.34940000000006</v>
      </c>
      <c r="Q2956" s="11" t="str">
        <f t="shared" ca="1" si="231"/>
        <v/>
      </c>
      <c r="R2956" s="11" t="str">
        <f t="shared" ca="1" si="232"/>
        <v/>
      </c>
      <c r="S2956" s="61" t="str">
        <f t="shared" ca="1" si="233"/>
        <v/>
      </c>
      <c r="T2956" s="11" t="str">
        <f t="shared" ca="1" si="234"/>
        <v/>
      </c>
      <c r="U2956" s="11" t="str">
        <f t="shared" ca="1" si="235"/>
        <v/>
      </c>
      <c r="V2956" s="18" t="str">
        <f t="shared" ca="1" si="236"/>
        <v/>
      </c>
      <c r="W2956" s="61" t="str">
        <f t="shared" ca="1" si="237"/>
        <v/>
      </c>
      <c r="X2956" s="61">
        <f t="shared" ca="1" si="238"/>
        <v>0</v>
      </c>
      <c r="Y2956" s="64" t="str">
        <f t="shared" ca="1" si="239"/>
        <v/>
      </c>
    </row>
    <row r="2957" spans="1:25">
      <c r="A2957" s="2">
        <f>+Get_Data!A2956</f>
        <v>43733</v>
      </c>
      <c r="B2957">
        <f>+ROUND(Get_Data!B2956,5)</f>
        <v>131.28031999999999</v>
      </c>
      <c r="C2957">
        <f>+ROUND(Get_Data!C2956,5)</f>
        <v>52.396900000000002</v>
      </c>
      <c r="D2957" s="4">
        <f t="shared" si="246"/>
        <v>2.5055000000000001</v>
      </c>
      <c r="E2957" s="22">
        <f t="shared" ca="1" si="247"/>
        <v>2.53193</v>
      </c>
      <c r="F2957" s="23">
        <f t="shared" ca="1" si="248"/>
        <v>2.4363999999999999</v>
      </c>
      <c r="G2957" s="10">
        <f t="shared" ca="1" si="249"/>
        <v>0</v>
      </c>
      <c r="H2957" s="12">
        <f t="shared" ca="1" si="250"/>
        <v>0</v>
      </c>
      <c r="I2957" s="11">
        <f t="shared" ca="1" si="251"/>
        <v>0</v>
      </c>
      <c r="J2957" s="11">
        <f t="shared" ca="1" si="252"/>
        <v>1</v>
      </c>
      <c r="K2957" s="10">
        <f t="shared" ca="1" si="240"/>
        <v>-132.02859000000001</v>
      </c>
      <c r="L2957" s="11">
        <f t="shared" ca="1" si="241"/>
        <v>52.237459999999999</v>
      </c>
      <c r="M2957" s="11">
        <f t="shared" ca="1" si="242"/>
        <v>2.5274700000000001</v>
      </c>
      <c r="N2957" s="15">
        <f t="shared" ca="1" si="243"/>
        <v>10</v>
      </c>
      <c r="O2957" s="15">
        <f t="shared" ca="1" si="244"/>
        <v>25</v>
      </c>
      <c r="P2957" s="16">
        <f t="shared" ca="1" si="245"/>
        <v>-14.34940000000006</v>
      </c>
      <c r="Q2957" s="11" t="str">
        <f t="shared" ca="1" si="231"/>
        <v/>
      </c>
      <c r="R2957" s="11" t="str">
        <f t="shared" ca="1" si="232"/>
        <v/>
      </c>
      <c r="S2957" s="61" t="str">
        <f t="shared" ca="1" si="233"/>
        <v/>
      </c>
      <c r="T2957" s="11" t="str">
        <f t="shared" ca="1" si="234"/>
        <v/>
      </c>
      <c r="U2957" s="11" t="str">
        <f t="shared" ca="1" si="235"/>
        <v/>
      </c>
      <c r="V2957" s="18" t="str">
        <f t="shared" ca="1" si="236"/>
        <v/>
      </c>
      <c r="W2957" s="61" t="str">
        <f t="shared" ca="1" si="237"/>
        <v/>
      </c>
      <c r="X2957" s="61">
        <f t="shared" ca="1" si="238"/>
        <v>0</v>
      </c>
      <c r="Y2957" s="64" t="str">
        <f t="shared" ca="1" si="239"/>
        <v/>
      </c>
    </row>
    <row r="2958" spans="1:25">
      <c r="A2958" s="2">
        <f>+Get_Data!A2957</f>
        <v>43734</v>
      </c>
      <c r="B2958">
        <f>+ROUND(Get_Data!B2957,5)</f>
        <v>131.89255</v>
      </c>
      <c r="C2958">
        <f>+ROUND(Get_Data!C2957,5)</f>
        <v>52.609699999999997</v>
      </c>
      <c r="D2958" s="4">
        <f t="shared" si="246"/>
        <v>2.5070000000000001</v>
      </c>
      <c r="E2958" s="22">
        <f t="shared" ca="1" si="247"/>
        <v>2.53193</v>
      </c>
      <c r="F2958" s="23">
        <f t="shared" ca="1" si="248"/>
        <v>2.4363999999999999</v>
      </c>
      <c r="G2958" s="10">
        <f t="shared" ca="1" si="249"/>
        <v>0</v>
      </c>
      <c r="H2958" s="12">
        <f t="shared" ca="1" si="250"/>
        <v>0</v>
      </c>
      <c r="I2958" s="11">
        <f t="shared" ca="1" si="251"/>
        <v>0</v>
      </c>
      <c r="J2958" s="11">
        <f t="shared" ca="1" si="252"/>
        <v>1</v>
      </c>
      <c r="K2958" s="10">
        <f t="shared" ca="1" si="240"/>
        <v>-132.02859000000001</v>
      </c>
      <c r="L2958" s="11">
        <f t="shared" ca="1" si="241"/>
        <v>52.237459999999999</v>
      </c>
      <c r="M2958" s="11">
        <f t="shared" ca="1" si="242"/>
        <v>2.5274700000000001</v>
      </c>
      <c r="N2958" s="15">
        <f t="shared" ca="1" si="243"/>
        <v>10</v>
      </c>
      <c r="O2958" s="15">
        <f t="shared" ca="1" si="244"/>
        <v>25</v>
      </c>
      <c r="P2958" s="16">
        <f t="shared" ca="1" si="245"/>
        <v>-14.34940000000006</v>
      </c>
      <c r="Q2958" s="11" t="str">
        <f t="shared" ca="1" si="231"/>
        <v/>
      </c>
      <c r="R2958" s="11" t="str">
        <f t="shared" ca="1" si="232"/>
        <v/>
      </c>
      <c r="S2958" s="61" t="str">
        <f t="shared" ca="1" si="233"/>
        <v/>
      </c>
      <c r="T2958" s="11" t="str">
        <f t="shared" ca="1" si="234"/>
        <v/>
      </c>
      <c r="U2958" s="11" t="str">
        <f t="shared" ca="1" si="235"/>
        <v/>
      </c>
      <c r="V2958" s="18" t="str">
        <f t="shared" ca="1" si="236"/>
        <v/>
      </c>
      <c r="W2958" s="61" t="str">
        <f t="shared" ca="1" si="237"/>
        <v/>
      </c>
      <c r="X2958" s="61">
        <f t="shared" ca="1" si="238"/>
        <v>0</v>
      </c>
      <c r="Y2958" s="64" t="str">
        <f t="shared" ca="1" si="239"/>
        <v/>
      </c>
    </row>
    <row r="2959" spans="1:25">
      <c r="A2959" s="2">
        <f>+Get_Data!A2958</f>
        <v>43735</v>
      </c>
      <c r="B2959">
        <f>+ROUND(Get_Data!B2958,5)</f>
        <v>131.77593999999999</v>
      </c>
      <c r="C2959">
        <f>+ROUND(Get_Data!C2958,5)</f>
        <v>52.532319999999999</v>
      </c>
      <c r="D2959" s="4">
        <f t="shared" si="246"/>
        <v>2.50847</v>
      </c>
      <c r="E2959" s="22">
        <f t="shared" ca="1" si="247"/>
        <v>2.53193</v>
      </c>
      <c r="F2959" s="23">
        <f t="shared" ca="1" si="248"/>
        <v>2.4363999999999999</v>
      </c>
      <c r="G2959" s="10">
        <f t="shared" ca="1" si="249"/>
        <v>0</v>
      </c>
      <c r="H2959" s="12">
        <f t="shared" ca="1" si="250"/>
        <v>0</v>
      </c>
      <c r="I2959" s="11">
        <f t="shared" ca="1" si="251"/>
        <v>0</v>
      </c>
      <c r="J2959" s="11">
        <f t="shared" ca="1" si="252"/>
        <v>1</v>
      </c>
      <c r="K2959" s="10">
        <f t="shared" ca="1" si="240"/>
        <v>-132.02859000000001</v>
      </c>
      <c r="L2959" s="11">
        <f t="shared" ca="1" si="241"/>
        <v>52.237459999999999</v>
      </c>
      <c r="M2959" s="11">
        <f t="shared" ca="1" si="242"/>
        <v>2.5274700000000001</v>
      </c>
      <c r="N2959" s="15">
        <f t="shared" ca="1" si="243"/>
        <v>10</v>
      </c>
      <c r="O2959" s="15">
        <f t="shared" ca="1" si="244"/>
        <v>25</v>
      </c>
      <c r="P2959" s="16">
        <f t="shared" ca="1" si="245"/>
        <v>-14.34940000000006</v>
      </c>
      <c r="Q2959" s="11" t="str">
        <f t="shared" ca="1" si="231"/>
        <v/>
      </c>
      <c r="R2959" s="11" t="str">
        <f t="shared" ca="1" si="232"/>
        <v/>
      </c>
      <c r="S2959" s="61" t="str">
        <f t="shared" ca="1" si="233"/>
        <v/>
      </c>
      <c r="T2959" s="11" t="str">
        <f t="shared" ca="1" si="234"/>
        <v/>
      </c>
      <c r="U2959" s="11" t="str">
        <f t="shared" ca="1" si="235"/>
        <v/>
      </c>
      <c r="V2959" s="18" t="str">
        <f t="shared" ca="1" si="236"/>
        <v/>
      </c>
      <c r="W2959" s="61" t="str">
        <f t="shared" ca="1" si="237"/>
        <v/>
      </c>
      <c r="X2959" s="61">
        <f t="shared" ca="1" si="238"/>
        <v>0</v>
      </c>
      <c r="Y2959" s="64" t="str">
        <f t="shared" ca="1" si="239"/>
        <v/>
      </c>
    </row>
    <row r="2960" spans="1:25">
      <c r="A2960" s="2">
        <f>+Get_Data!A2959</f>
        <v>43738</v>
      </c>
      <c r="B2960">
        <f>+ROUND(Get_Data!B2959,5)</f>
        <v>133.23363000000001</v>
      </c>
      <c r="C2960">
        <f>+ROUND(Get_Data!C2959,5)</f>
        <v>52.658070000000002</v>
      </c>
      <c r="D2960" s="4">
        <f t="shared" si="246"/>
        <v>2.53017</v>
      </c>
      <c r="E2960" s="22">
        <f t="shared" ca="1" si="247"/>
        <v>2.53193</v>
      </c>
      <c r="F2960" s="23">
        <f t="shared" ca="1" si="248"/>
        <v>2.46461</v>
      </c>
      <c r="G2960" s="10">
        <f t="shared" ca="1" si="249"/>
        <v>0</v>
      </c>
      <c r="H2960" s="12">
        <f t="shared" ca="1" si="250"/>
        <v>0</v>
      </c>
      <c r="I2960" s="11">
        <f t="shared" ca="1" si="251"/>
        <v>0</v>
      </c>
      <c r="J2960" s="11">
        <f t="shared" ca="1" si="252"/>
        <v>1</v>
      </c>
      <c r="K2960" s="10">
        <f t="shared" ca="1" si="240"/>
        <v>-132.02859000000001</v>
      </c>
      <c r="L2960" s="11">
        <f t="shared" ca="1" si="241"/>
        <v>52.237459999999999</v>
      </c>
      <c r="M2960" s="11">
        <f t="shared" ca="1" si="242"/>
        <v>2.5274700000000001</v>
      </c>
      <c r="N2960" s="15">
        <f t="shared" ca="1" si="243"/>
        <v>10</v>
      </c>
      <c r="O2960" s="15">
        <f t="shared" ca="1" si="244"/>
        <v>25</v>
      </c>
      <c r="P2960" s="16">
        <f t="shared" ca="1" si="245"/>
        <v>-14.34940000000006</v>
      </c>
      <c r="Q2960" s="11" t="str">
        <f t="shared" ca="1" si="231"/>
        <v/>
      </c>
      <c r="R2960" s="11" t="str">
        <f t="shared" ca="1" si="232"/>
        <v/>
      </c>
      <c r="S2960" s="61" t="str">
        <f t="shared" ca="1" si="233"/>
        <v/>
      </c>
      <c r="T2960" s="11" t="str">
        <f t="shared" ca="1" si="234"/>
        <v/>
      </c>
      <c r="U2960" s="11" t="str">
        <f t="shared" ca="1" si="235"/>
        <v/>
      </c>
      <c r="V2960" s="18" t="str">
        <f t="shared" ca="1" si="236"/>
        <v/>
      </c>
      <c r="W2960" s="61" t="str">
        <f t="shared" ca="1" si="237"/>
        <v/>
      </c>
      <c r="X2960" s="61">
        <f t="shared" ca="1" si="238"/>
        <v>0</v>
      </c>
      <c r="Y2960" s="64" t="str">
        <f t="shared" ca="1" si="239"/>
        <v/>
      </c>
    </row>
    <row r="2961" spans="1:25">
      <c r="A2961" s="2">
        <f>+Get_Data!A2960</f>
        <v>43739</v>
      </c>
      <c r="B2961">
        <f>+ROUND(Get_Data!B2960,5)</f>
        <v>133.49600000000001</v>
      </c>
      <c r="C2961">
        <f>+ROUND(Get_Data!C2960,5)</f>
        <v>52.861190000000001</v>
      </c>
      <c r="D2961" s="4">
        <f t="shared" si="246"/>
        <v>2.5254099999999999</v>
      </c>
      <c r="E2961" s="22">
        <f t="shared" ca="1" si="247"/>
        <v>2.53193</v>
      </c>
      <c r="F2961" s="23">
        <f t="shared" ca="1" si="248"/>
        <v>2.46557</v>
      </c>
      <c r="G2961" s="10">
        <f t="shared" ca="1" si="249"/>
        <v>0</v>
      </c>
      <c r="H2961" s="12">
        <f t="shared" ca="1" si="250"/>
        <v>0</v>
      </c>
      <c r="I2961" s="11">
        <f t="shared" ca="1" si="251"/>
        <v>0</v>
      </c>
      <c r="J2961" s="11">
        <f t="shared" ca="1" si="252"/>
        <v>1</v>
      </c>
      <c r="K2961" s="10">
        <f t="shared" ca="1" si="240"/>
        <v>-132.02859000000001</v>
      </c>
      <c r="L2961" s="11">
        <f t="shared" ca="1" si="241"/>
        <v>52.237459999999999</v>
      </c>
      <c r="M2961" s="11">
        <f t="shared" ca="1" si="242"/>
        <v>2.5274700000000001</v>
      </c>
      <c r="N2961" s="15">
        <f t="shared" ca="1" si="243"/>
        <v>10</v>
      </c>
      <c r="O2961" s="15">
        <f t="shared" ca="1" si="244"/>
        <v>25</v>
      </c>
      <c r="P2961" s="16">
        <f t="shared" ca="1" si="245"/>
        <v>-14.34940000000006</v>
      </c>
      <c r="Q2961" s="11" t="str">
        <f t="shared" ca="1" si="231"/>
        <v/>
      </c>
      <c r="R2961" s="11" t="str">
        <f t="shared" ca="1" si="232"/>
        <v/>
      </c>
      <c r="S2961" s="61" t="str">
        <f t="shared" ca="1" si="233"/>
        <v/>
      </c>
      <c r="T2961" s="11" t="str">
        <f t="shared" ca="1" si="234"/>
        <v/>
      </c>
      <c r="U2961" s="11" t="str">
        <f t="shared" ca="1" si="235"/>
        <v/>
      </c>
      <c r="V2961" s="18" t="str">
        <f t="shared" ca="1" si="236"/>
        <v/>
      </c>
      <c r="W2961" s="61" t="str">
        <f t="shared" ca="1" si="237"/>
        <v/>
      </c>
      <c r="X2961" s="61">
        <f t="shared" ca="1" si="238"/>
        <v>0</v>
      </c>
      <c r="Y2961" s="64" t="str">
        <f t="shared" ca="1" si="239"/>
        <v/>
      </c>
    </row>
    <row r="2962" spans="1:25">
      <c r="A2962" s="2">
        <f>+Get_Data!A2961</f>
        <v>43740</v>
      </c>
      <c r="B2962">
        <f>+ROUND(Get_Data!B2961,5)</f>
        <v>130.16274999999999</v>
      </c>
      <c r="C2962">
        <f>+ROUND(Get_Data!C2961,5)</f>
        <v>51.342579999999998</v>
      </c>
      <c r="D2962" s="4">
        <f t="shared" si="246"/>
        <v>2.53518</v>
      </c>
      <c r="E2962" s="22">
        <f t="shared" ca="1" si="247"/>
        <v>2.53518</v>
      </c>
      <c r="F2962" s="23">
        <f t="shared" ca="1" si="248"/>
        <v>2.46557</v>
      </c>
      <c r="G2962" s="10">
        <f t="shared" ca="1" si="249"/>
        <v>1</v>
      </c>
      <c r="H2962" s="12">
        <f t="shared" ca="1" si="250"/>
        <v>0</v>
      </c>
      <c r="I2962" s="11">
        <f t="shared" ca="1" si="251"/>
        <v>1</v>
      </c>
      <c r="J2962" s="11">
        <f t="shared" ca="1" si="252"/>
        <v>2</v>
      </c>
      <c r="K2962" s="10">
        <f t="shared" ca="1" si="240"/>
        <v>-132.02859000000001</v>
      </c>
      <c r="L2962" s="11">
        <f t="shared" ca="1" si="241"/>
        <v>52.237459999999999</v>
      </c>
      <c r="M2962" s="11">
        <f t="shared" ca="1" si="242"/>
        <v>2.5274700000000001</v>
      </c>
      <c r="N2962" s="15">
        <f t="shared" ca="1" si="243"/>
        <v>10</v>
      </c>
      <c r="O2962" s="15">
        <f t="shared" ca="1" si="244"/>
        <v>25</v>
      </c>
      <c r="P2962" s="16">
        <f t="shared" ca="1" si="245"/>
        <v>-14.34940000000006</v>
      </c>
      <c r="Q2962" s="11" t="str">
        <f t="shared" ca="1" si="231"/>
        <v/>
      </c>
      <c r="R2962" s="11" t="str">
        <f t="shared" ca="1" si="232"/>
        <v/>
      </c>
      <c r="S2962" s="61" t="str">
        <f t="shared" ca="1" si="233"/>
        <v/>
      </c>
      <c r="T2962" s="11" t="str">
        <f t="shared" ca="1" si="234"/>
        <v/>
      </c>
      <c r="U2962" s="11" t="str">
        <f t="shared" ca="1" si="235"/>
        <v/>
      </c>
      <c r="V2962" s="18" t="str">
        <f t="shared" ca="1" si="236"/>
        <v/>
      </c>
      <c r="W2962" s="61" t="str">
        <f t="shared" ca="1" si="237"/>
        <v/>
      </c>
      <c r="X2962" s="61">
        <f t="shared" ca="1" si="238"/>
        <v>0</v>
      </c>
      <c r="Y2962" s="64" t="str">
        <f t="shared" ca="1" si="239"/>
        <v/>
      </c>
    </row>
    <row r="2963" spans="1:25">
      <c r="A2963" s="2">
        <f>+Get_Data!A2962</f>
        <v>43741</v>
      </c>
      <c r="B2963">
        <f>+ROUND(Get_Data!B2962,5)</f>
        <v>134.04021</v>
      </c>
      <c r="C2963">
        <f>+ROUND(Get_Data!C2962,5)</f>
        <v>52.077710000000003</v>
      </c>
      <c r="D2963" s="4">
        <f t="shared" si="246"/>
        <v>2.5738500000000002</v>
      </c>
      <c r="E2963" s="22">
        <f t="shared" ca="1" si="247"/>
        <v>2.5738500000000002</v>
      </c>
      <c r="F2963" s="23">
        <f t="shared" ca="1" si="248"/>
        <v>2.4834100000000001</v>
      </c>
      <c r="G2963" s="10">
        <f t="shared" ca="1" si="249"/>
        <v>1</v>
      </c>
      <c r="H2963" s="12">
        <f t="shared" ca="1" si="250"/>
        <v>0</v>
      </c>
      <c r="I2963" s="11">
        <f t="shared" ca="1" si="251"/>
        <v>1</v>
      </c>
      <c r="J2963" s="11">
        <f t="shared" ca="1" si="252"/>
        <v>0</v>
      </c>
      <c r="K2963" s="10">
        <f t="shared" ca="1" si="240"/>
        <v>-132.02859000000001</v>
      </c>
      <c r="L2963" s="11">
        <f t="shared" ca="1" si="241"/>
        <v>52.237459999999999</v>
      </c>
      <c r="M2963" s="11">
        <f t="shared" ca="1" si="242"/>
        <v>2.5274700000000001</v>
      </c>
      <c r="N2963" s="15">
        <f t="shared" ca="1" si="243"/>
        <v>10</v>
      </c>
      <c r="O2963" s="15">
        <f t="shared" ca="1" si="244"/>
        <v>25</v>
      </c>
      <c r="P2963" s="16">
        <f t="shared" ca="1" si="245"/>
        <v>-14.34940000000006</v>
      </c>
      <c r="Q2963" s="11" t="str">
        <f t="shared" ref="Q2963:Q3026" ca="1" si="253">+IF(ISNUMBER(T2963),B2963,"")</f>
        <v/>
      </c>
      <c r="R2963" s="11" t="str">
        <f t="shared" ref="R2963:R3026" ca="1" si="254">+IF(ISNUMBER(U2963),C2963,"")</f>
        <v/>
      </c>
      <c r="S2963" s="61" t="str">
        <f t="shared" ref="S2963:S3026" ca="1" si="255">+IF(ISNUMBER(T2963),D2963,"")</f>
        <v/>
      </c>
      <c r="T2963" s="11" t="str">
        <f t="shared" ref="T2963:T3026" ca="1" si="256">+IF(AND(ISNUMBER(N2962),NOT(ISNUMBER(N2963))),N2962,"")</f>
        <v/>
      </c>
      <c r="U2963" s="11" t="str">
        <f t="shared" ref="U2963:U3026" ca="1" si="257">+IF(AND(ISNUMBER(O2962),NOT(ISNUMBER(O2963))),O2962,"")</f>
        <v/>
      </c>
      <c r="V2963" s="18" t="str">
        <f t="shared" ref="V2963:V3026" ca="1" si="258">+IFERROR(T2963*(K2962-Q2963),"")</f>
        <v/>
      </c>
      <c r="W2963" s="61" t="str">
        <f t="shared" ref="W2963:W3026" ca="1" si="259">+IFERROR(U2963*(L2962+R2963),"")</f>
        <v/>
      </c>
      <c r="X2963" s="61">
        <f t="shared" ref="X2963:X3026" ca="1" si="260">+IFERROR(SUM(V2963:W2963),"")</f>
        <v>0</v>
      </c>
      <c r="Y2963" s="64" t="str">
        <f t="shared" ref="Y2963:Y3026" ca="1" si="261">IFERROR(+X2963/ABS(R2963*U2963),"")</f>
        <v/>
      </c>
    </row>
    <row r="2964" spans="1:25">
      <c r="A2964" s="2">
        <f>+Get_Data!A2963</f>
        <v>43742</v>
      </c>
      <c r="B2964">
        <f>+ROUND(Get_Data!B2963,5)</f>
        <v>136.32393999999999</v>
      </c>
      <c r="C2964">
        <f>+ROUND(Get_Data!C2963,5)</f>
        <v>52.754800000000003</v>
      </c>
      <c r="D2964" s="4">
        <f t="shared" si="246"/>
        <v>2.5840999999999998</v>
      </c>
      <c r="E2964" s="22">
        <f t="shared" ca="1" si="247"/>
        <v>2.5840999999999998</v>
      </c>
      <c r="F2964" s="23">
        <f t="shared" ca="1" si="248"/>
        <v>2.4965999999999999</v>
      </c>
      <c r="G2964" s="10">
        <f t="shared" ca="1" si="249"/>
        <v>1</v>
      </c>
      <c r="H2964" s="12">
        <f t="shared" ca="1" si="250"/>
        <v>0</v>
      </c>
      <c r="I2964" s="11">
        <f t="shared" ca="1" si="251"/>
        <v>1</v>
      </c>
      <c r="J2964" s="11">
        <f t="shared" ca="1" si="252"/>
        <v>1</v>
      </c>
      <c r="K2964" s="10" t="str">
        <f t="shared" ca="1" si="240"/>
        <v/>
      </c>
      <c r="L2964" s="11" t="str">
        <f t="shared" ca="1" si="241"/>
        <v/>
      </c>
      <c r="M2964" s="11" t="str">
        <f t="shared" ca="1" si="242"/>
        <v/>
      </c>
      <c r="N2964" s="15" t="str">
        <f t="shared" ca="1" si="243"/>
        <v/>
      </c>
      <c r="O2964" s="15" t="str">
        <f t="shared" ca="1" si="244"/>
        <v/>
      </c>
      <c r="P2964" s="16" t="str">
        <f t="shared" ca="1" si="245"/>
        <v/>
      </c>
      <c r="Q2964" s="11">
        <f t="shared" ca="1" si="253"/>
        <v>136.32393999999999</v>
      </c>
      <c r="R2964" s="11">
        <f t="shared" ca="1" si="254"/>
        <v>52.754800000000003</v>
      </c>
      <c r="S2964" s="61">
        <f t="shared" ca="1" si="255"/>
        <v>2.5840999999999998</v>
      </c>
      <c r="T2964" s="11">
        <f t="shared" ca="1" si="256"/>
        <v>10</v>
      </c>
      <c r="U2964" s="11">
        <f t="shared" ca="1" si="257"/>
        <v>25</v>
      </c>
      <c r="V2964" s="18">
        <f t="shared" ca="1" si="258"/>
        <v>-2683.5253000000002</v>
      </c>
      <c r="W2964" s="61">
        <f t="shared" ca="1" si="259"/>
        <v>2624.8065000000001</v>
      </c>
      <c r="X2964" s="61">
        <f t="shared" ca="1" si="260"/>
        <v>-58.718800000000101</v>
      </c>
      <c r="Y2964" s="64">
        <f t="shared" ca="1" si="261"/>
        <v>-4.4522052969587673E-2</v>
      </c>
    </row>
    <row r="2965" spans="1:25">
      <c r="A2965" s="2">
        <f>+Get_Data!A2964</f>
        <v>43745</v>
      </c>
      <c r="B2965">
        <f>+ROUND(Get_Data!B2964,5)</f>
        <v>134.43866</v>
      </c>
      <c r="C2965">
        <f>+ROUND(Get_Data!C2964,5)</f>
        <v>52.106720000000003</v>
      </c>
      <c r="D2965" s="4">
        <f t="shared" si="246"/>
        <v>2.58006</v>
      </c>
      <c r="E2965" s="22">
        <f t="shared" ca="1" si="247"/>
        <v>2.5840999999999998</v>
      </c>
      <c r="F2965" s="23">
        <f t="shared" ca="1" si="248"/>
        <v>2.4965999999999999</v>
      </c>
      <c r="G2965" s="10">
        <f t="shared" ca="1" si="249"/>
        <v>0</v>
      </c>
      <c r="H2965" s="12">
        <f t="shared" ca="1" si="250"/>
        <v>0</v>
      </c>
      <c r="I2965" s="11">
        <f t="shared" ca="1" si="251"/>
        <v>0</v>
      </c>
      <c r="J2965" s="11">
        <f t="shared" ca="1" si="252"/>
        <v>1</v>
      </c>
      <c r="K2965" s="10">
        <f t="shared" ca="1" si="240"/>
        <v>-134.43866</v>
      </c>
      <c r="L2965" s="11">
        <f t="shared" ca="1" si="241"/>
        <v>52.106720000000003</v>
      </c>
      <c r="M2965" s="11">
        <f t="shared" ca="1" si="242"/>
        <v>2.58006</v>
      </c>
      <c r="N2965" s="15">
        <f t="shared" ca="1" si="243"/>
        <v>10</v>
      </c>
      <c r="O2965" s="15">
        <f t="shared" ca="1" si="244"/>
        <v>26</v>
      </c>
      <c r="P2965" s="16">
        <f t="shared" ca="1" si="245"/>
        <v>10.388120000000072</v>
      </c>
      <c r="Q2965" s="11" t="str">
        <f t="shared" ca="1" si="253"/>
        <v/>
      </c>
      <c r="R2965" s="11" t="str">
        <f t="shared" ca="1" si="254"/>
        <v/>
      </c>
      <c r="S2965" s="61" t="str">
        <f t="shared" ca="1" si="255"/>
        <v/>
      </c>
      <c r="T2965" s="11" t="str">
        <f t="shared" ca="1" si="256"/>
        <v/>
      </c>
      <c r="U2965" s="11" t="str">
        <f t="shared" ca="1" si="257"/>
        <v/>
      </c>
      <c r="V2965" s="18" t="str">
        <f t="shared" ca="1" si="258"/>
        <v/>
      </c>
      <c r="W2965" s="61" t="str">
        <f t="shared" ca="1" si="259"/>
        <v/>
      </c>
      <c r="X2965" s="61">
        <f t="shared" ca="1" si="260"/>
        <v>0</v>
      </c>
      <c r="Y2965" s="64" t="str">
        <f t="shared" ca="1" si="261"/>
        <v/>
      </c>
    </row>
    <row r="2966" spans="1:25">
      <c r="A2966" s="2">
        <f>+Get_Data!A2965</f>
        <v>43746</v>
      </c>
      <c r="B2966">
        <f>+ROUND(Get_Data!B2965,5)</f>
        <v>133.36968999999999</v>
      </c>
      <c r="C2966">
        <f>+ROUND(Get_Data!C2965,5)</f>
        <v>51.826219999999999</v>
      </c>
      <c r="D2966" s="4">
        <f t="shared" si="246"/>
        <v>2.5733999999999999</v>
      </c>
      <c r="E2966" s="22">
        <f t="shared" ca="1" si="247"/>
        <v>2.5840999999999998</v>
      </c>
      <c r="F2966" s="23">
        <f t="shared" ca="1" si="248"/>
        <v>2.4965999999999999</v>
      </c>
      <c r="G2966" s="10">
        <f t="shared" ca="1" si="249"/>
        <v>0</v>
      </c>
      <c r="H2966" s="12">
        <f t="shared" ca="1" si="250"/>
        <v>0</v>
      </c>
      <c r="I2966" s="11">
        <f t="shared" ca="1" si="251"/>
        <v>0</v>
      </c>
      <c r="J2966" s="11">
        <f t="shared" ca="1" si="252"/>
        <v>1</v>
      </c>
      <c r="K2966" s="10">
        <f t="shared" ca="1" si="240"/>
        <v>-134.43866</v>
      </c>
      <c r="L2966" s="11">
        <f t="shared" ca="1" si="241"/>
        <v>52.106720000000003</v>
      </c>
      <c r="M2966" s="11">
        <f t="shared" ca="1" si="242"/>
        <v>2.58006</v>
      </c>
      <c r="N2966" s="15">
        <f t="shared" ca="1" si="243"/>
        <v>10</v>
      </c>
      <c r="O2966" s="15">
        <f t="shared" ca="1" si="244"/>
        <v>26</v>
      </c>
      <c r="P2966" s="16">
        <f t="shared" ca="1" si="245"/>
        <v>10.388120000000072</v>
      </c>
      <c r="Q2966" s="11" t="str">
        <f t="shared" ca="1" si="253"/>
        <v/>
      </c>
      <c r="R2966" s="11" t="str">
        <f t="shared" ca="1" si="254"/>
        <v/>
      </c>
      <c r="S2966" s="61" t="str">
        <f t="shared" ca="1" si="255"/>
        <v/>
      </c>
      <c r="T2966" s="11" t="str">
        <f t="shared" ca="1" si="256"/>
        <v/>
      </c>
      <c r="U2966" s="11" t="str">
        <f t="shared" ca="1" si="257"/>
        <v/>
      </c>
      <c r="V2966" s="18" t="str">
        <f t="shared" ca="1" si="258"/>
        <v/>
      </c>
      <c r="W2966" s="61" t="str">
        <f t="shared" ca="1" si="259"/>
        <v/>
      </c>
      <c r="X2966" s="61">
        <f t="shared" ca="1" si="260"/>
        <v>0</v>
      </c>
      <c r="Y2966" s="64" t="str">
        <f t="shared" ca="1" si="261"/>
        <v/>
      </c>
    </row>
    <row r="2967" spans="1:25">
      <c r="A2967" s="2">
        <f>+Get_Data!A2966</f>
        <v>43747</v>
      </c>
      <c r="B2967">
        <f>+ROUND(Get_Data!B2966,5)</f>
        <v>133.96248</v>
      </c>
      <c r="C2967">
        <f>+ROUND(Get_Data!C2966,5)</f>
        <v>52.068040000000003</v>
      </c>
      <c r="D2967" s="4">
        <f t="shared" si="246"/>
        <v>2.5728399999999998</v>
      </c>
      <c r="E2967" s="22">
        <f t="shared" ca="1" si="247"/>
        <v>2.5840999999999998</v>
      </c>
      <c r="F2967" s="23">
        <f t="shared" ca="1" si="248"/>
        <v>2.4965999999999999</v>
      </c>
      <c r="G2967" s="10">
        <f t="shared" ca="1" si="249"/>
        <v>0</v>
      </c>
      <c r="H2967" s="12">
        <f t="shared" ca="1" si="250"/>
        <v>0</v>
      </c>
      <c r="I2967" s="11">
        <f t="shared" ca="1" si="251"/>
        <v>0</v>
      </c>
      <c r="J2967" s="11">
        <f t="shared" ca="1" si="252"/>
        <v>1</v>
      </c>
      <c r="K2967" s="10">
        <f t="shared" ca="1" si="240"/>
        <v>-134.43866</v>
      </c>
      <c r="L2967" s="11">
        <f t="shared" ca="1" si="241"/>
        <v>52.106720000000003</v>
      </c>
      <c r="M2967" s="11">
        <f t="shared" ca="1" si="242"/>
        <v>2.58006</v>
      </c>
      <c r="N2967" s="15">
        <f t="shared" ca="1" si="243"/>
        <v>10</v>
      </c>
      <c r="O2967" s="15">
        <f t="shared" ca="1" si="244"/>
        <v>26</v>
      </c>
      <c r="P2967" s="16">
        <f t="shared" ca="1" si="245"/>
        <v>10.388120000000072</v>
      </c>
      <c r="Q2967" s="11" t="str">
        <f t="shared" ca="1" si="253"/>
        <v/>
      </c>
      <c r="R2967" s="11" t="str">
        <f t="shared" ca="1" si="254"/>
        <v/>
      </c>
      <c r="S2967" s="61" t="str">
        <f t="shared" ca="1" si="255"/>
        <v/>
      </c>
      <c r="T2967" s="11" t="str">
        <f t="shared" ca="1" si="256"/>
        <v/>
      </c>
      <c r="U2967" s="11" t="str">
        <f t="shared" ca="1" si="257"/>
        <v/>
      </c>
      <c r="V2967" s="18" t="str">
        <f t="shared" ca="1" si="258"/>
        <v/>
      </c>
      <c r="W2967" s="61" t="str">
        <f t="shared" ca="1" si="259"/>
        <v/>
      </c>
      <c r="X2967" s="61">
        <f t="shared" ca="1" si="260"/>
        <v>0</v>
      </c>
      <c r="Y2967" s="64" t="str">
        <f t="shared" ca="1" si="261"/>
        <v/>
      </c>
    </row>
    <row r="2968" spans="1:25">
      <c r="A2968" s="2">
        <f>+Get_Data!A2967</f>
        <v>43748</v>
      </c>
      <c r="B2968">
        <f>+ROUND(Get_Data!B2967,5)</f>
        <v>134.00134</v>
      </c>
      <c r="C2968">
        <f>+ROUND(Get_Data!C2967,5)</f>
        <v>51.903590000000001</v>
      </c>
      <c r="D2968" s="4">
        <f t="shared" si="246"/>
        <v>2.5817399999999999</v>
      </c>
      <c r="E2968" s="22">
        <f t="shared" ca="1" si="247"/>
        <v>2.5840999999999998</v>
      </c>
      <c r="F2968" s="23">
        <f t="shared" ca="1" si="248"/>
        <v>2.4965999999999999</v>
      </c>
      <c r="G2968" s="10">
        <f t="shared" ca="1" si="249"/>
        <v>0</v>
      </c>
      <c r="H2968" s="12">
        <f t="shared" ca="1" si="250"/>
        <v>0</v>
      </c>
      <c r="I2968" s="11">
        <f t="shared" ca="1" si="251"/>
        <v>0</v>
      </c>
      <c r="J2968" s="11">
        <f t="shared" ca="1" si="252"/>
        <v>1</v>
      </c>
      <c r="K2968" s="10">
        <f t="shared" ca="1" si="240"/>
        <v>-134.43866</v>
      </c>
      <c r="L2968" s="11">
        <f t="shared" ca="1" si="241"/>
        <v>52.106720000000003</v>
      </c>
      <c r="M2968" s="11">
        <f t="shared" ca="1" si="242"/>
        <v>2.58006</v>
      </c>
      <c r="N2968" s="15">
        <f t="shared" ca="1" si="243"/>
        <v>10</v>
      </c>
      <c r="O2968" s="15">
        <f t="shared" ca="1" si="244"/>
        <v>26</v>
      </c>
      <c r="P2968" s="16">
        <f t="shared" ca="1" si="245"/>
        <v>10.388120000000072</v>
      </c>
      <c r="Q2968" s="11" t="str">
        <f t="shared" ca="1" si="253"/>
        <v/>
      </c>
      <c r="R2968" s="11" t="str">
        <f t="shared" ca="1" si="254"/>
        <v/>
      </c>
      <c r="S2968" s="61" t="str">
        <f t="shared" ca="1" si="255"/>
        <v/>
      </c>
      <c r="T2968" s="11" t="str">
        <f t="shared" ca="1" si="256"/>
        <v/>
      </c>
      <c r="U2968" s="11" t="str">
        <f t="shared" ca="1" si="257"/>
        <v/>
      </c>
      <c r="V2968" s="18" t="str">
        <f t="shared" ca="1" si="258"/>
        <v/>
      </c>
      <c r="W2968" s="61" t="str">
        <f t="shared" ca="1" si="259"/>
        <v/>
      </c>
      <c r="X2968" s="61">
        <f t="shared" ca="1" si="260"/>
        <v>0</v>
      </c>
      <c r="Y2968" s="64" t="str">
        <f t="shared" ca="1" si="261"/>
        <v/>
      </c>
    </row>
    <row r="2969" spans="1:25">
      <c r="A2969" s="2">
        <f>+Get_Data!A2968</f>
        <v>43749</v>
      </c>
      <c r="B2969">
        <f>+ROUND(Get_Data!B2968,5)</f>
        <v>133.75838999999999</v>
      </c>
      <c r="C2969">
        <f>+ROUND(Get_Data!C2968,5)</f>
        <v>51.55538</v>
      </c>
      <c r="D2969" s="4">
        <f t="shared" si="246"/>
        <v>2.5944600000000002</v>
      </c>
      <c r="E2969" s="22">
        <f t="shared" ca="1" si="247"/>
        <v>2.5944600000000002</v>
      </c>
      <c r="F2969" s="23">
        <f t="shared" ca="1" si="248"/>
        <v>2.4965999999999999</v>
      </c>
      <c r="G2969" s="10">
        <f t="shared" ca="1" si="249"/>
        <v>1</v>
      </c>
      <c r="H2969" s="12">
        <f t="shared" ca="1" si="250"/>
        <v>0</v>
      </c>
      <c r="I2969" s="11">
        <f t="shared" ca="1" si="251"/>
        <v>1</v>
      </c>
      <c r="J2969" s="11">
        <f t="shared" ca="1" si="252"/>
        <v>2</v>
      </c>
      <c r="K2969" s="10">
        <f t="shared" ca="1" si="240"/>
        <v>-134.43866</v>
      </c>
      <c r="L2969" s="11">
        <f t="shared" ca="1" si="241"/>
        <v>52.106720000000003</v>
      </c>
      <c r="M2969" s="11">
        <f t="shared" ca="1" si="242"/>
        <v>2.58006</v>
      </c>
      <c r="N2969" s="15">
        <f t="shared" ca="1" si="243"/>
        <v>10</v>
      </c>
      <c r="O2969" s="15">
        <f t="shared" ca="1" si="244"/>
        <v>26</v>
      </c>
      <c r="P2969" s="16">
        <f t="shared" ca="1" si="245"/>
        <v>10.388120000000072</v>
      </c>
      <c r="Q2969" s="11" t="str">
        <f t="shared" ca="1" si="253"/>
        <v/>
      </c>
      <c r="R2969" s="11" t="str">
        <f t="shared" ca="1" si="254"/>
        <v/>
      </c>
      <c r="S2969" s="61" t="str">
        <f t="shared" ca="1" si="255"/>
        <v/>
      </c>
      <c r="T2969" s="11" t="str">
        <f t="shared" ca="1" si="256"/>
        <v/>
      </c>
      <c r="U2969" s="11" t="str">
        <f t="shared" ca="1" si="257"/>
        <v/>
      </c>
      <c r="V2969" s="18" t="str">
        <f t="shared" ca="1" si="258"/>
        <v/>
      </c>
      <c r="W2969" s="61" t="str">
        <f t="shared" ca="1" si="259"/>
        <v/>
      </c>
      <c r="X2969" s="61">
        <f t="shared" ca="1" si="260"/>
        <v>0</v>
      </c>
      <c r="Y2969" s="64" t="str">
        <f t="shared" ca="1" si="261"/>
        <v/>
      </c>
    </row>
    <row r="2970" spans="1:25">
      <c r="A2970" s="2">
        <f>+Get_Data!A2969</f>
        <v>43752</v>
      </c>
      <c r="B2970">
        <f>+ROUND(Get_Data!B2969,5)</f>
        <v>133.57375999999999</v>
      </c>
      <c r="C2970">
        <f>+ROUND(Get_Data!C2969,5)</f>
        <v>51.55538</v>
      </c>
      <c r="D2970" s="4">
        <f t="shared" si="246"/>
        <v>2.5908799999999998</v>
      </c>
      <c r="E2970" s="22">
        <f t="shared" ca="1" si="247"/>
        <v>2.5944600000000002</v>
      </c>
      <c r="F2970" s="23">
        <f t="shared" ca="1" si="248"/>
        <v>2.4965999999999999</v>
      </c>
      <c r="G2970" s="10">
        <f t="shared" ca="1" si="249"/>
        <v>0</v>
      </c>
      <c r="H2970" s="12">
        <f t="shared" ca="1" si="250"/>
        <v>0</v>
      </c>
      <c r="I2970" s="11">
        <f t="shared" ca="1" si="251"/>
        <v>0</v>
      </c>
      <c r="J2970" s="11">
        <f t="shared" ca="1" si="252"/>
        <v>2</v>
      </c>
      <c r="K2970" s="10">
        <f t="shared" ref="K2970:K3033" ca="1" si="262">+IF($J2969=0,"",IF(AND(ABS($J2969)=1,ABS($I2969)=1),-$J2969*B2970,K2969))</f>
        <v>-134.43866</v>
      </c>
      <c r="L2970" s="11">
        <f t="shared" ref="L2970:L3033" ca="1" si="263">+IF($J2969=0,"",IF(AND(ABS($J2969)=1,ABS($I2969)=1),$J2969*C2970,L2969))</f>
        <v>52.106720000000003</v>
      </c>
      <c r="M2970" s="11">
        <f t="shared" ref="M2970:M3033" ca="1" si="264">+IF($J2969=0,"",IF(AND(ABS($J2969)=1,ABS($I2969)=1),D2970,M2969))</f>
        <v>2.58006</v>
      </c>
      <c r="N2970" s="15">
        <f t="shared" ref="N2970:N3033" ca="1" si="265">+IF(ISNUMBER(K2970),stocks,"")</f>
        <v>10</v>
      </c>
      <c r="O2970" s="15">
        <f t="shared" ref="O2970:O3033" ca="1" si="266">+IFERROR(ROUND(N2970*M2970,0),"")</f>
        <v>26</v>
      </c>
      <c r="P2970" s="16">
        <f t="shared" ref="P2970:P3033" ca="1" si="267">IFERROR(+N2970*K2970+O2970*L2970,"")</f>
        <v>10.388120000000072</v>
      </c>
      <c r="Q2970" s="11" t="str">
        <f t="shared" ca="1" si="253"/>
        <v/>
      </c>
      <c r="R2970" s="11" t="str">
        <f t="shared" ca="1" si="254"/>
        <v/>
      </c>
      <c r="S2970" s="61" t="str">
        <f t="shared" ca="1" si="255"/>
        <v/>
      </c>
      <c r="T2970" s="11" t="str">
        <f t="shared" ca="1" si="256"/>
        <v/>
      </c>
      <c r="U2970" s="11" t="str">
        <f t="shared" ca="1" si="257"/>
        <v/>
      </c>
      <c r="V2970" s="18" t="str">
        <f t="shared" ca="1" si="258"/>
        <v/>
      </c>
      <c r="W2970" s="61" t="str">
        <f t="shared" ca="1" si="259"/>
        <v/>
      </c>
      <c r="X2970" s="61">
        <f t="shared" ca="1" si="260"/>
        <v>0</v>
      </c>
      <c r="Y2970" s="64" t="str">
        <f t="shared" ca="1" si="261"/>
        <v/>
      </c>
    </row>
    <row r="2971" spans="1:25">
      <c r="A2971" s="2">
        <f>+Get_Data!A2970</f>
        <v>43753</v>
      </c>
      <c r="B2971">
        <f>+ROUND(Get_Data!B2970,5)</f>
        <v>132.48534000000001</v>
      </c>
      <c r="C2971">
        <f>+ROUND(Get_Data!C2970,5)</f>
        <v>51.758499999999998</v>
      </c>
      <c r="D2971" s="4">
        <f t="shared" si="246"/>
        <v>2.5596800000000002</v>
      </c>
      <c r="E2971" s="22">
        <f t="shared" ca="1" si="247"/>
        <v>2.5944600000000002</v>
      </c>
      <c r="F2971" s="23">
        <f t="shared" ca="1" si="248"/>
        <v>2.4965999999999999</v>
      </c>
      <c r="G2971" s="10">
        <f t="shared" ca="1" si="249"/>
        <v>0</v>
      </c>
      <c r="H2971" s="12">
        <f t="shared" ca="1" si="250"/>
        <v>0</v>
      </c>
      <c r="I2971" s="11">
        <f t="shared" ca="1" si="251"/>
        <v>0</v>
      </c>
      <c r="J2971" s="11">
        <f t="shared" ca="1" si="252"/>
        <v>2</v>
      </c>
      <c r="K2971" s="10">
        <f t="shared" ca="1" si="262"/>
        <v>-134.43866</v>
      </c>
      <c r="L2971" s="11">
        <f t="shared" ca="1" si="263"/>
        <v>52.106720000000003</v>
      </c>
      <c r="M2971" s="11">
        <f t="shared" ca="1" si="264"/>
        <v>2.58006</v>
      </c>
      <c r="N2971" s="15">
        <f t="shared" ca="1" si="265"/>
        <v>10</v>
      </c>
      <c r="O2971" s="15">
        <f t="shared" ca="1" si="266"/>
        <v>26</v>
      </c>
      <c r="P2971" s="16">
        <f t="shared" ca="1" si="267"/>
        <v>10.388120000000072</v>
      </c>
      <c r="Q2971" s="11" t="str">
        <f t="shared" ca="1" si="253"/>
        <v/>
      </c>
      <c r="R2971" s="11" t="str">
        <f t="shared" ca="1" si="254"/>
        <v/>
      </c>
      <c r="S2971" s="61" t="str">
        <f t="shared" ca="1" si="255"/>
        <v/>
      </c>
      <c r="T2971" s="11" t="str">
        <f t="shared" ca="1" si="256"/>
        <v/>
      </c>
      <c r="U2971" s="11" t="str">
        <f t="shared" ca="1" si="257"/>
        <v/>
      </c>
      <c r="V2971" s="18" t="str">
        <f t="shared" ca="1" si="258"/>
        <v/>
      </c>
      <c r="W2971" s="61" t="str">
        <f t="shared" ca="1" si="259"/>
        <v/>
      </c>
      <c r="X2971" s="61">
        <f t="shared" ca="1" si="260"/>
        <v>0</v>
      </c>
      <c r="Y2971" s="64" t="str">
        <f t="shared" ca="1" si="261"/>
        <v/>
      </c>
    </row>
    <row r="2972" spans="1:25">
      <c r="A2972" s="2">
        <f>+Get_Data!A2971</f>
        <v>43754</v>
      </c>
      <c r="B2972">
        <f>+ROUND(Get_Data!B2971,5)</f>
        <v>132.57281</v>
      </c>
      <c r="C2972">
        <f>+ROUND(Get_Data!C2971,5)</f>
        <v>51.739159999999998</v>
      </c>
      <c r="D2972" s="4">
        <f t="shared" si="246"/>
        <v>2.5623300000000002</v>
      </c>
      <c r="E2972" s="22">
        <f t="shared" ca="1" si="247"/>
        <v>2.5944600000000002</v>
      </c>
      <c r="F2972" s="23">
        <f t="shared" ca="1" si="248"/>
        <v>2.4965999999999999</v>
      </c>
      <c r="G2972" s="10">
        <f t="shared" ca="1" si="249"/>
        <v>0</v>
      </c>
      <c r="H2972" s="12">
        <f t="shared" ca="1" si="250"/>
        <v>0</v>
      </c>
      <c r="I2972" s="11">
        <f t="shared" ca="1" si="251"/>
        <v>0</v>
      </c>
      <c r="J2972" s="11">
        <f t="shared" ca="1" si="252"/>
        <v>2</v>
      </c>
      <c r="K2972" s="10">
        <f t="shared" ca="1" si="262"/>
        <v>-134.43866</v>
      </c>
      <c r="L2972" s="11">
        <f t="shared" ca="1" si="263"/>
        <v>52.106720000000003</v>
      </c>
      <c r="M2972" s="11">
        <f t="shared" ca="1" si="264"/>
        <v>2.58006</v>
      </c>
      <c r="N2972" s="15">
        <f t="shared" ca="1" si="265"/>
        <v>10</v>
      </c>
      <c r="O2972" s="15">
        <f t="shared" ca="1" si="266"/>
        <v>26</v>
      </c>
      <c r="P2972" s="16">
        <f t="shared" ca="1" si="267"/>
        <v>10.388120000000072</v>
      </c>
      <c r="Q2972" s="11" t="str">
        <f t="shared" ca="1" si="253"/>
        <v/>
      </c>
      <c r="R2972" s="11" t="str">
        <f t="shared" ca="1" si="254"/>
        <v/>
      </c>
      <c r="S2972" s="61" t="str">
        <f t="shared" ca="1" si="255"/>
        <v/>
      </c>
      <c r="T2972" s="11" t="str">
        <f t="shared" ca="1" si="256"/>
        <v/>
      </c>
      <c r="U2972" s="11" t="str">
        <f t="shared" ca="1" si="257"/>
        <v/>
      </c>
      <c r="V2972" s="18" t="str">
        <f t="shared" ca="1" si="258"/>
        <v/>
      </c>
      <c r="W2972" s="61" t="str">
        <f t="shared" ca="1" si="259"/>
        <v/>
      </c>
      <c r="X2972" s="61">
        <f t="shared" ca="1" si="260"/>
        <v>0</v>
      </c>
      <c r="Y2972" s="64" t="str">
        <f t="shared" ca="1" si="261"/>
        <v/>
      </c>
    </row>
    <row r="2973" spans="1:25">
      <c r="A2973" s="2">
        <f>+Get_Data!A2972</f>
        <v>43755</v>
      </c>
      <c r="B2973">
        <f>+ROUND(Get_Data!B2972,5)</f>
        <v>133.09757999999999</v>
      </c>
      <c r="C2973">
        <f>+ROUND(Get_Data!C2972,5)</f>
        <v>52.029339999999998</v>
      </c>
      <c r="D2973" s="4">
        <f t="shared" si="246"/>
        <v>2.5581299999999998</v>
      </c>
      <c r="E2973" s="22">
        <f t="shared" ca="1" si="247"/>
        <v>2.5944600000000002</v>
      </c>
      <c r="F2973" s="23">
        <f t="shared" ca="1" si="248"/>
        <v>2.4965999999999999</v>
      </c>
      <c r="G2973" s="10">
        <f t="shared" ca="1" si="249"/>
        <v>0</v>
      </c>
      <c r="H2973" s="12">
        <f t="shared" ca="1" si="250"/>
        <v>0</v>
      </c>
      <c r="I2973" s="11">
        <f t="shared" ca="1" si="251"/>
        <v>0</v>
      </c>
      <c r="J2973" s="11">
        <f t="shared" ca="1" si="252"/>
        <v>2</v>
      </c>
      <c r="K2973" s="10">
        <f t="shared" ca="1" si="262"/>
        <v>-134.43866</v>
      </c>
      <c r="L2973" s="11">
        <f t="shared" ca="1" si="263"/>
        <v>52.106720000000003</v>
      </c>
      <c r="M2973" s="11">
        <f t="shared" ca="1" si="264"/>
        <v>2.58006</v>
      </c>
      <c r="N2973" s="15">
        <f t="shared" ca="1" si="265"/>
        <v>10</v>
      </c>
      <c r="O2973" s="15">
        <f t="shared" ca="1" si="266"/>
        <v>26</v>
      </c>
      <c r="P2973" s="16">
        <f t="shared" ca="1" si="267"/>
        <v>10.388120000000072</v>
      </c>
      <c r="Q2973" s="11" t="str">
        <f t="shared" ca="1" si="253"/>
        <v/>
      </c>
      <c r="R2973" s="11" t="str">
        <f t="shared" ca="1" si="254"/>
        <v/>
      </c>
      <c r="S2973" s="61" t="str">
        <f t="shared" ca="1" si="255"/>
        <v/>
      </c>
      <c r="T2973" s="11" t="str">
        <f t="shared" ca="1" si="256"/>
        <v/>
      </c>
      <c r="U2973" s="11" t="str">
        <f t="shared" ca="1" si="257"/>
        <v/>
      </c>
      <c r="V2973" s="18" t="str">
        <f t="shared" ca="1" si="258"/>
        <v/>
      </c>
      <c r="W2973" s="61" t="str">
        <f t="shared" ca="1" si="259"/>
        <v/>
      </c>
      <c r="X2973" s="61">
        <f t="shared" ca="1" si="260"/>
        <v>0</v>
      </c>
      <c r="Y2973" s="64" t="str">
        <f t="shared" ca="1" si="261"/>
        <v/>
      </c>
    </row>
    <row r="2974" spans="1:25">
      <c r="A2974" s="2">
        <f>+Get_Data!A2973</f>
        <v>43756</v>
      </c>
      <c r="B2974">
        <f>+ROUND(Get_Data!B2973,5)</f>
        <v>132.40761000000001</v>
      </c>
      <c r="C2974">
        <f>+ROUND(Get_Data!C2973,5)</f>
        <v>52.986930000000001</v>
      </c>
      <c r="D2974" s="4">
        <f t="shared" si="246"/>
        <v>2.4988700000000001</v>
      </c>
      <c r="E2974" s="22">
        <f t="shared" ca="1" si="247"/>
        <v>2.5944600000000002</v>
      </c>
      <c r="F2974" s="23">
        <f t="shared" ca="1" si="248"/>
        <v>2.4965999999999999</v>
      </c>
      <c r="G2974" s="10">
        <f t="shared" ca="1" si="249"/>
        <v>0</v>
      </c>
      <c r="H2974" s="12">
        <f t="shared" ca="1" si="250"/>
        <v>0</v>
      </c>
      <c r="I2974" s="11">
        <f t="shared" ca="1" si="251"/>
        <v>0</v>
      </c>
      <c r="J2974" s="11">
        <f t="shared" ca="1" si="252"/>
        <v>2</v>
      </c>
      <c r="K2974" s="10">
        <f t="shared" ca="1" si="262"/>
        <v>-134.43866</v>
      </c>
      <c r="L2974" s="11">
        <f t="shared" ca="1" si="263"/>
        <v>52.106720000000003</v>
      </c>
      <c r="M2974" s="11">
        <f t="shared" ca="1" si="264"/>
        <v>2.58006</v>
      </c>
      <c r="N2974" s="15">
        <f t="shared" ca="1" si="265"/>
        <v>10</v>
      </c>
      <c r="O2974" s="15">
        <f t="shared" ca="1" si="266"/>
        <v>26</v>
      </c>
      <c r="P2974" s="16">
        <f t="shared" ca="1" si="267"/>
        <v>10.388120000000072</v>
      </c>
      <c r="Q2974" s="11" t="str">
        <f t="shared" ca="1" si="253"/>
        <v/>
      </c>
      <c r="R2974" s="11" t="str">
        <f t="shared" ca="1" si="254"/>
        <v/>
      </c>
      <c r="S2974" s="61" t="str">
        <f t="shared" ca="1" si="255"/>
        <v/>
      </c>
      <c r="T2974" s="11" t="str">
        <f t="shared" ca="1" si="256"/>
        <v/>
      </c>
      <c r="U2974" s="11" t="str">
        <f t="shared" ca="1" si="257"/>
        <v/>
      </c>
      <c r="V2974" s="18" t="str">
        <f t="shared" ca="1" si="258"/>
        <v/>
      </c>
      <c r="W2974" s="61" t="str">
        <f t="shared" ca="1" si="259"/>
        <v/>
      </c>
      <c r="X2974" s="61">
        <f t="shared" ca="1" si="260"/>
        <v>0</v>
      </c>
      <c r="Y2974" s="64" t="str">
        <f t="shared" ca="1" si="261"/>
        <v/>
      </c>
    </row>
    <row r="2975" spans="1:25">
      <c r="A2975" s="2">
        <f>+Get_Data!A2974</f>
        <v>43759</v>
      </c>
      <c r="B2975">
        <f>+ROUND(Get_Data!B2974,5)</f>
        <v>132.28127000000001</v>
      </c>
      <c r="C2975">
        <f>+ROUND(Get_Data!C2974,5)</f>
        <v>52.454940000000001</v>
      </c>
      <c r="D2975" s="4">
        <f t="shared" si="246"/>
        <v>2.5218099999999999</v>
      </c>
      <c r="E2975" s="22">
        <f t="shared" ca="1" si="247"/>
        <v>2.5944600000000002</v>
      </c>
      <c r="F2975" s="23">
        <f t="shared" ca="1" si="248"/>
        <v>2.4965999999999999</v>
      </c>
      <c r="G2975" s="10">
        <f t="shared" ca="1" si="249"/>
        <v>0</v>
      </c>
      <c r="H2975" s="12">
        <f t="shared" ca="1" si="250"/>
        <v>0</v>
      </c>
      <c r="I2975" s="11">
        <f t="shared" ca="1" si="251"/>
        <v>0</v>
      </c>
      <c r="J2975" s="11">
        <f t="shared" ca="1" si="252"/>
        <v>2</v>
      </c>
      <c r="K2975" s="10">
        <f t="shared" ca="1" si="262"/>
        <v>-134.43866</v>
      </c>
      <c r="L2975" s="11">
        <f t="shared" ca="1" si="263"/>
        <v>52.106720000000003</v>
      </c>
      <c r="M2975" s="11">
        <f t="shared" ca="1" si="264"/>
        <v>2.58006</v>
      </c>
      <c r="N2975" s="15">
        <f t="shared" ca="1" si="265"/>
        <v>10</v>
      </c>
      <c r="O2975" s="15">
        <f t="shared" ca="1" si="266"/>
        <v>26</v>
      </c>
      <c r="P2975" s="16">
        <f t="shared" ca="1" si="267"/>
        <v>10.388120000000072</v>
      </c>
      <c r="Q2975" s="11" t="str">
        <f t="shared" ca="1" si="253"/>
        <v/>
      </c>
      <c r="R2975" s="11" t="str">
        <f t="shared" ca="1" si="254"/>
        <v/>
      </c>
      <c r="S2975" s="61" t="str">
        <f t="shared" ca="1" si="255"/>
        <v/>
      </c>
      <c r="T2975" s="11" t="str">
        <f t="shared" ca="1" si="256"/>
        <v/>
      </c>
      <c r="U2975" s="11" t="str">
        <f t="shared" ca="1" si="257"/>
        <v/>
      </c>
      <c r="V2975" s="18" t="str">
        <f t="shared" ca="1" si="258"/>
        <v/>
      </c>
      <c r="W2975" s="61" t="str">
        <f t="shared" ca="1" si="259"/>
        <v/>
      </c>
      <c r="X2975" s="61">
        <f t="shared" ca="1" si="260"/>
        <v>0</v>
      </c>
      <c r="Y2975" s="64" t="str">
        <f t="shared" ca="1" si="261"/>
        <v/>
      </c>
    </row>
    <row r="2976" spans="1:25">
      <c r="A2976" s="2">
        <f>+Get_Data!A2975</f>
        <v>43760</v>
      </c>
      <c r="B2976">
        <f>+ROUND(Get_Data!B2975,5)</f>
        <v>132.80602999999999</v>
      </c>
      <c r="C2976">
        <f>+ROUND(Get_Data!C2975,5)</f>
        <v>52.087380000000003</v>
      </c>
      <c r="D2976" s="4">
        <f t="shared" si="246"/>
        <v>2.5496799999999999</v>
      </c>
      <c r="E2976" s="22">
        <f t="shared" ca="1" si="247"/>
        <v>2.5944600000000002</v>
      </c>
      <c r="F2976" s="23">
        <f t="shared" ca="1" si="248"/>
        <v>2.4965999999999999</v>
      </c>
      <c r="G2976" s="10">
        <f t="shared" ca="1" si="249"/>
        <v>0</v>
      </c>
      <c r="H2976" s="12">
        <f t="shared" ca="1" si="250"/>
        <v>0</v>
      </c>
      <c r="I2976" s="11">
        <f t="shared" ca="1" si="251"/>
        <v>0</v>
      </c>
      <c r="J2976" s="11">
        <f t="shared" ca="1" si="252"/>
        <v>2</v>
      </c>
      <c r="K2976" s="10">
        <f t="shared" ca="1" si="262"/>
        <v>-134.43866</v>
      </c>
      <c r="L2976" s="11">
        <f t="shared" ca="1" si="263"/>
        <v>52.106720000000003</v>
      </c>
      <c r="M2976" s="11">
        <f t="shared" ca="1" si="264"/>
        <v>2.58006</v>
      </c>
      <c r="N2976" s="15">
        <f t="shared" ca="1" si="265"/>
        <v>10</v>
      </c>
      <c r="O2976" s="15">
        <f t="shared" ca="1" si="266"/>
        <v>26</v>
      </c>
      <c r="P2976" s="16">
        <f t="shared" ca="1" si="267"/>
        <v>10.388120000000072</v>
      </c>
      <c r="Q2976" s="11" t="str">
        <f t="shared" ca="1" si="253"/>
        <v/>
      </c>
      <c r="R2976" s="11" t="str">
        <f t="shared" ca="1" si="254"/>
        <v/>
      </c>
      <c r="S2976" s="61" t="str">
        <f t="shared" ca="1" si="255"/>
        <v/>
      </c>
      <c r="T2976" s="11" t="str">
        <f t="shared" ca="1" si="256"/>
        <v/>
      </c>
      <c r="U2976" s="11" t="str">
        <f t="shared" ca="1" si="257"/>
        <v/>
      </c>
      <c r="V2976" s="18" t="str">
        <f t="shared" ca="1" si="258"/>
        <v/>
      </c>
      <c r="W2976" s="61" t="str">
        <f t="shared" ca="1" si="259"/>
        <v/>
      </c>
      <c r="X2976" s="61">
        <f t="shared" ca="1" si="260"/>
        <v>0</v>
      </c>
      <c r="Y2976" s="64" t="str">
        <f t="shared" ca="1" si="261"/>
        <v/>
      </c>
    </row>
    <row r="2977" spans="1:25">
      <c r="A2977" s="2">
        <f>+Get_Data!A2976</f>
        <v>43761</v>
      </c>
      <c r="B2977">
        <f>+ROUND(Get_Data!B2976,5)</f>
        <v>133.57375999999999</v>
      </c>
      <c r="C2977">
        <f>+ROUND(Get_Data!C2976,5)</f>
        <v>52.851520000000001</v>
      </c>
      <c r="D2977" s="4">
        <f t="shared" si="246"/>
        <v>2.5273400000000001</v>
      </c>
      <c r="E2977" s="22">
        <f t="shared" ca="1" si="247"/>
        <v>2.5944600000000002</v>
      </c>
      <c r="F2977" s="23">
        <f t="shared" ca="1" si="248"/>
        <v>2.4965999999999999</v>
      </c>
      <c r="G2977" s="10">
        <f t="shared" ca="1" si="249"/>
        <v>0</v>
      </c>
      <c r="H2977" s="12">
        <f t="shared" ca="1" si="250"/>
        <v>0</v>
      </c>
      <c r="I2977" s="11">
        <f t="shared" ca="1" si="251"/>
        <v>0</v>
      </c>
      <c r="J2977" s="11">
        <f t="shared" ca="1" si="252"/>
        <v>2</v>
      </c>
      <c r="K2977" s="10">
        <f t="shared" ca="1" si="262"/>
        <v>-134.43866</v>
      </c>
      <c r="L2977" s="11">
        <f t="shared" ca="1" si="263"/>
        <v>52.106720000000003</v>
      </c>
      <c r="M2977" s="11">
        <f t="shared" ca="1" si="264"/>
        <v>2.58006</v>
      </c>
      <c r="N2977" s="15">
        <f t="shared" ca="1" si="265"/>
        <v>10</v>
      </c>
      <c r="O2977" s="15">
        <f t="shared" ca="1" si="266"/>
        <v>26</v>
      </c>
      <c r="P2977" s="16">
        <f t="shared" ca="1" si="267"/>
        <v>10.388120000000072</v>
      </c>
      <c r="Q2977" s="11" t="str">
        <f t="shared" ca="1" si="253"/>
        <v/>
      </c>
      <c r="R2977" s="11" t="str">
        <f t="shared" ca="1" si="254"/>
        <v/>
      </c>
      <c r="S2977" s="61" t="str">
        <f t="shared" ca="1" si="255"/>
        <v/>
      </c>
      <c r="T2977" s="11" t="str">
        <f t="shared" ca="1" si="256"/>
        <v/>
      </c>
      <c r="U2977" s="11" t="str">
        <f t="shared" ca="1" si="257"/>
        <v/>
      </c>
      <c r="V2977" s="18" t="str">
        <f t="shared" ca="1" si="258"/>
        <v/>
      </c>
      <c r="W2977" s="61" t="str">
        <f t="shared" ca="1" si="259"/>
        <v/>
      </c>
      <c r="X2977" s="61">
        <f t="shared" ca="1" si="260"/>
        <v>0</v>
      </c>
      <c r="Y2977" s="64" t="str">
        <f t="shared" ca="1" si="261"/>
        <v/>
      </c>
    </row>
    <row r="2978" spans="1:25">
      <c r="A2978" s="2">
        <f>+Get_Data!A2977</f>
        <v>43762</v>
      </c>
      <c r="B2978">
        <f>+ROUND(Get_Data!B2977,5)</f>
        <v>134.00134</v>
      </c>
      <c r="C2978">
        <f>+ROUND(Get_Data!C2977,5)</f>
        <v>52.822499999999998</v>
      </c>
      <c r="D2978" s="4">
        <f t="shared" si="246"/>
        <v>2.5368200000000001</v>
      </c>
      <c r="E2978" s="22">
        <f t="shared" ca="1" si="247"/>
        <v>2.5944600000000002</v>
      </c>
      <c r="F2978" s="23">
        <f t="shared" ca="1" si="248"/>
        <v>2.4988700000000001</v>
      </c>
      <c r="G2978" s="10">
        <f t="shared" ca="1" si="249"/>
        <v>0</v>
      </c>
      <c r="H2978" s="12">
        <f t="shared" ca="1" si="250"/>
        <v>0</v>
      </c>
      <c r="I2978" s="11">
        <f t="shared" ca="1" si="251"/>
        <v>0</v>
      </c>
      <c r="J2978" s="11">
        <f t="shared" ca="1" si="252"/>
        <v>2</v>
      </c>
      <c r="K2978" s="10">
        <f t="shared" ca="1" si="262"/>
        <v>-134.43866</v>
      </c>
      <c r="L2978" s="11">
        <f t="shared" ca="1" si="263"/>
        <v>52.106720000000003</v>
      </c>
      <c r="M2978" s="11">
        <f t="shared" ca="1" si="264"/>
        <v>2.58006</v>
      </c>
      <c r="N2978" s="15">
        <f t="shared" ca="1" si="265"/>
        <v>10</v>
      </c>
      <c r="O2978" s="15">
        <f t="shared" ca="1" si="266"/>
        <v>26</v>
      </c>
      <c r="P2978" s="16">
        <f t="shared" ca="1" si="267"/>
        <v>10.388120000000072</v>
      </c>
      <c r="Q2978" s="11" t="str">
        <f t="shared" ca="1" si="253"/>
        <v/>
      </c>
      <c r="R2978" s="11" t="str">
        <f t="shared" ca="1" si="254"/>
        <v/>
      </c>
      <c r="S2978" s="61" t="str">
        <f t="shared" ca="1" si="255"/>
        <v/>
      </c>
      <c r="T2978" s="11" t="str">
        <f t="shared" ca="1" si="256"/>
        <v/>
      </c>
      <c r="U2978" s="11" t="str">
        <f t="shared" ca="1" si="257"/>
        <v/>
      </c>
      <c r="V2978" s="18" t="str">
        <f t="shared" ca="1" si="258"/>
        <v/>
      </c>
      <c r="W2978" s="61" t="str">
        <f t="shared" ca="1" si="259"/>
        <v/>
      </c>
      <c r="X2978" s="61">
        <f t="shared" ca="1" si="260"/>
        <v>0</v>
      </c>
      <c r="Y2978" s="64" t="str">
        <f t="shared" ca="1" si="261"/>
        <v/>
      </c>
    </row>
    <row r="2979" spans="1:25">
      <c r="A2979" s="2">
        <f>+Get_Data!A2978</f>
        <v>43763</v>
      </c>
      <c r="B2979">
        <f>+ROUND(Get_Data!B2978,5)</f>
        <v>132.78661</v>
      </c>
      <c r="C2979">
        <f>+ROUND(Get_Data!C2978,5)</f>
        <v>51.990650000000002</v>
      </c>
      <c r="D2979" s="4">
        <f t="shared" si="246"/>
        <v>2.5540500000000002</v>
      </c>
      <c r="E2979" s="22">
        <f t="shared" ca="1" si="247"/>
        <v>2.5944600000000002</v>
      </c>
      <c r="F2979" s="23">
        <f t="shared" ca="1" si="248"/>
        <v>2.4988700000000001</v>
      </c>
      <c r="G2979" s="10">
        <f t="shared" ca="1" si="249"/>
        <v>0</v>
      </c>
      <c r="H2979" s="12">
        <f t="shared" ca="1" si="250"/>
        <v>0</v>
      </c>
      <c r="I2979" s="11">
        <f t="shared" ca="1" si="251"/>
        <v>0</v>
      </c>
      <c r="J2979" s="11">
        <f t="shared" ca="1" si="252"/>
        <v>2</v>
      </c>
      <c r="K2979" s="10">
        <f t="shared" ca="1" si="262"/>
        <v>-134.43866</v>
      </c>
      <c r="L2979" s="11">
        <f t="shared" ca="1" si="263"/>
        <v>52.106720000000003</v>
      </c>
      <c r="M2979" s="11">
        <f t="shared" ca="1" si="264"/>
        <v>2.58006</v>
      </c>
      <c r="N2979" s="15">
        <f t="shared" ca="1" si="265"/>
        <v>10</v>
      </c>
      <c r="O2979" s="15">
        <f t="shared" ca="1" si="266"/>
        <v>26</v>
      </c>
      <c r="P2979" s="16">
        <f t="shared" ca="1" si="267"/>
        <v>10.388120000000072</v>
      </c>
      <c r="Q2979" s="11" t="str">
        <f t="shared" ca="1" si="253"/>
        <v/>
      </c>
      <c r="R2979" s="11" t="str">
        <f t="shared" ca="1" si="254"/>
        <v/>
      </c>
      <c r="S2979" s="61" t="str">
        <f t="shared" ca="1" si="255"/>
        <v/>
      </c>
      <c r="T2979" s="11" t="str">
        <f t="shared" ca="1" si="256"/>
        <v/>
      </c>
      <c r="U2979" s="11" t="str">
        <f t="shared" ca="1" si="257"/>
        <v/>
      </c>
      <c r="V2979" s="18" t="str">
        <f t="shared" ca="1" si="258"/>
        <v/>
      </c>
      <c r="W2979" s="61" t="str">
        <f t="shared" ca="1" si="259"/>
        <v/>
      </c>
      <c r="X2979" s="61">
        <f t="shared" ca="1" si="260"/>
        <v>0</v>
      </c>
      <c r="Y2979" s="64" t="str">
        <f t="shared" ca="1" si="261"/>
        <v/>
      </c>
    </row>
    <row r="2980" spans="1:25">
      <c r="A2980" s="2">
        <f>+Get_Data!A2979</f>
        <v>43766</v>
      </c>
      <c r="B2980">
        <f>+ROUND(Get_Data!B2979,5)</f>
        <v>132.71858</v>
      </c>
      <c r="C2980">
        <f>+ROUND(Get_Data!C2979,5)</f>
        <v>51.816540000000003</v>
      </c>
      <c r="D2980" s="4">
        <f t="shared" si="246"/>
        <v>2.5613199999999998</v>
      </c>
      <c r="E2980" s="22">
        <f t="shared" ca="1" si="247"/>
        <v>2.5944600000000002</v>
      </c>
      <c r="F2980" s="23">
        <f t="shared" ca="1" si="248"/>
        <v>2.4988700000000001</v>
      </c>
      <c r="G2980" s="10">
        <f t="shared" ca="1" si="249"/>
        <v>0</v>
      </c>
      <c r="H2980" s="12">
        <f t="shared" ca="1" si="250"/>
        <v>0</v>
      </c>
      <c r="I2980" s="11">
        <f t="shared" ca="1" si="251"/>
        <v>0</v>
      </c>
      <c r="J2980" s="11">
        <f t="shared" ca="1" si="252"/>
        <v>2</v>
      </c>
      <c r="K2980" s="10">
        <f t="shared" ca="1" si="262"/>
        <v>-134.43866</v>
      </c>
      <c r="L2980" s="11">
        <f t="shared" ca="1" si="263"/>
        <v>52.106720000000003</v>
      </c>
      <c r="M2980" s="11">
        <f t="shared" ca="1" si="264"/>
        <v>2.58006</v>
      </c>
      <c r="N2980" s="15">
        <f t="shared" ca="1" si="265"/>
        <v>10</v>
      </c>
      <c r="O2980" s="15">
        <f t="shared" ca="1" si="266"/>
        <v>26</v>
      </c>
      <c r="P2980" s="16">
        <f t="shared" ca="1" si="267"/>
        <v>10.388120000000072</v>
      </c>
      <c r="Q2980" s="11" t="str">
        <f t="shared" ca="1" si="253"/>
        <v/>
      </c>
      <c r="R2980" s="11" t="str">
        <f t="shared" ca="1" si="254"/>
        <v/>
      </c>
      <c r="S2980" s="61" t="str">
        <f t="shared" ca="1" si="255"/>
        <v/>
      </c>
      <c r="T2980" s="11" t="str">
        <f t="shared" ca="1" si="256"/>
        <v/>
      </c>
      <c r="U2980" s="11" t="str">
        <f t="shared" ca="1" si="257"/>
        <v/>
      </c>
      <c r="V2980" s="18" t="str">
        <f t="shared" ca="1" si="258"/>
        <v/>
      </c>
      <c r="W2980" s="61" t="str">
        <f t="shared" ca="1" si="259"/>
        <v/>
      </c>
      <c r="X2980" s="61">
        <f t="shared" ca="1" si="260"/>
        <v>0</v>
      </c>
      <c r="Y2980" s="64" t="str">
        <f t="shared" ca="1" si="261"/>
        <v/>
      </c>
    </row>
    <row r="2981" spans="1:25">
      <c r="A2981" s="2">
        <f>+Get_Data!A2980</f>
        <v>43767</v>
      </c>
      <c r="B2981">
        <f>+ROUND(Get_Data!B2980,5)</f>
        <v>132.2424</v>
      </c>
      <c r="C2981">
        <f>+ROUND(Get_Data!C2980,5)</f>
        <v>51.66178</v>
      </c>
      <c r="D2981" s="4">
        <f t="shared" si="246"/>
        <v>2.5597699999999999</v>
      </c>
      <c r="E2981" s="22">
        <f t="shared" ca="1" si="247"/>
        <v>2.5944600000000002</v>
      </c>
      <c r="F2981" s="23">
        <f t="shared" ca="1" si="248"/>
        <v>2.4988700000000001</v>
      </c>
      <c r="G2981" s="10">
        <f t="shared" ca="1" si="249"/>
        <v>0</v>
      </c>
      <c r="H2981" s="12">
        <f t="shared" ca="1" si="250"/>
        <v>0</v>
      </c>
      <c r="I2981" s="11">
        <f t="shared" ca="1" si="251"/>
        <v>0</v>
      </c>
      <c r="J2981" s="11">
        <f t="shared" ca="1" si="252"/>
        <v>2</v>
      </c>
      <c r="K2981" s="10">
        <f t="shared" ca="1" si="262"/>
        <v>-134.43866</v>
      </c>
      <c r="L2981" s="11">
        <f t="shared" ca="1" si="263"/>
        <v>52.106720000000003</v>
      </c>
      <c r="M2981" s="11">
        <f t="shared" ca="1" si="264"/>
        <v>2.58006</v>
      </c>
      <c r="N2981" s="15">
        <f t="shared" ca="1" si="265"/>
        <v>10</v>
      </c>
      <c r="O2981" s="15">
        <f t="shared" ca="1" si="266"/>
        <v>26</v>
      </c>
      <c r="P2981" s="16">
        <f t="shared" ca="1" si="267"/>
        <v>10.388120000000072</v>
      </c>
      <c r="Q2981" s="11" t="str">
        <f t="shared" ca="1" si="253"/>
        <v/>
      </c>
      <c r="R2981" s="11" t="str">
        <f t="shared" ca="1" si="254"/>
        <v/>
      </c>
      <c r="S2981" s="61" t="str">
        <f t="shared" ca="1" si="255"/>
        <v/>
      </c>
      <c r="T2981" s="11" t="str">
        <f t="shared" ca="1" si="256"/>
        <v/>
      </c>
      <c r="U2981" s="11" t="str">
        <f t="shared" ca="1" si="257"/>
        <v/>
      </c>
      <c r="V2981" s="18" t="str">
        <f t="shared" ca="1" si="258"/>
        <v/>
      </c>
      <c r="W2981" s="61" t="str">
        <f t="shared" ca="1" si="259"/>
        <v/>
      </c>
      <c r="X2981" s="61">
        <f t="shared" ca="1" si="260"/>
        <v>0</v>
      </c>
      <c r="Y2981" s="64" t="str">
        <f t="shared" ca="1" si="261"/>
        <v/>
      </c>
    </row>
    <row r="2982" spans="1:25">
      <c r="A2982" s="2">
        <f>+Get_Data!A2981</f>
        <v>43768</v>
      </c>
      <c r="B2982">
        <f>+ROUND(Get_Data!B2981,5)</f>
        <v>133.03927999999999</v>
      </c>
      <c r="C2982">
        <f>+ROUND(Get_Data!C2981,5)</f>
        <v>52.174430000000001</v>
      </c>
      <c r="D2982" s="4">
        <f t="shared" si="246"/>
        <v>2.54989</v>
      </c>
      <c r="E2982" s="22">
        <f t="shared" ca="1" si="247"/>
        <v>2.5944600000000002</v>
      </c>
      <c r="F2982" s="23">
        <f t="shared" ca="1" si="248"/>
        <v>2.4988700000000001</v>
      </c>
      <c r="G2982" s="10">
        <f t="shared" ca="1" si="249"/>
        <v>0</v>
      </c>
      <c r="H2982" s="12">
        <f t="shared" ca="1" si="250"/>
        <v>0</v>
      </c>
      <c r="I2982" s="11">
        <f t="shared" ca="1" si="251"/>
        <v>0</v>
      </c>
      <c r="J2982" s="11">
        <f t="shared" ca="1" si="252"/>
        <v>2</v>
      </c>
      <c r="K2982" s="10">
        <f t="shared" ca="1" si="262"/>
        <v>-134.43866</v>
      </c>
      <c r="L2982" s="11">
        <f t="shared" ca="1" si="263"/>
        <v>52.106720000000003</v>
      </c>
      <c r="M2982" s="11">
        <f t="shared" ca="1" si="264"/>
        <v>2.58006</v>
      </c>
      <c r="N2982" s="15">
        <f t="shared" ca="1" si="265"/>
        <v>10</v>
      </c>
      <c r="O2982" s="15">
        <f t="shared" ca="1" si="266"/>
        <v>26</v>
      </c>
      <c r="P2982" s="16">
        <f t="shared" ca="1" si="267"/>
        <v>10.388120000000072</v>
      </c>
      <c r="Q2982" s="11" t="str">
        <f t="shared" ca="1" si="253"/>
        <v/>
      </c>
      <c r="R2982" s="11" t="str">
        <f t="shared" ca="1" si="254"/>
        <v/>
      </c>
      <c r="S2982" s="61" t="str">
        <f t="shared" ca="1" si="255"/>
        <v/>
      </c>
      <c r="T2982" s="11" t="str">
        <f t="shared" ca="1" si="256"/>
        <v/>
      </c>
      <c r="U2982" s="11" t="str">
        <f t="shared" ca="1" si="257"/>
        <v/>
      </c>
      <c r="V2982" s="18" t="str">
        <f t="shared" ca="1" si="258"/>
        <v/>
      </c>
      <c r="W2982" s="61" t="str">
        <f t="shared" ca="1" si="259"/>
        <v/>
      </c>
      <c r="X2982" s="61">
        <f t="shared" ca="1" si="260"/>
        <v>0</v>
      </c>
      <c r="Y2982" s="64" t="str">
        <f t="shared" ca="1" si="261"/>
        <v/>
      </c>
    </row>
    <row r="2983" spans="1:25">
      <c r="A2983" s="2">
        <f>+Get_Data!A2982</f>
        <v>43769</v>
      </c>
      <c r="B2983">
        <f>+ROUND(Get_Data!B2982,5)</f>
        <v>133.30163999999999</v>
      </c>
      <c r="C2983">
        <f>+ROUND(Get_Data!C2982,5)</f>
        <v>52.648389999999999</v>
      </c>
      <c r="D2983" s="4">
        <f t="shared" si="246"/>
        <v>2.5319199999999999</v>
      </c>
      <c r="E2983" s="22">
        <f t="shared" ca="1" si="247"/>
        <v>2.5944600000000002</v>
      </c>
      <c r="F2983" s="23">
        <f t="shared" ca="1" si="248"/>
        <v>2.4988700000000001</v>
      </c>
      <c r="G2983" s="10">
        <f t="shared" ca="1" si="249"/>
        <v>0</v>
      </c>
      <c r="H2983" s="12">
        <f t="shared" ca="1" si="250"/>
        <v>0</v>
      </c>
      <c r="I2983" s="11">
        <f t="shared" ca="1" si="251"/>
        <v>0</v>
      </c>
      <c r="J2983" s="11">
        <f t="shared" ca="1" si="252"/>
        <v>2</v>
      </c>
      <c r="K2983" s="10">
        <f t="shared" ca="1" si="262"/>
        <v>-134.43866</v>
      </c>
      <c r="L2983" s="11">
        <f t="shared" ca="1" si="263"/>
        <v>52.106720000000003</v>
      </c>
      <c r="M2983" s="11">
        <f t="shared" ca="1" si="264"/>
        <v>2.58006</v>
      </c>
      <c r="N2983" s="15">
        <f t="shared" ca="1" si="265"/>
        <v>10</v>
      </c>
      <c r="O2983" s="15">
        <f t="shared" ca="1" si="266"/>
        <v>26</v>
      </c>
      <c r="P2983" s="16">
        <f t="shared" ca="1" si="267"/>
        <v>10.388120000000072</v>
      </c>
      <c r="Q2983" s="11" t="str">
        <f t="shared" ca="1" si="253"/>
        <v/>
      </c>
      <c r="R2983" s="11" t="str">
        <f t="shared" ca="1" si="254"/>
        <v/>
      </c>
      <c r="S2983" s="61" t="str">
        <f t="shared" ca="1" si="255"/>
        <v/>
      </c>
      <c r="T2983" s="11" t="str">
        <f t="shared" ca="1" si="256"/>
        <v/>
      </c>
      <c r="U2983" s="11" t="str">
        <f t="shared" ca="1" si="257"/>
        <v/>
      </c>
      <c r="V2983" s="18" t="str">
        <f t="shared" ca="1" si="258"/>
        <v/>
      </c>
      <c r="W2983" s="61" t="str">
        <f t="shared" ca="1" si="259"/>
        <v/>
      </c>
      <c r="X2983" s="61">
        <f t="shared" ca="1" si="260"/>
        <v>0</v>
      </c>
      <c r="Y2983" s="64" t="str">
        <f t="shared" ca="1" si="261"/>
        <v/>
      </c>
    </row>
    <row r="2984" spans="1:25">
      <c r="A2984" s="2">
        <f>+Get_Data!A2983</f>
        <v>43770</v>
      </c>
      <c r="B2984">
        <f>+ROUND(Get_Data!B2983,5)</f>
        <v>133.06842</v>
      </c>
      <c r="C2984">
        <f>+ROUND(Get_Data!C2983,5)</f>
        <v>52.135739999999998</v>
      </c>
      <c r="D2984" s="4">
        <f t="shared" si="246"/>
        <v>2.5523500000000001</v>
      </c>
      <c r="E2984" s="22">
        <f t="shared" ca="1" si="247"/>
        <v>2.5944600000000002</v>
      </c>
      <c r="F2984" s="23">
        <f t="shared" ca="1" si="248"/>
        <v>2.4988700000000001</v>
      </c>
      <c r="G2984" s="10">
        <f t="shared" ca="1" si="249"/>
        <v>0</v>
      </c>
      <c r="H2984" s="12">
        <f t="shared" ca="1" si="250"/>
        <v>0</v>
      </c>
      <c r="I2984" s="11">
        <f t="shared" ca="1" si="251"/>
        <v>0</v>
      </c>
      <c r="J2984" s="11">
        <f t="shared" ca="1" si="252"/>
        <v>2</v>
      </c>
      <c r="K2984" s="10">
        <f t="shared" ca="1" si="262"/>
        <v>-134.43866</v>
      </c>
      <c r="L2984" s="11">
        <f t="shared" ca="1" si="263"/>
        <v>52.106720000000003</v>
      </c>
      <c r="M2984" s="11">
        <f t="shared" ca="1" si="264"/>
        <v>2.58006</v>
      </c>
      <c r="N2984" s="15">
        <f t="shared" ca="1" si="265"/>
        <v>10</v>
      </c>
      <c r="O2984" s="15">
        <f t="shared" ca="1" si="266"/>
        <v>26</v>
      </c>
      <c r="P2984" s="16">
        <f t="shared" ca="1" si="267"/>
        <v>10.388120000000072</v>
      </c>
      <c r="Q2984" s="11" t="str">
        <f t="shared" ca="1" si="253"/>
        <v/>
      </c>
      <c r="R2984" s="11" t="str">
        <f t="shared" ca="1" si="254"/>
        <v/>
      </c>
      <c r="S2984" s="61" t="str">
        <f t="shared" ca="1" si="255"/>
        <v/>
      </c>
      <c r="T2984" s="11" t="str">
        <f t="shared" ca="1" si="256"/>
        <v/>
      </c>
      <c r="U2984" s="11" t="str">
        <f t="shared" ca="1" si="257"/>
        <v/>
      </c>
      <c r="V2984" s="18" t="str">
        <f t="shared" ca="1" si="258"/>
        <v/>
      </c>
      <c r="W2984" s="61" t="str">
        <f t="shared" ca="1" si="259"/>
        <v/>
      </c>
      <c r="X2984" s="61">
        <f t="shared" ca="1" si="260"/>
        <v>0</v>
      </c>
      <c r="Y2984" s="64" t="str">
        <f t="shared" ca="1" si="261"/>
        <v/>
      </c>
    </row>
    <row r="2985" spans="1:25">
      <c r="A2985" s="2">
        <f>+Get_Data!A2984</f>
        <v>43773</v>
      </c>
      <c r="B2985">
        <f>+ROUND(Get_Data!B2984,5)</f>
        <v>131.34834000000001</v>
      </c>
      <c r="C2985">
        <f>+ROUND(Get_Data!C2984,5)</f>
        <v>51.40061</v>
      </c>
      <c r="D2985" s="4">
        <f t="shared" si="246"/>
        <v>2.55538</v>
      </c>
      <c r="E2985" s="22">
        <f t="shared" ca="1" si="247"/>
        <v>2.5944600000000002</v>
      </c>
      <c r="F2985" s="23">
        <f t="shared" ca="1" si="248"/>
        <v>2.4988700000000001</v>
      </c>
      <c r="G2985" s="10">
        <f t="shared" ca="1" si="249"/>
        <v>0</v>
      </c>
      <c r="H2985" s="12">
        <f t="shared" ca="1" si="250"/>
        <v>0</v>
      </c>
      <c r="I2985" s="11">
        <f t="shared" ca="1" si="251"/>
        <v>0</v>
      </c>
      <c r="J2985" s="11">
        <f t="shared" ca="1" si="252"/>
        <v>2</v>
      </c>
      <c r="K2985" s="10">
        <f t="shared" ca="1" si="262"/>
        <v>-134.43866</v>
      </c>
      <c r="L2985" s="11">
        <f t="shared" ca="1" si="263"/>
        <v>52.106720000000003</v>
      </c>
      <c r="M2985" s="11">
        <f t="shared" ca="1" si="264"/>
        <v>2.58006</v>
      </c>
      <c r="N2985" s="15">
        <f t="shared" ca="1" si="265"/>
        <v>10</v>
      </c>
      <c r="O2985" s="15">
        <f t="shared" ca="1" si="266"/>
        <v>26</v>
      </c>
      <c r="P2985" s="16">
        <f t="shared" ca="1" si="267"/>
        <v>10.388120000000072</v>
      </c>
      <c r="Q2985" s="11" t="str">
        <f t="shared" ca="1" si="253"/>
        <v/>
      </c>
      <c r="R2985" s="11" t="str">
        <f t="shared" ca="1" si="254"/>
        <v/>
      </c>
      <c r="S2985" s="61" t="str">
        <f t="shared" ca="1" si="255"/>
        <v/>
      </c>
      <c r="T2985" s="11" t="str">
        <f t="shared" ca="1" si="256"/>
        <v/>
      </c>
      <c r="U2985" s="11" t="str">
        <f t="shared" ca="1" si="257"/>
        <v/>
      </c>
      <c r="V2985" s="18" t="str">
        <f t="shared" ca="1" si="258"/>
        <v/>
      </c>
      <c r="W2985" s="61" t="str">
        <f t="shared" ca="1" si="259"/>
        <v/>
      </c>
      <c r="X2985" s="61">
        <f t="shared" ca="1" si="260"/>
        <v>0</v>
      </c>
      <c r="Y2985" s="64" t="str">
        <f t="shared" ca="1" si="261"/>
        <v/>
      </c>
    </row>
    <row r="2986" spans="1:25">
      <c r="A2986" s="2">
        <f>+Get_Data!A2985</f>
        <v>43774</v>
      </c>
      <c r="B2986">
        <f>+ROUND(Get_Data!B2985,5)</f>
        <v>130.23077000000001</v>
      </c>
      <c r="C2986">
        <f>+ROUND(Get_Data!C2985,5)</f>
        <v>50.704180000000001</v>
      </c>
      <c r="D2986" s="4">
        <f t="shared" si="246"/>
        <v>2.5684399999999998</v>
      </c>
      <c r="E2986" s="22">
        <f t="shared" ca="1" si="247"/>
        <v>2.5944600000000002</v>
      </c>
      <c r="F2986" s="23">
        <f t="shared" ca="1" si="248"/>
        <v>2.4988700000000001</v>
      </c>
      <c r="G2986" s="10">
        <f t="shared" ca="1" si="249"/>
        <v>0</v>
      </c>
      <c r="H2986" s="12">
        <f t="shared" ca="1" si="250"/>
        <v>0</v>
      </c>
      <c r="I2986" s="11">
        <f t="shared" ca="1" si="251"/>
        <v>0</v>
      </c>
      <c r="J2986" s="11">
        <f t="shared" ca="1" si="252"/>
        <v>2</v>
      </c>
      <c r="K2986" s="10">
        <f t="shared" ca="1" si="262"/>
        <v>-134.43866</v>
      </c>
      <c r="L2986" s="11">
        <f t="shared" ca="1" si="263"/>
        <v>52.106720000000003</v>
      </c>
      <c r="M2986" s="11">
        <f t="shared" ca="1" si="264"/>
        <v>2.58006</v>
      </c>
      <c r="N2986" s="15">
        <f t="shared" ca="1" si="265"/>
        <v>10</v>
      </c>
      <c r="O2986" s="15">
        <f t="shared" ca="1" si="266"/>
        <v>26</v>
      </c>
      <c r="P2986" s="16">
        <f t="shared" ca="1" si="267"/>
        <v>10.388120000000072</v>
      </c>
      <c r="Q2986" s="11" t="str">
        <f t="shared" ca="1" si="253"/>
        <v/>
      </c>
      <c r="R2986" s="11" t="str">
        <f t="shared" ca="1" si="254"/>
        <v/>
      </c>
      <c r="S2986" s="61" t="str">
        <f t="shared" ca="1" si="255"/>
        <v/>
      </c>
      <c r="T2986" s="11" t="str">
        <f t="shared" ca="1" si="256"/>
        <v/>
      </c>
      <c r="U2986" s="11" t="str">
        <f t="shared" ca="1" si="257"/>
        <v/>
      </c>
      <c r="V2986" s="18" t="str">
        <f t="shared" ca="1" si="258"/>
        <v/>
      </c>
      <c r="W2986" s="61" t="str">
        <f t="shared" ca="1" si="259"/>
        <v/>
      </c>
      <c r="X2986" s="61">
        <f t="shared" ca="1" si="260"/>
        <v>0</v>
      </c>
      <c r="Y2986" s="64" t="str">
        <f t="shared" ca="1" si="261"/>
        <v/>
      </c>
    </row>
    <row r="2987" spans="1:25">
      <c r="A2987" s="2">
        <f>+Get_Data!A2986</f>
        <v>43775</v>
      </c>
      <c r="B2987">
        <f>+ROUND(Get_Data!B2986,5)</f>
        <v>130.64865</v>
      </c>
      <c r="C2987">
        <f>+ROUND(Get_Data!C2986,5)</f>
        <v>51.071739999999998</v>
      </c>
      <c r="D2987" s="4">
        <f t="shared" si="246"/>
        <v>2.5581399999999999</v>
      </c>
      <c r="E2987" s="22">
        <f t="shared" ca="1" si="247"/>
        <v>2.5944600000000002</v>
      </c>
      <c r="F2987" s="23">
        <f t="shared" ca="1" si="248"/>
        <v>2.4988700000000001</v>
      </c>
      <c r="G2987" s="10">
        <f t="shared" ca="1" si="249"/>
        <v>0</v>
      </c>
      <c r="H2987" s="12">
        <f t="shared" ca="1" si="250"/>
        <v>0</v>
      </c>
      <c r="I2987" s="11">
        <f t="shared" ca="1" si="251"/>
        <v>0</v>
      </c>
      <c r="J2987" s="11">
        <f t="shared" ca="1" si="252"/>
        <v>2</v>
      </c>
      <c r="K2987" s="10">
        <f t="shared" ca="1" si="262"/>
        <v>-134.43866</v>
      </c>
      <c r="L2987" s="11">
        <f t="shared" ca="1" si="263"/>
        <v>52.106720000000003</v>
      </c>
      <c r="M2987" s="11">
        <f t="shared" ca="1" si="264"/>
        <v>2.58006</v>
      </c>
      <c r="N2987" s="15">
        <f t="shared" ca="1" si="265"/>
        <v>10</v>
      </c>
      <c r="O2987" s="15">
        <f t="shared" ca="1" si="266"/>
        <v>26</v>
      </c>
      <c r="P2987" s="16">
        <f t="shared" ca="1" si="267"/>
        <v>10.388120000000072</v>
      </c>
      <c r="Q2987" s="11" t="str">
        <f t="shared" ca="1" si="253"/>
        <v/>
      </c>
      <c r="R2987" s="11" t="str">
        <f t="shared" ca="1" si="254"/>
        <v/>
      </c>
      <c r="S2987" s="61" t="str">
        <f t="shared" ca="1" si="255"/>
        <v/>
      </c>
      <c r="T2987" s="11" t="str">
        <f t="shared" ca="1" si="256"/>
        <v/>
      </c>
      <c r="U2987" s="11" t="str">
        <f t="shared" ca="1" si="257"/>
        <v/>
      </c>
      <c r="V2987" s="18" t="str">
        <f t="shared" ca="1" si="258"/>
        <v/>
      </c>
      <c r="W2987" s="61" t="str">
        <f t="shared" ca="1" si="259"/>
        <v/>
      </c>
      <c r="X2987" s="61">
        <f t="shared" ca="1" si="260"/>
        <v>0</v>
      </c>
      <c r="Y2987" s="64" t="str">
        <f t="shared" ca="1" si="261"/>
        <v/>
      </c>
    </row>
    <row r="2988" spans="1:25">
      <c r="A2988" s="2">
        <f>+Get_Data!A2987</f>
        <v>43776</v>
      </c>
      <c r="B2988">
        <f>+ROUND(Get_Data!B2987,5)</f>
        <v>129.56022999999999</v>
      </c>
      <c r="C2988">
        <f>+ROUND(Get_Data!C2987,5)</f>
        <v>50.578440000000001</v>
      </c>
      <c r="D2988" s="4">
        <f t="shared" si="246"/>
        <v>2.5615700000000001</v>
      </c>
      <c r="E2988" s="22">
        <f t="shared" ca="1" si="247"/>
        <v>2.5944600000000002</v>
      </c>
      <c r="F2988" s="23">
        <f t="shared" ca="1" si="248"/>
        <v>2.4988700000000001</v>
      </c>
      <c r="G2988" s="10">
        <f t="shared" ca="1" si="249"/>
        <v>0</v>
      </c>
      <c r="H2988" s="12">
        <f t="shared" ca="1" si="250"/>
        <v>0</v>
      </c>
      <c r="I2988" s="11">
        <f t="shared" ca="1" si="251"/>
        <v>0</v>
      </c>
      <c r="J2988" s="11">
        <f t="shared" ca="1" si="252"/>
        <v>2</v>
      </c>
      <c r="K2988" s="10">
        <f t="shared" ca="1" si="262"/>
        <v>-134.43866</v>
      </c>
      <c r="L2988" s="11">
        <f t="shared" ca="1" si="263"/>
        <v>52.106720000000003</v>
      </c>
      <c r="M2988" s="11">
        <f t="shared" ca="1" si="264"/>
        <v>2.58006</v>
      </c>
      <c r="N2988" s="15">
        <f t="shared" ca="1" si="265"/>
        <v>10</v>
      </c>
      <c r="O2988" s="15">
        <f t="shared" ca="1" si="266"/>
        <v>26</v>
      </c>
      <c r="P2988" s="16">
        <f t="shared" ca="1" si="267"/>
        <v>10.388120000000072</v>
      </c>
      <c r="Q2988" s="11" t="str">
        <f t="shared" ca="1" si="253"/>
        <v/>
      </c>
      <c r="R2988" s="11" t="str">
        <f t="shared" ca="1" si="254"/>
        <v/>
      </c>
      <c r="S2988" s="61" t="str">
        <f t="shared" ca="1" si="255"/>
        <v/>
      </c>
      <c r="T2988" s="11" t="str">
        <f t="shared" ca="1" si="256"/>
        <v/>
      </c>
      <c r="U2988" s="11" t="str">
        <f t="shared" ca="1" si="257"/>
        <v/>
      </c>
      <c r="V2988" s="18" t="str">
        <f t="shared" ca="1" si="258"/>
        <v/>
      </c>
      <c r="W2988" s="61" t="str">
        <f t="shared" ca="1" si="259"/>
        <v/>
      </c>
      <c r="X2988" s="61">
        <f t="shared" ca="1" si="260"/>
        <v>0</v>
      </c>
      <c r="Y2988" s="64" t="str">
        <f t="shared" ca="1" si="261"/>
        <v/>
      </c>
    </row>
    <row r="2989" spans="1:25">
      <c r="A2989" s="2">
        <f>+Get_Data!A2988</f>
        <v>43777</v>
      </c>
      <c r="B2989">
        <f>+ROUND(Get_Data!B2988,5)</f>
        <v>129.37558000000001</v>
      </c>
      <c r="C2989">
        <f>+ROUND(Get_Data!C2988,5)</f>
        <v>50.501060000000003</v>
      </c>
      <c r="D2989" s="4">
        <f t="shared" si="246"/>
        <v>2.5618400000000001</v>
      </c>
      <c r="E2989" s="22">
        <f t="shared" ca="1" si="247"/>
        <v>2.5944600000000002</v>
      </c>
      <c r="F2989" s="23">
        <f t="shared" ca="1" si="248"/>
        <v>2.4988700000000001</v>
      </c>
      <c r="G2989" s="10">
        <f t="shared" ca="1" si="249"/>
        <v>0</v>
      </c>
      <c r="H2989" s="12">
        <f t="shared" ca="1" si="250"/>
        <v>0</v>
      </c>
      <c r="I2989" s="11">
        <f t="shared" ca="1" si="251"/>
        <v>0</v>
      </c>
      <c r="J2989" s="11">
        <f t="shared" ca="1" si="252"/>
        <v>2</v>
      </c>
      <c r="K2989" s="10">
        <f t="shared" ca="1" si="262"/>
        <v>-134.43866</v>
      </c>
      <c r="L2989" s="11">
        <f t="shared" ca="1" si="263"/>
        <v>52.106720000000003</v>
      </c>
      <c r="M2989" s="11">
        <f t="shared" ca="1" si="264"/>
        <v>2.58006</v>
      </c>
      <c r="N2989" s="15">
        <f t="shared" ca="1" si="265"/>
        <v>10</v>
      </c>
      <c r="O2989" s="15">
        <f t="shared" ca="1" si="266"/>
        <v>26</v>
      </c>
      <c r="P2989" s="16">
        <f t="shared" ca="1" si="267"/>
        <v>10.388120000000072</v>
      </c>
      <c r="Q2989" s="11" t="str">
        <f t="shared" ca="1" si="253"/>
        <v/>
      </c>
      <c r="R2989" s="11" t="str">
        <f t="shared" ca="1" si="254"/>
        <v/>
      </c>
      <c r="S2989" s="61" t="str">
        <f t="shared" ca="1" si="255"/>
        <v/>
      </c>
      <c r="T2989" s="11" t="str">
        <f t="shared" ca="1" si="256"/>
        <v/>
      </c>
      <c r="U2989" s="11" t="str">
        <f t="shared" ca="1" si="257"/>
        <v/>
      </c>
      <c r="V2989" s="18" t="str">
        <f t="shared" ca="1" si="258"/>
        <v/>
      </c>
      <c r="W2989" s="61" t="str">
        <f t="shared" ca="1" si="259"/>
        <v/>
      </c>
      <c r="X2989" s="61">
        <f t="shared" ca="1" si="260"/>
        <v>0</v>
      </c>
      <c r="Y2989" s="64" t="str">
        <f t="shared" ca="1" si="261"/>
        <v/>
      </c>
    </row>
    <row r="2990" spans="1:25">
      <c r="A2990" s="2">
        <f>+Get_Data!A2989</f>
        <v>43780</v>
      </c>
      <c r="B2990">
        <f>+ROUND(Get_Data!B2989,5)</f>
        <v>128.65645000000001</v>
      </c>
      <c r="C2990">
        <f>+ROUND(Get_Data!C2989,5)</f>
        <v>50.143169999999998</v>
      </c>
      <c r="D2990" s="4">
        <f t="shared" si="246"/>
        <v>2.5657800000000002</v>
      </c>
      <c r="E2990" s="22">
        <f t="shared" ca="1" si="247"/>
        <v>2.5944600000000002</v>
      </c>
      <c r="F2990" s="23">
        <f t="shared" ca="1" si="248"/>
        <v>2.4988700000000001</v>
      </c>
      <c r="G2990" s="10">
        <f t="shared" ca="1" si="249"/>
        <v>0</v>
      </c>
      <c r="H2990" s="12">
        <f t="shared" ca="1" si="250"/>
        <v>0</v>
      </c>
      <c r="I2990" s="11">
        <f t="shared" ca="1" si="251"/>
        <v>0</v>
      </c>
      <c r="J2990" s="11">
        <f t="shared" ca="1" si="252"/>
        <v>2</v>
      </c>
      <c r="K2990" s="10">
        <f t="shared" ca="1" si="262"/>
        <v>-134.43866</v>
      </c>
      <c r="L2990" s="11">
        <f t="shared" ca="1" si="263"/>
        <v>52.106720000000003</v>
      </c>
      <c r="M2990" s="11">
        <f t="shared" ca="1" si="264"/>
        <v>2.58006</v>
      </c>
      <c r="N2990" s="15">
        <f t="shared" ca="1" si="265"/>
        <v>10</v>
      </c>
      <c r="O2990" s="15">
        <f t="shared" ca="1" si="266"/>
        <v>26</v>
      </c>
      <c r="P2990" s="16">
        <f t="shared" ca="1" si="267"/>
        <v>10.388120000000072</v>
      </c>
      <c r="Q2990" s="11" t="str">
        <f t="shared" ca="1" si="253"/>
        <v/>
      </c>
      <c r="R2990" s="11" t="str">
        <f t="shared" ca="1" si="254"/>
        <v/>
      </c>
      <c r="S2990" s="61" t="str">
        <f t="shared" ca="1" si="255"/>
        <v/>
      </c>
      <c r="T2990" s="11" t="str">
        <f t="shared" ca="1" si="256"/>
        <v/>
      </c>
      <c r="U2990" s="11" t="str">
        <f t="shared" ca="1" si="257"/>
        <v/>
      </c>
      <c r="V2990" s="18" t="str">
        <f t="shared" ca="1" si="258"/>
        <v/>
      </c>
      <c r="W2990" s="61" t="str">
        <f t="shared" ca="1" si="259"/>
        <v/>
      </c>
      <c r="X2990" s="61">
        <f t="shared" ca="1" si="260"/>
        <v>0</v>
      </c>
      <c r="Y2990" s="64" t="str">
        <f t="shared" ca="1" si="261"/>
        <v/>
      </c>
    </row>
    <row r="2991" spans="1:25">
      <c r="A2991" s="2">
        <f>+Get_Data!A2990</f>
        <v>43781</v>
      </c>
      <c r="B2991">
        <f>+ROUND(Get_Data!B2990,5)</f>
        <v>128.25801000000001</v>
      </c>
      <c r="C2991">
        <f>+ROUND(Get_Data!C2990,5)</f>
        <v>50.017420000000001</v>
      </c>
      <c r="D2991" s="4">
        <f t="shared" si="246"/>
        <v>2.56427</v>
      </c>
      <c r="E2991" s="22">
        <f t="shared" ca="1" si="247"/>
        <v>2.5944600000000002</v>
      </c>
      <c r="F2991" s="23">
        <f t="shared" ca="1" si="248"/>
        <v>2.4988700000000001</v>
      </c>
      <c r="G2991" s="10">
        <f t="shared" ca="1" si="249"/>
        <v>0</v>
      </c>
      <c r="H2991" s="12">
        <f t="shared" ca="1" si="250"/>
        <v>0</v>
      </c>
      <c r="I2991" s="11">
        <f t="shared" ca="1" si="251"/>
        <v>0</v>
      </c>
      <c r="J2991" s="11">
        <f t="shared" ca="1" si="252"/>
        <v>2</v>
      </c>
      <c r="K2991" s="10">
        <f t="shared" ca="1" si="262"/>
        <v>-134.43866</v>
      </c>
      <c r="L2991" s="11">
        <f t="shared" ca="1" si="263"/>
        <v>52.106720000000003</v>
      </c>
      <c r="M2991" s="11">
        <f t="shared" ca="1" si="264"/>
        <v>2.58006</v>
      </c>
      <c r="N2991" s="15">
        <f t="shared" ca="1" si="265"/>
        <v>10</v>
      </c>
      <c r="O2991" s="15">
        <f t="shared" ca="1" si="266"/>
        <v>26</v>
      </c>
      <c r="P2991" s="16">
        <f t="shared" ca="1" si="267"/>
        <v>10.388120000000072</v>
      </c>
      <c r="Q2991" s="11" t="str">
        <f t="shared" ca="1" si="253"/>
        <v/>
      </c>
      <c r="R2991" s="11" t="str">
        <f t="shared" ca="1" si="254"/>
        <v/>
      </c>
      <c r="S2991" s="61" t="str">
        <f t="shared" ca="1" si="255"/>
        <v/>
      </c>
      <c r="T2991" s="11" t="str">
        <f t="shared" ca="1" si="256"/>
        <v/>
      </c>
      <c r="U2991" s="11" t="str">
        <f t="shared" ca="1" si="257"/>
        <v/>
      </c>
      <c r="V2991" s="18" t="str">
        <f t="shared" ca="1" si="258"/>
        <v/>
      </c>
      <c r="W2991" s="61" t="str">
        <f t="shared" ca="1" si="259"/>
        <v/>
      </c>
      <c r="X2991" s="61">
        <f t="shared" ca="1" si="260"/>
        <v>0</v>
      </c>
      <c r="Y2991" s="64" t="str">
        <f t="shared" ca="1" si="261"/>
        <v/>
      </c>
    </row>
    <row r="2992" spans="1:25">
      <c r="A2992" s="2">
        <f>+Get_Data!A2991</f>
        <v>43782</v>
      </c>
      <c r="B2992">
        <f>+ROUND(Get_Data!B2991,5)</f>
        <v>129.53107</v>
      </c>
      <c r="C2992">
        <f>+ROUND(Get_Data!C2991,5)</f>
        <v>50.694510000000001</v>
      </c>
      <c r="D2992" s="4">
        <f t="shared" si="246"/>
        <v>2.5551300000000001</v>
      </c>
      <c r="E2992" s="22">
        <f t="shared" ca="1" si="247"/>
        <v>2.5944600000000002</v>
      </c>
      <c r="F2992" s="23">
        <f t="shared" ca="1" si="248"/>
        <v>2.4988700000000001</v>
      </c>
      <c r="G2992" s="10">
        <f t="shared" ca="1" si="249"/>
        <v>0</v>
      </c>
      <c r="H2992" s="12">
        <f t="shared" ca="1" si="250"/>
        <v>0</v>
      </c>
      <c r="I2992" s="11">
        <f t="shared" ca="1" si="251"/>
        <v>0</v>
      </c>
      <c r="J2992" s="11">
        <f t="shared" ca="1" si="252"/>
        <v>2</v>
      </c>
      <c r="K2992" s="10">
        <f t="shared" ca="1" si="262"/>
        <v>-134.43866</v>
      </c>
      <c r="L2992" s="11">
        <f t="shared" ca="1" si="263"/>
        <v>52.106720000000003</v>
      </c>
      <c r="M2992" s="11">
        <f t="shared" ca="1" si="264"/>
        <v>2.58006</v>
      </c>
      <c r="N2992" s="15">
        <f t="shared" ca="1" si="265"/>
        <v>10</v>
      </c>
      <c r="O2992" s="15">
        <f t="shared" ca="1" si="266"/>
        <v>26</v>
      </c>
      <c r="P2992" s="16">
        <f t="shared" ca="1" si="267"/>
        <v>10.388120000000072</v>
      </c>
      <c r="Q2992" s="11" t="str">
        <f t="shared" ca="1" si="253"/>
        <v/>
      </c>
      <c r="R2992" s="11" t="str">
        <f t="shared" ca="1" si="254"/>
        <v/>
      </c>
      <c r="S2992" s="61" t="str">
        <f t="shared" ca="1" si="255"/>
        <v/>
      </c>
      <c r="T2992" s="11" t="str">
        <f t="shared" ca="1" si="256"/>
        <v/>
      </c>
      <c r="U2992" s="11" t="str">
        <f t="shared" ca="1" si="257"/>
        <v/>
      </c>
      <c r="V2992" s="18" t="str">
        <f t="shared" ca="1" si="258"/>
        <v/>
      </c>
      <c r="W2992" s="61" t="str">
        <f t="shared" ca="1" si="259"/>
        <v/>
      </c>
      <c r="X2992" s="61">
        <f t="shared" ca="1" si="260"/>
        <v>0</v>
      </c>
      <c r="Y2992" s="64" t="str">
        <f t="shared" ca="1" si="261"/>
        <v/>
      </c>
    </row>
    <row r="2993" spans="1:25">
      <c r="A2993" s="2">
        <f>+Get_Data!A2992</f>
        <v>43783</v>
      </c>
      <c r="B2993">
        <f>+ROUND(Get_Data!B2992,5)</f>
        <v>129.56995000000001</v>
      </c>
      <c r="C2993">
        <f>+ROUND(Get_Data!C2992,5)</f>
        <v>50.907310000000003</v>
      </c>
      <c r="D2993" s="4">
        <f t="shared" si="246"/>
        <v>2.54521</v>
      </c>
      <c r="E2993" s="22">
        <f t="shared" ca="1" si="247"/>
        <v>2.5944600000000002</v>
      </c>
      <c r="F2993" s="23">
        <f t="shared" ca="1" si="248"/>
        <v>2.4988700000000001</v>
      </c>
      <c r="G2993" s="10">
        <f t="shared" ca="1" si="249"/>
        <v>0</v>
      </c>
      <c r="H2993" s="12">
        <f t="shared" ca="1" si="250"/>
        <v>0</v>
      </c>
      <c r="I2993" s="11">
        <f t="shared" ca="1" si="251"/>
        <v>0</v>
      </c>
      <c r="J2993" s="11">
        <f t="shared" ca="1" si="252"/>
        <v>2</v>
      </c>
      <c r="K2993" s="10">
        <f t="shared" ca="1" si="262"/>
        <v>-134.43866</v>
      </c>
      <c r="L2993" s="11">
        <f t="shared" ca="1" si="263"/>
        <v>52.106720000000003</v>
      </c>
      <c r="M2993" s="11">
        <f t="shared" ca="1" si="264"/>
        <v>2.58006</v>
      </c>
      <c r="N2993" s="15">
        <f t="shared" ca="1" si="265"/>
        <v>10</v>
      </c>
      <c r="O2993" s="15">
        <f t="shared" ca="1" si="266"/>
        <v>26</v>
      </c>
      <c r="P2993" s="16">
        <f t="shared" ca="1" si="267"/>
        <v>10.388120000000072</v>
      </c>
      <c r="Q2993" s="11" t="str">
        <f t="shared" ca="1" si="253"/>
        <v/>
      </c>
      <c r="R2993" s="11" t="str">
        <f t="shared" ca="1" si="254"/>
        <v/>
      </c>
      <c r="S2993" s="61" t="str">
        <f t="shared" ca="1" si="255"/>
        <v/>
      </c>
      <c r="T2993" s="11" t="str">
        <f t="shared" ca="1" si="256"/>
        <v/>
      </c>
      <c r="U2993" s="11" t="str">
        <f t="shared" ca="1" si="257"/>
        <v/>
      </c>
      <c r="V2993" s="18" t="str">
        <f t="shared" ca="1" si="258"/>
        <v/>
      </c>
      <c r="W2993" s="61" t="str">
        <f t="shared" ca="1" si="259"/>
        <v/>
      </c>
      <c r="X2993" s="61">
        <f t="shared" ca="1" si="260"/>
        <v>0</v>
      </c>
      <c r="Y2993" s="64" t="str">
        <f t="shared" ca="1" si="261"/>
        <v/>
      </c>
    </row>
    <row r="2994" spans="1:25">
      <c r="A2994" s="2">
        <f>+Get_Data!A2993</f>
        <v>43784</v>
      </c>
      <c r="B2994">
        <f>+ROUND(Get_Data!B2993,5)</f>
        <v>130.03640999999999</v>
      </c>
      <c r="C2994">
        <f>+ROUND(Get_Data!C2993,5)</f>
        <v>50.945999999999998</v>
      </c>
      <c r="D2994" s="4">
        <f t="shared" ref="D2994:D3057" si="268">IFERROR(ROUND(B2994/C2994,5),"")</f>
        <v>2.5524399999999998</v>
      </c>
      <c r="E2994" s="22">
        <f t="shared" ca="1" si="247"/>
        <v>2.5908799999999998</v>
      </c>
      <c r="F2994" s="23">
        <f t="shared" ca="1" si="248"/>
        <v>2.4988700000000001</v>
      </c>
      <c r="G2994" s="10">
        <f t="shared" ca="1" si="249"/>
        <v>0</v>
      </c>
      <c r="H2994" s="12">
        <f t="shared" ca="1" si="250"/>
        <v>0</v>
      </c>
      <c r="I2994" s="11">
        <f t="shared" ca="1" si="251"/>
        <v>0</v>
      </c>
      <c r="J2994" s="11">
        <f t="shared" ca="1" si="252"/>
        <v>2</v>
      </c>
      <c r="K2994" s="10">
        <f t="shared" ca="1" si="262"/>
        <v>-134.43866</v>
      </c>
      <c r="L2994" s="11">
        <f t="shared" ca="1" si="263"/>
        <v>52.106720000000003</v>
      </c>
      <c r="M2994" s="11">
        <f t="shared" ca="1" si="264"/>
        <v>2.58006</v>
      </c>
      <c r="N2994" s="15">
        <f t="shared" ca="1" si="265"/>
        <v>10</v>
      </c>
      <c r="O2994" s="15">
        <f t="shared" ca="1" si="266"/>
        <v>26</v>
      </c>
      <c r="P2994" s="16">
        <f t="shared" ca="1" si="267"/>
        <v>10.388120000000072</v>
      </c>
      <c r="Q2994" s="11" t="str">
        <f t="shared" ca="1" si="253"/>
        <v/>
      </c>
      <c r="R2994" s="11" t="str">
        <f t="shared" ca="1" si="254"/>
        <v/>
      </c>
      <c r="S2994" s="61" t="str">
        <f t="shared" ca="1" si="255"/>
        <v/>
      </c>
      <c r="T2994" s="11" t="str">
        <f t="shared" ca="1" si="256"/>
        <v/>
      </c>
      <c r="U2994" s="11" t="str">
        <f t="shared" ca="1" si="257"/>
        <v/>
      </c>
      <c r="V2994" s="18" t="str">
        <f t="shared" ca="1" si="258"/>
        <v/>
      </c>
      <c r="W2994" s="61" t="str">
        <f t="shared" ca="1" si="259"/>
        <v/>
      </c>
      <c r="X2994" s="61">
        <f t="shared" ca="1" si="260"/>
        <v>0</v>
      </c>
      <c r="Y2994" s="64" t="str">
        <f t="shared" ca="1" si="261"/>
        <v/>
      </c>
    </row>
    <row r="2995" spans="1:25">
      <c r="A2995" s="2">
        <f>+Get_Data!A2994</f>
        <v>43787</v>
      </c>
      <c r="B2995">
        <f>+ROUND(Get_Data!B2994,5)</f>
        <v>130.27933999999999</v>
      </c>
      <c r="C2995">
        <f>+ROUND(Get_Data!C2994,5)</f>
        <v>51.29421</v>
      </c>
      <c r="D2995" s="4">
        <f t="shared" si="268"/>
        <v>2.5398399999999999</v>
      </c>
      <c r="E2995" s="22">
        <f t="shared" ca="1" si="247"/>
        <v>2.5684399999999998</v>
      </c>
      <c r="F2995" s="23">
        <f t="shared" ca="1" si="248"/>
        <v>2.4988700000000001</v>
      </c>
      <c r="G2995" s="10">
        <f t="shared" ca="1" si="249"/>
        <v>0</v>
      </c>
      <c r="H2995" s="12">
        <f t="shared" ca="1" si="250"/>
        <v>0</v>
      </c>
      <c r="I2995" s="11">
        <f t="shared" ca="1" si="251"/>
        <v>0</v>
      </c>
      <c r="J2995" s="11">
        <f t="shared" ca="1" si="252"/>
        <v>2</v>
      </c>
      <c r="K2995" s="10">
        <f t="shared" ca="1" si="262"/>
        <v>-134.43866</v>
      </c>
      <c r="L2995" s="11">
        <f t="shared" ca="1" si="263"/>
        <v>52.106720000000003</v>
      </c>
      <c r="M2995" s="11">
        <f t="shared" ca="1" si="264"/>
        <v>2.58006</v>
      </c>
      <c r="N2995" s="15">
        <f t="shared" ca="1" si="265"/>
        <v>10</v>
      </c>
      <c r="O2995" s="15">
        <f t="shared" ca="1" si="266"/>
        <v>26</v>
      </c>
      <c r="P2995" s="16">
        <f t="shared" ca="1" si="267"/>
        <v>10.388120000000072</v>
      </c>
      <c r="Q2995" s="11" t="str">
        <f t="shared" ca="1" si="253"/>
        <v/>
      </c>
      <c r="R2995" s="11" t="str">
        <f t="shared" ca="1" si="254"/>
        <v/>
      </c>
      <c r="S2995" s="61" t="str">
        <f t="shared" ca="1" si="255"/>
        <v/>
      </c>
      <c r="T2995" s="11" t="str">
        <f t="shared" ca="1" si="256"/>
        <v/>
      </c>
      <c r="U2995" s="11" t="str">
        <f t="shared" ca="1" si="257"/>
        <v/>
      </c>
      <c r="V2995" s="18" t="str">
        <f t="shared" ca="1" si="258"/>
        <v/>
      </c>
      <c r="W2995" s="61" t="str">
        <f t="shared" ca="1" si="259"/>
        <v/>
      </c>
      <c r="X2995" s="61">
        <f t="shared" ca="1" si="260"/>
        <v>0</v>
      </c>
      <c r="Y2995" s="64" t="str">
        <f t="shared" ca="1" si="261"/>
        <v/>
      </c>
    </row>
    <row r="2996" spans="1:25">
      <c r="A2996" s="2">
        <f>+Get_Data!A2995</f>
        <v>43788</v>
      </c>
      <c r="B2996">
        <f>+ROUND(Get_Data!B2995,5)</f>
        <v>130.77498</v>
      </c>
      <c r="C2996">
        <f>+ROUND(Get_Data!C2995,5)</f>
        <v>51.342579999999998</v>
      </c>
      <c r="D2996" s="4">
        <f t="shared" si="268"/>
        <v>2.54711</v>
      </c>
      <c r="E2996" s="22">
        <f t="shared" ca="1" si="247"/>
        <v>2.5684399999999998</v>
      </c>
      <c r="F2996" s="23">
        <f t="shared" ca="1" si="248"/>
        <v>2.4988700000000001</v>
      </c>
      <c r="G2996" s="10">
        <f t="shared" ca="1" si="249"/>
        <v>0</v>
      </c>
      <c r="H2996" s="12">
        <f t="shared" ca="1" si="250"/>
        <v>0</v>
      </c>
      <c r="I2996" s="11">
        <f t="shared" ca="1" si="251"/>
        <v>0</v>
      </c>
      <c r="J2996" s="11">
        <f t="shared" ca="1" si="252"/>
        <v>2</v>
      </c>
      <c r="K2996" s="10">
        <f t="shared" ca="1" si="262"/>
        <v>-134.43866</v>
      </c>
      <c r="L2996" s="11">
        <f t="shared" ca="1" si="263"/>
        <v>52.106720000000003</v>
      </c>
      <c r="M2996" s="11">
        <f t="shared" ca="1" si="264"/>
        <v>2.58006</v>
      </c>
      <c r="N2996" s="15">
        <f t="shared" ca="1" si="265"/>
        <v>10</v>
      </c>
      <c r="O2996" s="15">
        <f t="shared" ca="1" si="266"/>
        <v>26</v>
      </c>
      <c r="P2996" s="16">
        <f t="shared" ca="1" si="267"/>
        <v>10.388120000000072</v>
      </c>
      <c r="Q2996" s="11" t="str">
        <f t="shared" ca="1" si="253"/>
        <v/>
      </c>
      <c r="R2996" s="11" t="str">
        <f t="shared" ca="1" si="254"/>
        <v/>
      </c>
      <c r="S2996" s="61" t="str">
        <f t="shared" ca="1" si="255"/>
        <v/>
      </c>
      <c r="T2996" s="11" t="str">
        <f t="shared" ca="1" si="256"/>
        <v/>
      </c>
      <c r="U2996" s="11" t="str">
        <f t="shared" ca="1" si="257"/>
        <v/>
      </c>
      <c r="V2996" s="18" t="str">
        <f t="shared" ca="1" si="258"/>
        <v/>
      </c>
      <c r="W2996" s="61" t="str">
        <f t="shared" ca="1" si="259"/>
        <v/>
      </c>
      <c r="X2996" s="61">
        <f t="shared" ca="1" si="260"/>
        <v>0</v>
      </c>
      <c r="Y2996" s="64" t="str">
        <f t="shared" ca="1" si="261"/>
        <v/>
      </c>
    </row>
    <row r="2997" spans="1:25">
      <c r="A2997" s="2">
        <f>+Get_Data!A2996</f>
        <v>43789</v>
      </c>
      <c r="B2997">
        <f>+ROUND(Get_Data!B2996,5)</f>
        <v>129.96838</v>
      </c>
      <c r="C2997">
        <f>+ROUND(Get_Data!C2996,5)</f>
        <v>51.478000000000002</v>
      </c>
      <c r="D2997" s="4">
        <f t="shared" si="268"/>
        <v>2.52474</v>
      </c>
      <c r="E2997" s="22">
        <f t="shared" ca="1" si="247"/>
        <v>2.5684399999999998</v>
      </c>
      <c r="F2997" s="23">
        <f t="shared" ca="1" si="248"/>
        <v>2.4988700000000001</v>
      </c>
      <c r="G2997" s="10">
        <f t="shared" ca="1" si="249"/>
        <v>0</v>
      </c>
      <c r="H2997" s="12">
        <f t="shared" ca="1" si="250"/>
        <v>0</v>
      </c>
      <c r="I2997" s="11">
        <f t="shared" ca="1" si="251"/>
        <v>0</v>
      </c>
      <c r="J2997" s="11">
        <f t="shared" ca="1" si="252"/>
        <v>2</v>
      </c>
      <c r="K2997" s="10">
        <f t="shared" ca="1" si="262"/>
        <v>-134.43866</v>
      </c>
      <c r="L2997" s="11">
        <f t="shared" ca="1" si="263"/>
        <v>52.106720000000003</v>
      </c>
      <c r="M2997" s="11">
        <f t="shared" ca="1" si="264"/>
        <v>2.58006</v>
      </c>
      <c r="N2997" s="15">
        <f t="shared" ca="1" si="265"/>
        <v>10</v>
      </c>
      <c r="O2997" s="15">
        <f t="shared" ca="1" si="266"/>
        <v>26</v>
      </c>
      <c r="P2997" s="16">
        <f t="shared" ca="1" si="267"/>
        <v>10.388120000000072</v>
      </c>
      <c r="Q2997" s="11" t="str">
        <f t="shared" ca="1" si="253"/>
        <v/>
      </c>
      <c r="R2997" s="11" t="str">
        <f t="shared" ca="1" si="254"/>
        <v/>
      </c>
      <c r="S2997" s="61" t="str">
        <f t="shared" ca="1" si="255"/>
        <v/>
      </c>
      <c r="T2997" s="11" t="str">
        <f t="shared" ca="1" si="256"/>
        <v/>
      </c>
      <c r="U2997" s="11" t="str">
        <f t="shared" ca="1" si="257"/>
        <v/>
      </c>
      <c r="V2997" s="18" t="str">
        <f t="shared" ca="1" si="258"/>
        <v/>
      </c>
      <c r="W2997" s="61" t="str">
        <f t="shared" ca="1" si="259"/>
        <v/>
      </c>
      <c r="X2997" s="61">
        <f t="shared" ca="1" si="260"/>
        <v>0</v>
      </c>
      <c r="Y2997" s="64" t="str">
        <f t="shared" ca="1" si="261"/>
        <v/>
      </c>
    </row>
    <row r="2998" spans="1:25">
      <c r="A2998" s="2">
        <f>+Get_Data!A2997</f>
        <v>43790</v>
      </c>
      <c r="B2998">
        <f>+ROUND(Get_Data!B2997,5)</f>
        <v>130.13359</v>
      </c>
      <c r="C2998">
        <f>+ROUND(Get_Data!C2997,5)</f>
        <v>51.226509999999998</v>
      </c>
      <c r="D2998" s="4">
        <f t="shared" si="268"/>
        <v>2.5403600000000002</v>
      </c>
      <c r="E2998" s="22">
        <f t="shared" ca="1" si="247"/>
        <v>2.5684399999999998</v>
      </c>
      <c r="F2998" s="23">
        <f t="shared" ca="1" si="248"/>
        <v>2.4988700000000001</v>
      </c>
      <c r="G2998" s="10">
        <f t="shared" ca="1" si="249"/>
        <v>0</v>
      </c>
      <c r="H2998" s="12">
        <f t="shared" ca="1" si="250"/>
        <v>0</v>
      </c>
      <c r="I2998" s="11">
        <f t="shared" ca="1" si="251"/>
        <v>0</v>
      </c>
      <c r="J2998" s="11">
        <f t="shared" ca="1" si="252"/>
        <v>2</v>
      </c>
      <c r="K2998" s="10">
        <f t="shared" ca="1" si="262"/>
        <v>-134.43866</v>
      </c>
      <c r="L2998" s="11">
        <f t="shared" ca="1" si="263"/>
        <v>52.106720000000003</v>
      </c>
      <c r="M2998" s="11">
        <f t="shared" ca="1" si="264"/>
        <v>2.58006</v>
      </c>
      <c r="N2998" s="15">
        <f t="shared" ca="1" si="265"/>
        <v>10</v>
      </c>
      <c r="O2998" s="15">
        <f t="shared" ca="1" si="266"/>
        <v>26</v>
      </c>
      <c r="P2998" s="16">
        <f t="shared" ca="1" si="267"/>
        <v>10.388120000000072</v>
      </c>
      <c r="Q2998" s="11" t="str">
        <f t="shared" ca="1" si="253"/>
        <v/>
      </c>
      <c r="R2998" s="11" t="str">
        <f t="shared" ca="1" si="254"/>
        <v/>
      </c>
      <c r="S2998" s="61" t="str">
        <f t="shared" ca="1" si="255"/>
        <v/>
      </c>
      <c r="T2998" s="11" t="str">
        <f t="shared" ca="1" si="256"/>
        <v/>
      </c>
      <c r="U2998" s="11" t="str">
        <f t="shared" ca="1" si="257"/>
        <v/>
      </c>
      <c r="V2998" s="18" t="str">
        <f t="shared" ca="1" si="258"/>
        <v/>
      </c>
      <c r="W2998" s="61" t="str">
        <f t="shared" ca="1" si="259"/>
        <v/>
      </c>
      <c r="X2998" s="61">
        <f t="shared" ca="1" si="260"/>
        <v>0</v>
      </c>
      <c r="Y2998" s="64" t="str">
        <f t="shared" ca="1" si="261"/>
        <v/>
      </c>
    </row>
    <row r="2999" spans="1:25">
      <c r="A2999" s="2">
        <f>+Get_Data!A2998</f>
        <v>43791</v>
      </c>
      <c r="B2999">
        <f>+ROUND(Get_Data!B2998,5)</f>
        <v>130.28908999999999</v>
      </c>
      <c r="C2999">
        <f>+ROUND(Get_Data!C2998,5)</f>
        <v>51.29421</v>
      </c>
      <c r="D2999" s="4">
        <f t="shared" si="268"/>
        <v>2.5400399999999999</v>
      </c>
      <c r="E2999" s="22">
        <f t="shared" ca="1" si="247"/>
        <v>2.5684399999999998</v>
      </c>
      <c r="F2999" s="23">
        <f t="shared" ca="1" si="248"/>
        <v>2.5218099999999999</v>
      </c>
      <c r="G2999" s="10">
        <f t="shared" ca="1" si="249"/>
        <v>0</v>
      </c>
      <c r="H2999" s="12">
        <f t="shared" ca="1" si="250"/>
        <v>0</v>
      </c>
      <c r="I2999" s="11">
        <f t="shared" ca="1" si="251"/>
        <v>0</v>
      </c>
      <c r="J2999" s="11">
        <f t="shared" ca="1" si="252"/>
        <v>2</v>
      </c>
      <c r="K2999" s="10">
        <f t="shared" ca="1" si="262"/>
        <v>-134.43866</v>
      </c>
      <c r="L2999" s="11">
        <f t="shared" ca="1" si="263"/>
        <v>52.106720000000003</v>
      </c>
      <c r="M2999" s="11">
        <f t="shared" ca="1" si="264"/>
        <v>2.58006</v>
      </c>
      <c r="N2999" s="15">
        <f t="shared" ca="1" si="265"/>
        <v>10</v>
      </c>
      <c r="O2999" s="15">
        <f t="shared" ca="1" si="266"/>
        <v>26</v>
      </c>
      <c r="P2999" s="16">
        <f t="shared" ca="1" si="267"/>
        <v>10.388120000000072</v>
      </c>
      <c r="Q2999" s="11" t="str">
        <f t="shared" ca="1" si="253"/>
        <v/>
      </c>
      <c r="R2999" s="11" t="str">
        <f t="shared" ca="1" si="254"/>
        <v/>
      </c>
      <c r="S2999" s="61" t="str">
        <f t="shared" ca="1" si="255"/>
        <v/>
      </c>
      <c r="T2999" s="11" t="str">
        <f t="shared" ca="1" si="256"/>
        <v/>
      </c>
      <c r="U2999" s="11" t="str">
        <f t="shared" ca="1" si="257"/>
        <v/>
      </c>
      <c r="V2999" s="18" t="str">
        <f t="shared" ca="1" si="258"/>
        <v/>
      </c>
      <c r="W2999" s="61" t="str">
        <f t="shared" ca="1" si="259"/>
        <v/>
      </c>
      <c r="X2999" s="61">
        <f t="shared" ca="1" si="260"/>
        <v>0</v>
      </c>
      <c r="Y2999" s="64" t="str">
        <f t="shared" ca="1" si="261"/>
        <v/>
      </c>
    </row>
    <row r="3000" spans="1:25">
      <c r="A3000" s="2">
        <f>+Get_Data!A2999</f>
        <v>43794</v>
      </c>
      <c r="B3000">
        <f>+ROUND(Get_Data!B2999,5)</f>
        <v>130.05584999999999</v>
      </c>
      <c r="C3000">
        <f>+ROUND(Get_Data!C2999,5)</f>
        <v>51.478000000000002</v>
      </c>
      <c r="D3000" s="4">
        <f t="shared" si="268"/>
        <v>2.52644</v>
      </c>
      <c r="E3000" s="22">
        <f t="shared" ca="1" si="247"/>
        <v>2.5684399999999998</v>
      </c>
      <c r="F3000" s="23">
        <f t="shared" ca="1" si="248"/>
        <v>2.52474</v>
      </c>
      <c r="G3000" s="10">
        <f t="shared" ca="1" si="249"/>
        <v>0</v>
      </c>
      <c r="H3000" s="12">
        <f t="shared" ca="1" si="250"/>
        <v>0</v>
      </c>
      <c r="I3000" s="11">
        <f t="shared" ca="1" si="251"/>
        <v>0</v>
      </c>
      <c r="J3000" s="11">
        <f t="shared" ca="1" si="252"/>
        <v>2</v>
      </c>
      <c r="K3000" s="10">
        <f t="shared" ca="1" si="262"/>
        <v>-134.43866</v>
      </c>
      <c r="L3000" s="11">
        <f t="shared" ca="1" si="263"/>
        <v>52.106720000000003</v>
      </c>
      <c r="M3000" s="11">
        <f t="shared" ca="1" si="264"/>
        <v>2.58006</v>
      </c>
      <c r="N3000" s="15">
        <f t="shared" ca="1" si="265"/>
        <v>10</v>
      </c>
      <c r="O3000" s="15">
        <f t="shared" ca="1" si="266"/>
        <v>26</v>
      </c>
      <c r="P3000" s="16">
        <f t="shared" ca="1" si="267"/>
        <v>10.388120000000072</v>
      </c>
      <c r="Q3000" s="11" t="str">
        <f t="shared" ca="1" si="253"/>
        <v/>
      </c>
      <c r="R3000" s="11" t="str">
        <f t="shared" ca="1" si="254"/>
        <v/>
      </c>
      <c r="S3000" s="61" t="str">
        <f t="shared" ca="1" si="255"/>
        <v/>
      </c>
      <c r="T3000" s="11" t="str">
        <f t="shared" ca="1" si="256"/>
        <v/>
      </c>
      <c r="U3000" s="11" t="str">
        <f t="shared" ca="1" si="257"/>
        <v/>
      </c>
      <c r="V3000" s="18" t="str">
        <f t="shared" ca="1" si="258"/>
        <v/>
      </c>
      <c r="W3000" s="61" t="str">
        <f t="shared" ca="1" si="259"/>
        <v/>
      </c>
      <c r="X3000" s="61">
        <f t="shared" ca="1" si="260"/>
        <v>0</v>
      </c>
      <c r="Y3000" s="64" t="str">
        <f t="shared" ca="1" si="261"/>
        <v/>
      </c>
    </row>
    <row r="3001" spans="1:25">
      <c r="A3001" s="2">
        <f>+Get_Data!A3000</f>
        <v>43795</v>
      </c>
      <c r="B3001">
        <f>+ROUND(Get_Data!B3000,5)</f>
        <v>131.87311</v>
      </c>
      <c r="C3001">
        <f>+ROUND(Get_Data!C3000,5)</f>
        <v>52.135739999999998</v>
      </c>
      <c r="D3001" s="4">
        <f t="shared" si="268"/>
        <v>2.52942</v>
      </c>
      <c r="E3001" s="22">
        <f t="shared" ca="1" si="247"/>
        <v>2.5684399999999998</v>
      </c>
      <c r="F3001" s="23">
        <f t="shared" ca="1" si="248"/>
        <v>2.52474</v>
      </c>
      <c r="G3001" s="10">
        <f t="shared" ca="1" si="249"/>
        <v>0</v>
      </c>
      <c r="H3001" s="12">
        <f t="shared" ca="1" si="250"/>
        <v>0</v>
      </c>
      <c r="I3001" s="11">
        <f t="shared" ca="1" si="251"/>
        <v>0</v>
      </c>
      <c r="J3001" s="11">
        <f t="shared" ca="1" si="252"/>
        <v>2</v>
      </c>
      <c r="K3001" s="10">
        <f t="shared" ca="1" si="262"/>
        <v>-134.43866</v>
      </c>
      <c r="L3001" s="11">
        <f t="shared" ca="1" si="263"/>
        <v>52.106720000000003</v>
      </c>
      <c r="M3001" s="11">
        <f t="shared" ca="1" si="264"/>
        <v>2.58006</v>
      </c>
      <c r="N3001" s="15">
        <f t="shared" ca="1" si="265"/>
        <v>10</v>
      </c>
      <c r="O3001" s="15">
        <f t="shared" ca="1" si="266"/>
        <v>26</v>
      </c>
      <c r="P3001" s="16">
        <f t="shared" ca="1" si="267"/>
        <v>10.388120000000072</v>
      </c>
      <c r="Q3001" s="11" t="str">
        <f t="shared" ca="1" si="253"/>
        <v/>
      </c>
      <c r="R3001" s="11" t="str">
        <f t="shared" ca="1" si="254"/>
        <v/>
      </c>
      <c r="S3001" s="61" t="str">
        <f t="shared" ca="1" si="255"/>
        <v/>
      </c>
      <c r="T3001" s="11" t="str">
        <f t="shared" ca="1" si="256"/>
        <v/>
      </c>
      <c r="U3001" s="11" t="str">
        <f t="shared" ca="1" si="257"/>
        <v/>
      </c>
      <c r="V3001" s="18" t="str">
        <f t="shared" ca="1" si="258"/>
        <v/>
      </c>
      <c r="W3001" s="61" t="str">
        <f t="shared" ca="1" si="259"/>
        <v/>
      </c>
      <c r="X3001" s="61">
        <f t="shared" ca="1" si="260"/>
        <v>0</v>
      </c>
      <c r="Y3001" s="64" t="str">
        <f t="shared" ca="1" si="261"/>
        <v/>
      </c>
    </row>
    <row r="3002" spans="1:25">
      <c r="A3002" s="2">
        <f>+Get_Data!A3001</f>
        <v>43796</v>
      </c>
      <c r="B3002">
        <f>+ROUND(Get_Data!B3001,5)</f>
        <v>132.07719</v>
      </c>
      <c r="C3002">
        <f>+ROUND(Get_Data!C3001,5)</f>
        <v>52.184100000000001</v>
      </c>
      <c r="D3002" s="4">
        <f t="shared" si="268"/>
        <v>2.5309900000000001</v>
      </c>
      <c r="E3002" s="22">
        <f t="shared" ca="1" si="247"/>
        <v>2.5684399999999998</v>
      </c>
      <c r="F3002" s="23">
        <f t="shared" ca="1" si="248"/>
        <v>2.52474</v>
      </c>
      <c r="G3002" s="10">
        <f t="shared" ca="1" si="249"/>
        <v>0</v>
      </c>
      <c r="H3002" s="12">
        <f t="shared" ca="1" si="250"/>
        <v>0</v>
      </c>
      <c r="I3002" s="11">
        <f t="shared" ca="1" si="251"/>
        <v>0</v>
      </c>
      <c r="J3002" s="11">
        <f t="shared" ca="1" si="252"/>
        <v>2</v>
      </c>
      <c r="K3002" s="10">
        <f t="shared" ca="1" si="262"/>
        <v>-134.43866</v>
      </c>
      <c r="L3002" s="11">
        <f t="shared" ca="1" si="263"/>
        <v>52.106720000000003</v>
      </c>
      <c r="M3002" s="11">
        <f t="shared" ca="1" si="264"/>
        <v>2.58006</v>
      </c>
      <c r="N3002" s="15">
        <f t="shared" ca="1" si="265"/>
        <v>10</v>
      </c>
      <c r="O3002" s="15">
        <f t="shared" ca="1" si="266"/>
        <v>26</v>
      </c>
      <c r="P3002" s="16">
        <f t="shared" ca="1" si="267"/>
        <v>10.388120000000072</v>
      </c>
      <c r="Q3002" s="11" t="str">
        <f t="shared" ca="1" si="253"/>
        <v/>
      </c>
      <c r="R3002" s="11" t="str">
        <f t="shared" ca="1" si="254"/>
        <v/>
      </c>
      <c r="S3002" s="61" t="str">
        <f t="shared" ca="1" si="255"/>
        <v/>
      </c>
      <c r="T3002" s="11" t="str">
        <f t="shared" ca="1" si="256"/>
        <v/>
      </c>
      <c r="U3002" s="11" t="str">
        <f t="shared" ca="1" si="257"/>
        <v/>
      </c>
      <c r="V3002" s="18" t="str">
        <f t="shared" ca="1" si="258"/>
        <v/>
      </c>
      <c r="W3002" s="61" t="str">
        <f t="shared" ca="1" si="259"/>
        <v/>
      </c>
      <c r="X3002" s="61">
        <f t="shared" ca="1" si="260"/>
        <v>0</v>
      </c>
      <c r="Y3002" s="64" t="str">
        <f t="shared" ca="1" si="261"/>
        <v/>
      </c>
    </row>
    <row r="3003" spans="1:25">
      <c r="A3003" s="2">
        <f>+Get_Data!A3002</f>
        <v>43798</v>
      </c>
      <c r="B3003">
        <f>+ROUND(Get_Data!B3002,5)</f>
        <v>131.99943999999999</v>
      </c>
      <c r="C3003">
        <f>+ROUND(Get_Data!C3002,5)</f>
        <v>52.037930000000003</v>
      </c>
      <c r="D3003" s="4">
        <f t="shared" si="268"/>
        <v>2.5366</v>
      </c>
      <c r="E3003" s="22">
        <f t="shared" ca="1" si="247"/>
        <v>2.5684399999999998</v>
      </c>
      <c r="F3003" s="23">
        <f t="shared" ca="1" si="248"/>
        <v>2.52474</v>
      </c>
      <c r="G3003" s="10">
        <f t="shared" ca="1" si="249"/>
        <v>0</v>
      </c>
      <c r="H3003" s="12">
        <f t="shared" ca="1" si="250"/>
        <v>0</v>
      </c>
      <c r="I3003" s="11">
        <f t="shared" ca="1" si="251"/>
        <v>0</v>
      </c>
      <c r="J3003" s="11">
        <f t="shared" ca="1" si="252"/>
        <v>2</v>
      </c>
      <c r="K3003" s="10">
        <f t="shared" ca="1" si="262"/>
        <v>-134.43866</v>
      </c>
      <c r="L3003" s="11">
        <f t="shared" ca="1" si="263"/>
        <v>52.106720000000003</v>
      </c>
      <c r="M3003" s="11">
        <f t="shared" ca="1" si="264"/>
        <v>2.58006</v>
      </c>
      <c r="N3003" s="15">
        <f t="shared" ca="1" si="265"/>
        <v>10</v>
      </c>
      <c r="O3003" s="15">
        <f t="shared" ca="1" si="266"/>
        <v>26</v>
      </c>
      <c r="P3003" s="16">
        <f t="shared" ca="1" si="267"/>
        <v>10.388120000000072</v>
      </c>
      <c r="Q3003" s="11" t="str">
        <f t="shared" ca="1" si="253"/>
        <v/>
      </c>
      <c r="R3003" s="11" t="str">
        <f t="shared" ca="1" si="254"/>
        <v/>
      </c>
      <c r="S3003" s="61" t="str">
        <f t="shared" ca="1" si="255"/>
        <v/>
      </c>
      <c r="T3003" s="11" t="str">
        <f t="shared" ca="1" si="256"/>
        <v/>
      </c>
      <c r="U3003" s="11" t="str">
        <f t="shared" ca="1" si="257"/>
        <v/>
      </c>
      <c r="V3003" s="18" t="str">
        <f t="shared" ca="1" si="258"/>
        <v/>
      </c>
      <c r="W3003" s="61" t="str">
        <f t="shared" ca="1" si="259"/>
        <v/>
      </c>
      <c r="X3003" s="61">
        <f t="shared" ca="1" si="260"/>
        <v>0</v>
      </c>
      <c r="Y3003" s="64" t="str">
        <f t="shared" ca="1" si="261"/>
        <v/>
      </c>
    </row>
    <row r="3004" spans="1:25">
      <c r="A3004" s="2">
        <f>+Get_Data!A3003</f>
        <v>43801</v>
      </c>
      <c r="B3004">
        <f>+ROUND(Get_Data!B3003,5)</f>
        <v>132.04803000000001</v>
      </c>
      <c r="C3004">
        <f>+ROUND(Get_Data!C3003,5)</f>
        <v>52.378999999999998</v>
      </c>
      <c r="D3004" s="4">
        <f t="shared" si="268"/>
        <v>2.52101</v>
      </c>
      <c r="E3004" s="22">
        <f t="shared" ca="1" si="247"/>
        <v>2.5684399999999998</v>
      </c>
      <c r="F3004" s="23">
        <f t="shared" ca="1" si="248"/>
        <v>2.52101</v>
      </c>
      <c r="G3004" s="10">
        <f t="shared" ca="1" si="249"/>
        <v>0</v>
      </c>
      <c r="H3004" s="12">
        <f t="shared" ca="1" si="250"/>
        <v>1</v>
      </c>
      <c r="I3004" s="11">
        <f t="shared" ca="1" si="251"/>
        <v>-1</v>
      </c>
      <c r="J3004" s="11">
        <f t="shared" ca="1" si="252"/>
        <v>0</v>
      </c>
      <c r="K3004" s="10">
        <f t="shared" ca="1" si="262"/>
        <v>-134.43866</v>
      </c>
      <c r="L3004" s="11">
        <f t="shared" ca="1" si="263"/>
        <v>52.106720000000003</v>
      </c>
      <c r="M3004" s="11">
        <f t="shared" ca="1" si="264"/>
        <v>2.58006</v>
      </c>
      <c r="N3004" s="15">
        <f t="shared" ca="1" si="265"/>
        <v>10</v>
      </c>
      <c r="O3004" s="15">
        <f t="shared" ca="1" si="266"/>
        <v>26</v>
      </c>
      <c r="P3004" s="16">
        <f t="shared" ca="1" si="267"/>
        <v>10.388120000000072</v>
      </c>
      <c r="Q3004" s="11" t="str">
        <f t="shared" ca="1" si="253"/>
        <v/>
      </c>
      <c r="R3004" s="11" t="str">
        <f t="shared" ca="1" si="254"/>
        <v/>
      </c>
      <c r="S3004" s="61" t="str">
        <f t="shared" ca="1" si="255"/>
        <v/>
      </c>
      <c r="T3004" s="11" t="str">
        <f t="shared" ca="1" si="256"/>
        <v/>
      </c>
      <c r="U3004" s="11" t="str">
        <f t="shared" ca="1" si="257"/>
        <v/>
      </c>
      <c r="V3004" s="18" t="str">
        <f t="shared" ca="1" si="258"/>
        <v/>
      </c>
      <c r="W3004" s="61" t="str">
        <f t="shared" ca="1" si="259"/>
        <v/>
      </c>
      <c r="X3004" s="61">
        <f t="shared" ca="1" si="260"/>
        <v>0</v>
      </c>
      <c r="Y3004" s="64" t="str">
        <f t="shared" ca="1" si="261"/>
        <v/>
      </c>
    </row>
    <row r="3005" spans="1:25">
      <c r="A3005" s="2">
        <f>+Get_Data!A3004</f>
        <v>43802</v>
      </c>
      <c r="B3005">
        <f>+ROUND(Get_Data!B3004,5)</f>
        <v>131.63988000000001</v>
      </c>
      <c r="C3005">
        <f>+ROUND(Get_Data!C3004,5)</f>
        <v>52.427729999999997</v>
      </c>
      <c r="D3005" s="4">
        <f t="shared" si="268"/>
        <v>2.5108799999999998</v>
      </c>
      <c r="E3005" s="22">
        <f t="shared" ca="1" si="247"/>
        <v>2.5684399999999998</v>
      </c>
      <c r="F3005" s="23">
        <f t="shared" ca="1" si="248"/>
        <v>2.5108799999999998</v>
      </c>
      <c r="G3005" s="10">
        <f t="shared" ca="1" si="249"/>
        <v>0</v>
      </c>
      <c r="H3005" s="12">
        <f t="shared" ca="1" si="250"/>
        <v>1</v>
      </c>
      <c r="I3005" s="11">
        <f t="shared" ca="1" si="251"/>
        <v>-1</v>
      </c>
      <c r="J3005" s="11">
        <f t="shared" ca="1" si="252"/>
        <v>-1</v>
      </c>
      <c r="K3005" s="10" t="str">
        <f t="shared" ca="1" si="262"/>
        <v/>
      </c>
      <c r="L3005" s="11" t="str">
        <f t="shared" ca="1" si="263"/>
        <v/>
      </c>
      <c r="M3005" s="11" t="str">
        <f t="shared" ca="1" si="264"/>
        <v/>
      </c>
      <c r="N3005" s="15" t="str">
        <f t="shared" ca="1" si="265"/>
        <v/>
      </c>
      <c r="O3005" s="15" t="str">
        <f t="shared" ca="1" si="266"/>
        <v/>
      </c>
      <c r="P3005" s="16" t="str">
        <f t="shared" ca="1" si="267"/>
        <v/>
      </c>
      <c r="Q3005" s="11">
        <f t="shared" ca="1" si="253"/>
        <v>131.63988000000001</v>
      </c>
      <c r="R3005" s="11">
        <f t="shared" ca="1" si="254"/>
        <v>52.427729999999997</v>
      </c>
      <c r="S3005" s="61">
        <f t="shared" ca="1" si="255"/>
        <v>2.5108799999999998</v>
      </c>
      <c r="T3005" s="11">
        <f t="shared" ca="1" si="256"/>
        <v>10</v>
      </c>
      <c r="U3005" s="11">
        <f t="shared" ca="1" si="257"/>
        <v>26</v>
      </c>
      <c r="V3005" s="18">
        <f t="shared" ca="1" si="258"/>
        <v>-2660.7853999999998</v>
      </c>
      <c r="W3005" s="61">
        <f t="shared" ca="1" si="259"/>
        <v>2717.8957</v>
      </c>
      <c r="X3005" s="61">
        <f t="shared" ca="1" si="260"/>
        <v>57.110300000000279</v>
      </c>
      <c r="Y3005" s="64">
        <f t="shared" ca="1" si="261"/>
        <v>4.1896721448744983E-2</v>
      </c>
    </row>
    <row r="3006" spans="1:25">
      <c r="A3006" s="2">
        <f>+Get_Data!A3005</f>
        <v>43803</v>
      </c>
      <c r="B3006">
        <f>+ROUND(Get_Data!B3005,5)</f>
        <v>133.42798999999999</v>
      </c>
      <c r="C3006">
        <f>+ROUND(Get_Data!C3005,5)</f>
        <v>52.905230000000003</v>
      </c>
      <c r="D3006" s="4">
        <f t="shared" si="268"/>
        <v>2.5220199999999999</v>
      </c>
      <c r="E3006" s="22">
        <f t="shared" ca="1" si="247"/>
        <v>2.5684399999999998</v>
      </c>
      <c r="F3006" s="23">
        <f t="shared" ca="1" si="248"/>
        <v>2.5108799999999998</v>
      </c>
      <c r="G3006" s="10">
        <f t="shared" ca="1" si="249"/>
        <v>0</v>
      </c>
      <c r="H3006" s="12">
        <f t="shared" ca="1" si="250"/>
        <v>0</v>
      </c>
      <c r="I3006" s="11">
        <f t="shared" ca="1" si="251"/>
        <v>0</v>
      </c>
      <c r="J3006" s="11">
        <f t="shared" ca="1" si="252"/>
        <v>-1</v>
      </c>
      <c r="K3006" s="10">
        <f t="shared" ca="1" si="262"/>
        <v>133.42798999999999</v>
      </c>
      <c r="L3006" s="11">
        <f t="shared" ca="1" si="263"/>
        <v>-52.905230000000003</v>
      </c>
      <c r="M3006" s="11">
        <f t="shared" ca="1" si="264"/>
        <v>2.5220199999999999</v>
      </c>
      <c r="N3006" s="15">
        <f t="shared" ca="1" si="265"/>
        <v>10</v>
      </c>
      <c r="O3006" s="15">
        <f t="shared" ca="1" si="266"/>
        <v>25</v>
      </c>
      <c r="P3006" s="16">
        <f t="shared" ca="1" si="267"/>
        <v>11.649149999999963</v>
      </c>
      <c r="Q3006" s="11" t="str">
        <f t="shared" ca="1" si="253"/>
        <v/>
      </c>
      <c r="R3006" s="11" t="str">
        <f t="shared" ca="1" si="254"/>
        <v/>
      </c>
      <c r="S3006" s="61" t="str">
        <f t="shared" ca="1" si="255"/>
        <v/>
      </c>
      <c r="T3006" s="11" t="str">
        <f t="shared" ca="1" si="256"/>
        <v/>
      </c>
      <c r="U3006" s="11" t="str">
        <f t="shared" ca="1" si="257"/>
        <v/>
      </c>
      <c r="V3006" s="18" t="str">
        <f t="shared" ca="1" si="258"/>
        <v/>
      </c>
      <c r="W3006" s="61" t="str">
        <f t="shared" ca="1" si="259"/>
        <v/>
      </c>
      <c r="X3006" s="61">
        <f t="shared" ca="1" si="260"/>
        <v>0</v>
      </c>
      <c r="Y3006" s="64" t="str">
        <f t="shared" ca="1" si="261"/>
        <v/>
      </c>
    </row>
    <row r="3007" spans="1:25">
      <c r="A3007" s="2">
        <f>+Get_Data!A3006</f>
        <v>43804</v>
      </c>
      <c r="B3007">
        <f>+ROUND(Get_Data!B3006,5)</f>
        <v>133.42308</v>
      </c>
      <c r="C3007">
        <f>+ROUND(Get_Data!C3006,5)</f>
        <v>52.807780000000001</v>
      </c>
      <c r="D3007" s="4">
        <f t="shared" si="268"/>
        <v>2.52658</v>
      </c>
      <c r="E3007" s="22">
        <f t="shared" ca="1" si="247"/>
        <v>2.5684399999999998</v>
      </c>
      <c r="F3007" s="23">
        <f t="shared" ca="1" si="248"/>
        <v>2.5108799999999998</v>
      </c>
      <c r="G3007" s="10">
        <f t="shared" ca="1" si="249"/>
        <v>0</v>
      </c>
      <c r="H3007" s="12">
        <f t="shared" ca="1" si="250"/>
        <v>0</v>
      </c>
      <c r="I3007" s="11">
        <f t="shared" ca="1" si="251"/>
        <v>0</v>
      </c>
      <c r="J3007" s="11">
        <f t="shared" ca="1" si="252"/>
        <v>-1</v>
      </c>
      <c r="K3007" s="10">
        <f t="shared" ca="1" si="262"/>
        <v>133.42798999999999</v>
      </c>
      <c r="L3007" s="11">
        <f t="shared" ca="1" si="263"/>
        <v>-52.905230000000003</v>
      </c>
      <c r="M3007" s="11">
        <f t="shared" ca="1" si="264"/>
        <v>2.5220199999999999</v>
      </c>
      <c r="N3007" s="15">
        <f t="shared" ca="1" si="265"/>
        <v>10</v>
      </c>
      <c r="O3007" s="15">
        <f t="shared" ca="1" si="266"/>
        <v>25</v>
      </c>
      <c r="P3007" s="16">
        <f t="shared" ca="1" si="267"/>
        <v>11.649149999999963</v>
      </c>
      <c r="Q3007" s="11" t="str">
        <f t="shared" ca="1" si="253"/>
        <v/>
      </c>
      <c r="R3007" s="11" t="str">
        <f t="shared" ca="1" si="254"/>
        <v/>
      </c>
      <c r="S3007" s="61" t="str">
        <f t="shared" ca="1" si="255"/>
        <v/>
      </c>
      <c r="T3007" s="11" t="str">
        <f t="shared" ca="1" si="256"/>
        <v/>
      </c>
      <c r="U3007" s="11" t="str">
        <f t="shared" ca="1" si="257"/>
        <v/>
      </c>
      <c r="V3007" s="18" t="str">
        <f t="shared" ca="1" si="258"/>
        <v/>
      </c>
      <c r="W3007" s="61" t="str">
        <f t="shared" ca="1" si="259"/>
        <v/>
      </c>
      <c r="X3007" s="61">
        <f t="shared" ca="1" si="260"/>
        <v>0</v>
      </c>
      <c r="Y3007" s="64" t="str">
        <f t="shared" ca="1" si="261"/>
        <v/>
      </c>
    </row>
    <row r="3008" spans="1:25">
      <c r="A3008" s="2">
        <f>+Get_Data!A3007</f>
        <v>43805</v>
      </c>
      <c r="B3008">
        <f>+ROUND(Get_Data!B3007,5)</f>
        <v>134.42128</v>
      </c>
      <c r="C3008">
        <f>+ROUND(Get_Data!C3007,5)</f>
        <v>53.031910000000003</v>
      </c>
      <c r="D3008" s="4">
        <f t="shared" si="268"/>
        <v>2.5347200000000001</v>
      </c>
      <c r="E3008" s="22">
        <f t="shared" ca="1" si="247"/>
        <v>2.5684399999999998</v>
      </c>
      <c r="F3008" s="23">
        <f t="shared" ca="1" si="248"/>
        <v>2.5108799999999998</v>
      </c>
      <c r="G3008" s="10">
        <f t="shared" ca="1" si="249"/>
        <v>0</v>
      </c>
      <c r="H3008" s="12">
        <f t="shared" ca="1" si="250"/>
        <v>0</v>
      </c>
      <c r="I3008" s="11">
        <f t="shared" ca="1" si="251"/>
        <v>0</v>
      </c>
      <c r="J3008" s="11">
        <f t="shared" ca="1" si="252"/>
        <v>-1</v>
      </c>
      <c r="K3008" s="10">
        <f t="shared" ca="1" si="262"/>
        <v>133.42798999999999</v>
      </c>
      <c r="L3008" s="11">
        <f t="shared" ca="1" si="263"/>
        <v>-52.905230000000003</v>
      </c>
      <c r="M3008" s="11">
        <f t="shared" ca="1" si="264"/>
        <v>2.5220199999999999</v>
      </c>
      <c r="N3008" s="15">
        <f t="shared" ca="1" si="265"/>
        <v>10</v>
      </c>
      <c r="O3008" s="15">
        <f t="shared" ca="1" si="266"/>
        <v>25</v>
      </c>
      <c r="P3008" s="16">
        <f t="shared" ca="1" si="267"/>
        <v>11.649149999999963</v>
      </c>
      <c r="Q3008" s="11" t="str">
        <f t="shared" ca="1" si="253"/>
        <v/>
      </c>
      <c r="R3008" s="11" t="str">
        <f t="shared" ca="1" si="254"/>
        <v/>
      </c>
      <c r="S3008" s="61" t="str">
        <f t="shared" ca="1" si="255"/>
        <v/>
      </c>
      <c r="T3008" s="11" t="str">
        <f t="shared" ca="1" si="256"/>
        <v/>
      </c>
      <c r="U3008" s="11" t="str">
        <f t="shared" ca="1" si="257"/>
        <v/>
      </c>
      <c r="V3008" s="18" t="str">
        <f t="shared" ca="1" si="258"/>
        <v/>
      </c>
      <c r="W3008" s="61" t="str">
        <f t="shared" ca="1" si="259"/>
        <v/>
      </c>
      <c r="X3008" s="61">
        <f t="shared" ca="1" si="260"/>
        <v>0</v>
      </c>
      <c r="Y3008" s="64" t="str">
        <f t="shared" ca="1" si="261"/>
        <v/>
      </c>
    </row>
    <row r="3009" spans="1:25">
      <c r="A3009" s="2">
        <f>+Get_Data!A3008</f>
        <v>43808</v>
      </c>
      <c r="B3009">
        <f>+ROUND(Get_Data!B3008,5)</f>
        <v>134.22556</v>
      </c>
      <c r="C3009">
        <f>+ROUND(Get_Data!C3008,5)</f>
        <v>52.690840000000001</v>
      </c>
      <c r="D3009" s="4">
        <f t="shared" si="268"/>
        <v>2.5474199999999998</v>
      </c>
      <c r="E3009" s="22">
        <f t="shared" ca="1" si="247"/>
        <v>2.5684399999999998</v>
      </c>
      <c r="F3009" s="23">
        <f t="shared" ca="1" si="248"/>
        <v>2.5108799999999998</v>
      </c>
      <c r="G3009" s="10">
        <f t="shared" ca="1" si="249"/>
        <v>0</v>
      </c>
      <c r="H3009" s="12">
        <f t="shared" ca="1" si="250"/>
        <v>0</v>
      </c>
      <c r="I3009" s="11">
        <f t="shared" ca="1" si="251"/>
        <v>0</v>
      </c>
      <c r="J3009" s="11">
        <f t="shared" ca="1" si="252"/>
        <v>-1</v>
      </c>
      <c r="K3009" s="10">
        <f t="shared" ca="1" si="262"/>
        <v>133.42798999999999</v>
      </c>
      <c r="L3009" s="11">
        <f t="shared" ca="1" si="263"/>
        <v>-52.905230000000003</v>
      </c>
      <c r="M3009" s="11">
        <f t="shared" ca="1" si="264"/>
        <v>2.5220199999999999</v>
      </c>
      <c r="N3009" s="15">
        <f t="shared" ca="1" si="265"/>
        <v>10</v>
      </c>
      <c r="O3009" s="15">
        <f t="shared" ca="1" si="266"/>
        <v>25</v>
      </c>
      <c r="P3009" s="16">
        <f t="shared" ca="1" si="267"/>
        <v>11.649149999999963</v>
      </c>
      <c r="Q3009" s="11" t="str">
        <f t="shared" ca="1" si="253"/>
        <v/>
      </c>
      <c r="R3009" s="11" t="str">
        <f t="shared" ca="1" si="254"/>
        <v/>
      </c>
      <c r="S3009" s="61" t="str">
        <f t="shared" ca="1" si="255"/>
        <v/>
      </c>
      <c r="T3009" s="11" t="str">
        <f t="shared" ca="1" si="256"/>
        <v/>
      </c>
      <c r="U3009" s="11" t="str">
        <f t="shared" ca="1" si="257"/>
        <v/>
      </c>
      <c r="V3009" s="18" t="str">
        <f t="shared" ca="1" si="258"/>
        <v/>
      </c>
      <c r="W3009" s="61" t="str">
        <f t="shared" ca="1" si="259"/>
        <v/>
      </c>
      <c r="X3009" s="61">
        <f t="shared" ca="1" si="260"/>
        <v>0</v>
      </c>
      <c r="Y3009" s="64" t="str">
        <f t="shared" ca="1" si="261"/>
        <v/>
      </c>
    </row>
    <row r="3010" spans="1:25">
      <c r="A3010" s="2">
        <f>+Get_Data!A3009</f>
        <v>43809</v>
      </c>
      <c r="B3010">
        <f>+ROUND(Get_Data!B3009,5)</f>
        <v>133.3546</v>
      </c>
      <c r="C3010">
        <f>+ROUND(Get_Data!C3009,5)</f>
        <v>52.398490000000002</v>
      </c>
      <c r="D3010" s="4">
        <f t="shared" si="268"/>
        <v>2.54501</v>
      </c>
      <c r="E3010" s="22">
        <f t="shared" ca="1" si="247"/>
        <v>2.5684399999999998</v>
      </c>
      <c r="F3010" s="23">
        <f t="shared" ca="1" si="248"/>
        <v>2.5108799999999998</v>
      </c>
      <c r="G3010" s="10">
        <f t="shared" ca="1" si="249"/>
        <v>0</v>
      </c>
      <c r="H3010" s="12">
        <f t="shared" ca="1" si="250"/>
        <v>0</v>
      </c>
      <c r="I3010" s="11">
        <f t="shared" ca="1" si="251"/>
        <v>0</v>
      </c>
      <c r="J3010" s="11">
        <f t="shared" ca="1" si="252"/>
        <v>-1</v>
      </c>
      <c r="K3010" s="10">
        <f t="shared" ca="1" si="262"/>
        <v>133.42798999999999</v>
      </c>
      <c r="L3010" s="11">
        <f t="shared" ca="1" si="263"/>
        <v>-52.905230000000003</v>
      </c>
      <c r="M3010" s="11">
        <f t="shared" ca="1" si="264"/>
        <v>2.5220199999999999</v>
      </c>
      <c r="N3010" s="15">
        <f t="shared" ca="1" si="265"/>
        <v>10</v>
      </c>
      <c r="O3010" s="15">
        <f t="shared" ca="1" si="266"/>
        <v>25</v>
      </c>
      <c r="P3010" s="16">
        <f t="shared" ca="1" si="267"/>
        <v>11.649149999999963</v>
      </c>
      <c r="Q3010" s="11" t="str">
        <f t="shared" ca="1" si="253"/>
        <v/>
      </c>
      <c r="R3010" s="11" t="str">
        <f t="shared" ca="1" si="254"/>
        <v/>
      </c>
      <c r="S3010" s="61" t="str">
        <f t="shared" ca="1" si="255"/>
        <v/>
      </c>
      <c r="T3010" s="11" t="str">
        <f t="shared" ca="1" si="256"/>
        <v/>
      </c>
      <c r="U3010" s="11" t="str">
        <f t="shared" ca="1" si="257"/>
        <v/>
      </c>
      <c r="V3010" s="18" t="str">
        <f t="shared" ca="1" si="258"/>
        <v/>
      </c>
      <c r="W3010" s="61" t="str">
        <f t="shared" ca="1" si="259"/>
        <v/>
      </c>
      <c r="X3010" s="61">
        <f t="shared" ca="1" si="260"/>
        <v>0</v>
      </c>
      <c r="Y3010" s="64" t="str">
        <f t="shared" ca="1" si="261"/>
        <v/>
      </c>
    </row>
    <row r="3011" spans="1:25">
      <c r="A3011" s="2">
        <f>+Get_Data!A3010</f>
        <v>43810</v>
      </c>
      <c r="B3011">
        <f>+ROUND(Get_Data!B3010,5)</f>
        <v>134.16684000000001</v>
      </c>
      <c r="C3011">
        <f>+ROUND(Get_Data!C3010,5)</f>
        <v>52.573900000000002</v>
      </c>
      <c r="D3011" s="4">
        <f t="shared" si="268"/>
        <v>2.5519699999999998</v>
      </c>
      <c r="E3011" s="22">
        <f t="shared" ca="1" si="247"/>
        <v>2.5657800000000002</v>
      </c>
      <c r="F3011" s="23">
        <f t="shared" ca="1" si="248"/>
        <v>2.5108799999999998</v>
      </c>
      <c r="G3011" s="10">
        <f t="shared" ca="1" si="249"/>
        <v>0</v>
      </c>
      <c r="H3011" s="12">
        <f t="shared" ca="1" si="250"/>
        <v>0</v>
      </c>
      <c r="I3011" s="11">
        <f t="shared" ca="1" si="251"/>
        <v>0</v>
      </c>
      <c r="J3011" s="11">
        <f t="shared" ca="1" si="252"/>
        <v>-1</v>
      </c>
      <c r="K3011" s="10">
        <f t="shared" ca="1" si="262"/>
        <v>133.42798999999999</v>
      </c>
      <c r="L3011" s="11">
        <f t="shared" ca="1" si="263"/>
        <v>-52.905230000000003</v>
      </c>
      <c r="M3011" s="11">
        <f t="shared" ca="1" si="264"/>
        <v>2.5220199999999999</v>
      </c>
      <c r="N3011" s="15">
        <f t="shared" ca="1" si="265"/>
        <v>10</v>
      </c>
      <c r="O3011" s="15">
        <f t="shared" ca="1" si="266"/>
        <v>25</v>
      </c>
      <c r="P3011" s="16">
        <f t="shared" ca="1" si="267"/>
        <v>11.649149999999963</v>
      </c>
      <c r="Q3011" s="11" t="str">
        <f t="shared" ca="1" si="253"/>
        <v/>
      </c>
      <c r="R3011" s="11" t="str">
        <f t="shared" ca="1" si="254"/>
        <v/>
      </c>
      <c r="S3011" s="61" t="str">
        <f t="shared" ca="1" si="255"/>
        <v/>
      </c>
      <c r="T3011" s="11" t="str">
        <f t="shared" ca="1" si="256"/>
        <v/>
      </c>
      <c r="U3011" s="11" t="str">
        <f t="shared" ca="1" si="257"/>
        <v/>
      </c>
      <c r="V3011" s="18" t="str">
        <f t="shared" ca="1" si="258"/>
        <v/>
      </c>
      <c r="W3011" s="61" t="str">
        <f t="shared" ca="1" si="259"/>
        <v/>
      </c>
      <c r="X3011" s="61">
        <f t="shared" ca="1" si="260"/>
        <v>0</v>
      </c>
      <c r="Y3011" s="64" t="str">
        <f t="shared" ca="1" si="261"/>
        <v/>
      </c>
    </row>
    <row r="3012" spans="1:25">
      <c r="A3012" s="2">
        <f>+Get_Data!A3011</f>
        <v>43811</v>
      </c>
      <c r="B3012">
        <f>+ROUND(Get_Data!B3011,5)</f>
        <v>134.24511999999999</v>
      </c>
      <c r="C3012">
        <f>+ROUND(Get_Data!C3011,5)</f>
        <v>52.759059999999998</v>
      </c>
      <c r="D3012" s="4">
        <f t="shared" si="268"/>
        <v>2.5444900000000001</v>
      </c>
      <c r="E3012" s="22">
        <f t="shared" ca="1" si="247"/>
        <v>2.5657800000000002</v>
      </c>
      <c r="F3012" s="23">
        <f t="shared" ca="1" si="248"/>
        <v>2.5108799999999998</v>
      </c>
      <c r="G3012" s="10">
        <f t="shared" ca="1" si="249"/>
        <v>0</v>
      </c>
      <c r="H3012" s="12">
        <f t="shared" ca="1" si="250"/>
        <v>0</v>
      </c>
      <c r="I3012" s="11">
        <f t="shared" ca="1" si="251"/>
        <v>0</v>
      </c>
      <c r="J3012" s="11">
        <f t="shared" ca="1" si="252"/>
        <v>-1</v>
      </c>
      <c r="K3012" s="10">
        <f t="shared" ca="1" si="262"/>
        <v>133.42798999999999</v>
      </c>
      <c r="L3012" s="11">
        <f t="shared" ca="1" si="263"/>
        <v>-52.905230000000003</v>
      </c>
      <c r="M3012" s="11">
        <f t="shared" ca="1" si="264"/>
        <v>2.5220199999999999</v>
      </c>
      <c r="N3012" s="15">
        <f t="shared" ca="1" si="265"/>
        <v>10</v>
      </c>
      <c r="O3012" s="15">
        <f t="shared" ca="1" si="266"/>
        <v>25</v>
      </c>
      <c r="P3012" s="16">
        <f t="shared" ca="1" si="267"/>
        <v>11.649149999999963</v>
      </c>
      <c r="Q3012" s="11" t="str">
        <f t="shared" ca="1" si="253"/>
        <v/>
      </c>
      <c r="R3012" s="11" t="str">
        <f t="shared" ca="1" si="254"/>
        <v/>
      </c>
      <c r="S3012" s="61" t="str">
        <f t="shared" ca="1" si="255"/>
        <v/>
      </c>
      <c r="T3012" s="11" t="str">
        <f t="shared" ca="1" si="256"/>
        <v/>
      </c>
      <c r="U3012" s="11" t="str">
        <f t="shared" ca="1" si="257"/>
        <v/>
      </c>
      <c r="V3012" s="18" t="str">
        <f t="shared" ca="1" si="258"/>
        <v/>
      </c>
      <c r="W3012" s="61" t="str">
        <f t="shared" ca="1" si="259"/>
        <v/>
      </c>
      <c r="X3012" s="61">
        <f t="shared" ca="1" si="260"/>
        <v>0</v>
      </c>
      <c r="Y3012" s="64" t="str">
        <f t="shared" ca="1" si="261"/>
        <v/>
      </c>
    </row>
    <row r="3013" spans="1:25">
      <c r="A3013" s="2">
        <f>+Get_Data!A3012</f>
        <v>43812</v>
      </c>
      <c r="B3013">
        <f>+ROUND(Get_Data!B3012,5)</f>
        <v>134.98885999999999</v>
      </c>
      <c r="C3013">
        <f>+ROUND(Get_Data!C3012,5)</f>
        <v>53.031910000000003</v>
      </c>
      <c r="D3013" s="4">
        <f t="shared" si="268"/>
        <v>2.5454300000000001</v>
      </c>
      <c r="E3013" s="22">
        <f t="shared" ref="E3013:E3076" ca="1" si="269">+MAX(OFFSET(D3013,-$G$2+1,,$G$2))</f>
        <v>2.5657800000000002</v>
      </c>
      <c r="F3013" s="23">
        <f t="shared" ref="F3013:F3076" ca="1" si="270">+MIN(OFFSET(D3013,-$G$2+1,,$G$2))</f>
        <v>2.5108799999999998</v>
      </c>
      <c r="G3013" s="10">
        <f t="shared" ref="G3013:G3076" ca="1" si="271">+IF(E3013=D3013,1,0)</f>
        <v>0</v>
      </c>
      <c r="H3013" s="12">
        <f t="shared" ref="H3013:H3076" ca="1" si="272">+IF(F3013=D3013,1,0)</f>
        <v>0</v>
      </c>
      <c r="I3013" s="11">
        <f t="shared" ref="I3013:I3076" ca="1" si="273">+G3013-H3013</f>
        <v>0</v>
      </c>
      <c r="J3013" s="11">
        <f t="shared" ca="1" si="252"/>
        <v>-1</v>
      </c>
      <c r="K3013" s="10">
        <f t="shared" ca="1" si="262"/>
        <v>133.42798999999999</v>
      </c>
      <c r="L3013" s="11">
        <f t="shared" ca="1" si="263"/>
        <v>-52.905230000000003</v>
      </c>
      <c r="M3013" s="11">
        <f t="shared" ca="1" si="264"/>
        <v>2.5220199999999999</v>
      </c>
      <c r="N3013" s="15">
        <f t="shared" ca="1" si="265"/>
        <v>10</v>
      </c>
      <c r="O3013" s="15">
        <f t="shared" ca="1" si="266"/>
        <v>25</v>
      </c>
      <c r="P3013" s="16">
        <f t="shared" ca="1" si="267"/>
        <v>11.649149999999963</v>
      </c>
      <c r="Q3013" s="11" t="str">
        <f t="shared" ca="1" si="253"/>
        <v/>
      </c>
      <c r="R3013" s="11" t="str">
        <f t="shared" ca="1" si="254"/>
        <v/>
      </c>
      <c r="S3013" s="61" t="str">
        <f t="shared" ca="1" si="255"/>
        <v/>
      </c>
      <c r="T3013" s="11" t="str">
        <f t="shared" ca="1" si="256"/>
        <v/>
      </c>
      <c r="U3013" s="11" t="str">
        <f t="shared" ca="1" si="257"/>
        <v/>
      </c>
      <c r="V3013" s="18" t="str">
        <f t="shared" ca="1" si="258"/>
        <v/>
      </c>
      <c r="W3013" s="61" t="str">
        <f t="shared" ca="1" si="259"/>
        <v/>
      </c>
      <c r="X3013" s="61">
        <f t="shared" ca="1" si="260"/>
        <v>0</v>
      </c>
      <c r="Y3013" s="64" t="str">
        <f t="shared" ca="1" si="261"/>
        <v/>
      </c>
    </row>
    <row r="3014" spans="1:25">
      <c r="A3014" s="2">
        <f>+Get_Data!A3013</f>
        <v>43815</v>
      </c>
      <c r="B3014">
        <f>+ROUND(Get_Data!B3013,5)</f>
        <v>134.12769</v>
      </c>
      <c r="C3014">
        <f>+ROUND(Get_Data!C3013,5)</f>
        <v>53.031910000000003</v>
      </c>
      <c r="D3014" s="4">
        <f t="shared" si="268"/>
        <v>2.5291899999999998</v>
      </c>
      <c r="E3014" s="22">
        <f t="shared" ca="1" si="269"/>
        <v>2.5657800000000002</v>
      </c>
      <c r="F3014" s="23">
        <f t="shared" ca="1" si="270"/>
        <v>2.5108799999999998</v>
      </c>
      <c r="G3014" s="10">
        <f t="shared" ca="1" si="271"/>
        <v>0</v>
      </c>
      <c r="H3014" s="12">
        <f t="shared" ca="1" si="272"/>
        <v>0</v>
      </c>
      <c r="I3014" s="11">
        <f t="shared" ca="1" si="273"/>
        <v>0</v>
      </c>
      <c r="J3014" s="11">
        <f t="shared" ref="J3014:J3077" ca="1" si="274">+IF(AND(ABS(J3013)=2,ABS(I3014)=1),0,J3013+I3014)</f>
        <v>-1</v>
      </c>
      <c r="K3014" s="10">
        <f t="shared" ca="1" si="262"/>
        <v>133.42798999999999</v>
      </c>
      <c r="L3014" s="11">
        <f t="shared" ca="1" si="263"/>
        <v>-52.905230000000003</v>
      </c>
      <c r="M3014" s="11">
        <f t="shared" ca="1" si="264"/>
        <v>2.5220199999999999</v>
      </c>
      <c r="N3014" s="15">
        <f t="shared" ca="1" si="265"/>
        <v>10</v>
      </c>
      <c r="O3014" s="15">
        <f t="shared" ca="1" si="266"/>
        <v>25</v>
      </c>
      <c r="P3014" s="16">
        <f t="shared" ca="1" si="267"/>
        <v>11.649149999999963</v>
      </c>
      <c r="Q3014" s="11" t="str">
        <f t="shared" ca="1" si="253"/>
        <v/>
      </c>
      <c r="R3014" s="11" t="str">
        <f t="shared" ca="1" si="254"/>
        <v/>
      </c>
      <c r="S3014" s="61" t="str">
        <f t="shared" ca="1" si="255"/>
        <v/>
      </c>
      <c r="T3014" s="11" t="str">
        <f t="shared" ca="1" si="256"/>
        <v/>
      </c>
      <c r="U3014" s="11" t="str">
        <f t="shared" ca="1" si="257"/>
        <v/>
      </c>
      <c r="V3014" s="18" t="str">
        <f t="shared" ca="1" si="258"/>
        <v/>
      </c>
      <c r="W3014" s="61" t="str">
        <f t="shared" ca="1" si="259"/>
        <v/>
      </c>
      <c r="X3014" s="61">
        <f t="shared" ca="1" si="260"/>
        <v>0</v>
      </c>
      <c r="Y3014" s="64" t="str">
        <f t="shared" ca="1" si="261"/>
        <v/>
      </c>
    </row>
    <row r="3015" spans="1:25">
      <c r="A3015" s="2">
        <f>+Get_Data!A3014</f>
        <v>43816</v>
      </c>
      <c r="B3015">
        <f>+ROUND(Get_Data!B3014,5)</f>
        <v>133.25673</v>
      </c>
      <c r="C3015">
        <f>+ROUND(Get_Data!C3014,5)</f>
        <v>53.031910000000003</v>
      </c>
      <c r="D3015" s="4">
        <f t="shared" si="268"/>
        <v>2.5127700000000002</v>
      </c>
      <c r="E3015" s="22">
        <f t="shared" ca="1" si="269"/>
        <v>2.56427</v>
      </c>
      <c r="F3015" s="23">
        <f t="shared" ca="1" si="270"/>
        <v>2.5108799999999998</v>
      </c>
      <c r="G3015" s="10">
        <f t="shared" ca="1" si="271"/>
        <v>0</v>
      </c>
      <c r="H3015" s="12">
        <f t="shared" ca="1" si="272"/>
        <v>0</v>
      </c>
      <c r="I3015" s="11">
        <f t="shared" ca="1" si="273"/>
        <v>0</v>
      </c>
      <c r="J3015" s="11">
        <f t="shared" ca="1" si="274"/>
        <v>-1</v>
      </c>
      <c r="K3015" s="10">
        <f t="shared" ca="1" si="262"/>
        <v>133.42798999999999</v>
      </c>
      <c r="L3015" s="11">
        <f t="shared" ca="1" si="263"/>
        <v>-52.905230000000003</v>
      </c>
      <c r="M3015" s="11">
        <f t="shared" ca="1" si="264"/>
        <v>2.5220199999999999</v>
      </c>
      <c r="N3015" s="15">
        <f t="shared" ca="1" si="265"/>
        <v>10</v>
      </c>
      <c r="O3015" s="15">
        <f t="shared" ca="1" si="266"/>
        <v>25</v>
      </c>
      <c r="P3015" s="16">
        <f t="shared" ca="1" si="267"/>
        <v>11.649149999999963</v>
      </c>
      <c r="Q3015" s="11" t="str">
        <f t="shared" ca="1" si="253"/>
        <v/>
      </c>
      <c r="R3015" s="11" t="str">
        <f t="shared" ca="1" si="254"/>
        <v/>
      </c>
      <c r="S3015" s="61" t="str">
        <f t="shared" ca="1" si="255"/>
        <v/>
      </c>
      <c r="T3015" s="11" t="str">
        <f t="shared" ca="1" si="256"/>
        <v/>
      </c>
      <c r="U3015" s="11" t="str">
        <f t="shared" ca="1" si="257"/>
        <v/>
      </c>
      <c r="V3015" s="18" t="str">
        <f t="shared" ca="1" si="258"/>
        <v/>
      </c>
      <c r="W3015" s="61" t="str">
        <f t="shared" ca="1" si="259"/>
        <v/>
      </c>
      <c r="X3015" s="61">
        <f t="shared" ca="1" si="260"/>
        <v>0</v>
      </c>
      <c r="Y3015" s="64" t="str">
        <f t="shared" ca="1" si="261"/>
        <v/>
      </c>
    </row>
    <row r="3016" spans="1:25">
      <c r="A3016" s="2">
        <f>+Get_Data!A3015</f>
        <v>43817</v>
      </c>
      <c r="B3016">
        <f>+ROUND(Get_Data!B3015,5)</f>
        <v>133.06100000000001</v>
      </c>
      <c r="C3016">
        <f>+ROUND(Get_Data!C3015,5)</f>
        <v>52.53492</v>
      </c>
      <c r="D3016" s="4">
        <f t="shared" si="268"/>
        <v>2.53281</v>
      </c>
      <c r="E3016" s="22">
        <f t="shared" ca="1" si="269"/>
        <v>2.5551300000000001</v>
      </c>
      <c r="F3016" s="23">
        <f t="shared" ca="1" si="270"/>
        <v>2.5108799999999998</v>
      </c>
      <c r="G3016" s="10">
        <f t="shared" ca="1" si="271"/>
        <v>0</v>
      </c>
      <c r="H3016" s="12">
        <f t="shared" ca="1" si="272"/>
        <v>0</v>
      </c>
      <c r="I3016" s="11">
        <f t="shared" ca="1" si="273"/>
        <v>0</v>
      </c>
      <c r="J3016" s="11">
        <f t="shared" ca="1" si="274"/>
        <v>-1</v>
      </c>
      <c r="K3016" s="10">
        <f t="shared" ca="1" si="262"/>
        <v>133.42798999999999</v>
      </c>
      <c r="L3016" s="11">
        <f t="shared" ca="1" si="263"/>
        <v>-52.905230000000003</v>
      </c>
      <c r="M3016" s="11">
        <f t="shared" ca="1" si="264"/>
        <v>2.5220199999999999</v>
      </c>
      <c r="N3016" s="15">
        <f t="shared" ca="1" si="265"/>
        <v>10</v>
      </c>
      <c r="O3016" s="15">
        <f t="shared" ca="1" si="266"/>
        <v>25</v>
      </c>
      <c r="P3016" s="16">
        <f t="shared" ca="1" si="267"/>
        <v>11.649149999999963</v>
      </c>
      <c r="Q3016" s="11" t="str">
        <f t="shared" ca="1" si="253"/>
        <v/>
      </c>
      <c r="R3016" s="11" t="str">
        <f t="shared" ca="1" si="254"/>
        <v/>
      </c>
      <c r="S3016" s="61" t="str">
        <f t="shared" ca="1" si="255"/>
        <v/>
      </c>
      <c r="T3016" s="11" t="str">
        <f t="shared" ca="1" si="256"/>
        <v/>
      </c>
      <c r="U3016" s="11" t="str">
        <f t="shared" ca="1" si="257"/>
        <v/>
      </c>
      <c r="V3016" s="18" t="str">
        <f t="shared" ca="1" si="258"/>
        <v/>
      </c>
      <c r="W3016" s="61" t="str">
        <f t="shared" ca="1" si="259"/>
        <v/>
      </c>
      <c r="X3016" s="61">
        <f t="shared" ca="1" si="260"/>
        <v>0</v>
      </c>
      <c r="Y3016" s="64" t="str">
        <f t="shared" ca="1" si="261"/>
        <v/>
      </c>
    </row>
    <row r="3017" spans="1:25">
      <c r="A3017" s="2">
        <f>+Get_Data!A3016</f>
        <v>43818</v>
      </c>
      <c r="B3017">
        <f>+ROUND(Get_Data!B3016,5)</f>
        <v>133.55031</v>
      </c>
      <c r="C3017">
        <f>+ROUND(Get_Data!C3016,5)</f>
        <v>52.934460000000001</v>
      </c>
      <c r="D3017" s="4">
        <f t="shared" si="268"/>
        <v>2.5229400000000002</v>
      </c>
      <c r="E3017" s="22">
        <f t="shared" ca="1" si="269"/>
        <v>2.5524399999999998</v>
      </c>
      <c r="F3017" s="23">
        <f t="shared" ca="1" si="270"/>
        <v>2.5108799999999998</v>
      </c>
      <c r="G3017" s="10">
        <f t="shared" ca="1" si="271"/>
        <v>0</v>
      </c>
      <c r="H3017" s="12">
        <f t="shared" ca="1" si="272"/>
        <v>0</v>
      </c>
      <c r="I3017" s="11">
        <f t="shared" ca="1" si="273"/>
        <v>0</v>
      </c>
      <c r="J3017" s="11">
        <f t="shared" ca="1" si="274"/>
        <v>-1</v>
      </c>
      <c r="K3017" s="10">
        <f t="shared" ca="1" si="262"/>
        <v>133.42798999999999</v>
      </c>
      <c r="L3017" s="11">
        <f t="shared" ca="1" si="263"/>
        <v>-52.905230000000003</v>
      </c>
      <c r="M3017" s="11">
        <f t="shared" ca="1" si="264"/>
        <v>2.5220199999999999</v>
      </c>
      <c r="N3017" s="15">
        <f t="shared" ca="1" si="265"/>
        <v>10</v>
      </c>
      <c r="O3017" s="15">
        <f t="shared" ca="1" si="266"/>
        <v>25</v>
      </c>
      <c r="P3017" s="16">
        <f t="shared" ca="1" si="267"/>
        <v>11.649149999999963</v>
      </c>
      <c r="Q3017" s="11" t="str">
        <f t="shared" ca="1" si="253"/>
        <v/>
      </c>
      <c r="R3017" s="11" t="str">
        <f t="shared" ca="1" si="254"/>
        <v/>
      </c>
      <c r="S3017" s="61" t="str">
        <f t="shared" ca="1" si="255"/>
        <v/>
      </c>
      <c r="T3017" s="11" t="str">
        <f t="shared" ca="1" si="256"/>
        <v/>
      </c>
      <c r="U3017" s="11" t="str">
        <f t="shared" ca="1" si="257"/>
        <v/>
      </c>
      <c r="V3017" s="18" t="str">
        <f t="shared" ca="1" si="258"/>
        <v/>
      </c>
      <c r="W3017" s="61" t="str">
        <f t="shared" ca="1" si="259"/>
        <v/>
      </c>
      <c r="X3017" s="61">
        <f t="shared" ca="1" si="260"/>
        <v>0</v>
      </c>
      <c r="Y3017" s="64" t="str">
        <f t="shared" ca="1" si="261"/>
        <v/>
      </c>
    </row>
    <row r="3018" spans="1:25">
      <c r="A3018" s="2">
        <f>+Get_Data!A3017</f>
        <v>43819</v>
      </c>
      <c r="B3018">
        <f>+ROUND(Get_Data!B3017,5)</f>
        <v>134.96928</v>
      </c>
      <c r="C3018">
        <f>+ROUND(Get_Data!C3017,5)</f>
        <v>53.567889999999998</v>
      </c>
      <c r="D3018" s="4">
        <f t="shared" si="268"/>
        <v>2.51959</v>
      </c>
      <c r="E3018" s="22">
        <f t="shared" ca="1" si="269"/>
        <v>2.5524399999999998</v>
      </c>
      <c r="F3018" s="23">
        <f t="shared" ca="1" si="270"/>
        <v>2.5108799999999998</v>
      </c>
      <c r="G3018" s="10">
        <f t="shared" ca="1" si="271"/>
        <v>0</v>
      </c>
      <c r="H3018" s="12">
        <f t="shared" ca="1" si="272"/>
        <v>0</v>
      </c>
      <c r="I3018" s="11">
        <f t="shared" ca="1" si="273"/>
        <v>0</v>
      </c>
      <c r="J3018" s="11">
        <f t="shared" ca="1" si="274"/>
        <v>-1</v>
      </c>
      <c r="K3018" s="10">
        <f t="shared" ca="1" si="262"/>
        <v>133.42798999999999</v>
      </c>
      <c r="L3018" s="11">
        <f t="shared" ca="1" si="263"/>
        <v>-52.905230000000003</v>
      </c>
      <c r="M3018" s="11">
        <f t="shared" ca="1" si="264"/>
        <v>2.5220199999999999</v>
      </c>
      <c r="N3018" s="15">
        <f t="shared" ca="1" si="265"/>
        <v>10</v>
      </c>
      <c r="O3018" s="15">
        <f t="shared" ca="1" si="266"/>
        <v>25</v>
      </c>
      <c r="P3018" s="16">
        <f t="shared" ca="1" si="267"/>
        <v>11.649149999999963</v>
      </c>
      <c r="Q3018" s="11" t="str">
        <f t="shared" ca="1" si="253"/>
        <v/>
      </c>
      <c r="R3018" s="11" t="str">
        <f t="shared" ca="1" si="254"/>
        <v/>
      </c>
      <c r="S3018" s="61" t="str">
        <f t="shared" ca="1" si="255"/>
        <v/>
      </c>
      <c r="T3018" s="11" t="str">
        <f t="shared" ca="1" si="256"/>
        <v/>
      </c>
      <c r="U3018" s="11" t="str">
        <f t="shared" ca="1" si="257"/>
        <v/>
      </c>
      <c r="V3018" s="18" t="str">
        <f t="shared" ca="1" si="258"/>
        <v/>
      </c>
      <c r="W3018" s="61" t="str">
        <f t="shared" ca="1" si="259"/>
        <v/>
      </c>
      <c r="X3018" s="61">
        <f t="shared" ca="1" si="260"/>
        <v>0</v>
      </c>
      <c r="Y3018" s="64" t="str">
        <f t="shared" ca="1" si="261"/>
        <v/>
      </c>
    </row>
    <row r="3019" spans="1:25">
      <c r="A3019" s="2">
        <f>+Get_Data!A3018</f>
        <v>43822</v>
      </c>
      <c r="B3019">
        <f>+ROUND(Get_Data!B3018,5)</f>
        <v>134.10811000000001</v>
      </c>
      <c r="C3019">
        <f>+ROUND(Get_Data!C3018,5)</f>
        <v>53.509410000000003</v>
      </c>
      <c r="D3019" s="4">
        <f t="shared" si="268"/>
        <v>2.5062500000000001</v>
      </c>
      <c r="E3019" s="22">
        <f t="shared" ca="1" si="269"/>
        <v>2.5519699999999998</v>
      </c>
      <c r="F3019" s="23">
        <f t="shared" ca="1" si="270"/>
        <v>2.5062500000000001</v>
      </c>
      <c r="G3019" s="10">
        <f t="shared" ca="1" si="271"/>
        <v>0</v>
      </c>
      <c r="H3019" s="12">
        <f t="shared" ca="1" si="272"/>
        <v>1</v>
      </c>
      <c r="I3019" s="11">
        <f t="shared" ca="1" si="273"/>
        <v>-1</v>
      </c>
      <c r="J3019" s="11">
        <f t="shared" ca="1" si="274"/>
        <v>-2</v>
      </c>
      <c r="K3019" s="10">
        <f t="shared" ca="1" si="262"/>
        <v>133.42798999999999</v>
      </c>
      <c r="L3019" s="11">
        <f t="shared" ca="1" si="263"/>
        <v>-52.905230000000003</v>
      </c>
      <c r="M3019" s="11">
        <f t="shared" ca="1" si="264"/>
        <v>2.5220199999999999</v>
      </c>
      <c r="N3019" s="15">
        <f t="shared" ca="1" si="265"/>
        <v>10</v>
      </c>
      <c r="O3019" s="15">
        <f t="shared" ca="1" si="266"/>
        <v>25</v>
      </c>
      <c r="P3019" s="16">
        <f t="shared" ca="1" si="267"/>
        <v>11.649149999999963</v>
      </c>
      <c r="Q3019" s="11" t="str">
        <f t="shared" ca="1" si="253"/>
        <v/>
      </c>
      <c r="R3019" s="11" t="str">
        <f t="shared" ca="1" si="254"/>
        <v/>
      </c>
      <c r="S3019" s="61" t="str">
        <f t="shared" ca="1" si="255"/>
        <v/>
      </c>
      <c r="T3019" s="11" t="str">
        <f t="shared" ca="1" si="256"/>
        <v/>
      </c>
      <c r="U3019" s="11" t="str">
        <f t="shared" ca="1" si="257"/>
        <v/>
      </c>
      <c r="V3019" s="18" t="str">
        <f t="shared" ca="1" si="258"/>
        <v/>
      </c>
      <c r="W3019" s="61" t="str">
        <f t="shared" ca="1" si="259"/>
        <v/>
      </c>
      <c r="X3019" s="61">
        <f t="shared" ca="1" si="260"/>
        <v>0</v>
      </c>
      <c r="Y3019" s="64" t="str">
        <f t="shared" ca="1" si="261"/>
        <v/>
      </c>
    </row>
    <row r="3020" spans="1:25">
      <c r="A3020" s="2">
        <f>+Get_Data!A3019</f>
        <v>43823</v>
      </c>
      <c r="B3020">
        <f>+ROUND(Get_Data!B3019,5)</f>
        <v>133.96132</v>
      </c>
      <c r="C3020">
        <f>+ROUND(Get_Data!C3019,5)</f>
        <v>53.314509999999999</v>
      </c>
      <c r="D3020" s="4">
        <f t="shared" si="268"/>
        <v>2.5126599999999999</v>
      </c>
      <c r="E3020" s="22">
        <f t="shared" ca="1" si="269"/>
        <v>2.5519699999999998</v>
      </c>
      <c r="F3020" s="23">
        <f t="shared" ca="1" si="270"/>
        <v>2.5062500000000001</v>
      </c>
      <c r="G3020" s="10">
        <f t="shared" ca="1" si="271"/>
        <v>0</v>
      </c>
      <c r="H3020" s="12">
        <f t="shared" ca="1" si="272"/>
        <v>0</v>
      </c>
      <c r="I3020" s="11">
        <f t="shared" ca="1" si="273"/>
        <v>0</v>
      </c>
      <c r="J3020" s="11">
        <f t="shared" ca="1" si="274"/>
        <v>-2</v>
      </c>
      <c r="K3020" s="10">
        <f t="shared" ca="1" si="262"/>
        <v>133.42798999999999</v>
      </c>
      <c r="L3020" s="11">
        <f t="shared" ca="1" si="263"/>
        <v>-52.905230000000003</v>
      </c>
      <c r="M3020" s="11">
        <f t="shared" ca="1" si="264"/>
        <v>2.5220199999999999</v>
      </c>
      <c r="N3020" s="15">
        <f t="shared" ca="1" si="265"/>
        <v>10</v>
      </c>
      <c r="O3020" s="15">
        <f t="shared" ca="1" si="266"/>
        <v>25</v>
      </c>
      <c r="P3020" s="16">
        <f t="shared" ca="1" si="267"/>
        <v>11.649149999999963</v>
      </c>
      <c r="Q3020" s="11" t="str">
        <f t="shared" ca="1" si="253"/>
        <v/>
      </c>
      <c r="R3020" s="11" t="str">
        <f t="shared" ca="1" si="254"/>
        <v/>
      </c>
      <c r="S3020" s="61" t="str">
        <f t="shared" ca="1" si="255"/>
        <v/>
      </c>
      <c r="T3020" s="11" t="str">
        <f t="shared" ca="1" si="256"/>
        <v/>
      </c>
      <c r="U3020" s="11" t="str">
        <f t="shared" ca="1" si="257"/>
        <v/>
      </c>
      <c r="V3020" s="18" t="str">
        <f t="shared" ca="1" si="258"/>
        <v/>
      </c>
      <c r="W3020" s="61" t="str">
        <f t="shared" ca="1" si="259"/>
        <v/>
      </c>
      <c r="X3020" s="61">
        <f t="shared" ca="1" si="260"/>
        <v>0</v>
      </c>
      <c r="Y3020" s="64" t="str">
        <f t="shared" ca="1" si="261"/>
        <v/>
      </c>
    </row>
    <row r="3021" spans="1:25">
      <c r="A3021" s="2">
        <f>+Get_Data!A3020</f>
        <v>43825</v>
      </c>
      <c r="B3021">
        <f>+ROUND(Get_Data!B3020,5)</f>
        <v>133.76562999999999</v>
      </c>
      <c r="C3021">
        <f>+ROUND(Get_Data!C3020,5)</f>
        <v>53.616610000000001</v>
      </c>
      <c r="D3021" s="4">
        <f t="shared" si="268"/>
        <v>2.49485</v>
      </c>
      <c r="E3021" s="22">
        <f t="shared" ca="1" si="269"/>
        <v>2.5519699999999998</v>
      </c>
      <c r="F3021" s="23">
        <f t="shared" ca="1" si="270"/>
        <v>2.49485</v>
      </c>
      <c r="G3021" s="10">
        <f t="shared" ca="1" si="271"/>
        <v>0</v>
      </c>
      <c r="H3021" s="12">
        <f t="shared" ca="1" si="272"/>
        <v>1</v>
      </c>
      <c r="I3021" s="11">
        <f t="shared" ca="1" si="273"/>
        <v>-1</v>
      </c>
      <c r="J3021" s="11">
        <f t="shared" ca="1" si="274"/>
        <v>0</v>
      </c>
      <c r="K3021" s="10">
        <f t="shared" ca="1" si="262"/>
        <v>133.42798999999999</v>
      </c>
      <c r="L3021" s="11">
        <f t="shared" ca="1" si="263"/>
        <v>-52.905230000000003</v>
      </c>
      <c r="M3021" s="11">
        <f t="shared" ca="1" si="264"/>
        <v>2.5220199999999999</v>
      </c>
      <c r="N3021" s="15">
        <f t="shared" ca="1" si="265"/>
        <v>10</v>
      </c>
      <c r="O3021" s="15">
        <f t="shared" ca="1" si="266"/>
        <v>25</v>
      </c>
      <c r="P3021" s="16">
        <f t="shared" ca="1" si="267"/>
        <v>11.649149999999963</v>
      </c>
      <c r="Q3021" s="11" t="str">
        <f t="shared" ca="1" si="253"/>
        <v/>
      </c>
      <c r="R3021" s="11" t="str">
        <f t="shared" ca="1" si="254"/>
        <v/>
      </c>
      <c r="S3021" s="61" t="str">
        <f t="shared" ca="1" si="255"/>
        <v/>
      </c>
      <c r="T3021" s="11" t="str">
        <f t="shared" ca="1" si="256"/>
        <v/>
      </c>
      <c r="U3021" s="11" t="str">
        <f t="shared" ca="1" si="257"/>
        <v/>
      </c>
      <c r="V3021" s="18" t="str">
        <f t="shared" ca="1" si="258"/>
        <v/>
      </c>
      <c r="W3021" s="61" t="str">
        <f t="shared" ca="1" si="259"/>
        <v/>
      </c>
      <c r="X3021" s="61">
        <f t="shared" ca="1" si="260"/>
        <v>0</v>
      </c>
      <c r="Y3021" s="64" t="str">
        <f t="shared" ca="1" si="261"/>
        <v/>
      </c>
    </row>
    <row r="3022" spans="1:25">
      <c r="A3022" s="2">
        <f>+Get_Data!A3021</f>
        <v>43826</v>
      </c>
      <c r="B3022">
        <f>+ROUND(Get_Data!B3021,5)</f>
        <v>134.59743</v>
      </c>
      <c r="C3022">
        <f>+ROUND(Get_Data!C3021,5)</f>
        <v>53.938189999999999</v>
      </c>
      <c r="D3022" s="4">
        <f t="shared" si="268"/>
        <v>2.4954000000000001</v>
      </c>
      <c r="E3022" s="22">
        <f t="shared" ca="1" si="269"/>
        <v>2.5519699999999998</v>
      </c>
      <c r="F3022" s="23">
        <f t="shared" ca="1" si="270"/>
        <v>2.49485</v>
      </c>
      <c r="G3022" s="10">
        <f t="shared" ca="1" si="271"/>
        <v>0</v>
      </c>
      <c r="H3022" s="12">
        <f t="shared" ca="1" si="272"/>
        <v>0</v>
      </c>
      <c r="I3022" s="11">
        <f t="shared" ca="1" si="273"/>
        <v>0</v>
      </c>
      <c r="J3022" s="11">
        <f t="shared" ca="1" si="274"/>
        <v>0</v>
      </c>
      <c r="K3022" s="10" t="str">
        <f t="shared" ca="1" si="262"/>
        <v/>
      </c>
      <c r="L3022" s="11" t="str">
        <f t="shared" ca="1" si="263"/>
        <v/>
      </c>
      <c r="M3022" s="11" t="str">
        <f t="shared" ca="1" si="264"/>
        <v/>
      </c>
      <c r="N3022" s="15" t="str">
        <f t="shared" ca="1" si="265"/>
        <v/>
      </c>
      <c r="O3022" s="15" t="str">
        <f t="shared" ca="1" si="266"/>
        <v/>
      </c>
      <c r="P3022" s="16" t="str">
        <f t="shared" ca="1" si="267"/>
        <v/>
      </c>
      <c r="Q3022" s="11">
        <f t="shared" ca="1" si="253"/>
        <v>134.59743</v>
      </c>
      <c r="R3022" s="11">
        <f t="shared" ca="1" si="254"/>
        <v>53.938189999999999</v>
      </c>
      <c r="S3022" s="61">
        <f t="shared" ca="1" si="255"/>
        <v>2.4954000000000001</v>
      </c>
      <c r="T3022" s="11">
        <f t="shared" ca="1" si="256"/>
        <v>10</v>
      </c>
      <c r="U3022" s="11">
        <f t="shared" ca="1" si="257"/>
        <v>25</v>
      </c>
      <c r="V3022" s="18">
        <f t="shared" ca="1" si="258"/>
        <v>-11.694400000000087</v>
      </c>
      <c r="W3022" s="61">
        <f t="shared" ca="1" si="259"/>
        <v>25.823999999999891</v>
      </c>
      <c r="X3022" s="61">
        <f t="shared" ca="1" si="260"/>
        <v>14.129599999999805</v>
      </c>
      <c r="Y3022" s="64">
        <f t="shared" ca="1" si="261"/>
        <v>1.0478364216522509E-2</v>
      </c>
    </row>
    <row r="3023" spans="1:25">
      <c r="A3023" s="2">
        <f>+Get_Data!A3022</f>
        <v>43829</v>
      </c>
      <c r="B3023">
        <f>+ROUND(Get_Data!B3022,5)</f>
        <v>133.88303999999999</v>
      </c>
      <c r="C3023">
        <f>+ROUND(Get_Data!C3022,5)</f>
        <v>53.860230000000001</v>
      </c>
      <c r="D3023" s="4">
        <f t="shared" si="268"/>
        <v>2.4857499999999999</v>
      </c>
      <c r="E3023" s="22">
        <f t="shared" ca="1" si="269"/>
        <v>2.5519699999999998</v>
      </c>
      <c r="F3023" s="23">
        <f t="shared" ca="1" si="270"/>
        <v>2.4857499999999999</v>
      </c>
      <c r="G3023" s="10">
        <f t="shared" ca="1" si="271"/>
        <v>0</v>
      </c>
      <c r="H3023" s="12">
        <f t="shared" ca="1" si="272"/>
        <v>1</v>
      </c>
      <c r="I3023" s="11">
        <f t="shared" ca="1" si="273"/>
        <v>-1</v>
      </c>
      <c r="J3023" s="11">
        <f t="shared" ca="1" si="274"/>
        <v>-1</v>
      </c>
      <c r="K3023" s="10" t="str">
        <f t="shared" ca="1" si="262"/>
        <v/>
      </c>
      <c r="L3023" s="11" t="str">
        <f t="shared" ca="1" si="263"/>
        <v/>
      </c>
      <c r="M3023" s="11" t="str">
        <f t="shared" ca="1" si="264"/>
        <v/>
      </c>
      <c r="N3023" s="15" t="str">
        <f t="shared" ca="1" si="265"/>
        <v/>
      </c>
      <c r="O3023" s="15" t="str">
        <f t="shared" ca="1" si="266"/>
        <v/>
      </c>
      <c r="P3023" s="16" t="str">
        <f t="shared" ca="1" si="267"/>
        <v/>
      </c>
      <c r="Q3023" s="11" t="str">
        <f t="shared" ca="1" si="253"/>
        <v/>
      </c>
      <c r="R3023" s="11" t="str">
        <f t="shared" ca="1" si="254"/>
        <v/>
      </c>
      <c r="S3023" s="61" t="str">
        <f t="shared" ca="1" si="255"/>
        <v/>
      </c>
      <c r="T3023" s="11" t="str">
        <f t="shared" ca="1" si="256"/>
        <v/>
      </c>
      <c r="U3023" s="11" t="str">
        <f t="shared" ca="1" si="257"/>
        <v/>
      </c>
      <c r="V3023" s="18" t="str">
        <f t="shared" ca="1" si="258"/>
        <v/>
      </c>
      <c r="W3023" s="61" t="str">
        <f t="shared" ca="1" si="259"/>
        <v/>
      </c>
      <c r="X3023" s="61">
        <f t="shared" ca="1" si="260"/>
        <v>0</v>
      </c>
      <c r="Y3023" s="64" t="str">
        <f t="shared" ca="1" si="261"/>
        <v/>
      </c>
    </row>
    <row r="3024" spans="1:25">
      <c r="A3024" s="2">
        <f>+Get_Data!A3023</f>
        <v>43830</v>
      </c>
      <c r="B3024">
        <f>+ROUND(Get_Data!B3023,5)</f>
        <v>133.74602999999999</v>
      </c>
      <c r="C3024">
        <f>+ROUND(Get_Data!C3023,5)</f>
        <v>53.938189999999999</v>
      </c>
      <c r="D3024" s="4">
        <f t="shared" si="268"/>
        <v>2.4796200000000002</v>
      </c>
      <c r="E3024" s="22">
        <f t="shared" ca="1" si="269"/>
        <v>2.5519699999999998</v>
      </c>
      <c r="F3024" s="23">
        <f t="shared" ca="1" si="270"/>
        <v>2.4796200000000002</v>
      </c>
      <c r="G3024" s="10">
        <f t="shared" ca="1" si="271"/>
        <v>0</v>
      </c>
      <c r="H3024" s="12">
        <f t="shared" ca="1" si="272"/>
        <v>1</v>
      </c>
      <c r="I3024" s="11">
        <f t="shared" ca="1" si="273"/>
        <v>-1</v>
      </c>
      <c r="J3024" s="11">
        <f t="shared" ca="1" si="274"/>
        <v>-2</v>
      </c>
      <c r="K3024" s="10">
        <f t="shared" ca="1" si="262"/>
        <v>133.74602999999999</v>
      </c>
      <c r="L3024" s="11">
        <f t="shared" ca="1" si="263"/>
        <v>-53.938189999999999</v>
      </c>
      <c r="M3024" s="11">
        <f t="shared" ca="1" si="264"/>
        <v>2.4796200000000002</v>
      </c>
      <c r="N3024" s="15">
        <f t="shared" ca="1" si="265"/>
        <v>10</v>
      </c>
      <c r="O3024" s="15">
        <f t="shared" ca="1" si="266"/>
        <v>25</v>
      </c>
      <c r="P3024" s="16">
        <f t="shared" ca="1" si="267"/>
        <v>-10.994449999999915</v>
      </c>
      <c r="Q3024" s="11" t="str">
        <f t="shared" ca="1" si="253"/>
        <v/>
      </c>
      <c r="R3024" s="11" t="str">
        <f t="shared" ca="1" si="254"/>
        <v/>
      </c>
      <c r="S3024" s="61" t="str">
        <f t="shared" ca="1" si="255"/>
        <v/>
      </c>
      <c r="T3024" s="11" t="str">
        <f t="shared" ca="1" si="256"/>
        <v/>
      </c>
      <c r="U3024" s="11" t="str">
        <f t="shared" ca="1" si="257"/>
        <v/>
      </c>
      <c r="V3024" s="18" t="str">
        <f t="shared" ca="1" si="258"/>
        <v/>
      </c>
      <c r="W3024" s="61" t="str">
        <f t="shared" ca="1" si="259"/>
        <v/>
      </c>
      <c r="X3024" s="61">
        <f t="shared" ca="1" si="260"/>
        <v>0</v>
      </c>
      <c r="Y3024" s="64" t="str">
        <f t="shared" ca="1" si="261"/>
        <v/>
      </c>
    </row>
    <row r="3025" spans="1:25">
      <c r="A3025" s="2">
        <f>+Get_Data!A3024</f>
        <v>43832</v>
      </c>
      <c r="B3025">
        <f>+ROUND(Get_Data!B3024,5)</f>
        <v>132.91423</v>
      </c>
      <c r="C3025">
        <f>+ROUND(Get_Data!C3024,5)</f>
        <v>53.587380000000003</v>
      </c>
      <c r="D3025" s="4">
        <f t="shared" si="268"/>
        <v>2.4803299999999999</v>
      </c>
      <c r="E3025" s="22">
        <f t="shared" ca="1" si="269"/>
        <v>2.5519699999999998</v>
      </c>
      <c r="F3025" s="23">
        <f t="shared" ca="1" si="270"/>
        <v>2.4796200000000002</v>
      </c>
      <c r="G3025" s="10">
        <f t="shared" ca="1" si="271"/>
        <v>0</v>
      </c>
      <c r="H3025" s="12">
        <f t="shared" ca="1" si="272"/>
        <v>0</v>
      </c>
      <c r="I3025" s="11">
        <f t="shared" ca="1" si="273"/>
        <v>0</v>
      </c>
      <c r="J3025" s="11">
        <f t="shared" ca="1" si="274"/>
        <v>-2</v>
      </c>
      <c r="K3025" s="10">
        <f t="shared" ca="1" si="262"/>
        <v>133.74602999999999</v>
      </c>
      <c r="L3025" s="11">
        <f t="shared" ca="1" si="263"/>
        <v>-53.938189999999999</v>
      </c>
      <c r="M3025" s="11">
        <f t="shared" ca="1" si="264"/>
        <v>2.4796200000000002</v>
      </c>
      <c r="N3025" s="15">
        <f t="shared" ca="1" si="265"/>
        <v>10</v>
      </c>
      <c r="O3025" s="15">
        <f t="shared" ca="1" si="266"/>
        <v>25</v>
      </c>
      <c r="P3025" s="16">
        <f t="shared" ca="1" si="267"/>
        <v>-10.994449999999915</v>
      </c>
      <c r="Q3025" s="11" t="str">
        <f t="shared" ca="1" si="253"/>
        <v/>
      </c>
      <c r="R3025" s="11" t="str">
        <f t="shared" ca="1" si="254"/>
        <v/>
      </c>
      <c r="S3025" s="61" t="str">
        <f t="shared" ca="1" si="255"/>
        <v/>
      </c>
      <c r="T3025" s="11" t="str">
        <f t="shared" ca="1" si="256"/>
        <v/>
      </c>
      <c r="U3025" s="11" t="str">
        <f t="shared" ca="1" si="257"/>
        <v/>
      </c>
      <c r="V3025" s="18" t="str">
        <f t="shared" ca="1" si="258"/>
        <v/>
      </c>
      <c r="W3025" s="61" t="str">
        <f t="shared" ca="1" si="259"/>
        <v/>
      </c>
      <c r="X3025" s="61">
        <f t="shared" ca="1" si="260"/>
        <v>0</v>
      </c>
      <c r="Y3025" s="64" t="str">
        <f t="shared" ca="1" si="261"/>
        <v/>
      </c>
    </row>
    <row r="3026" spans="1:25">
      <c r="A3026" s="2">
        <f>+Get_Data!A3025</f>
        <v>43833</v>
      </c>
      <c r="B3026">
        <f>+ROUND(Get_Data!B3025,5)</f>
        <v>132.72829999999999</v>
      </c>
      <c r="C3026">
        <f>+ROUND(Get_Data!C3025,5)</f>
        <v>53.295020000000001</v>
      </c>
      <c r="D3026" s="4">
        <f t="shared" si="268"/>
        <v>2.49044</v>
      </c>
      <c r="E3026" s="22">
        <f t="shared" ca="1" si="269"/>
        <v>2.5519699999999998</v>
      </c>
      <c r="F3026" s="23">
        <f t="shared" ca="1" si="270"/>
        <v>2.4796200000000002</v>
      </c>
      <c r="G3026" s="10">
        <f t="shared" ca="1" si="271"/>
        <v>0</v>
      </c>
      <c r="H3026" s="12">
        <f t="shared" ca="1" si="272"/>
        <v>0</v>
      </c>
      <c r="I3026" s="11">
        <f t="shared" ca="1" si="273"/>
        <v>0</v>
      </c>
      <c r="J3026" s="11">
        <f t="shared" ca="1" si="274"/>
        <v>-2</v>
      </c>
      <c r="K3026" s="10">
        <f t="shared" ca="1" si="262"/>
        <v>133.74602999999999</v>
      </c>
      <c r="L3026" s="11">
        <f t="shared" ca="1" si="263"/>
        <v>-53.938189999999999</v>
      </c>
      <c r="M3026" s="11">
        <f t="shared" ca="1" si="264"/>
        <v>2.4796200000000002</v>
      </c>
      <c r="N3026" s="15">
        <f t="shared" ca="1" si="265"/>
        <v>10</v>
      </c>
      <c r="O3026" s="15">
        <f t="shared" ca="1" si="266"/>
        <v>25</v>
      </c>
      <c r="P3026" s="16">
        <f t="shared" ca="1" si="267"/>
        <v>-10.994449999999915</v>
      </c>
      <c r="Q3026" s="11" t="str">
        <f t="shared" ca="1" si="253"/>
        <v/>
      </c>
      <c r="R3026" s="11" t="str">
        <f t="shared" ca="1" si="254"/>
        <v/>
      </c>
      <c r="S3026" s="61" t="str">
        <f t="shared" ca="1" si="255"/>
        <v/>
      </c>
      <c r="T3026" s="11" t="str">
        <f t="shared" ca="1" si="256"/>
        <v/>
      </c>
      <c r="U3026" s="11" t="str">
        <f t="shared" ca="1" si="257"/>
        <v/>
      </c>
      <c r="V3026" s="18" t="str">
        <f t="shared" ca="1" si="258"/>
        <v/>
      </c>
      <c r="W3026" s="61" t="str">
        <f t="shared" ca="1" si="259"/>
        <v/>
      </c>
      <c r="X3026" s="61">
        <f t="shared" ca="1" si="260"/>
        <v>0</v>
      </c>
      <c r="Y3026" s="64" t="str">
        <f t="shared" ca="1" si="261"/>
        <v/>
      </c>
    </row>
    <row r="3027" spans="1:25">
      <c r="A3027" s="2">
        <f>+Get_Data!A3026</f>
        <v>43836</v>
      </c>
      <c r="B3027">
        <f>+ROUND(Get_Data!B3026,5)</f>
        <v>133.23715000000001</v>
      </c>
      <c r="C3027">
        <f>+ROUND(Get_Data!C3026,5)</f>
        <v>53.275539999999999</v>
      </c>
      <c r="D3027" s="4">
        <f t="shared" si="268"/>
        <v>2.5009100000000002</v>
      </c>
      <c r="E3027" s="22">
        <f t="shared" ca="1" si="269"/>
        <v>2.5519699999999998</v>
      </c>
      <c r="F3027" s="23">
        <f t="shared" ca="1" si="270"/>
        <v>2.4796200000000002</v>
      </c>
      <c r="G3027" s="10">
        <f t="shared" ca="1" si="271"/>
        <v>0</v>
      </c>
      <c r="H3027" s="12">
        <f t="shared" ca="1" si="272"/>
        <v>0</v>
      </c>
      <c r="I3027" s="11">
        <f t="shared" ca="1" si="273"/>
        <v>0</v>
      </c>
      <c r="J3027" s="11">
        <f t="shared" ca="1" si="274"/>
        <v>-2</v>
      </c>
      <c r="K3027" s="10">
        <f t="shared" ca="1" si="262"/>
        <v>133.74602999999999</v>
      </c>
      <c r="L3027" s="11">
        <f t="shared" ca="1" si="263"/>
        <v>-53.938189999999999</v>
      </c>
      <c r="M3027" s="11">
        <f t="shared" ca="1" si="264"/>
        <v>2.4796200000000002</v>
      </c>
      <c r="N3027" s="15">
        <f t="shared" ca="1" si="265"/>
        <v>10</v>
      </c>
      <c r="O3027" s="15">
        <f t="shared" ca="1" si="266"/>
        <v>25</v>
      </c>
      <c r="P3027" s="16">
        <f t="shared" ca="1" si="267"/>
        <v>-10.994449999999915</v>
      </c>
      <c r="Q3027" s="11" t="str">
        <f t="shared" ref="Q3027:Q3090" ca="1" si="275">+IF(ISNUMBER(T3027),B3027,"")</f>
        <v/>
      </c>
      <c r="R3027" s="11" t="str">
        <f t="shared" ref="R3027:R3090" ca="1" si="276">+IF(ISNUMBER(U3027),C3027,"")</f>
        <v/>
      </c>
      <c r="S3027" s="61" t="str">
        <f t="shared" ref="S3027:S3090" ca="1" si="277">+IF(ISNUMBER(T3027),D3027,"")</f>
        <v/>
      </c>
      <c r="T3027" s="11" t="str">
        <f t="shared" ref="T3027:T3090" ca="1" si="278">+IF(AND(ISNUMBER(N3026),NOT(ISNUMBER(N3027))),N3026,"")</f>
        <v/>
      </c>
      <c r="U3027" s="11" t="str">
        <f t="shared" ref="U3027:U3090" ca="1" si="279">+IF(AND(ISNUMBER(O3026),NOT(ISNUMBER(O3027))),O3026,"")</f>
        <v/>
      </c>
      <c r="V3027" s="18" t="str">
        <f t="shared" ref="V3027:V3090" ca="1" si="280">+IFERROR(T3027*(K3026-Q3027),"")</f>
        <v/>
      </c>
      <c r="W3027" s="61" t="str">
        <f t="shared" ref="W3027:W3090" ca="1" si="281">+IFERROR(U3027*(L3026+R3027),"")</f>
        <v/>
      </c>
      <c r="X3027" s="61">
        <f t="shared" ref="X3027:X3090" ca="1" si="282">+IFERROR(SUM(V3027:W3027),"")</f>
        <v>0</v>
      </c>
      <c r="Y3027" s="64" t="str">
        <f t="shared" ref="Y3027:Y3090" ca="1" si="283">IFERROR(+X3027/ABS(R3027*U3027),"")</f>
        <v/>
      </c>
    </row>
    <row r="3028" spans="1:25">
      <c r="A3028" s="2">
        <f>+Get_Data!A3027</f>
        <v>43837</v>
      </c>
      <c r="B3028">
        <f>+ROUND(Get_Data!B3027,5)</f>
        <v>131.14294000000001</v>
      </c>
      <c r="C3028">
        <f>+ROUND(Get_Data!C3027,5)</f>
        <v>52.866250000000001</v>
      </c>
      <c r="D3028" s="4">
        <f t="shared" si="268"/>
        <v>2.4806599999999999</v>
      </c>
      <c r="E3028" s="22">
        <f t="shared" ca="1" si="269"/>
        <v>2.5519699999999998</v>
      </c>
      <c r="F3028" s="23">
        <f t="shared" ca="1" si="270"/>
        <v>2.4796200000000002</v>
      </c>
      <c r="G3028" s="10">
        <f t="shared" ca="1" si="271"/>
        <v>0</v>
      </c>
      <c r="H3028" s="12">
        <f t="shared" ca="1" si="272"/>
        <v>0</v>
      </c>
      <c r="I3028" s="11">
        <f t="shared" ca="1" si="273"/>
        <v>0</v>
      </c>
      <c r="J3028" s="11">
        <f t="shared" ca="1" si="274"/>
        <v>-2</v>
      </c>
      <c r="K3028" s="10">
        <f t="shared" ca="1" si="262"/>
        <v>133.74602999999999</v>
      </c>
      <c r="L3028" s="11">
        <f t="shared" ca="1" si="263"/>
        <v>-53.938189999999999</v>
      </c>
      <c r="M3028" s="11">
        <f t="shared" ca="1" si="264"/>
        <v>2.4796200000000002</v>
      </c>
      <c r="N3028" s="15">
        <f t="shared" ca="1" si="265"/>
        <v>10</v>
      </c>
      <c r="O3028" s="15">
        <f t="shared" ca="1" si="266"/>
        <v>25</v>
      </c>
      <c r="P3028" s="16">
        <f t="shared" ca="1" si="267"/>
        <v>-10.994449999999915</v>
      </c>
      <c r="Q3028" s="11" t="str">
        <f t="shared" ca="1" si="275"/>
        <v/>
      </c>
      <c r="R3028" s="11" t="str">
        <f t="shared" ca="1" si="276"/>
        <v/>
      </c>
      <c r="S3028" s="61" t="str">
        <f t="shared" ca="1" si="277"/>
        <v/>
      </c>
      <c r="T3028" s="11" t="str">
        <f t="shared" ca="1" si="278"/>
        <v/>
      </c>
      <c r="U3028" s="11" t="str">
        <f t="shared" ca="1" si="279"/>
        <v/>
      </c>
      <c r="V3028" s="18" t="str">
        <f t="shared" ca="1" si="280"/>
        <v/>
      </c>
      <c r="W3028" s="61" t="str">
        <f t="shared" ca="1" si="281"/>
        <v/>
      </c>
      <c r="X3028" s="61">
        <f t="shared" ca="1" si="282"/>
        <v>0</v>
      </c>
      <c r="Y3028" s="64" t="str">
        <f t="shared" ca="1" si="283"/>
        <v/>
      </c>
    </row>
    <row r="3029" spans="1:25">
      <c r="A3029" s="2">
        <f>+Get_Data!A3028</f>
        <v>43838</v>
      </c>
      <c r="B3029">
        <f>+ROUND(Get_Data!B3028,5)</f>
        <v>131.81818999999999</v>
      </c>
      <c r="C3029">
        <f>+ROUND(Get_Data!C3028,5)</f>
        <v>52.963700000000003</v>
      </c>
      <c r="D3029" s="4">
        <f t="shared" si="268"/>
        <v>2.4888400000000002</v>
      </c>
      <c r="E3029" s="22">
        <f t="shared" ca="1" si="269"/>
        <v>2.5519699999999998</v>
      </c>
      <c r="F3029" s="23">
        <f t="shared" ca="1" si="270"/>
        <v>2.4796200000000002</v>
      </c>
      <c r="G3029" s="10">
        <f t="shared" ca="1" si="271"/>
        <v>0</v>
      </c>
      <c r="H3029" s="12">
        <f t="shared" ca="1" si="272"/>
        <v>0</v>
      </c>
      <c r="I3029" s="11">
        <f t="shared" ca="1" si="273"/>
        <v>0</v>
      </c>
      <c r="J3029" s="11">
        <f t="shared" ca="1" si="274"/>
        <v>-2</v>
      </c>
      <c r="K3029" s="10">
        <f t="shared" ca="1" si="262"/>
        <v>133.74602999999999</v>
      </c>
      <c r="L3029" s="11">
        <f t="shared" ca="1" si="263"/>
        <v>-53.938189999999999</v>
      </c>
      <c r="M3029" s="11">
        <f t="shared" ca="1" si="264"/>
        <v>2.4796200000000002</v>
      </c>
      <c r="N3029" s="15">
        <f t="shared" ca="1" si="265"/>
        <v>10</v>
      </c>
      <c r="O3029" s="15">
        <f t="shared" ca="1" si="266"/>
        <v>25</v>
      </c>
      <c r="P3029" s="16">
        <f t="shared" ca="1" si="267"/>
        <v>-10.994449999999915</v>
      </c>
      <c r="Q3029" s="11" t="str">
        <f t="shared" ca="1" si="275"/>
        <v/>
      </c>
      <c r="R3029" s="11" t="str">
        <f t="shared" ca="1" si="276"/>
        <v/>
      </c>
      <c r="S3029" s="61" t="str">
        <f t="shared" ca="1" si="277"/>
        <v/>
      </c>
      <c r="T3029" s="11" t="str">
        <f t="shared" ca="1" si="278"/>
        <v/>
      </c>
      <c r="U3029" s="11" t="str">
        <f t="shared" ca="1" si="279"/>
        <v/>
      </c>
      <c r="V3029" s="18" t="str">
        <f t="shared" ca="1" si="280"/>
        <v/>
      </c>
      <c r="W3029" s="61" t="str">
        <f t="shared" ca="1" si="281"/>
        <v/>
      </c>
      <c r="X3029" s="61">
        <f t="shared" ca="1" si="282"/>
        <v>0</v>
      </c>
      <c r="Y3029" s="64" t="str">
        <f t="shared" ca="1" si="283"/>
        <v/>
      </c>
    </row>
    <row r="3030" spans="1:25">
      <c r="A3030" s="2">
        <f>+Get_Data!A3029</f>
        <v>43839</v>
      </c>
      <c r="B3030">
        <f>+ROUND(Get_Data!B3029,5)</f>
        <v>131.90627000000001</v>
      </c>
      <c r="C3030">
        <f>+ROUND(Get_Data!C3029,5)</f>
        <v>53.928440000000002</v>
      </c>
      <c r="D3030" s="4">
        <f t="shared" si="268"/>
        <v>2.4459499999999998</v>
      </c>
      <c r="E3030" s="22">
        <f t="shared" ca="1" si="269"/>
        <v>2.5519699999999998</v>
      </c>
      <c r="F3030" s="23">
        <f t="shared" ca="1" si="270"/>
        <v>2.4459499999999998</v>
      </c>
      <c r="G3030" s="10">
        <f t="shared" ca="1" si="271"/>
        <v>0</v>
      </c>
      <c r="H3030" s="12">
        <f t="shared" ca="1" si="272"/>
        <v>1</v>
      </c>
      <c r="I3030" s="11">
        <f t="shared" ca="1" si="273"/>
        <v>-1</v>
      </c>
      <c r="J3030" s="11">
        <f t="shared" ca="1" si="274"/>
        <v>0</v>
      </c>
      <c r="K3030" s="10">
        <f t="shared" ca="1" si="262"/>
        <v>133.74602999999999</v>
      </c>
      <c r="L3030" s="11">
        <f t="shared" ca="1" si="263"/>
        <v>-53.938189999999999</v>
      </c>
      <c r="M3030" s="11">
        <f t="shared" ca="1" si="264"/>
        <v>2.4796200000000002</v>
      </c>
      <c r="N3030" s="15">
        <f t="shared" ca="1" si="265"/>
        <v>10</v>
      </c>
      <c r="O3030" s="15">
        <f t="shared" ca="1" si="266"/>
        <v>25</v>
      </c>
      <c r="P3030" s="16">
        <f t="shared" ca="1" si="267"/>
        <v>-10.994449999999915</v>
      </c>
      <c r="Q3030" s="11" t="str">
        <f t="shared" ca="1" si="275"/>
        <v/>
      </c>
      <c r="R3030" s="11" t="str">
        <f t="shared" ca="1" si="276"/>
        <v/>
      </c>
      <c r="S3030" s="61" t="str">
        <f t="shared" ca="1" si="277"/>
        <v/>
      </c>
      <c r="T3030" s="11" t="str">
        <f t="shared" ca="1" si="278"/>
        <v/>
      </c>
      <c r="U3030" s="11" t="str">
        <f t="shared" ca="1" si="279"/>
        <v/>
      </c>
      <c r="V3030" s="18" t="str">
        <f t="shared" ca="1" si="280"/>
        <v/>
      </c>
      <c r="W3030" s="61" t="str">
        <f t="shared" ca="1" si="281"/>
        <v/>
      </c>
      <c r="X3030" s="61">
        <f t="shared" ca="1" si="282"/>
        <v>0</v>
      </c>
      <c r="Y3030" s="64" t="str">
        <f t="shared" ca="1" si="283"/>
        <v/>
      </c>
    </row>
    <row r="3031" spans="1:25">
      <c r="A3031" s="2">
        <f>+Get_Data!A3030</f>
        <v>43840</v>
      </c>
      <c r="B3031">
        <f>+ROUND(Get_Data!B3030,5)</f>
        <v>131.65181000000001</v>
      </c>
      <c r="C3031">
        <f>+ROUND(Get_Data!C3030,5)</f>
        <v>54.113599999999998</v>
      </c>
      <c r="D3031" s="4">
        <f t="shared" si="268"/>
        <v>2.4328799999999999</v>
      </c>
      <c r="E3031" s="22">
        <f t="shared" ca="1" si="269"/>
        <v>2.5519699999999998</v>
      </c>
      <c r="F3031" s="23">
        <f t="shared" ca="1" si="270"/>
        <v>2.4328799999999999</v>
      </c>
      <c r="G3031" s="10">
        <f t="shared" ca="1" si="271"/>
        <v>0</v>
      </c>
      <c r="H3031" s="12">
        <f t="shared" ca="1" si="272"/>
        <v>1</v>
      </c>
      <c r="I3031" s="11">
        <f t="shared" ca="1" si="273"/>
        <v>-1</v>
      </c>
      <c r="J3031" s="11">
        <f t="shared" ca="1" si="274"/>
        <v>-1</v>
      </c>
      <c r="K3031" s="10" t="str">
        <f t="shared" ca="1" si="262"/>
        <v/>
      </c>
      <c r="L3031" s="11" t="str">
        <f t="shared" ca="1" si="263"/>
        <v/>
      </c>
      <c r="M3031" s="11" t="str">
        <f t="shared" ca="1" si="264"/>
        <v/>
      </c>
      <c r="N3031" s="15" t="str">
        <f t="shared" ca="1" si="265"/>
        <v/>
      </c>
      <c r="O3031" s="15" t="str">
        <f t="shared" ca="1" si="266"/>
        <v/>
      </c>
      <c r="P3031" s="16" t="str">
        <f t="shared" ca="1" si="267"/>
        <v/>
      </c>
      <c r="Q3031" s="11">
        <f t="shared" ca="1" si="275"/>
        <v>131.65181000000001</v>
      </c>
      <c r="R3031" s="11">
        <f t="shared" ca="1" si="276"/>
        <v>54.113599999999998</v>
      </c>
      <c r="S3031" s="61">
        <f t="shared" ca="1" si="277"/>
        <v>2.4328799999999999</v>
      </c>
      <c r="T3031" s="11">
        <f t="shared" ca="1" si="278"/>
        <v>10</v>
      </c>
      <c r="U3031" s="11">
        <f t="shared" ca="1" si="279"/>
        <v>25</v>
      </c>
      <c r="V3031" s="18">
        <f t="shared" ca="1" si="280"/>
        <v>20.942199999999787</v>
      </c>
      <c r="W3031" s="61">
        <f t="shared" ca="1" si="281"/>
        <v>4.385249999999985</v>
      </c>
      <c r="X3031" s="61">
        <f t="shared" ca="1" si="282"/>
        <v>25.327449999999772</v>
      </c>
      <c r="Y3031" s="64">
        <f t="shared" ca="1" si="283"/>
        <v>1.8721689187191221E-2</v>
      </c>
    </row>
    <row r="3032" spans="1:25">
      <c r="A3032" s="2">
        <f>+Get_Data!A3031</f>
        <v>43843</v>
      </c>
      <c r="B3032">
        <f>+ROUND(Get_Data!B3031,5)</f>
        <v>133.60901999999999</v>
      </c>
      <c r="C3032">
        <f>+ROUND(Get_Data!C3031,5)</f>
        <v>54.698300000000003</v>
      </c>
      <c r="D3032" s="4">
        <f t="shared" si="268"/>
        <v>2.44265</v>
      </c>
      <c r="E3032" s="22">
        <f t="shared" ca="1" si="269"/>
        <v>2.5519699999999998</v>
      </c>
      <c r="F3032" s="23">
        <f t="shared" ca="1" si="270"/>
        <v>2.4328799999999999</v>
      </c>
      <c r="G3032" s="10">
        <f t="shared" ca="1" si="271"/>
        <v>0</v>
      </c>
      <c r="H3032" s="12">
        <f t="shared" ca="1" si="272"/>
        <v>0</v>
      </c>
      <c r="I3032" s="11">
        <f t="shared" ca="1" si="273"/>
        <v>0</v>
      </c>
      <c r="J3032" s="11">
        <f t="shared" ca="1" si="274"/>
        <v>-1</v>
      </c>
      <c r="K3032" s="10">
        <f t="shared" ca="1" si="262"/>
        <v>133.60901999999999</v>
      </c>
      <c r="L3032" s="11">
        <f t="shared" ca="1" si="263"/>
        <v>-54.698300000000003</v>
      </c>
      <c r="M3032" s="11">
        <f t="shared" ca="1" si="264"/>
        <v>2.44265</v>
      </c>
      <c r="N3032" s="15">
        <f t="shared" ca="1" si="265"/>
        <v>10</v>
      </c>
      <c r="O3032" s="15">
        <f t="shared" ca="1" si="266"/>
        <v>24</v>
      </c>
      <c r="P3032" s="16">
        <f t="shared" ca="1" si="267"/>
        <v>23.330999999999904</v>
      </c>
      <c r="Q3032" s="11" t="str">
        <f t="shared" ca="1" si="275"/>
        <v/>
      </c>
      <c r="R3032" s="11" t="str">
        <f t="shared" ca="1" si="276"/>
        <v/>
      </c>
      <c r="S3032" s="61" t="str">
        <f t="shared" ca="1" si="277"/>
        <v/>
      </c>
      <c r="T3032" s="11" t="str">
        <f t="shared" ca="1" si="278"/>
        <v/>
      </c>
      <c r="U3032" s="11" t="str">
        <f t="shared" ca="1" si="279"/>
        <v/>
      </c>
      <c r="V3032" s="18" t="str">
        <f t="shared" ca="1" si="280"/>
        <v/>
      </c>
      <c r="W3032" s="61" t="str">
        <f t="shared" ca="1" si="281"/>
        <v/>
      </c>
      <c r="X3032" s="61">
        <f t="shared" ca="1" si="282"/>
        <v>0</v>
      </c>
      <c r="Y3032" s="64" t="str">
        <f t="shared" ca="1" si="283"/>
        <v/>
      </c>
    </row>
    <row r="3033" spans="1:25">
      <c r="A3033" s="2">
        <f>+Get_Data!A3032</f>
        <v>43844</v>
      </c>
      <c r="B3033">
        <f>+ROUND(Get_Data!B3032,5)</f>
        <v>133.92218</v>
      </c>
      <c r="C3033">
        <f>+ROUND(Get_Data!C3032,5)</f>
        <v>54.57161</v>
      </c>
      <c r="D3033" s="4">
        <f t="shared" si="268"/>
        <v>2.4540600000000001</v>
      </c>
      <c r="E3033" s="22">
        <f t="shared" ca="1" si="269"/>
        <v>2.5519699999999998</v>
      </c>
      <c r="F3033" s="23">
        <f t="shared" ca="1" si="270"/>
        <v>2.4328799999999999</v>
      </c>
      <c r="G3033" s="10">
        <f t="shared" ca="1" si="271"/>
        <v>0</v>
      </c>
      <c r="H3033" s="12">
        <f t="shared" ca="1" si="272"/>
        <v>0</v>
      </c>
      <c r="I3033" s="11">
        <f t="shared" ca="1" si="273"/>
        <v>0</v>
      </c>
      <c r="J3033" s="11">
        <f t="shared" ca="1" si="274"/>
        <v>-1</v>
      </c>
      <c r="K3033" s="10">
        <f t="shared" ca="1" si="262"/>
        <v>133.60901999999999</v>
      </c>
      <c r="L3033" s="11">
        <f t="shared" ca="1" si="263"/>
        <v>-54.698300000000003</v>
      </c>
      <c r="M3033" s="11">
        <f t="shared" ca="1" si="264"/>
        <v>2.44265</v>
      </c>
      <c r="N3033" s="15">
        <f t="shared" ca="1" si="265"/>
        <v>10</v>
      </c>
      <c r="O3033" s="15">
        <f t="shared" ca="1" si="266"/>
        <v>24</v>
      </c>
      <c r="P3033" s="16">
        <f t="shared" ca="1" si="267"/>
        <v>23.330999999999904</v>
      </c>
      <c r="Q3033" s="11" t="str">
        <f t="shared" ca="1" si="275"/>
        <v/>
      </c>
      <c r="R3033" s="11" t="str">
        <f t="shared" ca="1" si="276"/>
        <v/>
      </c>
      <c r="S3033" s="61" t="str">
        <f t="shared" ca="1" si="277"/>
        <v/>
      </c>
      <c r="T3033" s="11" t="str">
        <f t="shared" ca="1" si="278"/>
        <v/>
      </c>
      <c r="U3033" s="11" t="str">
        <f t="shared" ca="1" si="279"/>
        <v/>
      </c>
      <c r="V3033" s="18" t="str">
        <f t="shared" ca="1" si="280"/>
        <v/>
      </c>
      <c r="W3033" s="61" t="str">
        <f t="shared" ca="1" si="281"/>
        <v/>
      </c>
      <c r="X3033" s="61">
        <f t="shared" ca="1" si="282"/>
        <v>0</v>
      </c>
      <c r="Y3033" s="64" t="str">
        <f t="shared" ca="1" si="283"/>
        <v/>
      </c>
    </row>
    <row r="3034" spans="1:25">
      <c r="A3034" s="2">
        <f>+Get_Data!A3033</f>
        <v>43845</v>
      </c>
      <c r="B3034">
        <f>+ROUND(Get_Data!B3033,5)</f>
        <v>136.22191000000001</v>
      </c>
      <c r="C3034">
        <f>+ROUND(Get_Data!C3033,5)</f>
        <v>55.25376</v>
      </c>
      <c r="D3034" s="4">
        <f t="shared" si="268"/>
        <v>2.4653900000000002</v>
      </c>
      <c r="E3034" s="22">
        <f t="shared" ca="1" si="269"/>
        <v>2.5519699999999998</v>
      </c>
      <c r="F3034" s="23">
        <f t="shared" ca="1" si="270"/>
        <v>2.4328799999999999</v>
      </c>
      <c r="G3034" s="10">
        <f t="shared" ca="1" si="271"/>
        <v>0</v>
      </c>
      <c r="H3034" s="12">
        <f t="shared" ca="1" si="272"/>
        <v>0</v>
      </c>
      <c r="I3034" s="11">
        <f t="shared" ca="1" si="273"/>
        <v>0</v>
      </c>
      <c r="J3034" s="11">
        <f t="shared" ca="1" si="274"/>
        <v>-1</v>
      </c>
      <c r="K3034" s="10">
        <f t="shared" ref="K3034:K3097" ca="1" si="284">+IF($J3033=0,"",IF(AND(ABS($J3033)=1,ABS($I3033)=1),-$J3033*B3034,K3033))</f>
        <v>133.60901999999999</v>
      </c>
      <c r="L3034" s="11">
        <f t="shared" ref="L3034:L3097" ca="1" si="285">+IF($J3033=0,"",IF(AND(ABS($J3033)=1,ABS($I3033)=1),$J3033*C3034,L3033))</f>
        <v>-54.698300000000003</v>
      </c>
      <c r="M3034" s="11">
        <f t="shared" ref="M3034:M3097" ca="1" si="286">+IF($J3033=0,"",IF(AND(ABS($J3033)=1,ABS($I3033)=1),D3034,M3033))</f>
        <v>2.44265</v>
      </c>
      <c r="N3034" s="15">
        <f t="shared" ref="N3034:N3097" ca="1" si="287">+IF(ISNUMBER(K3034),stocks,"")</f>
        <v>10</v>
      </c>
      <c r="O3034" s="15">
        <f t="shared" ref="O3034:O3097" ca="1" si="288">+IFERROR(ROUND(N3034*M3034,0),"")</f>
        <v>24</v>
      </c>
      <c r="P3034" s="16">
        <f t="shared" ref="P3034:P3097" ca="1" si="289">IFERROR(+N3034*K3034+O3034*L3034,"")</f>
        <v>23.330999999999904</v>
      </c>
      <c r="Q3034" s="11" t="str">
        <f t="shared" ca="1" si="275"/>
        <v/>
      </c>
      <c r="R3034" s="11" t="str">
        <f t="shared" ca="1" si="276"/>
        <v/>
      </c>
      <c r="S3034" s="61" t="str">
        <f t="shared" ca="1" si="277"/>
        <v/>
      </c>
      <c r="T3034" s="11" t="str">
        <f t="shared" ca="1" si="278"/>
        <v/>
      </c>
      <c r="U3034" s="11" t="str">
        <f t="shared" ca="1" si="279"/>
        <v/>
      </c>
      <c r="V3034" s="18" t="str">
        <f t="shared" ca="1" si="280"/>
        <v/>
      </c>
      <c r="W3034" s="61" t="str">
        <f t="shared" ca="1" si="281"/>
        <v/>
      </c>
      <c r="X3034" s="61">
        <f t="shared" ca="1" si="282"/>
        <v>0</v>
      </c>
      <c r="Y3034" s="64" t="str">
        <f t="shared" ca="1" si="283"/>
        <v/>
      </c>
    </row>
    <row r="3035" spans="1:25">
      <c r="A3035" s="2">
        <f>+Get_Data!A3034</f>
        <v>43846</v>
      </c>
      <c r="B3035">
        <f>+ROUND(Get_Data!B3034,5)</f>
        <v>136.62312</v>
      </c>
      <c r="C3035">
        <f>+ROUND(Get_Data!C3034,5)</f>
        <v>55.370690000000003</v>
      </c>
      <c r="D3035" s="4">
        <f t="shared" si="268"/>
        <v>2.4674299999999998</v>
      </c>
      <c r="E3035" s="22">
        <f t="shared" ca="1" si="269"/>
        <v>2.5519699999999998</v>
      </c>
      <c r="F3035" s="23">
        <f t="shared" ca="1" si="270"/>
        <v>2.4328799999999999</v>
      </c>
      <c r="G3035" s="10">
        <f t="shared" ca="1" si="271"/>
        <v>0</v>
      </c>
      <c r="H3035" s="12">
        <f t="shared" ca="1" si="272"/>
        <v>0</v>
      </c>
      <c r="I3035" s="11">
        <f t="shared" ca="1" si="273"/>
        <v>0</v>
      </c>
      <c r="J3035" s="11">
        <f t="shared" ca="1" si="274"/>
        <v>-1</v>
      </c>
      <c r="K3035" s="10">
        <f t="shared" ca="1" si="284"/>
        <v>133.60901999999999</v>
      </c>
      <c r="L3035" s="11">
        <f t="shared" ca="1" si="285"/>
        <v>-54.698300000000003</v>
      </c>
      <c r="M3035" s="11">
        <f t="shared" ca="1" si="286"/>
        <v>2.44265</v>
      </c>
      <c r="N3035" s="15">
        <f t="shared" ca="1" si="287"/>
        <v>10</v>
      </c>
      <c r="O3035" s="15">
        <f t="shared" ca="1" si="288"/>
        <v>24</v>
      </c>
      <c r="P3035" s="16">
        <f t="shared" ca="1" si="289"/>
        <v>23.330999999999904</v>
      </c>
      <c r="Q3035" s="11" t="str">
        <f t="shared" ca="1" si="275"/>
        <v/>
      </c>
      <c r="R3035" s="11" t="str">
        <f t="shared" ca="1" si="276"/>
        <v/>
      </c>
      <c r="S3035" s="61" t="str">
        <f t="shared" ca="1" si="277"/>
        <v/>
      </c>
      <c r="T3035" s="11" t="str">
        <f t="shared" ca="1" si="278"/>
        <v/>
      </c>
      <c r="U3035" s="11" t="str">
        <f t="shared" ca="1" si="279"/>
        <v/>
      </c>
      <c r="V3035" s="18" t="str">
        <f t="shared" ca="1" si="280"/>
        <v/>
      </c>
      <c r="W3035" s="61" t="str">
        <f t="shared" ca="1" si="281"/>
        <v/>
      </c>
      <c r="X3035" s="61">
        <f t="shared" ca="1" si="282"/>
        <v>0</v>
      </c>
      <c r="Y3035" s="64" t="str">
        <f t="shared" ca="1" si="283"/>
        <v/>
      </c>
    </row>
    <row r="3036" spans="1:25">
      <c r="A3036" s="2">
        <f>+Get_Data!A3035</f>
        <v>43847</v>
      </c>
      <c r="B3036">
        <f>+ROUND(Get_Data!B3035,5)</f>
        <v>138.23782</v>
      </c>
      <c r="C3036">
        <f>+ROUND(Get_Data!C3035,5)</f>
        <v>55.487639999999999</v>
      </c>
      <c r="D3036" s="4">
        <f t="shared" si="268"/>
        <v>2.49133</v>
      </c>
      <c r="E3036" s="22">
        <f t="shared" ca="1" si="269"/>
        <v>2.5454300000000001</v>
      </c>
      <c r="F3036" s="23">
        <f t="shared" ca="1" si="270"/>
        <v>2.4328799999999999</v>
      </c>
      <c r="G3036" s="10">
        <f t="shared" ca="1" si="271"/>
        <v>0</v>
      </c>
      <c r="H3036" s="12">
        <f t="shared" ca="1" si="272"/>
        <v>0</v>
      </c>
      <c r="I3036" s="11">
        <f t="shared" ca="1" si="273"/>
        <v>0</v>
      </c>
      <c r="J3036" s="11">
        <f t="shared" ca="1" si="274"/>
        <v>-1</v>
      </c>
      <c r="K3036" s="10">
        <f t="shared" ca="1" si="284"/>
        <v>133.60901999999999</v>
      </c>
      <c r="L3036" s="11">
        <f t="shared" ca="1" si="285"/>
        <v>-54.698300000000003</v>
      </c>
      <c r="M3036" s="11">
        <f t="shared" ca="1" si="286"/>
        <v>2.44265</v>
      </c>
      <c r="N3036" s="15">
        <f t="shared" ca="1" si="287"/>
        <v>10</v>
      </c>
      <c r="O3036" s="15">
        <f t="shared" ca="1" si="288"/>
        <v>24</v>
      </c>
      <c r="P3036" s="16">
        <f t="shared" ca="1" si="289"/>
        <v>23.330999999999904</v>
      </c>
      <c r="Q3036" s="11" t="str">
        <f t="shared" ca="1" si="275"/>
        <v/>
      </c>
      <c r="R3036" s="11" t="str">
        <f t="shared" ca="1" si="276"/>
        <v/>
      </c>
      <c r="S3036" s="61" t="str">
        <f t="shared" ca="1" si="277"/>
        <v/>
      </c>
      <c r="T3036" s="11" t="str">
        <f t="shared" ca="1" si="278"/>
        <v/>
      </c>
      <c r="U3036" s="11" t="str">
        <f t="shared" ca="1" si="279"/>
        <v/>
      </c>
      <c r="V3036" s="18" t="str">
        <f t="shared" ca="1" si="280"/>
        <v/>
      </c>
      <c r="W3036" s="61" t="str">
        <f t="shared" ca="1" si="281"/>
        <v/>
      </c>
      <c r="X3036" s="61">
        <f t="shared" ca="1" si="282"/>
        <v>0</v>
      </c>
      <c r="Y3036" s="64" t="str">
        <f t="shared" ca="1" si="283"/>
        <v/>
      </c>
    </row>
    <row r="3037" spans="1:25">
      <c r="A3037" s="2">
        <f>+Get_Data!A3036</f>
        <v>43851</v>
      </c>
      <c r="B3037">
        <f>+ROUND(Get_Data!B3036,5)</f>
        <v>138.82500999999999</v>
      </c>
      <c r="C3037">
        <f>+ROUND(Get_Data!C3036,5)</f>
        <v>55.711770000000001</v>
      </c>
      <c r="D3037" s="4">
        <f t="shared" si="268"/>
        <v>2.4918399999999998</v>
      </c>
      <c r="E3037" s="22">
        <f t="shared" ca="1" si="269"/>
        <v>2.5454300000000001</v>
      </c>
      <c r="F3037" s="23">
        <f t="shared" ca="1" si="270"/>
        <v>2.4328799999999999</v>
      </c>
      <c r="G3037" s="10">
        <f t="shared" ca="1" si="271"/>
        <v>0</v>
      </c>
      <c r="H3037" s="12">
        <f t="shared" ca="1" si="272"/>
        <v>0</v>
      </c>
      <c r="I3037" s="11">
        <f t="shared" ca="1" si="273"/>
        <v>0</v>
      </c>
      <c r="J3037" s="11">
        <f t="shared" ca="1" si="274"/>
        <v>-1</v>
      </c>
      <c r="K3037" s="10">
        <f t="shared" ca="1" si="284"/>
        <v>133.60901999999999</v>
      </c>
      <c r="L3037" s="11">
        <f t="shared" ca="1" si="285"/>
        <v>-54.698300000000003</v>
      </c>
      <c r="M3037" s="11">
        <f t="shared" ca="1" si="286"/>
        <v>2.44265</v>
      </c>
      <c r="N3037" s="15">
        <f t="shared" ca="1" si="287"/>
        <v>10</v>
      </c>
      <c r="O3037" s="15">
        <f t="shared" ca="1" si="288"/>
        <v>24</v>
      </c>
      <c r="P3037" s="16">
        <f t="shared" ca="1" si="289"/>
        <v>23.330999999999904</v>
      </c>
      <c r="Q3037" s="11" t="str">
        <f t="shared" ca="1" si="275"/>
        <v/>
      </c>
      <c r="R3037" s="11" t="str">
        <f t="shared" ca="1" si="276"/>
        <v/>
      </c>
      <c r="S3037" s="61" t="str">
        <f t="shared" ca="1" si="277"/>
        <v/>
      </c>
      <c r="T3037" s="11" t="str">
        <f t="shared" ca="1" si="278"/>
        <v/>
      </c>
      <c r="U3037" s="11" t="str">
        <f t="shared" ca="1" si="279"/>
        <v/>
      </c>
      <c r="V3037" s="18" t="str">
        <f t="shared" ca="1" si="280"/>
        <v/>
      </c>
      <c r="W3037" s="61" t="str">
        <f t="shared" ca="1" si="281"/>
        <v/>
      </c>
      <c r="X3037" s="61">
        <f t="shared" ca="1" si="282"/>
        <v>0</v>
      </c>
      <c r="Y3037" s="64" t="str">
        <f t="shared" ca="1" si="283"/>
        <v/>
      </c>
    </row>
    <row r="3038" spans="1:25">
      <c r="A3038" s="2">
        <f>+Get_Data!A3037</f>
        <v>43852</v>
      </c>
      <c r="B3038">
        <f>+ROUND(Get_Data!B3037,5)</f>
        <v>140.31247999999999</v>
      </c>
      <c r="C3038">
        <f>+ROUND(Get_Data!C3037,5)</f>
        <v>56.140540000000001</v>
      </c>
      <c r="D3038" s="4">
        <f t="shared" si="268"/>
        <v>2.4993099999999999</v>
      </c>
      <c r="E3038" s="22">
        <f t="shared" ca="1" si="269"/>
        <v>2.53281</v>
      </c>
      <c r="F3038" s="23">
        <f t="shared" ca="1" si="270"/>
        <v>2.4328799999999999</v>
      </c>
      <c r="G3038" s="10">
        <f t="shared" ca="1" si="271"/>
        <v>0</v>
      </c>
      <c r="H3038" s="12">
        <f t="shared" ca="1" si="272"/>
        <v>0</v>
      </c>
      <c r="I3038" s="11">
        <f t="shared" ca="1" si="273"/>
        <v>0</v>
      </c>
      <c r="J3038" s="11">
        <f t="shared" ca="1" si="274"/>
        <v>-1</v>
      </c>
      <c r="K3038" s="10">
        <f t="shared" ca="1" si="284"/>
        <v>133.60901999999999</v>
      </c>
      <c r="L3038" s="11">
        <f t="shared" ca="1" si="285"/>
        <v>-54.698300000000003</v>
      </c>
      <c r="M3038" s="11">
        <f t="shared" ca="1" si="286"/>
        <v>2.44265</v>
      </c>
      <c r="N3038" s="15">
        <f t="shared" ca="1" si="287"/>
        <v>10</v>
      </c>
      <c r="O3038" s="15">
        <f t="shared" ca="1" si="288"/>
        <v>24</v>
      </c>
      <c r="P3038" s="16">
        <f t="shared" ca="1" si="289"/>
        <v>23.330999999999904</v>
      </c>
      <c r="Q3038" s="11" t="str">
        <f t="shared" ca="1" si="275"/>
        <v/>
      </c>
      <c r="R3038" s="11" t="str">
        <f t="shared" ca="1" si="276"/>
        <v/>
      </c>
      <c r="S3038" s="61" t="str">
        <f t="shared" ca="1" si="277"/>
        <v/>
      </c>
      <c r="T3038" s="11" t="str">
        <f t="shared" ca="1" si="278"/>
        <v/>
      </c>
      <c r="U3038" s="11" t="str">
        <f t="shared" ca="1" si="279"/>
        <v/>
      </c>
      <c r="V3038" s="18" t="str">
        <f t="shared" ca="1" si="280"/>
        <v/>
      </c>
      <c r="W3038" s="61" t="str">
        <f t="shared" ca="1" si="281"/>
        <v/>
      </c>
      <c r="X3038" s="61">
        <f t="shared" ca="1" si="282"/>
        <v>0</v>
      </c>
      <c r="Y3038" s="64" t="str">
        <f t="shared" ca="1" si="283"/>
        <v/>
      </c>
    </row>
    <row r="3039" spans="1:25">
      <c r="A3039" s="2">
        <f>+Get_Data!A3038</f>
        <v>43853</v>
      </c>
      <c r="B3039">
        <f>+ROUND(Get_Data!B3038,5)</f>
        <v>140.57670999999999</v>
      </c>
      <c r="C3039">
        <f>+ROUND(Get_Data!C3038,5)</f>
        <v>56.354930000000003</v>
      </c>
      <c r="D3039" s="4">
        <f t="shared" si="268"/>
        <v>2.4944899999999999</v>
      </c>
      <c r="E3039" s="22">
        <f t="shared" ca="1" si="269"/>
        <v>2.53281</v>
      </c>
      <c r="F3039" s="23">
        <f t="shared" ca="1" si="270"/>
        <v>2.4328799999999999</v>
      </c>
      <c r="G3039" s="10">
        <f t="shared" ca="1" si="271"/>
        <v>0</v>
      </c>
      <c r="H3039" s="12">
        <f t="shared" ca="1" si="272"/>
        <v>0</v>
      </c>
      <c r="I3039" s="11">
        <f t="shared" ca="1" si="273"/>
        <v>0</v>
      </c>
      <c r="J3039" s="11">
        <f t="shared" ca="1" si="274"/>
        <v>-1</v>
      </c>
      <c r="K3039" s="10">
        <f t="shared" ca="1" si="284"/>
        <v>133.60901999999999</v>
      </c>
      <c r="L3039" s="11">
        <f t="shared" ca="1" si="285"/>
        <v>-54.698300000000003</v>
      </c>
      <c r="M3039" s="11">
        <f t="shared" ca="1" si="286"/>
        <v>2.44265</v>
      </c>
      <c r="N3039" s="15">
        <f t="shared" ca="1" si="287"/>
        <v>10</v>
      </c>
      <c r="O3039" s="15">
        <f t="shared" ca="1" si="288"/>
        <v>24</v>
      </c>
      <c r="P3039" s="16">
        <f t="shared" ca="1" si="289"/>
        <v>23.330999999999904</v>
      </c>
      <c r="Q3039" s="11" t="str">
        <f t="shared" ca="1" si="275"/>
        <v/>
      </c>
      <c r="R3039" s="11" t="str">
        <f t="shared" ca="1" si="276"/>
        <v/>
      </c>
      <c r="S3039" s="61" t="str">
        <f t="shared" ca="1" si="277"/>
        <v/>
      </c>
      <c r="T3039" s="11" t="str">
        <f t="shared" ca="1" si="278"/>
        <v/>
      </c>
      <c r="U3039" s="11" t="str">
        <f t="shared" ca="1" si="279"/>
        <v/>
      </c>
      <c r="V3039" s="18" t="str">
        <f t="shared" ca="1" si="280"/>
        <v/>
      </c>
      <c r="W3039" s="61" t="str">
        <f t="shared" ca="1" si="281"/>
        <v/>
      </c>
      <c r="X3039" s="61">
        <f t="shared" ca="1" si="282"/>
        <v>0</v>
      </c>
      <c r="Y3039" s="64" t="str">
        <f t="shared" ca="1" si="283"/>
        <v/>
      </c>
    </row>
    <row r="3040" spans="1:25">
      <c r="A3040" s="2">
        <f>+Get_Data!A3039</f>
        <v>43854</v>
      </c>
      <c r="B3040">
        <f>+ROUND(Get_Data!B3039,5)</f>
        <v>139.86232000000001</v>
      </c>
      <c r="C3040">
        <f>+ROUND(Get_Data!C3039,5)</f>
        <v>56.208759999999998</v>
      </c>
      <c r="D3040" s="4">
        <f t="shared" si="268"/>
        <v>2.48827</v>
      </c>
      <c r="E3040" s="22">
        <f t="shared" ca="1" si="269"/>
        <v>2.53281</v>
      </c>
      <c r="F3040" s="23">
        <f t="shared" ca="1" si="270"/>
        <v>2.4328799999999999</v>
      </c>
      <c r="G3040" s="10">
        <f t="shared" ca="1" si="271"/>
        <v>0</v>
      </c>
      <c r="H3040" s="12">
        <f t="shared" ca="1" si="272"/>
        <v>0</v>
      </c>
      <c r="I3040" s="11">
        <f t="shared" ca="1" si="273"/>
        <v>0</v>
      </c>
      <c r="J3040" s="11">
        <f t="shared" ca="1" si="274"/>
        <v>-1</v>
      </c>
      <c r="K3040" s="10">
        <f t="shared" ca="1" si="284"/>
        <v>133.60901999999999</v>
      </c>
      <c r="L3040" s="11">
        <f t="shared" ca="1" si="285"/>
        <v>-54.698300000000003</v>
      </c>
      <c r="M3040" s="11">
        <f t="shared" ca="1" si="286"/>
        <v>2.44265</v>
      </c>
      <c r="N3040" s="15">
        <f t="shared" ca="1" si="287"/>
        <v>10</v>
      </c>
      <c r="O3040" s="15">
        <f t="shared" ca="1" si="288"/>
        <v>24</v>
      </c>
      <c r="P3040" s="16">
        <f t="shared" ca="1" si="289"/>
        <v>23.330999999999904</v>
      </c>
      <c r="Q3040" s="11" t="str">
        <f t="shared" ca="1" si="275"/>
        <v/>
      </c>
      <c r="R3040" s="11" t="str">
        <f t="shared" ca="1" si="276"/>
        <v/>
      </c>
      <c r="S3040" s="61" t="str">
        <f t="shared" ca="1" si="277"/>
        <v/>
      </c>
      <c r="T3040" s="11" t="str">
        <f t="shared" ca="1" si="278"/>
        <v/>
      </c>
      <c r="U3040" s="11" t="str">
        <f t="shared" ca="1" si="279"/>
        <v/>
      </c>
      <c r="V3040" s="18" t="str">
        <f t="shared" ca="1" si="280"/>
        <v/>
      </c>
      <c r="W3040" s="61" t="str">
        <f t="shared" ca="1" si="281"/>
        <v/>
      </c>
      <c r="X3040" s="61">
        <f t="shared" ca="1" si="282"/>
        <v>0</v>
      </c>
      <c r="Y3040" s="64" t="str">
        <f t="shared" ca="1" si="283"/>
        <v/>
      </c>
    </row>
    <row r="3041" spans="1:25">
      <c r="A3041" s="2">
        <f>+Get_Data!A3040</f>
        <v>43857</v>
      </c>
      <c r="B3041">
        <f>+ROUND(Get_Data!B3040,5)</f>
        <v>139.09900999999999</v>
      </c>
      <c r="C3041">
        <f>+ROUND(Get_Data!C3040,5)</f>
        <v>56.013860000000001</v>
      </c>
      <c r="D3041" s="4">
        <f t="shared" si="268"/>
        <v>2.4832999999999998</v>
      </c>
      <c r="E3041" s="22">
        <f t="shared" ca="1" si="269"/>
        <v>2.5229400000000002</v>
      </c>
      <c r="F3041" s="23">
        <f t="shared" ca="1" si="270"/>
        <v>2.4328799999999999</v>
      </c>
      <c r="G3041" s="10">
        <f t="shared" ca="1" si="271"/>
        <v>0</v>
      </c>
      <c r="H3041" s="12">
        <f t="shared" ca="1" si="272"/>
        <v>0</v>
      </c>
      <c r="I3041" s="11">
        <f t="shared" ca="1" si="273"/>
        <v>0</v>
      </c>
      <c r="J3041" s="11">
        <f t="shared" ca="1" si="274"/>
        <v>-1</v>
      </c>
      <c r="K3041" s="10">
        <f t="shared" ca="1" si="284"/>
        <v>133.60901999999999</v>
      </c>
      <c r="L3041" s="11">
        <f t="shared" ca="1" si="285"/>
        <v>-54.698300000000003</v>
      </c>
      <c r="M3041" s="11">
        <f t="shared" ca="1" si="286"/>
        <v>2.44265</v>
      </c>
      <c r="N3041" s="15">
        <f t="shared" ca="1" si="287"/>
        <v>10</v>
      </c>
      <c r="O3041" s="15">
        <f t="shared" ca="1" si="288"/>
        <v>24</v>
      </c>
      <c r="P3041" s="16">
        <f t="shared" ca="1" si="289"/>
        <v>23.330999999999904</v>
      </c>
      <c r="Q3041" s="11" t="str">
        <f t="shared" ca="1" si="275"/>
        <v/>
      </c>
      <c r="R3041" s="11" t="str">
        <f t="shared" ca="1" si="276"/>
        <v/>
      </c>
      <c r="S3041" s="61" t="str">
        <f t="shared" ca="1" si="277"/>
        <v/>
      </c>
      <c r="T3041" s="11" t="str">
        <f t="shared" ca="1" si="278"/>
        <v/>
      </c>
      <c r="U3041" s="11" t="str">
        <f t="shared" ca="1" si="279"/>
        <v/>
      </c>
      <c r="V3041" s="18" t="str">
        <f t="shared" ca="1" si="280"/>
        <v/>
      </c>
      <c r="W3041" s="61" t="str">
        <f t="shared" ca="1" si="281"/>
        <v/>
      </c>
      <c r="X3041" s="61">
        <f t="shared" ca="1" si="282"/>
        <v>0</v>
      </c>
      <c r="Y3041" s="64" t="str">
        <f t="shared" ca="1" si="283"/>
        <v/>
      </c>
    </row>
    <row r="3042" spans="1:25">
      <c r="A3042" s="2">
        <f>+Get_Data!A3041</f>
        <v>43858</v>
      </c>
      <c r="B3042">
        <f>+ROUND(Get_Data!B3041,5)</f>
        <v>139.39259000000001</v>
      </c>
      <c r="C3042">
        <f>+ROUND(Get_Data!C3041,5)</f>
        <v>55.55585</v>
      </c>
      <c r="D3042" s="4">
        <f t="shared" si="268"/>
        <v>2.5090499999999998</v>
      </c>
      <c r="E3042" s="22">
        <f t="shared" ca="1" si="269"/>
        <v>2.51959</v>
      </c>
      <c r="F3042" s="23">
        <f t="shared" ca="1" si="270"/>
        <v>2.4328799999999999</v>
      </c>
      <c r="G3042" s="10">
        <f t="shared" ca="1" si="271"/>
        <v>0</v>
      </c>
      <c r="H3042" s="12">
        <f t="shared" ca="1" si="272"/>
        <v>0</v>
      </c>
      <c r="I3042" s="11">
        <f t="shared" ca="1" si="273"/>
        <v>0</v>
      </c>
      <c r="J3042" s="11">
        <f t="shared" ca="1" si="274"/>
        <v>-1</v>
      </c>
      <c r="K3042" s="10">
        <f t="shared" ca="1" si="284"/>
        <v>133.60901999999999</v>
      </c>
      <c r="L3042" s="11">
        <f t="shared" ca="1" si="285"/>
        <v>-54.698300000000003</v>
      </c>
      <c r="M3042" s="11">
        <f t="shared" ca="1" si="286"/>
        <v>2.44265</v>
      </c>
      <c r="N3042" s="15">
        <f t="shared" ca="1" si="287"/>
        <v>10</v>
      </c>
      <c r="O3042" s="15">
        <f t="shared" ca="1" si="288"/>
        <v>24</v>
      </c>
      <c r="P3042" s="16">
        <f t="shared" ca="1" si="289"/>
        <v>23.330999999999904</v>
      </c>
      <c r="Q3042" s="11" t="str">
        <f t="shared" ca="1" si="275"/>
        <v/>
      </c>
      <c r="R3042" s="11" t="str">
        <f t="shared" ca="1" si="276"/>
        <v/>
      </c>
      <c r="S3042" s="61" t="str">
        <f t="shared" ca="1" si="277"/>
        <v/>
      </c>
      <c r="T3042" s="11" t="str">
        <f t="shared" ca="1" si="278"/>
        <v/>
      </c>
      <c r="U3042" s="11" t="str">
        <f t="shared" ca="1" si="279"/>
        <v/>
      </c>
      <c r="V3042" s="18" t="str">
        <f t="shared" ca="1" si="280"/>
        <v/>
      </c>
      <c r="W3042" s="61" t="str">
        <f t="shared" ca="1" si="281"/>
        <v/>
      </c>
      <c r="X3042" s="61">
        <f t="shared" ca="1" si="282"/>
        <v>0</v>
      </c>
      <c r="Y3042" s="64" t="str">
        <f t="shared" ca="1" si="283"/>
        <v/>
      </c>
    </row>
    <row r="3043" spans="1:25">
      <c r="A3043" s="2">
        <f>+Get_Data!A3042</f>
        <v>43859</v>
      </c>
      <c r="B3043">
        <f>+ROUND(Get_Data!B3042,5)</f>
        <v>138.69776999999999</v>
      </c>
      <c r="C3043">
        <f>+ROUND(Get_Data!C3042,5)</f>
        <v>55.55585</v>
      </c>
      <c r="D3043" s="4">
        <f t="shared" si="268"/>
        <v>2.49655</v>
      </c>
      <c r="E3043" s="22">
        <f t="shared" ca="1" si="269"/>
        <v>2.5126599999999999</v>
      </c>
      <c r="F3043" s="23">
        <f t="shared" ca="1" si="270"/>
        <v>2.4328799999999999</v>
      </c>
      <c r="G3043" s="10">
        <f t="shared" ca="1" si="271"/>
        <v>0</v>
      </c>
      <c r="H3043" s="12">
        <f t="shared" ca="1" si="272"/>
        <v>0</v>
      </c>
      <c r="I3043" s="11">
        <f t="shared" ca="1" si="273"/>
        <v>0</v>
      </c>
      <c r="J3043" s="11">
        <f t="shared" ca="1" si="274"/>
        <v>-1</v>
      </c>
      <c r="K3043" s="10">
        <f t="shared" ca="1" si="284"/>
        <v>133.60901999999999</v>
      </c>
      <c r="L3043" s="11">
        <f t="shared" ca="1" si="285"/>
        <v>-54.698300000000003</v>
      </c>
      <c r="M3043" s="11">
        <f t="shared" ca="1" si="286"/>
        <v>2.44265</v>
      </c>
      <c r="N3043" s="15">
        <f t="shared" ca="1" si="287"/>
        <v>10</v>
      </c>
      <c r="O3043" s="15">
        <f t="shared" ca="1" si="288"/>
        <v>24</v>
      </c>
      <c r="P3043" s="16">
        <f t="shared" ca="1" si="289"/>
        <v>23.330999999999904</v>
      </c>
      <c r="Q3043" s="11" t="str">
        <f t="shared" ca="1" si="275"/>
        <v/>
      </c>
      <c r="R3043" s="11" t="str">
        <f t="shared" ca="1" si="276"/>
        <v/>
      </c>
      <c r="S3043" s="61" t="str">
        <f t="shared" ca="1" si="277"/>
        <v/>
      </c>
      <c r="T3043" s="11" t="str">
        <f t="shared" ca="1" si="278"/>
        <v/>
      </c>
      <c r="U3043" s="11" t="str">
        <f t="shared" ca="1" si="279"/>
        <v/>
      </c>
      <c r="V3043" s="18" t="str">
        <f t="shared" ca="1" si="280"/>
        <v/>
      </c>
      <c r="W3043" s="61" t="str">
        <f t="shared" ca="1" si="281"/>
        <v/>
      </c>
      <c r="X3043" s="61">
        <f t="shared" ca="1" si="282"/>
        <v>0</v>
      </c>
      <c r="Y3043" s="64" t="str">
        <f t="shared" ca="1" si="283"/>
        <v/>
      </c>
    </row>
    <row r="3044" spans="1:25">
      <c r="A3044" s="2">
        <f>+Get_Data!A3043</f>
        <v>43860</v>
      </c>
      <c r="B3044">
        <f>+ROUND(Get_Data!B3043,5)</f>
        <v>140.75285</v>
      </c>
      <c r="C3044">
        <f>+ROUND(Get_Data!C3043,5)</f>
        <v>57.35866</v>
      </c>
      <c r="D3044" s="4">
        <f t="shared" si="268"/>
        <v>2.45391</v>
      </c>
      <c r="E3044" s="22">
        <f t="shared" ca="1" si="269"/>
        <v>2.5126599999999999</v>
      </c>
      <c r="F3044" s="23">
        <f t="shared" ca="1" si="270"/>
        <v>2.4328799999999999</v>
      </c>
      <c r="G3044" s="10">
        <f t="shared" ca="1" si="271"/>
        <v>0</v>
      </c>
      <c r="H3044" s="12">
        <f t="shared" ca="1" si="272"/>
        <v>0</v>
      </c>
      <c r="I3044" s="11">
        <f t="shared" ca="1" si="273"/>
        <v>0</v>
      </c>
      <c r="J3044" s="11">
        <f t="shared" ca="1" si="274"/>
        <v>-1</v>
      </c>
      <c r="K3044" s="10">
        <f t="shared" ca="1" si="284"/>
        <v>133.60901999999999</v>
      </c>
      <c r="L3044" s="11">
        <f t="shared" ca="1" si="285"/>
        <v>-54.698300000000003</v>
      </c>
      <c r="M3044" s="11">
        <f t="shared" ca="1" si="286"/>
        <v>2.44265</v>
      </c>
      <c r="N3044" s="15">
        <f t="shared" ca="1" si="287"/>
        <v>10</v>
      </c>
      <c r="O3044" s="15">
        <f t="shared" ca="1" si="288"/>
        <v>24</v>
      </c>
      <c r="P3044" s="16">
        <f t="shared" ca="1" si="289"/>
        <v>23.330999999999904</v>
      </c>
      <c r="Q3044" s="11" t="str">
        <f t="shared" ca="1" si="275"/>
        <v/>
      </c>
      <c r="R3044" s="11" t="str">
        <f t="shared" ca="1" si="276"/>
        <v/>
      </c>
      <c r="S3044" s="61" t="str">
        <f t="shared" ca="1" si="277"/>
        <v/>
      </c>
      <c r="T3044" s="11" t="str">
        <f t="shared" ca="1" si="278"/>
        <v/>
      </c>
      <c r="U3044" s="11" t="str">
        <f t="shared" ca="1" si="279"/>
        <v/>
      </c>
      <c r="V3044" s="18" t="str">
        <f t="shared" ca="1" si="280"/>
        <v/>
      </c>
      <c r="W3044" s="61" t="str">
        <f t="shared" ca="1" si="281"/>
        <v/>
      </c>
      <c r="X3044" s="61">
        <f t="shared" ca="1" si="282"/>
        <v>0</v>
      </c>
      <c r="Y3044" s="64" t="str">
        <f t="shared" ca="1" si="283"/>
        <v/>
      </c>
    </row>
    <row r="3045" spans="1:25">
      <c r="A3045" s="2">
        <f>+Get_Data!A3044</f>
        <v>43861</v>
      </c>
      <c r="B3045">
        <f>+ROUND(Get_Data!B3044,5)</f>
        <v>138.98158000000001</v>
      </c>
      <c r="C3045">
        <f>+ROUND(Get_Data!C3044,5)</f>
        <v>56.910400000000003</v>
      </c>
      <c r="D3045" s="4">
        <f t="shared" si="268"/>
        <v>2.44211</v>
      </c>
      <c r="E3045" s="22">
        <f t="shared" ca="1" si="269"/>
        <v>2.5090499999999998</v>
      </c>
      <c r="F3045" s="23">
        <f t="shared" ca="1" si="270"/>
        <v>2.4328799999999999</v>
      </c>
      <c r="G3045" s="10">
        <f t="shared" ca="1" si="271"/>
        <v>0</v>
      </c>
      <c r="H3045" s="12">
        <f t="shared" ca="1" si="272"/>
        <v>0</v>
      </c>
      <c r="I3045" s="11">
        <f t="shared" ca="1" si="273"/>
        <v>0</v>
      </c>
      <c r="J3045" s="11">
        <f t="shared" ca="1" si="274"/>
        <v>-1</v>
      </c>
      <c r="K3045" s="10">
        <f t="shared" ca="1" si="284"/>
        <v>133.60901999999999</v>
      </c>
      <c r="L3045" s="11">
        <f t="shared" ca="1" si="285"/>
        <v>-54.698300000000003</v>
      </c>
      <c r="M3045" s="11">
        <f t="shared" ca="1" si="286"/>
        <v>2.44265</v>
      </c>
      <c r="N3045" s="15">
        <f t="shared" ca="1" si="287"/>
        <v>10</v>
      </c>
      <c r="O3045" s="15">
        <f t="shared" ca="1" si="288"/>
        <v>24</v>
      </c>
      <c r="P3045" s="16">
        <f t="shared" ca="1" si="289"/>
        <v>23.330999999999904</v>
      </c>
      <c r="Q3045" s="11" t="str">
        <f t="shared" ca="1" si="275"/>
        <v/>
      </c>
      <c r="R3045" s="11" t="str">
        <f t="shared" ca="1" si="276"/>
        <v/>
      </c>
      <c r="S3045" s="61" t="str">
        <f t="shared" ca="1" si="277"/>
        <v/>
      </c>
      <c r="T3045" s="11" t="str">
        <f t="shared" ca="1" si="278"/>
        <v/>
      </c>
      <c r="U3045" s="11" t="str">
        <f t="shared" ca="1" si="279"/>
        <v/>
      </c>
      <c r="V3045" s="18" t="str">
        <f t="shared" ca="1" si="280"/>
        <v/>
      </c>
      <c r="W3045" s="61" t="str">
        <f t="shared" ca="1" si="281"/>
        <v/>
      </c>
      <c r="X3045" s="61">
        <f t="shared" ca="1" si="282"/>
        <v>0</v>
      </c>
      <c r="Y3045" s="64" t="str">
        <f t="shared" ca="1" si="283"/>
        <v/>
      </c>
    </row>
    <row r="3046" spans="1:25">
      <c r="A3046" s="2">
        <f>+Get_Data!A3045</f>
        <v>43864</v>
      </c>
      <c r="B3046">
        <f>+ROUND(Get_Data!B3045,5)</f>
        <v>139.46107000000001</v>
      </c>
      <c r="C3046">
        <f>+ROUND(Get_Data!C3045,5)</f>
        <v>57.085799999999999</v>
      </c>
      <c r="D3046" s="4">
        <f t="shared" si="268"/>
        <v>2.4430100000000001</v>
      </c>
      <c r="E3046" s="22">
        <f t="shared" ca="1" si="269"/>
        <v>2.5090499999999998</v>
      </c>
      <c r="F3046" s="23">
        <f t="shared" ca="1" si="270"/>
        <v>2.4328799999999999</v>
      </c>
      <c r="G3046" s="10">
        <f t="shared" ca="1" si="271"/>
        <v>0</v>
      </c>
      <c r="H3046" s="12">
        <f t="shared" ca="1" si="272"/>
        <v>0</v>
      </c>
      <c r="I3046" s="11">
        <f t="shared" ca="1" si="273"/>
        <v>0</v>
      </c>
      <c r="J3046" s="11">
        <f t="shared" ca="1" si="274"/>
        <v>-1</v>
      </c>
      <c r="K3046" s="10">
        <f t="shared" ca="1" si="284"/>
        <v>133.60901999999999</v>
      </c>
      <c r="L3046" s="11">
        <f t="shared" ca="1" si="285"/>
        <v>-54.698300000000003</v>
      </c>
      <c r="M3046" s="11">
        <f t="shared" ca="1" si="286"/>
        <v>2.44265</v>
      </c>
      <c r="N3046" s="15">
        <f t="shared" ca="1" si="287"/>
        <v>10</v>
      </c>
      <c r="O3046" s="15">
        <f t="shared" ca="1" si="288"/>
        <v>24</v>
      </c>
      <c r="P3046" s="16">
        <f t="shared" ca="1" si="289"/>
        <v>23.330999999999904</v>
      </c>
      <c r="Q3046" s="11" t="str">
        <f t="shared" ca="1" si="275"/>
        <v/>
      </c>
      <c r="R3046" s="11" t="str">
        <f t="shared" ca="1" si="276"/>
        <v/>
      </c>
      <c r="S3046" s="61" t="str">
        <f t="shared" ca="1" si="277"/>
        <v/>
      </c>
      <c r="T3046" s="11" t="str">
        <f t="shared" ca="1" si="278"/>
        <v/>
      </c>
      <c r="U3046" s="11" t="str">
        <f t="shared" ca="1" si="279"/>
        <v/>
      </c>
      <c r="V3046" s="18" t="str">
        <f t="shared" ca="1" si="280"/>
        <v/>
      </c>
      <c r="W3046" s="61" t="str">
        <f t="shared" ca="1" si="281"/>
        <v/>
      </c>
      <c r="X3046" s="61">
        <f t="shared" ca="1" si="282"/>
        <v>0</v>
      </c>
      <c r="Y3046" s="64" t="str">
        <f t="shared" ca="1" si="283"/>
        <v/>
      </c>
    </row>
    <row r="3047" spans="1:25">
      <c r="A3047" s="2">
        <f>+Get_Data!A3046</f>
        <v>43865</v>
      </c>
      <c r="B3047">
        <f>+ROUND(Get_Data!B3046,5)</f>
        <v>140.1559</v>
      </c>
      <c r="C3047">
        <f>+ROUND(Get_Data!C3046,5)</f>
        <v>57.339170000000003</v>
      </c>
      <c r="D3047" s="4">
        <f t="shared" si="268"/>
        <v>2.4443299999999999</v>
      </c>
      <c r="E3047" s="22">
        <f t="shared" ca="1" si="269"/>
        <v>2.5090499999999998</v>
      </c>
      <c r="F3047" s="23">
        <f t="shared" ca="1" si="270"/>
        <v>2.4328799999999999</v>
      </c>
      <c r="G3047" s="10">
        <f t="shared" ca="1" si="271"/>
        <v>0</v>
      </c>
      <c r="H3047" s="12">
        <f t="shared" ca="1" si="272"/>
        <v>0</v>
      </c>
      <c r="I3047" s="11">
        <f t="shared" ca="1" si="273"/>
        <v>0</v>
      </c>
      <c r="J3047" s="11">
        <f t="shared" ca="1" si="274"/>
        <v>-1</v>
      </c>
      <c r="K3047" s="10">
        <f t="shared" ca="1" si="284"/>
        <v>133.60901999999999</v>
      </c>
      <c r="L3047" s="11">
        <f t="shared" ca="1" si="285"/>
        <v>-54.698300000000003</v>
      </c>
      <c r="M3047" s="11">
        <f t="shared" ca="1" si="286"/>
        <v>2.44265</v>
      </c>
      <c r="N3047" s="15">
        <f t="shared" ca="1" si="287"/>
        <v>10</v>
      </c>
      <c r="O3047" s="15">
        <f t="shared" ca="1" si="288"/>
        <v>24</v>
      </c>
      <c r="P3047" s="16">
        <f t="shared" ca="1" si="289"/>
        <v>23.330999999999904</v>
      </c>
      <c r="Q3047" s="11" t="str">
        <f t="shared" ca="1" si="275"/>
        <v/>
      </c>
      <c r="R3047" s="11" t="str">
        <f t="shared" ca="1" si="276"/>
        <v/>
      </c>
      <c r="S3047" s="61" t="str">
        <f t="shared" ca="1" si="277"/>
        <v/>
      </c>
      <c r="T3047" s="11" t="str">
        <f t="shared" ca="1" si="278"/>
        <v/>
      </c>
      <c r="U3047" s="11" t="str">
        <f t="shared" ca="1" si="279"/>
        <v/>
      </c>
      <c r="V3047" s="18" t="str">
        <f t="shared" ca="1" si="280"/>
        <v/>
      </c>
      <c r="W3047" s="61" t="str">
        <f t="shared" ca="1" si="281"/>
        <v/>
      </c>
      <c r="X3047" s="61">
        <f t="shared" ca="1" si="282"/>
        <v>0</v>
      </c>
      <c r="Y3047" s="64" t="str">
        <f t="shared" ca="1" si="283"/>
        <v/>
      </c>
    </row>
    <row r="3048" spans="1:25">
      <c r="A3048" s="2">
        <f>+Get_Data!A3047</f>
        <v>43866</v>
      </c>
      <c r="B3048">
        <f>+ROUND(Get_Data!B3047,5)</f>
        <v>141.21279999999999</v>
      </c>
      <c r="C3048">
        <f>+ROUND(Get_Data!C3047,5)</f>
        <v>57.34892</v>
      </c>
      <c r="D3048" s="4">
        <f t="shared" si="268"/>
        <v>2.4623400000000002</v>
      </c>
      <c r="E3048" s="22">
        <f t="shared" ca="1" si="269"/>
        <v>2.5090499999999998</v>
      </c>
      <c r="F3048" s="23">
        <f t="shared" ca="1" si="270"/>
        <v>2.4328799999999999</v>
      </c>
      <c r="G3048" s="10">
        <f t="shared" ca="1" si="271"/>
        <v>0</v>
      </c>
      <c r="H3048" s="12">
        <f t="shared" ca="1" si="272"/>
        <v>0</v>
      </c>
      <c r="I3048" s="11">
        <f t="shared" ca="1" si="273"/>
        <v>0</v>
      </c>
      <c r="J3048" s="11">
        <f t="shared" ca="1" si="274"/>
        <v>-1</v>
      </c>
      <c r="K3048" s="10">
        <f t="shared" ca="1" si="284"/>
        <v>133.60901999999999</v>
      </c>
      <c r="L3048" s="11">
        <f t="shared" ca="1" si="285"/>
        <v>-54.698300000000003</v>
      </c>
      <c r="M3048" s="11">
        <f t="shared" ca="1" si="286"/>
        <v>2.44265</v>
      </c>
      <c r="N3048" s="15">
        <f t="shared" ca="1" si="287"/>
        <v>10</v>
      </c>
      <c r="O3048" s="15">
        <f t="shared" ca="1" si="288"/>
        <v>24</v>
      </c>
      <c r="P3048" s="16">
        <f t="shared" ca="1" si="289"/>
        <v>23.330999999999904</v>
      </c>
      <c r="Q3048" s="11" t="str">
        <f t="shared" ca="1" si="275"/>
        <v/>
      </c>
      <c r="R3048" s="11" t="str">
        <f t="shared" ca="1" si="276"/>
        <v/>
      </c>
      <c r="S3048" s="61" t="str">
        <f t="shared" ca="1" si="277"/>
        <v/>
      </c>
      <c r="T3048" s="11" t="str">
        <f t="shared" ca="1" si="278"/>
        <v/>
      </c>
      <c r="U3048" s="11" t="str">
        <f t="shared" ca="1" si="279"/>
        <v/>
      </c>
      <c r="V3048" s="18" t="str">
        <f t="shared" ca="1" si="280"/>
        <v/>
      </c>
      <c r="W3048" s="61" t="str">
        <f t="shared" ca="1" si="281"/>
        <v/>
      </c>
      <c r="X3048" s="61">
        <f t="shared" ca="1" si="282"/>
        <v>0</v>
      </c>
      <c r="Y3048" s="64" t="str">
        <f t="shared" ca="1" si="283"/>
        <v/>
      </c>
    </row>
    <row r="3049" spans="1:25">
      <c r="A3049" s="2">
        <f>+Get_Data!A3048</f>
        <v>43867</v>
      </c>
      <c r="B3049">
        <f>+ROUND(Get_Data!B3048,5)</f>
        <v>141.24216000000001</v>
      </c>
      <c r="C3049">
        <f>+ROUND(Get_Data!C3048,5)</f>
        <v>57.485349999999997</v>
      </c>
      <c r="D3049" s="4">
        <f t="shared" si="268"/>
        <v>2.4570099999999999</v>
      </c>
      <c r="E3049" s="22">
        <f t="shared" ca="1" si="269"/>
        <v>2.5090499999999998</v>
      </c>
      <c r="F3049" s="23">
        <f t="shared" ca="1" si="270"/>
        <v>2.4328799999999999</v>
      </c>
      <c r="G3049" s="10">
        <f t="shared" ca="1" si="271"/>
        <v>0</v>
      </c>
      <c r="H3049" s="12">
        <f t="shared" ca="1" si="272"/>
        <v>0</v>
      </c>
      <c r="I3049" s="11">
        <f t="shared" ca="1" si="273"/>
        <v>0</v>
      </c>
      <c r="J3049" s="11">
        <f t="shared" ca="1" si="274"/>
        <v>-1</v>
      </c>
      <c r="K3049" s="10">
        <f t="shared" ca="1" si="284"/>
        <v>133.60901999999999</v>
      </c>
      <c r="L3049" s="11">
        <f t="shared" ca="1" si="285"/>
        <v>-54.698300000000003</v>
      </c>
      <c r="M3049" s="11">
        <f t="shared" ca="1" si="286"/>
        <v>2.44265</v>
      </c>
      <c r="N3049" s="15">
        <f t="shared" ca="1" si="287"/>
        <v>10</v>
      </c>
      <c r="O3049" s="15">
        <f t="shared" ca="1" si="288"/>
        <v>24</v>
      </c>
      <c r="P3049" s="16">
        <f t="shared" ca="1" si="289"/>
        <v>23.330999999999904</v>
      </c>
      <c r="Q3049" s="11" t="str">
        <f t="shared" ca="1" si="275"/>
        <v/>
      </c>
      <c r="R3049" s="11" t="str">
        <f t="shared" ca="1" si="276"/>
        <v/>
      </c>
      <c r="S3049" s="61" t="str">
        <f t="shared" ca="1" si="277"/>
        <v/>
      </c>
      <c r="T3049" s="11" t="str">
        <f t="shared" ca="1" si="278"/>
        <v/>
      </c>
      <c r="U3049" s="11" t="str">
        <f t="shared" ca="1" si="279"/>
        <v/>
      </c>
      <c r="V3049" s="18" t="str">
        <f t="shared" ca="1" si="280"/>
        <v/>
      </c>
      <c r="W3049" s="61" t="str">
        <f t="shared" ca="1" si="281"/>
        <v/>
      </c>
      <c r="X3049" s="61">
        <f t="shared" ca="1" si="282"/>
        <v>0</v>
      </c>
      <c r="Y3049" s="64" t="str">
        <f t="shared" ca="1" si="283"/>
        <v/>
      </c>
    </row>
    <row r="3050" spans="1:25">
      <c r="A3050" s="2">
        <f>+Get_Data!A3049</f>
        <v>43868</v>
      </c>
      <c r="B3050">
        <f>+ROUND(Get_Data!B3049,5)</f>
        <v>142.25989999999999</v>
      </c>
      <c r="C3050">
        <f>+ROUND(Get_Data!C3049,5)</f>
        <v>57.680239999999998</v>
      </c>
      <c r="D3050" s="4">
        <f t="shared" si="268"/>
        <v>2.4663499999999998</v>
      </c>
      <c r="E3050" s="22">
        <f t="shared" ca="1" si="269"/>
        <v>2.5090499999999998</v>
      </c>
      <c r="F3050" s="23">
        <f t="shared" ca="1" si="270"/>
        <v>2.4328799999999999</v>
      </c>
      <c r="G3050" s="10">
        <f t="shared" ca="1" si="271"/>
        <v>0</v>
      </c>
      <c r="H3050" s="12">
        <f t="shared" ca="1" si="272"/>
        <v>0</v>
      </c>
      <c r="I3050" s="11">
        <f t="shared" ca="1" si="273"/>
        <v>0</v>
      </c>
      <c r="J3050" s="11">
        <f t="shared" ca="1" si="274"/>
        <v>-1</v>
      </c>
      <c r="K3050" s="10">
        <f t="shared" ca="1" si="284"/>
        <v>133.60901999999999</v>
      </c>
      <c r="L3050" s="11">
        <f t="shared" ca="1" si="285"/>
        <v>-54.698300000000003</v>
      </c>
      <c r="M3050" s="11">
        <f t="shared" ca="1" si="286"/>
        <v>2.44265</v>
      </c>
      <c r="N3050" s="15">
        <f t="shared" ca="1" si="287"/>
        <v>10</v>
      </c>
      <c r="O3050" s="15">
        <f t="shared" ca="1" si="288"/>
        <v>24</v>
      </c>
      <c r="P3050" s="16">
        <f t="shared" ca="1" si="289"/>
        <v>23.330999999999904</v>
      </c>
      <c r="Q3050" s="11" t="str">
        <f t="shared" ca="1" si="275"/>
        <v/>
      </c>
      <c r="R3050" s="11" t="str">
        <f t="shared" ca="1" si="276"/>
        <v/>
      </c>
      <c r="S3050" s="61" t="str">
        <f t="shared" ca="1" si="277"/>
        <v/>
      </c>
      <c r="T3050" s="11" t="str">
        <f t="shared" ca="1" si="278"/>
        <v/>
      </c>
      <c r="U3050" s="11" t="str">
        <f t="shared" ca="1" si="279"/>
        <v/>
      </c>
      <c r="V3050" s="18" t="str">
        <f t="shared" ca="1" si="280"/>
        <v/>
      </c>
      <c r="W3050" s="61" t="str">
        <f t="shared" ca="1" si="281"/>
        <v/>
      </c>
      <c r="X3050" s="61">
        <f t="shared" ca="1" si="282"/>
        <v>0</v>
      </c>
      <c r="Y3050" s="64" t="str">
        <f t="shared" ca="1" si="283"/>
        <v/>
      </c>
    </row>
    <row r="3051" spans="1:25">
      <c r="A3051" s="2">
        <f>+Get_Data!A3050</f>
        <v>43871</v>
      </c>
      <c r="B3051">
        <f>+ROUND(Get_Data!B3050,5)</f>
        <v>142.5437</v>
      </c>
      <c r="C3051">
        <f>+ROUND(Get_Data!C3050,5)</f>
        <v>58.225960000000001</v>
      </c>
      <c r="D3051" s="4">
        <f t="shared" si="268"/>
        <v>2.4481099999999998</v>
      </c>
      <c r="E3051" s="22">
        <f t="shared" ca="1" si="269"/>
        <v>2.5090499999999998</v>
      </c>
      <c r="F3051" s="23">
        <f t="shared" ca="1" si="270"/>
        <v>2.4328799999999999</v>
      </c>
      <c r="G3051" s="10">
        <f t="shared" ca="1" si="271"/>
        <v>0</v>
      </c>
      <c r="H3051" s="12">
        <f t="shared" ca="1" si="272"/>
        <v>0</v>
      </c>
      <c r="I3051" s="11">
        <f t="shared" ca="1" si="273"/>
        <v>0</v>
      </c>
      <c r="J3051" s="11">
        <f t="shared" ca="1" si="274"/>
        <v>-1</v>
      </c>
      <c r="K3051" s="10">
        <f t="shared" ca="1" si="284"/>
        <v>133.60901999999999</v>
      </c>
      <c r="L3051" s="11">
        <f t="shared" ca="1" si="285"/>
        <v>-54.698300000000003</v>
      </c>
      <c r="M3051" s="11">
        <f t="shared" ca="1" si="286"/>
        <v>2.44265</v>
      </c>
      <c r="N3051" s="15">
        <f t="shared" ca="1" si="287"/>
        <v>10</v>
      </c>
      <c r="O3051" s="15">
        <f t="shared" ca="1" si="288"/>
        <v>24</v>
      </c>
      <c r="P3051" s="16">
        <f t="shared" ca="1" si="289"/>
        <v>23.330999999999904</v>
      </c>
      <c r="Q3051" s="11" t="str">
        <f t="shared" ca="1" si="275"/>
        <v/>
      </c>
      <c r="R3051" s="11" t="str">
        <f t="shared" ca="1" si="276"/>
        <v/>
      </c>
      <c r="S3051" s="61" t="str">
        <f t="shared" ca="1" si="277"/>
        <v/>
      </c>
      <c r="T3051" s="11" t="str">
        <f t="shared" ca="1" si="278"/>
        <v/>
      </c>
      <c r="U3051" s="11" t="str">
        <f t="shared" ca="1" si="279"/>
        <v/>
      </c>
      <c r="V3051" s="18" t="str">
        <f t="shared" ca="1" si="280"/>
        <v/>
      </c>
      <c r="W3051" s="61" t="str">
        <f t="shared" ca="1" si="281"/>
        <v/>
      </c>
      <c r="X3051" s="61">
        <f t="shared" ca="1" si="282"/>
        <v>0</v>
      </c>
      <c r="Y3051" s="64" t="str">
        <f t="shared" ca="1" si="283"/>
        <v/>
      </c>
    </row>
    <row r="3052" spans="1:25">
      <c r="A3052" s="2">
        <f>+Get_Data!A3051</f>
        <v>43872</v>
      </c>
      <c r="B3052">
        <f>+ROUND(Get_Data!B3051,5)</f>
        <v>142.95471000000001</v>
      </c>
      <c r="C3052">
        <f>+ROUND(Get_Data!C3051,5)</f>
        <v>58.070050000000002</v>
      </c>
      <c r="D3052" s="4">
        <f t="shared" si="268"/>
        <v>2.4617599999999999</v>
      </c>
      <c r="E3052" s="22">
        <f t="shared" ca="1" si="269"/>
        <v>2.5090499999999998</v>
      </c>
      <c r="F3052" s="23">
        <f t="shared" ca="1" si="270"/>
        <v>2.4328799999999999</v>
      </c>
      <c r="G3052" s="10">
        <f t="shared" ca="1" si="271"/>
        <v>0</v>
      </c>
      <c r="H3052" s="12">
        <f t="shared" ca="1" si="272"/>
        <v>0</v>
      </c>
      <c r="I3052" s="11">
        <f t="shared" ca="1" si="273"/>
        <v>0</v>
      </c>
      <c r="J3052" s="11">
        <f t="shared" ca="1" si="274"/>
        <v>-1</v>
      </c>
      <c r="K3052" s="10">
        <f t="shared" ca="1" si="284"/>
        <v>133.60901999999999</v>
      </c>
      <c r="L3052" s="11">
        <f t="shared" ca="1" si="285"/>
        <v>-54.698300000000003</v>
      </c>
      <c r="M3052" s="11">
        <f t="shared" ca="1" si="286"/>
        <v>2.44265</v>
      </c>
      <c r="N3052" s="15">
        <f t="shared" ca="1" si="287"/>
        <v>10</v>
      </c>
      <c r="O3052" s="15">
        <f t="shared" ca="1" si="288"/>
        <v>24</v>
      </c>
      <c r="P3052" s="16">
        <f t="shared" ca="1" si="289"/>
        <v>23.330999999999904</v>
      </c>
      <c r="Q3052" s="11" t="str">
        <f t="shared" ca="1" si="275"/>
        <v/>
      </c>
      <c r="R3052" s="11" t="str">
        <f t="shared" ca="1" si="276"/>
        <v/>
      </c>
      <c r="S3052" s="61" t="str">
        <f t="shared" ca="1" si="277"/>
        <v/>
      </c>
      <c r="T3052" s="11" t="str">
        <f t="shared" ca="1" si="278"/>
        <v/>
      </c>
      <c r="U3052" s="11" t="str">
        <f t="shared" ca="1" si="279"/>
        <v/>
      </c>
      <c r="V3052" s="18" t="str">
        <f t="shared" ca="1" si="280"/>
        <v/>
      </c>
      <c r="W3052" s="61" t="str">
        <f t="shared" ca="1" si="281"/>
        <v/>
      </c>
      <c r="X3052" s="61">
        <f t="shared" ca="1" si="282"/>
        <v>0</v>
      </c>
      <c r="Y3052" s="64" t="str">
        <f t="shared" ca="1" si="283"/>
        <v/>
      </c>
    </row>
    <row r="3053" spans="1:25">
      <c r="A3053" s="2">
        <f>+Get_Data!A3052</f>
        <v>43873</v>
      </c>
      <c r="B3053">
        <f>+ROUND(Get_Data!B3052,5)</f>
        <v>142.95471000000001</v>
      </c>
      <c r="C3053">
        <f>+ROUND(Get_Data!C3052,5)</f>
        <v>57.894629999999999</v>
      </c>
      <c r="D3053" s="4">
        <f t="shared" si="268"/>
        <v>2.46922</v>
      </c>
      <c r="E3053" s="22">
        <f t="shared" ca="1" si="269"/>
        <v>2.5090499999999998</v>
      </c>
      <c r="F3053" s="23">
        <f t="shared" ca="1" si="270"/>
        <v>2.4328799999999999</v>
      </c>
      <c r="G3053" s="10">
        <f t="shared" ca="1" si="271"/>
        <v>0</v>
      </c>
      <c r="H3053" s="12">
        <f t="shared" ca="1" si="272"/>
        <v>0</v>
      </c>
      <c r="I3053" s="11">
        <f t="shared" ca="1" si="273"/>
        <v>0</v>
      </c>
      <c r="J3053" s="11">
        <f t="shared" ca="1" si="274"/>
        <v>-1</v>
      </c>
      <c r="K3053" s="10">
        <f t="shared" ca="1" si="284"/>
        <v>133.60901999999999</v>
      </c>
      <c r="L3053" s="11">
        <f t="shared" ca="1" si="285"/>
        <v>-54.698300000000003</v>
      </c>
      <c r="M3053" s="11">
        <f t="shared" ca="1" si="286"/>
        <v>2.44265</v>
      </c>
      <c r="N3053" s="15">
        <f t="shared" ca="1" si="287"/>
        <v>10</v>
      </c>
      <c r="O3053" s="15">
        <f t="shared" ca="1" si="288"/>
        <v>24</v>
      </c>
      <c r="P3053" s="16">
        <f t="shared" ca="1" si="289"/>
        <v>23.330999999999904</v>
      </c>
      <c r="Q3053" s="11" t="str">
        <f t="shared" ca="1" si="275"/>
        <v/>
      </c>
      <c r="R3053" s="11" t="str">
        <f t="shared" ca="1" si="276"/>
        <v/>
      </c>
      <c r="S3053" s="61" t="str">
        <f t="shared" ca="1" si="277"/>
        <v/>
      </c>
      <c r="T3053" s="11" t="str">
        <f t="shared" ca="1" si="278"/>
        <v/>
      </c>
      <c r="U3053" s="11" t="str">
        <f t="shared" ca="1" si="279"/>
        <v/>
      </c>
      <c r="V3053" s="18" t="str">
        <f t="shared" ca="1" si="280"/>
        <v/>
      </c>
      <c r="W3053" s="61" t="str">
        <f t="shared" ca="1" si="281"/>
        <v/>
      </c>
      <c r="X3053" s="61">
        <f t="shared" ca="1" si="282"/>
        <v>0</v>
      </c>
      <c r="Y3053" s="64" t="str">
        <f t="shared" ca="1" si="283"/>
        <v/>
      </c>
    </row>
    <row r="3054" spans="1:25">
      <c r="A3054" s="2">
        <f>+Get_Data!A3053</f>
        <v>43874</v>
      </c>
      <c r="B3054">
        <f>+ROUND(Get_Data!B3053,5)</f>
        <v>143.33637999999999</v>
      </c>
      <c r="C3054">
        <f>+ROUND(Get_Data!C3053,5)</f>
        <v>58.089530000000003</v>
      </c>
      <c r="D3054" s="4">
        <f t="shared" si="268"/>
        <v>2.4675099999999999</v>
      </c>
      <c r="E3054" s="22">
        <f t="shared" ca="1" si="269"/>
        <v>2.5090499999999998</v>
      </c>
      <c r="F3054" s="23">
        <f t="shared" ca="1" si="270"/>
        <v>2.4328799999999999</v>
      </c>
      <c r="G3054" s="10">
        <f t="shared" ca="1" si="271"/>
        <v>0</v>
      </c>
      <c r="H3054" s="12">
        <f t="shared" ca="1" si="272"/>
        <v>0</v>
      </c>
      <c r="I3054" s="11">
        <f t="shared" ca="1" si="273"/>
        <v>0</v>
      </c>
      <c r="J3054" s="11">
        <f t="shared" ca="1" si="274"/>
        <v>-1</v>
      </c>
      <c r="K3054" s="10">
        <f t="shared" ca="1" si="284"/>
        <v>133.60901999999999</v>
      </c>
      <c r="L3054" s="11">
        <f t="shared" ca="1" si="285"/>
        <v>-54.698300000000003</v>
      </c>
      <c r="M3054" s="11">
        <f t="shared" ca="1" si="286"/>
        <v>2.44265</v>
      </c>
      <c r="N3054" s="15">
        <f t="shared" ca="1" si="287"/>
        <v>10</v>
      </c>
      <c r="O3054" s="15">
        <f t="shared" ca="1" si="288"/>
        <v>24</v>
      </c>
      <c r="P3054" s="16">
        <f t="shared" ca="1" si="289"/>
        <v>23.330999999999904</v>
      </c>
      <c r="Q3054" s="11" t="str">
        <f t="shared" ca="1" si="275"/>
        <v/>
      </c>
      <c r="R3054" s="11" t="str">
        <f t="shared" ca="1" si="276"/>
        <v/>
      </c>
      <c r="S3054" s="61" t="str">
        <f t="shared" ca="1" si="277"/>
        <v/>
      </c>
      <c r="T3054" s="11" t="str">
        <f t="shared" ca="1" si="278"/>
        <v/>
      </c>
      <c r="U3054" s="11" t="str">
        <f t="shared" ca="1" si="279"/>
        <v/>
      </c>
      <c r="V3054" s="18" t="str">
        <f t="shared" ca="1" si="280"/>
        <v/>
      </c>
      <c r="W3054" s="61" t="str">
        <f t="shared" ca="1" si="281"/>
        <v/>
      </c>
      <c r="X3054" s="61">
        <f t="shared" ca="1" si="282"/>
        <v>0</v>
      </c>
      <c r="Y3054" s="64" t="str">
        <f t="shared" ca="1" si="283"/>
        <v/>
      </c>
    </row>
    <row r="3055" spans="1:25">
      <c r="A3055" s="2">
        <f>+Get_Data!A3054</f>
        <v>43875</v>
      </c>
      <c r="B3055">
        <f>+ROUND(Get_Data!B3054,5)</f>
        <v>143.84524999999999</v>
      </c>
      <c r="C3055">
        <f>+ROUND(Get_Data!C3054,5)</f>
        <v>58.420859999999998</v>
      </c>
      <c r="D3055" s="4">
        <f t="shared" si="268"/>
        <v>2.4622199999999999</v>
      </c>
      <c r="E3055" s="22">
        <f t="shared" ca="1" si="269"/>
        <v>2.5090499999999998</v>
      </c>
      <c r="F3055" s="23">
        <f t="shared" ca="1" si="270"/>
        <v>2.4328799999999999</v>
      </c>
      <c r="G3055" s="10">
        <f t="shared" ca="1" si="271"/>
        <v>0</v>
      </c>
      <c r="H3055" s="12">
        <f t="shared" ca="1" si="272"/>
        <v>0</v>
      </c>
      <c r="I3055" s="11">
        <f t="shared" ca="1" si="273"/>
        <v>0</v>
      </c>
      <c r="J3055" s="11">
        <f t="shared" ca="1" si="274"/>
        <v>-1</v>
      </c>
      <c r="K3055" s="10">
        <f t="shared" ca="1" si="284"/>
        <v>133.60901999999999</v>
      </c>
      <c r="L3055" s="11">
        <f t="shared" ca="1" si="285"/>
        <v>-54.698300000000003</v>
      </c>
      <c r="M3055" s="11">
        <f t="shared" ca="1" si="286"/>
        <v>2.44265</v>
      </c>
      <c r="N3055" s="15">
        <f t="shared" ca="1" si="287"/>
        <v>10</v>
      </c>
      <c r="O3055" s="15">
        <f t="shared" ca="1" si="288"/>
        <v>24</v>
      </c>
      <c r="P3055" s="16">
        <f t="shared" ca="1" si="289"/>
        <v>23.330999999999904</v>
      </c>
      <c r="Q3055" s="11" t="str">
        <f t="shared" ca="1" si="275"/>
        <v/>
      </c>
      <c r="R3055" s="11" t="str">
        <f t="shared" ca="1" si="276"/>
        <v/>
      </c>
      <c r="S3055" s="61" t="str">
        <f t="shared" ca="1" si="277"/>
        <v/>
      </c>
      <c r="T3055" s="11" t="str">
        <f t="shared" ca="1" si="278"/>
        <v/>
      </c>
      <c r="U3055" s="11" t="str">
        <f t="shared" ca="1" si="279"/>
        <v/>
      </c>
      <c r="V3055" s="18" t="str">
        <f t="shared" ca="1" si="280"/>
        <v/>
      </c>
      <c r="W3055" s="61" t="str">
        <f t="shared" ca="1" si="281"/>
        <v/>
      </c>
      <c r="X3055" s="61">
        <f t="shared" ca="1" si="282"/>
        <v>0</v>
      </c>
      <c r="Y3055" s="64" t="str">
        <f t="shared" ca="1" si="283"/>
        <v/>
      </c>
    </row>
    <row r="3056" spans="1:25">
      <c r="A3056" s="2">
        <f>+Get_Data!A3055</f>
        <v>43879</v>
      </c>
      <c r="B3056">
        <f>+ROUND(Get_Data!B3055,5)</f>
        <v>142.48499000000001</v>
      </c>
      <c r="C3056">
        <f>+ROUND(Get_Data!C3055,5)</f>
        <v>58.011569999999999</v>
      </c>
      <c r="D3056" s="4">
        <f t="shared" si="268"/>
        <v>2.4561500000000001</v>
      </c>
      <c r="E3056" s="22">
        <f t="shared" ca="1" si="269"/>
        <v>2.5090499999999998</v>
      </c>
      <c r="F3056" s="23">
        <f t="shared" ca="1" si="270"/>
        <v>2.44211</v>
      </c>
      <c r="G3056" s="10">
        <f t="shared" ca="1" si="271"/>
        <v>0</v>
      </c>
      <c r="H3056" s="12">
        <f t="shared" ca="1" si="272"/>
        <v>0</v>
      </c>
      <c r="I3056" s="11">
        <f t="shared" ca="1" si="273"/>
        <v>0</v>
      </c>
      <c r="J3056" s="11">
        <f t="shared" ca="1" si="274"/>
        <v>-1</v>
      </c>
      <c r="K3056" s="10">
        <f t="shared" ca="1" si="284"/>
        <v>133.60901999999999</v>
      </c>
      <c r="L3056" s="11">
        <f t="shared" ca="1" si="285"/>
        <v>-54.698300000000003</v>
      </c>
      <c r="M3056" s="11">
        <f t="shared" ca="1" si="286"/>
        <v>2.44265</v>
      </c>
      <c r="N3056" s="15">
        <f t="shared" ca="1" si="287"/>
        <v>10</v>
      </c>
      <c r="O3056" s="15">
        <f t="shared" ca="1" si="288"/>
        <v>24</v>
      </c>
      <c r="P3056" s="16">
        <f t="shared" ca="1" si="289"/>
        <v>23.330999999999904</v>
      </c>
      <c r="Q3056" s="11" t="str">
        <f t="shared" ca="1" si="275"/>
        <v/>
      </c>
      <c r="R3056" s="11" t="str">
        <f t="shared" ca="1" si="276"/>
        <v/>
      </c>
      <c r="S3056" s="61" t="str">
        <f t="shared" ca="1" si="277"/>
        <v/>
      </c>
      <c r="T3056" s="11" t="str">
        <f t="shared" ca="1" si="278"/>
        <v/>
      </c>
      <c r="U3056" s="11" t="str">
        <f t="shared" ca="1" si="279"/>
        <v/>
      </c>
      <c r="V3056" s="18" t="str">
        <f t="shared" ca="1" si="280"/>
        <v/>
      </c>
      <c r="W3056" s="61" t="str">
        <f t="shared" ca="1" si="281"/>
        <v/>
      </c>
      <c r="X3056" s="61">
        <f t="shared" ca="1" si="282"/>
        <v>0</v>
      </c>
      <c r="Y3056" s="64" t="str">
        <f t="shared" ca="1" si="283"/>
        <v/>
      </c>
    </row>
    <row r="3057" spans="1:25">
      <c r="A3057" s="2">
        <f>+Get_Data!A3056</f>
        <v>43880</v>
      </c>
      <c r="B3057">
        <f>+ROUND(Get_Data!B3056,5)</f>
        <v>142.41647</v>
      </c>
      <c r="C3057">
        <f>+ROUND(Get_Data!C3056,5)</f>
        <v>58.245449999999998</v>
      </c>
      <c r="D3057" s="4">
        <f t="shared" si="268"/>
        <v>2.4451100000000001</v>
      </c>
      <c r="E3057" s="22">
        <f t="shared" ca="1" si="269"/>
        <v>2.5090499999999998</v>
      </c>
      <c r="F3057" s="23">
        <f t="shared" ca="1" si="270"/>
        <v>2.44211</v>
      </c>
      <c r="G3057" s="10">
        <f t="shared" ca="1" si="271"/>
        <v>0</v>
      </c>
      <c r="H3057" s="12">
        <f t="shared" ca="1" si="272"/>
        <v>0</v>
      </c>
      <c r="I3057" s="11">
        <f t="shared" ca="1" si="273"/>
        <v>0</v>
      </c>
      <c r="J3057" s="11">
        <f t="shared" ca="1" si="274"/>
        <v>-1</v>
      </c>
      <c r="K3057" s="10">
        <f t="shared" ca="1" si="284"/>
        <v>133.60901999999999</v>
      </c>
      <c r="L3057" s="11">
        <f t="shared" ca="1" si="285"/>
        <v>-54.698300000000003</v>
      </c>
      <c r="M3057" s="11">
        <f t="shared" ca="1" si="286"/>
        <v>2.44265</v>
      </c>
      <c r="N3057" s="15">
        <f t="shared" ca="1" si="287"/>
        <v>10</v>
      </c>
      <c r="O3057" s="15">
        <f t="shared" ca="1" si="288"/>
        <v>24</v>
      </c>
      <c r="P3057" s="16">
        <f t="shared" ca="1" si="289"/>
        <v>23.330999999999904</v>
      </c>
      <c r="Q3057" s="11" t="str">
        <f t="shared" ca="1" si="275"/>
        <v/>
      </c>
      <c r="R3057" s="11" t="str">
        <f t="shared" ca="1" si="276"/>
        <v/>
      </c>
      <c r="S3057" s="61" t="str">
        <f t="shared" ca="1" si="277"/>
        <v/>
      </c>
      <c r="T3057" s="11" t="str">
        <f t="shared" ca="1" si="278"/>
        <v/>
      </c>
      <c r="U3057" s="11" t="str">
        <f t="shared" ca="1" si="279"/>
        <v/>
      </c>
      <c r="V3057" s="18" t="str">
        <f t="shared" ca="1" si="280"/>
        <v/>
      </c>
      <c r="W3057" s="61" t="str">
        <f t="shared" ca="1" si="281"/>
        <v/>
      </c>
      <c r="X3057" s="61">
        <f t="shared" ca="1" si="282"/>
        <v>0</v>
      </c>
      <c r="Y3057" s="64" t="str">
        <f t="shared" ca="1" si="283"/>
        <v/>
      </c>
    </row>
    <row r="3058" spans="1:25">
      <c r="A3058" s="2">
        <f>+Get_Data!A3057</f>
        <v>43881</v>
      </c>
      <c r="B3058">
        <f>+ROUND(Get_Data!B3057,5)</f>
        <v>142.05440999999999</v>
      </c>
      <c r="C3058">
        <f>+ROUND(Get_Data!C3057,5)</f>
        <v>58.196730000000002</v>
      </c>
      <c r="D3058" s="4">
        <f t="shared" ref="D3058:D3121" si="290">IFERROR(ROUND(B3058/C3058,5),"")</f>
        <v>2.4409299999999998</v>
      </c>
      <c r="E3058" s="22">
        <f t="shared" ca="1" si="269"/>
        <v>2.5090499999999998</v>
      </c>
      <c r="F3058" s="23">
        <f t="shared" ca="1" si="270"/>
        <v>2.4409299999999998</v>
      </c>
      <c r="G3058" s="10">
        <f t="shared" ca="1" si="271"/>
        <v>0</v>
      </c>
      <c r="H3058" s="12">
        <f t="shared" ca="1" si="272"/>
        <v>1</v>
      </c>
      <c r="I3058" s="11">
        <f t="shared" ca="1" si="273"/>
        <v>-1</v>
      </c>
      <c r="J3058" s="11">
        <f t="shared" ca="1" si="274"/>
        <v>-2</v>
      </c>
      <c r="K3058" s="10">
        <f t="shared" ca="1" si="284"/>
        <v>133.60901999999999</v>
      </c>
      <c r="L3058" s="11">
        <f t="shared" ca="1" si="285"/>
        <v>-54.698300000000003</v>
      </c>
      <c r="M3058" s="11">
        <f t="shared" ca="1" si="286"/>
        <v>2.44265</v>
      </c>
      <c r="N3058" s="15">
        <f t="shared" ca="1" si="287"/>
        <v>10</v>
      </c>
      <c r="O3058" s="15">
        <f t="shared" ca="1" si="288"/>
        <v>24</v>
      </c>
      <c r="P3058" s="16">
        <f t="shared" ca="1" si="289"/>
        <v>23.330999999999904</v>
      </c>
      <c r="Q3058" s="11" t="str">
        <f t="shared" ca="1" si="275"/>
        <v/>
      </c>
      <c r="R3058" s="11" t="str">
        <f t="shared" ca="1" si="276"/>
        <v/>
      </c>
      <c r="S3058" s="61" t="str">
        <f t="shared" ca="1" si="277"/>
        <v/>
      </c>
      <c r="T3058" s="11" t="str">
        <f t="shared" ca="1" si="278"/>
        <v/>
      </c>
      <c r="U3058" s="11" t="str">
        <f t="shared" ca="1" si="279"/>
        <v/>
      </c>
      <c r="V3058" s="18" t="str">
        <f t="shared" ca="1" si="280"/>
        <v/>
      </c>
      <c r="W3058" s="61" t="str">
        <f t="shared" ca="1" si="281"/>
        <v/>
      </c>
      <c r="X3058" s="61">
        <f t="shared" ca="1" si="282"/>
        <v>0</v>
      </c>
      <c r="Y3058" s="64" t="str">
        <f t="shared" ca="1" si="283"/>
        <v/>
      </c>
    </row>
    <row r="3059" spans="1:25">
      <c r="A3059" s="2">
        <f>+Get_Data!A3058</f>
        <v>43882</v>
      </c>
      <c r="B3059">
        <f>+ROUND(Get_Data!B3058,5)</f>
        <v>142.72963999999999</v>
      </c>
      <c r="C3059">
        <f>+ROUND(Get_Data!C3058,5)</f>
        <v>58.596269999999997</v>
      </c>
      <c r="D3059" s="4">
        <f t="shared" si="290"/>
        <v>2.43581</v>
      </c>
      <c r="E3059" s="22">
        <f t="shared" ca="1" si="269"/>
        <v>2.5090499999999998</v>
      </c>
      <c r="F3059" s="23">
        <f t="shared" ca="1" si="270"/>
        <v>2.43581</v>
      </c>
      <c r="G3059" s="10">
        <f t="shared" ca="1" si="271"/>
        <v>0</v>
      </c>
      <c r="H3059" s="12">
        <f t="shared" ca="1" si="272"/>
        <v>1</v>
      </c>
      <c r="I3059" s="11">
        <f t="shared" ca="1" si="273"/>
        <v>-1</v>
      </c>
      <c r="J3059" s="11">
        <f t="shared" ca="1" si="274"/>
        <v>0</v>
      </c>
      <c r="K3059" s="10">
        <f t="shared" ca="1" si="284"/>
        <v>133.60901999999999</v>
      </c>
      <c r="L3059" s="11">
        <f t="shared" ca="1" si="285"/>
        <v>-54.698300000000003</v>
      </c>
      <c r="M3059" s="11">
        <f t="shared" ca="1" si="286"/>
        <v>2.44265</v>
      </c>
      <c r="N3059" s="15">
        <f t="shared" ca="1" si="287"/>
        <v>10</v>
      </c>
      <c r="O3059" s="15">
        <f t="shared" ca="1" si="288"/>
        <v>24</v>
      </c>
      <c r="P3059" s="16">
        <f t="shared" ca="1" si="289"/>
        <v>23.330999999999904</v>
      </c>
      <c r="Q3059" s="11" t="str">
        <f t="shared" ca="1" si="275"/>
        <v/>
      </c>
      <c r="R3059" s="11" t="str">
        <f t="shared" ca="1" si="276"/>
        <v/>
      </c>
      <c r="S3059" s="61" t="str">
        <f t="shared" ca="1" si="277"/>
        <v/>
      </c>
      <c r="T3059" s="11" t="str">
        <f t="shared" ca="1" si="278"/>
        <v/>
      </c>
      <c r="U3059" s="11" t="str">
        <f t="shared" ca="1" si="279"/>
        <v/>
      </c>
      <c r="V3059" s="18" t="str">
        <f t="shared" ca="1" si="280"/>
        <v/>
      </c>
      <c r="W3059" s="61" t="str">
        <f t="shared" ca="1" si="281"/>
        <v/>
      </c>
      <c r="X3059" s="61">
        <f t="shared" ca="1" si="282"/>
        <v>0</v>
      </c>
      <c r="Y3059" s="64" t="str">
        <f t="shared" ca="1" si="283"/>
        <v/>
      </c>
    </row>
    <row r="3060" spans="1:25">
      <c r="A3060" s="2">
        <f>+Get_Data!A3059</f>
        <v>43885</v>
      </c>
      <c r="B3060">
        <f>+ROUND(Get_Data!B3059,5)</f>
        <v>139.58832000000001</v>
      </c>
      <c r="C3060">
        <f>+ROUND(Get_Data!C3059,5)</f>
        <v>57.154020000000003</v>
      </c>
      <c r="D3060" s="4">
        <f t="shared" si="290"/>
        <v>2.44232</v>
      </c>
      <c r="E3060" s="22">
        <f t="shared" ca="1" si="269"/>
        <v>2.5090499999999998</v>
      </c>
      <c r="F3060" s="23">
        <f t="shared" ca="1" si="270"/>
        <v>2.43581</v>
      </c>
      <c r="G3060" s="10">
        <f t="shared" ca="1" si="271"/>
        <v>0</v>
      </c>
      <c r="H3060" s="12">
        <f t="shared" ca="1" si="272"/>
        <v>0</v>
      </c>
      <c r="I3060" s="11">
        <f t="shared" ca="1" si="273"/>
        <v>0</v>
      </c>
      <c r="J3060" s="11">
        <f t="shared" ca="1" si="274"/>
        <v>0</v>
      </c>
      <c r="K3060" s="10" t="str">
        <f t="shared" ca="1" si="284"/>
        <v/>
      </c>
      <c r="L3060" s="11" t="str">
        <f t="shared" ca="1" si="285"/>
        <v/>
      </c>
      <c r="M3060" s="11" t="str">
        <f t="shared" ca="1" si="286"/>
        <v/>
      </c>
      <c r="N3060" s="15" t="str">
        <f t="shared" ca="1" si="287"/>
        <v/>
      </c>
      <c r="O3060" s="15" t="str">
        <f t="shared" ca="1" si="288"/>
        <v/>
      </c>
      <c r="P3060" s="16" t="str">
        <f t="shared" ca="1" si="289"/>
        <v/>
      </c>
      <c r="Q3060" s="11">
        <f t="shared" ca="1" si="275"/>
        <v>139.58832000000001</v>
      </c>
      <c r="R3060" s="11">
        <f t="shared" ca="1" si="276"/>
        <v>57.154020000000003</v>
      </c>
      <c r="S3060" s="61">
        <f t="shared" ca="1" si="277"/>
        <v>2.44232</v>
      </c>
      <c r="T3060" s="11">
        <f t="shared" ca="1" si="278"/>
        <v>10</v>
      </c>
      <c r="U3060" s="11">
        <f t="shared" ca="1" si="279"/>
        <v>24</v>
      </c>
      <c r="V3060" s="18">
        <f t="shared" ca="1" si="280"/>
        <v>-59.793000000000234</v>
      </c>
      <c r="W3060" s="61">
        <f t="shared" ca="1" si="281"/>
        <v>58.937279999999987</v>
      </c>
      <c r="X3060" s="61">
        <f t="shared" ca="1" si="282"/>
        <v>-0.85572000000024673</v>
      </c>
      <c r="Y3060" s="64">
        <f t="shared" ca="1" si="283"/>
        <v>-6.2384063273257561E-4</v>
      </c>
    </row>
    <row r="3061" spans="1:25">
      <c r="A3061" s="2">
        <f>+Get_Data!A3060</f>
        <v>43886</v>
      </c>
      <c r="B3061">
        <f>+ROUND(Get_Data!B3060,5)</f>
        <v>138.08126999999999</v>
      </c>
      <c r="C3061">
        <f>+ROUND(Get_Data!C3060,5)</f>
        <v>56.345190000000002</v>
      </c>
      <c r="D3061" s="4">
        <f t="shared" si="290"/>
        <v>2.4506299999999999</v>
      </c>
      <c r="E3061" s="22">
        <f t="shared" ca="1" si="269"/>
        <v>2.5090499999999998</v>
      </c>
      <c r="F3061" s="23">
        <f t="shared" ca="1" si="270"/>
        <v>2.43581</v>
      </c>
      <c r="G3061" s="10">
        <f t="shared" ca="1" si="271"/>
        <v>0</v>
      </c>
      <c r="H3061" s="12">
        <f t="shared" ca="1" si="272"/>
        <v>0</v>
      </c>
      <c r="I3061" s="11">
        <f t="shared" ca="1" si="273"/>
        <v>0</v>
      </c>
      <c r="J3061" s="11">
        <f t="shared" ca="1" si="274"/>
        <v>0</v>
      </c>
      <c r="K3061" s="10" t="str">
        <f t="shared" ca="1" si="284"/>
        <v/>
      </c>
      <c r="L3061" s="11" t="str">
        <f t="shared" ca="1" si="285"/>
        <v/>
      </c>
      <c r="M3061" s="11" t="str">
        <f t="shared" ca="1" si="286"/>
        <v/>
      </c>
      <c r="N3061" s="15" t="str">
        <f t="shared" ca="1" si="287"/>
        <v/>
      </c>
      <c r="O3061" s="15" t="str">
        <f t="shared" ca="1" si="288"/>
        <v/>
      </c>
      <c r="P3061" s="16" t="str">
        <f t="shared" ca="1" si="289"/>
        <v/>
      </c>
      <c r="Q3061" s="11" t="str">
        <f t="shared" ca="1" si="275"/>
        <v/>
      </c>
      <c r="R3061" s="11" t="str">
        <f t="shared" ca="1" si="276"/>
        <v/>
      </c>
      <c r="S3061" s="61" t="str">
        <f t="shared" ca="1" si="277"/>
        <v/>
      </c>
      <c r="T3061" s="11" t="str">
        <f t="shared" ca="1" si="278"/>
        <v/>
      </c>
      <c r="U3061" s="11" t="str">
        <f t="shared" ca="1" si="279"/>
        <v/>
      </c>
      <c r="V3061" s="18" t="str">
        <f t="shared" ca="1" si="280"/>
        <v/>
      </c>
      <c r="W3061" s="61" t="str">
        <f t="shared" ca="1" si="281"/>
        <v/>
      </c>
      <c r="X3061" s="61">
        <f t="shared" ca="1" si="282"/>
        <v>0</v>
      </c>
      <c r="Y3061" s="64" t="str">
        <f t="shared" ca="1" si="283"/>
        <v/>
      </c>
    </row>
    <row r="3062" spans="1:25">
      <c r="A3062" s="2">
        <f>+Get_Data!A3061</f>
        <v>43887</v>
      </c>
      <c r="B3062">
        <f>+ROUND(Get_Data!B3061,5)</f>
        <v>138.94241</v>
      </c>
      <c r="C3062">
        <f>+ROUND(Get_Data!C3061,5)</f>
        <v>56.130800000000001</v>
      </c>
      <c r="D3062" s="4">
        <f t="shared" si="290"/>
        <v>2.47533</v>
      </c>
      <c r="E3062" s="22">
        <f t="shared" ca="1" si="269"/>
        <v>2.5090499999999998</v>
      </c>
      <c r="F3062" s="23">
        <f t="shared" ca="1" si="270"/>
        <v>2.43581</v>
      </c>
      <c r="G3062" s="10">
        <f t="shared" ca="1" si="271"/>
        <v>0</v>
      </c>
      <c r="H3062" s="12">
        <f t="shared" ca="1" si="272"/>
        <v>0</v>
      </c>
      <c r="I3062" s="11">
        <f t="shared" ca="1" si="273"/>
        <v>0</v>
      </c>
      <c r="J3062" s="11">
        <f t="shared" ca="1" si="274"/>
        <v>0</v>
      </c>
      <c r="K3062" s="10" t="str">
        <f t="shared" ca="1" si="284"/>
        <v/>
      </c>
      <c r="L3062" s="11" t="str">
        <f t="shared" ca="1" si="285"/>
        <v/>
      </c>
      <c r="M3062" s="11" t="str">
        <f t="shared" ca="1" si="286"/>
        <v/>
      </c>
      <c r="N3062" s="15" t="str">
        <f t="shared" ca="1" si="287"/>
        <v/>
      </c>
      <c r="O3062" s="15" t="str">
        <f t="shared" ca="1" si="288"/>
        <v/>
      </c>
      <c r="P3062" s="16" t="str">
        <f t="shared" ca="1" si="289"/>
        <v/>
      </c>
      <c r="Q3062" s="11" t="str">
        <f t="shared" ca="1" si="275"/>
        <v/>
      </c>
      <c r="R3062" s="11" t="str">
        <f t="shared" ca="1" si="276"/>
        <v/>
      </c>
      <c r="S3062" s="61" t="str">
        <f t="shared" ca="1" si="277"/>
        <v/>
      </c>
      <c r="T3062" s="11" t="str">
        <f t="shared" ca="1" si="278"/>
        <v/>
      </c>
      <c r="U3062" s="11" t="str">
        <f t="shared" ca="1" si="279"/>
        <v/>
      </c>
      <c r="V3062" s="18" t="str">
        <f t="shared" ca="1" si="280"/>
        <v/>
      </c>
      <c r="W3062" s="61" t="str">
        <f t="shared" ca="1" si="281"/>
        <v/>
      </c>
      <c r="X3062" s="61">
        <f t="shared" ca="1" si="282"/>
        <v>0</v>
      </c>
      <c r="Y3062" s="64" t="str">
        <f t="shared" ca="1" si="283"/>
        <v/>
      </c>
    </row>
    <row r="3063" spans="1:25">
      <c r="A3063" s="2">
        <f>+Get_Data!A3062</f>
        <v>43888</v>
      </c>
      <c r="B3063">
        <f>+ROUND(Get_Data!B3062,5)</f>
        <v>133.45244</v>
      </c>
      <c r="C3063">
        <f>+ROUND(Get_Data!C3062,5)</f>
        <v>53.5289</v>
      </c>
      <c r="D3063" s="4">
        <f t="shared" si="290"/>
        <v>2.49309</v>
      </c>
      <c r="E3063" s="22">
        <f t="shared" ca="1" si="269"/>
        <v>2.5090499999999998</v>
      </c>
      <c r="F3063" s="23">
        <f t="shared" ca="1" si="270"/>
        <v>2.43581</v>
      </c>
      <c r="G3063" s="10">
        <f t="shared" ca="1" si="271"/>
        <v>0</v>
      </c>
      <c r="H3063" s="12">
        <f t="shared" ca="1" si="272"/>
        <v>0</v>
      </c>
      <c r="I3063" s="11">
        <f t="shared" ca="1" si="273"/>
        <v>0</v>
      </c>
      <c r="J3063" s="11">
        <f t="shared" ca="1" si="274"/>
        <v>0</v>
      </c>
      <c r="K3063" s="10" t="str">
        <f t="shared" ca="1" si="284"/>
        <v/>
      </c>
      <c r="L3063" s="11" t="str">
        <f t="shared" ca="1" si="285"/>
        <v/>
      </c>
      <c r="M3063" s="11" t="str">
        <f t="shared" ca="1" si="286"/>
        <v/>
      </c>
      <c r="N3063" s="15" t="str">
        <f t="shared" ca="1" si="287"/>
        <v/>
      </c>
      <c r="O3063" s="15" t="str">
        <f t="shared" ca="1" si="288"/>
        <v/>
      </c>
      <c r="P3063" s="16" t="str">
        <f t="shared" ca="1" si="289"/>
        <v/>
      </c>
      <c r="Q3063" s="11" t="str">
        <f t="shared" ca="1" si="275"/>
        <v/>
      </c>
      <c r="R3063" s="11" t="str">
        <f t="shared" ca="1" si="276"/>
        <v/>
      </c>
      <c r="S3063" s="61" t="str">
        <f t="shared" ca="1" si="277"/>
        <v/>
      </c>
      <c r="T3063" s="11" t="str">
        <f t="shared" ca="1" si="278"/>
        <v/>
      </c>
      <c r="U3063" s="11" t="str">
        <f t="shared" ca="1" si="279"/>
        <v/>
      </c>
      <c r="V3063" s="18" t="str">
        <f t="shared" ca="1" si="280"/>
        <v/>
      </c>
      <c r="W3063" s="61" t="str">
        <f t="shared" ca="1" si="281"/>
        <v/>
      </c>
      <c r="X3063" s="61">
        <f t="shared" ca="1" si="282"/>
        <v>0</v>
      </c>
      <c r="Y3063" s="64" t="str">
        <f t="shared" ca="1" si="283"/>
        <v/>
      </c>
    </row>
    <row r="3064" spans="1:25">
      <c r="A3064" s="2">
        <f>+Get_Data!A3063</f>
        <v>43889</v>
      </c>
      <c r="B3064">
        <f>+ROUND(Get_Data!B3063,5)</f>
        <v>129.20531</v>
      </c>
      <c r="C3064">
        <f>+ROUND(Get_Data!C3063,5)</f>
        <v>52.125639999999997</v>
      </c>
      <c r="D3064" s="4">
        <f t="shared" si="290"/>
        <v>2.4787300000000001</v>
      </c>
      <c r="E3064" s="22">
        <f t="shared" ca="1" si="269"/>
        <v>2.5090499999999998</v>
      </c>
      <c r="F3064" s="23">
        <f t="shared" ca="1" si="270"/>
        <v>2.43581</v>
      </c>
      <c r="G3064" s="10">
        <f t="shared" ca="1" si="271"/>
        <v>0</v>
      </c>
      <c r="H3064" s="12">
        <f t="shared" ca="1" si="272"/>
        <v>0</v>
      </c>
      <c r="I3064" s="11">
        <f t="shared" ca="1" si="273"/>
        <v>0</v>
      </c>
      <c r="J3064" s="11">
        <f t="shared" ca="1" si="274"/>
        <v>0</v>
      </c>
      <c r="K3064" s="10" t="str">
        <f t="shared" ca="1" si="284"/>
        <v/>
      </c>
      <c r="L3064" s="11" t="str">
        <f t="shared" ca="1" si="285"/>
        <v/>
      </c>
      <c r="M3064" s="11" t="str">
        <f t="shared" ca="1" si="286"/>
        <v/>
      </c>
      <c r="N3064" s="15" t="str">
        <f t="shared" ca="1" si="287"/>
        <v/>
      </c>
      <c r="O3064" s="15" t="str">
        <f t="shared" ca="1" si="288"/>
        <v/>
      </c>
      <c r="P3064" s="16" t="str">
        <f t="shared" ca="1" si="289"/>
        <v/>
      </c>
      <c r="Q3064" s="11" t="str">
        <f t="shared" ca="1" si="275"/>
        <v/>
      </c>
      <c r="R3064" s="11" t="str">
        <f t="shared" ca="1" si="276"/>
        <v/>
      </c>
      <c r="S3064" s="61" t="str">
        <f t="shared" ca="1" si="277"/>
        <v/>
      </c>
      <c r="T3064" s="11" t="str">
        <f t="shared" ca="1" si="278"/>
        <v/>
      </c>
      <c r="U3064" s="11" t="str">
        <f t="shared" ca="1" si="279"/>
        <v/>
      </c>
      <c r="V3064" s="18" t="str">
        <f t="shared" ca="1" si="280"/>
        <v/>
      </c>
      <c r="W3064" s="61" t="str">
        <f t="shared" ca="1" si="281"/>
        <v/>
      </c>
      <c r="X3064" s="61">
        <f t="shared" ca="1" si="282"/>
        <v>0</v>
      </c>
      <c r="Y3064" s="64" t="str">
        <f t="shared" ca="1" si="283"/>
        <v/>
      </c>
    </row>
    <row r="3065" spans="1:25">
      <c r="A3065" s="2">
        <f>+Get_Data!A3064</f>
        <v>43892</v>
      </c>
      <c r="B3065">
        <f>+ROUND(Get_Data!B3064,5)</f>
        <v>134.63657000000001</v>
      </c>
      <c r="C3065">
        <f>+ROUND(Get_Data!C3064,5)</f>
        <v>54.493650000000002</v>
      </c>
      <c r="D3065" s="4">
        <f t="shared" si="290"/>
        <v>2.4706800000000002</v>
      </c>
      <c r="E3065" s="22">
        <f t="shared" ca="1" si="269"/>
        <v>2.5090499999999998</v>
      </c>
      <c r="F3065" s="23">
        <f t="shared" ca="1" si="270"/>
        <v>2.43581</v>
      </c>
      <c r="G3065" s="10">
        <f t="shared" ca="1" si="271"/>
        <v>0</v>
      </c>
      <c r="H3065" s="12">
        <f t="shared" ca="1" si="272"/>
        <v>0</v>
      </c>
      <c r="I3065" s="11">
        <f t="shared" ca="1" si="273"/>
        <v>0</v>
      </c>
      <c r="J3065" s="11">
        <f t="shared" ca="1" si="274"/>
        <v>0</v>
      </c>
      <c r="K3065" s="10" t="str">
        <f t="shared" ca="1" si="284"/>
        <v/>
      </c>
      <c r="L3065" s="11" t="str">
        <f t="shared" ca="1" si="285"/>
        <v/>
      </c>
      <c r="M3065" s="11" t="str">
        <f t="shared" ca="1" si="286"/>
        <v/>
      </c>
      <c r="N3065" s="15" t="str">
        <f t="shared" ca="1" si="287"/>
        <v/>
      </c>
      <c r="O3065" s="15" t="str">
        <f t="shared" ca="1" si="288"/>
        <v/>
      </c>
      <c r="P3065" s="16" t="str">
        <f t="shared" ca="1" si="289"/>
        <v/>
      </c>
      <c r="Q3065" s="11" t="str">
        <f t="shared" ca="1" si="275"/>
        <v/>
      </c>
      <c r="R3065" s="11" t="str">
        <f t="shared" ca="1" si="276"/>
        <v/>
      </c>
      <c r="S3065" s="61" t="str">
        <f t="shared" ca="1" si="277"/>
        <v/>
      </c>
      <c r="T3065" s="11" t="str">
        <f t="shared" ca="1" si="278"/>
        <v/>
      </c>
      <c r="U3065" s="11" t="str">
        <f t="shared" ca="1" si="279"/>
        <v/>
      </c>
      <c r="V3065" s="18" t="str">
        <f t="shared" ca="1" si="280"/>
        <v/>
      </c>
      <c r="W3065" s="61" t="str">
        <f t="shared" ca="1" si="281"/>
        <v/>
      </c>
      <c r="X3065" s="61">
        <f t="shared" ca="1" si="282"/>
        <v>0</v>
      </c>
      <c r="Y3065" s="64" t="str">
        <f t="shared" ca="1" si="283"/>
        <v/>
      </c>
    </row>
    <row r="3066" spans="1:25">
      <c r="A3066" s="2">
        <f>+Get_Data!A3065</f>
        <v>43893</v>
      </c>
      <c r="B3066">
        <f>+ROUND(Get_Data!B3065,5)</f>
        <v>132.67935</v>
      </c>
      <c r="C3066">
        <f>+ROUND(Get_Data!C3065,5)</f>
        <v>54.63008</v>
      </c>
      <c r="D3066" s="4">
        <f t="shared" si="290"/>
        <v>2.42869</v>
      </c>
      <c r="E3066" s="22">
        <f t="shared" ca="1" si="269"/>
        <v>2.5090499999999998</v>
      </c>
      <c r="F3066" s="23">
        <f t="shared" ca="1" si="270"/>
        <v>2.42869</v>
      </c>
      <c r="G3066" s="10">
        <f t="shared" ca="1" si="271"/>
        <v>0</v>
      </c>
      <c r="H3066" s="12">
        <f t="shared" ca="1" si="272"/>
        <v>1</v>
      </c>
      <c r="I3066" s="11">
        <f t="shared" ca="1" si="273"/>
        <v>-1</v>
      </c>
      <c r="J3066" s="11">
        <f t="shared" ca="1" si="274"/>
        <v>-1</v>
      </c>
      <c r="K3066" s="10" t="str">
        <f t="shared" ca="1" si="284"/>
        <v/>
      </c>
      <c r="L3066" s="11" t="str">
        <f t="shared" ca="1" si="285"/>
        <v/>
      </c>
      <c r="M3066" s="11" t="str">
        <f t="shared" ca="1" si="286"/>
        <v/>
      </c>
      <c r="N3066" s="15" t="str">
        <f t="shared" ca="1" si="287"/>
        <v/>
      </c>
      <c r="O3066" s="15" t="str">
        <f t="shared" ca="1" si="288"/>
        <v/>
      </c>
      <c r="P3066" s="16" t="str">
        <f t="shared" ca="1" si="289"/>
        <v/>
      </c>
      <c r="Q3066" s="11" t="str">
        <f t="shared" ca="1" si="275"/>
        <v/>
      </c>
      <c r="R3066" s="11" t="str">
        <f t="shared" ca="1" si="276"/>
        <v/>
      </c>
      <c r="S3066" s="61" t="str">
        <f t="shared" ca="1" si="277"/>
        <v/>
      </c>
      <c r="T3066" s="11" t="str">
        <f t="shared" ca="1" si="278"/>
        <v/>
      </c>
      <c r="U3066" s="11" t="str">
        <f t="shared" ca="1" si="279"/>
        <v/>
      </c>
      <c r="V3066" s="18" t="str">
        <f t="shared" ca="1" si="280"/>
        <v/>
      </c>
      <c r="W3066" s="61" t="str">
        <f t="shared" ca="1" si="281"/>
        <v/>
      </c>
      <c r="X3066" s="61">
        <f t="shared" ca="1" si="282"/>
        <v>0</v>
      </c>
      <c r="Y3066" s="64" t="str">
        <f t="shared" ca="1" si="283"/>
        <v/>
      </c>
    </row>
    <row r="3067" spans="1:25">
      <c r="A3067" s="2">
        <f>+Get_Data!A3066</f>
        <v>43894</v>
      </c>
      <c r="B3067">
        <f>+ROUND(Get_Data!B3066,5)</f>
        <v>139.34366</v>
      </c>
      <c r="C3067">
        <f>+ROUND(Get_Data!C3066,5)</f>
        <v>57.41713</v>
      </c>
      <c r="D3067" s="4">
        <f t="shared" si="290"/>
        <v>2.4268700000000001</v>
      </c>
      <c r="E3067" s="22">
        <f t="shared" ca="1" si="269"/>
        <v>2.49655</v>
      </c>
      <c r="F3067" s="23">
        <f t="shared" ca="1" si="270"/>
        <v>2.4268700000000001</v>
      </c>
      <c r="G3067" s="10">
        <f t="shared" ca="1" si="271"/>
        <v>0</v>
      </c>
      <c r="H3067" s="12">
        <f t="shared" ca="1" si="272"/>
        <v>1</v>
      </c>
      <c r="I3067" s="11">
        <f t="shared" ca="1" si="273"/>
        <v>-1</v>
      </c>
      <c r="J3067" s="11">
        <f t="shared" ca="1" si="274"/>
        <v>-2</v>
      </c>
      <c r="K3067" s="10">
        <f t="shared" ca="1" si="284"/>
        <v>139.34366</v>
      </c>
      <c r="L3067" s="11">
        <f t="shared" ca="1" si="285"/>
        <v>-57.41713</v>
      </c>
      <c r="M3067" s="11">
        <f t="shared" ca="1" si="286"/>
        <v>2.4268700000000001</v>
      </c>
      <c r="N3067" s="15">
        <f t="shared" ca="1" si="287"/>
        <v>10</v>
      </c>
      <c r="O3067" s="15">
        <f t="shared" ca="1" si="288"/>
        <v>24</v>
      </c>
      <c r="P3067" s="16">
        <f t="shared" ca="1" si="289"/>
        <v>15.42547999999988</v>
      </c>
      <c r="Q3067" s="11" t="str">
        <f t="shared" ca="1" si="275"/>
        <v/>
      </c>
      <c r="R3067" s="11" t="str">
        <f t="shared" ca="1" si="276"/>
        <v/>
      </c>
      <c r="S3067" s="61" t="str">
        <f t="shared" ca="1" si="277"/>
        <v/>
      </c>
      <c r="T3067" s="11" t="str">
        <f t="shared" ca="1" si="278"/>
        <v/>
      </c>
      <c r="U3067" s="11" t="str">
        <f t="shared" ca="1" si="279"/>
        <v/>
      </c>
      <c r="V3067" s="18" t="str">
        <f t="shared" ca="1" si="280"/>
        <v/>
      </c>
      <c r="W3067" s="61" t="str">
        <f t="shared" ca="1" si="281"/>
        <v/>
      </c>
      <c r="X3067" s="61">
        <f t="shared" ca="1" si="282"/>
        <v>0</v>
      </c>
      <c r="Y3067" s="64" t="str">
        <f t="shared" ca="1" si="283"/>
        <v/>
      </c>
    </row>
    <row r="3068" spans="1:25">
      <c r="A3068" s="2">
        <f>+Get_Data!A3067</f>
        <v>43895</v>
      </c>
      <c r="B3068">
        <f>+ROUND(Get_Data!B3067,5)</f>
        <v>136.05797999999999</v>
      </c>
      <c r="C3068">
        <f>+ROUND(Get_Data!C3067,5)</f>
        <v>55.292740000000002</v>
      </c>
      <c r="D3068" s="4">
        <f t="shared" si="290"/>
        <v>2.46068</v>
      </c>
      <c r="E3068" s="22">
        <f t="shared" ca="1" si="269"/>
        <v>2.49309</v>
      </c>
      <c r="F3068" s="23">
        <f t="shared" ca="1" si="270"/>
        <v>2.4268700000000001</v>
      </c>
      <c r="G3068" s="10">
        <f t="shared" ca="1" si="271"/>
        <v>0</v>
      </c>
      <c r="H3068" s="12">
        <f t="shared" ca="1" si="272"/>
        <v>0</v>
      </c>
      <c r="I3068" s="11">
        <f t="shared" ca="1" si="273"/>
        <v>0</v>
      </c>
      <c r="J3068" s="11">
        <f t="shared" ca="1" si="274"/>
        <v>-2</v>
      </c>
      <c r="K3068" s="10">
        <f t="shared" ca="1" si="284"/>
        <v>139.34366</v>
      </c>
      <c r="L3068" s="11">
        <f t="shared" ca="1" si="285"/>
        <v>-57.41713</v>
      </c>
      <c r="M3068" s="11">
        <f t="shared" ca="1" si="286"/>
        <v>2.4268700000000001</v>
      </c>
      <c r="N3068" s="15">
        <f t="shared" ca="1" si="287"/>
        <v>10</v>
      </c>
      <c r="O3068" s="15">
        <f t="shared" ca="1" si="288"/>
        <v>24</v>
      </c>
      <c r="P3068" s="16">
        <f t="shared" ca="1" si="289"/>
        <v>15.42547999999988</v>
      </c>
      <c r="Q3068" s="11" t="str">
        <f t="shared" ca="1" si="275"/>
        <v/>
      </c>
      <c r="R3068" s="11" t="str">
        <f t="shared" ca="1" si="276"/>
        <v/>
      </c>
      <c r="S3068" s="61" t="str">
        <f t="shared" ca="1" si="277"/>
        <v/>
      </c>
      <c r="T3068" s="11" t="str">
        <f t="shared" ca="1" si="278"/>
        <v/>
      </c>
      <c r="U3068" s="11" t="str">
        <f t="shared" ca="1" si="279"/>
        <v/>
      </c>
      <c r="V3068" s="18" t="str">
        <f t="shared" ca="1" si="280"/>
        <v/>
      </c>
      <c r="W3068" s="61" t="str">
        <f t="shared" ca="1" si="281"/>
        <v/>
      </c>
      <c r="X3068" s="61">
        <f t="shared" ca="1" si="282"/>
        <v>0</v>
      </c>
      <c r="Y3068" s="64" t="str">
        <f t="shared" ca="1" si="283"/>
        <v/>
      </c>
    </row>
    <row r="3069" spans="1:25">
      <c r="A3069" s="2">
        <f>+Get_Data!A3068</f>
        <v>43896</v>
      </c>
      <c r="B3069">
        <f>+ROUND(Get_Data!B3068,5)</f>
        <v>135.23039</v>
      </c>
      <c r="C3069">
        <f>+ROUND(Get_Data!C3068,5)</f>
        <v>53.850490000000001</v>
      </c>
      <c r="D3069" s="4">
        <f t="shared" si="290"/>
        <v>2.5112199999999998</v>
      </c>
      <c r="E3069" s="22">
        <f t="shared" ca="1" si="269"/>
        <v>2.5112199999999998</v>
      </c>
      <c r="F3069" s="23">
        <f t="shared" ca="1" si="270"/>
        <v>2.4268700000000001</v>
      </c>
      <c r="G3069" s="10">
        <f t="shared" ca="1" si="271"/>
        <v>1</v>
      </c>
      <c r="H3069" s="12">
        <f t="shared" ca="1" si="272"/>
        <v>0</v>
      </c>
      <c r="I3069" s="11">
        <f t="shared" ca="1" si="273"/>
        <v>1</v>
      </c>
      <c r="J3069" s="11">
        <f t="shared" ca="1" si="274"/>
        <v>0</v>
      </c>
      <c r="K3069" s="10">
        <f t="shared" ca="1" si="284"/>
        <v>139.34366</v>
      </c>
      <c r="L3069" s="11">
        <f t="shared" ca="1" si="285"/>
        <v>-57.41713</v>
      </c>
      <c r="M3069" s="11">
        <f t="shared" ca="1" si="286"/>
        <v>2.4268700000000001</v>
      </c>
      <c r="N3069" s="15">
        <f t="shared" ca="1" si="287"/>
        <v>10</v>
      </c>
      <c r="O3069" s="15">
        <f t="shared" ca="1" si="288"/>
        <v>24</v>
      </c>
      <c r="P3069" s="16">
        <f t="shared" ca="1" si="289"/>
        <v>15.42547999999988</v>
      </c>
      <c r="Q3069" s="11" t="str">
        <f t="shared" ca="1" si="275"/>
        <v/>
      </c>
      <c r="R3069" s="11" t="str">
        <f t="shared" ca="1" si="276"/>
        <v/>
      </c>
      <c r="S3069" s="61" t="str">
        <f t="shared" ca="1" si="277"/>
        <v/>
      </c>
      <c r="T3069" s="11" t="str">
        <f t="shared" ca="1" si="278"/>
        <v/>
      </c>
      <c r="U3069" s="11" t="str">
        <f t="shared" ca="1" si="279"/>
        <v/>
      </c>
      <c r="V3069" s="18" t="str">
        <f t="shared" ca="1" si="280"/>
        <v/>
      </c>
      <c r="W3069" s="61" t="str">
        <f t="shared" ca="1" si="281"/>
        <v/>
      </c>
      <c r="X3069" s="61">
        <f t="shared" ca="1" si="282"/>
        <v>0</v>
      </c>
      <c r="Y3069" s="64" t="str">
        <f t="shared" ca="1" si="283"/>
        <v/>
      </c>
    </row>
    <row r="3070" spans="1:25">
      <c r="A3070" s="2">
        <f>+Get_Data!A3069</f>
        <v>43899</v>
      </c>
      <c r="B3070">
        <f>+ROUND(Get_Data!B3069,5)</f>
        <v>128.23537999999999</v>
      </c>
      <c r="C3070">
        <f>+ROUND(Get_Data!C3069,5)</f>
        <v>50.537210000000002</v>
      </c>
      <c r="D3070" s="4">
        <f t="shared" si="290"/>
        <v>2.5374400000000001</v>
      </c>
      <c r="E3070" s="22">
        <f t="shared" ca="1" si="269"/>
        <v>2.5374400000000001</v>
      </c>
      <c r="F3070" s="23">
        <f t="shared" ca="1" si="270"/>
        <v>2.4268700000000001</v>
      </c>
      <c r="G3070" s="10">
        <f t="shared" ca="1" si="271"/>
        <v>1</v>
      </c>
      <c r="H3070" s="12">
        <f t="shared" ca="1" si="272"/>
        <v>0</v>
      </c>
      <c r="I3070" s="11">
        <f t="shared" ca="1" si="273"/>
        <v>1</v>
      </c>
      <c r="J3070" s="11">
        <f t="shared" ca="1" si="274"/>
        <v>1</v>
      </c>
      <c r="K3070" s="10" t="str">
        <f t="shared" ca="1" si="284"/>
        <v/>
      </c>
      <c r="L3070" s="11" t="str">
        <f t="shared" ca="1" si="285"/>
        <v/>
      </c>
      <c r="M3070" s="11" t="str">
        <f t="shared" ca="1" si="286"/>
        <v/>
      </c>
      <c r="N3070" s="15" t="str">
        <f t="shared" ca="1" si="287"/>
        <v/>
      </c>
      <c r="O3070" s="15" t="str">
        <f t="shared" ca="1" si="288"/>
        <v/>
      </c>
      <c r="P3070" s="16" t="str">
        <f t="shared" ca="1" si="289"/>
        <v/>
      </c>
      <c r="Q3070" s="11">
        <f t="shared" ca="1" si="275"/>
        <v>128.23537999999999</v>
      </c>
      <c r="R3070" s="11">
        <f t="shared" ca="1" si="276"/>
        <v>50.537210000000002</v>
      </c>
      <c r="S3070" s="61">
        <f t="shared" ca="1" si="277"/>
        <v>2.5374400000000001</v>
      </c>
      <c r="T3070" s="11">
        <f t="shared" ca="1" si="278"/>
        <v>10</v>
      </c>
      <c r="U3070" s="11">
        <f t="shared" ca="1" si="279"/>
        <v>24</v>
      </c>
      <c r="V3070" s="18">
        <f t="shared" ca="1" si="280"/>
        <v>111.08280000000008</v>
      </c>
      <c r="W3070" s="61">
        <f t="shared" ca="1" si="281"/>
        <v>-165.11807999999996</v>
      </c>
      <c r="X3070" s="61">
        <f t="shared" ca="1" si="282"/>
        <v>-54.035279999999887</v>
      </c>
      <c r="Y3070" s="64">
        <f t="shared" ca="1" si="283"/>
        <v>-4.4550737961197212E-2</v>
      </c>
    </row>
    <row r="3071" spans="1:25">
      <c r="A3071" s="2">
        <f>+Get_Data!A3070</f>
        <v>43900</v>
      </c>
      <c r="B3071">
        <f>+ROUND(Get_Data!B3070,5)</f>
        <v>132.15654000000001</v>
      </c>
      <c r="C3071">
        <f>+ROUND(Get_Data!C3070,5)</f>
        <v>52.2913</v>
      </c>
      <c r="D3071" s="4">
        <f t="shared" si="290"/>
        <v>2.5273099999999999</v>
      </c>
      <c r="E3071" s="22">
        <f t="shared" ca="1" si="269"/>
        <v>2.5374400000000001</v>
      </c>
      <c r="F3071" s="23">
        <f t="shared" ca="1" si="270"/>
        <v>2.4268700000000001</v>
      </c>
      <c r="G3071" s="10">
        <f t="shared" ca="1" si="271"/>
        <v>0</v>
      </c>
      <c r="H3071" s="12">
        <f t="shared" ca="1" si="272"/>
        <v>0</v>
      </c>
      <c r="I3071" s="11">
        <f t="shared" ca="1" si="273"/>
        <v>0</v>
      </c>
      <c r="J3071" s="11">
        <f t="shared" ca="1" si="274"/>
        <v>1</v>
      </c>
      <c r="K3071" s="10">
        <f t="shared" ca="1" si="284"/>
        <v>-132.15654000000001</v>
      </c>
      <c r="L3071" s="11">
        <f t="shared" ca="1" si="285"/>
        <v>52.2913</v>
      </c>
      <c r="M3071" s="11">
        <f t="shared" ca="1" si="286"/>
        <v>2.5273099999999999</v>
      </c>
      <c r="N3071" s="15">
        <f t="shared" ca="1" si="287"/>
        <v>10</v>
      </c>
      <c r="O3071" s="15">
        <f t="shared" ca="1" si="288"/>
        <v>25</v>
      </c>
      <c r="P3071" s="16">
        <f t="shared" ca="1" si="289"/>
        <v>-14.282899999999927</v>
      </c>
      <c r="Q3071" s="11" t="str">
        <f t="shared" ca="1" si="275"/>
        <v/>
      </c>
      <c r="R3071" s="11" t="str">
        <f t="shared" ca="1" si="276"/>
        <v/>
      </c>
      <c r="S3071" s="61" t="str">
        <f t="shared" ca="1" si="277"/>
        <v/>
      </c>
      <c r="T3071" s="11" t="str">
        <f t="shared" ca="1" si="278"/>
        <v/>
      </c>
      <c r="U3071" s="11" t="str">
        <f t="shared" ca="1" si="279"/>
        <v/>
      </c>
      <c r="V3071" s="18" t="str">
        <f t="shared" ca="1" si="280"/>
        <v/>
      </c>
      <c r="W3071" s="61" t="str">
        <f t="shared" ca="1" si="281"/>
        <v/>
      </c>
      <c r="X3071" s="61">
        <f t="shared" ca="1" si="282"/>
        <v>0</v>
      </c>
      <c r="Y3071" s="64" t="str">
        <f t="shared" ca="1" si="283"/>
        <v/>
      </c>
    </row>
    <row r="3072" spans="1:25">
      <c r="A3072" s="2">
        <f>+Get_Data!A3071</f>
        <v>43901</v>
      </c>
      <c r="B3072">
        <f>+ROUND(Get_Data!B3071,5)</f>
        <v>127.83144</v>
      </c>
      <c r="C3072">
        <f>+ROUND(Get_Data!C3071,5)</f>
        <v>50.878279999999997</v>
      </c>
      <c r="D3072" s="4">
        <f t="shared" si="290"/>
        <v>2.5125000000000002</v>
      </c>
      <c r="E3072" s="22">
        <f t="shared" ca="1" si="269"/>
        <v>2.5374400000000001</v>
      </c>
      <c r="F3072" s="23">
        <f t="shared" ca="1" si="270"/>
        <v>2.4268700000000001</v>
      </c>
      <c r="G3072" s="10">
        <f t="shared" ca="1" si="271"/>
        <v>0</v>
      </c>
      <c r="H3072" s="12">
        <f t="shared" ca="1" si="272"/>
        <v>0</v>
      </c>
      <c r="I3072" s="11">
        <f t="shared" ca="1" si="273"/>
        <v>0</v>
      </c>
      <c r="J3072" s="11">
        <f t="shared" ca="1" si="274"/>
        <v>1</v>
      </c>
      <c r="K3072" s="10">
        <f t="shared" ca="1" si="284"/>
        <v>-132.15654000000001</v>
      </c>
      <c r="L3072" s="11">
        <f t="shared" ca="1" si="285"/>
        <v>52.2913</v>
      </c>
      <c r="M3072" s="11">
        <f t="shared" ca="1" si="286"/>
        <v>2.5273099999999999</v>
      </c>
      <c r="N3072" s="15">
        <f t="shared" ca="1" si="287"/>
        <v>10</v>
      </c>
      <c r="O3072" s="15">
        <f t="shared" ca="1" si="288"/>
        <v>25</v>
      </c>
      <c r="P3072" s="16">
        <f t="shared" ca="1" si="289"/>
        <v>-14.282899999999927</v>
      </c>
      <c r="Q3072" s="11" t="str">
        <f t="shared" ca="1" si="275"/>
        <v/>
      </c>
      <c r="R3072" s="11" t="str">
        <f t="shared" ca="1" si="276"/>
        <v/>
      </c>
      <c r="S3072" s="61" t="str">
        <f t="shared" ca="1" si="277"/>
        <v/>
      </c>
      <c r="T3072" s="11" t="str">
        <f t="shared" ca="1" si="278"/>
        <v/>
      </c>
      <c r="U3072" s="11" t="str">
        <f t="shared" ca="1" si="279"/>
        <v/>
      </c>
      <c r="V3072" s="18" t="str">
        <f t="shared" ca="1" si="280"/>
        <v/>
      </c>
      <c r="W3072" s="61" t="str">
        <f t="shared" ca="1" si="281"/>
        <v/>
      </c>
      <c r="X3072" s="61">
        <f t="shared" ca="1" si="282"/>
        <v>0</v>
      </c>
      <c r="Y3072" s="64" t="str">
        <f t="shared" ca="1" si="283"/>
        <v/>
      </c>
    </row>
    <row r="3073" spans="1:25">
      <c r="A3073" s="2">
        <f>+Get_Data!A3072</f>
        <v>43902</v>
      </c>
      <c r="B3073">
        <f>+ROUND(Get_Data!B3072,5)</f>
        <v>113.63451000000001</v>
      </c>
      <c r="C3073">
        <f>+ROUND(Get_Data!C3072,5)</f>
        <v>45.957090000000001</v>
      </c>
      <c r="D3073" s="4">
        <f t="shared" si="290"/>
        <v>2.47262</v>
      </c>
      <c r="E3073" s="22">
        <f t="shared" ca="1" si="269"/>
        <v>2.5374400000000001</v>
      </c>
      <c r="F3073" s="23">
        <f t="shared" ca="1" si="270"/>
        <v>2.4268700000000001</v>
      </c>
      <c r="G3073" s="10">
        <f t="shared" ca="1" si="271"/>
        <v>0</v>
      </c>
      <c r="H3073" s="12">
        <f t="shared" ca="1" si="272"/>
        <v>0</v>
      </c>
      <c r="I3073" s="11">
        <f t="shared" ca="1" si="273"/>
        <v>0</v>
      </c>
      <c r="J3073" s="11">
        <f t="shared" ca="1" si="274"/>
        <v>1</v>
      </c>
      <c r="K3073" s="10">
        <f t="shared" ca="1" si="284"/>
        <v>-132.15654000000001</v>
      </c>
      <c r="L3073" s="11">
        <f t="shared" ca="1" si="285"/>
        <v>52.2913</v>
      </c>
      <c r="M3073" s="11">
        <f t="shared" ca="1" si="286"/>
        <v>2.5273099999999999</v>
      </c>
      <c r="N3073" s="15">
        <f t="shared" ca="1" si="287"/>
        <v>10</v>
      </c>
      <c r="O3073" s="15">
        <f t="shared" ca="1" si="288"/>
        <v>25</v>
      </c>
      <c r="P3073" s="16">
        <f t="shared" ca="1" si="289"/>
        <v>-14.282899999999927</v>
      </c>
      <c r="Q3073" s="11" t="str">
        <f t="shared" ca="1" si="275"/>
        <v/>
      </c>
      <c r="R3073" s="11" t="str">
        <f t="shared" ca="1" si="276"/>
        <v/>
      </c>
      <c r="S3073" s="61" t="str">
        <f t="shared" ca="1" si="277"/>
        <v/>
      </c>
      <c r="T3073" s="11" t="str">
        <f t="shared" ca="1" si="278"/>
        <v/>
      </c>
      <c r="U3073" s="11" t="str">
        <f t="shared" ca="1" si="279"/>
        <v/>
      </c>
      <c r="V3073" s="18" t="str">
        <f t="shared" ca="1" si="280"/>
        <v/>
      </c>
      <c r="W3073" s="61" t="str">
        <f t="shared" ca="1" si="281"/>
        <v/>
      </c>
      <c r="X3073" s="61">
        <f t="shared" ca="1" si="282"/>
        <v>0</v>
      </c>
      <c r="Y3073" s="64" t="str">
        <f t="shared" ca="1" si="283"/>
        <v/>
      </c>
    </row>
    <row r="3074" spans="1:25">
      <c r="A3074" s="2">
        <f>+Get_Data!A3073</f>
        <v>43903</v>
      </c>
      <c r="B3074">
        <f>+ROUND(Get_Data!B3073,5)</f>
        <v>125.56545</v>
      </c>
      <c r="C3074">
        <f>+ROUND(Get_Data!C3073,5)</f>
        <v>47.647919999999999</v>
      </c>
      <c r="D3074" s="4">
        <f t="shared" si="290"/>
        <v>2.6352799999999998</v>
      </c>
      <c r="E3074" s="22">
        <f t="shared" ca="1" si="269"/>
        <v>2.6352799999999998</v>
      </c>
      <c r="F3074" s="23">
        <f t="shared" ca="1" si="270"/>
        <v>2.4268700000000001</v>
      </c>
      <c r="G3074" s="10">
        <f t="shared" ca="1" si="271"/>
        <v>1</v>
      </c>
      <c r="H3074" s="12">
        <f t="shared" ca="1" si="272"/>
        <v>0</v>
      </c>
      <c r="I3074" s="11">
        <f t="shared" ca="1" si="273"/>
        <v>1</v>
      </c>
      <c r="J3074" s="11">
        <f t="shared" ca="1" si="274"/>
        <v>2</v>
      </c>
      <c r="K3074" s="10">
        <f t="shared" ca="1" si="284"/>
        <v>-132.15654000000001</v>
      </c>
      <c r="L3074" s="11">
        <f t="shared" ca="1" si="285"/>
        <v>52.2913</v>
      </c>
      <c r="M3074" s="11">
        <f t="shared" ca="1" si="286"/>
        <v>2.5273099999999999</v>
      </c>
      <c r="N3074" s="15">
        <f t="shared" ca="1" si="287"/>
        <v>10</v>
      </c>
      <c r="O3074" s="15">
        <f t="shared" ca="1" si="288"/>
        <v>25</v>
      </c>
      <c r="P3074" s="16">
        <f t="shared" ca="1" si="289"/>
        <v>-14.282899999999927</v>
      </c>
      <c r="Q3074" s="11" t="str">
        <f t="shared" ca="1" si="275"/>
        <v/>
      </c>
      <c r="R3074" s="11" t="str">
        <f t="shared" ca="1" si="276"/>
        <v/>
      </c>
      <c r="S3074" s="61" t="str">
        <f t="shared" ca="1" si="277"/>
        <v/>
      </c>
      <c r="T3074" s="11" t="str">
        <f t="shared" ca="1" si="278"/>
        <v/>
      </c>
      <c r="U3074" s="11" t="str">
        <f t="shared" ca="1" si="279"/>
        <v/>
      </c>
      <c r="V3074" s="18" t="str">
        <f t="shared" ca="1" si="280"/>
        <v/>
      </c>
      <c r="W3074" s="61" t="str">
        <f t="shared" ca="1" si="281"/>
        <v/>
      </c>
      <c r="X3074" s="61">
        <f t="shared" ca="1" si="282"/>
        <v>0</v>
      </c>
      <c r="Y3074" s="64" t="str">
        <f t="shared" ca="1" si="283"/>
        <v/>
      </c>
    </row>
    <row r="3075" spans="1:25">
      <c r="A3075" s="2">
        <f>+Get_Data!A3074</f>
        <v>43906</v>
      </c>
      <c r="B3075">
        <f>+ROUND(Get_Data!B3074,5)</f>
        <v>111.41777999999999</v>
      </c>
      <c r="C3075">
        <f>+ROUND(Get_Data!C3074,5)</f>
        <v>44.492359999999998</v>
      </c>
      <c r="D3075" s="4">
        <f t="shared" si="290"/>
        <v>2.5042</v>
      </c>
      <c r="E3075" s="22">
        <f t="shared" ca="1" si="269"/>
        <v>2.6352799999999998</v>
      </c>
      <c r="F3075" s="23">
        <f t="shared" ca="1" si="270"/>
        <v>2.4268700000000001</v>
      </c>
      <c r="G3075" s="10">
        <f t="shared" ca="1" si="271"/>
        <v>0</v>
      </c>
      <c r="H3075" s="12">
        <f t="shared" ca="1" si="272"/>
        <v>0</v>
      </c>
      <c r="I3075" s="11">
        <f t="shared" ca="1" si="273"/>
        <v>0</v>
      </c>
      <c r="J3075" s="11">
        <f t="shared" ca="1" si="274"/>
        <v>2</v>
      </c>
      <c r="K3075" s="10">
        <f t="shared" ca="1" si="284"/>
        <v>-132.15654000000001</v>
      </c>
      <c r="L3075" s="11">
        <f t="shared" ca="1" si="285"/>
        <v>52.2913</v>
      </c>
      <c r="M3075" s="11">
        <f t="shared" ca="1" si="286"/>
        <v>2.5273099999999999</v>
      </c>
      <c r="N3075" s="15">
        <f t="shared" ca="1" si="287"/>
        <v>10</v>
      </c>
      <c r="O3075" s="15">
        <f t="shared" ca="1" si="288"/>
        <v>25</v>
      </c>
      <c r="P3075" s="16">
        <f t="shared" ca="1" si="289"/>
        <v>-14.282899999999927</v>
      </c>
      <c r="Q3075" s="11" t="str">
        <f t="shared" ca="1" si="275"/>
        <v/>
      </c>
      <c r="R3075" s="11" t="str">
        <f t="shared" ca="1" si="276"/>
        <v/>
      </c>
      <c r="S3075" s="61" t="str">
        <f t="shared" ca="1" si="277"/>
        <v/>
      </c>
      <c r="T3075" s="11" t="str">
        <f t="shared" ca="1" si="278"/>
        <v/>
      </c>
      <c r="U3075" s="11" t="str">
        <f t="shared" ca="1" si="279"/>
        <v/>
      </c>
      <c r="V3075" s="18" t="str">
        <f t="shared" ca="1" si="280"/>
        <v/>
      </c>
      <c r="W3075" s="61" t="str">
        <f t="shared" ca="1" si="281"/>
        <v/>
      </c>
      <c r="X3075" s="61">
        <f t="shared" ca="1" si="282"/>
        <v>0</v>
      </c>
      <c r="Y3075" s="64" t="str">
        <f t="shared" ca="1" si="283"/>
        <v/>
      </c>
    </row>
    <row r="3076" spans="1:25">
      <c r="A3076" s="2">
        <f>+Get_Data!A3075</f>
        <v>43907</v>
      </c>
      <c r="B3076">
        <f>+ROUND(Get_Data!B3075,5)</f>
        <v>125.83146000000001</v>
      </c>
      <c r="C3076">
        <f>+ROUND(Get_Data!C3075,5)</f>
        <v>46.379800000000003</v>
      </c>
      <c r="D3076" s="4">
        <f t="shared" si="290"/>
        <v>2.7130700000000001</v>
      </c>
      <c r="E3076" s="22">
        <f t="shared" ca="1" si="269"/>
        <v>2.7130700000000001</v>
      </c>
      <c r="F3076" s="23">
        <f t="shared" ca="1" si="270"/>
        <v>2.4268700000000001</v>
      </c>
      <c r="G3076" s="10">
        <f t="shared" ca="1" si="271"/>
        <v>1</v>
      </c>
      <c r="H3076" s="12">
        <f t="shared" ca="1" si="272"/>
        <v>0</v>
      </c>
      <c r="I3076" s="11">
        <f t="shared" ca="1" si="273"/>
        <v>1</v>
      </c>
      <c r="J3076" s="11">
        <f t="shared" ca="1" si="274"/>
        <v>0</v>
      </c>
      <c r="K3076" s="10">
        <f t="shared" ca="1" si="284"/>
        <v>-132.15654000000001</v>
      </c>
      <c r="L3076" s="11">
        <f t="shared" ca="1" si="285"/>
        <v>52.2913</v>
      </c>
      <c r="M3076" s="11">
        <f t="shared" ca="1" si="286"/>
        <v>2.5273099999999999</v>
      </c>
      <c r="N3076" s="15">
        <f t="shared" ca="1" si="287"/>
        <v>10</v>
      </c>
      <c r="O3076" s="15">
        <f t="shared" ca="1" si="288"/>
        <v>25</v>
      </c>
      <c r="P3076" s="16">
        <f t="shared" ca="1" si="289"/>
        <v>-14.282899999999927</v>
      </c>
      <c r="Q3076" s="11" t="str">
        <f t="shared" ca="1" si="275"/>
        <v/>
      </c>
      <c r="R3076" s="11" t="str">
        <f t="shared" ca="1" si="276"/>
        <v/>
      </c>
      <c r="S3076" s="61" t="str">
        <f t="shared" ca="1" si="277"/>
        <v/>
      </c>
      <c r="T3076" s="11" t="str">
        <f t="shared" ca="1" si="278"/>
        <v/>
      </c>
      <c r="U3076" s="11" t="str">
        <f t="shared" ca="1" si="279"/>
        <v/>
      </c>
      <c r="V3076" s="18" t="str">
        <f t="shared" ca="1" si="280"/>
        <v/>
      </c>
      <c r="W3076" s="61" t="str">
        <f t="shared" ca="1" si="281"/>
        <v/>
      </c>
      <c r="X3076" s="61">
        <f t="shared" ca="1" si="282"/>
        <v>0</v>
      </c>
      <c r="Y3076" s="64" t="str">
        <f t="shared" ca="1" si="283"/>
        <v/>
      </c>
    </row>
    <row r="3077" spans="1:25">
      <c r="A3077" s="2">
        <f>+Get_Data!A3076</f>
        <v>43908</v>
      </c>
      <c r="B3077">
        <f>+ROUND(Get_Data!B3076,5)</f>
        <v>119.13200000000001</v>
      </c>
      <c r="C3077">
        <f>+ROUND(Get_Data!C3076,5)</f>
        <v>44.089320000000001</v>
      </c>
      <c r="D3077" s="4">
        <f t="shared" si="290"/>
        <v>2.7020599999999999</v>
      </c>
      <c r="E3077" s="22">
        <f t="shared" ref="E3077:E3140" ca="1" si="291">+MAX(OFFSET(D3077,-$G$2+1,,$G$2))</f>
        <v>2.7130700000000001</v>
      </c>
      <c r="F3077" s="23">
        <f t="shared" ref="F3077:F3140" ca="1" si="292">+MIN(OFFSET(D3077,-$G$2+1,,$G$2))</f>
        <v>2.4268700000000001</v>
      </c>
      <c r="G3077" s="10">
        <f t="shared" ref="G3077:G3140" ca="1" si="293">+IF(E3077=D3077,1,0)</f>
        <v>0</v>
      </c>
      <c r="H3077" s="12">
        <f t="shared" ref="H3077:H3140" ca="1" si="294">+IF(F3077=D3077,1,0)</f>
        <v>0</v>
      </c>
      <c r="I3077" s="11">
        <f t="shared" ref="I3077:I3140" ca="1" si="295">+G3077-H3077</f>
        <v>0</v>
      </c>
      <c r="J3077" s="11">
        <f t="shared" ca="1" si="274"/>
        <v>0</v>
      </c>
      <c r="K3077" s="10" t="str">
        <f t="shared" ca="1" si="284"/>
        <v/>
      </c>
      <c r="L3077" s="11" t="str">
        <f t="shared" ca="1" si="285"/>
        <v/>
      </c>
      <c r="M3077" s="11" t="str">
        <f t="shared" ca="1" si="286"/>
        <v/>
      </c>
      <c r="N3077" s="15" t="str">
        <f t="shared" ca="1" si="287"/>
        <v/>
      </c>
      <c r="O3077" s="15" t="str">
        <f t="shared" ca="1" si="288"/>
        <v/>
      </c>
      <c r="P3077" s="16" t="str">
        <f t="shared" ca="1" si="289"/>
        <v/>
      </c>
      <c r="Q3077" s="11">
        <f t="shared" ca="1" si="275"/>
        <v>119.13200000000001</v>
      </c>
      <c r="R3077" s="11">
        <f t="shared" ca="1" si="276"/>
        <v>44.089320000000001</v>
      </c>
      <c r="S3077" s="61">
        <f t="shared" ca="1" si="277"/>
        <v>2.7020599999999999</v>
      </c>
      <c r="T3077" s="11">
        <f t="shared" ca="1" si="278"/>
        <v>10</v>
      </c>
      <c r="U3077" s="11">
        <f t="shared" ca="1" si="279"/>
        <v>25</v>
      </c>
      <c r="V3077" s="18">
        <f t="shared" ca="1" si="280"/>
        <v>-2512.8854000000001</v>
      </c>
      <c r="W3077" s="61">
        <f t="shared" ca="1" si="281"/>
        <v>2409.5155</v>
      </c>
      <c r="X3077" s="61">
        <f t="shared" ca="1" si="282"/>
        <v>-103.36990000000014</v>
      </c>
      <c r="Y3077" s="64">
        <f t="shared" ca="1" si="283"/>
        <v>-9.3782258379126876E-2</v>
      </c>
    </row>
    <row r="3078" spans="1:25">
      <c r="A3078" s="2">
        <f>+Get_Data!A3077</f>
        <v>43909</v>
      </c>
      <c r="B3078">
        <f>+ROUND(Get_Data!B3077,5)</f>
        <v>115.60493</v>
      </c>
      <c r="C3078">
        <f>+ROUND(Get_Data!C3077,5)</f>
        <v>41.120539999999998</v>
      </c>
      <c r="D3078" s="4">
        <f t="shared" si="290"/>
        <v>2.8113700000000001</v>
      </c>
      <c r="E3078" s="22">
        <f t="shared" ca="1" si="291"/>
        <v>2.8113700000000001</v>
      </c>
      <c r="F3078" s="23">
        <f t="shared" ca="1" si="292"/>
        <v>2.4268700000000001</v>
      </c>
      <c r="G3078" s="10">
        <f t="shared" ca="1" si="293"/>
        <v>1</v>
      </c>
      <c r="H3078" s="12">
        <f t="shared" ca="1" si="294"/>
        <v>0</v>
      </c>
      <c r="I3078" s="11">
        <f t="shared" ca="1" si="295"/>
        <v>1</v>
      </c>
      <c r="J3078" s="11">
        <f t="shared" ref="J3078:J3141" ca="1" si="296">+IF(AND(ABS(J3077)=2,ABS(I3078)=1),0,J3077+I3078)</f>
        <v>1</v>
      </c>
      <c r="K3078" s="10" t="str">
        <f t="shared" ca="1" si="284"/>
        <v/>
      </c>
      <c r="L3078" s="11" t="str">
        <f t="shared" ca="1" si="285"/>
        <v/>
      </c>
      <c r="M3078" s="11" t="str">
        <f t="shared" ca="1" si="286"/>
        <v/>
      </c>
      <c r="N3078" s="15" t="str">
        <f t="shared" ca="1" si="287"/>
        <v/>
      </c>
      <c r="O3078" s="15" t="str">
        <f t="shared" ca="1" si="288"/>
        <v/>
      </c>
      <c r="P3078" s="16" t="str">
        <f t="shared" ca="1" si="289"/>
        <v/>
      </c>
      <c r="Q3078" s="11" t="str">
        <f t="shared" ca="1" si="275"/>
        <v/>
      </c>
      <c r="R3078" s="11" t="str">
        <f t="shared" ca="1" si="276"/>
        <v/>
      </c>
      <c r="S3078" s="61" t="str">
        <f t="shared" ca="1" si="277"/>
        <v/>
      </c>
      <c r="T3078" s="11" t="str">
        <f t="shared" ca="1" si="278"/>
        <v/>
      </c>
      <c r="U3078" s="11" t="str">
        <f t="shared" ca="1" si="279"/>
        <v/>
      </c>
      <c r="V3078" s="18" t="str">
        <f t="shared" ca="1" si="280"/>
        <v/>
      </c>
      <c r="W3078" s="61" t="str">
        <f t="shared" ca="1" si="281"/>
        <v/>
      </c>
      <c r="X3078" s="61">
        <f t="shared" ca="1" si="282"/>
        <v>0</v>
      </c>
      <c r="Y3078" s="64" t="str">
        <f t="shared" ca="1" si="283"/>
        <v/>
      </c>
    </row>
    <row r="3079" spans="1:25">
      <c r="A3079" s="2">
        <f>+Get_Data!A3078</f>
        <v>43910</v>
      </c>
      <c r="B3079">
        <f>+ROUND(Get_Data!B3078,5)</f>
        <v>102.39323</v>
      </c>
      <c r="C3079">
        <f>+ROUND(Get_Data!C3078,5)</f>
        <v>37.650410000000001</v>
      </c>
      <c r="D3079" s="4">
        <f t="shared" si="290"/>
        <v>2.7195800000000001</v>
      </c>
      <c r="E3079" s="22">
        <f t="shared" ca="1" si="291"/>
        <v>2.8113700000000001</v>
      </c>
      <c r="F3079" s="23">
        <f t="shared" ca="1" si="292"/>
        <v>2.4268700000000001</v>
      </c>
      <c r="G3079" s="10">
        <f t="shared" ca="1" si="293"/>
        <v>0</v>
      </c>
      <c r="H3079" s="12">
        <f t="shared" ca="1" si="294"/>
        <v>0</v>
      </c>
      <c r="I3079" s="11">
        <f t="shared" ca="1" si="295"/>
        <v>0</v>
      </c>
      <c r="J3079" s="11">
        <f t="shared" ca="1" si="296"/>
        <v>1</v>
      </c>
      <c r="K3079" s="10">
        <f t="shared" ca="1" si="284"/>
        <v>-102.39323</v>
      </c>
      <c r="L3079" s="11">
        <f t="shared" ca="1" si="285"/>
        <v>37.650410000000001</v>
      </c>
      <c r="M3079" s="11">
        <f t="shared" ca="1" si="286"/>
        <v>2.7195800000000001</v>
      </c>
      <c r="N3079" s="15">
        <f t="shared" ca="1" si="287"/>
        <v>10</v>
      </c>
      <c r="O3079" s="15">
        <f t="shared" ca="1" si="288"/>
        <v>27</v>
      </c>
      <c r="P3079" s="16">
        <f t="shared" ca="1" si="289"/>
        <v>-7.3712300000000823</v>
      </c>
      <c r="Q3079" s="11" t="str">
        <f t="shared" ca="1" si="275"/>
        <v/>
      </c>
      <c r="R3079" s="11" t="str">
        <f t="shared" ca="1" si="276"/>
        <v/>
      </c>
      <c r="S3079" s="61" t="str">
        <f t="shared" ca="1" si="277"/>
        <v/>
      </c>
      <c r="T3079" s="11" t="str">
        <f t="shared" ca="1" si="278"/>
        <v/>
      </c>
      <c r="U3079" s="11" t="str">
        <f t="shared" ca="1" si="279"/>
        <v/>
      </c>
      <c r="V3079" s="18" t="str">
        <f t="shared" ca="1" si="280"/>
        <v/>
      </c>
      <c r="W3079" s="61" t="str">
        <f t="shared" ca="1" si="281"/>
        <v/>
      </c>
      <c r="X3079" s="61">
        <f t="shared" ca="1" si="282"/>
        <v>0</v>
      </c>
      <c r="Y3079" s="64" t="str">
        <f t="shared" ca="1" si="283"/>
        <v/>
      </c>
    </row>
    <row r="3080" spans="1:25">
      <c r="A3080" s="2">
        <f>+Get_Data!A3079</f>
        <v>43913</v>
      </c>
      <c r="B3080">
        <f>+ROUND(Get_Data!B3079,5)</f>
        <v>103.62475000000001</v>
      </c>
      <c r="C3080">
        <f>+ROUND(Get_Data!C3079,5)</f>
        <v>36.922960000000003</v>
      </c>
      <c r="D3080" s="4">
        <f t="shared" si="290"/>
        <v>2.8065099999999998</v>
      </c>
      <c r="E3080" s="22">
        <f t="shared" ca="1" si="291"/>
        <v>2.8113700000000001</v>
      </c>
      <c r="F3080" s="23">
        <f t="shared" ca="1" si="292"/>
        <v>2.4268700000000001</v>
      </c>
      <c r="G3080" s="10">
        <f t="shared" ca="1" si="293"/>
        <v>0</v>
      </c>
      <c r="H3080" s="12">
        <f t="shared" ca="1" si="294"/>
        <v>0</v>
      </c>
      <c r="I3080" s="11">
        <f t="shared" ca="1" si="295"/>
        <v>0</v>
      </c>
      <c r="J3080" s="11">
        <f t="shared" ca="1" si="296"/>
        <v>1</v>
      </c>
      <c r="K3080" s="10">
        <f t="shared" ca="1" si="284"/>
        <v>-102.39323</v>
      </c>
      <c r="L3080" s="11">
        <f t="shared" ca="1" si="285"/>
        <v>37.650410000000001</v>
      </c>
      <c r="M3080" s="11">
        <f t="shared" ca="1" si="286"/>
        <v>2.7195800000000001</v>
      </c>
      <c r="N3080" s="15">
        <f t="shared" ca="1" si="287"/>
        <v>10</v>
      </c>
      <c r="O3080" s="15">
        <f t="shared" ca="1" si="288"/>
        <v>27</v>
      </c>
      <c r="P3080" s="16">
        <f t="shared" ca="1" si="289"/>
        <v>-7.3712300000000823</v>
      </c>
      <c r="Q3080" s="11" t="str">
        <f t="shared" ca="1" si="275"/>
        <v/>
      </c>
      <c r="R3080" s="11" t="str">
        <f t="shared" ca="1" si="276"/>
        <v/>
      </c>
      <c r="S3080" s="61" t="str">
        <f t="shared" ca="1" si="277"/>
        <v/>
      </c>
      <c r="T3080" s="11" t="str">
        <f t="shared" ca="1" si="278"/>
        <v/>
      </c>
      <c r="U3080" s="11" t="str">
        <f t="shared" ca="1" si="279"/>
        <v/>
      </c>
      <c r="V3080" s="18" t="str">
        <f t="shared" ca="1" si="280"/>
        <v/>
      </c>
      <c r="W3080" s="61" t="str">
        <f t="shared" ca="1" si="281"/>
        <v/>
      </c>
      <c r="X3080" s="61">
        <f t="shared" ca="1" si="282"/>
        <v>0</v>
      </c>
      <c r="Y3080" s="64" t="str">
        <f t="shared" ca="1" si="283"/>
        <v/>
      </c>
    </row>
    <row r="3081" spans="1:25">
      <c r="A3081" s="2">
        <f>+Get_Data!A3080</f>
        <v>43914</v>
      </c>
      <c r="B3081">
        <f>+ROUND(Get_Data!B3080,5)</f>
        <v>112.1567</v>
      </c>
      <c r="C3081">
        <f>+ROUND(Get_Data!C3080,5)</f>
        <v>38.780909999999999</v>
      </c>
      <c r="D3081" s="4">
        <f t="shared" si="290"/>
        <v>2.8920599999999999</v>
      </c>
      <c r="E3081" s="22">
        <f t="shared" ca="1" si="291"/>
        <v>2.8920599999999999</v>
      </c>
      <c r="F3081" s="23">
        <f t="shared" ca="1" si="292"/>
        <v>2.4268700000000001</v>
      </c>
      <c r="G3081" s="10">
        <f t="shared" ca="1" si="293"/>
        <v>1</v>
      </c>
      <c r="H3081" s="12">
        <f t="shared" ca="1" si="294"/>
        <v>0</v>
      </c>
      <c r="I3081" s="11">
        <f t="shared" ca="1" si="295"/>
        <v>1</v>
      </c>
      <c r="J3081" s="11">
        <f t="shared" ca="1" si="296"/>
        <v>2</v>
      </c>
      <c r="K3081" s="10">
        <f t="shared" ca="1" si="284"/>
        <v>-102.39323</v>
      </c>
      <c r="L3081" s="11">
        <f t="shared" ca="1" si="285"/>
        <v>37.650410000000001</v>
      </c>
      <c r="M3081" s="11">
        <f t="shared" ca="1" si="286"/>
        <v>2.7195800000000001</v>
      </c>
      <c r="N3081" s="15">
        <f t="shared" ca="1" si="287"/>
        <v>10</v>
      </c>
      <c r="O3081" s="15">
        <f t="shared" ca="1" si="288"/>
        <v>27</v>
      </c>
      <c r="P3081" s="16">
        <f t="shared" ca="1" si="289"/>
        <v>-7.3712300000000823</v>
      </c>
      <c r="Q3081" s="11" t="str">
        <f t="shared" ca="1" si="275"/>
        <v/>
      </c>
      <c r="R3081" s="11" t="str">
        <f t="shared" ca="1" si="276"/>
        <v/>
      </c>
      <c r="S3081" s="61" t="str">
        <f t="shared" ca="1" si="277"/>
        <v/>
      </c>
      <c r="T3081" s="11" t="str">
        <f t="shared" ca="1" si="278"/>
        <v/>
      </c>
      <c r="U3081" s="11" t="str">
        <f t="shared" ca="1" si="279"/>
        <v/>
      </c>
      <c r="V3081" s="18" t="str">
        <f t="shared" ca="1" si="280"/>
        <v/>
      </c>
      <c r="W3081" s="61" t="str">
        <f t="shared" ca="1" si="281"/>
        <v/>
      </c>
      <c r="X3081" s="61">
        <f t="shared" ca="1" si="282"/>
        <v>0</v>
      </c>
      <c r="Y3081" s="64" t="str">
        <f t="shared" ca="1" si="283"/>
        <v/>
      </c>
    </row>
    <row r="3082" spans="1:25">
      <c r="A3082" s="2">
        <f>+Get_Data!A3081</f>
        <v>43915</v>
      </c>
      <c r="B3082">
        <f>+ROUND(Get_Data!B3081,5)</f>
        <v>110.83651</v>
      </c>
      <c r="C3082">
        <f>+ROUND(Get_Data!C3081,5)</f>
        <v>40.904269999999997</v>
      </c>
      <c r="D3082" s="4">
        <f t="shared" si="290"/>
        <v>2.70966</v>
      </c>
      <c r="E3082" s="22">
        <f t="shared" ca="1" si="291"/>
        <v>2.8920599999999999</v>
      </c>
      <c r="F3082" s="23">
        <f t="shared" ca="1" si="292"/>
        <v>2.4268700000000001</v>
      </c>
      <c r="G3082" s="10">
        <f t="shared" ca="1" si="293"/>
        <v>0</v>
      </c>
      <c r="H3082" s="12">
        <f t="shared" ca="1" si="294"/>
        <v>0</v>
      </c>
      <c r="I3082" s="11">
        <f t="shared" ca="1" si="295"/>
        <v>0</v>
      </c>
      <c r="J3082" s="11">
        <f t="shared" ca="1" si="296"/>
        <v>2</v>
      </c>
      <c r="K3082" s="10">
        <f t="shared" ca="1" si="284"/>
        <v>-102.39323</v>
      </c>
      <c r="L3082" s="11">
        <f t="shared" ca="1" si="285"/>
        <v>37.650410000000001</v>
      </c>
      <c r="M3082" s="11">
        <f t="shared" ca="1" si="286"/>
        <v>2.7195800000000001</v>
      </c>
      <c r="N3082" s="15">
        <f t="shared" ca="1" si="287"/>
        <v>10</v>
      </c>
      <c r="O3082" s="15">
        <f t="shared" ca="1" si="288"/>
        <v>27</v>
      </c>
      <c r="P3082" s="16">
        <f t="shared" ca="1" si="289"/>
        <v>-7.3712300000000823</v>
      </c>
      <c r="Q3082" s="11" t="str">
        <f t="shared" ca="1" si="275"/>
        <v/>
      </c>
      <c r="R3082" s="11" t="str">
        <f t="shared" ca="1" si="276"/>
        <v/>
      </c>
      <c r="S3082" s="61" t="str">
        <f t="shared" ca="1" si="277"/>
        <v/>
      </c>
      <c r="T3082" s="11" t="str">
        <f t="shared" ca="1" si="278"/>
        <v/>
      </c>
      <c r="U3082" s="11" t="str">
        <f t="shared" ca="1" si="279"/>
        <v/>
      </c>
      <c r="V3082" s="18" t="str">
        <f t="shared" ca="1" si="280"/>
        <v/>
      </c>
      <c r="W3082" s="61" t="str">
        <f t="shared" ca="1" si="281"/>
        <v/>
      </c>
      <c r="X3082" s="61">
        <f t="shared" ca="1" si="282"/>
        <v>0</v>
      </c>
      <c r="Y3082" s="64" t="str">
        <f t="shared" ca="1" si="283"/>
        <v/>
      </c>
    </row>
    <row r="3083" spans="1:25">
      <c r="A3083" s="2">
        <f>+Get_Data!A3082</f>
        <v>43916</v>
      </c>
      <c r="B3083">
        <f>+ROUND(Get_Data!B3082,5)</f>
        <v>118.48177</v>
      </c>
      <c r="C3083">
        <f>+ROUND(Get_Data!C3082,5)</f>
        <v>43.538820000000001</v>
      </c>
      <c r="D3083" s="4">
        <f t="shared" si="290"/>
        <v>2.7212900000000002</v>
      </c>
      <c r="E3083" s="22">
        <f t="shared" ca="1" si="291"/>
        <v>2.8920599999999999</v>
      </c>
      <c r="F3083" s="23">
        <f t="shared" ca="1" si="292"/>
        <v>2.4268700000000001</v>
      </c>
      <c r="G3083" s="10">
        <f t="shared" ca="1" si="293"/>
        <v>0</v>
      </c>
      <c r="H3083" s="12">
        <f t="shared" ca="1" si="294"/>
        <v>0</v>
      </c>
      <c r="I3083" s="11">
        <f t="shared" ca="1" si="295"/>
        <v>0</v>
      </c>
      <c r="J3083" s="11">
        <f t="shared" ca="1" si="296"/>
        <v>2</v>
      </c>
      <c r="K3083" s="10">
        <f t="shared" ca="1" si="284"/>
        <v>-102.39323</v>
      </c>
      <c r="L3083" s="11">
        <f t="shared" ca="1" si="285"/>
        <v>37.650410000000001</v>
      </c>
      <c r="M3083" s="11">
        <f t="shared" ca="1" si="286"/>
        <v>2.7195800000000001</v>
      </c>
      <c r="N3083" s="15">
        <f t="shared" ca="1" si="287"/>
        <v>10</v>
      </c>
      <c r="O3083" s="15">
        <f t="shared" ca="1" si="288"/>
        <v>27</v>
      </c>
      <c r="P3083" s="16">
        <f t="shared" ca="1" si="289"/>
        <v>-7.3712300000000823</v>
      </c>
      <c r="Q3083" s="11" t="str">
        <f t="shared" ca="1" si="275"/>
        <v/>
      </c>
      <c r="R3083" s="11" t="str">
        <f t="shared" ca="1" si="276"/>
        <v/>
      </c>
      <c r="S3083" s="61" t="str">
        <f t="shared" ca="1" si="277"/>
        <v/>
      </c>
      <c r="T3083" s="11" t="str">
        <f t="shared" ca="1" si="278"/>
        <v/>
      </c>
      <c r="U3083" s="11" t="str">
        <f t="shared" ca="1" si="279"/>
        <v/>
      </c>
      <c r="V3083" s="18" t="str">
        <f t="shared" ca="1" si="280"/>
        <v/>
      </c>
      <c r="W3083" s="61" t="str">
        <f t="shared" ca="1" si="281"/>
        <v/>
      </c>
      <c r="X3083" s="61">
        <f t="shared" ca="1" si="282"/>
        <v>0</v>
      </c>
      <c r="Y3083" s="64" t="str">
        <f t="shared" ca="1" si="283"/>
        <v/>
      </c>
    </row>
    <row r="3084" spans="1:25">
      <c r="A3084" s="2">
        <f>+Get_Data!A3083</f>
        <v>43917</v>
      </c>
      <c r="B3084">
        <f>+ROUND(Get_Data!B3083,5)</f>
        <v>118.67881</v>
      </c>
      <c r="C3084">
        <f>+ROUND(Get_Data!C3083,5)</f>
        <v>42.083919999999999</v>
      </c>
      <c r="D3084" s="4">
        <f t="shared" si="290"/>
        <v>2.8200500000000002</v>
      </c>
      <c r="E3084" s="22">
        <f t="shared" ca="1" si="291"/>
        <v>2.8920599999999999</v>
      </c>
      <c r="F3084" s="23">
        <f t="shared" ca="1" si="292"/>
        <v>2.4268700000000001</v>
      </c>
      <c r="G3084" s="10">
        <f t="shared" ca="1" si="293"/>
        <v>0</v>
      </c>
      <c r="H3084" s="12">
        <f t="shared" ca="1" si="294"/>
        <v>0</v>
      </c>
      <c r="I3084" s="11">
        <f t="shared" ca="1" si="295"/>
        <v>0</v>
      </c>
      <c r="J3084" s="11">
        <f t="shared" ca="1" si="296"/>
        <v>2</v>
      </c>
      <c r="K3084" s="10">
        <f t="shared" ca="1" si="284"/>
        <v>-102.39323</v>
      </c>
      <c r="L3084" s="11">
        <f t="shared" ca="1" si="285"/>
        <v>37.650410000000001</v>
      </c>
      <c r="M3084" s="11">
        <f t="shared" ca="1" si="286"/>
        <v>2.7195800000000001</v>
      </c>
      <c r="N3084" s="15">
        <f t="shared" ca="1" si="287"/>
        <v>10</v>
      </c>
      <c r="O3084" s="15">
        <f t="shared" ca="1" si="288"/>
        <v>27</v>
      </c>
      <c r="P3084" s="16">
        <f t="shared" ca="1" si="289"/>
        <v>-7.3712300000000823</v>
      </c>
      <c r="Q3084" s="11" t="str">
        <f t="shared" ca="1" si="275"/>
        <v/>
      </c>
      <c r="R3084" s="11" t="str">
        <f t="shared" ca="1" si="276"/>
        <v/>
      </c>
      <c r="S3084" s="61" t="str">
        <f t="shared" ca="1" si="277"/>
        <v/>
      </c>
      <c r="T3084" s="11" t="str">
        <f t="shared" ca="1" si="278"/>
        <v/>
      </c>
      <c r="U3084" s="11" t="str">
        <f t="shared" ca="1" si="279"/>
        <v/>
      </c>
      <c r="V3084" s="18" t="str">
        <f t="shared" ca="1" si="280"/>
        <v/>
      </c>
      <c r="W3084" s="61" t="str">
        <f t="shared" ca="1" si="281"/>
        <v/>
      </c>
      <c r="X3084" s="61">
        <f t="shared" ca="1" si="282"/>
        <v>0</v>
      </c>
      <c r="Y3084" s="64" t="str">
        <f t="shared" ca="1" si="283"/>
        <v/>
      </c>
    </row>
    <row r="3085" spans="1:25">
      <c r="A3085" s="2">
        <f>+Get_Data!A3084</f>
        <v>43920</v>
      </c>
      <c r="B3085">
        <f>+ROUND(Get_Data!B3084,5)</f>
        <v>123.62457999999999</v>
      </c>
      <c r="C3085">
        <f>+ROUND(Get_Data!C3084,5)</f>
        <v>44.23677</v>
      </c>
      <c r="D3085" s="4">
        <f t="shared" si="290"/>
        <v>2.79461</v>
      </c>
      <c r="E3085" s="22">
        <f t="shared" ca="1" si="291"/>
        <v>2.8920599999999999</v>
      </c>
      <c r="F3085" s="23">
        <f t="shared" ca="1" si="292"/>
        <v>2.4268700000000001</v>
      </c>
      <c r="G3085" s="10">
        <f t="shared" ca="1" si="293"/>
        <v>0</v>
      </c>
      <c r="H3085" s="12">
        <f t="shared" ca="1" si="294"/>
        <v>0</v>
      </c>
      <c r="I3085" s="11">
        <f t="shared" ca="1" si="295"/>
        <v>0</v>
      </c>
      <c r="J3085" s="11">
        <f t="shared" ca="1" si="296"/>
        <v>2</v>
      </c>
      <c r="K3085" s="10">
        <f t="shared" ca="1" si="284"/>
        <v>-102.39323</v>
      </c>
      <c r="L3085" s="11">
        <f t="shared" ca="1" si="285"/>
        <v>37.650410000000001</v>
      </c>
      <c r="M3085" s="11">
        <f t="shared" ca="1" si="286"/>
        <v>2.7195800000000001</v>
      </c>
      <c r="N3085" s="15">
        <f t="shared" ca="1" si="287"/>
        <v>10</v>
      </c>
      <c r="O3085" s="15">
        <f t="shared" ca="1" si="288"/>
        <v>27</v>
      </c>
      <c r="P3085" s="16">
        <f t="shared" ca="1" si="289"/>
        <v>-7.3712300000000823</v>
      </c>
      <c r="Q3085" s="11" t="str">
        <f t="shared" ca="1" si="275"/>
        <v/>
      </c>
      <c r="R3085" s="11" t="str">
        <f t="shared" ca="1" si="276"/>
        <v/>
      </c>
      <c r="S3085" s="61" t="str">
        <f t="shared" ca="1" si="277"/>
        <v/>
      </c>
      <c r="T3085" s="11" t="str">
        <f t="shared" ca="1" si="278"/>
        <v/>
      </c>
      <c r="U3085" s="11" t="str">
        <f t="shared" ca="1" si="279"/>
        <v/>
      </c>
      <c r="V3085" s="18" t="str">
        <f t="shared" ca="1" si="280"/>
        <v/>
      </c>
      <c r="W3085" s="61" t="str">
        <f t="shared" ca="1" si="281"/>
        <v/>
      </c>
      <c r="X3085" s="61">
        <f t="shared" ca="1" si="282"/>
        <v>0</v>
      </c>
      <c r="Y3085" s="64" t="str">
        <f t="shared" ca="1" si="283"/>
        <v/>
      </c>
    </row>
    <row r="3086" spans="1:25">
      <c r="A3086" s="2">
        <f>+Get_Data!A3085</f>
        <v>43921</v>
      </c>
      <c r="B3086">
        <f>+ROUND(Get_Data!B3085,5)</f>
        <v>118.32413</v>
      </c>
      <c r="C3086">
        <f>+ROUND(Get_Data!C3085,5)</f>
        <v>43.499490000000002</v>
      </c>
      <c r="D3086" s="4">
        <f t="shared" si="290"/>
        <v>2.7201300000000002</v>
      </c>
      <c r="E3086" s="22">
        <f t="shared" ca="1" si="291"/>
        <v>2.8920599999999999</v>
      </c>
      <c r="F3086" s="23">
        <f t="shared" ca="1" si="292"/>
        <v>2.4268700000000001</v>
      </c>
      <c r="G3086" s="10">
        <f t="shared" ca="1" si="293"/>
        <v>0</v>
      </c>
      <c r="H3086" s="12">
        <f t="shared" ca="1" si="294"/>
        <v>0</v>
      </c>
      <c r="I3086" s="11">
        <f t="shared" ca="1" si="295"/>
        <v>0</v>
      </c>
      <c r="J3086" s="11">
        <f t="shared" ca="1" si="296"/>
        <v>2</v>
      </c>
      <c r="K3086" s="10">
        <f t="shared" ca="1" si="284"/>
        <v>-102.39323</v>
      </c>
      <c r="L3086" s="11">
        <f t="shared" ca="1" si="285"/>
        <v>37.650410000000001</v>
      </c>
      <c r="M3086" s="11">
        <f t="shared" ca="1" si="286"/>
        <v>2.7195800000000001</v>
      </c>
      <c r="N3086" s="15">
        <f t="shared" ca="1" si="287"/>
        <v>10</v>
      </c>
      <c r="O3086" s="15">
        <f t="shared" ca="1" si="288"/>
        <v>27</v>
      </c>
      <c r="P3086" s="16">
        <f t="shared" ca="1" si="289"/>
        <v>-7.3712300000000823</v>
      </c>
      <c r="Q3086" s="11" t="str">
        <f t="shared" ca="1" si="275"/>
        <v/>
      </c>
      <c r="R3086" s="11" t="str">
        <f t="shared" ca="1" si="276"/>
        <v/>
      </c>
      <c r="S3086" s="61" t="str">
        <f t="shared" ca="1" si="277"/>
        <v/>
      </c>
      <c r="T3086" s="11" t="str">
        <f t="shared" ca="1" si="278"/>
        <v/>
      </c>
      <c r="U3086" s="11" t="str">
        <f t="shared" ca="1" si="279"/>
        <v/>
      </c>
      <c r="V3086" s="18" t="str">
        <f t="shared" ca="1" si="280"/>
        <v/>
      </c>
      <c r="W3086" s="61" t="str">
        <f t="shared" ca="1" si="281"/>
        <v/>
      </c>
      <c r="X3086" s="61">
        <f t="shared" ca="1" si="282"/>
        <v>0</v>
      </c>
      <c r="Y3086" s="64" t="str">
        <f t="shared" ca="1" si="283"/>
        <v/>
      </c>
    </row>
    <row r="3087" spans="1:25">
      <c r="A3087" s="2">
        <f>+Get_Data!A3086</f>
        <v>43922</v>
      </c>
      <c r="B3087">
        <f>+ROUND(Get_Data!B3086,5)</f>
        <v>116.37341000000001</v>
      </c>
      <c r="C3087">
        <f>+ROUND(Get_Data!C3086,5)</f>
        <v>41.405619999999999</v>
      </c>
      <c r="D3087" s="4">
        <f t="shared" si="290"/>
        <v>2.8105699999999998</v>
      </c>
      <c r="E3087" s="22">
        <f t="shared" ca="1" si="291"/>
        <v>2.8920599999999999</v>
      </c>
      <c r="F3087" s="23">
        <f t="shared" ca="1" si="292"/>
        <v>2.4268700000000001</v>
      </c>
      <c r="G3087" s="10">
        <f t="shared" ca="1" si="293"/>
        <v>0</v>
      </c>
      <c r="H3087" s="12">
        <f t="shared" ca="1" si="294"/>
        <v>0</v>
      </c>
      <c r="I3087" s="11">
        <f t="shared" ca="1" si="295"/>
        <v>0</v>
      </c>
      <c r="J3087" s="11">
        <f t="shared" ca="1" si="296"/>
        <v>2</v>
      </c>
      <c r="K3087" s="10">
        <f t="shared" ca="1" si="284"/>
        <v>-102.39323</v>
      </c>
      <c r="L3087" s="11">
        <f t="shared" ca="1" si="285"/>
        <v>37.650410000000001</v>
      </c>
      <c r="M3087" s="11">
        <f t="shared" ca="1" si="286"/>
        <v>2.7195800000000001</v>
      </c>
      <c r="N3087" s="15">
        <f t="shared" ca="1" si="287"/>
        <v>10</v>
      </c>
      <c r="O3087" s="15">
        <f t="shared" ca="1" si="288"/>
        <v>27</v>
      </c>
      <c r="P3087" s="16">
        <f t="shared" ca="1" si="289"/>
        <v>-7.3712300000000823</v>
      </c>
      <c r="Q3087" s="11" t="str">
        <f t="shared" ca="1" si="275"/>
        <v/>
      </c>
      <c r="R3087" s="11" t="str">
        <f t="shared" ca="1" si="276"/>
        <v/>
      </c>
      <c r="S3087" s="61" t="str">
        <f t="shared" ca="1" si="277"/>
        <v/>
      </c>
      <c r="T3087" s="11" t="str">
        <f t="shared" ca="1" si="278"/>
        <v/>
      </c>
      <c r="U3087" s="11" t="str">
        <f t="shared" ca="1" si="279"/>
        <v/>
      </c>
      <c r="V3087" s="18" t="str">
        <f t="shared" ca="1" si="280"/>
        <v/>
      </c>
      <c r="W3087" s="61" t="str">
        <f t="shared" ca="1" si="281"/>
        <v/>
      </c>
      <c r="X3087" s="61">
        <f t="shared" ca="1" si="282"/>
        <v>0</v>
      </c>
      <c r="Y3087" s="64" t="str">
        <f t="shared" ca="1" si="283"/>
        <v/>
      </c>
    </row>
    <row r="3088" spans="1:25">
      <c r="A3088" s="2">
        <f>+Get_Data!A3087</f>
        <v>43923</v>
      </c>
      <c r="B3088">
        <f>+ROUND(Get_Data!B3087,5)</f>
        <v>122.02853</v>
      </c>
      <c r="C3088">
        <f>+ROUND(Get_Data!C3087,5)</f>
        <v>43.20458</v>
      </c>
      <c r="D3088" s="4">
        <f t="shared" si="290"/>
        <v>2.8244400000000001</v>
      </c>
      <c r="E3088" s="22">
        <f t="shared" ca="1" si="291"/>
        <v>2.8920599999999999</v>
      </c>
      <c r="F3088" s="23">
        <f t="shared" ca="1" si="292"/>
        <v>2.4268700000000001</v>
      </c>
      <c r="G3088" s="10">
        <f t="shared" ca="1" si="293"/>
        <v>0</v>
      </c>
      <c r="H3088" s="12">
        <f t="shared" ca="1" si="294"/>
        <v>0</v>
      </c>
      <c r="I3088" s="11">
        <f t="shared" ca="1" si="295"/>
        <v>0</v>
      </c>
      <c r="J3088" s="11">
        <f t="shared" ca="1" si="296"/>
        <v>2</v>
      </c>
      <c r="K3088" s="10">
        <f t="shared" ca="1" si="284"/>
        <v>-102.39323</v>
      </c>
      <c r="L3088" s="11">
        <f t="shared" ca="1" si="285"/>
        <v>37.650410000000001</v>
      </c>
      <c r="M3088" s="11">
        <f t="shared" ca="1" si="286"/>
        <v>2.7195800000000001</v>
      </c>
      <c r="N3088" s="15">
        <f t="shared" ca="1" si="287"/>
        <v>10</v>
      </c>
      <c r="O3088" s="15">
        <f t="shared" ca="1" si="288"/>
        <v>27</v>
      </c>
      <c r="P3088" s="16">
        <f t="shared" ca="1" si="289"/>
        <v>-7.3712300000000823</v>
      </c>
      <c r="Q3088" s="11" t="str">
        <f t="shared" ca="1" si="275"/>
        <v/>
      </c>
      <c r="R3088" s="11" t="str">
        <f t="shared" ca="1" si="276"/>
        <v/>
      </c>
      <c r="S3088" s="61" t="str">
        <f t="shared" ca="1" si="277"/>
        <v/>
      </c>
      <c r="T3088" s="11" t="str">
        <f t="shared" ca="1" si="278"/>
        <v/>
      </c>
      <c r="U3088" s="11" t="str">
        <f t="shared" ca="1" si="279"/>
        <v/>
      </c>
      <c r="V3088" s="18" t="str">
        <f t="shared" ca="1" si="280"/>
        <v/>
      </c>
      <c r="W3088" s="61" t="str">
        <f t="shared" ca="1" si="281"/>
        <v/>
      </c>
      <c r="X3088" s="61">
        <f t="shared" ca="1" si="282"/>
        <v>0</v>
      </c>
      <c r="Y3088" s="64" t="str">
        <f t="shared" ca="1" si="283"/>
        <v/>
      </c>
    </row>
    <row r="3089" spans="1:25">
      <c r="A3089" s="2">
        <f>+Get_Data!A3088</f>
        <v>43924</v>
      </c>
      <c r="B3089">
        <f>+ROUND(Get_Data!B3088,5)</f>
        <v>122.74773999999999</v>
      </c>
      <c r="C3089">
        <f>+ROUND(Get_Data!C3088,5)</f>
        <v>43.086620000000003</v>
      </c>
      <c r="D3089" s="4">
        <f t="shared" si="290"/>
        <v>2.8488600000000002</v>
      </c>
      <c r="E3089" s="22">
        <f t="shared" ca="1" si="291"/>
        <v>2.8920599999999999</v>
      </c>
      <c r="F3089" s="23">
        <f t="shared" ca="1" si="292"/>
        <v>2.4268700000000001</v>
      </c>
      <c r="G3089" s="10">
        <f t="shared" ca="1" si="293"/>
        <v>0</v>
      </c>
      <c r="H3089" s="12">
        <f t="shared" ca="1" si="294"/>
        <v>0</v>
      </c>
      <c r="I3089" s="11">
        <f t="shared" ca="1" si="295"/>
        <v>0</v>
      </c>
      <c r="J3089" s="11">
        <f t="shared" ca="1" si="296"/>
        <v>2</v>
      </c>
      <c r="K3089" s="10">
        <f t="shared" ca="1" si="284"/>
        <v>-102.39323</v>
      </c>
      <c r="L3089" s="11">
        <f t="shared" ca="1" si="285"/>
        <v>37.650410000000001</v>
      </c>
      <c r="M3089" s="11">
        <f t="shared" ca="1" si="286"/>
        <v>2.7195800000000001</v>
      </c>
      <c r="N3089" s="15">
        <f t="shared" ca="1" si="287"/>
        <v>10</v>
      </c>
      <c r="O3089" s="15">
        <f t="shared" ca="1" si="288"/>
        <v>27</v>
      </c>
      <c r="P3089" s="16">
        <f t="shared" ca="1" si="289"/>
        <v>-7.3712300000000823</v>
      </c>
      <c r="Q3089" s="11" t="str">
        <f t="shared" ca="1" si="275"/>
        <v/>
      </c>
      <c r="R3089" s="11" t="str">
        <f t="shared" ca="1" si="276"/>
        <v/>
      </c>
      <c r="S3089" s="61" t="str">
        <f t="shared" ca="1" si="277"/>
        <v/>
      </c>
      <c r="T3089" s="11" t="str">
        <f t="shared" ca="1" si="278"/>
        <v/>
      </c>
      <c r="U3089" s="11" t="str">
        <f t="shared" ca="1" si="279"/>
        <v/>
      </c>
      <c r="V3089" s="18" t="str">
        <f t="shared" ca="1" si="280"/>
        <v/>
      </c>
      <c r="W3089" s="61" t="str">
        <f t="shared" ca="1" si="281"/>
        <v/>
      </c>
      <c r="X3089" s="61">
        <f t="shared" ca="1" si="282"/>
        <v>0</v>
      </c>
      <c r="Y3089" s="64" t="str">
        <f t="shared" ca="1" si="283"/>
        <v/>
      </c>
    </row>
    <row r="3090" spans="1:25">
      <c r="A3090" s="2">
        <f>+Get_Data!A3089</f>
        <v>43927</v>
      </c>
      <c r="B3090">
        <f>+ROUND(Get_Data!B3089,5)</f>
        <v>129.22059999999999</v>
      </c>
      <c r="C3090">
        <f>+ROUND(Get_Data!C3089,5)</f>
        <v>45.878450000000001</v>
      </c>
      <c r="D3090" s="4">
        <f t="shared" si="290"/>
        <v>2.8165900000000001</v>
      </c>
      <c r="E3090" s="22">
        <f t="shared" ca="1" si="291"/>
        <v>2.8920599999999999</v>
      </c>
      <c r="F3090" s="23">
        <f t="shared" ca="1" si="292"/>
        <v>2.4268700000000001</v>
      </c>
      <c r="G3090" s="10">
        <f t="shared" ca="1" si="293"/>
        <v>0</v>
      </c>
      <c r="H3090" s="12">
        <f t="shared" ca="1" si="294"/>
        <v>0</v>
      </c>
      <c r="I3090" s="11">
        <f t="shared" ca="1" si="295"/>
        <v>0</v>
      </c>
      <c r="J3090" s="11">
        <f t="shared" ca="1" si="296"/>
        <v>2</v>
      </c>
      <c r="K3090" s="10">
        <f t="shared" ca="1" si="284"/>
        <v>-102.39323</v>
      </c>
      <c r="L3090" s="11">
        <f t="shared" ca="1" si="285"/>
        <v>37.650410000000001</v>
      </c>
      <c r="M3090" s="11">
        <f t="shared" ca="1" si="286"/>
        <v>2.7195800000000001</v>
      </c>
      <c r="N3090" s="15">
        <f t="shared" ca="1" si="287"/>
        <v>10</v>
      </c>
      <c r="O3090" s="15">
        <f t="shared" ca="1" si="288"/>
        <v>27</v>
      </c>
      <c r="P3090" s="16">
        <f t="shared" ca="1" si="289"/>
        <v>-7.3712300000000823</v>
      </c>
      <c r="Q3090" s="11" t="str">
        <f t="shared" ca="1" si="275"/>
        <v/>
      </c>
      <c r="R3090" s="11" t="str">
        <f t="shared" ca="1" si="276"/>
        <v/>
      </c>
      <c r="S3090" s="61" t="str">
        <f t="shared" ca="1" si="277"/>
        <v/>
      </c>
      <c r="T3090" s="11" t="str">
        <f t="shared" ca="1" si="278"/>
        <v/>
      </c>
      <c r="U3090" s="11" t="str">
        <f t="shared" ca="1" si="279"/>
        <v/>
      </c>
      <c r="V3090" s="18" t="str">
        <f t="shared" ca="1" si="280"/>
        <v/>
      </c>
      <c r="W3090" s="61" t="str">
        <f t="shared" ca="1" si="281"/>
        <v/>
      </c>
      <c r="X3090" s="61">
        <f t="shared" ca="1" si="282"/>
        <v>0</v>
      </c>
      <c r="Y3090" s="64" t="str">
        <f t="shared" ca="1" si="283"/>
        <v/>
      </c>
    </row>
    <row r="3091" spans="1:25">
      <c r="A3091" s="2">
        <f>+Get_Data!A3090</f>
        <v>43928</v>
      </c>
      <c r="B3091">
        <f>+ROUND(Get_Data!B3090,5)</f>
        <v>128.55063999999999</v>
      </c>
      <c r="C3091">
        <f>+ROUND(Get_Data!C3090,5)</f>
        <v>45.721159999999998</v>
      </c>
      <c r="D3091" s="4">
        <f t="shared" si="290"/>
        <v>2.81162</v>
      </c>
      <c r="E3091" s="22">
        <f t="shared" ca="1" si="291"/>
        <v>2.8920599999999999</v>
      </c>
      <c r="F3091" s="23">
        <f t="shared" ca="1" si="292"/>
        <v>2.4268700000000001</v>
      </c>
      <c r="G3091" s="10">
        <f t="shared" ca="1" si="293"/>
        <v>0</v>
      </c>
      <c r="H3091" s="12">
        <f t="shared" ca="1" si="294"/>
        <v>0</v>
      </c>
      <c r="I3091" s="11">
        <f t="shared" ca="1" si="295"/>
        <v>0</v>
      </c>
      <c r="J3091" s="11">
        <f t="shared" ca="1" si="296"/>
        <v>2</v>
      </c>
      <c r="K3091" s="10">
        <f t="shared" ca="1" si="284"/>
        <v>-102.39323</v>
      </c>
      <c r="L3091" s="11">
        <f t="shared" ca="1" si="285"/>
        <v>37.650410000000001</v>
      </c>
      <c r="M3091" s="11">
        <f t="shared" ca="1" si="286"/>
        <v>2.7195800000000001</v>
      </c>
      <c r="N3091" s="15">
        <f t="shared" ca="1" si="287"/>
        <v>10</v>
      </c>
      <c r="O3091" s="15">
        <f t="shared" ca="1" si="288"/>
        <v>27</v>
      </c>
      <c r="P3091" s="16">
        <f t="shared" ca="1" si="289"/>
        <v>-7.3712300000000823</v>
      </c>
      <c r="Q3091" s="11" t="str">
        <f t="shared" ref="Q3091:Q3154" ca="1" si="297">+IF(ISNUMBER(T3091),B3091,"")</f>
        <v/>
      </c>
      <c r="R3091" s="11" t="str">
        <f t="shared" ref="R3091:R3154" ca="1" si="298">+IF(ISNUMBER(U3091),C3091,"")</f>
        <v/>
      </c>
      <c r="S3091" s="61" t="str">
        <f t="shared" ref="S3091:S3154" ca="1" si="299">+IF(ISNUMBER(T3091),D3091,"")</f>
        <v/>
      </c>
      <c r="T3091" s="11" t="str">
        <f t="shared" ref="T3091:T3154" ca="1" si="300">+IF(AND(ISNUMBER(N3090),NOT(ISNUMBER(N3091))),N3090,"")</f>
        <v/>
      </c>
      <c r="U3091" s="11" t="str">
        <f t="shared" ref="U3091:U3154" ca="1" si="301">+IF(AND(ISNUMBER(O3090),NOT(ISNUMBER(O3091))),O3090,"")</f>
        <v/>
      </c>
      <c r="V3091" s="18" t="str">
        <f t="shared" ref="V3091:V3154" ca="1" si="302">+IFERROR(T3091*(K3090-Q3091),"")</f>
        <v/>
      </c>
      <c r="W3091" s="61" t="str">
        <f t="shared" ref="W3091:W3154" ca="1" si="303">+IFERROR(U3091*(L3090+R3091),"")</f>
        <v/>
      </c>
      <c r="X3091" s="61">
        <f t="shared" ref="X3091:X3154" ca="1" si="304">+IFERROR(SUM(V3091:W3091),"")</f>
        <v>0</v>
      </c>
      <c r="Y3091" s="64" t="str">
        <f t="shared" ref="Y3091:Y3154" ca="1" si="305">IFERROR(+X3091/ABS(R3091*U3091),"")</f>
        <v/>
      </c>
    </row>
    <row r="3092" spans="1:25">
      <c r="A3092" s="2">
        <f>+Get_Data!A3091</f>
        <v>43929</v>
      </c>
      <c r="B3092">
        <f>+ROUND(Get_Data!B3091,5)</f>
        <v>130.64914999999999</v>
      </c>
      <c r="C3092">
        <f>+ROUND(Get_Data!C3091,5)</f>
        <v>47.008949999999999</v>
      </c>
      <c r="D3092" s="4">
        <f t="shared" si="290"/>
        <v>2.7792400000000002</v>
      </c>
      <c r="E3092" s="22">
        <f t="shared" ca="1" si="291"/>
        <v>2.8920599999999999</v>
      </c>
      <c r="F3092" s="23">
        <f t="shared" ca="1" si="292"/>
        <v>2.46068</v>
      </c>
      <c r="G3092" s="10">
        <f t="shared" ca="1" si="293"/>
        <v>0</v>
      </c>
      <c r="H3092" s="12">
        <f t="shared" ca="1" si="294"/>
        <v>0</v>
      </c>
      <c r="I3092" s="11">
        <f t="shared" ca="1" si="295"/>
        <v>0</v>
      </c>
      <c r="J3092" s="11">
        <f t="shared" ca="1" si="296"/>
        <v>2</v>
      </c>
      <c r="K3092" s="10">
        <f t="shared" ca="1" si="284"/>
        <v>-102.39323</v>
      </c>
      <c r="L3092" s="11">
        <f t="shared" ca="1" si="285"/>
        <v>37.650410000000001</v>
      </c>
      <c r="M3092" s="11">
        <f t="shared" ca="1" si="286"/>
        <v>2.7195800000000001</v>
      </c>
      <c r="N3092" s="15">
        <f t="shared" ca="1" si="287"/>
        <v>10</v>
      </c>
      <c r="O3092" s="15">
        <f t="shared" ca="1" si="288"/>
        <v>27</v>
      </c>
      <c r="P3092" s="16">
        <f t="shared" ca="1" si="289"/>
        <v>-7.3712300000000823</v>
      </c>
      <c r="Q3092" s="11" t="str">
        <f t="shared" ca="1" si="297"/>
        <v/>
      </c>
      <c r="R3092" s="11" t="str">
        <f t="shared" ca="1" si="298"/>
        <v/>
      </c>
      <c r="S3092" s="61" t="str">
        <f t="shared" ca="1" si="299"/>
        <v/>
      </c>
      <c r="T3092" s="11" t="str">
        <f t="shared" ca="1" si="300"/>
        <v/>
      </c>
      <c r="U3092" s="11" t="str">
        <f t="shared" ca="1" si="301"/>
        <v/>
      </c>
      <c r="V3092" s="18" t="str">
        <f t="shared" ca="1" si="302"/>
        <v/>
      </c>
      <c r="W3092" s="61" t="str">
        <f t="shared" ca="1" si="303"/>
        <v/>
      </c>
      <c r="X3092" s="61">
        <f t="shared" ca="1" si="304"/>
        <v>0</v>
      </c>
      <c r="Y3092" s="64" t="str">
        <f t="shared" ca="1" si="305"/>
        <v/>
      </c>
    </row>
    <row r="3093" spans="1:25">
      <c r="A3093" s="2">
        <f>+Get_Data!A3092</f>
        <v>43930</v>
      </c>
      <c r="B3093">
        <f>+ROUND(Get_Data!B3092,5)</f>
        <v>131.65406999999999</v>
      </c>
      <c r="C3093">
        <f>+ROUND(Get_Data!C3092,5)</f>
        <v>48.168930000000003</v>
      </c>
      <c r="D3093" s="4">
        <f t="shared" si="290"/>
        <v>2.7331699999999999</v>
      </c>
      <c r="E3093" s="22">
        <f t="shared" ca="1" si="291"/>
        <v>2.8920599999999999</v>
      </c>
      <c r="F3093" s="23">
        <f t="shared" ca="1" si="292"/>
        <v>2.47262</v>
      </c>
      <c r="G3093" s="10">
        <f t="shared" ca="1" si="293"/>
        <v>0</v>
      </c>
      <c r="H3093" s="12">
        <f t="shared" ca="1" si="294"/>
        <v>0</v>
      </c>
      <c r="I3093" s="11">
        <f t="shared" ca="1" si="295"/>
        <v>0</v>
      </c>
      <c r="J3093" s="11">
        <f t="shared" ca="1" si="296"/>
        <v>2</v>
      </c>
      <c r="K3093" s="10">
        <f t="shared" ca="1" si="284"/>
        <v>-102.39323</v>
      </c>
      <c r="L3093" s="11">
        <f t="shared" ca="1" si="285"/>
        <v>37.650410000000001</v>
      </c>
      <c r="M3093" s="11">
        <f t="shared" ca="1" si="286"/>
        <v>2.7195800000000001</v>
      </c>
      <c r="N3093" s="15">
        <f t="shared" ca="1" si="287"/>
        <v>10</v>
      </c>
      <c r="O3093" s="15">
        <f t="shared" ca="1" si="288"/>
        <v>27</v>
      </c>
      <c r="P3093" s="16">
        <f t="shared" ca="1" si="289"/>
        <v>-7.3712300000000823</v>
      </c>
      <c r="Q3093" s="11" t="str">
        <f t="shared" ca="1" si="297"/>
        <v/>
      </c>
      <c r="R3093" s="11" t="str">
        <f t="shared" ca="1" si="298"/>
        <v/>
      </c>
      <c r="S3093" s="61" t="str">
        <f t="shared" ca="1" si="299"/>
        <v/>
      </c>
      <c r="T3093" s="11" t="str">
        <f t="shared" ca="1" si="300"/>
        <v/>
      </c>
      <c r="U3093" s="11" t="str">
        <f t="shared" ca="1" si="301"/>
        <v/>
      </c>
      <c r="V3093" s="18" t="str">
        <f t="shared" ca="1" si="302"/>
        <v/>
      </c>
      <c r="W3093" s="61" t="str">
        <f t="shared" ca="1" si="303"/>
        <v/>
      </c>
      <c r="X3093" s="61">
        <f t="shared" ca="1" si="304"/>
        <v>0</v>
      </c>
      <c r="Y3093" s="64" t="str">
        <f t="shared" ca="1" si="305"/>
        <v/>
      </c>
    </row>
    <row r="3094" spans="1:25">
      <c r="A3094" s="2">
        <f>+Get_Data!A3093</f>
        <v>43934</v>
      </c>
      <c r="B3094">
        <f>+ROUND(Get_Data!B3093,5)</f>
        <v>128.95456999999999</v>
      </c>
      <c r="C3094">
        <f>+ROUND(Get_Data!C3093,5)</f>
        <v>46.134039999999999</v>
      </c>
      <c r="D3094" s="4">
        <f t="shared" si="290"/>
        <v>2.79522</v>
      </c>
      <c r="E3094" s="22">
        <f t="shared" ca="1" si="291"/>
        <v>2.8920599999999999</v>
      </c>
      <c r="F3094" s="23">
        <f t="shared" ca="1" si="292"/>
        <v>2.47262</v>
      </c>
      <c r="G3094" s="10">
        <f t="shared" ca="1" si="293"/>
        <v>0</v>
      </c>
      <c r="H3094" s="12">
        <f t="shared" ca="1" si="294"/>
        <v>0</v>
      </c>
      <c r="I3094" s="11">
        <f t="shared" ca="1" si="295"/>
        <v>0</v>
      </c>
      <c r="J3094" s="11">
        <f t="shared" ca="1" si="296"/>
        <v>2</v>
      </c>
      <c r="K3094" s="10">
        <f t="shared" ca="1" si="284"/>
        <v>-102.39323</v>
      </c>
      <c r="L3094" s="11">
        <f t="shared" ca="1" si="285"/>
        <v>37.650410000000001</v>
      </c>
      <c r="M3094" s="11">
        <f t="shared" ca="1" si="286"/>
        <v>2.7195800000000001</v>
      </c>
      <c r="N3094" s="15">
        <f t="shared" ca="1" si="287"/>
        <v>10</v>
      </c>
      <c r="O3094" s="15">
        <f t="shared" ca="1" si="288"/>
        <v>27</v>
      </c>
      <c r="P3094" s="16">
        <f t="shared" ca="1" si="289"/>
        <v>-7.3712300000000823</v>
      </c>
      <c r="Q3094" s="11" t="str">
        <f t="shared" ca="1" si="297"/>
        <v/>
      </c>
      <c r="R3094" s="11" t="str">
        <f t="shared" ca="1" si="298"/>
        <v/>
      </c>
      <c r="S3094" s="61" t="str">
        <f t="shared" ca="1" si="299"/>
        <v/>
      </c>
      <c r="T3094" s="11" t="str">
        <f t="shared" ca="1" si="300"/>
        <v/>
      </c>
      <c r="U3094" s="11" t="str">
        <f t="shared" ca="1" si="301"/>
        <v/>
      </c>
      <c r="V3094" s="18" t="str">
        <f t="shared" ca="1" si="302"/>
        <v/>
      </c>
      <c r="W3094" s="61" t="str">
        <f t="shared" ca="1" si="303"/>
        <v/>
      </c>
      <c r="X3094" s="61">
        <f t="shared" ca="1" si="304"/>
        <v>0</v>
      </c>
      <c r="Y3094" s="64" t="str">
        <f t="shared" ca="1" si="305"/>
        <v/>
      </c>
    </row>
    <row r="3095" spans="1:25">
      <c r="A3095" s="2">
        <f>+Get_Data!A3094</f>
        <v>43935</v>
      </c>
      <c r="B3095">
        <f>+ROUND(Get_Data!B3094,5)</f>
        <v>136.35353000000001</v>
      </c>
      <c r="C3095">
        <f>+ROUND(Get_Data!C3094,5)</f>
        <v>48.090290000000003</v>
      </c>
      <c r="D3095" s="4">
        <f t="shared" si="290"/>
        <v>2.8353700000000002</v>
      </c>
      <c r="E3095" s="22">
        <f t="shared" ca="1" si="291"/>
        <v>2.8920599999999999</v>
      </c>
      <c r="F3095" s="23">
        <f t="shared" ca="1" si="292"/>
        <v>2.47262</v>
      </c>
      <c r="G3095" s="10">
        <f t="shared" ca="1" si="293"/>
        <v>0</v>
      </c>
      <c r="H3095" s="12">
        <f t="shared" ca="1" si="294"/>
        <v>0</v>
      </c>
      <c r="I3095" s="11">
        <f t="shared" ca="1" si="295"/>
        <v>0</v>
      </c>
      <c r="J3095" s="11">
        <f t="shared" ca="1" si="296"/>
        <v>2</v>
      </c>
      <c r="K3095" s="10">
        <f t="shared" ca="1" si="284"/>
        <v>-102.39323</v>
      </c>
      <c r="L3095" s="11">
        <f t="shared" ca="1" si="285"/>
        <v>37.650410000000001</v>
      </c>
      <c r="M3095" s="11">
        <f t="shared" ca="1" si="286"/>
        <v>2.7195800000000001</v>
      </c>
      <c r="N3095" s="15">
        <f t="shared" ca="1" si="287"/>
        <v>10</v>
      </c>
      <c r="O3095" s="15">
        <f t="shared" ca="1" si="288"/>
        <v>27</v>
      </c>
      <c r="P3095" s="16">
        <f t="shared" ca="1" si="289"/>
        <v>-7.3712300000000823</v>
      </c>
      <c r="Q3095" s="11" t="str">
        <f t="shared" ca="1" si="297"/>
        <v/>
      </c>
      <c r="R3095" s="11" t="str">
        <f t="shared" ca="1" si="298"/>
        <v/>
      </c>
      <c r="S3095" s="61" t="str">
        <f t="shared" ca="1" si="299"/>
        <v/>
      </c>
      <c r="T3095" s="11" t="str">
        <f t="shared" ca="1" si="300"/>
        <v/>
      </c>
      <c r="U3095" s="11" t="str">
        <f t="shared" ca="1" si="301"/>
        <v/>
      </c>
      <c r="V3095" s="18" t="str">
        <f t="shared" ca="1" si="302"/>
        <v/>
      </c>
      <c r="W3095" s="61" t="str">
        <f t="shared" ca="1" si="303"/>
        <v/>
      </c>
      <c r="X3095" s="61">
        <f t="shared" ca="1" si="304"/>
        <v>0</v>
      </c>
      <c r="Y3095" s="64" t="str">
        <f t="shared" ca="1" si="305"/>
        <v/>
      </c>
    </row>
    <row r="3096" spans="1:25">
      <c r="A3096" s="2">
        <f>+Get_Data!A3095</f>
        <v>43936</v>
      </c>
      <c r="B3096">
        <f>+ROUND(Get_Data!B3095,5)</f>
        <v>133.03336999999999</v>
      </c>
      <c r="C3096">
        <f>+ROUND(Get_Data!C3095,5)</f>
        <v>46.802509999999998</v>
      </c>
      <c r="D3096" s="4">
        <f t="shared" si="290"/>
        <v>2.8424399999999999</v>
      </c>
      <c r="E3096" s="22">
        <f t="shared" ca="1" si="291"/>
        <v>2.8920599999999999</v>
      </c>
      <c r="F3096" s="23">
        <f t="shared" ca="1" si="292"/>
        <v>2.47262</v>
      </c>
      <c r="G3096" s="10">
        <f t="shared" ca="1" si="293"/>
        <v>0</v>
      </c>
      <c r="H3096" s="12">
        <f t="shared" ca="1" si="294"/>
        <v>0</v>
      </c>
      <c r="I3096" s="11">
        <f t="shared" ca="1" si="295"/>
        <v>0</v>
      </c>
      <c r="J3096" s="11">
        <f t="shared" ca="1" si="296"/>
        <v>2</v>
      </c>
      <c r="K3096" s="10">
        <f t="shared" ca="1" si="284"/>
        <v>-102.39323</v>
      </c>
      <c r="L3096" s="11">
        <f t="shared" ca="1" si="285"/>
        <v>37.650410000000001</v>
      </c>
      <c r="M3096" s="11">
        <f t="shared" ca="1" si="286"/>
        <v>2.7195800000000001</v>
      </c>
      <c r="N3096" s="15">
        <f t="shared" ca="1" si="287"/>
        <v>10</v>
      </c>
      <c r="O3096" s="15">
        <f t="shared" ca="1" si="288"/>
        <v>27</v>
      </c>
      <c r="P3096" s="16">
        <f t="shared" ca="1" si="289"/>
        <v>-7.3712300000000823</v>
      </c>
      <c r="Q3096" s="11" t="str">
        <f t="shared" ca="1" si="297"/>
        <v/>
      </c>
      <c r="R3096" s="11" t="str">
        <f t="shared" ca="1" si="298"/>
        <v/>
      </c>
      <c r="S3096" s="61" t="str">
        <f t="shared" ca="1" si="299"/>
        <v/>
      </c>
      <c r="T3096" s="11" t="str">
        <f t="shared" ca="1" si="300"/>
        <v/>
      </c>
      <c r="U3096" s="11" t="str">
        <f t="shared" ca="1" si="301"/>
        <v/>
      </c>
      <c r="V3096" s="18" t="str">
        <f t="shared" ca="1" si="302"/>
        <v/>
      </c>
      <c r="W3096" s="61" t="str">
        <f t="shared" ca="1" si="303"/>
        <v/>
      </c>
      <c r="X3096" s="61">
        <f t="shared" ca="1" si="304"/>
        <v>0</v>
      </c>
      <c r="Y3096" s="64" t="str">
        <f t="shared" ca="1" si="305"/>
        <v/>
      </c>
    </row>
    <row r="3097" spans="1:25">
      <c r="A3097" s="2">
        <f>+Get_Data!A3096</f>
        <v>43937</v>
      </c>
      <c r="B3097">
        <f>+ROUND(Get_Data!B3096,5)</f>
        <v>133.63435000000001</v>
      </c>
      <c r="C3097">
        <f>+ROUND(Get_Data!C3096,5)</f>
        <v>46.301160000000003</v>
      </c>
      <c r="D3097" s="4">
        <f t="shared" si="290"/>
        <v>2.8862000000000001</v>
      </c>
      <c r="E3097" s="22">
        <f t="shared" ca="1" si="291"/>
        <v>2.8920599999999999</v>
      </c>
      <c r="F3097" s="23">
        <f t="shared" ca="1" si="292"/>
        <v>2.47262</v>
      </c>
      <c r="G3097" s="10">
        <f t="shared" ca="1" si="293"/>
        <v>0</v>
      </c>
      <c r="H3097" s="12">
        <f t="shared" ca="1" si="294"/>
        <v>0</v>
      </c>
      <c r="I3097" s="11">
        <f t="shared" ca="1" si="295"/>
        <v>0</v>
      </c>
      <c r="J3097" s="11">
        <f t="shared" ca="1" si="296"/>
        <v>2</v>
      </c>
      <c r="K3097" s="10">
        <f t="shared" ca="1" si="284"/>
        <v>-102.39323</v>
      </c>
      <c r="L3097" s="11">
        <f t="shared" ca="1" si="285"/>
        <v>37.650410000000001</v>
      </c>
      <c r="M3097" s="11">
        <f t="shared" ca="1" si="286"/>
        <v>2.7195800000000001</v>
      </c>
      <c r="N3097" s="15">
        <f t="shared" ca="1" si="287"/>
        <v>10</v>
      </c>
      <c r="O3097" s="15">
        <f t="shared" ca="1" si="288"/>
        <v>27</v>
      </c>
      <c r="P3097" s="16">
        <f t="shared" ca="1" si="289"/>
        <v>-7.3712300000000823</v>
      </c>
      <c r="Q3097" s="11" t="str">
        <f t="shared" ca="1" si="297"/>
        <v/>
      </c>
      <c r="R3097" s="11" t="str">
        <f t="shared" ca="1" si="298"/>
        <v/>
      </c>
      <c r="S3097" s="61" t="str">
        <f t="shared" ca="1" si="299"/>
        <v/>
      </c>
      <c r="T3097" s="11" t="str">
        <f t="shared" ca="1" si="300"/>
        <v/>
      </c>
      <c r="U3097" s="11" t="str">
        <f t="shared" ca="1" si="301"/>
        <v/>
      </c>
      <c r="V3097" s="18" t="str">
        <f t="shared" ca="1" si="302"/>
        <v/>
      </c>
      <c r="W3097" s="61" t="str">
        <f t="shared" ca="1" si="303"/>
        <v/>
      </c>
      <c r="X3097" s="61">
        <f t="shared" ca="1" si="304"/>
        <v>0</v>
      </c>
      <c r="Y3097" s="64" t="str">
        <f t="shared" ca="1" si="305"/>
        <v/>
      </c>
    </row>
    <row r="3098" spans="1:25">
      <c r="A3098" s="2">
        <f>+Get_Data!A3097</f>
        <v>43938</v>
      </c>
      <c r="B3098">
        <f>+ROUND(Get_Data!B3097,5)</f>
        <v>135.51611</v>
      </c>
      <c r="C3098">
        <f>+ROUND(Get_Data!C3097,5)</f>
        <v>47.244880000000002</v>
      </c>
      <c r="D3098" s="4">
        <f t="shared" si="290"/>
        <v>2.8683800000000002</v>
      </c>
      <c r="E3098" s="22">
        <f t="shared" ca="1" si="291"/>
        <v>2.8920599999999999</v>
      </c>
      <c r="F3098" s="23">
        <f t="shared" ca="1" si="292"/>
        <v>2.5042</v>
      </c>
      <c r="G3098" s="10">
        <f t="shared" ca="1" si="293"/>
        <v>0</v>
      </c>
      <c r="H3098" s="12">
        <f t="shared" ca="1" si="294"/>
        <v>0</v>
      </c>
      <c r="I3098" s="11">
        <f t="shared" ca="1" si="295"/>
        <v>0</v>
      </c>
      <c r="J3098" s="11">
        <f t="shared" ca="1" si="296"/>
        <v>2</v>
      </c>
      <c r="K3098" s="10">
        <f t="shared" ref="K3098:K3161" ca="1" si="306">+IF($J3097=0,"",IF(AND(ABS($J3097)=1,ABS($I3097)=1),-$J3097*B3098,K3097))</f>
        <v>-102.39323</v>
      </c>
      <c r="L3098" s="11">
        <f t="shared" ref="L3098:L3161" ca="1" si="307">+IF($J3097=0,"",IF(AND(ABS($J3097)=1,ABS($I3097)=1),$J3097*C3098,L3097))</f>
        <v>37.650410000000001</v>
      </c>
      <c r="M3098" s="11">
        <f t="shared" ref="M3098:M3161" ca="1" si="308">+IF($J3097=0,"",IF(AND(ABS($J3097)=1,ABS($I3097)=1),D3098,M3097))</f>
        <v>2.7195800000000001</v>
      </c>
      <c r="N3098" s="15">
        <f t="shared" ref="N3098:N3161" ca="1" si="309">+IF(ISNUMBER(K3098),stocks,"")</f>
        <v>10</v>
      </c>
      <c r="O3098" s="15">
        <f t="shared" ref="O3098:O3161" ca="1" si="310">+IFERROR(ROUND(N3098*M3098,0),"")</f>
        <v>27</v>
      </c>
      <c r="P3098" s="16">
        <f t="shared" ref="P3098:P3161" ca="1" si="311">IFERROR(+N3098*K3098+O3098*L3098,"")</f>
        <v>-7.3712300000000823</v>
      </c>
      <c r="Q3098" s="11" t="str">
        <f t="shared" ca="1" si="297"/>
        <v/>
      </c>
      <c r="R3098" s="11" t="str">
        <f t="shared" ca="1" si="298"/>
        <v/>
      </c>
      <c r="S3098" s="61" t="str">
        <f t="shared" ca="1" si="299"/>
        <v/>
      </c>
      <c r="T3098" s="11" t="str">
        <f t="shared" ca="1" si="300"/>
        <v/>
      </c>
      <c r="U3098" s="11" t="str">
        <f t="shared" ca="1" si="301"/>
        <v/>
      </c>
      <c r="V3098" s="18" t="str">
        <f t="shared" ca="1" si="302"/>
        <v/>
      </c>
      <c r="W3098" s="61" t="str">
        <f t="shared" ca="1" si="303"/>
        <v/>
      </c>
      <c r="X3098" s="61">
        <f t="shared" ca="1" si="304"/>
        <v>0</v>
      </c>
      <c r="Y3098" s="64" t="str">
        <f t="shared" ca="1" si="305"/>
        <v/>
      </c>
    </row>
    <row r="3099" spans="1:25">
      <c r="A3099" s="2">
        <f>+Get_Data!A3098</f>
        <v>43941</v>
      </c>
      <c r="B3099">
        <f>+ROUND(Get_Data!B3098,5)</f>
        <v>132.56047000000001</v>
      </c>
      <c r="C3099">
        <f>+ROUND(Get_Data!C3098,5)</f>
        <v>45.740819999999999</v>
      </c>
      <c r="D3099" s="4">
        <f t="shared" si="290"/>
        <v>2.8980800000000002</v>
      </c>
      <c r="E3099" s="22">
        <f t="shared" ca="1" si="291"/>
        <v>2.8980800000000002</v>
      </c>
      <c r="F3099" s="23">
        <f t="shared" ca="1" si="292"/>
        <v>2.5042</v>
      </c>
      <c r="G3099" s="10">
        <f t="shared" ca="1" si="293"/>
        <v>1</v>
      </c>
      <c r="H3099" s="12">
        <f t="shared" ca="1" si="294"/>
        <v>0</v>
      </c>
      <c r="I3099" s="11">
        <f t="shared" ca="1" si="295"/>
        <v>1</v>
      </c>
      <c r="J3099" s="11">
        <f t="shared" ca="1" si="296"/>
        <v>0</v>
      </c>
      <c r="K3099" s="10">
        <f t="shared" ca="1" si="306"/>
        <v>-102.39323</v>
      </c>
      <c r="L3099" s="11">
        <f t="shared" ca="1" si="307"/>
        <v>37.650410000000001</v>
      </c>
      <c r="M3099" s="11">
        <f t="shared" ca="1" si="308"/>
        <v>2.7195800000000001</v>
      </c>
      <c r="N3099" s="15">
        <f t="shared" ca="1" si="309"/>
        <v>10</v>
      </c>
      <c r="O3099" s="15">
        <f t="shared" ca="1" si="310"/>
        <v>27</v>
      </c>
      <c r="P3099" s="16">
        <f t="shared" ca="1" si="311"/>
        <v>-7.3712300000000823</v>
      </c>
      <c r="Q3099" s="11" t="str">
        <f t="shared" ca="1" si="297"/>
        <v/>
      </c>
      <c r="R3099" s="11" t="str">
        <f t="shared" ca="1" si="298"/>
        <v/>
      </c>
      <c r="S3099" s="61" t="str">
        <f t="shared" ca="1" si="299"/>
        <v/>
      </c>
      <c r="T3099" s="11" t="str">
        <f t="shared" ca="1" si="300"/>
        <v/>
      </c>
      <c r="U3099" s="11" t="str">
        <f t="shared" ca="1" si="301"/>
        <v/>
      </c>
      <c r="V3099" s="18" t="str">
        <f t="shared" ca="1" si="302"/>
        <v/>
      </c>
      <c r="W3099" s="61" t="str">
        <f t="shared" ca="1" si="303"/>
        <v/>
      </c>
      <c r="X3099" s="61">
        <f t="shared" ca="1" si="304"/>
        <v>0</v>
      </c>
      <c r="Y3099" s="64" t="str">
        <f t="shared" ca="1" si="305"/>
        <v/>
      </c>
    </row>
    <row r="3100" spans="1:25">
      <c r="A3100" s="2">
        <f>+Get_Data!A3099</f>
        <v>43942</v>
      </c>
      <c r="B3100">
        <f>+ROUND(Get_Data!B3099,5)</f>
        <v>129.00385</v>
      </c>
      <c r="C3100">
        <f>+ROUND(Get_Data!C3099,5)</f>
        <v>44.610329999999998</v>
      </c>
      <c r="D3100" s="4">
        <f t="shared" si="290"/>
        <v>2.8917899999999999</v>
      </c>
      <c r="E3100" s="22">
        <f t="shared" ca="1" si="291"/>
        <v>2.8980800000000002</v>
      </c>
      <c r="F3100" s="23">
        <f t="shared" ca="1" si="292"/>
        <v>2.7020599999999999</v>
      </c>
      <c r="G3100" s="10">
        <f t="shared" ca="1" si="293"/>
        <v>0</v>
      </c>
      <c r="H3100" s="12">
        <f t="shared" ca="1" si="294"/>
        <v>0</v>
      </c>
      <c r="I3100" s="11">
        <f t="shared" ca="1" si="295"/>
        <v>0</v>
      </c>
      <c r="J3100" s="11">
        <f t="shared" ca="1" si="296"/>
        <v>0</v>
      </c>
      <c r="K3100" s="10" t="str">
        <f t="shared" ca="1" si="306"/>
        <v/>
      </c>
      <c r="L3100" s="11" t="str">
        <f t="shared" ca="1" si="307"/>
        <v/>
      </c>
      <c r="M3100" s="11" t="str">
        <f t="shared" ca="1" si="308"/>
        <v/>
      </c>
      <c r="N3100" s="15" t="str">
        <f t="shared" ca="1" si="309"/>
        <v/>
      </c>
      <c r="O3100" s="15" t="str">
        <f t="shared" ca="1" si="310"/>
        <v/>
      </c>
      <c r="P3100" s="16" t="str">
        <f t="shared" ca="1" si="311"/>
        <v/>
      </c>
      <c r="Q3100" s="11">
        <f t="shared" ca="1" si="297"/>
        <v>129.00385</v>
      </c>
      <c r="R3100" s="11">
        <f t="shared" ca="1" si="298"/>
        <v>44.610329999999998</v>
      </c>
      <c r="S3100" s="61">
        <f t="shared" ca="1" si="299"/>
        <v>2.8917899999999999</v>
      </c>
      <c r="T3100" s="11">
        <f t="shared" ca="1" si="300"/>
        <v>10</v>
      </c>
      <c r="U3100" s="11">
        <f t="shared" ca="1" si="301"/>
        <v>27</v>
      </c>
      <c r="V3100" s="18">
        <f t="shared" ca="1" si="302"/>
        <v>-2313.9708000000001</v>
      </c>
      <c r="W3100" s="61">
        <f t="shared" ca="1" si="303"/>
        <v>2221.03998</v>
      </c>
      <c r="X3100" s="61">
        <f t="shared" ca="1" si="304"/>
        <v>-92.93082000000004</v>
      </c>
      <c r="Y3100" s="64">
        <f t="shared" ca="1" si="305"/>
        <v>-7.7154377074149044E-2</v>
      </c>
    </row>
    <row r="3101" spans="1:25">
      <c r="A3101" s="2">
        <f>+Get_Data!A3100</f>
        <v>43943</v>
      </c>
      <c r="B3101">
        <f>+ROUND(Get_Data!B3100,5)</f>
        <v>130.65899999999999</v>
      </c>
      <c r="C3101">
        <f>+ROUND(Get_Data!C3100,5)</f>
        <v>44.905239999999999</v>
      </c>
      <c r="D3101" s="4">
        <f t="shared" si="290"/>
        <v>2.9096600000000001</v>
      </c>
      <c r="E3101" s="22">
        <f t="shared" ca="1" si="291"/>
        <v>2.9096600000000001</v>
      </c>
      <c r="F3101" s="23">
        <f t="shared" ca="1" si="292"/>
        <v>2.7020599999999999</v>
      </c>
      <c r="G3101" s="10">
        <f t="shared" ca="1" si="293"/>
        <v>1</v>
      </c>
      <c r="H3101" s="12">
        <f t="shared" ca="1" si="294"/>
        <v>0</v>
      </c>
      <c r="I3101" s="11">
        <f t="shared" ca="1" si="295"/>
        <v>1</v>
      </c>
      <c r="J3101" s="11">
        <f t="shared" ca="1" si="296"/>
        <v>1</v>
      </c>
      <c r="K3101" s="10" t="str">
        <f t="shared" ca="1" si="306"/>
        <v/>
      </c>
      <c r="L3101" s="11" t="str">
        <f t="shared" ca="1" si="307"/>
        <v/>
      </c>
      <c r="M3101" s="11" t="str">
        <f t="shared" ca="1" si="308"/>
        <v/>
      </c>
      <c r="N3101" s="15" t="str">
        <f t="shared" ca="1" si="309"/>
        <v/>
      </c>
      <c r="O3101" s="15" t="str">
        <f t="shared" ca="1" si="310"/>
        <v/>
      </c>
      <c r="P3101" s="16" t="str">
        <f t="shared" ca="1" si="311"/>
        <v/>
      </c>
      <c r="Q3101" s="11" t="str">
        <f t="shared" ca="1" si="297"/>
        <v/>
      </c>
      <c r="R3101" s="11" t="str">
        <f t="shared" ca="1" si="298"/>
        <v/>
      </c>
      <c r="S3101" s="61" t="str">
        <f t="shared" ca="1" si="299"/>
        <v/>
      </c>
      <c r="T3101" s="11" t="str">
        <f t="shared" ca="1" si="300"/>
        <v/>
      </c>
      <c r="U3101" s="11" t="str">
        <f t="shared" ca="1" si="301"/>
        <v/>
      </c>
      <c r="V3101" s="18" t="str">
        <f t="shared" ca="1" si="302"/>
        <v/>
      </c>
      <c r="W3101" s="61" t="str">
        <f t="shared" ca="1" si="303"/>
        <v/>
      </c>
      <c r="X3101" s="61">
        <f t="shared" ca="1" si="304"/>
        <v>0</v>
      </c>
      <c r="Y3101" s="64" t="str">
        <f t="shared" ca="1" si="305"/>
        <v/>
      </c>
    </row>
    <row r="3102" spans="1:25">
      <c r="A3102" s="2">
        <f>+Get_Data!A3101</f>
        <v>43944</v>
      </c>
      <c r="B3102">
        <f>+ROUND(Get_Data!B3101,5)</f>
        <v>128.33389</v>
      </c>
      <c r="C3102">
        <f>+ROUND(Get_Data!C3101,5)</f>
        <v>44.305590000000002</v>
      </c>
      <c r="D3102" s="4">
        <f t="shared" si="290"/>
        <v>2.89656</v>
      </c>
      <c r="E3102" s="22">
        <f t="shared" ca="1" si="291"/>
        <v>2.9096600000000001</v>
      </c>
      <c r="F3102" s="23">
        <f t="shared" ca="1" si="292"/>
        <v>2.70966</v>
      </c>
      <c r="G3102" s="10">
        <f t="shared" ca="1" si="293"/>
        <v>0</v>
      </c>
      <c r="H3102" s="12">
        <f t="shared" ca="1" si="294"/>
        <v>0</v>
      </c>
      <c r="I3102" s="11">
        <f t="shared" ca="1" si="295"/>
        <v>0</v>
      </c>
      <c r="J3102" s="11">
        <f t="shared" ca="1" si="296"/>
        <v>1</v>
      </c>
      <c r="K3102" s="10">
        <f t="shared" ca="1" si="306"/>
        <v>-128.33389</v>
      </c>
      <c r="L3102" s="11">
        <f t="shared" ca="1" si="307"/>
        <v>44.305590000000002</v>
      </c>
      <c r="M3102" s="11">
        <f t="shared" ca="1" si="308"/>
        <v>2.89656</v>
      </c>
      <c r="N3102" s="15">
        <f t="shared" ca="1" si="309"/>
        <v>10</v>
      </c>
      <c r="O3102" s="15">
        <f t="shared" ca="1" si="310"/>
        <v>29</v>
      </c>
      <c r="P3102" s="16">
        <f t="shared" ca="1" si="311"/>
        <v>1.5232100000000628</v>
      </c>
      <c r="Q3102" s="11" t="str">
        <f t="shared" ca="1" si="297"/>
        <v/>
      </c>
      <c r="R3102" s="11" t="str">
        <f t="shared" ca="1" si="298"/>
        <v/>
      </c>
      <c r="S3102" s="61" t="str">
        <f t="shared" ca="1" si="299"/>
        <v/>
      </c>
      <c r="T3102" s="11" t="str">
        <f t="shared" ca="1" si="300"/>
        <v/>
      </c>
      <c r="U3102" s="11" t="str">
        <f t="shared" ca="1" si="301"/>
        <v/>
      </c>
      <c r="V3102" s="18" t="str">
        <f t="shared" ca="1" si="302"/>
        <v/>
      </c>
      <c r="W3102" s="61" t="str">
        <f t="shared" ca="1" si="303"/>
        <v/>
      </c>
      <c r="X3102" s="61">
        <f t="shared" ca="1" si="304"/>
        <v>0</v>
      </c>
      <c r="Y3102" s="64" t="str">
        <f t="shared" ca="1" si="305"/>
        <v/>
      </c>
    </row>
    <row r="3103" spans="1:25">
      <c r="A3103" s="2">
        <f>+Get_Data!A3102</f>
        <v>43945</v>
      </c>
      <c r="B3103">
        <f>+ROUND(Get_Data!B3102,5)</f>
        <v>132.37327999999999</v>
      </c>
      <c r="C3103">
        <f>+ROUND(Get_Data!C3102,5)</f>
        <v>44.659480000000002</v>
      </c>
      <c r="D3103" s="4">
        <f t="shared" si="290"/>
        <v>2.9640599999999999</v>
      </c>
      <c r="E3103" s="22">
        <f t="shared" ca="1" si="291"/>
        <v>2.9640599999999999</v>
      </c>
      <c r="F3103" s="23">
        <f t="shared" ca="1" si="292"/>
        <v>2.70966</v>
      </c>
      <c r="G3103" s="10">
        <f t="shared" ca="1" si="293"/>
        <v>1</v>
      </c>
      <c r="H3103" s="12">
        <f t="shared" ca="1" si="294"/>
        <v>0</v>
      </c>
      <c r="I3103" s="11">
        <f t="shared" ca="1" si="295"/>
        <v>1</v>
      </c>
      <c r="J3103" s="11">
        <f t="shared" ca="1" si="296"/>
        <v>2</v>
      </c>
      <c r="K3103" s="10">
        <f t="shared" ca="1" si="306"/>
        <v>-128.33389</v>
      </c>
      <c r="L3103" s="11">
        <f t="shared" ca="1" si="307"/>
        <v>44.305590000000002</v>
      </c>
      <c r="M3103" s="11">
        <f t="shared" ca="1" si="308"/>
        <v>2.89656</v>
      </c>
      <c r="N3103" s="15">
        <f t="shared" ca="1" si="309"/>
        <v>10</v>
      </c>
      <c r="O3103" s="15">
        <f t="shared" ca="1" si="310"/>
        <v>29</v>
      </c>
      <c r="P3103" s="16">
        <f t="shared" ca="1" si="311"/>
        <v>1.5232100000000628</v>
      </c>
      <c r="Q3103" s="11" t="str">
        <f t="shared" ca="1" si="297"/>
        <v/>
      </c>
      <c r="R3103" s="11" t="str">
        <f t="shared" ca="1" si="298"/>
        <v/>
      </c>
      <c r="S3103" s="61" t="str">
        <f t="shared" ca="1" si="299"/>
        <v/>
      </c>
      <c r="T3103" s="11" t="str">
        <f t="shared" ca="1" si="300"/>
        <v/>
      </c>
      <c r="U3103" s="11" t="str">
        <f t="shared" ca="1" si="301"/>
        <v/>
      </c>
      <c r="V3103" s="18" t="str">
        <f t="shared" ca="1" si="302"/>
        <v/>
      </c>
      <c r="W3103" s="61" t="str">
        <f t="shared" ca="1" si="303"/>
        <v/>
      </c>
      <c r="X3103" s="61">
        <f t="shared" ca="1" si="304"/>
        <v>0</v>
      </c>
      <c r="Y3103" s="64" t="str">
        <f t="shared" ca="1" si="305"/>
        <v/>
      </c>
    </row>
    <row r="3104" spans="1:25">
      <c r="A3104" s="2">
        <f>+Get_Data!A3103</f>
        <v>43948</v>
      </c>
      <c r="B3104">
        <f>+ROUND(Get_Data!B3103,5)</f>
        <v>132.4718</v>
      </c>
      <c r="C3104">
        <f>+ROUND(Get_Data!C3103,5)</f>
        <v>45.986579999999996</v>
      </c>
      <c r="D3104" s="4">
        <f t="shared" si="290"/>
        <v>2.8806600000000002</v>
      </c>
      <c r="E3104" s="22">
        <f t="shared" ca="1" si="291"/>
        <v>2.9640599999999999</v>
      </c>
      <c r="F3104" s="23">
        <f t="shared" ca="1" si="292"/>
        <v>2.70966</v>
      </c>
      <c r="G3104" s="10">
        <f t="shared" ca="1" si="293"/>
        <v>0</v>
      </c>
      <c r="H3104" s="12">
        <f t="shared" ca="1" si="294"/>
        <v>0</v>
      </c>
      <c r="I3104" s="11">
        <f t="shared" ca="1" si="295"/>
        <v>0</v>
      </c>
      <c r="J3104" s="11">
        <f t="shared" ca="1" si="296"/>
        <v>2</v>
      </c>
      <c r="K3104" s="10">
        <f t="shared" ca="1" si="306"/>
        <v>-128.33389</v>
      </c>
      <c r="L3104" s="11">
        <f t="shared" ca="1" si="307"/>
        <v>44.305590000000002</v>
      </c>
      <c r="M3104" s="11">
        <f t="shared" ca="1" si="308"/>
        <v>2.89656</v>
      </c>
      <c r="N3104" s="15">
        <f t="shared" ca="1" si="309"/>
        <v>10</v>
      </c>
      <c r="O3104" s="15">
        <f t="shared" ca="1" si="310"/>
        <v>29</v>
      </c>
      <c r="P3104" s="16">
        <f t="shared" ca="1" si="311"/>
        <v>1.5232100000000628</v>
      </c>
      <c r="Q3104" s="11" t="str">
        <f t="shared" ca="1" si="297"/>
        <v/>
      </c>
      <c r="R3104" s="11" t="str">
        <f t="shared" ca="1" si="298"/>
        <v/>
      </c>
      <c r="S3104" s="61" t="str">
        <f t="shared" ca="1" si="299"/>
        <v/>
      </c>
      <c r="T3104" s="11" t="str">
        <f t="shared" ca="1" si="300"/>
        <v/>
      </c>
      <c r="U3104" s="11" t="str">
        <f t="shared" ca="1" si="301"/>
        <v/>
      </c>
      <c r="V3104" s="18" t="str">
        <f t="shared" ca="1" si="302"/>
        <v/>
      </c>
      <c r="W3104" s="61" t="str">
        <f t="shared" ca="1" si="303"/>
        <v/>
      </c>
      <c r="X3104" s="61">
        <f t="shared" ca="1" si="304"/>
        <v>0</v>
      </c>
      <c r="Y3104" s="64" t="str">
        <f t="shared" ca="1" si="305"/>
        <v/>
      </c>
    </row>
    <row r="3105" spans="1:25">
      <c r="A3105" s="2">
        <f>+Get_Data!A3104</f>
        <v>43949</v>
      </c>
      <c r="B3105">
        <f>+ROUND(Get_Data!B3104,5)</f>
        <v>134.30430999999999</v>
      </c>
      <c r="C3105">
        <f>+ROUND(Get_Data!C3104,5)</f>
        <v>45.94726</v>
      </c>
      <c r="D3105" s="4">
        <f t="shared" si="290"/>
        <v>2.9230100000000001</v>
      </c>
      <c r="E3105" s="22">
        <f t="shared" ca="1" si="291"/>
        <v>2.9640599999999999</v>
      </c>
      <c r="F3105" s="23">
        <f t="shared" ca="1" si="292"/>
        <v>2.70966</v>
      </c>
      <c r="G3105" s="10">
        <f t="shared" ca="1" si="293"/>
        <v>0</v>
      </c>
      <c r="H3105" s="12">
        <f t="shared" ca="1" si="294"/>
        <v>0</v>
      </c>
      <c r="I3105" s="11">
        <f t="shared" ca="1" si="295"/>
        <v>0</v>
      </c>
      <c r="J3105" s="11">
        <f t="shared" ca="1" si="296"/>
        <v>2</v>
      </c>
      <c r="K3105" s="10">
        <f t="shared" ca="1" si="306"/>
        <v>-128.33389</v>
      </c>
      <c r="L3105" s="11">
        <f t="shared" ca="1" si="307"/>
        <v>44.305590000000002</v>
      </c>
      <c r="M3105" s="11">
        <f t="shared" ca="1" si="308"/>
        <v>2.89656</v>
      </c>
      <c r="N3105" s="15">
        <f t="shared" ca="1" si="309"/>
        <v>10</v>
      </c>
      <c r="O3105" s="15">
        <f t="shared" ca="1" si="310"/>
        <v>29</v>
      </c>
      <c r="P3105" s="16">
        <f t="shared" ca="1" si="311"/>
        <v>1.5232100000000628</v>
      </c>
      <c r="Q3105" s="11" t="str">
        <f t="shared" ca="1" si="297"/>
        <v/>
      </c>
      <c r="R3105" s="11" t="str">
        <f t="shared" ca="1" si="298"/>
        <v/>
      </c>
      <c r="S3105" s="61" t="str">
        <f t="shared" ca="1" si="299"/>
        <v/>
      </c>
      <c r="T3105" s="11" t="str">
        <f t="shared" ca="1" si="300"/>
        <v/>
      </c>
      <c r="U3105" s="11" t="str">
        <f t="shared" ca="1" si="301"/>
        <v/>
      </c>
      <c r="V3105" s="18" t="str">
        <f t="shared" ca="1" si="302"/>
        <v/>
      </c>
      <c r="W3105" s="61" t="str">
        <f t="shared" ca="1" si="303"/>
        <v/>
      </c>
      <c r="X3105" s="61">
        <f t="shared" ca="1" si="304"/>
        <v>0</v>
      </c>
      <c r="Y3105" s="64" t="str">
        <f t="shared" ca="1" si="305"/>
        <v/>
      </c>
    </row>
    <row r="3106" spans="1:25">
      <c r="A3106" s="2">
        <f>+Get_Data!A3105</f>
        <v>43950</v>
      </c>
      <c r="B3106">
        <f>+ROUND(Get_Data!B3105,5)</f>
        <v>131.38808</v>
      </c>
      <c r="C3106">
        <f>+ROUND(Get_Data!C3105,5)</f>
        <v>46.320819999999998</v>
      </c>
      <c r="D3106" s="4">
        <f t="shared" si="290"/>
        <v>2.8364799999999999</v>
      </c>
      <c r="E3106" s="22">
        <f t="shared" ca="1" si="291"/>
        <v>2.9640599999999999</v>
      </c>
      <c r="F3106" s="23">
        <f t="shared" ca="1" si="292"/>
        <v>2.70966</v>
      </c>
      <c r="G3106" s="10">
        <f t="shared" ca="1" si="293"/>
        <v>0</v>
      </c>
      <c r="H3106" s="12">
        <f t="shared" ca="1" si="294"/>
        <v>0</v>
      </c>
      <c r="I3106" s="11">
        <f t="shared" ca="1" si="295"/>
        <v>0</v>
      </c>
      <c r="J3106" s="11">
        <f t="shared" ca="1" si="296"/>
        <v>2</v>
      </c>
      <c r="K3106" s="10">
        <f t="shared" ca="1" si="306"/>
        <v>-128.33389</v>
      </c>
      <c r="L3106" s="11">
        <f t="shared" ca="1" si="307"/>
        <v>44.305590000000002</v>
      </c>
      <c r="M3106" s="11">
        <f t="shared" ca="1" si="308"/>
        <v>2.89656</v>
      </c>
      <c r="N3106" s="15">
        <f t="shared" ca="1" si="309"/>
        <v>10</v>
      </c>
      <c r="O3106" s="15">
        <f t="shared" ca="1" si="310"/>
        <v>29</v>
      </c>
      <c r="P3106" s="16">
        <f t="shared" ca="1" si="311"/>
        <v>1.5232100000000628</v>
      </c>
      <c r="Q3106" s="11" t="str">
        <f t="shared" ca="1" si="297"/>
        <v/>
      </c>
      <c r="R3106" s="11" t="str">
        <f t="shared" ca="1" si="298"/>
        <v/>
      </c>
      <c r="S3106" s="61" t="str">
        <f t="shared" ca="1" si="299"/>
        <v/>
      </c>
      <c r="T3106" s="11" t="str">
        <f t="shared" ca="1" si="300"/>
        <v/>
      </c>
      <c r="U3106" s="11" t="str">
        <f t="shared" ca="1" si="301"/>
        <v/>
      </c>
      <c r="V3106" s="18" t="str">
        <f t="shared" ca="1" si="302"/>
        <v/>
      </c>
      <c r="W3106" s="61" t="str">
        <f t="shared" ca="1" si="303"/>
        <v/>
      </c>
      <c r="X3106" s="61">
        <f t="shared" ca="1" si="304"/>
        <v>0</v>
      </c>
      <c r="Y3106" s="64" t="str">
        <f t="shared" ca="1" si="305"/>
        <v/>
      </c>
    </row>
    <row r="3107" spans="1:25">
      <c r="A3107" s="2">
        <f>+Get_Data!A3106</f>
        <v>43951</v>
      </c>
      <c r="B3107">
        <f>+ROUND(Get_Data!B3106,5)</f>
        <v>130.33387999999999</v>
      </c>
      <c r="C3107">
        <f>+ROUND(Get_Data!C3106,5)</f>
        <v>45.11168</v>
      </c>
      <c r="D3107" s="4">
        <f t="shared" si="290"/>
        <v>2.8891399999999998</v>
      </c>
      <c r="E3107" s="22">
        <f t="shared" ca="1" si="291"/>
        <v>2.9640599999999999</v>
      </c>
      <c r="F3107" s="23">
        <f t="shared" ca="1" si="292"/>
        <v>2.7201300000000002</v>
      </c>
      <c r="G3107" s="10">
        <f t="shared" ca="1" si="293"/>
        <v>0</v>
      </c>
      <c r="H3107" s="12">
        <f t="shared" ca="1" si="294"/>
        <v>0</v>
      </c>
      <c r="I3107" s="11">
        <f t="shared" ca="1" si="295"/>
        <v>0</v>
      </c>
      <c r="J3107" s="11">
        <f t="shared" ca="1" si="296"/>
        <v>2</v>
      </c>
      <c r="K3107" s="10">
        <f t="shared" ca="1" si="306"/>
        <v>-128.33389</v>
      </c>
      <c r="L3107" s="11">
        <f t="shared" ca="1" si="307"/>
        <v>44.305590000000002</v>
      </c>
      <c r="M3107" s="11">
        <f t="shared" ca="1" si="308"/>
        <v>2.89656</v>
      </c>
      <c r="N3107" s="15">
        <f t="shared" ca="1" si="309"/>
        <v>10</v>
      </c>
      <c r="O3107" s="15">
        <f t="shared" ca="1" si="310"/>
        <v>29</v>
      </c>
      <c r="P3107" s="16">
        <f t="shared" ca="1" si="311"/>
        <v>1.5232100000000628</v>
      </c>
      <c r="Q3107" s="11" t="str">
        <f t="shared" ca="1" si="297"/>
        <v/>
      </c>
      <c r="R3107" s="11" t="str">
        <f t="shared" ca="1" si="298"/>
        <v/>
      </c>
      <c r="S3107" s="61" t="str">
        <f t="shared" ca="1" si="299"/>
        <v/>
      </c>
      <c r="T3107" s="11" t="str">
        <f t="shared" ca="1" si="300"/>
        <v/>
      </c>
      <c r="U3107" s="11" t="str">
        <f t="shared" ca="1" si="301"/>
        <v/>
      </c>
      <c r="V3107" s="18" t="str">
        <f t="shared" ca="1" si="302"/>
        <v/>
      </c>
      <c r="W3107" s="61" t="str">
        <f t="shared" ca="1" si="303"/>
        <v/>
      </c>
      <c r="X3107" s="61">
        <f t="shared" ca="1" si="304"/>
        <v>0</v>
      </c>
      <c r="Y3107" s="64" t="str">
        <f t="shared" ca="1" si="305"/>
        <v/>
      </c>
    </row>
    <row r="3108" spans="1:25">
      <c r="A3108" s="2">
        <f>+Get_Data!A3107</f>
        <v>43952</v>
      </c>
      <c r="B3108">
        <f>+ROUND(Get_Data!B3107,5)</f>
        <v>128.21566999999999</v>
      </c>
      <c r="C3108">
        <f>+ROUND(Get_Data!C3107,5)</f>
        <v>44.826599999999999</v>
      </c>
      <c r="D3108" s="4">
        <f t="shared" si="290"/>
        <v>2.8602599999999998</v>
      </c>
      <c r="E3108" s="22">
        <f t="shared" ca="1" si="291"/>
        <v>2.9640599999999999</v>
      </c>
      <c r="F3108" s="23">
        <f t="shared" ca="1" si="292"/>
        <v>2.7201300000000002</v>
      </c>
      <c r="G3108" s="10">
        <f t="shared" ca="1" si="293"/>
        <v>0</v>
      </c>
      <c r="H3108" s="12">
        <f t="shared" ca="1" si="294"/>
        <v>0</v>
      </c>
      <c r="I3108" s="11">
        <f t="shared" ca="1" si="295"/>
        <v>0</v>
      </c>
      <c r="J3108" s="11">
        <f t="shared" ca="1" si="296"/>
        <v>2</v>
      </c>
      <c r="K3108" s="10">
        <f t="shared" ca="1" si="306"/>
        <v>-128.33389</v>
      </c>
      <c r="L3108" s="11">
        <f t="shared" ca="1" si="307"/>
        <v>44.305590000000002</v>
      </c>
      <c r="M3108" s="11">
        <f t="shared" ca="1" si="308"/>
        <v>2.89656</v>
      </c>
      <c r="N3108" s="15">
        <f t="shared" ca="1" si="309"/>
        <v>10</v>
      </c>
      <c r="O3108" s="15">
        <f t="shared" ca="1" si="310"/>
        <v>29</v>
      </c>
      <c r="P3108" s="16">
        <f t="shared" ca="1" si="311"/>
        <v>1.5232100000000628</v>
      </c>
      <c r="Q3108" s="11" t="str">
        <f t="shared" ca="1" si="297"/>
        <v/>
      </c>
      <c r="R3108" s="11" t="str">
        <f t="shared" ca="1" si="298"/>
        <v/>
      </c>
      <c r="S3108" s="61" t="str">
        <f t="shared" ca="1" si="299"/>
        <v/>
      </c>
      <c r="T3108" s="11" t="str">
        <f t="shared" ca="1" si="300"/>
        <v/>
      </c>
      <c r="U3108" s="11" t="str">
        <f t="shared" ca="1" si="301"/>
        <v/>
      </c>
      <c r="V3108" s="18" t="str">
        <f t="shared" ca="1" si="302"/>
        <v/>
      </c>
      <c r="W3108" s="61" t="str">
        <f t="shared" ca="1" si="303"/>
        <v/>
      </c>
      <c r="X3108" s="61">
        <f t="shared" ca="1" si="304"/>
        <v>0</v>
      </c>
      <c r="Y3108" s="64" t="str">
        <f t="shared" ca="1" si="305"/>
        <v/>
      </c>
    </row>
    <row r="3109" spans="1:25">
      <c r="A3109" s="2">
        <f>+Get_Data!A3108</f>
        <v>43955</v>
      </c>
      <c r="B3109">
        <f>+ROUND(Get_Data!B3108,5)</f>
        <v>128.98412999999999</v>
      </c>
      <c r="C3109">
        <f>+ROUND(Get_Data!C3108,5)</f>
        <v>44.374400000000001</v>
      </c>
      <c r="D3109" s="4">
        <f t="shared" si="290"/>
        <v>2.90672</v>
      </c>
      <c r="E3109" s="22">
        <f t="shared" ca="1" si="291"/>
        <v>2.9640599999999999</v>
      </c>
      <c r="F3109" s="23">
        <f t="shared" ca="1" si="292"/>
        <v>2.7201300000000002</v>
      </c>
      <c r="G3109" s="10">
        <f t="shared" ca="1" si="293"/>
        <v>0</v>
      </c>
      <c r="H3109" s="12">
        <f t="shared" ca="1" si="294"/>
        <v>0</v>
      </c>
      <c r="I3109" s="11">
        <f t="shared" ca="1" si="295"/>
        <v>0</v>
      </c>
      <c r="J3109" s="11">
        <f t="shared" ca="1" si="296"/>
        <v>2</v>
      </c>
      <c r="K3109" s="10">
        <f t="shared" ca="1" si="306"/>
        <v>-128.33389</v>
      </c>
      <c r="L3109" s="11">
        <f t="shared" ca="1" si="307"/>
        <v>44.305590000000002</v>
      </c>
      <c r="M3109" s="11">
        <f t="shared" ca="1" si="308"/>
        <v>2.89656</v>
      </c>
      <c r="N3109" s="15">
        <f t="shared" ca="1" si="309"/>
        <v>10</v>
      </c>
      <c r="O3109" s="15">
        <f t="shared" ca="1" si="310"/>
        <v>29</v>
      </c>
      <c r="P3109" s="16">
        <f t="shared" ca="1" si="311"/>
        <v>1.5232100000000628</v>
      </c>
      <c r="Q3109" s="11" t="str">
        <f t="shared" ca="1" si="297"/>
        <v/>
      </c>
      <c r="R3109" s="11" t="str">
        <f t="shared" ca="1" si="298"/>
        <v/>
      </c>
      <c r="S3109" s="61" t="str">
        <f t="shared" ca="1" si="299"/>
        <v/>
      </c>
      <c r="T3109" s="11" t="str">
        <f t="shared" ca="1" si="300"/>
        <v/>
      </c>
      <c r="U3109" s="11" t="str">
        <f t="shared" ca="1" si="301"/>
        <v/>
      </c>
      <c r="V3109" s="18" t="str">
        <f t="shared" ca="1" si="302"/>
        <v/>
      </c>
      <c r="W3109" s="61" t="str">
        <f t="shared" ca="1" si="303"/>
        <v/>
      </c>
      <c r="X3109" s="61">
        <f t="shared" ca="1" si="304"/>
        <v>0</v>
      </c>
      <c r="Y3109" s="64" t="str">
        <f t="shared" ca="1" si="305"/>
        <v/>
      </c>
    </row>
    <row r="3110" spans="1:25">
      <c r="A3110" s="2">
        <f>+Get_Data!A3109</f>
        <v>43956</v>
      </c>
      <c r="B3110">
        <f>+ROUND(Get_Data!B3109,5)</f>
        <v>129.72305</v>
      </c>
      <c r="C3110">
        <f>+ROUND(Get_Data!C3109,5)</f>
        <v>44.629989999999999</v>
      </c>
      <c r="D3110" s="4">
        <f t="shared" si="290"/>
        <v>2.9066299999999998</v>
      </c>
      <c r="E3110" s="22">
        <f t="shared" ca="1" si="291"/>
        <v>2.9640599999999999</v>
      </c>
      <c r="F3110" s="23">
        <f t="shared" ca="1" si="292"/>
        <v>2.7201300000000002</v>
      </c>
      <c r="G3110" s="10">
        <f t="shared" ca="1" si="293"/>
        <v>0</v>
      </c>
      <c r="H3110" s="12">
        <f t="shared" ca="1" si="294"/>
        <v>0</v>
      </c>
      <c r="I3110" s="11">
        <f t="shared" ca="1" si="295"/>
        <v>0</v>
      </c>
      <c r="J3110" s="11">
        <f t="shared" ca="1" si="296"/>
        <v>2</v>
      </c>
      <c r="K3110" s="10">
        <f t="shared" ca="1" si="306"/>
        <v>-128.33389</v>
      </c>
      <c r="L3110" s="11">
        <f t="shared" ca="1" si="307"/>
        <v>44.305590000000002</v>
      </c>
      <c r="M3110" s="11">
        <f t="shared" ca="1" si="308"/>
        <v>2.89656</v>
      </c>
      <c r="N3110" s="15">
        <f t="shared" ca="1" si="309"/>
        <v>10</v>
      </c>
      <c r="O3110" s="15">
        <f t="shared" ca="1" si="310"/>
        <v>29</v>
      </c>
      <c r="P3110" s="16">
        <f t="shared" ca="1" si="311"/>
        <v>1.5232100000000628</v>
      </c>
      <c r="Q3110" s="11" t="str">
        <f t="shared" ca="1" si="297"/>
        <v/>
      </c>
      <c r="R3110" s="11" t="str">
        <f t="shared" ca="1" si="298"/>
        <v/>
      </c>
      <c r="S3110" s="61" t="str">
        <f t="shared" ca="1" si="299"/>
        <v/>
      </c>
      <c r="T3110" s="11" t="str">
        <f t="shared" ca="1" si="300"/>
        <v/>
      </c>
      <c r="U3110" s="11" t="str">
        <f t="shared" ca="1" si="301"/>
        <v/>
      </c>
      <c r="V3110" s="18" t="str">
        <f t="shared" ca="1" si="302"/>
        <v/>
      </c>
      <c r="W3110" s="61" t="str">
        <f t="shared" ca="1" si="303"/>
        <v/>
      </c>
      <c r="X3110" s="61">
        <f t="shared" ca="1" si="304"/>
        <v>0</v>
      </c>
      <c r="Y3110" s="64" t="str">
        <f t="shared" ca="1" si="305"/>
        <v/>
      </c>
    </row>
    <row r="3111" spans="1:25">
      <c r="A3111" s="2">
        <f>+Get_Data!A3110</f>
        <v>43957</v>
      </c>
      <c r="B3111">
        <f>+ROUND(Get_Data!B3110,5)</f>
        <v>128.84621999999999</v>
      </c>
      <c r="C3111">
        <f>+ROUND(Get_Data!C3110,5)</f>
        <v>43.991010000000003</v>
      </c>
      <c r="D3111" s="4">
        <f t="shared" si="290"/>
        <v>2.9289200000000002</v>
      </c>
      <c r="E3111" s="22">
        <f t="shared" ca="1" si="291"/>
        <v>2.9640599999999999</v>
      </c>
      <c r="F3111" s="23">
        <f t="shared" ca="1" si="292"/>
        <v>2.7331699999999999</v>
      </c>
      <c r="G3111" s="10">
        <f t="shared" ca="1" si="293"/>
        <v>0</v>
      </c>
      <c r="H3111" s="12">
        <f t="shared" ca="1" si="294"/>
        <v>0</v>
      </c>
      <c r="I3111" s="11">
        <f t="shared" ca="1" si="295"/>
        <v>0</v>
      </c>
      <c r="J3111" s="11">
        <f t="shared" ca="1" si="296"/>
        <v>2</v>
      </c>
      <c r="K3111" s="10">
        <f t="shared" ca="1" si="306"/>
        <v>-128.33389</v>
      </c>
      <c r="L3111" s="11">
        <f t="shared" ca="1" si="307"/>
        <v>44.305590000000002</v>
      </c>
      <c r="M3111" s="11">
        <f t="shared" ca="1" si="308"/>
        <v>2.89656</v>
      </c>
      <c r="N3111" s="15">
        <f t="shared" ca="1" si="309"/>
        <v>10</v>
      </c>
      <c r="O3111" s="15">
        <f t="shared" ca="1" si="310"/>
        <v>29</v>
      </c>
      <c r="P3111" s="16">
        <f t="shared" ca="1" si="311"/>
        <v>1.5232100000000628</v>
      </c>
      <c r="Q3111" s="11" t="str">
        <f t="shared" ca="1" si="297"/>
        <v/>
      </c>
      <c r="R3111" s="11" t="str">
        <f t="shared" ca="1" si="298"/>
        <v/>
      </c>
      <c r="S3111" s="61" t="str">
        <f t="shared" ca="1" si="299"/>
        <v/>
      </c>
      <c r="T3111" s="11" t="str">
        <f t="shared" ca="1" si="300"/>
        <v/>
      </c>
      <c r="U3111" s="11" t="str">
        <f t="shared" ca="1" si="301"/>
        <v/>
      </c>
      <c r="V3111" s="18" t="str">
        <f t="shared" ca="1" si="302"/>
        <v/>
      </c>
      <c r="W3111" s="61" t="str">
        <f t="shared" ca="1" si="303"/>
        <v/>
      </c>
      <c r="X3111" s="61">
        <f t="shared" ca="1" si="304"/>
        <v>0</v>
      </c>
      <c r="Y3111" s="64" t="str">
        <f t="shared" ca="1" si="305"/>
        <v/>
      </c>
    </row>
    <row r="3112" spans="1:25">
      <c r="A3112" s="2">
        <f>+Get_Data!A3111</f>
        <v>43958</v>
      </c>
      <c r="B3112">
        <f>+ROUND(Get_Data!B3111,5)</f>
        <v>129.60484</v>
      </c>
      <c r="C3112">
        <f>+ROUND(Get_Data!C3111,5)</f>
        <v>43.843559999999997</v>
      </c>
      <c r="D3112" s="4">
        <f t="shared" si="290"/>
        <v>2.95607</v>
      </c>
      <c r="E3112" s="22">
        <f t="shared" ca="1" si="291"/>
        <v>2.9640599999999999</v>
      </c>
      <c r="F3112" s="23">
        <f t="shared" ca="1" si="292"/>
        <v>2.7331699999999999</v>
      </c>
      <c r="G3112" s="10">
        <f t="shared" ca="1" si="293"/>
        <v>0</v>
      </c>
      <c r="H3112" s="12">
        <f t="shared" ca="1" si="294"/>
        <v>0</v>
      </c>
      <c r="I3112" s="11">
        <f t="shared" ca="1" si="295"/>
        <v>0</v>
      </c>
      <c r="J3112" s="11">
        <f t="shared" ca="1" si="296"/>
        <v>2</v>
      </c>
      <c r="K3112" s="10">
        <f t="shared" ca="1" si="306"/>
        <v>-128.33389</v>
      </c>
      <c r="L3112" s="11">
        <f t="shared" ca="1" si="307"/>
        <v>44.305590000000002</v>
      </c>
      <c r="M3112" s="11">
        <f t="shared" ca="1" si="308"/>
        <v>2.89656</v>
      </c>
      <c r="N3112" s="15">
        <f t="shared" ca="1" si="309"/>
        <v>10</v>
      </c>
      <c r="O3112" s="15">
        <f t="shared" ca="1" si="310"/>
        <v>29</v>
      </c>
      <c r="P3112" s="16">
        <f t="shared" ca="1" si="311"/>
        <v>1.5232100000000628</v>
      </c>
      <c r="Q3112" s="11" t="str">
        <f t="shared" ca="1" si="297"/>
        <v/>
      </c>
      <c r="R3112" s="11" t="str">
        <f t="shared" ca="1" si="298"/>
        <v/>
      </c>
      <c r="S3112" s="61" t="str">
        <f t="shared" ca="1" si="299"/>
        <v/>
      </c>
      <c r="T3112" s="11" t="str">
        <f t="shared" ca="1" si="300"/>
        <v/>
      </c>
      <c r="U3112" s="11" t="str">
        <f t="shared" ca="1" si="301"/>
        <v/>
      </c>
      <c r="V3112" s="18" t="str">
        <f t="shared" ca="1" si="302"/>
        <v/>
      </c>
      <c r="W3112" s="61" t="str">
        <f t="shared" ca="1" si="303"/>
        <v/>
      </c>
      <c r="X3112" s="61">
        <f t="shared" ca="1" si="304"/>
        <v>0</v>
      </c>
      <c r="Y3112" s="64" t="str">
        <f t="shared" ca="1" si="305"/>
        <v/>
      </c>
    </row>
    <row r="3113" spans="1:25">
      <c r="A3113" s="2">
        <f>+Get_Data!A3112</f>
        <v>43959</v>
      </c>
      <c r="B3113">
        <f>+ROUND(Get_Data!B3112,5)</f>
        <v>132.24520999999999</v>
      </c>
      <c r="C3113">
        <f>+ROUND(Get_Data!C3112,5)</f>
        <v>45.327950000000001</v>
      </c>
      <c r="D3113" s="4">
        <f t="shared" si="290"/>
        <v>2.9175200000000001</v>
      </c>
      <c r="E3113" s="22">
        <f t="shared" ca="1" si="291"/>
        <v>2.9640599999999999</v>
      </c>
      <c r="F3113" s="23">
        <f t="shared" ca="1" si="292"/>
        <v>2.7331699999999999</v>
      </c>
      <c r="G3113" s="10">
        <f t="shared" ca="1" si="293"/>
        <v>0</v>
      </c>
      <c r="H3113" s="12">
        <f t="shared" ca="1" si="294"/>
        <v>0</v>
      </c>
      <c r="I3113" s="11">
        <f t="shared" ca="1" si="295"/>
        <v>0</v>
      </c>
      <c r="J3113" s="11">
        <f t="shared" ca="1" si="296"/>
        <v>2</v>
      </c>
      <c r="K3113" s="10">
        <f t="shared" ca="1" si="306"/>
        <v>-128.33389</v>
      </c>
      <c r="L3113" s="11">
        <f t="shared" ca="1" si="307"/>
        <v>44.305590000000002</v>
      </c>
      <c r="M3113" s="11">
        <f t="shared" ca="1" si="308"/>
        <v>2.89656</v>
      </c>
      <c r="N3113" s="15">
        <f t="shared" ca="1" si="309"/>
        <v>10</v>
      </c>
      <c r="O3113" s="15">
        <f t="shared" ca="1" si="310"/>
        <v>29</v>
      </c>
      <c r="P3113" s="16">
        <f t="shared" ca="1" si="311"/>
        <v>1.5232100000000628</v>
      </c>
      <c r="Q3113" s="11" t="str">
        <f t="shared" ca="1" si="297"/>
        <v/>
      </c>
      <c r="R3113" s="11" t="str">
        <f t="shared" ca="1" si="298"/>
        <v/>
      </c>
      <c r="S3113" s="61" t="str">
        <f t="shared" ca="1" si="299"/>
        <v/>
      </c>
      <c r="T3113" s="11" t="str">
        <f t="shared" ca="1" si="300"/>
        <v/>
      </c>
      <c r="U3113" s="11" t="str">
        <f t="shared" ca="1" si="301"/>
        <v/>
      </c>
      <c r="V3113" s="18" t="str">
        <f t="shared" ca="1" si="302"/>
        <v/>
      </c>
      <c r="W3113" s="61" t="str">
        <f t="shared" ca="1" si="303"/>
        <v/>
      </c>
      <c r="X3113" s="61">
        <f t="shared" ca="1" si="304"/>
        <v>0</v>
      </c>
      <c r="Y3113" s="64" t="str">
        <f t="shared" ca="1" si="305"/>
        <v/>
      </c>
    </row>
    <row r="3114" spans="1:25">
      <c r="A3114" s="2">
        <f>+Get_Data!A3113</f>
        <v>43962</v>
      </c>
      <c r="B3114">
        <f>+ROUND(Get_Data!B3113,5)</f>
        <v>132.39296999999999</v>
      </c>
      <c r="C3114">
        <f>+ROUND(Get_Data!C3113,5)</f>
        <v>44.767620000000001</v>
      </c>
      <c r="D3114" s="4">
        <f t="shared" si="290"/>
        <v>2.9573399999999999</v>
      </c>
      <c r="E3114" s="22">
        <f t="shared" ca="1" si="291"/>
        <v>2.9640599999999999</v>
      </c>
      <c r="F3114" s="23">
        <f t="shared" ca="1" si="292"/>
        <v>2.7331699999999999</v>
      </c>
      <c r="G3114" s="10">
        <f t="shared" ca="1" si="293"/>
        <v>0</v>
      </c>
      <c r="H3114" s="12">
        <f t="shared" ca="1" si="294"/>
        <v>0</v>
      </c>
      <c r="I3114" s="11">
        <f t="shared" ca="1" si="295"/>
        <v>0</v>
      </c>
      <c r="J3114" s="11">
        <f t="shared" ca="1" si="296"/>
        <v>2</v>
      </c>
      <c r="K3114" s="10">
        <f t="shared" ca="1" si="306"/>
        <v>-128.33389</v>
      </c>
      <c r="L3114" s="11">
        <f t="shared" ca="1" si="307"/>
        <v>44.305590000000002</v>
      </c>
      <c r="M3114" s="11">
        <f t="shared" ca="1" si="308"/>
        <v>2.89656</v>
      </c>
      <c r="N3114" s="15">
        <f t="shared" ca="1" si="309"/>
        <v>10</v>
      </c>
      <c r="O3114" s="15">
        <f t="shared" ca="1" si="310"/>
        <v>29</v>
      </c>
      <c r="P3114" s="16">
        <f t="shared" ca="1" si="311"/>
        <v>1.5232100000000628</v>
      </c>
      <c r="Q3114" s="11" t="str">
        <f t="shared" ca="1" si="297"/>
        <v/>
      </c>
      <c r="R3114" s="11" t="str">
        <f t="shared" ca="1" si="298"/>
        <v/>
      </c>
      <c r="S3114" s="61" t="str">
        <f t="shared" ca="1" si="299"/>
        <v/>
      </c>
      <c r="T3114" s="11" t="str">
        <f t="shared" ca="1" si="300"/>
        <v/>
      </c>
      <c r="U3114" s="11" t="str">
        <f t="shared" ca="1" si="301"/>
        <v/>
      </c>
      <c r="V3114" s="18" t="str">
        <f t="shared" ca="1" si="302"/>
        <v/>
      </c>
      <c r="W3114" s="61" t="str">
        <f t="shared" ca="1" si="303"/>
        <v/>
      </c>
      <c r="X3114" s="61">
        <f t="shared" ca="1" si="304"/>
        <v>0</v>
      </c>
      <c r="Y3114" s="64" t="str">
        <f t="shared" ca="1" si="305"/>
        <v/>
      </c>
    </row>
    <row r="3115" spans="1:25">
      <c r="A3115" s="2">
        <f>+Get_Data!A3114</f>
        <v>43963</v>
      </c>
      <c r="B3115">
        <f>+ROUND(Get_Data!B3114,5)</f>
        <v>130.97426999999999</v>
      </c>
      <c r="C3115">
        <f>+ROUND(Get_Data!C3114,5)</f>
        <v>44.059829999999998</v>
      </c>
      <c r="D3115" s="4">
        <f t="shared" si="290"/>
        <v>2.9726499999999998</v>
      </c>
      <c r="E3115" s="22">
        <f t="shared" ca="1" si="291"/>
        <v>2.9726499999999998</v>
      </c>
      <c r="F3115" s="23">
        <f t="shared" ca="1" si="292"/>
        <v>2.7331699999999999</v>
      </c>
      <c r="G3115" s="10">
        <f t="shared" ca="1" si="293"/>
        <v>1</v>
      </c>
      <c r="H3115" s="12">
        <f t="shared" ca="1" si="294"/>
        <v>0</v>
      </c>
      <c r="I3115" s="11">
        <f t="shared" ca="1" si="295"/>
        <v>1</v>
      </c>
      <c r="J3115" s="11">
        <f t="shared" ca="1" si="296"/>
        <v>0</v>
      </c>
      <c r="K3115" s="10">
        <f t="shared" ca="1" si="306"/>
        <v>-128.33389</v>
      </c>
      <c r="L3115" s="11">
        <f t="shared" ca="1" si="307"/>
        <v>44.305590000000002</v>
      </c>
      <c r="M3115" s="11">
        <f t="shared" ca="1" si="308"/>
        <v>2.89656</v>
      </c>
      <c r="N3115" s="15">
        <f t="shared" ca="1" si="309"/>
        <v>10</v>
      </c>
      <c r="O3115" s="15">
        <f t="shared" ca="1" si="310"/>
        <v>29</v>
      </c>
      <c r="P3115" s="16">
        <f t="shared" ca="1" si="311"/>
        <v>1.5232100000000628</v>
      </c>
      <c r="Q3115" s="11" t="str">
        <f t="shared" ca="1" si="297"/>
        <v/>
      </c>
      <c r="R3115" s="11" t="str">
        <f t="shared" ca="1" si="298"/>
        <v/>
      </c>
      <c r="S3115" s="61" t="str">
        <f t="shared" ca="1" si="299"/>
        <v/>
      </c>
      <c r="T3115" s="11" t="str">
        <f t="shared" ca="1" si="300"/>
        <v/>
      </c>
      <c r="U3115" s="11" t="str">
        <f t="shared" ca="1" si="301"/>
        <v/>
      </c>
      <c r="V3115" s="18" t="str">
        <f t="shared" ca="1" si="302"/>
        <v/>
      </c>
      <c r="W3115" s="61" t="str">
        <f t="shared" ca="1" si="303"/>
        <v/>
      </c>
      <c r="X3115" s="61">
        <f t="shared" ca="1" si="304"/>
        <v>0</v>
      </c>
      <c r="Y3115" s="64" t="str">
        <f t="shared" ca="1" si="305"/>
        <v/>
      </c>
    </row>
    <row r="3116" spans="1:25">
      <c r="A3116" s="2">
        <f>+Get_Data!A3115</f>
        <v>43964</v>
      </c>
      <c r="B3116">
        <f>+ROUND(Get_Data!B3115,5)</f>
        <v>130.99399</v>
      </c>
      <c r="C3116">
        <f>+ROUND(Get_Data!C3115,5)</f>
        <v>43.194749999999999</v>
      </c>
      <c r="D3116" s="4">
        <f t="shared" si="290"/>
        <v>3.0326399999999998</v>
      </c>
      <c r="E3116" s="22">
        <f t="shared" ca="1" si="291"/>
        <v>3.0326399999999998</v>
      </c>
      <c r="F3116" s="23">
        <f t="shared" ca="1" si="292"/>
        <v>2.7331699999999999</v>
      </c>
      <c r="G3116" s="10">
        <f t="shared" ca="1" si="293"/>
        <v>1</v>
      </c>
      <c r="H3116" s="12">
        <f t="shared" ca="1" si="294"/>
        <v>0</v>
      </c>
      <c r="I3116" s="11">
        <f t="shared" ca="1" si="295"/>
        <v>1</v>
      </c>
      <c r="J3116" s="11">
        <f t="shared" ca="1" si="296"/>
        <v>1</v>
      </c>
      <c r="K3116" s="10" t="str">
        <f t="shared" ca="1" si="306"/>
        <v/>
      </c>
      <c r="L3116" s="11" t="str">
        <f t="shared" ca="1" si="307"/>
        <v/>
      </c>
      <c r="M3116" s="11" t="str">
        <f t="shared" ca="1" si="308"/>
        <v/>
      </c>
      <c r="N3116" s="15" t="str">
        <f t="shared" ca="1" si="309"/>
        <v/>
      </c>
      <c r="O3116" s="15" t="str">
        <f t="shared" ca="1" si="310"/>
        <v/>
      </c>
      <c r="P3116" s="16" t="str">
        <f t="shared" ca="1" si="311"/>
        <v/>
      </c>
      <c r="Q3116" s="11">
        <f t="shared" ca="1" si="297"/>
        <v>130.99399</v>
      </c>
      <c r="R3116" s="11">
        <f t="shared" ca="1" si="298"/>
        <v>43.194749999999999</v>
      </c>
      <c r="S3116" s="61">
        <f t="shared" ca="1" si="299"/>
        <v>3.0326399999999998</v>
      </c>
      <c r="T3116" s="11">
        <f t="shared" ca="1" si="300"/>
        <v>10</v>
      </c>
      <c r="U3116" s="11">
        <f t="shared" ca="1" si="301"/>
        <v>29</v>
      </c>
      <c r="V3116" s="18">
        <f t="shared" ca="1" si="302"/>
        <v>-2593.2788</v>
      </c>
      <c r="W3116" s="61">
        <f t="shared" ca="1" si="303"/>
        <v>2537.5098599999997</v>
      </c>
      <c r="X3116" s="61">
        <f t="shared" ca="1" si="304"/>
        <v>-55.768940000000384</v>
      </c>
      <c r="Y3116" s="64">
        <f t="shared" ca="1" si="305"/>
        <v>-4.4520847939894019E-2</v>
      </c>
    </row>
    <row r="3117" spans="1:25">
      <c r="A3117" s="2">
        <f>+Get_Data!A3116</f>
        <v>43965</v>
      </c>
      <c r="B3117">
        <f>+ROUND(Get_Data!B3116,5)</f>
        <v>131.11221</v>
      </c>
      <c r="C3117">
        <f>+ROUND(Get_Data!C3116,5)</f>
        <v>42.958820000000003</v>
      </c>
      <c r="D3117" s="4">
        <f t="shared" si="290"/>
        <v>3.0520399999999999</v>
      </c>
      <c r="E3117" s="22">
        <f t="shared" ca="1" si="291"/>
        <v>3.0520399999999999</v>
      </c>
      <c r="F3117" s="23">
        <f t="shared" ca="1" si="292"/>
        <v>2.7331699999999999</v>
      </c>
      <c r="G3117" s="10">
        <f t="shared" ca="1" si="293"/>
        <v>1</v>
      </c>
      <c r="H3117" s="12">
        <f t="shared" ca="1" si="294"/>
        <v>0</v>
      </c>
      <c r="I3117" s="11">
        <f t="shared" ca="1" si="295"/>
        <v>1</v>
      </c>
      <c r="J3117" s="11">
        <f t="shared" ca="1" si="296"/>
        <v>2</v>
      </c>
      <c r="K3117" s="10">
        <f t="shared" ca="1" si="306"/>
        <v>-131.11221</v>
      </c>
      <c r="L3117" s="11">
        <f t="shared" ca="1" si="307"/>
        <v>42.958820000000003</v>
      </c>
      <c r="M3117" s="11">
        <f t="shared" ca="1" si="308"/>
        <v>3.0520399999999999</v>
      </c>
      <c r="N3117" s="15">
        <f t="shared" ca="1" si="309"/>
        <v>10</v>
      </c>
      <c r="O3117" s="15">
        <f t="shared" ca="1" si="310"/>
        <v>31</v>
      </c>
      <c r="P3117" s="16">
        <f t="shared" ca="1" si="311"/>
        <v>20.601319999999987</v>
      </c>
      <c r="Q3117" s="11" t="str">
        <f t="shared" ca="1" si="297"/>
        <v/>
      </c>
      <c r="R3117" s="11" t="str">
        <f t="shared" ca="1" si="298"/>
        <v/>
      </c>
      <c r="S3117" s="61" t="str">
        <f t="shared" ca="1" si="299"/>
        <v/>
      </c>
      <c r="T3117" s="11" t="str">
        <f t="shared" ca="1" si="300"/>
        <v/>
      </c>
      <c r="U3117" s="11" t="str">
        <f t="shared" ca="1" si="301"/>
        <v/>
      </c>
      <c r="V3117" s="18" t="str">
        <f t="shared" ca="1" si="302"/>
        <v/>
      </c>
      <c r="W3117" s="61" t="str">
        <f t="shared" ca="1" si="303"/>
        <v/>
      </c>
      <c r="X3117" s="61">
        <f t="shared" ca="1" si="304"/>
        <v>0</v>
      </c>
      <c r="Y3117" s="64" t="str">
        <f t="shared" ca="1" si="305"/>
        <v/>
      </c>
    </row>
    <row r="3118" spans="1:25">
      <c r="A3118" s="2">
        <f>+Get_Data!A3117</f>
        <v>43966</v>
      </c>
      <c r="B3118">
        <f>+ROUND(Get_Data!B3117,5)</f>
        <v>133.93977000000001</v>
      </c>
      <c r="C3118">
        <f>+ROUND(Get_Data!C3117,5)</f>
        <v>42.526290000000003</v>
      </c>
      <c r="D3118" s="4">
        <f t="shared" si="290"/>
        <v>3.1495799999999998</v>
      </c>
      <c r="E3118" s="22">
        <f t="shared" ca="1" si="291"/>
        <v>3.1495799999999998</v>
      </c>
      <c r="F3118" s="23">
        <f t="shared" ca="1" si="292"/>
        <v>2.79522</v>
      </c>
      <c r="G3118" s="10">
        <f t="shared" ca="1" si="293"/>
        <v>1</v>
      </c>
      <c r="H3118" s="12">
        <f t="shared" ca="1" si="294"/>
        <v>0</v>
      </c>
      <c r="I3118" s="11">
        <f t="shared" ca="1" si="295"/>
        <v>1</v>
      </c>
      <c r="J3118" s="11">
        <f t="shared" ca="1" si="296"/>
        <v>0</v>
      </c>
      <c r="K3118" s="10">
        <f t="shared" ca="1" si="306"/>
        <v>-131.11221</v>
      </c>
      <c r="L3118" s="11">
        <f t="shared" ca="1" si="307"/>
        <v>42.958820000000003</v>
      </c>
      <c r="M3118" s="11">
        <f t="shared" ca="1" si="308"/>
        <v>3.0520399999999999</v>
      </c>
      <c r="N3118" s="15">
        <f t="shared" ca="1" si="309"/>
        <v>10</v>
      </c>
      <c r="O3118" s="15">
        <f t="shared" ca="1" si="310"/>
        <v>31</v>
      </c>
      <c r="P3118" s="16">
        <f t="shared" ca="1" si="311"/>
        <v>20.601319999999987</v>
      </c>
      <c r="Q3118" s="11" t="str">
        <f t="shared" ca="1" si="297"/>
        <v/>
      </c>
      <c r="R3118" s="11" t="str">
        <f t="shared" ca="1" si="298"/>
        <v/>
      </c>
      <c r="S3118" s="61" t="str">
        <f t="shared" ca="1" si="299"/>
        <v/>
      </c>
      <c r="T3118" s="11" t="str">
        <f t="shared" ca="1" si="300"/>
        <v/>
      </c>
      <c r="U3118" s="11" t="str">
        <f t="shared" ca="1" si="301"/>
        <v/>
      </c>
      <c r="V3118" s="18" t="str">
        <f t="shared" ca="1" si="302"/>
        <v/>
      </c>
      <c r="W3118" s="61" t="str">
        <f t="shared" ca="1" si="303"/>
        <v/>
      </c>
      <c r="X3118" s="61">
        <f t="shared" ca="1" si="304"/>
        <v>0</v>
      </c>
      <c r="Y3118" s="64" t="str">
        <f t="shared" ca="1" si="305"/>
        <v/>
      </c>
    </row>
    <row r="3119" spans="1:25">
      <c r="A3119" s="2">
        <f>+Get_Data!A3118</f>
        <v>43969</v>
      </c>
      <c r="B3119">
        <f>+ROUND(Get_Data!B3118,5)</f>
        <v>133.51613</v>
      </c>
      <c r="C3119">
        <f>+ROUND(Get_Data!C3118,5)</f>
        <v>44.207279999999997</v>
      </c>
      <c r="D3119" s="4">
        <f t="shared" si="290"/>
        <v>3.0202300000000002</v>
      </c>
      <c r="E3119" s="22">
        <f t="shared" ca="1" si="291"/>
        <v>3.1495799999999998</v>
      </c>
      <c r="F3119" s="23">
        <f t="shared" ca="1" si="292"/>
        <v>2.8353700000000002</v>
      </c>
      <c r="G3119" s="10">
        <f t="shared" ca="1" si="293"/>
        <v>0</v>
      </c>
      <c r="H3119" s="12">
        <f t="shared" ca="1" si="294"/>
        <v>0</v>
      </c>
      <c r="I3119" s="11">
        <f t="shared" ca="1" si="295"/>
        <v>0</v>
      </c>
      <c r="J3119" s="11">
        <f t="shared" ca="1" si="296"/>
        <v>0</v>
      </c>
      <c r="K3119" s="10" t="str">
        <f t="shared" ca="1" si="306"/>
        <v/>
      </c>
      <c r="L3119" s="11" t="str">
        <f t="shared" ca="1" si="307"/>
        <v/>
      </c>
      <c r="M3119" s="11" t="str">
        <f t="shared" ca="1" si="308"/>
        <v/>
      </c>
      <c r="N3119" s="15" t="str">
        <f t="shared" ca="1" si="309"/>
        <v/>
      </c>
      <c r="O3119" s="15" t="str">
        <f t="shared" ca="1" si="310"/>
        <v/>
      </c>
      <c r="P3119" s="16" t="str">
        <f t="shared" ca="1" si="311"/>
        <v/>
      </c>
      <c r="Q3119" s="11">
        <f t="shared" ca="1" si="297"/>
        <v>133.51613</v>
      </c>
      <c r="R3119" s="11">
        <f t="shared" ca="1" si="298"/>
        <v>44.207279999999997</v>
      </c>
      <c r="S3119" s="61">
        <f t="shared" ca="1" si="299"/>
        <v>3.0202300000000002</v>
      </c>
      <c r="T3119" s="11">
        <f t="shared" ca="1" si="300"/>
        <v>10</v>
      </c>
      <c r="U3119" s="11">
        <f t="shared" ca="1" si="301"/>
        <v>31</v>
      </c>
      <c r="V3119" s="18">
        <f t="shared" ca="1" si="302"/>
        <v>-2646.2833999999998</v>
      </c>
      <c r="W3119" s="61">
        <f t="shared" ca="1" si="303"/>
        <v>2702.1491000000001</v>
      </c>
      <c r="X3119" s="61">
        <f t="shared" ca="1" si="304"/>
        <v>55.865700000000288</v>
      </c>
      <c r="Y3119" s="64">
        <f t="shared" ca="1" si="305"/>
        <v>4.0765216833940458E-2</v>
      </c>
    </row>
    <row r="3120" spans="1:25">
      <c r="A3120" s="2">
        <f>+Get_Data!A3119</f>
        <v>43970</v>
      </c>
      <c r="B3120">
        <f>+ROUND(Get_Data!B3119,5)</f>
        <v>129.78215</v>
      </c>
      <c r="C3120">
        <f>+ROUND(Get_Data!C3119,5)</f>
        <v>43.784579999999998</v>
      </c>
      <c r="D3120" s="4">
        <f t="shared" si="290"/>
        <v>2.9641099999999998</v>
      </c>
      <c r="E3120" s="22">
        <f t="shared" ca="1" si="291"/>
        <v>3.1495799999999998</v>
      </c>
      <c r="F3120" s="23">
        <f t="shared" ca="1" si="292"/>
        <v>2.8364799999999999</v>
      </c>
      <c r="G3120" s="10">
        <f t="shared" ca="1" si="293"/>
        <v>0</v>
      </c>
      <c r="H3120" s="12">
        <f t="shared" ca="1" si="294"/>
        <v>0</v>
      </c>
      <c r="I3120" s="11">
        <f t="shared" ca="1" si="295"/>
        <v>0</v>
      </c>
      <c r="J3120" s="11">
        <f t="shared" ca="1" si="296"/>
        <v>0</v>
      </c>
      <c r="K3120" s="10" t="str">
        <f t="shared" ca="1" si="306"/>
        <v/>
      </c>
      <c r="L3120" s="11" t="str">
        <f t="shared" ca="1" si="307"/>
        <v/>
      </c>
      <c r="M3120" s="11" t="str">
        <f t="shared" ca="1" si="308"/>
        <v/>
      </c>
      <c r="N3120" s="15" t="str">
        <f t="shared" ca="1" si="309"/>
        <v/>
      </c>
      <c r="O3120" s="15" t="str">
        <f t="shared" ca="1" si="310"/>
        <v/>
      </c>
      <c r="P3120" s="16" t="str">
        <f t="shared" ca="1" si="311"/>
        <v/>
      </c>
      <c r="Q3120" s="11" t="str">
        <f t="shared" ca="1" si="297"/>
        <v/>
      </c>
      <c r="R3120" s="11" t="str">
        <f t="shared" ca="1" si="298"/>
        <v/>
      </c>
      <c r="S3120" s="61" t="str">
        <f t="shared" ca="1" si="299"/>
        <v/>
      </c>
      <c r="T3120" s="11" t="str">
        <f t="shared" ca="1" si="300"/>
        <v/>
      </c>
      <c r="U3120" s="11" t="str">
        <f t="shared" ca="1" si="301"/>
        <v/>
      </c>
      <c r="V3120" s="18" t="str">
        <f t="shared" ca="1" si="302"/>
        <v/>
      </c>
      <c r="W3120" s="61" t="str">
        <f t="shared" ca="1" si="303"/>
        <v/>
      </c>
      <c r="X3120" s="61">
        <f t="shared" ca="1" si="304"/>
        <v>0</v>
      </c>
      <c r="Y3120" s="64" t="str">
        <f t="shared" ca="1" si="305"/>
        <v/>
      </c>
    </row>
    <row r="3121" spans="1:25">
      <c r="A3121" s="2">
        <f>+Get_Data!A3120</f>
        <v>43971</v>
      </c>
      <c r="B3121">
        <f>+ROUND(Get_Data!B3120,5)</f>
        <v>129.31910999999999</v>
      </c>
      <c r="C3121">
        <f>+ROUND(Get_Data!C3120,5)</f>
        <v>45.11168</v>
      </c>
      <c r="D3121" s="4">
        <f t="shared" si="290"/>
        <v>2.8666399999999999</v>
      </c>
      <c r="E3121" s="22">
        <f t="shared" ca="1" si="291"/>
        <v>3.1495799999999998</v>
      </c>
      <c r="F3121" s="23">
        <f t="shared" ca="1" si="292"/>
        <v>2.8364799999999999</v>
      </c>
      <c r="G3121" s="10">
        <f t="shared" ca="1" si="293"/>
        <v>0</v>
      </c>
      <c r="H3121" s="12">
        <f t="shared" ca="1" si="294"/>
        <v>0</v>
      </c>
      <c r="I3121" s="11">
        <f t="shared" ca="1" si="295"/>
        <v>0</v>
      </c>
      <c r="J3121" s="11">
        <f t="shared" ca="1" si="296"/>
        <v>0</v>
      </c>
      <c r="K3121" s="10" t="str">
        <f t="shared" ca="1" si="306"/>
        <v/>
      </c>
      <c r="L3121" s="11" t="str">
        <f t="shared" ca="1" si="307"/>
        <v/>
      </c>
      <c r="M3121" s="11" t="str">
        <f t="shared" ca="1" si="308"/>
        <v/>
      </c>
      <c r="N3121" s="15" t="str">
        <f t="shared" ca="1" si="309"/>
        <v/>
      </c>
      <c r="O3121" s="15" t="str">
        <f t="shared" ca="1" si="310"/>
        <v/>
      </c>
      <c r="P3121" s="16" t="str">
        <f t="shared" ca="1" si="311"/>
        <v/>
      </c>
      <c r="Q3121" s="11" t="str">
        <f t="shared" ca="1" si="297"/>
        <v/>
      </c>
      <c r="R3121" s="11" t="str">
        <f t="shared" ca="1" si="298"/>
        <v/>
      </c>
      <c r="S3121" s="61" t="str">
        <f t="shared" ca="1" si="299"/>
        <v/>
      </c>
      <c r="T3121" s="11" t="str">
        <f t="shared" ca="1" si="300"/>
        <v/>
      </c>
      <c r="U3121" s="11" t="str">
        <f t="shared" ca="1" si="301"/>
        <v/>
      </c>
      <c r="V3121" s="18" t="str">
        <f t="shared" ca="1" si="302"/>
        <v/>
      </c>
      <c r="W3121" s="61" t="str">
        <f t="shared" ca="1" si="303"/>
        <v/>
      </c>
      <c r="X3121" s="61">
        <f t="shared" ca="1" si="304"/>
        <v>0</v>
      </c>
      <c r="Y3121" s="64" t="str">
        <f t="shared" ca="1" si="305"/>
        <v/>
      </c>
    </row>
    <row r="3122" spans="1:25">
      <c r="A3122" s="2">
        <f>+Get_Data!A3121</f>
        <v>43972</v>
      </c>
      <c r="B3122">
        <f>+ROUND(Get_Data!B3121,5)</f>
        <v>128.28464</v>
      </c>
      <c r="C3122">
        <f>+ROUND(Get_Data!C3121,5)</f>
        <v>44.403889999999997</v>
      </c>
      <c r="D3122" s="4">
        <f t="shared" ref="D3122:D3185" si="312">IFERROR(ROUND(B3122/C3122,5),"")</f>
        <v>2.8890400000000001</v>
      </c>
      <c r="E3122" s="22">
        <f t="shared" ca="1" si="291"/>
        <v>3.1495799999999998</v>
      </c>
      <c r="F3122" s="23">
        <f t="shared" ca="1" si="292"/>
        <v>2.8364799999999999</v>
      </c>
      <c r="G3122" s="10">
        <f t="shared" ca="1" si="293"/>
        <v>0</v>
      </c>
      <c r="H3122" s="12">
        <f t="shared" ca="1" si="294"/>
        <v>0</v>
      </c>
      <c r="I3122" s="11">
        <f t="shared" ca="1" si="295"/>
        <v>0</v>
      </c>
      <c r="J3122" s="11">
        <f t="shared" ca="1" si="296"/>
        <v>0</v>
      </c>
      <c r="K3122" s="10" t="str">
        <f t="shared" ca="1" si="306"/>
        <v/>
      </c>
      <c r="L3122" s="11" t="str">
        <f t="shared" ca="1" si="307"/>
        <v/>
      </c>
      <c r="M3122" s="11" t="str">
        <f t="shared" ca="1" si="308"/>
        <v/>
      </c>
      <c r="N3122" s="15" t="str">
        <f t="shared" ca="1" si="309"/>
        <v/>
      </c>
      <c r="O3122" s="15" t="str">
        <f t="shared" ca="1" si="310"/>
        <v/>
      </c>
      <c r="P3122" s="16" t="str">
        <f t="shared" ca="1" si="311"/>
        <v/>
      </c>
      <c r="Q3122" s="11" t="str">
        <f t="shared" ca="1" si="297"/>
        <v/>
      </c>
      <c r="R3122" s="11" t="str">
        <f t="shared" ca="1" si="298"/>
        <v/>
      </c>
      <c r="S3122" s="61" t="str">
        <f t="shared" ca="1" si="299"/>
        <v/>
      </c>
      <c r="T3122" s="11" t="str">
        <f t="shared" ca="1" si="300"/>
        <v/>
      </c>
      <c r="U3122" s="11" t="str">
        <f t="shared" ca="1" si="301"/>
        <v/>
      </c>
      <c r="V3122" s="18" t="str">
        <f t="shared" ca="1" si="302"/>
        <v/>
      </c>
      <c r="W3122" s="61" t="str">
        <f t="shared" ca="1" si="303"/>
        <v/>
      </c>
      <c r="X3122" s="61">
        <f t="shared" ca="1" si="304"/>
        <v>0</v>
      </c>
      <c r="Y3122" s="64" t="str">
        <f t="shared" ca="1" si="305"/>
        <v/>
      </c>
    </row>
    <row r="3123" spans="1:25">
      <c r="A3123" s="2">
        <f>+Get_Data!A3122</f>
        <v>43973</v>
      </c>
      <c r="B3123">
        <f>+ROUND(Get_Data!B3122,5)</f>
        <v>128.55063999999999</v>
      </c>
      <c r="C3123">
        <f>+ROUND(Get_Data!C3122,5)</f>
        <v>44.266260000000003</v>
      </c>
      <c r="D3123" s="4">
        <f t="shared" si="312"/>
        <v>2.9040300000000001</v>
      </c>
      <c r="E3123" s="22">
        <f t="shared" ca="1" si="291"/>
        <v>3.1495799999999998</v>
      </c>
      <c r="F3123" s="23">
        <f t="shared" ca="1" si="292"/>
        <v>2.8364799999999999</v>
      </c>
      <c r="G3123" s="10">
        <f t="shared" ca="1" si="293"/>
        <v>0</v>
      </c>
      <c r="H3123" s="12">
        <f t="shared" ca="1" si="294"/>
        <v>0</v>
      </c>
      <c r="I3123" s="11">
        <f t="shared" ca="1" si="295"/>
        <v>0</v>
      </c>
      <c r="J3123" s="11">
        <f t="shared" ca="1" si="296"/>
        <v>0</v>
      </c>
      <c r="K3123" s="10" t="str">
        <f t="shared" ca="1" si="306"/>
        <v/>
      </c>
      <c r="L3123" s="11" t="str">
        <f t="shared" ca="1" si="307"/>
        <v/>
      </c>
      <c r="M3123" s="11" t="str">
        <f t="shared" ca="1" si="308"/>
        <v/>
      </c>
      <c r="N3123" s="15" t="str">
        <f t="shared" ca="1" si="309"/>
        <v/>
      </c>
      <c r="O3123" s="15" t="str">
        <f t="shared" ca="1" si="310"/>
        <v/>
      </c>
      <c r="P3123" s="16" t="str">
        <f t="shared" ca="1" si="311"/>
        <v/>
      </c>
      <c r="Q3123" s="11" t="str">
        <f t="shared" ca="1" si="297"/>
        <v/>
      </c>
      <c r="R3123" s="11" t="str">
        <f t="shared" ca="1" si="298"/>
        <v/>
      </c>
      <c r="S3123" s="61" t="str">
        <f t="shared" ca="1" si="299"/>
        <v/>
      </c>
      <c r="T3123" s="11" t="str">
        <f t="shared" ca="1" si="300"/>
        <v/>
      </c>
      <c r="U3123" s="11" t="str">
        <f t="shared" ca="1" si="301"/>
        <v/>
      </c>
      <c r="V3123" s="18" t="str">
        <f t="shared" ca="1" si="302"/>
        <v/>
      </c>
      <c r="W3123" s="61" t="str">
        <f t="shared" ca="1" si="303"/>
        <v/>
      </c>
      <c r="X3123" s="61">
        <f t="shared" ca="1" si="304"/>
        <v>0</v>
      </c>
      <c r="Y3123" s="64" t="str">
        <f t="shared" ca="1" si="305"/>
        <v/>
      </c>
    </row>
    <row r="3124" spans="1:25">
      <c r="A3124" s="2">
        <f>+Get_Data!A3123</f>
        <v>43977</v>
      </c>
      <c r="B3124">
        <f>+ROUND(Get_Data!B3123,5)</f>
        <v>127.83144</v>
      </c>
      <c r="C3124">
        <f>+ROUND(Get_Data!C3123,5)</f>
        <v>45.30829</v>
      </c>
      <c r="D3124" s="4">
        <f t="shared" si="312"/>
        <v>2.8213699999999999</v>
      </c>
      <c r="E3124" s="22">
        <f t="shared" ca="1" si="291"/>
        <v>3.1495799999999998</v>
      </c>
      <c r="F3124" s="23">
        <f t="shared" ca="1" si="292"/>
        <v>2.8213699999999999</v>
      </c>
      <c r="G3124" s="10">
        <f t="shared" ca="1" si="293"/>
        <v>0</v>
      </c>
      <c r="H3124" s="12">
        <f t="shared" ca="1" si="294"/>
        <v>1</v>
      </c>
      <c r="I3124" s="11">
        <f t="shared" ca="1" si="295"/>
        <v>-1</v>
      </c>
      <c r="J3124" s="11">
        <f t="shared" ca="1" si="296"/>
        <v>-1</v>
      </c>
      <c r="K3124" s="10" t="str">
        <f t="shared" ca="1" si="306"/>
        <v/>
      </c>
      <c r="L3124" s="11" t="str">
        <f t="shared" ca="1" si="307"/>
        <v/>
      </c>
      <c r="M3124" s="11" t="str">
        <f t="shared" ca="1" si="308"/>
        <v/>
      </c>
      <c r="N3124" s="15" t="str">
        <f t="shared" ca="1" si="309"/>
        <v/>
      </c>
      <c r="O3124" s="15" t="str">
        <f t="shared" ca="1" si="310"/>
        <v/>
      </c>
      <c r="P3124" s="16" t="str">
        <f t="shared" ca="1" si="311"/>
        <v/>
      </c>
      <c r="Q3124" s="11" t="str">
        <f t="shared" ca="1" si="297"/>
        <v/>
      </c>
      <c r="R3124" s="11" t="str">
        <f t="shared" ca="1" si="298"/>
        <v/>
      </c>
      <c r="S3124" s="61" t="str">
        <f t="shared" ca="1" si="299"/>
        <v/>
      </c>
      <c r="T3124" s="11" t="str">
        <f t="shared" ca="1" si="300"/>
        <v/>
      </c>
      <c r="U3124" s="11" t="str">
        <f t="shared" ca="1" si="301"/>
        <v/>
      </c>
      <c r="V3124" s="18" t="str">
        <f t="shared" ca="1" si="302"/>
        <v/>
      </c>
      <c r="W3124" s="61" t="str">
        <f t="shared" ca="1" si="303"/>
        <v/>
      </c>
      <c r="X3124" s="61">
        <f t="shared" ca="1" si="304"/>
        <v>0</v>
      </c>
      <c r="Y3124" s="64" t="str">
        <f t="shared" ca="1" si="305"/>
        <v/>
      </c>
    </row>
    <row r="3125" spans="1:25">
      <c r="A3125" s="2">
        <f>+Get_Data!A3124</f>
        <v>43978</v>
      </c>
      <c r="B3125">
        <f>+ROUND(Get_Data!B3124,5)</f>
        <v>128.87577999999999</v>
      </c>
      <c r="C3125">
        <f>+ROUND(Get_Data!C3124,5)</f>
        <v>45.937429999999999</v>
      </c>
      <c r="D3125" s="4">
        <f t="shared" si="312"/>
        <v>2.8054600000000001</v>
      </c>
      <c r="E3125" s="22">
        <f t="shared" ca="1" si="291"/>
        <v>3.1495799999999998</v>
      </c>
      <c r="F3125" s="23">
        <f t="shared" ca="1" si="292"/>
        <v>2.8054600000000001</v>
      </c>
      <c r="G3125" s="10">
        <f t="shared" ca="1" si="293"/>
        <v>0</v>
      </c>
      <c r="H3125" s="12">
        <f t="shared" ca="1" si="294"/>
        <v>1</v>
      </c>
      <c r="I3125" s="11">
        <f t="shared" ca="1" si="295"/>
        <v>-1</v>
      </c>
      <c r="J3125" s="11">
        <f t="shared" ca="1" si="296"/>
        <v>-2</v>
      </c>
      <c r="K3125" s="10">
        <f t="shared" ca="1" si="306"/>
        <v>128.87577999999999</v>
      </c>
      <c r="L3125" s="11">
        <f t="shared" ca="1" si="307"/>
        <v>-45.937429999999999</v>
      </c>
      <c r="M3125" s="11">
        <f t="shared" ca="1" si="308"/>
        <v>2.8054600000000001</v>
      </c>
      <c r="N3125" s="15">
        <f t="shared" ca="1" si="309"/>
        <v>10</v>
      </c>
      <c r="O3125" s="15">
        <f t="shared" ca="1" si="310"/>
        <v>28</v>
      </c>
      <c r="P3125" s="16">
        <f t="shared" ca="1" si="311"/>
        <v>2.5097599999999147</v>
      </c>
      <c r="Q3125" s="11" t="str">
        <f t="shared" ca="1" si="297"/>
        <v/>
      </c>
      <c r="R3125" s="11" t="str">
        <f t="shared" ca="1" si="298"/>
        <v/>
      </c>
      <c r="S3125" s="61" t="str">
        <f t="shared" ca="1" si="299"/>
        <v/>
      </c>
      <c r="T3125" s="11" t="str">
        <f t="shared" ca="1" si="300"/>
        <v/>
      </c>
      <c r="U3125" s="11" t="str">
        <f t="shared" ca="1" si="301"/>
        <v/>
      </c>
      <c r="V3125" s="18" t="str">
        <f t="shared" ca="1" si="302"/>
        <v/>
      </c>
      <c r="W3125" s="61" t="str">
        <f t="shared" ca="1" si="303"/>
        <v/>
      </c>
      <c r="X3125" s="61">
        <f t="shared" ca="1" si="304"/>
        <v>0</v>
      </c>
      <c r="Y3125" s="64" t="str">
        <f t="shared" ca="1" si="305"/>
        <v/>
      </c>
    </row>
    <row r="3126" spans="1:25">
      <c r="A3126" s="2">
        <f>+Get_Data!A3125</f>
        <v>43979</v>
      </c>
      <c r="B3126">
        <f>+ROUND(Get_Data!B3125,5)</f>
        <v>130.33387999999999</v>
      </c>
      <c r="C3126">
        <f>+ROUND(Get_Data!C3125,5)</f>
        <v>46.291319999999999</v>
      </c>
      <c r="D3126" s="4">
        <f t="shared" si="312"/>
        <v>2.8155100000000002</v>
      </c>
      <c r="E3126" s="22">
        <f t="shared" ca="1" si="291"/>
        <v>3.1495799999999998</v>
      </c>
      <c r="F3126" s="23">
        <f t="shared" ca="1" si="292"/>
        <v>2.8054600000000001</v>
      </c>
      <c r="G3126" s="10">
        <f t="shared" ca="1" si="293"/>
        <v>0</v>
      </c>
      <c r="H3126" s="12">
        <f t="shared" ca="1" si="294"/>
        <v>0</v>
      </c>
      <c r="I3126" s="11">
        <f t="shared" ca="1" si="295"/>
        <v>0</v>
      </c>
      <c r="J3126" s="11">
        <f t="shared" ca="1" si="296"/>
        <v>-2</v>
      </c>
      <c r="K3126" s="10">
        <f t="shared" ca="1" si="306"/>
        <v>128.87577999999999</v>
      </c>
      <c r="L3126" s="11">
        <f t="shared" ca="1" si="307"/>
        <v>-45.937429999999999</v>
      </c>
      <c r="M3126" s="11">
        <f t="shared" ca="1" si="308"/>
        <v>2.8054600000000001</v>
      </c>
      <c r="N3126" s="15">
        <f t="shared" ca="1" si="309"/>
        <v>10</v>
      </c>
      <c r="O3126" s="15">
        <f t="shared" ca="1" si="310"/>
        <v>28</v>
      </c>
      <c r="P3126" s="16">
        <f t="shared" ca="1" si="311"/>
        <v>2.5097599999999147</v>
      </c>
      <c r="Q3126" s="11" t="str">
        <f t="shared" ca="1" si="297"/>
        <v/>
      </c>
      <c r="R3126" s="11" t="str">
        <f t="shared" ca="1" si="298"/>
        <v/>
      </c>
      <c r="S3126" s="61" t="str">
        <f t="shared" ca="1" si="299"/>
        <v/>
      </c>
      <c r="T3126" s="11" t="str">
        <f t="shared" ca="1" si="300"/>
        <v/>
      </c>
      <c r="U3126" s="11" t="str">
        <f t="shared" ca="1" si="301"/>
        <v/>
      </c>
      <c r="V3126" s="18" t="str">
        <f t="shared" ca="1" si="302"/>
        <v/>
      </c>
      <c r="W3126" s="61" t="str">
        <f t="shared" ca="1" si="303"/>
        <v/>
      </c>
      <c r="X3126" s="61">
        <f t="shared" ca="1" si="304"/>
        <v>0</v>
      </c>
      <c r="Y3126" s="64" t="str">
        <f t="shared" ca="1" si="305"/>
        <v/>
      </c>
    </row>
    <row r="3127" spans="1:25">
      <c r="A3127" s="2">
        <f>+Get_Data!A3126</f>
        <v>43980</v>
      </c>
      <c r="B3127">
        <f>+ROUND(Get_Data!B3126,5)</f>
        <v>129.60484</v>
      </c>
      <c r="C3127">
        <f>+ROUND(Get_Data!C3126,5)</f>
        <v>45.888280000000002</v>
      </c>
      <c r="D3127" s="4">
        <f t="shared" si="312"/>
        <v>2.82436</v>
      </c>
      <c r="E3127" s="22">
        <f t="shared" ca="1" si="291"/>
        <v>3.1495799999999998</v>
      </c>
      <c r="F3127" s="23">
        <f t="shared" ca="1" si="292"/>
        <v>2.8054600000000001</v>
      </c>
      <c r="G3127" s="10">
        <f t="shared" ca="1" si="293"/>
        <v>0</v>
      </c>
      <c r="H3127" s="12">
        <f t="shared" ca="1" si="294"/>
        <v>0</v>
      </c>
      <c r="I3127" s="11">
        <f t="shared" ca="1" si="295"/>
        <v>0</v>
      </c>
      <c r="J3127" s="11">
        <f t="shared" ca="1" si="296"/>
        <v>-2</v>
      </c>
      <c r="K3127" s="10">
        <f t="shared" ca="1" si="306"/>
        <v>128.87577999999999</v>
      </c>
      <c r="L3127" s="11">
        <f t="shared" ca="1" si="307"/>
        <v>-45.937429999999999</v>
      </c>
      <c r="M3127" s="11">
        <f t="shared" ca="1" si="308"/>
        <v>2.8054600000000001</v>
      </c>
      <c r="N3127" s="15">
        <f t="shared" ca="1" si="309"/>
        <v>10</v>
      </c>
      <c r="O3127" s="15">
        <f t="shared" ca="1" si="310"/>
        <v>28</v>
      </c>
      <c r="P3127" s="16">
        <f t="shared" ca="1" si="311"/>
        <v>2.5097599999999147</v>
      </c>
      <c r="Q3127" s="11" t="str">
        <f t="shared" ca="1" si="297"/>
        <v/>
      </c>
      <c r="R3127" s="11" t="str">
        <f t="shared" ca="1" si="298"/>
        <v/>
      </c>
      <c r="S3127" s="61" t="str">
        <f t="shared" ca="1" si="299"/>
        <v/>
      </c>
      <c r="T3127" s="11" t="str">
        <f t="shared" ca="1" si="300"/>
        <v/>
      </c>
      <c r="U3127" s="11" t="str">
        <f t="shared" ca="1" si="301"/>
        <v/>
      </c>
      <c r="V3127" s="18" t="str">
        <f t="shared" ca="1" si="302"/>
        <v/>
      </c>
      <c r="W3127" s="61" t="str">
        <f t="shared" ca="1" si="303"/>
        <v/>
      </c>
      <c r="X3127" s="61">
        <f t="shared" ca="1" si="304"/>
        <v>0</v>
      </c>
      <c r="Y3127" s="64" t="str">
        <f t="shared" ca="1" si="305"/>
        <v/>
      </c>
    </row>
    <row r="3128" spans="1:25">
      <c r="A3128" s="2">
        <f>+Get_Data!A3127</f>
        <v>43983</v>
      </c>
      <c r="B3128">
        <f>+ROUND(Get_Data!B3127,5)</f>
        <v>131.02354</v>
      </c>
      <c r="C3128">
        <f>+ROUND(Get_Data!C3127,5)</f>
        <v>46.193019999999997</v>
      </c>
      <c r="D3128" s="4">
        <f t="shared" si="312"/>
        <v>2.8364400000000001</v>
      </c>
      <c r="E3128" s="22">
        <f t="shared" ca="1" si="291"/>
        <v>3.1495799999999998</v>
      </c>
      <c r="F3128" s="23">
        <f t="shared" ca="1" si="292"/>
        <v>2.8054600000000001</v>
      </c>
      <c r="G3128" s="10">
        <f t="shared" ca="1" si="293"/>
        <v>0</v>
      </c>
      <c r="H3128" s="12">
        <f t="shared" ca="1" si="294"/>
        <v>0</v>
      </c>
      <c r="I3128" s="11">
        <f t="shared" ca="1" si="295"/>
        <v>0</v>
      </c>
      <c r="J3128" s="11">
        <f t="shared" ca="1" si="296"/>
        <v>-2</v>
      </c>
      <c r="K3128" s="10">
        <f t="shared" ca="1" si="306"/>
        <v>128.87577999999999</v>
      </c>
      <c r="L3128" s="11">
        <f t="shared" ca="1" si="307"/>
        <v>-45.937429999999999</v>
      </c>
      <c r="M3128" s="11">
        <f t="shared" ca="1" si="308"/>
        <v>2.8054600000000001</v>
      </c>
      <c r="N3128" s="15">
        <f t="shared" ca="1" si="309"/>
        <v>10</v>
      </c>
      <c r="O3128" s="15">
        <f t="shared" ca="1" si="310"/>
        <v>28</v>
      </c>
      <c r="P3128" s="16">
        <f t="shared" ca="1" si="311"/>
        <v>2.5097599999999147</v>
      </c>
      <c r="Q3128" s="11" t="str">
        <f t="shared" ca="1" si="297"/>
        <v/>
      </c>
      <c r="R3128" s="11" t="str">
        <f t="shared" ca="1" si="298"/>
        <v/>
      </c>
      <c r="S3128" s="61" t="str">
        <f t="shared" ca="1" si="299"/>
        <v/>
      </c>
      <c r="T3128" s="11" t="str">
        <f t="shared" ca="1" si="300"/>
        <v/>
      </c>
      <c r="U3128" s="11" t="str">
        <f t="shared" ca="1" si="301"/>
        <v/>
      </c>
      <c r="V3128" s="18" t="str">
        <f t="shared" ca="1" si="302"/>
        <v/>
      </c>
      <c r="W3128" s="61" t="str">
        <f t="shared" ca="1" si="303"/>
        <v/>
      </c>
      <c r="X3128" s="61">
        <f t="shared" ca="1" si="304"/>
        <v>0</v>
      </c>
      <c r="Y3128" s="64" t="str">
        <f t="shared" ca="1" si="305"/>
        <v/>
      </c>
    </row>
    <row r="3129" spans="1:25">
      <c r="A3129" s="2">
        <f>+Get_Data!A3128</f>
        <v>43984</v>
      </c>
      <c r="B3129">
        <f>+ROUND(Get_Data!B3128,5)</f>
        <v>130.66884999999999</v>
      </c>
      <c r="C3129">
        <f>+ROUND(Get_Data!C3128,5)</f>
        <v>46.104550000000003</v>
      </c>
      <c r="D3129" s="4">
        <f t="shared" si="312"/>
        <v>2.83419</v>
      </c>
      <c r="E3129" s="22">
        <f t="shared" ca="1" si="291"/>
        <v>3.1495799999999998</v>
      </c>
      <c r="F3129" s="23">
        <f t="shared" ca="1" si="292"/>
        <v>2.8054600000000001</v>
      </c>
      <c r="G3129" s="10">
        <f t="shared" ca="1" si="293"/>
        <v>0</v>
      </c>
      <c r="H3129" s="12">
        <f t="shared" ca="1" si="294"/>
        <v>0</v>
      </c>
      <c r="I3129" s="11">
        <f t="shared" ca="1" si="295"/>
        <v>0</v>
      </c>
      <c r="J3129" s="11">
        <f t="shared" ca="1" si="296"/>
        <v>-2</v>
      </c>
      <c r="K3129" s="10">
        <f t="shared" ca="1" si="306"/>
        <v>128.87577999999999</v>
      </c>
      <c r="L3129" s="11">
        <f t="shared" ca="1" si="307"/>
        <v>-45.937429999999999</v>
      </c>
      <c r="M3129" s="11">
        <f t="shared" ca="1" si="308"/>
        <v>2.8054600000000001</v>
      </c>
      <c r="N3129" s="15">
        <f t="shared" ca="1" si="309"/>
        <v>10</v>
      </c>
      <c r="O3129" s="15">
        <f t="shared" ca="1" si="310"/>
        <v>28</v>
      </c>
      <c r="P3129" s="16">
        <f t="shared" ca="1" si="311"/>
        <v>2.5097599999999147</v>
      </c>
      <c r="Q3129" s="11" t="str">
        <f t="shared" ca="1" si="297"/>
        <v/>
      </c>
      <c r="R3129" s="11" t="str">
        <f t="shared" ca="1" si="298"/>
        <v/>
      </c>
      <c r="S3129" s="61" t="str">
        <f t="shared" ca="1" si="299"/>
        <v/>
      </c>
      <c r="T3129" s="11" t="str">
        <f t="shared" ca="1" si="300"/>
        <v/>
      </c>
      <c r="U3129" s="11" t="str">
        <f t="shared" ca="1" si="301"/>
        <v/>
      </c>
      <c r="V3129" s="18" t="str">
        <f t="shared" ca="1" si="302"/>
        <v/>
      </c>
      <c r="W3129" s="61" t="str">
        <f t="shared" ca="1" si="303"/>
        <v/>
      </c>
      <c r="X3129" s="61">
        <f t="shared" ca="1" si="304"/>
        <v>0</v>
      </c>
      <c r="Y3129" s="64" t="str">
        <f t="shared" ca="1" si="305"/>
        <v/>
      </c>
    </row>
    <row r="3130" spans="1:25">
      <c r="A3130" s="2">
        <f>+Get_Data!A3129</f>
        <v>43985</v>
      </c>
      <c r="B3130">
        <f>+ROUND(Get_Data!B3129,5)</f>
        <v>130.85605000000001</v>
      </c>
      <c r="C3130">
        <f>+ROUND(Get_Data!C3129,5)</f>
        <v>47.087589999999999</v>
      </c>
      <c r="D3130" s="4">
        <f t="shared" si="312"/>
        <v>2.7789899999999998</v>
      </c>
      <c r="E3130" s="22">
        <f t="shared" ca="1" si="291"/>
        <v>3.1495799999999998</v>
      </c>
      <c r="F3130" s="23">
        <f t="shared" ca="1" si="292"/>
        <v>2.7789899999999998</v>
      </c>
      <c r="G3130" s="10">
        <f t="shared" ca="1" si="293"/>
        <v>0</v>
      </c>
      <c r="H3130" s="12">
        <f t="shared" ca="1" si="294"/>
        <v>1</v>
      </c>
      <c r="I3130" s="11">
        <f t="shared" ca="1" si="295"/>
        <v>-1</v>
      </c>
      <c r="J3130" s="11">
        <f t="shared" ca="1" si="296"/>
        <v>0</v>
      </c>
      <c r="K3130" s="10">
        <f t="shared" ca="1" si="306"/>
        <v>128.87577999999999</v>
      </c>
      <c r="L3130" s="11">
        <f t="shared" ca="1" si="307"/>
        <v>-45.937429999999999</v>
      </c>
      <c r="M3130" s="11">
        <f t="shared" ca="1" si="308"/>
        <v>2.8054600000000001</v>
      </c>
      <c r="N3130" s="15">
        <f t="shared" ca="1" si="309"/>
        <v>10</v>
      </c>
      <c r="O3130" s="15">
        <f t="shared" ca="1" si="310"/>
        <v>28</v>
      </c>
      <c r="P3130" s="16">
        <f t="shared" ca="1" si="311"/>
        <v>2.5097599999999147</v>
      </c>
      <c r="Q3130" s="11" t="str">
        <f t="shared" ca="1" si="297"/>
        <v/>
      </c>
      <c r="R3130" s="11" t="str">
        <f t="shared" ca="1" si="298"/>
        <v/>
      </c>
      <c r="S3130" s="61" t="str">
        <f t="shared" ca="1" si="299"/>
        <v/>
      </c>
      <c r="T3130" s="11" t="str">
        <f t="shared" ca="1" si="300"/>
        <v/>
      </c>
      <c r="U3130" s="11" t="str">
        <f t="shared" ca="1" si="301"/>
        <v/>
      </c>
      <c r="V3130" s="18" t="str">
        <f t="shared" ca="1" si="302"/>
        <v/>
      </c>
      <c r="W3130" s="61" t="str">
        <f t="shared" ca="1" si="303"/>
        <v/>
      </c>
      <c r="X3130" s="61">
        <f t="shared" ca="1" si="304"/>
        <v>0</v>
      </c>
      <c r="Y3130" s="64" t="str">
        <f t="shared" ca="1" si="305"/>
        <v/>
      </c>
    </row>
    <row r="3131" spans="1:25">
      <c r="A3131" s="2">
        <f>+Get_Data!A3130</f>
        <v>43986</v>
      </c>
      <c r="B3131">
        <f>+ROUND(Get_Data!B3130,5)</f>
        <v>129.63782</v>
      </c>
      <c r="C3131">
        <f>+ROUND(Get_Data!C3130,5)</f>
        <v>47.107250000000001</v>
      </c>
      <c r="D3131" s="4">
        <f t="shared" si="312"/>
        <v>2.75197</v>
      </c>
      <c r="E3131" s="22">
        <f t="shared" ca="1" si="291"/>
        <v>3.1495799999999998</v>
      </c>
      <c r="F3131" s="23">
        <f t="shared" ca="1" si="292"/>
        <v>2.75197</v>
      </c>
      <c r="G3131" s="10">
        <f t="shared" ca="1" si="293"/>
        <v>0</v>
      </c>
      <c r="H3131" s="12">
        <f t="shared" ca="1" si="294"/>
        <v>1</v>
      </c>
      <c r="I3131" s="11">
        <f t="shared" ca="1" si="295"/>
        <v>-1</v>
      </c>
      <c r="J3131" s="11">
        <f t="shared" ca="1" si="296"/>
        <v>-1</v>
      </c>
      <c r="K3131" s="10" t="str">
        <f t="shared" ca="1" si="306"/>
        <v/>
      </c>
      <c r="L3131" s="11" t="str">
        <f t="shared" ca="1" si="307"/>
        <v/>
      </c>
      <c r="M3131" s="11" t="str">
        <f t="shared" ca="1" si="308"/>
        <v/>
      </c>
      <c r="N3131" s="15" t="str">
        <f t="shared" ca="1" si="309"/>
        <v/>
      </c>
      <c r="O3131" s="15" t="str">
        <f t="shared" ca="1" si="310"/>
        <v/>
      </c>
      <c r="P3131" s="16" t="str">
        <f t="shared" ca="1" si="311"/>
        <v/>
      </c>
      <c r="Q3131" s="11">
        <f t="shared" ca="1" si="297"/>
        <v>129.63782</v>
      </c>
      <c r="R3131" s="11">
        <f t="shared" ca="1" si="298"/>
        <v>47.107250000000001</v>
      </c>
      <c r="S3131" s="61">
        <f t="shared" ca="1" si="299"/>
        <v>2.75197</v>
      </c>
      <c r="T3131" s="11">
        <f t="shared" ca="1" si="300"/>
        <v>10</v>
      </c>
      <c r="U3131" s="11">
        <f t="shared" ca="1" si="301"/>
        <v>28</v>
      </c>
      <c r="V3131" s="18">
        <f t="shared" ca="1" si="302"/>
        <v>-7.6204000000001315</v>
      </c>
      <c r="W3131" s="61">
        <f t="shared" ca="1" si="303"/>
        <v>32.75496000000004</v>
      </c>
      <c r="X3131" s="61">
        <f t="shared" ca="1" si="304"/>
        <v>25.134559999999908</v>
      </c>
      <c r="Y3131" s="64">
        <f t="shared" ca="1" si="305"/>
        <v>1.9055726181062445E-2</v>
      </c>
    </row>
    <row r="3132" spans="1:25">
      <c r="A3132" s="2">
        <f>+Get_Data!A3131</f>
        <v>43987</v>
      </c>
      <c r="B3132">
        <f>+ROUND(Get_Data!B3131,5)</f>
        <v>131.49446</v>
      </c>
      <c r="C3132">
        <f>+ROUND(Get_Data!C3131,5)</f>
        <v>48.257399999999997</v>
      </c>
      <c r="D3132" s="4">
        <f t="shared" si="312"/>
        <v>2.7248600000000001</v>
      </c>
      <c r="E3132" s="22">
        <f t="shared" ca="1" si="291"/>
        <v>3.1495799999999998</v>
      </c>
      <c r="F3132" s="23">
        <f t="shared" ca="1" si="292"/>
        <v>2.7248600000000001</v>
      </c>
      <c r="G3132" s="10">
        <f t="shared" ca="1" si="293"/>
        <v>0</v>
      </c>
      <c r="H3132" s="12">
        <f t="shared" ca="1" si="294"/>
        <v>1</v>
      </c>
      <c r="I3132" s="11">
        <f t="shared" ca="1" si="295"/>
        <v>-1</v>
      </c>
      <c r="J3132" s="11">
        <f t="shared" ca="1" si="296"/>
        <v>-2</v>
      </c>
      <c r="K3132" s="10">
        <f t="shared" ca="1" si="306"/>
        <v>131.49446</v>
      </c>
      <c r="L3132" s="11">
        <f t="shared" ca="1" si="307"/>
        <v>-48.257399999999997</v>
      </c>
      <c r="M3132" s="11">
        <f t="shared" ca="1" si="308"/>
        <v>2.7248600000000001</v>
      </c>
      <c r="N3132" s="15">
        <f t="shared" ca="1" si="309"/>
        <v>10</v>
      </c>
      <c r="O3132" s="15">
        <f t="shared" ca="1" si="310"/>
        <v>27</v>
      </c>
      <c r="P3132" s="16">
        <f t="shared" ca="1" si="311"/>
        <v>11.994800000000168</v>
      </c>
      <c r="Q3132" s="11" t="str">
        <f t="shared" ca="1" si="297"/>
        <v/>
      </c>
      <c r="R3132" s="11" t="str">
        <f t="shared" ca="1" si="298"/>
        <v/>
      </c>
      <c r="S3132" s="61" t="str">
        <f t="shared" ca="1" si="299"/>
        <v/>
      </c>
      <c r="T3132" s="11" t="str">
        <f t="shared" ca="1" si="300"/>
        <v/>
      </c>
      <c r="U3132" s="11" t="str">
        <f t="shared" ca="1" si="301"/>
        <v/>
      </c>
      <c r="V3132" s="18" t="str">
        <f t="shared" ca="1" si="302"/>
        <v/>
      </c>
      <c r="W3132" s="61" t="str">
        <f t="shared" ca="1" si="303"/>
        <v/>
      </c>
      <c r="X3132" s="61">
        <f t="shared" ca="1" si="304"/>
        <v>0</v>
      </c>
      <c r="Y3132" s="64" t="str">
        <f t="shared" ca="1" si="305"/>
        <v/>
      </c>
    </row>
    <row r="3133" spans="1:25">
      <c r="A3133" s="2">
        <f>+Get_Data!A3132</f>
        <v>43990</v>
      </c>
      <c r="B3133">
        <f>+ROUND(Get_Data!B3132,5)</f>
        <v>131.26611</v>
      </c>
      <c r="C3133">
        <f>+ROUND(Get_Data!C3132,5)</f>
        <v>49.004519999999999</v>
      </c>
      <c r="D3133" s="4">
        <f t="shared" si="312"/>
        <v>2.6786500000000002</v>
      </c>
      <c r="E3133" s="22">
        <f t="shared" ca="1" si="291"/>
        <v>3.1495799999999998</v>
      </c>
      <c r="F3133" s="23">
        <f t="shared" ca="1" si="292"/>
        <v>2.6786500000000002</v>
      </c>
      <c r="G3133" s="10">
        <f t="shared" ca="1" si="293"/>
        <v>0</v>
      </c>
      <c r="H3133" s="12">
        <f t="shared" ca="1" si="294"/>
        <v>1</v>
      </c>
      <c r="I3133" s="11">
        <f t="shared" ca="1" si="295"/>
        <v>-1</v>
      </c>
      <c r="J3133" s="11">
        <f t="shared" ca="1" si="296"/>
        <v>0</v>
      </c>
      <c r="K3133" s="10">
        <f t="shared" ca="1" si="306"/>
        <v>131.49446</v>
      </c>
      <c r="L3133" s="11">
        <f t="shared" ca="1" si="307"/>
        <v>-48.257399999999997</v>
      </c>
      <c r="M3133" s="11">
        <f t="shared" ca="1" si="308"/>
        <v>2.7248600000000001</v>
      </c>
      <c r="N3133" s="15">
        <f t="shared" ca="1" si="309"/>
        <v>10</v>
      </c>
      <c r="O3133" s="15">
        <f t="shared" ca="1" si="310"/>
        <v>27</v>
      </c>
      <c r="P3133" s="16">
        <f t="shared" ca="1" si="311"/>
        <v>11.994800000000168</v>
      </c>
      <c r="Q3133" s="11" t="str">
        <f t="shared" ca="1" si="297"/>
        <v/>
      </c>
      <c r="R3133" s="11" t="str">
        <f t="shared" ca="1" si="298"/>
        <v/>
      </c>
      <c r="S3133" s="61" t="str">
        <f t="shared" ca="1" si="299"/>
        <v/>
      </c>
      <c r="T3133" s="11" t="str">
        <f t="shared" ca="1" si="300"/>
        <v/>
      </c>
      <c r="U3133" s="11" t="str">
        <f t="shared" ca="1" si="301"/>
        <v/>
      </c>
      <c r="V3133" s="18" t="str">
        <f t="shared" ca="1" si="302"/>
        <v/>
      </c>
      <c r="W3133" s="61" t="str">
        <f t="shared" ca="1" si="303"/>
        <v/>
      </c>
      <c r="X3133" s="61">
        <f t="shared" ca="1" si="304"/>
        <v>0</v>
      </c>
      <c r="Y3133" s="64" t="str">
        <f t="shared" ca="1" si="305"/>
        <v/>
      </c>
    </row>
    <row r="3134" spans="1:25">
      <c r="A3134" s="2">
        <f>+Get_Data!A3133</f>
        <v>43991</v>
      </c>
      <c r="B3134">
        <f>+ROUND(Get_Data!B3133,5)</f>
        <v>132.02068</v>
      </c>
      <c r="C3134">
        <f>+ROUND(Get_Data!C3133,5)</f>
        <v>48.168930000000003</v>
      </c>
      <c r="D3134" s="4">
        <f t="shared" si="312"/>
        <v>2.74078</v>
      </c>
      <c r="E3134" s="22">
        <f t="shared" ca="1" si="291"/>
        <v>3.1495799999999998</v>
      </c>
      <c r="F3134" s="23">
        <f t="shared" ca="1" si="292"/>
        <v>2.6786500000000002</v>
      </c>
      <c r="G3134" s="10">
        <f t="shared" ca="1" si="293"/>
        <v>0</v>
      </c>
      <c r="H3134" s="12">
        <f t="shared" ca="1" si="294"/>
        <v>0</v>
      </c>
      <c r="I3134" s="11">
        <f t="shared" ca="1" si="295"/>
        <v>0</v>
      </c>
      <c r="J3134" s="11">
        <f t="shared" ca="1" si="296"/>
        <v>0</v>
      </c>
      <c r="K3134" s="10" t="str">
        <f t="shared" ca="1" si="306"/>
        <v/>
      </c>
      <c r="L3134" s="11" t="str">
        <f t="shared" ca="1" si="307"/>
        <v/>
      </c>
      <c r="M3134" s="11" t="str">
        <f t="shared" ca="1" si="308"/>
        <v/>
      </c>
      <c r="N3134" s="15" t="str">
        <f t="shared" ca="1" si="309"/>
        <v/>
      </c>
      <c r="O3134" s="15" t="str">
        <f t="shared" ca="1" si="310"/>
        <v/>
      </c>
      <c r="P3134" s="16" t="str">
        <f t="shared" ca="1" si="311"/>
        <v/>
      </c>
      <c r="Q3134" s="11">
        <f t="shared" ca="1" si="297"/>
        <v>132.02068</v>
      </c>
      <c r="R3134" s="11">
        <f t="shared" ca="1" si="298"/>
        <v>48.168930000000003</v>
      </c>
      <c r="S3134" s="61">
        <f t="shared" ca="1" si="299"/>
        <v>2.74078</v>
      </c>
      <c r="T3134" s="11">
        <f t="shared" ca="1" si="300"/>
        <v>10</v>
      </c>
      <c r="U3134" s="11">
        <f t="shared" ca="1" si="301"/>
        <v>27</v>
      </c>
      <c r="V3134" s="18">
        <f t="shared" ca="1" si="302"/>
        <v>-5.2621999999999503</v>
      </c>
      <c r="W3134" s="61">
        <f t="shared" ca="1" si="303"/>
        <v>-2.3886899999998334</v>
      </c>
      <c r="X3134" s="61">
        <f t="shared" ca="1" si="304"/>
        <v>-7.6508899999997837</v>
      </c>
      <c r="Y3134" s="64">
        <f t="shared" ca="1" si="305"/>
        <v>-5.8827608646546282E-3</v>
      </c>
    </row>
    <row r="3135" spans="1:25">
      <c r="A3135" s="2">
        <f>+Get_Data!A3134</f>
        <v>43992</v>
      </c>
      <c r="B3135">
        <f>+ROUND(Get_Data!B3134,5)</f>
        <v>133.17239000000001</v>
      </c>
      <c r="C3135">
        <f>+ROUND(Get_Data!C3134,5)</f>
        <v>47.795380000000002</v>
      </c>
      <c r="D3135" s="4">
        <f t="shared" si="312"/>
        <v>2.7863000000000002</v>
      </c>
      <c r="E3135" s="22">
        <f t="shared" ca="1" si="291"/>
        <v>3.1495799999999998</v>
      </c>
      <c r="F3135" s="23">
        <f t="shared" ca="1" si="292"/>
        <v>2.6786500000000002</v>
      </c>
      <c r="G3135" s="10">
        <f t="shared" ca="1" si="293"/>
        <v>0</v>
      </c>
      <c r="H3135" s="12">
        <f t="shared" ca="1" si="294"/>
        <v>0</v>
      </c>
      <c r="I3135" s="11">
        <f t="shared" ca="1" si="295"/>
        <v>0</v>
      </c>
      <c r="J3135" s="11">
        <f t="shared" ca="1" si="296"/>
        <v>0</v>
      </c>
      <c r="K3135" s="10" t="str">
        <f t="shared" ca="1" si="306"/>
        <v/>
      </c>
      <c r="L3135" s="11" t="str">
        <f t="shared" ca="1" si="307"/>
        <v/>
      </c>
      <c r="M3135" s="11" t="str">
        <f t="shared" ca="1" si="308"/>
        <v/>
      </c>
      <c r="N3135" s="15" t="str">
        <f t="shared" ca="1" si="309"/>
        <v/>
      </c>
      <c r="O3135" s="15" t="str">
        <f t="shared" ca="1" si="310"/>
        <v/>
      </c>
      <c r="P3135" s="16" t="str">
        <f t="shared" ca="1" si="311"/>
        <v/>
      </c>
      <c r="Q3135" s="11" t="str">
        <f t="shared" ca="1" si="297"/>
        <v/>
      </c>
      <c r="R3135" s="11" t="str">
        <f t="shared" ca="1" si="298"/>
        <v/>
      </c>
      <c r="S3135" s="61" t="str">
        <f t="shared" ca="1" si="299"/>
        <v/>
      </c>
      <c r="T3135" s="11" t="str">
        <f t="shared" ca="1" si="300"/>
        <v/>
      </c>
      <c r="U3135" s="11" t="str">
        <f t="shared" ca="1" si="301"/>
        <v/>
      </c>
      <c r="V3135" s="18" t="str">
        <f t="shared" ca="1" si="302"/>
        <v/>
      </c>
      <c r="W3135" s="61" t="str">
        <f t="shared" ca="1" si="303"/>
        <v/>
      </c>
      <c r="X3135" s="61">
        <f t="shared" ca="1" si="304"/>
        <v>0</v>
      </c>
      <c r="Y3135" s="64" t="str">
        <f t="shared" ca="1" si="305"/>
        <v/>
      </c>
    </row>
    <row r="3136" spans="1:25">
      <c r="A3136" s="2">
        <f>+Get_Data!A3135</f>
        <v>43993</v>
      </c>
      <c r="B3136">
        <f>+ROUND(Get_Data!B3135,5)</f>
        <v>126.9273</v>
      </c>
      <c r="C3136">
        <f>+ROUND(Get_Data!C3135,5)</f>
        <v>44.767620000000001</v>
      </c>
      <c r="D3136" s="4">
        <f t="shared" si="312"/>
        <v>2.8352499999999998</v>
      </c>
      <c r="E3136" s="22">
        <f t="shared" ca="1" si="291"/>
        <v>3.1495799999999998</v>
      </c>
      <c r="F3136" s="23">
        <f t="shared" ca="1" si="292"/>
        <v>2.6786500000000002</v>
      </c>
      <c r="G3136" s="10">
        <f t="shared" ca="1" si="293"/>
        <v>0</v>
      </c>
      <c r="H3136" s="12">
        <f t="shared" ca="1" si="294"/>
        <v>0</v>
      </c>
      <c r="I3136" s="11">
        <f t="shared" ca="1" si="295"/>
        <v>0</v>
      </c>
      <c r="J3136" s="11">
        <f t="shared" ca="1" si="296"/>
        <v>0</v>
      </c>
      <c r="K3136" s="10" t="str">
        <f t="shared" ca="1" si="306"/>
        <v/>
      </c>
      <c r="L3136" s="11" t="str">
        <f t="shared" ca="1" si="307"/>
        <v/>
      </c>
      <c r="M3136" s="11" t="str">
        <f t="shared" ca="1" si="308"/>
        <v/>
      </c>
      <c r="N3136" s="15" t="str">
        <f t="shared" ca="1" si="309"/>
        <v/>
      </c>
      <c r="O3136" s="15" t="str">
        <f t="shared" ca="1" si="310"/>
        <v/>
      </c>
      <c r="P3136" s="16" t="str">
        <f t="shared" ca="1" si="311"/>
        <v/>
      </c>
      <c r="Q3136" s="11" t="str">
        <f t="shared" ca="1" si="297"/>
        <v/>
      </c>
      <c r="R3136" s="11" t="str">
        <f t="shared" ca="1" si="298"/>
        <v/>
      </c>
      <c r="S3136" s="61" t="str">
        <f t="shared" ca="1" si="299"/>
        <v/>
      </c>
      <c r="T3136" s="11" t="str">
        <f t="shared" ca="1" si="300"/>
        <v/>
      </c>
      <c r="U3136" s="11" t="str">
        <f t="shared" ca="1" si="301"/>
        <v/>
      </c>
      <c r="V3136" s="18" t="str">
        <f t="shared" ca="1" si="302"/>
        <v/>
      </c>
      <c r="W3136" s="61" t="str">
        <f t="shared" ca="1" si="303"/>
        <v/>
      </c>
      <c r="X3136" s="61">
        <f t="shared" ca="1" si="304"/>
        <v>0</v>
      </c>
      <c r="Y3136" s="64" t="str">
        <f t="shared" ca="1" si="305"/>
        <v/>
      </c>
    </row>
    <row r="3137" spans="1:25">
      <c r="A3137" s="2">
        <f>+Get_Data!A3136</f>
        <v>43994</v>
      </c>
      <c r="B3137">
        <f>+ROUND(Get_Data!B3136,5)</f>
        <v>128.07902999999999</v>
      </c>
      <c r="C3137">
        <f>+ROUND(Get_Data!C3136,5)</f>
        <v>45.233840000000001</v>
      </c>
      <c r="D3137" s="4">
        <f t="shared" si="312"/>
        <v>2.8314900000000001</v>
      </c>
      <c r="E3137" s="22">
        <f t="shared" ca="1" si="291"/>
        <v>3.1495799999999998</v>
      </c>
      <c r="F3137" s="23">
        <f t="shared" ca="1" si="292"/>
        <v>2.6786500000000002</v>
      </c>
      <c r="G3137" s="10">
        <f t="shared" ca="1" si="293"/>
        <v>0</v>
      </c>
      <c r="H3137" s="12">
        <f t="shared" ca="1" si="294"/>
        <v>0</v>
      </c>
      <c r="I3137" s="11">
        <f t="shared" ca="1" si="295"/>
        <v>0</v>
      </c>
      <c r="J3137" s="11">
        <f t="shared" ca="1" si="296"/>
        <v>0</v>
      </c>
      <c r="K3137" s="10" t="str">
        <f t="shared" ca="1" si="306"/>
        <v/>
      </c>
      <c r="L3137" s="11" t="str">
        <f t="shared" ca="1" si="307"/>
        <v/>
      </c>
      <c r="M3137" s="11" t="str">
        <f t="shared" ca="1" si="308"/>
        <v/>
      </c>
      <c r="N3137" s="15" t="str">
        <f t="shared" ca="1" si="309"/>
        <v/>
      </c>
      <c r="O3137" s="15" t="str">
        <f t="shared" ca="1" si="310"/>
        <v/>
      </c>
      <c r="P3137" s="16" t="str">
        <f t="shared" ca="1" si="311"/>
        <v/>
      </c>
      <c r="Q3137" s="11" t="str">
        <f t="shared" ca="1" si="297"/>
        <v/>
      </c>
      <c r="R3137" s="11" t="str">
        <f t="shared" ca="1" si="298"/>
        <v/>
      </c>
      <c r="S3137" s="61" t="str">
        <f t="shared" ca="1" si="299"/>
        <v/>
      </c>
      <c r="T3137" s="11" t="str">
        <f t="shared" ca="1" si="300"/>
        <v/>
      </c>
      <c r="U3137" s="11" t="str">
        <f t="shared" ca="1" si="301"/>
        <v/>
      </c>
      <c r="V3137" s="18" t="str">
        <f t="shared" ca="1" si="302"/>
        <v/>
      </c>
      <c r="W3137" s="61" t="str">
        <f t="shared" ca="1" si="303"/>
        <v/>
      </c>
      <c r="X3137" s="61">
        <f t="shared" ca="1" si="304"/>
        <v>0</v>
      </c>
      <c r="Y3137" s="64" t="str">
        <f t="shared" ca="1" si="305"/>
        <v/>
      </c>
    </row>
    <row r="3138" spans="1:25">
      <c r="A3138" s="2">
        <f>+Get_Data!A3137</f>
        <v>43997</v>
      </c>
      <c r="B3138">
        <f>+ROUND(Get_Data!B3137,5)</f>
        <v>129.54845</v>
      </c>
      <c r="C3138">
        <f>+ROUND(Get_Data!C3137,5)</f>
        <v>45.928220000000003</v>
      </c>
      <c r="D3138" s="4">
        <f t="shared" si="312"/>
        <v>2.8206699999999998</v>
      </c>
      <c r="E3138" s="22">
        <f t="shared" ca="1" si="291"/>
        <v>3.1495799999999998</v>
      </c>
      <c r="F3138" s="23">
        <f t="shared" ca="1" si="292"/>
        <v>2.6786500000000002</v>
      </c>
      <c r="G3138" s="10">
        <f t="shared" ca="1" si="293"/>
        <v>0</v>
      </c>
      <c r="H3138" s="12">
        <f t="shared" ca="1" si="294"/>
        <v>0</v>
      </c>
      <c r="I3138" s="11">
        <f t="shared" ca="1" si="295"/>
        <v>0</v>
      </c>
      <c r="J3138" s="11">
        <f t="shared" ca="1" si="296"/>
        <v>0</v>
      </c>
      <c r="K3138" s="10" t="str">
        <f t="shared" ca="1" si="306"/>
        <v/>
      </c>
      <c r="L3138" s="11" t="str">
        <f t="shared" ca="1" si="307"/>
        <v/>
      </c>
      <c r="M3138" s="11" t="str">
        <f t="shared" ca="1" si="308"/>
        <v/>
      </c>
      <c r="N3138" s="15" t="str">
        <f t="shared" ca="1" si="309"/>
        <v/>
      </c>
      <c r="O3138" s="15" t="str">
        <f t="shared" ca="1" si="310"/>
        <v/>
      </c>
      <c r="P3138" s="16" t="str">
        <f t="shared" ca="1" si="311"/>
        <v/>
      </c>
      <c r="Q3138" s="11" t="str">
        <f t="shared" ca="1" si="297"/>
        <v/>
      </c>
      <c r="R3138" s="11" t="str">
        <f t="shared" ca="1" si="298"/>
        <v/>
      </c>
      <c r="S3138" s="61" t="str">
        <f t="shared" ca="1" si="299"/>
        <v/>
      </c>
      <c r="T3138" s="11" t="str">
        <f t="shared" ca="1" si="300"/>
        <v/>
      </c>
      <c r="U3138" s="11" t="str">
        <f t="shared" ca="1" si="301"/>
        <v/>
      </c>
      <c r="V3138" s="18" t="str">
        <f t="shared" ca="1" si="302"/>
        <v/>
      </c>
      <c r="W3138" s="61" t="str">
        <f t="shared" ca="1" si="303"/>
        <v/>
      </c>
      <c r="X3138" s="61">
        <f t="shared" ca="1" si="304"/>
        <v>0</v>
      </c>
      <c r="Y3138" s="64" t="str">
        <f t="shared" ca="1" si="305"/>
        <v/>
      </c>
    </row>
    <row r="3139" spans="1:25">
      <c r="A3139" s="2">
        <f>+Get_Data!A3138</f>
        <v>43998</v>
      </c>
      <c r="B3139">
        <f>+ROUND(Get_Data!B3138,5)</f>
        <v>130.72995</v>
      </c>
      <c r="C3139">
        <f>+ROUND(Get_Data!C3138,5)</f>
        <v>46.394449999999999</v>
      </c>
      <c r="D3139" s="4">
        <f t="shared" si="312"/>
        <v>2.81779</v>
      </c>
      <c r="E3139" s="22">
        <f t="shared" ca="1" si="291"/>
        <v>3.1495799999999998</v>
      </c>
      <c r="F3139" s="23">
        <f t="shared" ca="1" si="292"/>
        <v>2.6786500000000002</v>
      </c>
      <c r="G3139" s="10">
        <f t="shared" ca="1" si="293"/>
        <v>0</v>
      </c>
      <c r="H3139" s="12">
        <f t="shared" ca="1" si="294"/>
        <v>0</v>
      </c>
      <c r="I3139" s="11">
        <f t="shared" ca="1" si="295"/>
        <v>0</v>
      </c>
      <c r="J3139" s="11">
        <f t="shared" ca="1" si="296"/>
        <v>0</v>
      </c>
      <c r="K3139" s="10" t="str">
        <f t="shared" ca="1" si="306"/>
        <v/>
      </c>
      <c r="L3139" s="11" t="str">
        <f t="shared" ca="1" si="307"/>
        <v/>
      </c>
      <c r="M3139" s="11" t="str">
        <f t="shared" ca="1" si="308"/>
        <v/>
      </c>
      <c r="N3139" s="15" t="str">
        <f t="shared" ca="1" si="309"/>
        <v/>
      </c>
      <c r="O3139" s="15" t="str">
        <f t="shared" ca="1" si="310"/>
        <v/>
      </c>
      <c r="P3139" s="16" t="str">
        <f t="shared" ca="1" si="311"/>
        <v/>
      </c>
      <c r="Q3139" s="11" t="str">
        <f t="shared" ca="1" si="297"/>
        <v/>
      </c>
      <c r="R3139" s="11" t="str">
        <f t="shared" ca="1" si="298"/>
        <v/>
      </c>
      <c r="S3139" s="61" t="str">
        <f t="shared" ca="1" si="299"/>
        <v/>
      </c>
      <c r="T3139" s="11" t="str">
        <f t="shared" ca="1" si="300"/>
        <v/>
      </c>
      <c r="U3139" s="11" t="str">
        <f t="shared" ca="1" si="301"/>
        <v/>
      </c>
      <c r="V3139" s="18" t="str">
        <f t="shared" ca="1" si="302"/>
        <v/>
      </c>
      <c r="W3139" s="61" t="str">
        <f t="shared" ca="1" si="303"/>
        <v/>
      </c>
      <c r="X3139" s="61">
        <f t="shared" ca="1" si="304"/>
        <v>0</v>
      </c>
      <c r="Y3139" s="64" t="str">
        <f t="shared" ca="1" si="305"/>
        <v/>
      </c>
    </row>
    <row r="3140" spans="1:25">
      <c r="A3140" s="2">
        <f>+Get_Data!A3139</f>
        <v>43999</v>
      </c>
      <c r="B3140">
        <f>+ROUND(Get_Data!B3139,5)</f>
        <v>130.81931</v>
      </c>
      <c r="C3140">
        <f>+ROUND(Get_Data!C3139,5)</f>
        <v>46.205970000000001</v>
      </c>
      <c r="D3140" s="4">
        <f t="shared" si="312"/>
        <v>2.8312200000000001</v>
      </c>
      <c r="E3140" s="22">
        <f t="shared" ca="1" si="291"/>
        <v>3.1495799999999998</v>
      </c>
      <c r="F3140" s="23">
        <f t="shared" ca="1" si="292"/>
        <v>2.6786500000000002</v>
      </c>
      <c r="G3140" s="10">
        <f t="shared" ca="1" si="293"/>
        <v>0</v>
      </c>
      <c r="H3140" s="12">
        <f t="shared" ca="1" si="294"/>
        <v>0</v>
      </c>
      <c r="I3140" s="11">
        <f t="shared" ca="1" si="295"/>
        <v>0</v>
      </c>
      <c r="J3140" s="11">
        <f t="shared" ca="1" si="296"/>
        <v>0</v>
      </c>
      <c r="K3140" s="10" t="str">
        <f t="shared" ca="1" si="306"/>
        <v/>
      </c>
      <c r="L3140" s="11" t="str">
        <f t="shared" ca="1" si="307"/>
        <v/>
      </c>
      <c r="M3140" s="11" t="str">
        <f t="shared" ca="1" si="308"/>
        <v/>
      </c>
      <c r="N3140" s="15" t="str">
        <f t="shared" ca="1" si="309"/>
        <v/>
      </c>
      <c r="O3140" s="15" t="str">
        <f t="shared" ca="1" si="310"/>
        <v/>
      </c>
      <c r="P3140" s="16" t="str">
        <f t="shared" ca="1" si="311"/>
        <v/>
      </c>
      <c r="Q3140" s="11" t="str">
        <f t="shared" ca="1" si="297"/>
        <v/>
      </c>
      <c r="R3140" s="11" t="str">
        <f t="shared" ca="1" si="298"/>
        <v/>
      </c>
      <c r="S3140" s="61" t="str">
        <f t="shared" ca="1" si="299"/>
        <v/>
      </c>
      <c r="T3140" s="11" t="str">
        <f t="shared" ca="1" si="300"/>
        <v/>
      </c>
      <c r="U3140" s="11" t="str">
        <f t="shared" ca="1" si="301"/>
        <v/>
      </c>
      <c r="V3140" s="18" t="str">
        <f t="shared" ca="1" si="302"/>
        <v/>
      </c>
      <c r="W3140" s="61" t="str">
        <f t="shared" ca="1" si="303"/>
        <v/>
      </c>
      <c r="X3140" s="61">
        <f t="shared" ca="1" si="304"/>
        <v>0</v>
      </c>
      <c r="Y3140" s="64" t="str">
        <f t="shared" ca="1" si="305"/>
        <v/>
      </c>
    </row>
    <row r="3141" spans="1:25">
      <c r="A3141" s="2">
        <f>+Get_Data!A3140</f>
        <v>44000</v>
      </c>
      <c r="B3141">
        <f>+ROUND(Get_Data!B3140,5)</f>
        <v>131.83203</v>
      </c>
      <c r="C3141">
        <f>+ROUND(Get_Data!C3140,5)</f>
        <v>46.612679999999997</v>
      </c>
      <c r="D3141" s="4">
        <f t="shared" si="312"/>
        <v>2.8282400000000001</v>
      </c>
      <c r="E3141" s="22">
        <f t="shared" ref="E3141:E3204" ca="1" si="313">+MAX(OFFSET(D3141,-$G$2+1,,$G$2))</f>
        <v>3.1495799999999998</v>
      </c>
      <c r="F3141" s="23">
        <f t="shared" ref="F3141:F3204" ca="1" si="314">+MIN(OFFSET(D3141,-$G$2+1,,$G$2))</f>
        <v>2.6786500000000002</v>
      </c>
      <c r="G3141" s="10">
        <f t="shared" ref="G3141:G3204" ca="1" si="315">+IF(E3141=D3141,1,0)</f>
        <v>0</v>
      </c>
      <c r="H3141" s="12">
        <f t="shared" ref="H3141:H3204" ca="1" si="316">+IF(F3141=D3141,1,0)</f>
        <v>0</v>
      </c>
      <c r="I3141" s="11">
        <f t="shared" ref="I3141:I3204" ca="1" si="317">+G3141-H3141</f>
        <v>0</v>
      </c>
      <c r="J3141" s="11">
        <f t="shared" ca="1" si="296"/>
        <v>0</v>
      </c>
      <c r="K3141" s="10" t="str">
        <f t="shared" ca="1" si="306"/>
        <v/>
      </c>
      <c r="L3141" s="11" t="str">
        <f t="shared" ca="1" si="307"/>
        <v/>
      </c>
      <c r="M3141" s="11" t="str">
        <f t="shared" ca="1" si="308"/>
        <v/>
      </c>
      <c r="N3141" s="15" t="str">
        <f t="shared" ca="1" si="309"/>
        <v/>
      </c>
      <c r="O3141" s="15" t="str">
        <f t="shared" ca="1" si="310"/>
        <v/>
      </c>
      <c r="P3141" s="16" t="str">
        <f t="shared" ca="1" si="311"/>
        <v/>
      </c>
      <c r="Q3141" s="11" t="str">
        <f t="shared" ca="1" si="297"/>
        <v/>
      </c>
      <c r="R3141" s="11" t="str">
        <f t="shared" ca="1" si="298"/>
        <v/>
      </c>
      <c r="S3141" s="61" t="str">
        <f t="shared" ca="1" si="299"/>
        <v/>
      </c>
      <c r="T3141" s="11" t="str">
        <f t="shared" ca="1" si="300"/>
        <v/>
      </c>
      <c r="U3141" s="11" t="str">
        <f t="shared" ca="1" si="301"/>
        <v/>
      </c>
      <c r="V3141" s="18" t="str">
        <f t="shared" ca="1" si="302"/>
        <v/>
      </c>
      <c r="W3141" s="61" t="str">
        <f t="shared" ca="1" si="303"/>
        <v/>
      </c>
      <c r="X3141" s="61">
        <f t="shared" ca="1" si="304"/>
        <v>0</v>
      </c>
      <c r="Y3141" s="64" t="str">
        <f t="shared" ca="1" si="305"/>
        <v/>
      </c>
    </row>
    <row r="3142" spans="1:25">
      <c r="A3142" s="2">
        <f>+Get_Data!A3141</f>
        <v>44001</v>
      </c>
      <c r="B3142">
        <f>+ROUND(Get_Data!B3141,5)</f>
        <v>130.34273999999999</v>
      </c>
      <c r="C3142">
        <f>+ROUND(Get_Data!C3141,5)</f>
        <v>45.650469999999999</v>
      </c>
      <c r="D3142" s="4">
        <f t="shared" si="312"/>
        <v>2.8552300000000002</v>
      </c>
      <c r="E3142" s="22">
        <f t="shared" ca="1" si="313"/>
        <v>3.1495799999999998</v>
      </c>
      <c r="F3142" s="23">
        <f t="shared" ca="1" si="314"/>
        <v>2.6786500000000002</v>
      </c>
      <c r="G3142" s="10">
        <f t="shared" ca="1" si="315"/>
        <v>0</v>
      </c>
      <c r="H3142" s="12">
        <f t="shared" ca="1" si="316"/>
        <v>0</v>
      </c>
      <c r="I3142" s="11">
        <f t="shared" ca="1" si="317"/>
        <v>0</v>
      </c>
      <c r="J3142" s="11">
        <f t="shared" ref="J3142:J3205" ca="1" si="318">+IF(AND(ABS(J3141)=2,ABS(I3142)=1),0,J3141+I3142)</f>
        <v>0</v>
      </c>
      <c r="K3142" s="10" t="str">
        <f t="shared" ca="1" si="306"/>
        <v/>
      </c>
      <c r="L3142" s="11" t="str">
        <f t="shared" ca="1" si="307"/>
        <v/>
      </c>
      <c r="M3142" s="11" t="str">
        <f t="shared" ca="1" si="308"/>
        <v/>
      </c>
      <c r="N3142" s="15" t="str">
        <f t="shared" ca="1" si="309"/>
        <v/>
      </c>
      <c r="O3142" s="15" t="str">
        <f t="shared" ca="1" si="310"/>
        <v/>
      </c>
      <c r="P3142" s="16" t="str">
        <f t="shared" ca="1" si="311"/>
        <v/>
      </c>
      <c r="Q3142" s="11" t="str">
        <f t="shared" ca="1" si="297"/>
        <v/>
      </c>
      <c r="R3142" s="11" t="str">
        <f t="shared" ca="1" si="298"/>
        <v/>
      </c>
      <c r="S3142" s="61" t="str">
        <f t="shared" ca="1" si="299"/>
        <v/>
      </c>
      <c r="T3142" s="11" t="str">
        <f t="shared" ca="1" si="300"/>
        <v/>
      </c>
      <c r="U3142" s="11" t="str">
        <f t="shared" ca="1" si="301"/>
        <v/>
      </c>
      <c r="V3142" s="18" t="str">
        <f t="shared" ca="1" si="302"/>
        <v/>
      </c>
      <c r="W3142" s="61" t="str">
        <f t="shared" ca="1" si="303"/>
        <v/>
      </c>
      <c r="X3142" s="61">
        <f t="shared" ca="1" si="304"/>
        <v>0</v>
      </c>
      <c r="Y3142" s="64" t="str">
        <f t="shared" ca="1" si="305"/>
        <v/>
      </c>
    </row>
    <row r="3143" spans="1:25">
      <c r="A3143" s="2">
        <f>+Get_Data!A3142</f>
        <v>44004</v>
      </c>
      <c r="B3143">
        <f>+ROUND(Get_Data!B3142,5)</f>
        <v>130.11438000000001</v>
      </c>
      <c r="C3143">
        <f>+ROUND(Get_Data!C3142,5)</f>
        <v>45.372720000000001</v>
      </c>
      <c r="D3143" s="4">
        <f t="shared" si="312"/>
        <v>2.86768</v>
      </c>
      <c r="E3143" s="22">
        <f t="shared" ca="1" si="313"/>
        <v>3.0202300000000002</v>
      </c>
      <c r="F3143" s="23">
        <f t="shared" ca="1" si="314"/>
        <v>2.6786500000000002</v>
      </c>
      <c r="G3143" s="10">
        <f t="shared" ca="1" si="315"/>
        <v>0</v>
      </c>
      <c r="H3143" s="12">
        <f t="shared" ca="1" si="316"/>
        <v>0</v>
      </c>
      <c r="I3143" s="11">
        <f t="shared" ca="1" si="317"/>
        <v>0</v>
      </c>
      <c r="J3143" s="11">
        <f t="shared" ca="1" si="318"/>
        <v>0</v>
      </c>
      <c r="K3143" s="10" t="str">
        <f t="shared" ca="1" si="306"/>
        <v/>
      </c>
      <c r="L3143" s="11" t="str">
        <f t="shared" ca="1" si="307"/>
        <v/>
      </c>
      <c r="M3143" s="11" t="str">
        <f t="shared" ca="1" si="308"/>
        <v/>
      </c>
      <c r="N3143" s="15" t="str">
        <f t="shared" ca="1" si="309"/>
        <v/>
      </c>
      <c r="O3143" s="15" t="str">
        <f t="shared" ca="1" si="310"/>
        <v/>
      </c>
      <c r="P3143" s="16" t="str">
        <f t="shared" ca="1" si="311"/>
        <v/>
      </c>
      <c r="Q3143" s="11" t="str">
        <f t="shared" ca="1" si="297"/>
        <v/>
      </c>
      <c r="R3143" s="11" t="str">
        <f t="shared" ca="1" si="298"/>
        <v/>
      </c>
      <c r="S3143" s="61" t="str">
        <f t="shared" ca="1" si="299"/>
        <v/>
      </c>
      <c r="T3143" s="11" t="str">
        <f t="shared" ca="1" si="300"/>
        <v/>
      </c>
      <c r="U3143" s="11" t="str">
        <f t="shared" ca="1" si="301"/>
        <v/>
      </c>
      <c r="V3143" s="18" t="str">
        <f t="shared" ca="1" si="302"/>
        <v/>
      </c>
      <c r="W3143" s="61" t="str">
        <f t="shared" ca="1" si="303"/>
        <v/>
      </c>
      <c r="X3143" s="61">
        <f t="shared" ca="1" si="304"/>
        <v>0</v>
      </c>
      <c r="Y3143" s="64" t="str">
        <f t="shared" ca="1" si="305"/>
        <v/>
      </c>
    </row>
    <row r="3144" spans="1:25">
      <c r="A3144" s="2">
        <f>+Get_Data!A3143</f>
        <v>44005</v>
      </c>
      <c r="B3144">
        <f>+ROUND(Get_Data!B3143,5)</f>
        <v>130.42215999999999</v>
      </c>
      <c r="C3144">
        <f>+ROUND(Get_Data!C3143,5)</f>
        <v>45.273519999999998</v>
      </c>
      <c r="D3144" s="4">
        <f t="shared" si="312"/>
        <v>2.88076</v>
      </c>
      <c r="E3144" s="22">
        <f t="shared" ca="1" si="313"/>
        <v>2.9641099999999998</v>
      </c>
      <c r="F3144" s="23">
        <f t="shared" ca="1" si="314"/>
        <v>2.6786500000000002</v>
      </c>
      <c r="G3144" s="10">
        <f t="shared" ca="1" si="315"/>
        <v>0</v>
      </c>
      <c r="H3144" s="12">
        <f t="shared" ca="1" si="316"/>
        <v>0</v>
      </c>
      <c r="I3144" s="11">
        <f t="shared" ca="1" si="317"/>
        <v>0</v>
      </c>
      <c r="J3144" s="11">
        <f t="shared" ca="1" si="318"/>
        <v>0</v>
      </c>
      <c r="K3144" s="10" t="str">
        <f t="shared" ca="1" si="306"/>
        <v/>
      </c>
      <c r="L3144" s="11" t="str">
        <f t="shared" ca="1" si="307"/>
        <v/>
      </c>
      <c r="M3144" s="11" t="str">
        <f t="shared" ca="1" si="308"/>
        <v/>
      </c>
      <c r="N3144" s="15" t="str">
        <f t="shared" ca="1" si="309"/>
        <v/>
      </c>
      <c r="O3144" s="15" t="str">
        <f t="shared" ca="1" si="310"/>
        <v/>
      </c>
      <c r="P3144" s="16" t="str">
        <f t="shared" ca="1" si="311"/>
        <v/>
      </c>
      <c r="Q3144" s="11" t="str">
        <f t="shared" ca="1" si="297"/>
        <v/>
      </c>
      <c r="R3144" s="11" t="str">
        <f t="shared" ca="1" si="298"/>
        <v/>
      </c>
      <c r="S3144" s="61" t="str">
        <f t="shared" ca="1" si="299"/>
        <v/>
      </c>
      <c r="T3144" s="11" t="str">
        <f t="shared" ca="1" si="300"/>
        <v/>
      </c>
      <c r="U3144" s="11" t="str">
        <f t="shared" ca="1" si="301"/>
        <v/>
      </c>
      <c r="V3144" s="18" t="str">
        <f t="shared" ca="1" si="302"/>
        <v/>
      </c>
      <c r="W3144" s="61" t="str">
        <f t="shared" ca="1" si="303"/>
        <v/>
      </c>
      <c r="X3144" s="61">
        <f t="shared" ca="1" si="304"/>
        <v>0</v>
      </c>
      <c r="Y3144" s="64" t="str">
        <f t="shared" ca="1" si="305"/>
        <v/>
      </c>
    </row>
    <row r="3145" spans="1:25">
      <c r="A3145" s="2">
        <f>+Get_Data!A3144</f>
        <v>44006</v>
      </c>
      <c r="B3145">
        <f>+ROUND(Get_Data!B3144,5)</f>
        <v>128.63503</v>
      </c>
      <c r="C3145">
        <f>+ROUND(Get_Data!C3144,5)</f>
        <v>44.291469999999997</v>
      </c>
      <c r="D3145" s="4">
        <f t="shared" si="312"/>
        <v>2.90428</v>
      </c>
      <c r="E3145" s="22">
        <f t="shared" ca="1" si="313"/>
        <v>2.90428</v>
      </c>
      <c r="F3145" s="23">
        <f t="shared" ca="1" si="314"/>
        <v>2.6786500000000002</v>
      </c>
      <c r="G3145" s="10">
        <f t="shared" ca="1" si="315"/>
        <v>1</v>
      </c>
      <c r="H3145" s="12">
        <f t="shared" ca="1" si="316"/>
        <v>0</v>
      </c>
      <c r="I3145" s="11">
        <f t="shared" ca="1" si="317"/>
        <v>1</v>
      </c>
      <c r="J3145" s="11">
        <f t="shared" ca="1" si="318"/>
        <v>1</v>
      </c>
      <c r="K3145" s="10" t="str">
        <f t="shared" ca="1" si="306"/>
        <v/>
      </c>
      <c r="L3145" s="11" t="str">
        <f t="shared" ca="1" si="307"/>
        <v/>
      </c>
      <c r="M3145" s="11" t="str">
        <f t="shared" ca="1" si="308"/>
        <v/>
      </c>
      <c r="N3145" s="15" t="str">
        <f t="shared" ca="1" si="309"/>
        <v/>
      </c>
      <c r="O3145" s="15" t="str">
        <f t="shared" ca="1" si="310"/>
        <v/>
      </c>
      <c r="P3145" s="16" t="str">
        <f t="shared" ca="1" si="311"/>
        <v/>
      </c>
      <c r="Q3145" s="11" t="str">
        <f t="shared" ca="1" si="297"/>
        <v/>
      </c>
      <c r="R3145" s="11" t="str">
        <f t="shared" ca="1" si="298"/>
        <v/>
      </c>
      <c r="S3145" s="61" t="str">
        <f t="shared" ca="1" si="299"/>
        <v/>
      </c>
      <c r="T3145" s="11" t="str">
        <f t="shared" ca="1" si="300"/>
        <v/>
      </c>
      <c r="U3145" s="11" t="str">
        <f t="shared" ca="1" si="301"/>
        <v/>
      </c>
      <c r="V3145" s="18" t="str">
        <f t="shared" ca="1" si="302"/>
        <v/>
      </c>
      <c r="W3145" s="61" t="str">
        <f t="shared" ca="1" si="303"/>
        <v/>
      </c>
      <c r="X3145" s="61">
        <f t="shared" ca="1" si="304"/>
        <v>0</v>
      </c>
      <c r="Y3145" s="64" t="str">
        <f t="shared" ca="1" si="305"/>
        <v/>
      </c>
    </row>
    <row r="3146" spans="1:25">
      <c r="A3146" s="2">
        <f>+Get_Data!A3145</f>
        <v>44007</v>
      </c>
      <c r="B3146">
        <f>+ROUND(Get_Data!B3145,5)</f>
        <v>130.47182000000001</v>
      </c>
      <c r="C3146">
        <f>+ROUND(Get_Data!C3145,5)</f>
        <v>44.569220000000001</v>
      </c>
      <c r="D3146" s="4">
        <f t="shared" si="312"/>
        <v>2.9274</v>
      </c>
      <c r="E3146" s="22">
        <f t="shared" ca="1" si="313"/>
        <v>2.9274</v>
      </c>
      <c r="F3146" s="23">
        <f t="shared" ca="1" si="314"/>
        <v>2.6786500000000002</v>
      </c>
      <c r="G3146" s="10">
        <f t="shared" ca="1" si="315"/>
        <v>1</v>
      </c>
      <c r="H3146" s="12">
        <f t="shared" ca="1" si="316"/>
        <v>0</v>
      </c>
      <c r="I3146" s="11">
        <f t="shared" ca="1" si="317"/>
        <v>1</v>
      </c>
      <c r="J3146" s="11">
        <f t="shared" ca="1" si="318"/>
        <v>2</v>
      </c>
      <c r="K3146" s="10">
        <f t="shared" ca="1" si="306"/>
        <v>-130.47182000000001</v>
      </c>
      <c r="L3146" s="11">
        <f t="shared" ca="1" si="307"/>
        <v>44.569220000000001</v>
      </c>
      <c r="M3146" s="11">
        <f t="shared" ca="1" si="308"/>
        <v>2.9274</v>
      </c>
      <c r="N3146" s="15">
        <f t="shared" ca="1" si="309"/>
        <v>10</v>
      </c>
      <c r="O3146" s="15">
        <f t="shared" ca="1" si="310"/>
        <v>29</v>
      </c>
      <c r="P3146" s="16">
        <f t="shared" ca="1" si="311"/>
        <v>-12.210820000000012</v>
      </c>
      <c r="Q3146" s="11" t="str">
        <f t="shared" ca="1" si="297"/>
        <v/>
      </c>
      <c r="R3146" s="11" t="str">
        <f t="shared" ca="1" si="298"/>
        <v/>
      </c>
      <c r="S3146" s="61" t="str">
        <f t="shared" ca="1" si="299"/>
        <v/>
      </c>
      <c r="T3146" s="11" t="str">
        <f t="shared" ca="1" si="300"/>
        <v/>
      </c>
      <c r="U3146" s="11" t="str">
        <f t="shared" ca="1" si="301"/>
        <v/>
      </c>
      <c r="V3146" s="18" t="str">
        <f t="shared" ca="1" si="302"/>
        <v/>
      </c>
      <c r="W3146" s="61" t="str">
        <f t="shared" ca="1" si="303"/>
        <v/>
      </c>
      <c r="X3146" s="61">
        <f t="shared" ca="1" si="304"/>
        <v>0</v>
      </c>
      <c r="Y3146" s="64" t="str">
        <f t="shared" ca="1" si="305"/>
        <v/>
      </c>
    </row>
    <row r="3147" spans="1:25">
      <c r="A3147" s="2">
        <f>+Get_Data!A3146</f>
        <v>44008</v>
      </c>
      <c r="B3147">
        <f>+ROUND(Get_Data!B3146,5)</f>
        <v>128.00951000000001</v>
      </c>
      <c r="C3147">
        <f>+ROUND(Get_Data!C3146,5)</f>
        <v>43.220140000000001</v>
      </c>
      <c r="D3147" s="4">
        <f t="shared" si="312"/>
        <v>2.9618000000000002</v>
      </c>
      <c r="E3147" s="22">
        <f t="shared" ca="1" si="313"/>
        <v>2.9618000000000002</v>
      </c>
      <c r="F3147" s="23">
        <f t="shared" ca="1" si="314"/>
        <v>2.6786500000000002</v>
      </c>
      <c r="G3147" s="10">
        <f t="shared" ca="1" si="315"/>
        <v>1</v>
      </c>
      <c r="H3147" s="12">
        <f t="shared" ca="1" si="316"/>
        <v>0</v>
      </c>
      <c r="I3147" s="11">
        <f t="shared" ca="1" si="317"/>
        <v>1</v>
      </c>
      <c r="J3147" s="11">
        <f t="shared" ca="1" si="318"/>
        <v>0</v>
      </c>
      <c r="K3147" s="10">
        <f t="shared" ca="1" si="306"/>
        <v>-130.47182000000001</v>
      </c>
      <c r="L3147" s="11">
        <f t="shared" ca="1" si="307"/>
        <v>44.569220000000001</v>
      </c>
      <c r="M3147" s="11">
        <f t="shared" ca="1" si="308"/>
        <v>2.9274</v>
      </c>
      <c r="N3147" s="15">
        <f t="shared" ca="1" si="309"/>
        <v>10</v>
      </c>
      <c r="O3147" s="15">
        <f t="shared" ca="1" si="310"/>
        <v>29</v>
      </c>
      <c r="P3147" s="16">
        <f t="shared" ca="1" si="311"/>
        <v>-12.210820000000012</v>
      </c>
      <c r="Q3147" s="11" t="str">
        <f t="shared" ca="1" si="297"/>
        <v/>
      </c>
      <c r="R3147" s="11" t="str">
        <f t="shared" ca="1" si="298"/>
        <v/>
      </c>
      <c r="S3147" s="61" t="str">
        <f t="shared" ca="1" si="299"/>
        <v/>
      </c>
      <c r="T3147" s="11" t="str">
        <f t="shared" ca="1" si="300"/>
        <v/>
      </c>
      <c r="U3147" s="11" t="str">
        <f t="shared" ca="1" si="301"/>
        <v/>
      </c>
      <c r="V3147" s="18" t="str">
        <f t="shared" ca="1" si="302"/>
        <v/>
      </c>
      <c r="W3147" s="61" t="str">
        <f t="shared" ca="1" si="303"/>
        <v/>
      </c>
      <c r="X3147" s="61">
        <f t="shared" ca="1" si="304"/>
        <v>0</v>
      </c>
      <c r="Y3147" s="64" t="str">
        <f t="shared" ca="1" si="305"/>
        <v/>
      </c>
    </row>
    <row r="3148" spans="1:25">
      <c r="A3148" s="2">
        <f>+Get_Data!A3147</f>
        <v>44011</v>
      </c>
      <c r="B3148">
        <f>+ROUND(Get_Data!B3147,5)</f>
        <v>130.14417</v>
      </c>
      <c r="C3148">
        <f>+ROUND(Get_Data!C3147,5)</f>
        <v>44.003799999999998</v>
      </c>
      <c r="D3148" s="4">
        <f t="shared" si="312"/>
        <v>2.95757</v>
      </c>
      <c r="E3148" s="22">
        <f t="shared" ca="1" si="313"/>
        <v>2.9618000000000002</v>
      </c>
      <c r="F3148" s="23">
        <f t="shared" ca="1" si="314"/>
        <v>2.6786500000000002</v>
      </c>
      <c r="G3148" s="10">
        <f t="shared" ca="1" si="315"/>
        <v>0</v>
      </c>
      <c r="H3148" s="12">
        <f t="shared" ca="1" si="316"/>
        <v>0</v>
      </c>
      <c r="I3148" s="11">
        <f t="shared" ca="1" si="317"/>
        <v>0</v>
      </c>
      <c r="J3148" s="11">
        <f t="shared" ca="1" si="318"/>
        <v>0</v>
      </c>
      <c r="K3148" s="10" t="str">
        <f t="shared" ca="1" si="306"/>
        <v/>
      </c>
      <c r="L3148" s="11" t="str">
        <f t="shared" ca="1" si="307"/>
        <v/>
      </c>
      <c r="M3148" s="11" t="str">
        <f t="shared" ca="1" si="308"/>
        <v/>
      </c>
      <c r="N3148" s="15" t="str">
        <f t="shared" ca="1" si="309"/>
        <v/>
      </c>
      <c r="O3148" s="15" t="str">
        <f t="shared" ca="1" si="310"/>
        <v/>
      </c>
      <c r="P3148" s="16" t="str">
        <f t="shared" ca="1" si="311"/>
        <v/>
      </c>
      <c r="Q3148" s="11">
        <f t="shared" ca="1" si="297"/>
        <v>130.14417</v>
      </c>
      <c r="R3148" s="11">
        <f t="shared" ca="1" si="298"/>
        <v>44.003799999999998</v>
      </c>
      <c r="S3148" s="61">
        <f t="shared" ca="1" si="299"/>
        <v>2.95757</v>
      </c>
      <c r="T3148" s="11">
        <f t="shared" ca="1" si="300"/>
        <v>10</v>
      </c>
      <c r="U3148" s="11">
        <f t="shared" ca="1" si="301"/>
        <v>29</v>
      </c>
      <c r="V3148" s="18">
        <f t="shared" ca="1" si="302"/>
        <v>-2606.1599000000001</v>
      </c>
      <c r="W3148" s="61">
        <f t="shared" ca="1" si="303"/>
        <v>2568.6175800000001</v>
      </c>
      <c r="X3148" s="61">
        <f t="shared" ca="1" si="304"/>
        <v>-37.542320000000018</v>
      </c>
      <c r="Y3148" s="64">
        <f t="shared" ca="1" si="305"/>
        <v>-2.941934011655108E-2</v>
      </c>
    </row>
    <row r="3149" spans="1:25">
      <c r="A3149" s="2">
        <f>+Get_Data!A3148</f>
        <v>44012</v>
      </c>
      <c r="B3149">
        <f>+ROUND(Get_Data!B3148,5)</f>
        <v>131.31573</v>
      </c>
      <c r="C3149">
        <f>+ROUND(Get_Data!C3148,5)</f>
        <v>44.32123</v>
      </c>
      <c r="D3149" s="4">
        <f t="shared" si="312"/>
        <v>2.9628199999999998</v>
      </c>
      <c r="E3149" s="22">
        <f t="shared" ca="1" si="313"/>
        <v>2.9628199999999998</v>
      </c>
      <c r="F3149" s="23">
        <f t="shared" ca="1" si="314"/>
        <v>2.6786500000000002</v>
      </c>
      <c r="G3149" s="10">
        <f t="shared" ca="1" si="315"/>
        <v>1</v>
      </c>
      <c r="H3149" s="12">
        <f t="shared" ca="1" si="316"/>
        <v>0</v>
      </c>
      <c r="I3149" s="11">
        <f t="shared" ca="1" si="317"/>
        <v>1</v>
      </c>
      <c r="J3149" s="11">
        <f t="shared" ca="1" si="318"/>
        <v>1</v>
      </c>
      <c r="K3149" s="10" t="str">
        <f t="shared" ca="1" si="306"/>
        <v/>
      </c>
      <c r="L3149" s="11" t="str">
        <f t="shared" ca="1" si="307"/>
        <v/>
      </c>
      <c r="M3149" s="11" t="str">
        <f t="shared" ca="1" si="308"/>
        <v/>
      </c>
      <c r="N3149" s="15" t="str">
        <f t="shared" ca="1" si="309"/>
        <v/>
      </c>
      <c r="O3149" s="15" t="str">
        <f t="shared" ca="1" si="310"/>
        <v/>
      </c>
      <c r="P3149" s="16" t="str">
        <f t="shared" ca="1" si="311"/>
        <v/>
      </c>
      <c r="Q3149" s="11" t="str">
        <f t="shared" ca="1" si="297"/>
        <v/>
      </c>
      <c r="R3149" s="11" t="str">
        <f t="shared" ca="1" si="298"/>
        <v/>
      </c>
      <c r="S3149" s="61" t="str">
        <f t="shared" ca="1" si="299"/>
        <v/>
      </c>
      <c r="T3149" s="11" t="str">
        <f t="shared" ca="1" si="300"/>
        <v/>
      </c>
      <c r="U3149" s="11" t="str">
        <f t="shared" ca="1" si="301"/>
        <v/>
      </c>
      <c r="V3149" s="18" t="str">
        <f t="shared" ca="1" si="302"/>
        <v/>
      </c>
      <c r="W3149" s="61" t="str">
        <f t="shared" ca="1" si="303"/>
        <v/>
      </c>
      <c r="X3149" s="61">
        <f t="shared" ca="1" si="304"/>
        <v>0</v>
      </c>
      <c r="Y3149" s="64" t="str">
        <f t="shared" ca="1" si="305"/>
        <v/>
      </c>
    </row>
    <row r="3150" spans="1:25">
      <c r="A3150" s="2">
        <f>+Get_Data!A3149</f>
        <v>44013</v>
      </c>
      <c r="B3150">
        <f>+ROUND(Get_Data!B3149,5)</f>
        <v>131.41504</v>
      </c>
      <c r="C3150">
        <f>+ROUND(Get_Data!C3149,5)</f>
        <v>44.46011</v>
      </c>
      <c r="D3150" s="4">
        <f t="shared" si="312"/>
        <v>2.9558</v>
      </c>
      <c r="E3150" s="22">
        <f t="shared" ca="1" si="313"/>
        <v>2.9628199999999998</v>
      </c>
      <c r="F3150" s="23">
        <f t="shared" ca="1" si="314"/>
        <v>2.6786500000000002</v>
      </c>
      <c r="G3150" s="10">
        <f t="shared" ca="1" si="315"/>
        <v>0</v>
      </c>
      <c r="H3150" s="12">
        <f t="shared" ca="1" si="316"/>
        <v>0</v>
      </c>
      <c r="I3150" s="11">
        <f t="shared" ca="1" si="317"/>
        <v>0</v>
      </c>
      <c r="J3150" s="11">
        <f t="shared" ca="1" si="318"/>
        <v>1</v>
      </c>
      <c r="K3150" s="10">
        <f t="shared" ca="1" si="306"/>
        <v>-131.41504</v>
      </c>
      <c r="L3150" s="11">
        <f t="shared" ca="1" si="307"/>
        <v>44.46011</v>
      </c>
      <c r="M3150" s="11">
        <f t="shared" ca="1" si="308"/>
        <v>2.9558</v>
      </c>
      <c r="N3150" s="15">
        <f t="shared" ca="1" si="309"/>
        <v>10</v>
      </c>
      <c r="O3150" s="15">
        <f t="shared" ca="1" si="310"/>
        <v>30</v>
      </c>
      <c r="P3150" s="16">
        <f t="shared" ca="1" si="311"/>
        <v>19.652900000000045</v>
      </c>
      <c r="Q3150" s="11" t="str">
        <f t="shared" ca="1" si="297"/>
        <v/>
      </c>
      <c r="R3150" s="11" t="str">
        <f t="shared" ca="1" si="298"/>
        <v/>
      </c>
      <c r="S3150" s="61" t="str">
        <f t="shared" ca="1" si="299"/>
        <v/>
      </c>
      <c r="T3150" s="11" t="str">
        <f t="shared" ca="1" si="300"/>
        <v/>
      </c>
      <c r="U3150" s="11" t="str">
        <f t="shared" ca="1" si="301"/>
        <v/>
      </c>
      <c r="V3150" s="18" t="str">
        <f t="shared" ca="1" si="302"/>
        <v/>
      </c>
      <c r="W3150" s="61" t="str">
        <f t="shared" ca="1" si="303"/>
        <v/>
      </c>
      <c r="X3150" s="61">
        <f t="shared" ca="1" si="304"/>
        <v>0</v>
      </c>
      <c r="Y3150" s="64" t="str">
        <f t="shared" ca="1" si="305"/>
        <v/>
      </c>
    </row>
    <row r="3151" spans="1:25">
      <c r="A3151" s="2">
        <f>+Get_Data!A3150</f>
        <v>44014</v>
      </c>
      <c r="B3151">
        <f>+ROUND(Get_Data!B3150,5)</f>
        <v>131.90154000000001</v>
      </c>
      <c r="C3151">
        <f>+ROUND(Get_Data!C3150,5)</f>
        <v>44.519629999999999</v>
      </c>
      <c r="D3151" s="4">
        <f t="shared" si="312"/>
        <v>2.9627699999999999</v>
      </c>
      <c r="E3151" s="22">
        <f t="shared" ca="1" si="313"/>
        <v>2.9628199999999998</v>
      </c>
      <c r="F3151" s="23">
        <f t="shared" ca="1" si="314"/>
        <v>2.6786500000000002</v>
      </c>
      <c r="G3151" s="10">
        <f t="shared" ca="1" si="315"/>
        <v>0</v>
      </c>
      <c r="H3151" s="12">
        <f t="shared" ca="1" si="316"/>
        <v>0</v>
      </c>
      <c r="I3151" s="11">
        <f t="shared" ca="1" si="317"/>
        <v>0</v>
      </c>
      <c r="J3151" s="11">
        <f t="shared" ca="1" si="318"/>
        <v>1</v>
      </c>
      <c r="K3151" s="10">
        <f t="shared" ca="1" si="306"/>
        <v>-131.41504</v>
      </c>
      <c r="L3151" s="11">
        <f t="shared" ca="1" si="307"/>
        <v>44.46011</v>
      </c>
      <c r="M3151" s="11">
        <f t="shared" ca="1" si="308"/>
        <v>2.9558</v>
      </c>
      <c r="N3151" s="15">
        <f t="shared" ca="1" si="309"/>
        <v>10</v>
      </c>
      <c r="O3151" s="15">
        <f t="shared" ca="1" si="310"/>
        <v>30</v>
      </c>
      <c r="P3151" s="16">
        <f t="shared" ca="1" si="311"/>
        <v>19.652900000000045</v>
      </c>
      <c r="Q3151" s="11" t="str">
        <f t="shared" ca="1" si="297"/>
        <v/>
      </c>
      <c r="R3151" s="11" t="str">
        <f t="shared" ca="1" si="298"/>
        <v/>
      </c>
      <c r="S3151" s="61" t="str">
        <f t="shared" ca="1" si="299"/>
        <v/>
      </c>
      <c r="T3151" s="11" t="str">
        <f t="shared" ca="1" si="300"/>
        <v/>
      </c>
      <c r="U3151" s="11" t="str">
        <f t="shared" ca="1" si="301"/>
        <v/>
      </c>
      <c r="V3151" s="18" t="str">
        <f t="shared" ca="1" si="302"/>
        <v/>
      </c>
      <c r="W3151" s="61" t="str">
        <f t="shared" ca="1" si="303"/>
        <v/>
      </c>
      <c r="X3151" s="61">
        <f t="shared" ca="1" si="304"/>
        <v>0</v>
      </c>
      <c r="Y3151" s="64" t="str">
        <f t="shared" ca="1" si="305"/>
        <v/>
      </c>
    </row>
    <row r="3152" spans="1:25">
      <c r="A3152" s="2">
        <f>+Get_Data!A3151</f>
        <v>44018</v>
      </c>
      <c r="B3152">
        <f>+ROUND(Get_Data!B3151,5)</f>
        <v>132.34833</v>
      </c>
      <c r="C3152">
        <f>+ROUND(Get_Data!C3151,5)</f>
        <v>44.866810000000001</v>
      </c>
      <c r="D3152" s="4">
        <f t="shared" si="312"/>
        <v>2.9498000000000002</v>
      </c>
      <c r="E3152" s="22">
        <f t="shared" ca="1" si="313"/>
        <v>2.9628199999999998</v>
      </c>
      <c r="F3152" s="23">
        <f t="shared" ca="1" si="314"/>
        <v>2.6786500000000002</v>
      </c>
      <c r="G3152" s="10">
        <f t="shared" ca="1" si="315"/>
        <v>0</v>
      </c>
      <c r="H3152" s="12">
        <f t="shared" ca="1" si="316"/>
        <v>0</v>
      </c>
      <c r="I3152" s="11">
        <f t="shared" ca="1" si="317"/>
        <v>0</v>
      </c>
      <c r="J3152" s="11">
        <f t="shared" ca="1" si="318"/>
        <v>1</v>
      </c>
      <c r="K3152" s="10">
        <f t="shared" ca="1" si="306"/>
        <v>-131.41504</v>
      </c>
      <c r="L3152" s="11">
        <f t="shared" ca="1" si="307"/>
        <v>44.46011</v>
      </c>
      <c r="M3152" s="11">
        <f t="shared" ca="1" si="308"/>
        <v>2.9558</v>
      </c>
      <c r="N3152" s="15">
        <f t="shared" ca="1" si="309"/>
        <v>10</v>
      </c>
      <c r="O3152" s="15">
        <f t="shared" ca="1" si="310"/>
        <v>30</v>
      </c>
      <c r="P3152" s="16">
        <f t="shared" ca="1" si="311"/>
        <v>19.652900000000045</v>
      </c>
      <c r="Q3152" s="11" t="str">
        <f t="shared" ca="1" si="297"/>
        <v/>
      </c>
      <c r="R3152" s="11" t="str">
        <f t="shared" ca="1" si="298"/>
        <v/>
      </c>
      <c r="S3152" s="61" t="str">
        <f t="shared" ca="1" si="299"/>
        <v/>
      </c>
      <c r="T3152" s="11" t="str">
        <f t="shared" ca="1" si="300"/>
        <v/>
      </c>
      <c r="U3152" s="11" t="str">
        <f t="shared" ca="1" si="301"/>
        <v/>
      </c>
      <c r="V3152" s="18" t="str">
        <f t="shared" ca="1" si="302"/>
        <v/>
      </c>
      <c r="W3152" s="61" t="str">
        <f t="shared" ca="1" si="303"/>
        <v/>
      </c>
      <c r="X3152" s="61">
        <f t="shared" ca="1" si="304"/>
        <v>0</v>
      </c>
      <c r="Y3152" s="64" t="str">
        <f t="shared" ca="1" si="305"/>
        <v/>
      </c>
    </row>
    <row r="3153" spans="1:25">
      <c r="A3153" s="2">
        <f>+Get_Data!A3152</f>
        <v>44019</v>
      </c>
      <c r="B3153">
        <f>+ROUND(Get_Data!B3152,5)</f>
        <v>132.61639</v>
      </c>
      <c r="C3153">
        <f>+ROUND(Get_Data!C3152,5)</f>
        <v>44.846969999999999</v>
      </c>
      <c r="D3153" s="4">
        <f t="shared" si="312"/>
        <v>2.95709</v>
      </c>
      <c r="E3153" s="22">
        <f t="shared" ca="1" si="313"/>
        <v>2.9628199999999998</v>
      </c>
      <c r="F3153" s="23">
        <f t="shared" ca="1" si="314"/>
        <v>2.6786500000000002</v>
      </c>
      <c r="G3153" s="10">
        <f t="shared" ca="1" si="315"/>
        <v>0</v>
      </c>
      <c r="H3153" s="12">
        <f t="shared" ca="1" si="316"/>
        <v>0</v>
      </c>
      <c r="I3153" s="11">
        <f t="shared" ca="1" si="317"/>
        <v>0</v>
      </c>
      <c r="J3153" s="11">
        <f t="shared" ca="1" si="318"/>
        <v>1</v>
      </c>
      <c r="K3153" s="10">
        <f t="shared" ca="1" si="306"/>
        <v>-131.41504</v>
      </c>
      <c r="L3153" s="11">
        <f t="shared" ca="1" si="307"/>
        <v>44.46011</v>
      </c>
      <c r="M3153" s="11">
        <f t="shared" ca="1" si="308"/>
        <v>2.9558</v>
      </c>
      <c r="N3153" s="15">
        <f t="shared" ca="1" si="309"/>
        <v>10</v>
      </c>
      <c r="O3153" s="15">
        <f t="shared" ca="1" si="310"/>
        <v>30</v>
      </c>
      <c r="P3153" s="16">
        <f t="shared" ca="1" si="311"/>
        <v>19.652900000000045</v>
      </c>
      <c r="Q3153" s="11" t="str">
        <f t="shared" ca="1" si="297"/>
        <v/>
      </c>
      <c r="R3153" s="11" t="str">
        <f t="shared" ca="1" si="298"/>
        <v/>
      </c>
      <c r="S3153" s="61" t="str">
        <f t="shared" ca="1" si="299"/>
        <v/>
      </c>
      <c r="T3153" s="11" t="str">
        <f t="shared" ca="1" si="300"/>
        <v/>
      </c>
      <c r="U3153" s="11" t="str">
        <f t="shared" ca="1" si="301"/>
        <v/>
      </c>
      <c r="V3153" s="18" t="str">
        <f t="shared" ca="1" si="302"/>
        <v/>
      </c>
      <c r="W3153" s="61" t="str">
        <f t="shared" ca="1" si="303"/>
        <v/>
      </c>
      <c r="X3153" s="61">
        <f t="shared" ca="1" si="304"/>
        <v>0</v>
      </c>
      <c r="Y3153" s="64" t="str">
        <f t="shared" ca="1" si="305"/>
        <v/>
      </c>
    </row>
    <row r="3154" spans="1:25">
      <c r="A3154" s="2">
        <f>+Get_Data!A3153</f>
        <v>44020</v>
      </c>
      <c r="B3154">
        <f>+ROUND(Get_Data!B3153,5)</f>
        <v>133.26175000000001</v>
      </c>
      <c r="C3154">
        <f>+ROUND(Get_Data!C3153,5)</f>
        <v>44.708100000000002</v>
      </c>
      <c r="D3154" s="4">
        <f t="shared" si="312"/>
        <v>2.9807100000000002</v>
      </c>
      <c r="E3154" s="22">
        <f t="shared" ca="1" si="313"/>
        <v>2.9807100000000002</v>
      </c>
      <c r="F3154" s="23">
        <f t="shared" ca="1" si="314"/>
        <v>2.6786500000000002</v>
      </c>
      <c r="G3154" s="10">
        <f t="shared" ca="1" si="315"/>
        <v>1</v>
      </c>
      <c r="H3154" s="12">
        <f t="shared" ca="1" si="316"/>
        <v>0</v>
      </c>
      <c r="I3154" s="11">
        <f t="shared" ca="1" si="317"/>
        <v>1</v>
      </c>
      <c r="J3154" s="11">
        <f t="shared" ca="1" si="318"/>
        <v>2</v>
      </c>
      <c r="K3154" s="10">
        <f t="shared" ca="1" si="306"/>
        <v>-131.41504</v>
      </c>
      <c r="L3154" s="11">
        <f t="shared" ca="1" si="307"/>
        <v>44.46011</v>
      </c>
      <c r="M3154" s="11">
        <f t="shared" ca="1" si="308"/>
        <v>2.9558</v>
      </c>
      <c r="N3154" s="15">
        <f t="shared" ca="1" si="309"/>
        <v>10</v>
      </c>
      <c r="O3154" s="15">
        <f t="shared" ca="1" si="310"/>
        <v>30</v>
      </c>
      <c r="P3154" s="16">
        <f t="shared" ca="1" si="311"/>
        <v>19.652900000000045</v>
      </c>
      <c r="Q3154" s="11" t="str">
        <f t="shared" ca="1" si="297"/>
        <v/>
      </c>
      <c r="R3154" s="11" t="str">
        <f t="shared" ca="1" si="298"/>
        <v/>
      </c>
      <c r="S3154" s="61" t="str">
        <f t="shared" ca="1" si="299"/>
        <v/>
      </c>
      <c r="T3154" s="11" t="str">
        <f t="shared" ca="1" si="300"/>
        <v/>
      </c>
      <c r="U3154" s="11" t="str">
        <f t="shared" ca="1" si="301"/>
        <v/>
      </c>
      <c r="V3154" s="18" t="str">
        <f t="shared" ca="1" si="302"/>
        <v/>
      </c>
      <c r="W3154" s="61" t="str">
        <f t="shared" ca="1" si="303"/>
        <v/>
      </c>
      <c r="X3154" s="61">
        <f t="shared" ca="1" si="304"/>
        <v>0</v>
      </c>
      <c r="Y3154" s="64" t="str">
        <f t="shared" ca="1" si="305"/>
        <v/>
      </c>
    </row>
    <row r="3155" spans="1:25">
      <c r="A3155" s="2">
        <f>+Get_Data!A3154</f>
        <v>44021</v>
      </c>
      <c r="B3155">
        <f>+ROUND(Get_Data!B3154,5)</f>
        <v>131.76254</v>
      </c>
      <c r="C3155">
        <f>+ROUND(Get_Data!C3154,5)</f>
        <v>43.55742</v>
      </c>
      <c r="D3155" s="4">
        <f t="shared" si="312"/>
        <v>3.0250300000000001</v>
      </c>
      <c r="E3155" s="22">
        <f t="shared" ca="1" si="313"/>
        <v>3.0250300000000001</v>
      </c>
      <c r="F3155" s="23">
        <f t="shared" ca="1" si="314"/>
        <v>2.6786500000000002</v>
      </c>
      <c r="G3155" s="10">
        <f t="shared" ca="1" si="315"/>
        <v>1</v>
      </c>
      <c r="H3155" s="12">
        <f t="shared" ca="1" si="316"/>
        <v>0</v>
      </c>
      <c r="I3155" s="11">
        <f t="shared" ca="1" si="317"/>
        <v>1</v>
      </c>
      <c r="J3155" s="11">
        <f t="shared" ca="1" si="318"/>
        <v>0</v>
      </c>
      <c r="K3155" s="10">
        <f t="shared" ca="1" si="306"/>
        <v>-131.41504</v>
      </c>
      <c r="L3155" s="11">
        <f t="shared" ca="1" si="307"/>
        <v>44.46011</v>
      </c>
      <c r="M3155" s="11">
        <f t="shared" ca="1" si="308"/>
        <v>2.9558</v>
      </c>
      <c r="N3155" s="15">
        <f t="shared" ca="1" si="309"/>
        <v>10</v>
      </c>
      <c r="O3155" s="15">
        <f t="shared" ca="1" si="310"/>
        <v>30</v>
      </c>
      <c r="P3155" s="16">
        <f t="shared" ca="1" si="311"/>
        <v>19.652900000000045</v>
      </c>
      <c r="Q3155" s="11" t="str">
        <f t="shared" ref="Q3155:Q3218" ca="1" si="319">+IF(ISNUMBER(T3155),B3155,"")</f>
        <v/>
      </c>
      <c r="R3155" s="11" t="str">
        <f t="shared" ref="R3155:R3218" ca="1" si="320">+IF(ISNUMBER(U3155),C3155,"")</f>
        <v/>
      </c>
      <c r="S3155" s="61" t="str">
        <f t="shared" ref="S3155:S3218" ca="1" si="321">+IF(ISNUMBER(T3155),D3155,"")</f>
        <v/>
      </c>
      <c r="T3155" s="11" t="str">
        <f t="shared" ref="T3155:T3218" ca="1" si="322">+IF(AND(ISNUMBER(N3154),NOT(ISNUMBER(N3155))),N3154,"")</f>
        <v/>
      </c>
      <c r="U3155" s="11" t="str">
        <f t="shared" ref="U3155:U3218" ca="1" si="323">+IF(AND(ISNUMBER(O3154),NOT(ISNUMBER(O3155))),O3154,"")</f>
        <v/>
      </c>
      <c r="V3155" s="18" t="str">
        <f t="shared" ref="V3155:V3218" ca="1" si="324">+IFERROR(T3155*(K3154-Q3155),"")</f>
        <v/>
      </c>
      <c r="W3155" s="61" t="str">
        <f t="shared" ref="W3155:W3218" ca="1" si="325">+IFERROR(U3155*(L3154+R3155),"")</f>
        <v/>
      </c>
      <c r="X3155" s="61">
        <f t="shared" ref="X3155:X3218" ca="1" si="326">+IFERROR(SUM(V3155:W3155),"")</f>
        <v>0</v>
      </c>
      <c r="Y3155" s="64" t="str">
        <f t="shared" ref="Y3155:Y3218" ca="1" si="327">IFERROR(+X3155/ABS(R3155*U3155),"")</f>
        <v/>
      </c>
    </row>
    <row r="3156" spans="1:25">
      <c r="A3156" s="2">
        <f>+Get_Data!A3155</f>
        <v>44022</v>
      </c>
      <c r="B3156">
        <f>+ROUND(Get_Data!B3155,5)</f>
        <v>133.50004999999999</v>
      </c>
      <c r="C3156">
        <f>+ROUND(Get_Data!C3155,5)</f>
        <v>44.787460000000003</v>
      </c>
      <c r="D3156" s="4">
        <f t="shared" si="312"/>
        <v>2.98075</v>
      </c>
      <c r="E3156" s="22">
        <f t="shared" ca="1" si="313"/>
        <v>3.0250300000000001</v>
      </c>
      <c r="F3156" s="23">
        <f t="shared" ca="1" si="314"/>
        <v>2.6786500000000002</v>
      </c>
      <c r="G3156" s="10">
        <f t="shared" ca="1" si="315"/>
        <v>0</v>
      </c>
      <c r="H3156" s="12">
        <f t="shared" ca="1" si="316"/>
        <v>0</v>
      </c>
      <c r="I3156" s="11">
        <f t="shared" ca="1" si="317"/>
        <v>0</v>
      </c>
      <c r="J3156" s="11">
        <f t="shared" ca="1" si="318"/>
        <v>0</v>
      </c>
      <c r="K3156" s="10" t="str">
        <f t="shared" ca="1" si="306"/>
        <v/>
      </c>
      <c r="L3156" s="11" t="str">
        <f t="shared" ca="1" si="307"/>
        <v/>
      </c>
      <c r="M3156" s="11" t="str">
        <f t="shared" ca="1" si="308"/>
        <v/>
      </c>
      <c r="N3156" s="15" t="str">
        <f t="shared" ca="1" si="309"/>
        <v/>
      </c>
      <c r="O3156" s="15" t="str">
        <f t="shared" ca="1" si="310"/>
        <v/>
      </c>
      <c r="P3156" s="16" t="str">
        <f t="shared" ca="1" si="311"/>
        <v/>
      </c>
      <c r="Q3156" s="11">
        <f t="shared" ca="1" si="319"/>
        <v>133.50004999999999</v>
      </c>
      <c r="R3156" s="11">
        <f t="shared" ca="1" si="320"/>
        <v>44.787460000000003</v>
      </c>
      <c r="S3156" s="61">
        <f t="shared" ca="1" si="321"/>
        <v>2.98075</v>
      </c>
      <c r="T3156" s="11">
        <f t="shared" ca="1" si="322"/>
        <v>10</v>
      </c>
      <c r="U3156" s="11">
        <f t="shared" ca="1" si="323"/>
        <v>30</v>
      </c>
      <c r="V3156" s="18">
        <f t="shared" ca="1" si="324"/>
        <v>-2649.1508999999996</v>
      </c>
      <c r="W3156" s="61">
        <f t="shared" ca="1" si="325"/>
        <v>2677.4270999999999</v>
      </c>
      <c r="X3156" s="61">
        <f t="shared" ca="1" si="326"/>
        <v>28.276200000000244</v>
      </c>
      <c r="Y3156" s="64">
        <f t="shared" ca="1" si="327"/>
        <v>2.104472993110143E-2</v>
      </c>
    </row>
    <row r="3157" spans="1:25">
      <c r="A3157" s="2">
        <f>+Get_Data!A3156</f>
        <v>44025</v>
      </c>
      <c r="B3157">
        <f>+ROUND(Get_Data!B3156,5)</f>
        <v>133.94682</v>
      </c>
      <c r="C3157">
        <f>+ROUND(Get_Data!C3156,5)</f>
        <v>44.886650000000003</v>
      </c>
      <c r="D3157" s="4">
        <f t="shared" si="312"/>
        <v>2.9841099999999998</v>
      </c>
      <c r="E3157" s="22">
        <f t="shared" ca="1" si="313"/>
        <v>3.0250300000000001</v>
      </c>
      <c r="F3157" s="23">
        <f t="shared" ca="1" si="314"/>
        <v>2.6786500000000002</v>
      </c>
      <c r="G3157" s="10">
        <f t="shared" ca="1" si="315"/>
        <v>0</v>
      </c>
      <c r="H3157" s="12">
        <f t="shared" ca="1" si="316"/>
        <v>0</v>
      </c>
      <c r="I3157" s="11">
        <f t="shared" ca="1" si="317"/>
        <v>0</v>
      </c>
      <c r="J3157" s="11">
        <f t="shared" ca="1" si="318"/>
        <v>0</v>
      </c>
      <c r="K3157" s="10" t="str">
        <f t="shared" ca="1" si="306"/>
        <v/>
      </c>
      <c r="L3157" s="11" t="str">
        <f t="shared" ca="1" si="307"/>
        <v/>
      </c>
      <c r="M3157" s="11" t="str">
        <f t="shared" ca="1" si="308"/>
        <v/>
      </c>
      <c r="N3157" s="15" t="str">
        <f t="shared" ca="1" si="309"/>
        <v/>
      </c>
      <c r="O3157" s="15" t="str">
        <f t="shared" ca="1" si="310"/>
        <v/>
      </c>
      <c r="P3157" s="16" t="str">
        <f t="shared" ca="1" si="311"/>
        <v/>
      </c>
      <c r="Q3157" s="11" t="str">
        <f t="shared" ca="1" si="319"/>
        <v/>
      </c>
      <c r="R3157" s="11" t="str">
        <f t="shared" ca="1" si="320"/>
        <v/>
      </c>
      <c r="S3157" s="61" t="str">
        <f t="shared" ca="1" si="321"/>
        <v/>
      </c>
      <c r="T3157" s="11" t="str">
        <f t="shared" ca="1" si="322"/>
        <v/>
      </c>
      <c r="U3157" s="11" t="str">
        <f t="shared" ca="1" si="323"/>
        <v/>
      </c>
      <c r="V3157" s="18" t="str">
        <f t="shared" ca="1" si="324"/>
        <v/>
      </c>
      <c r="W3157" s="61" t="str">
        <f t="shared" ca="1" si="325"/>
        <v/>
      </c>
      <c r="X3157" s="61">
        <f t="shared" ca="1" si="326"/>
        <v>0</v>
      </c>
      <c r="Y3157" s="64" t="str">
        <f t="shared" ca="1" si="327"/>
        <v/>
      </c>
    </row>
    <row r="3158" spans="1:25">
      <c r="A3158" s="2">
        <f>+Get_Data!A3157</f>
        <v>44026</v>
      </c>
      <c r="B3158">
        <f>+ROUND(Get_Data!B3157,5)</f>
        <v>134.55247</v>
      </c>
      <c r="C3158">
        <f>+ROUND(Get_Data!C3157,5)</f>
        <v>45.501669999999997</v>
      </c>
      <c r="D3158" s="4">
        <f t="shared" si="312"/>
        <v>2.95709</v>
      </c>
      <c r="E3158" s="22">
        <f t="shared" ca="1" si="313"/>
        <v>3.0250300000000001</v>
      </c>
      <c r="F3158" s="23">
        <f t="shared" ca="1" si="314"/>
        <v>2.74078</v>
      </c>
      <c r="G3158" s="10">
        <f t="shared" ca="1" si="315"/>
        <v>0</v>
      </c>
      <c r="H3158" s="12">
        <f t="shared" ca="1" si="316"/>
        <v>0</v>
      </c>
      <c r="I3158" s="11">
        <f t="shared" ca="1" si="317"/>
        <v>0</v>
      </c>
      <c r="J3158" s="11">
        <f t="shared" ca="1" si="318"/>
        <v>0</v>
      </c>
      <c r="K3158" s="10" t="str">
        <f t="shared" ca="1" si="306"/>
        <v/>
      </c>
      <c r="L3158" s="11" t="str">
        <f t="shared" ca="1" si="307"/>
        <v/>
      </c>
      <c r="M3158" s="11" t="str">
        <f t="shared" ca="1" si="308"/>
        <v/>
      </c>
      <c r="N3158" s="15" t="str">
        <f t="shared" ca="1" si="309"/>
        <v/>
      </c>
      <c r="O3158" s="15" t="str">
        <f t="shared" ca="1" si="310"/>
        <v/>
      </c>
      <c r="P3158" s="16" t="str">
        <f t="shared" ca="1" si="311"/>
        <v/>
      </c>
      <c r="Q3158" s="11" t="str">
        <f t="shared" ca="1" si="319"/>
        <v/>
      </c>
      <c r="R3158" s="11" t="str">
        <f t="shared" ca="1" si="320"/>
        <v/>
      </c>
      <c r="S3158" s="61" t="str">
        <f t="shared" ca="1" si="321"/>
        <v/>
      </c>
      <c r="T3158" s="11" t="str">
        <f t="shared" ca="1" si="322"/>
        <v/>
      </c>
      <c r="U3158" s="11" t="str">
        <f t="shared" ca="1" si="323"/>
        <v/>
      </c>
      <c r="V3158" s="18" t="str">
        <f t="shared" ca="1" si="324"/>
        <v/>
      </c>
      <c r="W3158" s="61" t="str">
        <f t="shared" ca="1" si="325"/>
        <v/>
      </c>
      <c r="X3158" s="61">
        <f t="shared" ca="1" si="326"/>
        <v>0</v>
      </c>
      <c r="Y3158" s="64" t="str">
        <f t="shared" ca="1" si="327"/>
        <v/>
      </c>
    </row>
    <row r="3159" spans="1:25">
      <c r="A3159" s="2">
        <f>+Get_Data!A3158</f>
        <v>44027</v>
      </c>
      <c r="B3159">
        <f>+ROUND(Get_Data!B3158,5)</f>
        <v>132.73553000000001</v>
      </c>
      <c r="C3159">
        <f>+ROUND(Get_Data!C3158,5)</f>
        <v>46.027419999999999</v>
      </c>
      <c r="D3159" s="4">
        <f t="shared" si="312"/>
        <v>2.8838400000000002</v>
      </c>
      <c r="E3159" s="22">
        <f t="shared" ca="1" si="313"/>
        <v>3.0250300000000001</v>
      </c>
      <c r="F3159" s="23">
        <f t="shared" ca="1" si="314"/>
        <v>2.7863000000000002</v>
      </c>
      <c r="G3159" s="10">
        <f t="shared" ca="1" si="315"/>
        <v>0</v>
      </c>
      <c r="H3159" s="12">
        <f t="shared" ca="1" si="316"/>
        <v>0</v>
      </c>
      <c r="I3159" s="11">
        <f t="shared" ca="1" si="317"/>
        <v>0</v>
      </c>
      <c r="J3159" s="11">
        <f t="shared" ca="1" si="318"/>
        <v>0</v>
      </c>
      <c r="K3159" s="10" t="str">
        <f t="shared" ca="1" si="306"/>
        <v/>
      </c>
      <c r="L3159" s="11" t="str">
        <f t="shared" ca="1" si="307"/>
        <v/>
      </c>
      <c r="M3159" s="11" t="str">
        <f t="shared" ca="1" si="308"/>
        <v/>
      </c>
      <c r="N3159" s="15" t="str">
        <f t="shared" ca="1" si="309"/>
        <v/>
      </c>
      <c r="O3159" s="15" t="str">
        <f t="shared" ca="1" si="310"/>
        <v/>
      </c>
      <c r="P3159" s="16" t="str">
        <f t="shared" ca="1" si="311"/>
        <v/>
      </c>
      <c r="Q3159" s="11" t="str">
        <f t="shared" ca="1" si="319"/>
        <v/>
      </c>
      <c r="R3159" s="11" t="str">
        <f t="shared" ca="1" si="320"/>
        <v/>
      </c>
      <c r="S3159" s="61" t="str">
        <f t="shared" ca="1" si="321"/>
        <v/>
      </c>
      <c r="T3159" s="11" t="str">
        <f t="shared" ca="1" si="322"/>
        <v/>
      </c>
      <c r="U3159" s="11" t="str">
        <f t="shared" ca="1" si="323"/>
        <v/>
      </c>
      <c r="V3159" s="18" t="str">
        <f t="shared" ca="1" si="324"/>
        <v/>
      </c>
      <c r="W3159" s="61" t="str">
        <f t="shared" ca="1" si="325"/>
        <v/>
      </c>
      <c r="X3159" s="61">
        <f t="shared" ca="1" si="326"/>
        <v>0</v>
      </c>
      <c r="Y3159" s="64" t="str">
        <f t="shared" ca="1" si="327"/>
        <v/>
      </c>
    </row>
    <row r="3160" spans="1:25">
      <c r="A3160" s="2">
        <f>+Get_Data!A3159</f>
        <v>44028</v>
      </c>
      <c r="B3160">
        <f>+ROUND(Get_Data!B3159,5)</f>
        <v>132.92418000000001</v>
      </c>
      <c r="C3160">
        <f>+ROUND(Get_Data!C3159,5)</f>
        <v>45.779429999999998</v>
      </c>
      <c r="D3160" s="4">
        <f t="shared" si="312"/>
        <v>2.9035799999999998</v>
      </c>
      <c r="E3160" s="22">
        <f t="shared" ca="1" si="313"/>
        <v>3.0250300000000001</v>
      </c>
      <c r="F3160" s="23">
        <f t="shared" ca="1" si="314"/>
        <v>2.81779</v>
      </c>
      <c r="G3160" s="10">
        <f t="shared" ca="1" si="315"/>
        <v>0</v>
      </c>
      <c r="H3160" s="12">
        <f t="shared" ca="1" si="316"/>
        <v>0</v>
      </c>
      <c r="I3160" s="11">
        <f t="shared" ca="1" si="317"/>
        <v>0</v>
      </c>
      <c r="J3160" s="11">
        <f t="shared" ca="1" si="318"/>
        <v>0</v>
      </c>
      <c r="K3160" s="10" t="str">
        <f t="shared" ca="1" si="306"/>
        <v/>
      </c>
      <c r="L3160" s="11" t="str">
        <f t="shared" ca="1" si="307"/>
        <v/>
      </c>
      <c r="M3160" s="11" t="str">
        <f t="shared" ca="1" si="308"/>
        <v/>
      </c>
      <c r="N3160" s="15" t="str">
        <f t="shared" ca="1" si="309"/>
        <v/>
      </c>
      <c r="O3160" s="15" t="str">
        <f t="shared" ca="1" si="310"/>
        <v/>
      </c>
      <c r="P3160" s="16" t="str">
        <f t="shared" ca="1" si="311"/>
        <v/>
      </c>
      <c r="Q3160" s="11" t="str">
        <f t="shared" ca="1" si="319"/>
        <v/>
      </c>
      <c r="R3160" s="11" t="str">
        <f t="shared" ca="1" si="320"/>
        <v/>
      </c>
      <c r="S3160" s="61" t="str">
        <f t="shared" ca="1" si="321"/>
        <v/>
      </c>
      <c r="T3160" s="11" t="str">
        <f t="shared" ca="1" si="322"/>
        <v/>
      </c>
      <c r="U3160" s="11" t="str">
        <f t="shared" ca="1" si="323"/>
        <v/>
      </c>
      <c r="V3160" s="18" t="str">
        <f t="shared" ca="1" si="324"/>
        <v/>
      </c>
      <c r="W3160" s="61" t="str">
        <f t="shared" ca="1" si="325"/>
        <v/>
      </c>
      <c r="X3160" s="61">
        <f t="shared" ca="1" si="326"/>
        <v>0</v>
      </c>
      <c r="Y3160" s="64" t="str">
        <f t="shared" ca="1" si="327"/>
        <v/>
      </c>
    </row>
    <row r="3161" spans="1:25">
      <c r="A3161" s="2">
        <f>+Get_Data!A3160</f>
        <v>44029</v>
      </c>
      <c r="B3161">
        <f>+ROUND(Get_Data!B3160,5)</f>
        <v>133.69861</v>
      </c>
      <c r="C3161">
        <f>+ROUND(Get_Data!C3160,5)</f>
        <v>46.444049999999997</v>
      </c>
      <c r="D3161" s="4">
        <f t="shared" si="312"/>
        <v>2.8786999999999998</v>
      </c>
      <c r="E3161" s="22">
        <f t="shared" ca="1" si="313"/>
        <v>3.0250300000000001</v>
      </c>
      <c r="F3161" s="23">
        <f t="shared" ca="1" si="314"/>
        <v>2.81779</v>
      </c>
      <c r="G3161" s="10">
        <f t="shared" ca="1" si="315"/>
        <v>0</v>
      </c>
      <c r="H3161" s="12">
        <f t="shared" ca="1" si="316"/>
        <v>0</v>
      </c>
      <c r="I3161" s="11">
        <f t="shared" ca="1" si="317"/>
        <v>0</v>
      </c>
      <c r="J3161" s="11">
        <f t="shared" ca="1" si="318"/>
        <v>0</v>
      </c>
      <c r="K3161" s="10" t="str">
        <f t="shared" ca="1" si="306"/>
        <v/>
      </c>
      <c r="L3161" s="11" t="str">
        <f t="shared" ca="1" si="307"/>
        <v/>
      </c>
      <c r="M3161" s="11" t="str">
        <f t="shared" ca="1" si="308"/>
        <v/>
      </c>
      <c r="N3161" s="15" t="str">
        <f t="shared" ca="1" si="309"/>
        <v/>
      </c>
      <c r="O3161" s="15" t="str">
        <f t="shared" ca="1" si="310"/>
        <v/>
      </c>
      <c r="P3161" s="16" t="str">
        <f t="shared" ca="1" si="311"/>
        <v/>
      </c>
      <c r="Q3161" s="11" t="str">
        <f t="shared" ca="1" si="319"/>
        <v/>
      </c>
      <c r="R3161" s="11" t="str">
        <f t="shared" ca="1" si="320"/>
        <v/>
      </c>
      <c r="S3161" s="61" t="str">
        <f t="shared" ca="1" si="321"/>
        <v/>
      </c>
      <c r="T3161" s="11" t="str">
        <f t="shared" ca="1" si="322"/>
        <v/>
      </c>
      <c r="U3161" s="11" t="str">
        <f t="shared" ca="1" si="323"/>
        <v/>
      </c>
      <c r="V3161" s="18" t="str">
        <f t="shared" ca="1" si="324"/>
        <v/>
      </c>
      <c r="W3161" s="61" t="str">
        <f t="shared" ca="1" si="325"/>
        <v/>
      </c>
      <c r="X3161" s="61">
        <f t="shared" ca="1" si="326"/>
        <v>0</v>
      </c>
      <c r="Y3161" s="64" t="str">
        <f t="shared" ca="1" si="327"/>
        <v/>
      </c>
    </row>
    <row r="3162" spans="1:25">
      <c r="A3162" s="2">
        <f>+Get_Data!A3161</f>
        <v>44032</v>
      </c>
      <c r="B3162">
        <f>+ROUND(Get_Data!B3161,5)</f>
        <v>132.15968000000001</v>
      </c>
      <c r="C3162">
        <f>+ROUND(Get_Data!C3161,5)</f>
        <v>45.749670000000002</v>
      </c>
      <c r="D3162" s="4">
        <f t="shared" si="312"/>
        <v>2.88876</v>
      </c>
      <c r="E3162" s="22">
        <f t="shared" ca="1" si="313"/>
        <v>3.0250300000000001</v>
      </c>
      <c r="F3162" s="23">
        <f t="shared" ca="1" si="314"/>
        <v>2.81779</v>
      </c>
      <c r="G3162" s="10">
        <f t="shared" ca="1" si="315"/>
        <v>0</v>
      </c>
      <c r="H3162" s="12">
        <f t="shared" ca="1" si="316"/>
        <v>0</v>
      </c>
      <c r="I3162" s="11">
        <f t="shared" ca="1" si="317"/>
        <v>0</v>
      </c>
      <c r="J3162" s="11">
        <f t="shared" ca="1" si="318"/>
        <v>0</v>
      </c>
      <c r="K3162" s="10" t="str">
        <f t="shared" ref="K3162:K3225" ca="1" si="328">+IF($J3161=0,"",IF(AND(ABS($J3161)=1,ABS($I3161)=1),-$J3161*B3162,K3161))</f>
        <v/>
      </c>
      <c r="L3162" s="11" t="str">
        <f t="shared" ref="L3162:L3225" ca="1" si="329">+IF($J3161=0,"",IF(AND(ABS($J3161)=1,ABS($I3161)=1),$J3161*C3162,L3161))</f>
        <v/>
      </c>
      <c r="M3162" s="11" t="str">
        <f t="shared" ref="M3162:M3225" ca="1" si="330">+IF($J3161=0,"",IF(AND(ABS($J3161)=1,ABS($I3161)=1),D3162,M3161))</f>
        <v/>
      </c>
      <c r="N3162" s="15" t="str">
        <f t="shared" ref="N3162:N3225" ca="1" si="331">+IF(ISNUMBER(K3162),stocks,"")</f>
        <v/>
      </c>
      <c r="O3162" s="15" t="str">
        <f t="shared" ref="O3162:O3225" ca="1" si="332">+IFERROR(ROUND(N3162*M3162,0),"")</f>
        <v/>
      </c>
      <c r="P3162" s="16" t="str">
        <f t="shared" ref="P3162:P3225" ca="1" si="333">IFERROR(+N3162*K3162+O3162*L3162,"")</f>
        <v/>
      </c>
      <c r="Q3162" s="11" t="str">
        <f t="shared" ca="1" si="319"/>
        <v/>
      </c>
      <c r="R3162" s="11" t="str">
        <f t="shared" ca="1" si="320"/>
        <v/>
      </c>
      <c r="S3162" s="61" t="str">
        <f t="shared" ca="1" si="321"/>
        <v/>
      </c>
      <c r="T3162" s="11" t="str">
        <f t="shared" ca="1" si="322"/>
        <v/>
      </c>
      <c r="U3162" s="11" t="str">
        <f t="shared" ca="1" si="323"/>
        <v/>
      </c>
      <c r="V3162" s="18" t="str">
        <f t="shared" ca="1" si="324"/>
        <v/>
      </c>
      <c r="W3162" s="61" t="str">
        <f t="shared" ca="1" si="325"/>
        <v/>
      </c>
      <c r="X3162" s="61">
        <f t="shared" ca="1" si="326"/>
        <v>0</v>
      </c>
      <c r="Y3162" s="64" t="str">
        <f t="shared" ca="1" si="327"/>
        <v/>
      </c>
    </row>
    <row r="3163" spans="1:25">
      <c r="A3163" s="2">
        <f>+Get_Data!A3162</f>
        <v>44033</v>
      </c>
      <c r="B3163">
        <f>+ROUND(Get_Data!B3162,5)</f>
        <v>133.47024999999999</v>
      </c>
      <c r="C3163">
        <f>+ROUND(Get_Data!C3162,5)</f>
        <v>46.820999999999998</v>
      </c>
      <c r="D3163" s="4">
        <f t="shared" si="312"/>
        <v>2.8506499999999999</v>
      </c>
      <c r="E3163" s="22">
        <f t="shared" ca="1" si="313"/>
        <v>3.0250300000000001</v>
      </c>
      <c r="F3163" s="23">
        <f t="shared" ca="1" si="314"/>
        <v>2.81779</v>
      </c>
      <c r="G3163" s="10">
        <f t="shared" ca="1" si="315"/>
        <v>0</v>
      </c>
      <c r="H3163" s="12">
        <f t="shared" ca="1" si="316"/>
        <v>0</v>
      </c>
      <c r="I3163" s="11">
        <f t="shared" ca="1" si="317"/>
        <v>0</v>
      </c>
      <c r="J3163" s="11">
        <f t="shared" ca="1" si="318"/>
        <v>0</v>
      </c>
      <c r="K3163" s="10" t="str">
        <f t="shared" ca="1" si="328"/>
        <v/>
      </c>
      <c r="L3163" s="11" t="str">
        <f t="shared" ca="1" si="329"/>
        <v/>
      </c>
      <c r="M3163" s="11" t="str">
        <f t="shared" ca="1" si="330"/>
        <v/>
      </c>
      <c r="N3163" s="15" t="str">
        <f t="shared" ca="1" si="331"/>
        <v/>
      </c>
      <c r="O3163" s="15" t="str">
        <f t="shared" ca="1" si="332"/>
        <v/>
      </c>
      <c r="P3163" s="16" t="str">
        <f t="shared" ca="1" si="333"/>
        <v/>
      </c>
      <c r="Q3163" s="11" t="str">
        <f t="shared" ca="1" si="319"/>
        <v/>
      </c>
      <c r="R3163" s="11" t="str">
        <f t="shared" ca="1" si="320"/>
        <v/>
      </c>
      <c r="S3163" s="61" t="str">
        <f t="shared" ca="1" si="321"/>
        <v/>
      </c>
      <c r="T3163" s="11" t="str">
        <f t="shared" ca="1" si="322"/>
        <v/>
      </c>
      <c r="U3163" s="11" t="str">
        <f t="shared" ca="1" si="323"/>
        <v/>
      </c>
      <c r="V3163" s="18" t="str">
        <f t="shared" ca="1" si="324"/>
        <v/>
      </c>
      <c r="W3163" s="61" t="str">
        <f t="shared" ca="1" si="325"/>
        <v/>
      </c>
      <c r="X3163" s="61">
        <f t="shared" ca="1" si="326"/>
        <v>0</v>
      </c>
      <c r="Y3163" s="64" t="str">
        <f t="shared" ca="1" si="327"/>
        <v/>
      </c>
    </row>
    <row r="3164" spans="1:25">
      <c r="A3164" s="2">
        <f>+Get_Data!A3163</f>
        <v>44034</v>
      </c>
      <c r="B3164">
        <f>+ROUND(Get_Data!B3163,5)</f>
        <v>135.03897000000001</v>
      </c>
      <c r="C3164">
        <f>+ROUND(Get_Data!C3163,5)</f>
        <v>48.090719999999997</v>
      </c>
      <c r="D3164" s="4">
        <f t="shared" si="312"/>
        <v>2.8079999999999998</v>
      </c>
      <c r="E3164" s="22">
        <f t="shared" ca="1" si="313"/>
        <v>3.0250300000000001</v>
      </c>
      <c r="F3164" s="23">
        <f t="shared" ca="1" si="314"/>
        <v>2.8079999999999998</v>
      </c>
      <c r="G3164" s="10">
        <f t="shared" ca="1" si="315"/>
        <v>0</v>
      </c>
      <c r="H3164" s="12">
        <f t="shared" ca="1" si="316"/>
        <v>1</v>
      </c>
      <c r="I3164" s="11">
        <f t="shared" ca="1" si="317"/>
        <v>-1</v>
      </c>
      <c r="J3164" s="11">
        <f t="shared" ca="1" si="318"/>
        <v>-1</v>
      </c>
      <c r="K3164" s="10" t="str">
        <f t="shared" ca="1" si="328"/>
        <v/>
      </c>
      <c r="L3164" s="11" t="str">
        <f t="shared" ca="1" si="329"/>
        <v/>
      </c>
      <c r="M3164" s="11" t="str">
        <f t="shared" ca="1" si="330"/>
        <v/>
      </c>
      <c r="N3164" s="15" t="str">
        <f t="shared" ca="1" si="331"/>
        <v/>
      </c>
      <c r="O3164" s="15" t="str">
        <f t="shared" ca="1" si="332"/>
        <v/>
      </c>
      <c r="P3164" s="16" t="str">
        <f t="shared" ca="1" si="333"/>
        <v/>
      </c>
      <c r="Q3164" s="11" t="str">
        <f t="shared" ca="1" si="319"/>
        <v/>
      </c>
      <c r="R3164" s="11" t="str">
        <f t="shared" ca="1" si="320"/>
        <v/>
      </c>
      <c r="S3164" s="61" t="str">
        <f t="shared" ca="1" si="321"/>
        <v/>
      </c>
      <c r="T3164" s="11" t="str">
        <f t="shared" ca="1" si="322"/>
        <v/>
      </c>
      <c r="U3164" s="11" t="str">
        <f t="shared" ca="1" si="323"/>
        <v/>
      </c>
      <c r="V3164" s="18" t="str">
        <f t="shared" ca="1" si="324"/>
        <v/>
      </c>
      <c r="W3164" s="61" t="str">
        <f t="shared" ca="1" si="325"/>
        <v/>
      </c>
      <c r="X3164" s="61">
        <f t="shared" ca="1" si="326"/>
        <v>0</v>
      </c>
      <c r="Y3164" s="64" t="str">
        <f t="shared" ca="1" si="327"/>
        <v/>
      </c>
    </row>
    <row r="3165" spans="1:25">
      <c r="A3165" s="2">
        <f>+Get_Data!A3164</f>
        <v>44035</v>
      </c>
      <c r="B3165">
        <f>+ROUND(Get_Data!B3164,5)</f>
        <v>136.10132999999999</v>
      </c>
      <c r="C3165">
        <f>+ROUND(Get_Data!C3164,5)</f>
        <v>47.892319999999998</v>
      </c>
      <c r="D3165" s="4">
        <f t="shared" si="312"/>
        <v>2.8418199999999998</v>
      </c>
      <c r="E3165" s="22">
        <f t="shared" ca="1" si="313"/>
        <v>3.0250300000000001</v>
      </c>
      <c r="F3165" s="23">
        <f t="shared" ca="1" si="314"/>
        <v>2.8079999999999998</v>
      </c>
      <c r="G3165" s="10">
        <f t="shared" ca="1" si="315"/>
        <v>0</v>
      </c>
      <c r="H3165" s="12">
        <f t="shared" ca="1" si="316"/>
        <v>0</v>
      </c>
      <c r="I3165" s="11">
        <f t="shared" ca="1" si="317"/>
        <v>0</v>
      </c>
      <c r="J3165" s="11">
        <f t="shared" ca="1" si="318"/>
        <v>-1</v>
      </c>
      <c r="K3165" s="10">
        <f t="shared" ca="1" si="328"/>
        <v>136.10132999999999</v>
      </c>
      <c r="L3165" s="11">
        <f t="shared" ca="1" si="329"/>
        <v>-47.892319999999998</v>
      </c>
      <c r="M3165" s="11">
        <f t="shared" ca="1" si="330"/>
        <v>2.8418199999999998</v>
      </c>
      <c r="N3165" s="15">
        <f t="shared" ca="1" si="331"/>
        <v>10</v>
      </c>
      <c r="O3165" s="15">
        <f t="shared" ca="1" si="332"/>
        <v>28</v>
      </c>
      <c r="P3165" s="16">
        <f t="shared" ca="1" si="333"/>
        <v>20.028339999999844</v>
      </c>
      <c r="Q3165" s="11" t="str">
        <f t="shared" ca="1" si="319"/>
        <v/>
      </c>
      <c r="R3165" s="11" t="str">
        <f t="shared" ca="1" si="320"/>
        <v/>
      </c>
      <c r="S3165" s="61" t="str">
        <f t="shared" ca="1" si="321"/>
        <v/>
      </c>
      <c r="T3165" s="11" t="str">
        <f t="shared" ca="1" si="322"/>
        <v/>
      </c>
      <c r="U3165" s="11" t="str">
        <f t="shared" ca="1" si="323"/>
        <v/>
      </c>
      <c r="V3165" s="18" t="str">
        <f t="shared" ca="1" si="324"/>
        <v/>
      </c>
      <c r="W3165" s="61" t="str">
        <f t="shared" ca="1" si="325"/>
        <v/>
      </c>
      <c r="X3165" s="61">
        <f t="shared" ca="1" si="326"/>
        <v>0</v>
      </c>
      <c r="Y3165" s="64" t="str">
        <f t="shared" ca="1" si="327"/>
        <v/>
      </c>
    </row>
    <row r="3166" spans="1:25">
      <c r="A3166" s="2">
        <f>+Get_Data!A3165</f>
        <v>44036</v>
      </c>
      <c r="B3166">
        <f>+ROUND(Get_Data!B3165,5)</f>
        <v>135.08860999999999</v>
      </c>
      <c r="C3166">
        <f>+ROUND(Get_Data!C3165,5)</f>
        <v>48.100639999999999</v>
      </c>
      <c r="D3166" s="4">
        <f t="shared" si="312"/>
        <v>2.8084600000000002</v>
      </c>
      <c r="E3166" s="22">
        <f t="shared" ca="1" si="313"/>
        <v>3.0250300000000001</v>
      </c>
      <c r="F3166" s="23">
        <f t="shared" ca="1" si="314"/>
        <v>2.8079999999999998</v>
      </c>
      <c r="G3166" s="10">
        <f t="shared" ca="1" si="315"/>
        <v>0</v>
      </c>
      <c r="H3166" s="12">
        <f t="shared" ca="1" si="316"/>
        <v>0</v>
      </c>
      <c r="I3166" s="11">
        <f t="shared" ca="1" si="317"/>
        <v>0</v>
      </c>
      <c r="J3166" s="11">
        <f t="shared" ca="1" si="318"/>
        <v>-1</v>
      </c>
      <c r="K3166" s="10">
        <f t="shared" ca="1" si="328"/>
        <v>136.10132999999999</v>
      </c>
      <c r="L3166" s="11">
        <f t="shared" ca="1" si="329"/>
        <v>-47.892319999999998</v>
      </c>
      <c r="M3166" s="11">
        <f t="shared" ca="1" si="330"/>
        <v>2.8418199999999998</v>
      </c>
      <c r="N3166" s="15">
        <f t="shared" ca="1" si="331"/>
        <v>10</v>
      </c>
      <c r="O3166" s="15">
        <f t="shared" ca="1" si="332"/>
        <v>28</v>
      </c>
      <c r="P3166" s="16">
        <f t="shared" ca="1" si="333"/>
        <v>20.028339999999844</v>
      </c>
      <c r="Q3166" s="11" t="str">
        <f t="shared" ca="1" si="319"/>
        <v/>
      </c>
      <c r="R3166" s="11" t="str">
        <f t="shared" ca="1" si="320"/>
        <v/>
      </c>
      <c r="S3166" s="61" t="str">
        <f t="shared" ca="1" si="321"/>
        <v/>
      </c>
      <c r="T3166" s="11" t="str">
        <f t="shared" ca="1" si="322"/>
        <v/>
      </c>
      <c r="U3166" s="11" t="str">
        <f t="shared" ca="1" si="323"/>
        <v/>
      </c>
      <c r="V3166" s="18" t="str">
        <f t="shared" ca="1" si="324"/>
        <v/>
      </c>
      <c r="W3166" s="61" t="str">
        <f t="shared" ca="1" si="325"/>
        <v/>
      </c>
      <c r="X3166" s="61">
        <f t="shared" ca="1" si="326"/>
        <v>0</v>
      </c>
      <c r="Y3166" s="64" t="str">
        <f t="shared" ca="1" si="327"/>
        <v/>
      </c>
    </row>
    <row r="3167" spans="1:25">
      <c r="A3167" s="2">
        <f>+Get_Data!A3166</f>
        <v>44039</v>
      </c>
      <c r="B3167">
        <f>+ROUND(Get_Data!B3166,5)</f>
        <v>136.68711999999999</v>
      </c>
      <c r="C3167">
        <f>+ROUND(Get_Data!C3166,5)</f>
        <v>48.090719999999997</v>
      </c>
      <c r="D3167" s="4">
        <f t="shared" ref="D3167" si="334">IFERROR(ROUND(B3167/C3167,5),"")</f>
        <v>2.8422800000000001</v>
      </c>
      <c r="E3167" s="22">
        <f t="shared" ca="1" si="313"/>
        <v>3.0250300000000001</v>
      </c>
      <c r="F3167" s="23">
        <f t="shared" ca="1" si="314"/>
        <v>2.8079999999999998</v>
      </c>
      <c r="G3167" s="10">
        <f t="shared" ca="1" si="315"/>
        <v>0</v>
      </c>
      <c r="H3167" s="12">
        <f t="shared" ca="1" si="316"/>
        <v>0</v>
      </c>
      <c r="I3167" s="11">
        <f t="shared" ca="1" si="317"/>
        <v>0</v>
      </c>
      <c r="J3167" s="11">
        <f t="shared" ca="1" si="318"/>
        <v>-1</v>
      </c>
      <c r="K3167" s="10">
        <f t="shared" ca="1" si="328"/>
        <v>136.10132999999999</v>
      </c>
      <c r="L3167" s="11">
        <f t="shared" ca="1" si="329"/>
        <v>-47.892319999999998</v>
      </c>
      <c r="M3167" s="11">
        <f t="shared" ca="1" si="330"/>
        <v>2.8418199999999998</v>
      </c>
      <c r="N3167" s="15">
        <f t="shared" ca="1" si="331"/>
        <v>10</v>
      </c>
      <c r="O3167" s="15">
        <f t="shared" ca="1" si="332"/>
        <v>28</v>
      </c>
      <c r="P3167" s="16">
        <f t="shared" ca="1" si="333"/>
        <v>20.028339999999844</v>
      </c>
      <c r="Q3167" s="11" t="str">
        <f t="shared" ca="1" si="319"/>
        <v/>
      </c>
      <c r="R3167" s="11" t="str">
        <f t="shared" ca="1" si="320"/>
        <v/>
      </c>
      <c r="S3167" s="61" t="str">
        <f t="shared" ca="1" si="321"/>
        <v/>
      </c>
      <c r="T3167" s="11" t="str">
        <f t="shared" ca="1" si="322"/>
        <v/>
      </c>
      <c r="U3167" s="11" t="str">
        <f t="shared" ca="1" si="323"/>
        <v/>
      </c>
      <c r="V3167" s="18" t="str">
        <f t="shared" ca="1" si="324"/>
        <v/>
      </c>
      <c r="W3167" s="61" t="str">
        <f t="shared" ca="1" si="325"/>
        <v/>
      </c>
      <c r="X3167" s="61">
        <f t="shared" ca="1" si="326"/>
        <v>0</v>
      </c>
      <c r="Y3167" s="64" t="str">
        <f t="shared" ca="1" si="327"/>
        <v/>
      </c>
    </row>
    <row r="3168" spans="1:25">
      <c r="A3168" s="2">
        <f>+Get_Data!A3167</f>
        <v>44040</v>
      </c>
      <c r="B3168">
        <f>+ROUND(Get_Data!B3167,5)</f>
        <v>136.39920000000001</v>
      </c>
      <c r="C3168">
        <f>+ROUND(Get_Data!C3167,5)</f>
        <v>47.793129999999998</v>
      </c>
      <c r="D3168" s="4">
        <f t="shared" si="312"/>
        <v>2.8539500000000002</v>
      </c>
      <c r="E3168" s="22">
        <f t="shared" ca="1" si="313"/>
        <v>3.0250300000000001</v>
      </c>
      <c r="F3168" s="23">
        <f t="shared" ca="1" si="314"/>
        <v>2.8079999999999998</v>
      </c>
      <c r="G3168" s="10">
        <f t="shared" ca="1" si="315"/>
        <v>0</v>
      </c>
      <c r="H3168" s="12">
        <f t="shared" ca="1" si="316"/>
        <v>0</v>
      </c>
      <c r="I3168" s="11">
        <f t="shared" ca="1" si="317"/>
        <v>0</v>
      </c>
      <c r="J3168" s="11">
        <f t="shared" ca="1" si="318"/>
        <v>-1</v>
      </c>
      <c r="K3168" s="10">
        <f t="shared" ca="1" si="328"/>
        <v>136.10132999999999</v>
      </c>
      <c r="L3168" s="11">
        <f t="shared" ca="1" si="329"/>
        <v>-47.892319999999998</v>
      </c>
      <c r="M3168" s="11">
        <f t="shared" ca="1" si="330"/>
        <v>2.8418199999999998</v>
      </c>
      <c r="N3168" s="15">
        <f t="shared" ca="1" si="331"/>
        <v>10</v>
      </c>
      <c r="O3168" s="15">
        <f t="shared" ca="1" si="332"/>
        <v>28</v>
      </c>
      <c r="P3168" s="16">
        <f t="shared" ca="1" si="333"/>
        <v>20.028339999999844</v>
      </c>
      <c r="Q3168" s="11" t="str">
        <f t="shared" ca="1" si="319"/>
        <v/>
      </c>
      <c r="R3168" s="11" t="str">
        <f t="shared" ca="1" si="320"/>
        <v/>
      </c>
      <c r="S3168" s="61" t="str">
        <f t="shared" ca="1" si="321"/>
        <v/>
      </c>
      <c r="T3168" s="11" t="str">
        <f t="shared" ca="1" si="322"/>
        <v/>
      </c>
      <c r="U3168" s="11" t="str">
        <f t="shared" ca="1" si="323"/>
        <v/>
      </c>
      <c r="V3168" s="18" t="str">
        <f t="shared" ca="1" si="324"/>
        <v/>
      </c>
      <c r="W3168" s="61" t="str">
        <f t="shared" ca="1" si="325"/>
        <v/>
      </c>
      <c r="X3168" s="61">
        <f t="shared" ca="1" si="326"/>
        <v>0</v>
      </c>
      <c r="Y3168" s="64" t="str">
        <f t="shared" ca="1" si="327"/>
        <v/>
      </c>
    </row>
    <row r="3169" spans="1:25">
      <c r="A3169" s="2">
        <f>+Get_Data!A3168</f>
        <v>44041</v>
      </c>
      <c r="B3169">
        <f>+ROUND(Get_Data!B3168,5)</f>
        <v>136.94524999999999</v>
      </c>
      <c r="C3169">
        <f>+ROUND(Get_Data!C3168,5)</f>
        <v>47.634410000000003</v>
      </c>
      <c r="D3169" s="4">
        <f t="shared" si="312"/>
        <v>2.8749199999999999</v>
      </c>
      <c r="E3169" s="22">
        <f t="shared" ca="1" si="313"/>
        <v>3.0250300000000001</v>
      </c>
      <c r="F3169" s="23">
        <f t="shared" ca="1" si="314"/>
        <v>2.8079999999999998</v>
      </c>
      <c r="G3169" s="10">
        <f t="shared" ca="1" si="315"/>
        <v>0</v>
      </c>
      <c r="H3169" s="12">
        <f t="shared" ca="1" si="316"/>
        <v>0</v>
      </c>
      <c r="I3169" s="11">
        <f t="shared" ca="1" si="317"/>
        <v>0</v>
      </c>
      <c r="J3169" s="11">
        <f t="shared" ca="1" si="318"/>
        <v>-1</v>
      </c>
      <c r="K3169" s="10">
        <f t="shared" ca="1" si="328"/>
        <v>136.10132999999999</v>
      </c>
      <c r="L3169" s="11">
        <f t="shared" ca="1" si="329"/>
        <v>-47.892319999999998</v>
      </c>
      <c r="M3169" s="11">
        <f t="shared" ca="1" si="330"/>
        <v>2.8418199999999998</v>
      </c>
      <c r="N3169" s="15">
        <f t="shared" ca="1" si="331"/>
        <v>10</v>
      </c>
      <c r="O3169" s="15">
        <f t="shared" ca="1" si="332"/>
        <v>28</v>
      </c>
      <c r="P3169" s="16">
        <f t="shared" ca="1" si="333"/>
        <v>20.028339999999844</v>
      </c>
      <c r="Q3169" s="11" t="str">
        <f t="shared" ca="1" si="319"/>
        <v/>
      </c>
      <c r="R3169" s="11" t="str">
        <f t="shared" ca="1" si="320"/>
        <v/>
      </c>
      <c r="S3169" s="61" t="str">
        <f t="shared" ca="1" si="321"/>
        <v/>
      </c>
      <c r="T3169" s="11" t="str">
        <f t="shared" ca="1" si="322"/>
        <v/>
      </c>
      <c r="U3169" s="11" t="str">
        <f t="shared" ca="1" si="323"/>
        <v/>
      </c>
      <c r="V3169" s="18" t="str">
        <f t="shared" ca="1" si="324"/>
        <v/>
      </c>
      <c r="W3169" s="61" t="str">
        <f t="shared" ca="1" si="325"/>
        <v/>
      </c>
      <c r="X3169" s="61">
        <f t="shared" ca="1" si="326"/>
        <v>0</v>
      </c>
      <c r="Y3169" s="64" t="str">
        <f t="shared" ca="1" si="327"/>
        <v/>
      </c>
    </row>
    <row r="3170" spans="1:25">
      <c r="A3170" s="2">
        <f>+Get_Data!A3169</f>
        <v>44042</v>
      </c>
      <c r="B3170">
        <f>+ROUND(Get_Data!B3169,5)</f>
        <v>136.70698999999999</v>
      </c>
      <c r="C3170">
        <f>+ROUND(Get_Data!C3169,5)</f>
        <v>47.30706</v>
      </c>
      <c r="D3170" s="4">
        <f t="shared" si="312"/>
        <v>2.88978</v>
      </c>
      <c r="E3170" s="22">
        <f t="shared" ca="1" si="313"/>
        <v>3.0250300000000001</v>
      </c>
      <c r="F3170" s="23">
        <f t="shared" ca="1" si="314"/>
        <v>2.8079999999999998</v>
      </c>
      <c r="G3170" s="10">
        <f t="shared" ca="1" si="315"/>
        <v>0</v>
      </c>
      <c r="H3170" s="12">
        <f t="shared" ca="1" si="316"/>
        <v>0</v>
      </c>
      <c r="I3170" s="11">
        <f t="shared" ca="1" si="317"/>
        <v>0</v>
      </c>
      <c r="J3170" s="11">
        <f t="shared" ca="1" si="318"/>
        <v>-1</v>
      </c>
      <c r="K3170" s="10">
        <f t="shared" ca="1" si="328"/>
        <v>136.10132999999999</v>
      </c>
      <c r="L3170" s="11">
        <f t="shared" ca="1" si="329"/>
        <v>-47.892319999999998</v>
      </c>
      <c r="M3170" s="11">
        <f t="shared" ca="1" si="330"/>
        <v>2.8418199999999998</v>
      </c>
      <c r="N3170" s="15">
        <f t="shared" ca="1" si="331"/>
        <v>10</v>
      </c>
      <c r="O3170" s="15">
        <f t="shared" ca="1" si="332"/>
        <v>28</v>
      </c>
      <c r="P3170" s="16">
        <f t="shared" ca="1" si="333"/>
        <v>20.028339999999844</v>
      </c>
      <c r="Q3170" s="11" t="str">
        <f t="shared" ca="1" si="319"/>
        <v/>
      </c>
      <c r="R3170" s="11" t="str">
        <f t="shared" ca="1" si="320"/>
        <v/>
      </c>
      <c r="S3170" s="61" t="str">
        <f t="shared" ca="1" si="321"/>
        <v/>
      </c>
      <c r="T3170" s="11" t="str">
        <f t="shared" ca="1" si="322"/>
        <v/>
      </c>
      <c r="U3170" s="11" t="str">
        <f t="shared" ca="1" si="323"/>
        <v/>
      </c>
      <c r="V3170" s="18" t="str">
        <f t="shared" ca="1" si="324"/>
        <v/>
      </c>
      <c r="W3170" s="61" t="str">
        <f t="shared" ca="1" si="325"/>
        <v/>
      </c>
      <c r="X3170" s="61">
        <f t="shared" ca="1" si="326"/>
        <v>0</v>
      </c>
      <c r="Y3170" s="64" t="str">
        <f t="shared" ca="1" si="327"/>
        <v/>
      </c>
    </row>
    <row r="3171" spans="1:25">
      <c r="A3171" s="2">
        <f>+Get_Data!A3170</f>
        <v>44043</v>
      </c>
      <c r="B3171">
        <f>+ROUND(Get_Data!B3170,5)</f>
        <v>136.6772</v>
      </c>
      <c r="C3171">
        <f>+ROUND(Get_Data!C3170,5)</f>
        <v>46.860680000000002</v>
      </c>
      <c r="D3171" s="4">
        <f t="shared" si="312"/>
        <v>2.9166699999999999</v>
      </c>
      <c r="E3171" s="22">
        <f t="shared" ca="1" si="313"/>
        <v>3.0250300000000001</v>
      </c>
      <c r="F3171" s="23">
        <f t="shared" ca="1" si="314"/>
        <v>2.8079999999999998</v>
      </c>
      <c r="G3171" s="10">
        <f t="shared" ca="1" si="315"/>
        <v>0</v>
      </c>
      <c r="H3171" s="12">
        <f t="shared" ca="1" si="316"/>
        <v>0</v>
      </c>
      <c r="I3171" s="11">
        <f t="shared" ca="1" si="317"/>
        <v>0</v>
      </c>
      <c r="J3171" s="11">
        <f t="shared" ca="1" si="318"/>
        <v>-1</v>
      </c>
      <c r="K3171" s="10">
        <f t="shared" ca="1" si="328"/>
        <v>136.10132999999999</v>
      </c>
      <c r="L3171" s="11">
        <f t="shared" ca="1" si="329"/>
        <v>-47.892319999999998</v>
      </c>
      <c r="M3171" s="11">
        <f t="shared" ca="1" si="330"/>
        <v>2.8418199999999998</v>
      </c>
      <c r="N3171" s="15">
        <f t="shared" ca="1" si="331"/>
        <v>10</v>
      </c>
      <c r="O3171" s="15">
        <f t="shared" ca="1" si="332"/>
        <v>28</v>
      </c>
      <c r="P3171" s="16">
        <f t="shared" ca="1" si="333"/>
        <v>20.028339999999844</v>
      </c>
      <c r="Q3171" s="11" t="str">
        <f t="shared" ca="1" si="319"/>
        <v/>
      </c>
      <c r="R3171" s="11" t="str">
        <f t="shared" ca="1" si="320"/>
        <v/>
      </c>
      <c r="S3171" s="61" t="str">
        <f t="shared" ca="1" si="321"/>
        <v/>
      </c>
      <c r="T3171" s="11" t="str">
        <f t="shared" ca="1" si="322"/>
        <v/>
      </c>
      <c r="U3171" s="11" t="str">
        <f t="shared" ca="1" si="323"/>
        <v/>
      </c>
      <c r="V3171" s="18" t="str">
        <f t="shared" ca="1" si="324"/>
        <v/>
      </c>
      <c r="W3171" s="61" t="str">
        <f t="shared" ca="1" si="325"/>
        <v/>
      </c>
      <c r="X3171" s="61">
        <f t="shared" ca="1" si="326"/>
        <v>0</v>
      </c>
      <c r="Y3171" s="64" t="str">
        <f t="shared" ca="1" si="327"/>
        <v/>
      </c>
    </row>
    <row r="3172" spans="1:25">
      <c r="A3172" s="2">
        <f>+Get_Data!A3171</f>
        <v>44046</v>
      </c>
      <c r="B3172">
        <f>+ROUND(Get_Data!B3171,5)</f>
        <v>135.72404</v>
      </c>
      <c r="C3172">
        <f>+ROUND(Get_Data!C3171,5)</f>
        <v>45.928220000000003</v>
      </c>
      <c r="D3172" s="4">
        <f t="shared" si="312"/>
        <v>2.95513</v>
      </c>
      <c r="E3172" s="22">
        <f t="shared" ca="1" si="313"/>
        <v>3.0250300000000001</v>
      </c>
      <c r="F3172" s="23">
        <f t="shared" ca="1" si="314"/>
        <v>2.8079999999999998</v>
      </c>
      <c r="G3172" s="10">
        <f t="shared" ca="1" si="315"/>
        <v>0</v>
      </c>
      <c r="H3172" s="12">
        <f t="shared" ca="1" si="316"/>
        <v>0</v>
      </c>
      <c r="I3172" s="11">
        <f t="shared" ca="1" si="317"/>
        <v>0</v>
      </c>
      <c r="J3172" s="11">
        <f t="shared" ca="1" si="318"/>
        <v>-1</v>
      </c>
      <c r="K3172" s="10">
        <f t="shared" ca="1" si="328"/>
        <v>136.10132999999999</v>
      </c>
      <c r="L3172" s="11">
        <f t="shared" ca="1" si="329"/>
        <v>-47.892319999999998</v>
      </c>
      <c r="M3172" s="11">
        <f t="shared" ca="1" si="330"/>
        <v>2.8418199999999998</v>
      </c>
      <c r="N3172" s="15">
        <f t="shared" ca="1" si="331"/>
        <v>10</v>
      </c>
      <c r="O3172" s="15">
        <f t="shared" ca="1" si="332"/>
        <v>28</v>
      </c>
      <c r="P3172" s="16">
        <f t="shared" ca="1" si="333"/>
        <v>20.028339999999844</v>
      </c>
      <c r="Q3172" s="11" t="str">
        <f t="shared" ca="1" si="319"/>
        <v/>
      </c>
      <c r="R3172" s="11" t="str">
        <f t="shared" ca="1" si="320"/>
        <v/>
      </c>
      <c r="S3172" s="61" t="str">
        <f t="shared" ca="1" si="321"/>
        <v/>
      </c>
      <c r="T3172" s="11" t="str">
        <f t="shared" ca="1" si="322"/>
        <v/>
      </c>
      <c r="U3172" s="11" t="str">
        <f t="shared" ca="1" si="323"/>
        <v/>
      </c>
      <c r="V3172" s="18" t="str">
        <f t="shared" ca="1" si="324"/>
        <v/>
      </c>
      <c r="W3172" s="61" t="str">
        <f t="shared" ca="1" si="325"/>
        <v/>
      </c>
      <c r="X3172" s="61">
        <f t="shared" ca="1" si="326"/>
        <v>0</v>
      </c>
      <c r="Y3172" s="64" t="str">
        <f t="shared" ca="1" si="327"/>
        <v/>
      </c>
    </row>
    <row r="3173" spans="1:25">
      <c r="A3173" s="2">
        <f>+Get_Data!A3172</f>
        <v>44047</v>
      </c>
      <c r="B3173">
        <f>+ROUND(Get_Data!B3172,5)</f>
        <v>136.48856000000001</v>
      </c>
      <c r="C3173">
        <f>+ROUND(Get_Data!C3172,5)</f>
        <v>46.315089999999998</v>
      </c>
      <c r="D3173" s="4">
        <f t="shared" si="312"/>
        <v>2.9469599999999998</v>
      </c>
      <c r="E3173" s="22">
        <f t="shared" ca="1" si="313"/>
        <v>3.0250300000000001</v>
      </c>
      <c r="F3173" s="23">
        <f t="shared" ca="1" si="314"/>
        <v>2.8079999999999998</v>
      </c>
      <c r="G3173" s="10">
        <f t="shared" ca="1" si="315"/>
        <v>0</v>
      </c>
      <c r="H3173" s="12">
        <f t="shared" ca="1" si="316"/>
        <v>0</v>
      </c>
      <c r="I3173" s="11">
        <f t="shared" ca="1" si="317"/>
        <v>0</v>
      </c>
      <c r="J3173" s="11">
        <f t="shared" ca="1" si="318"/>
        <v>-1</v>
      </c>
      <c r="K3173" s="10">
        <f t="shared" ca="1" si="328"/>
        <v>136.10132999999999</v>
      </c>
      <c r="L3173" s="11">
        <f t="shared" ca="1" si="329"/>
        <v>-47.892319999999998</v>
      </c>
      <c r="M3173" s="11">
        <f t="shared" ca="1" si="330"/>
        <v>2.8418199999999998</v>
      </c>
      <c r="N3173" s="15">
        <f t="shared" ca="1" si="331"/>
        <v>10</v>
      </c>
      <c r="O3173" s="15">
        <f t="shared" ca="1" si="332"/>
        <v>28</v>
      </c>
      <c r="P3173" s="16">
        <f t="shared" ca="1" si="333"/>
        <v>20.028339999999844</v>
      </c>
      <c r="Q3173" s="11" t="str">
        <f t="shared" ca="1" si="319"/>
        <v/>
      </c>
      <c r="R3173" s="11" t="str">
        <f t="shared" ca="1" si="320"/>
        <v/>
      </c>
      <c r="S3173" s="61" t="str">
        <f t="shared" ca="1" si="321"/>
        <v/>
      </c>
      <c r="T3173" s="11" t="str">
        <f t="shared" ca="1" si="322"/>
        <v/>
      </c>
      <c r="U3173" s="11" t="str">
        <f t="shared" ca="1" si="323"/>
        <v/>
      </c>
      <c r="V3173" s="18" t="str">
        <f t="shared" ca="1" si="324"/>
        <v/>
      </c>
      <c r="W3173" s="61" t="str">
        <f t="shared" ca="1" si="325"/>
        <v/>
      </c>
      <c r="X3173" s="61">
        <f t="shared" ca="1" si="326"/>
        <v>0</v>
      </c>
      <c r="Y3173" s="64" t="str">
        <f t="shared" ca="1" si="327"/>
        <v/>
      </c>
    </row>
    <row r="3174" spans="1:25">
      <c r="A3174" s="2">
        <f>+Get_Data!A3173</f>
        <v>44048</v>
      </c>
      <c r="B3174">
        <f>+ROUND(Get_Data!B3173,5)</f>
        <v>135.27725000000001</v>
      </c>
      <c r="C3174">
        <f>+ROUND(Get_Data!C3173,5)</f>
        <v>46.84084</v>
      </c>
      <c r="D3174" s="4">
        <f t="shared" si="312"/>
        <v>2.88802</v>
      </c>
      <c r="E3174" s="22">
        <f t="shared" ca="1" si="313"/>
        <v>3.0250300000000001</v>
      </c>
      <c r="F3174" s="23">
        <f t="shared" ca="1" si="314"/>
        <v>2.8079999999999998</v>
      </c>
      <c r="G3174" s="10">
        <f t="shared" ca="1" si="315"/>
        <v>0</v>
      </c>
      <c r="H3174" s="12">
        <f t="shared" ca="1" si="316"/>
        <v>0</v>
      </c>
      <c r="I3174" s="11">
        <f t="shared" ca="1" si="317"/>
        <v>0</v>
      </c>
      <c r="J3174" s="11">
        <f t="shared" ca="1" si="318"/>
        <v>-1</v>
      </c>
      <c r="K3174" s="10">
        <f t="shared" ca="1" si="328"/>
        <v>136.10132999999999</v>
      </c>
      <c r="L3174" s="11">
        <f t="shared" ca="1" si="329"/>
        <v>-47.892319999999998</v>
      </c>
      <c r="M3174" s="11">
        <f t="shared" ca="1" si="330"/>
        <v>2.8418199999999998</v>
      </c>
      <c r="N3174" s="15">
        <f t="shared" ca="1" si="331"/>
        <v>10</v>
      </c>
      <c r="O3174" s="15">
        <f t="shared" ca="1" si="332"/>
        <v>28</v>
      </c>
      <c r="P3174" s="16">
        <f t="shared" ca="1" si="333"/>
        <v>20.028339999999844</v>
      </c>
      <c r="Q3174" s="11" t="str">
        <f t="shared" ca="1" si="319"/>
        <v/>
      </c>
      <c r="R3174" s="11" t="str">
        <f t="shared" ca="1" si="320"/>
        <v/>
      </c>
      <c r="S3174" s="61" t="str">
        <f t="shared" ca="1" si="321"/>
        <v/>
      </c>
      <c r="T3174" s="11" t="str">
        <f t="shared" ca="1" si="322"/>
        <v/>
      </c>
      <c r="U3174" s="11" t="str">
        <f t="shared" ca="1" si="323"/>
        <v/>
      </c>
      <c r="V3174" s="18" t="str">
        <f t="shared" ca="1" si="324"/>
        <v/>
      </c>
      <c r="W3174" s="61" t="str">
        <f t="shared" ca="1" si="325"/>
        <v/>
      </c>
      <c r="X3174" s="61">
        <f t="shared" ca="1" si="326"/>
        <v>0</v>
      </c>
      <c r="Y3174" s="64" t="str">
        <f t="shared" ca="1" si="327"/>
        <v/>
      </c>
    </row>
    <row r="3175" spans="1:25">
      <c r="A3175" s="2">
        <f>+Get_Data!A3174</f>
        <v>44049</v>
      </c>
      <c r="B3175">
        <f>+ROUND(Get_Data!B3174,5)</f>
        <v>134.89005</v>
      </c>
      <c r="C3175">
        <f>+ROUND(Get_Data!C3174,5)</f>
        <v>47.098750000000003</v>
      </c>
      <c r="D3175" s="4">
        <f t="shared" si="312"/>
        <v>2.8639800000000002</v>
      </c>
      <c r="E3175" s="22">
        <f t="shared" ca="1" si="313"/>
        <v>3.0250300000000001</v>
      </c>
      <c r="F3175" s="23">
        <f t="shared" ca="1" si="314"/>
        <v>2.8079999999999998</v>
      </c>
      <c r="G3175" s="10">
        <f t="shared" ca="1" si="315"/>
        <v>0</v>
      </c>
      <c r="H3175" s="12">
        <f t="shared" ca="1" si="316"/>
        <v>0</v>
      </c>
      <c r="I3175" s="11">
        <f t="shared" ca="1" si="317"/>
        <v>0</v>
      </c>
      <c r="J3175" s="11">
        <f t="shared" ca="1" si="318"/>
        <v>-1</v>
      </c>
      <c r="K3175" s="10">
        <f t="shared" ca="1" si="328"/>
        <v>136.10132999999999</v>
      </c>
      <c r="L3175" s="11">
        <f t="shared" ca="1" si="329"/>
        <v>-47.892319999999998</v>
      </c>
      <c r="M3175" s="11">
        <f t="shared" ca="1" si="330"/>
        <v>2.8418199999999998</v>
      </c>
      <c r="N3175" s="15">
        <f t="shared" ca="1" si="331"/>
        <v>10</v>
      </c>
      <c r="O3175" s="15">
        <f t="shared" ca="1" si="332"/>
        <v>28</v>
      </c>
      <c r="P3175" s="16">
        <f t="shared" ca="1" si="333"/>
        <v>20.028339999999844</v>
      </c>
      <c r="Q3175" s="11" t="str">
        <f t="shared" ca="1" si="319"/>
        <v/>
      </c>
      <c r="R3175" s="11" t="str">
        <f t="shared" ca="1" si="320"/>
        <v/>
      </c>
      <c r="S3175" s="61" t="str">
        <f t="shared" ca="1" si="321"/>
        <v/>
      </c>
      <c r="T3175" s="11" t="str">
        <f t="shared" ca="1" si="322"/>
        <v/>
      </c>
      <c r="U3175" s="11" t="str">
        <f t="shared" ca="1" si="323"/>
        <v/>
      </c>
      <c r="V3175" s="18" t="str">
        <f t="shared" ca="1" si="324"/>
        <v/>
      </c>
      <c r="W3175" s="61" t="str">
        <f t="shared" ca="1" si="325"/>
        <v/>
      </c>
      <c r="X3175" s="61">
        <f t="shared" ca="1" si="326"/>
        <v>0</v>
      </c>
      <c r="Y3175" s="64" t="str">
        <f t="shared" ca="1" si="327"/>
        <v/>
      </c>
    </row>
    <row r="3176" spans="1:25">
      <c r="A3176" s="2">
        <f>+Get_Data!A3175</f>
        <v>44050</v>
      </c>
      <c r="B3176">
        <f>+ROUND(Get_Data!B3175,5)</f>
        <v>135.76375999999999</v>
      </c>
      <c r="C3176">
        <f>+ROUND(Get_Data!C3175,5)</f>
        <v>47.416179999999997</v>
      </c>
      <c r="D3176" s="4">
        <f t="shared" si="312"/>
        <v>2.8632399999999998</v>
      </c>
      <c r="E3176" s="22">
        <f t="shared" ca="1" si="313"/>
        <v>3.0250300000000001</v>
      </c>
      <c r="F3176" s="23">
        <f t="shared" ca="1" si="314"/>
        <v>2.8079999999999998</v>
      </c>
      <c r="G3176" s="10">
        <f t="shared" ca="1" si="315"/>
        <v>0</v>
      </c>
      <c r="H3176" s="12">
        <f t="shared" ca="1" si="316"/>
        <v>0</v>
      </c>
      <c r="I3176" s="11">
        <f t="shared" ca="1" si="317"/>
        <v>0</v>
      </c>
      <c r="J3176" s="11">
        <f t="shared" ca="1" si="318"/>
        <v>-1</v>
      </c>
      <c r="K3176" s="10">
        <f t="shared" ca="1" si="328"/>
        <v>136.10132999999999</v>
      </c>
      <c r="L3176" s="11">
        <f t="shared" ca="1" si="329"/>
        <v>-47.892319999999998</v>
      </c>
      <c r="M3176" s="11">
        <f t="shared" ca="1" si="330"/>
        <v>2.8418199999999998</v>
      </c>
      <c r="N3176" s="15">
        <f t="shared" ca="1" si="331"/>
        <v>10</v>
      </c>
      <c r="O3176" s="15">
        <f t="shared" ca="1" si="332"/>
        <v>28</v>
      </c>
      <c r="P3176" s="16">
        <f t="shared" ca="1" si="333"/>
        <v>20.028339999999844</v>
      </c>
      <c r="Q3176" s="11" t="str">
        <f t="shared" ca="1" si="319"/>
        <v/>
      </c>
      <c r="R3176" s="11" t="str">
        <f t="shared" ca="1" si="320"/>
        <v/>
      </c>
      <c r="S3176" s="61" t="str">
        <f t="shared" ca="1" si="321"/>
        <v/>
      </c>
      <c r="T3176" s="11" t="str">
        <f t="shared" ca="1" si="322"/>
        <v/>
      </c>
      <c r="U3176" s="11" t="str">
        <f t="shared" ca="1" si="323"/>
        <v/>
      </c>
      <c r="V3176" s="18" t="str">
        <f t="shared" ca="1" si="324"/>
        <v/>
      </c>
      <c r="W3176" s="61" t="str">
        <f t="shared" ca="1" si="325"/>
        <v/>
      </c>
      <c r="X3176" s="61">
        <f t="shared" ca="1" si="326"/>
        <v>0</v>
      </c>
      <c r="Y3176" s="64" t="str">
        <f t="shared" ca="1" si="327"/>
        <v/>
      </c>
    </row>
    <row r="3177" spans="1:25">
      <c r="A3177" s="2">
        <f>+Get_Data!A3176</f>
        <v>44053</v>
      </c>
      <c r="B3177">
        <f>+ROUND(Get_Data!B3176,5)</f>
        <v>135.00918999999999</v>
      </c>
      <c r="C3177">
        <f>+ROUND(Get_Data!C3176,5)</f>
        <v>47.336820000000003</v>
      </c>
      <c r="D3177" s="4">
        <f t="shared" si="312"/>
        <v>2.8521000000000001</v>
      </c>
      <c r="E3177" s="22">
        <f t="shared" ca="1" si="313"/>
        <v>3.0250300000000001</v>
      </c>
      <c r="F3177" s="23">
        <f t="shared" ca="1" si="314"/>
        <v>2.8079999999999998</v>
      </c>
      <c r="G3177" s="10">
        <f t="shared" ca="1" si="315"/>
        <v>0</v>
      </c>
      <c r="H3177" s="12">
        <f t="shared" ca="1" si="316"/>
        <v>0</v>
      </c>
      <c r="I3177" s="11">
        <f t="shared" ca="1" si="317"/>
        <v>0</v>
      </c>
      <c r="J3177" s="11">
        <f t="shared" ca="1" si="318"/>
        <v>-1</v>
      </c>
      <c r="K3177" s="10">
        <f t="shared" ca="1" si="328"/>
        <v>136.10132999999999</v>
      </c>
      <c r="L3177" s="11">
        <f t="shared" ca="1" si="329"/>
        <v>-47.892319999999998</v>
      </c>
      <c r="M3177" s="11">
        <f t="shared" ca="1" si="330"/>
        <v>2.8418199999999998</v>
      </c>
      <c r="N3177" s="15">
        <f t="shared" ca="1" si="331"/>
        <v>10</v>
      </c>
      <c r="O3177" s="15">
        <f t="shared" ca="1" si="332"/>
        <v>28</v>
      </c>
      <c r="P3177" s="16">
        <f t="shared" ca="1" si="333"/>
        <v>20.028339999999844</v>
      </c>
      <c r="Q3177" s="11" t="str">
        <f t="shared" ca="1" si="319"/>
        <v/>
      </c>
      <c r="R3177" s="11" t="str">
        <f t="shared" ca="1" si="320"/>
        <v/>
      </c>
      <c r="S3177" s="61" t="str">
        <f t="shared" ca="1" si="321"/>
        <v/>
      </c>
      <c r="T3177" s="11" t="str">
        <f t="shared" ca="1" si="322"/>
        <v/>
      </c>
      <c r="U3177" s="11" t="str">
        <f t="shared" ca="1" si="323"/>
        <v/>
      </c>
      <c r="V3177" s="18" t="str">
        <f t="shared" ca="1" si="324"/>
        <v/>
      </c>
      <c r="W3177" s="61" t="str">
        <f t="shared" ca="1" si="325"/>
        <v/>
      </c>
      <c r="X3177" s="61">
        <f t="shared" ca="1" si="326"/>
        <v>0</v>
      </c>
      <c r="Y3177" s="64" t="str">
        <f t="shared" ca="1" si="327"/>
        <v/>
      </c>
    </row>
    <row r="3178" spans="1:25">
      <c r="A3178" s="2">
        <f>+Get_Data!A3177</f>
        <v>44054</v>
      </c>
      <c r="B3178">
        <f>+ROUND(Get_Data!B3177,5)</f>
        <v>134.15531999999999</v>
      </c>
      <c r="C3178">
        <f>+ROUND(Get_Data!C3177,5)</f>
        <v>47.545140000000004</v>
      </c>
      <c r="D3178" s="4">
        <f t="shared" si="312"/>
        <v>2.8216399999999999</v>
      </c>
      <c r="E3178" s="22">
        <f t="shared" ca="1" si="313"/>
        <v>3.0250300000000001</v>
      </c>
      <c r="F3178" s="23">
        <f t="shared" ca="1" si="314"/>
        <v>2.8079999999999998</v>
      </c>
      <c r="G3178" s="10">
        <f t="shared" ca="1" si="315"/>
        <v>0</v>
      </c>
      <c r="H3178" s="12">
        <f t="shared" ca="1" si="316"/>
        <v>0</v>
      </c>
      <c r="I3178" s="11">
        <f t="shared" ca="1" si="317"/>
        <v>0</v>
      </c>
      <c r="J3178" s="11">
        <f t="shared" ca="1" si="318"/>
        <v>-1</v>
      </c>
      <c r="K3178" s="10">
        <f t="shared" ca="1" si="328"/>
        <v>136.10132999999999</v>
      </c>
      <c r="L3178" s="11">
        <f t="shared" ca="1" si="329"/>
        <v>-47.892319999999998</v>
      </c>
      <c r="M3178" s="11">
        <f t="shared" ca="1" si="330"/>
        <v>2.8418199999999998</v>
      </c>
      <c r="N3178" s="15">
        <f t="shared" ca="1" si="331"/>
        <v>10</v>
      </c>
      <c r="O3178" s="15">
        <f t="shared" ca="1" si="332"/>
        <v>28</v>
      </c>
      <c r="P3178" s="16">
        <f t="shared" ca="1" si="333"/>
        <v>20.028339999999844</v>
      </c>
      <c r="Q3178" s="11" t="str">
        <f t="shared" ca="1" si="319"/>
        <v/>
      </c>
      <c r="R3178" s="11" t="str">
        <f t="shared" ca="1" si="320"/>
        <v/>
      </c>
      <c r="S3178" s="61" t="str">
        <f t="shared" ca="1" si="321"/>
        <v/>
      </c>
      <c r="T3178" s="11" t="str">
        <f t="shared" ca="1" si="322"/>
        <v/>
      </c>
      <c r="U3178" s="11" t="str">
        <f t="shared" ca="1" si="323"/>
        <v/>
      </c>
      <c r="V3178" s="18" t="str">
        <f t="shared" ca="1" si="324"/>
        <v/>
      </c>
      <c r="W3178" s="61" t="str">
        <f t="shared" ca="1" si="325"/>
        <v/>
      </c>
      <c r="X3178" s="61">
        <f t="shared" ca="1" si="326"/>
        <v>0</v>
      </c>
      <c r="Y3178" s="64" t="str">
        <f t="shared" ca="1" si="327"/>
        <v/>
      </c>
    </row>
    <row r="3179" spans="1:25">
      <c r="A3179" s="2">
        <f>+Get_Data!A3178</f>
        <v>44055</v>
      </c>
      <c r="B3179">
        <f>+ROUND(Get_Data!B3178,5)</f>
        <v>136.81619000000001</v>
      </c>
      <c r="C3179">
        <f>+ROUND(Get_Data!C3178,5)</f>
        <v>48.041119999999999</v>
      </c>
      <c r="D3179" s="4">
        <f t="shared" si="312"/>
        <v>2.8479000000000001</v>
      </c>
      <c r="E3179" s="22">
        <f t="shared" ca="1" si="313"/>
        <v>3.0250300000000001</v>
      </c>
      <c r="F3179" s="23">
        <f t="shared" ca="1" si="314"/>
        <v>2.8079999999999998</v>
      </c>
      <c r="G3179" s="10">
        <f t="shared" ca="1" si="315"/>
        <v>0</v>
      </c>
      <c r="H3179" s="12">
        <f t="shared" ca="1" si="316"/>
        <v>0</v>
      </c>
      <c r="I3179" s="11">
        <f t="shared" ca="1" si="317"/>
        <v>0</v>
      </c>
      <c r="J3179" s="11">
        <f t="shared" ca="1" si="318"/>
        <v>-1</v>
      </c>
      <c r="K3179" s="10">
        <f t="shared" ca="1" si="328"/>
        <v>136.10132999999999</v>
      </c>
      <c r="L3179" s="11">
        <f t="shared" ca="1" si="329"/>
        <v>-47.892319999999998</v>
      </c>
      <c r="M3179" s="11">
        <f t="shared" ca="1" si="330"/>
        <v>2.8418199999999998</v>
      </c>
      <c r="N3179" s="15">
        <f t="shared" ca="1" si="331"/>
        <v>10</v>
      </c>
      <c r="O3179" s="15">
        <f t="shared" ca="1" si="332"/>
        <v>28</v>
      </c>
      <c r="P3179" s="16">
        <f t="shared" ca="1" si="333"/>
        <v>20.028339999999844</v>
      </c>
      <c r="Q3179" s="11" t="str">
        <f t="shared" ca="1" si="319"/>
        <v/>
      </c>
      <c r="R3179" s="11" t="str">
        <f t="shared" ca="1" si="320"/>
        <v/>
      </c>
      <c r="S3179" s="61" t="str">
        <f t="shared" ca="1" si="321"/>
        <v/>
      </c>
      <c r="T3179" s="11" t="str">
        <f t="shared" ca="1" si="322"/>
        <v/>
      </c>
      <c r="U3179" s="11" t="str">
        <f t="shared" ca="1" si="323"/>
        <v/>
      </c>
      <c r="V3179" s="18" t="str">
        <f t="shared" ca="1" si="324"/>
        <v/>
      </c>
      <c r="W3179" s="61" t="str">
        <f t="shared" ca="1" si="325"/>
        <v/>
      </c>
      <c r="X3179" s="61">
        <f t="shared" ca="1" si="326"/>
        <v>0</v>
      </c>
      <c r="Y3179" s="64" t="str">
        <f t="shared" ca="1" si="327"/>
        <v/>
      </c>
    </row>
    <row r="3180" spans="1:25">
      <c r="A3180" s="2">
        <f>+Get_Data!A3179</f>
        <v>44056</v>
      </c>
      <c r="B3180">
        <f>+ROUND(Get_Data!B3179,5)</f>
        <v>137.11405999999999</v>
      </c>
      <c r="C3180">
        <f>+ROUND(Get_Data!C3179,5)</f>
        <v>47.991520000000001</v>
      </c>
      <c r="D3180" s="4">
        <f t="shared" si="312"/>
        <v>2.8570500000000001</v>
      </c>
      <c r="E3180" s="22">
        <f t="shared" ca="1" si="313"/>
        <v>2.9841099999999998</v>
      </c>
      <c r="F3180" s="23">
        <f t="shared" ca="1" si="314"/>
        <v>2.8079999999999998</v>
      </c>
      <c r="G3180" s="10">
        <f t="shared" ca="1" si="315"/>
        <v>0</v>
      </c>
      <c r="H3180" s="12">
        <f t="shared" ca="1" si="316"/>
        <v>0</v>
      </c>
      <c r="I3180" s="11">
        <f t="shared" ca="1" si="317"/>
        <v>0</v>
      </c>
      <c r="J3180" s="11">
        <f t="shared" ca="1" si="318"/>
        <v>-1</v>
      </c>
      <c r="K3180" s="10">
        <f t="shared" ca="1" si="328"/>
        <v>136.10132999999999</v>
      </c>
      <c r="L3180" s="11">
        <f t="shared" ca="1" si="329"/>
        <v>-47.892319999999998</v>
      </c>
      <c r="M3180" s="11">
        <f t="shared" ca="1" si="330"/>
        <v>2.8418199999999998</v>
      </c>
      <c r="N3180" s="15">
        <f t="shared" ca="1" si="331"/>
        <v>10</v>
      </c>
      <c r="O3180" s="15">
        <f t="shared" ca="1" si="332"/>
        <v>28</v>
      </c>
      <c r="P3180" s="16">
        <f t="shared" ca="1" si="333"/>
        <v>20.028339999999844</v>
      </c>
      <c r="Q3180" s="11" t="str">
        <f t="shared" ca="1" si="319"/>
        <v/>
      </c>
      <c r="R3180" s="11" t="str">
        <f t="shared" ca="1" si="320"/>
        <v/>
      </c>
      <c r="S3180" s="61" t="str">
        <f t="shared" ca="1" si="321"/>
        <v/>
      </c>
      <c r="T3180" s="11" t="str">
        <f t="shared" ca="1" si="322"/>
        <v/>
      </c>
      <c r="U3180" s="11" t="str">
        <f t="shared" ca="1" si="323"/>
        <v/>
      </c>
      <c r="V3180" s="18" t="str">
        <f t="shared" ca="1" si="324"/>
        <v/>
      </c>
      <c r="W3180" s="61" t="str">
        <f t="shared" ca="1" si="325"/>
        <v/>
      </c>
      <c r="X3180" s="61">
        <f t="shared" ca="1" si="326"/>
        <v>0</v>
      </c>
      <c r="Y3180" s="64" t="str">
        <f t="shared" ca="1" si="327"/>
        <v/>
      </c>
    </row>
    <row r="3181" spans="1:25">
      <c r="A3181" s="2">
        <f>+Get_Data!A3180</f>
        <v>44057</v>
      </c>
      <c r="B3181">
        <f>+ROUND(Get_Data!B3180,5)</f>
        <v>136.57791</v>
      </c>
      <c r="C3181">
        <f>+ROUND(Get_Data!C3180,5)</f>
        <v>48.060960000000001</v>
      </c>
      <c r="D3181" s="4">
        <f t="shared" si="312"/>
        <v>2.8417599999999998</v>
      </c>
      <c r="E3181" s="22">
        <f t="shared" ca="1" si="313"/>
        <v>2.9841099999999998</v>
      </c>
      <c r="F3181" s="23">
        <f t="shared" ca="1" si="314"/>
        <v>2.8079999999999998</v>
      </c>
      <c r="G3181" s="10">
        <f t="shared" ca="1" si="315"/>
        <v>0</v>
      </c>
      <c r="H3181" s="12">
        <f t="shared" ca="1" si="316"/>
        <v>0</v>
      </c>
      <c r="I3181" s="11">
        <f t="shared" ca="1" si="317"/>
        <v>0</v>
      </c>
      <c r="J3181" s="11">
        <f t="shared" ca="1" si="318"/>
        <v>-1</v>
      </c>
      <c r="K3181" s="10">
        <f t="shared" ca="1" si="328"/>
        <v>136.10132999999999</v>
      </c>
      <c r="L3181" s="11">
        <f t="shared" ca="1" si="329"/>
        <v>-47.892319999999998</v>
      </c>
      <c r="M3181" s="11">
        <f t="shared" ca="1" si="330"/>
        <v>2.8418199999999998</v>
      </c>
      <c r="N3181" s="15">
        <f t="shared" ca="1" si="331"/>
        <v>10</v>
      </c>
      <c r="O3181" s="15">
        <f t="shared" ca="1" si="332"/>
        <v>28</v>
      </c>
      <c r="P3181" s="16">
        <f t="shared" ca="1" si="333"/>
        <v>20.028339999999844</v>
      </c>
      <c r="Q3181" s="11" t="str">
        <f t="shared" ca="1" si="319"/>
        <v/>
      </c>
      <c r="R3181" s="11" t="str">
        <f t="shared" ca="1" si="320"/>
        <v/>
      </c>
      <c r="S3181" s="61" t="str">
        <f t="shared" ca="1" si="321"/>
        <v/>
      </c>
      <c r="T3181" s="11" t="str">
        <f t="shared" ca="1" si="322"/>
        <v/>
      </c>
      <c r="U3181" s="11" t="str">
        <f t="shared" ca="1" si="323"/>
        <v/>
      </c>
      <c r="V3181" s="18" t="str">
        <f t="shared" ca="1" si="324"/>
        <v/>
      </c>
      <c r="W3181" s="61" t="str">
        <f t="shared" ca="1" si="325"/>
        <v/>
      </c>
      <c r="X3181" s="61">
        <f t="shared" ca="1" si="326"/>
        <v>0</v>
      </c>
      <c r="Y3181" s="64" t="str">
        <f t="shared" ca="1" si="327"/>
        <v/>
      </c>
    </row>
    <row r="3182" spans="1:25">
      <c r="A3182" s="2">
        <f>+Get_Data!A3181</f>
        <v>44060</v>
      </c>
      <c r="B3182">
        <f>+ROUND(Get_Data!B3181,5)</f>
        <v>136.93532999999999</v>
      </c>
      <c r="C3182">
        <f>+ROUND(Get_Data!C3181,5)</f>
        <v>47.822879999999998</v>
      </c>
      <c r="D3182" s="4">
        <f t="shared" si="312"/>
        <v>2.8633899999999999</v>
      </c>
      <c r="E3182" s="22">
        <f t="shared" ca="1" si="313"/>
        <v>2.95709</v>
      </c>
      <c r="F3182" s="23">
        <f t="shared" ca="1" si="314"/>
        <v>2.8079999999999998</v>
      </c>
      <c r="G3182" s="10">
        <f t="shared" ca="1" si="315"/>
        <v>0</v>
      </c>
      <c r="H3182" s="12">
        <f t="shared" ca="1" si="316"/>
        <v>0</v>
      </c>
      <c r="I3182" s="11">
        <f t="shared" ca="1" si="317"/>
        <v>0</v>
      </c>
      <c r="J3182" s="11">
        <f t="shared" ca="1" si="318"/>
        <v>-1</v>
      </c>
      <c r="K3182" s="10">
        <f t="shared" ca="1" si="328"/>
        <v>136.10132999999999</v>
      </c>
      <c r="L3182" s="11">
        <f t="shared" ca="1" si="329"/>
        <v>-47.892319999999998</v>
      </c>
      <c r="M3182" s="11">
        <f t="shared" ca="1" si="330"/>
        <v>2.8418199999999998</v>
      </c>
      <c r="N3182" s="15">
        <f t="shared" ca="1" si="331"/>
        <v>10</v>
      </c>
      <c r="O3182" s="15">
        <f t="shared" ca="1" si="332"/>
        <v>28</v>
      </c>
      <c r="P3182" s="16">
        <f t="shared" ca="1" si="333"/>
        <v>20.028339999999844</v>
      </c>
      <c r="Q3182" s="11" t="str">
        <f t="shared" ca="1" si="319"/>
        <v/>
      </c>
      <c r="R3182" s="11" t="str">
        <f t="shared" ca="1" si="320"/>
        <v/>
      </c>
      <c r="S3182" s="61" t="str">
        <f t="shared" ca="1" si="321"/>
        <v/>
      </c>
      <c r="T3182" s="11" t="str">
        <f t="shared" ca="1" si="322"/>
        <v/>
      </c>
      <c r="U3182" s="11" t="str">
        <f t="shared" ca="1" si="323"/>
        <v/>
      </c>
      <c r="V3182" s="18" t="str">
        <f t="shared" ca="1" si="324"/>
        <v/>
      </c>
      <c r="W3182" s="61" t="str">
        <f t="shared" ca="1" si="325"/>
        <v/>
      </c>
      <c r="X3182" s="61">
        <f t="shared" ca="1" si="326"/>
        <v>0</v>
      </c>
      <c r="Y3182" s="64" t="str">
        <f t="shared" ca="1" si="327"/>
        <v/>
      </c>
    </row>
    <row r="3183" spans="1:25">
      <c r="A3183" s="2">
        <f>+Get_Data!A3182</f>
        <v>44061</v>
      </c>
      <c r="B3183">
        <f>+ROUND(Get_Data!B3182,5)</f>
        <v>137.12397999999999</v>
      </c>
      <c r="C3183">
        <f>+ROUND(Get_Data!C3182,5)</f>
        <v>48.031199999999998</v>
      </c>
      <c r="D3183" s="4">
        <f t="shared" si="312"/>
        <v>2.8548900000000001</v>
      </c>
      <c r="E3183" s="22">
        <f t="shared" ca="1" si="313"/>
        <v>2.95513</v>
      </c>
      <c r="F3183" s="23">
        <f t="shared" ca="1" si="314"/>
        <v>2.8079999999999998</v>
      </c>
      <c r="G3183" s="10">
        <f t="shared" ca="1" si="315"/>
        <v>0</v>
      </c>
      <c r="H3183" s="12">
        <f t="shared" ca="1" si="316"/>
        <v>0</v>
      </c>
      <c r="I3183" s="11">
        <f t="shared" ca="1" si="317"/>
        <v>0</v>
      </c>
      <c r="J3183" s="11">
        <f t="shared" ca="1" si="318"/>
        <v>-1</v>
      </c>
      <c r="K3183" s="10">
        <f t="shared" ca="1" si="328"/>
        <v>136.10132999999999</v>
      </c>
      <c r="L3183" s="11">
        <f t="shared" ca="1" si="329"/>
        <v>-47.892319999999998</v>
      </c>
      <c r="M3183" s="11">
        <f t="shared" ca="1" si="330"/>
        <v>2.8418199999999998</v>
      </c>
      <c r="N3183" s="15">
        <f t="shared" ca="1" si="331"/>
        <v>10</v>
      </c>
      <c r="O3183" s="15">
        <f t="shared" ca="1" si="332"/>
        <v>28</v>
      </c>
      <c r="P3183" s="16">
        <f t="shared" ca="1" si="333"/>
        <v>20.028339999999844</v>
      </c>
      <c r="Q3183" s="11" t="str">
        <f t="shared" ca="1" si="319"/>
        <v/>
      </c>
      <c r="R3183" s="11" t="str">
        <f t="shared" ca="1" si="320"/>
        <v/>
      </c>
      <c r="S3183" s="61" t="str">
        <f t="shared" ca="1" si="321"/>
        <v/>
      </c>
      <c r="T3183" s="11" t="str">
        <f t="shared" ca="1" si="322"/>
        <v/>
      </c>
      <c r="U3183" s="11" t="str">
        <f t="shared" ca="1" si="323"/>
        <v/>
      </c>
      <c r="V3183" s="18" t="str">
        <f t="shared" ca="1" si="324"/>
        <v/>
      </c>
      <c r="W3183" s="61" t="str">
        <f t="shared" ca="1" si="325"/>
        <v/>
      </c>
      <c r="X3183" s="61">
        <f t="shared" ca="1" si="326"/>
        <v>0</v>
      </c>
      <c r="Y3183" s="64" t="str">
        <f t="shared" ca="1" si="327"/>
        <v/>
      </c>
    </row>
    <row r="3184" spans="1:25">
      <c r="A3184" s="2">
        <f>+Get_Data!A3183</f>
        <v>44062</v>
      </c>
      <c r="B3184">
        <f>+ROUND(Get_Data!B3183,5)</f>
        <v>135.47583</v>
      </c>
      <c r="C3184">
        <f>+ROUND(Get_Data!C3183,5)</f>
        <v>46.989629999999998</v>
      </c>
      <c r="D3184" s="4">
        <f t="shared" si="312"/>
        <v>2.8831000000000002</v>
      </c>
      <c r="E3184" s="22">
        <f t="shared" ca="1" si="313"/>
        <v>2.95513</v>
      </c>
      <c r="F3184" s="23">
        <f t="shared" ca="1" si="314"/>
        <v>2.8079999999999998</v>
      </c>
      <c r="G3184" s="10">
        <f t="shared" ca="1" si="315"/>
        <v>0</v>
      </c>
      <c r="H3184" s="12">
        <f t="shared" ca="1" si="316"/>
        <v>0</v>
      </c>
      <c r="I3184" s="11">
        <f t="shared" ca="1" si="317"/>
        <v>0</v>
      </c>
      <c r="J3184" s="11">
        <f t="shared" ca="1" si="318"/>
        <v>-1</v>
      </c>
      <c r="K3184" s="10">
        <f t="shared" ca="1" si="328"/>
        <v>136.10132999999999</v>
      </c>
      <c r="L3184" s="11">
        <f t="shared" ca="1" si="329"/>
        <v>-47.892319999999998</v>
      </c>
      <c r="M3184" s="11">
        <f t="shared" ca="1" si="330"/>
        <v>2.8418199999999998</v>
      </c>
      <c r="N3184" s="15">
        <f t="shared" ca="1" si="331"/>
        <v>10</v>
      </c>
      <c r="O3184" s="15">
        <f t="shared" ca="1" si="332"/>
        <v>28</v>
      </c>
      <c r="P3184" s="16">
        <f t="shared" ca="1" si="333"/>
        <v>20.028339999999844</v>
      </c>
      <c r="Q3184" s="11" t="str">
        <f t="shared" ca="1" si="319"/>
        <v/>
      </c>
      <c r="R3184" s="11" t="str">
        <f t="shared" ca="1" si="320"/>
        <v/>
      </c>
      <c r="S3184" s="61" t="str">
        <f t="shared" ca="1" si="321"/>
        <v/>
      </c>
      <c r="T3184" s="11" t="str">
        <f t="shared" ca="1" si="322"/>
        <v/>
      </c>
      <c r="U3184" s="11" t="str">
        <f t="shared" ca="1" si="323"/>
        <v/>
      </c>
      <c r="V3184" s="18" t="str">
        <f t="shared" ca="1" si="324"/>
        <v/>
      </c>
      <c r="W3184" s="61" t="str">
        <f t="shared" ca="1" si="325"/>
        <v/>
      </c>
      <c r="X3184" s="61">
        <f t="shared" ca="1" si="326"/>
        <v>0</v>
      </c>
      <c r="Y3184" s="64" t="str">
        <f t="shared" ca="1" si="327"/>
        <v/>
      </c>
    </row>
    <row r="3185" spans="1:25">
      <c r="A3185" s="2">
        <f>+Get_Data!A3184</f>
        <v>44063</v>
      </c>
      <c r="B3185">
        <f>+ROUND(Get_Data!B3184,5)</f>
        <v>135.74391</v>
      </c>
      <c r="C3185">
        <f>+ROUND(Get_Data!C3184,5)</f>
        <v>46.969790000000003</v>
      </c>
      <c r="D3185" s="4">
        <f t="shared" si="312"/>
        <v>2.8900299999999999</v>
      </c>
      <c r="E3185" s="22">
        <f t="shared" ca="1" si="313"/>
        <v>2.95513</v>
      </c>
      <c r="F3185" s="23">
        <f t="shared" ca="1" si="314"/>
        <v>2.8079999999999998</v>
      </c>
      <c r="G3185" s="10">
        <f t="shared" ca="1" si="315"/>
        <v>0</v>
      </c>
      <c r="H3185" s="12">
        <f t="shared" ca="1" si="316"/>
        <v>0</v>
      </c>
      <c r="I3185" s="11">
        <f t="shared" ca="1" si="317"/>
        <v>0</v>
      </c>
      <c r="J3185" s="11">
        <f t="shared" ca="1" si="318"/>
        <v>-1</v>
      </c>
      <c r="K3185" s="10">
        <f t="shared" ca="1" si="328"/>
        <v>136.10132999999999</v>
      </c>
      <c r="L3185" s="11">
        <f t="shared" ca="1" si="329"/>
        <v>-47.892319999999998</v>
      </c>
      <c r="M3185" s="11">
        <f t="shared" ca="1" si="330"/>
        <v>2.8418199999999998</v>
      </c>
      <c r="N3185" s="15">
        <f t="shared" ca="1" si="331"/>
        <v>10</v>
      </c>
      <c r="O3185" s="15">
        <f t="shared" ca="1" si="332"/>
        <v>28</v>
      </c>
      <c r="P3185" s="16">
        <f t="shared" ca="1" si="333"/>
        <v>20.028339999999844</v>
      </c>
      <c r="Q3185" s="11" t="str">
        <f t="shared" ca="1" si="319"/>
        <v/>
      </c>
      <c r="R3185" s="11" t="str">
        <f t="shared" ca="1" si="320"/>
        <v/>
      </c>
      <c r="S3185" s="61" t="str">
        <f t="shared" ca="1" si="321"/>
        <v/>
      </c>
      <c r="T3185" s="11" t="str">
        <f t="shared" ca="1" si="322"/>
        <v/>
      </c>
      <c r="U3185" s="11" t="str">
        <f t="shared" ca="1" si="323"/>
        <v/>
      </c>
      <c r="V3185" s="18" t="str">
        <f t="shared" ca="1" si="324"/>
        <v/>
      </c>
      <c r="W3185" s="61" t="str">
        <f t="shared" ca="1" si="325"/>
        <v/>
      </c>
      <c r="X3185" s="61">
        <f t="shared" ca="1" si="326"/>
        <v>0</v>
      </c>
      <c r="Y3185" s="64" t="str">
        <f t="shared" ca="1" si="327"/>
        <v/>
      </c>
    </row>
    <row r="3186" spans="1:25">
      <c r="A3186" s="2">
        <f>+Get_Data!A3185</f>
        <v>44064</v>
      </c>
      <c r="B3186">
        <f>+ROUND(Get_Data!B3185,5)</f>
        <v>135.48576</v>
      </c>
      <c r="C3186">
        <f>+ROUND(Get_Data!C3185,5)</f>
        <v>46.900350000000003</v>
      </c>
      <c r="D3186" s="4">
        <f t="shared" ref="D3186:D3249" si="335">IFERROR(ROUND(B3186/C3186,5),"")</f>
        <v>2.8887999999999998</v>
      </c>
      <c r="E3186" s="22">
        <f t="shared" ca="1" si="313"/>
        <v>2.95513</v>
      </c>
      <c r="F3186" s="23">
        <f t="shared" ca="1" si="314"/>
        <v>2.8079999999999998</v>
      </c>
      <c r="G3186" s="10">
        <f t="shared" ca="1" si="315"/>
        <v>0</v>
      </c>
      <c r="H3186" s="12">
        <f t="shared" ca="1" si="316"/>
        <v>0</v>
      </c>
      <c r="I3186" s="11">
        <f t="shared" ca="1" si="317"/>
        <v>0</v>
      </c>
      <c r="J3186" s="11">
        <f t="shared" ca="1" si="318"/>
        <v>-1</v>
      </c>
      <c r="K3186" s="10">
        <f t="shared" ca="1" si="328"/>
        <v>136.10132999999999</v>
      </c>
      <c r="L3186" s="11">
        <f t="shared" ca="1" si="329"/>
        <v>-47.892319999999998</v>
      </c>
      <c r="M3186" s="11">
        <f t="shared" ca="1" si="330"/>
        <v>2.8418199999999998</v>
      </c>
      <c r="N3186" s="15">
        <f t="shared" ca="1" si="331"/>
        <v>10</v>
      </c>
      <c r="O3186" s="15">
        <f t="shared" ca="1" si="332"/>
        <v>28</v>
      </c>
      <c r="P3186" s="16">
        <f t="shared" ca="1" si="333"/>
        <v>20.028339999999844</v>
      </c>
      <c r="Q3186" s="11" t="str">
        <f t="shared" ca="1" si="319"/>
        <v/>
      </c>
      <c r="R3186" s="11" t="str">
        <f t="shared" ca="1" si="320"/>
        <v/>
      </c>
      <c r="S3186" s="61" t="str">
        <f t="shared" ca="1" si="321"/>
        <v/>
      </c>
      <c r="T3186" s="11" t="str">
        <f t="shared" ca="1" si="322"/>
        <v/>
      </c>
      <c r="U3186" s="11" t="str">
        <f t="shared" ca="1" si="323"/>
        <v/>
      </c>
      <c r="V3186" s="18" t="str">
        <f t="shared" ca="1" si="324"/>
        <v/>
      </c>
      <c r="W3186" s="61" t="str">
        <f t="shared" ca="1" si="325"/>
        <v/>
      </c>
      <c r="X3186" s="61">
        <f t="shared" ca="1" si="326"/>
        <v>0</v>
      </c>
      <c r="Y3186" s="64" t="str">
        <f t="shared" ca="1" si="327"/>
        <v/>
      </c>
    </row>
    <row r="3187" spans="1:25">
      <c r="A3187" s="2">
        <f>+Get_Data!A3186</f>
        <v>44067</v>
      </c>
      <c r="B3187">
        <f>+ROUND(Get_Data!B3186,5)</f>
        <v>136.65733</v>
      </c>
      <c r="C3187">
        <f>+ROUND(Get_Data!C3186,5)</f>
        <v>47.584809999999997</v>
      </c>
      <c r="D3187" s="4">
        <f t="shared" si="335"/>
        <v>2.8718699999999999</v>
      </c>
      <c r="E3187" s="22">
        <f t="shared" ca="1" si="313"/>
        <v>2.95513</v>
      </c>
      <c r="F3187" s="23">
        <f t="shared" ca="1" si="314"/>
        <v>2.8079999999999998</v>
      </c>
      <c r="G3187" s="10">
        <f t="shared" ca="1" si="315"/>
        <v>0</v>
      </c>
      <c r="H3187" s="12">
        <f t="shared" ca="1" si="316"/>
        <v>0</v>
      </c>
      <c r="I3187" s="11">
        <f t="shared" ca="1" si="317"/>
        <v>0</v>
      </c>
      <c r="J3187" s="11">
        <f t="shared" ca="1" si="318"/>
        <v>-1</v>
      </c>
      <c r="K3187" s="10">
        <f t="shared" ca="1" si="328"/>
        <v>136.10132999999999</v>
      </c>
      <c r="L3187" s="11">
        <f t="shared" ca="1" si="329"/>
        <v>-47.892319999999998</v>
      </c>
      <c r="M3187" s="11">
        <f t="shared" ca="1" si="330"/>
        <v>2.8418199999999998</v>
      </c>
      <c r="N3187" s="15">
        <f t="shared" ca="1" si="331"/>
        <v>10</v>
      </c>
      <c r="O3187" s="15">
        <f t="shared" ca="1" si="332"/>
        <v>28</v>
      </c>
      <c r="P3187" s="16">
        <f t="shared" ca="1" si="333"/>
        <v>20.028339999999844</v>
      </c>
      <c r="Q3187" s="11" t="str">
        <f t="shared" ca="1" si="319"/>
        <v/>
      </c>
      <c r="R3187" s="11" t="str">
        <f t="shared" ca="1" si="320"/>
        <v/>
      </c>
      <c r="S3187" s="61" t="str">
        <f t="shared" ca="1" si="321"/>
        <v/>
      </c>
      <c r="T3187" s="11" t="str">
        <f t="shared" ca="1" si="322"/>
        <v/>
      </c>
      <c r="U3187" s="11" t="str">
        <f t="shared" ca="1" si="323"/>
        <v/>
      </c>
      <c r="V3187" s="18" t="str">
        <f t="shared" ca="1" si="324"/>
        <v/>
      </c>
      <c r="W3187" s="61" t="str">
        <f t="shared" ca="1" si="325"/>
        <v/>
      </c>
      <c r="X3187" s="61">
        <f t="shared" ca="1" si="326"/>
        <v>0</v>
      </c>
      <c r="Y3187" s="64" t="str">
        <f t="shared" ca="1" si="327"/>
        <v/>
      </c>
    </row>
    <row r="3188" spans="1:25">
      <c r="A3188" s="2">
        <f>+Get_Data!A3187</f>
        <v>44068</v>
      </c>
      <c r="B3188">
        <f>+ROUND(Get_Data!B3187,5)</f>
        <v>136.31976</v>
      </c>
      <c r="C3188">
        <f>+ROUND(Get_Data!C3187,5)</f>
        <v>47.525300000000001</v>
      </c>
      <c r="D3188" s="4">
        <f t="shared" si="335"/>
        <v>2.86836</v>
      </c>
      <c r="E3188" s="22">
        <f t="shared" ca="1" si="313"/>
        <v>2.95513</v>
      </c>
      <c r="F3188" s="23">
        <f t="shared" ca="1" si="314"/>
        <v>2.8079999999999998</v>
      </c>
      <c r="G3188" s="10">
        <f t="shared" ca="1" si="315"/>
        <v>0</v>
      </c>
      <c r="H3188" s="12">
        <f t="shared" ca="1" si="316"/>
        <v>0</v>
      </c>
      <c r="I3188" s="11">
        <f t="shared" ca="1" si="317"/>
        <v>0</v>
      </c>
      <c r="J3188" s="11">
        <f t="shared" ca="1" si="318"/>
        <v>-1</v>
      </c>
      <c r="K3188" s="10">
        <f t="shared" ca="1" si="328"/>
        <v>136.10132999999999</v>
      </c>
      <c r="L3188" s="11">
        <f t="shared" ca="1" si="329"/>
        <v>-47.892319999999998</v>
      </c>
      <c r="M3188" s="11">
        <f t="shared" ca="1" si="330"/>
        <v>2.8418199999999998</v>
      </c>
      <c r="N3188" s="15">
        <f t="shared" ca="1" si="331"/>
        <v>10</v>
      </c>
      <c r="O3188" s="15">
        <f t="shared" ca="1" si="332"/>
        <v>28</v>
      </c>
      <c r="P3188" s="16">
        <f t="shared" ca="1" si="333"/>
        <v>20.028339999999844</v>
      </c>
      <c r="Q3188" s="11" t="str">
        <f t="shared" ca="1" si="319"/>
        <v/>
      </c>
      <c r="R3188" s="11" t="str">
        <f t="shared" ca="1" si="320"/>
        <v/>
      </c>
      <c r="S3188" s="61" t="str">
        <f t="shared" ca="1" si="321"/>
        <v/>
      </c>
      <c r="T3188" s="11" t="str">
        <f t="shared" ca="1" si="322"/>
        <v/>
      </c>
      <c r="U3188" s="11" t="str">
        <f t="shared" ca="1" si="323"/>
        <v/>
      </c>
      <c r="V3188" s="18" t="str">
        <f t="shared" ca="1" si="324"/>
        <v/>
      </c>
      <c r="W3188" s="61" t="str">
        <f t="shared" ca="1" si="325"/>
        <v/>
      </c>
      <c r="X3188" s="61">
        <f t="shared" ca="1" si="326"/>
        <v>0</v>
      </c>
      <c r="Y3188" s="64" t="str">
        <f t="shared" ca="1" si="327"/>
        <v/>
      </c>
    </row>
    <row r="3189" spans="1:25">
      <c r="A3189" s="2">
        <f>+Get_Data!A3188</f>
        <v>44069</v>
      </c>
      <c r="B3189">
        <f>+ROUND(Get_Data!B3188,5)</f>
        <v>137.48141000000001</v>
      </c>
      <c r="C3189">
        <f>+ROUND(Get_Data!C3188,5)</f>
        <v>47.77328</v>
      </c>
      <c r="D3189" s="4">
        <f t="shared" si="335"/>
        <v>2.8777900000000001</v>
      </c>
      <c r="E3189" s="22">
        <f t="shared" ca="1" si="313"/>
        <v>2.95513</v>
      </c>
      <c r="F3189" s="23">
        <f t="shared" ca="1" si="314"/>
        <v>2.8084600000000002</v>
      </c>
      <c r="G3189" s="10">
        <f t="shared" ca="1" si="315"/>
        <v>0</v>
      </c>
      <c r="H3189" s="12">
        <f t="shared" ca="1" si="316"/>
        <v>0</v>
      </c>
      <c r="I3189" s="11">
        <f t="shared" ca="1" si="317"/>
        <v>0</v>
      </c>
      <c r="J3189" s="11">
        <f t="shared" ca="1" si="318"/>
        <v>-1</v>
      </c>
      <c r="K3189" s="10">
        <f t="shared" ca="1" si="328"/>
        <v>136.10132999999999</v>
      </c>
      <c r="L3189" s="11">
        <f t="shared" ca="1" si="329"/>
        <v>-47.892319999999998</v>
      </c>
      <c r="M3189" s="11">
        <f t="shared" ca="1" si="330"/>
        <v>2.8418199999999998</v>
      </c>
      <c r="N3189" s="15">
        <f t="shared" ca="1" si="331"/>
        <v>10</v>
      </c>
      <c r="O3189" s="15">
        <f t="shared" ca="1" si="332"/>
        <v>28</v>
      </c>
      <c r="P3189" s="16">
        <f t="shared" ca="1" si="333"/>
        <v>20.028339999999844</v>
      </c>
      <c r="Q3189" s="11" t="str">
        <f t="shared" ca="1" si="319"/>
        <v/>
      </c>
      <c r="R3189" s="11" t="str">
        <f t="shared" ca="1" si="320"/>
        <v/>
      </c>
      <c r="S3189" s="61" t="str">
        <f t="shared" ca="1" si="321"/>
        <v/>
      </c>
      <c r="T3189" s="11" t="str">
        <f t="shared" ca="1" si="322"/>
        <v/>
      </c>
      <c r="U3189" s="11" t="str">
        <f t="shared" ca="1" si="323"/>
        <v/>
      </c>
      <c r="V3189" s="18" t="str">
        <f t="shared" ca="1" si="324"/>
        <v/>
      </c>
      <c r="W3189" s="61" t="str">
        <f t="shared" ca="1" si="325"/>
        <v/>
      </c>
      <c r="X3189" s="61">
        <f t="shared" ca="1" si="326"/>
        <v>0</v>
      </c>
      <c r="Y3189" s="64" t="str">
        <f t="shared" ca="1" si="327"/>
        <v/>
      </c>
    </row>
    <row r="3190" spans="1:25">
      <c r="A3190" s="2">
        <f>+Get_Data!A3189</f>
        <v>44070</v>
      </c>
      <c r="B3190">
        <f>+ROUND(Get_Data!B3189,5)</f>
        <v>137.4119</v>
      </c>
      <c r="C3190">
        <f>+ROUND(Get_Data!C3189,5)</f>
        <v>47.84272</v>
      </c>
      <c r="D3190" s="4">
        <f t="shared" si="335"/>
        <v>2.87216</v>
      </c>
      <c r="E3190" s="22">
        <f t="shared" ca="1" si="313"/>
        <v>2.95513</v>
      </c>
      <c r="F3190" s="23">
        <f t="shared" ca="1" si="314"/>
        <v>2.8084600000000002</v>
      </c>
      <c r="G3190" s="10">
        <f t="shared" ca="1" si="315"/>
        <v>0</v>
      </c>
      <c r="H3190" s="12">
        <f t="shared" ca="1" si="316"/>
        <v>0</v>
      </c>
      <c r="I3190" s="11">
        <f t="shared" ca="1" si="317"/>
        <v>0</v>
      </c>
      <c r="J3190" s="11">
        <f t="shared" ca="1" si="318"/>
        <v>-1</v>
      </c>
      <c r="K3190" s="10">
        <f t="shared" ca="1" si="328"/>
        <v>136.10132999999999</v>
      </c>
      <c r="L3190" s="11">
        <f t="shared" ca="1" si="329"/>
        <v>-47.892319999999998</v>
      </c>
      <c r="M3190" s="11">
        <f t="shared" ca="1" si="330"/>
        <v>2.8418199999999998</v>
      </c>
      <c r="N3190" s="15">
        <f t="shared" ca="1" si="331"/>
        <v>10</v>
      </c>
      <c r="O3190" s="15">
        <f t="shared" ca="1" si="332"/>
        <v>28</v>
      </c>
      <c r="P3190" s="16">
        <f t="shared" ca="1" si="333"/>
        <v>20.028339999999844</v>
      </c>
      <c r="Q3190" s="11" t="str">
        <f t="shared" ca="1" si="319"/>
        <v/>
      </c>
      <c r="R3190" s="11" t="str">
        <f t="shared" ca="1" si="320"/>
        <v/>
      </c>
      <c r="S3190" s="61" t="str">
        <f t="shared" ca="1" si="321"/>
        <v/>
      </c>
      <c r="T3190" s="11" t="str">
        <f t="shared" ca="1" si="322"/>
        <v/>
      </c>
      <c r="U3190" s="11" t="str">
        <f t="shared" ca="1" si="323"/>
        <v/>
      </c>
      <c r="V3190" s="18" t="str">
        <f t="shared" ca="1" si="324"/>
        <v/>
      </c>
      <c r="W3190" s="61" t="str">
        <f t="shared" ca="1" si="325"/>
        <v/>
      </c>
      <c r="X3190" s="61">
        <f t="shared" ca="1" si="326"/>
        <v>0</v>
      </c>
      <c r="Y3190" s="64" t="str">
        <f t="shared" ca="1" si="327"/>
        <v/>
      </c>
    </row>
    <row r="3191" spans="1:25">
      <c r="A3191" s="2">
        <f>+Get_Data!A3190</f>
        <v>44071</v>
      </c>
      <c r="B3191">
        <f>+ROUND(Get_Data!B3190,5)</f>
        <v>138.94092000000001</v>
      </c>
      <c r="C3191">
        <f>+ROUND(Get_Data!C3190,5)</f>
        <v>49.429879999999997</v>
      </c>
      <c r="D3191" s="4">
        <f t="shared" si="335"/>
        <v>2.81087</v>
      </c>
      <c r="E3191" s="22">
        <f t="shared" ca="1" si="313"/>
        <v>2.95513</v>
      </c>
      <c r="F3191" s="23">
        <f t="shared" ca="1" si="314"/>
        <v>2.81087</v>
      </c>
      <c r="G3191" s="10">
        <f t="shared" ca="1" si="315"/>
        <v>0</v>
      </c>
      <c r="H3191" s="12">
        <f t="shared" ca="1" si="316"/>
        <v>1</v>
      </c>
      <c r="I3191" s="11">
        <f t="shared" ca="1" si="317"/>
        <v>-1</v>
      </c>
      <c r="J3191" s="11">
        <f t="shared" ca="1" si="318"/>
        <v>-2</v>
      </c>
      <c r="K3191" s="10">
        <f t="shared" ca="1" si="328"/>
        <v>136.10132999999999</v>
      </c>
      <c r="L3191" s="11">
        <f t="shared" ca="1" si="329"/>
        <v>-47.892319999999998</v>
      </c>
      <c r="M3191" s="11">
        <f t="shared" ca="1" si="330"/>
        <v>2.8418199999999998</v>
      </c>
      <c r="N3191" s="15">
        <f t="shared" ca="1" si="331"/>
        <v>10</v>
      </c>
      <c r="O3191" s="15">
        <f t="shared" ca="1" si="332"/>
        <v>28</v>
      </c>
      <c r="P3191" s="16">
        <f t="shared" ca="1" si="333"/>
        <v>20.028339999999844</v>
      </c>
      <c r="Q3191" s="11" t="str">
        <f t="shared" ca="1" si="319"/>
        <v/>
      </c>
      <c r="R3191" s="11" t="str">
        <f t="shared" ca="1" si="320"/>
        <v/>
      </c>
      <c r="S3191" s="61" t="str">
        <f t="shared" ca="1" si="321"/>
        <v/>
      </c>
      <c r="T3191" s="11" t="str">
        <f t="shared" ca="1" si="322"/>
        <v/>
      </c>
      <c r="U3191" s="11" t="str">
        <f t="shared" ca="1" si="323"/>
        <v/>
      </c>
      <c r="V3191" s="18" t="str">
        <f t="shared" ca="1" si="324"/>
        <v/>
      </c>
      <c r="W3191" s="61" t="str">
        <f t="shared" ca="1" si="325"/>
        <v/>
      </c>
      <c r="X3191" s="61">
        <f t="shared" ca="1" si="326"/>
        <v>0</v>
      </c>
      <c r="Y3191" s="64" t="str">
        <f t="shared" ca="1" si="327"/>
        <v/>
      </c>
    </row>
    <row r="3192" spans="1:25">
      <c r="A3192" s="2">
        <f>+Get_Data!A3191</f>
        <v>44074</v>
      </c>
      <c r="B3192">
        <f>+ROUND(Get_Data!B3191,5)</f>
        <v>139.06005999999999</v>
      </c>
      <c r="C3192">
        <f>+ROUND(Get_Data!C3191,5)</f>
        <v>49.132289999999998</v>
      </c>
      <c r="D3192" s="4">
        <f t="shared" si="335"/>
        <v>2.8303199999999999</v>
      </c>
      <c r="E3192" s="22">
        <f t="shared" ca="1" si="313"/>
        <v>2.95513</v>
      </c>
      <c r="F3192" s="23">
        <f t="shared" ca="1" si="314"/>
        <v>2.81087</v>
      </c>
      <c r="G3192" s="10">
        <f t="shared" ca="1" si="315"/>
        <v>0</v>
      </c>
      <c r="H3192" s="12">
        <f t="shared" ca="1" si="316"/>
        <v>0</v>
      </c>
      <c r="I3192" s="11">
        <f t="shared" ca="1" si="317"/>
        <v>0</v>
      </c>
      <c r="J3192" s="11">
        <f t="shared" ca="1" si="318"/>
        <v>-2</v>
      </c>
      <c r="K3192" s="10">
        <f t="shared" ca="1" si="328"/>
        <v>136.10132999999999</v>
      </c>
      <c r="L3192" s="11">
        <f t="shared" ca="1" si="329"/>
        <v>-47.892319999999998</v>
      </c>
      <c r="M3192" s="11">
        <f t="shared" ca="1" si="330"/>
        <v>2.8418199999999998</v>
      </c>
      <c r="N3192" s="15">
        <f t="shared" ca="1" si="331"/>
        <v>10</v>
      </c>
      <c r="O3192" s="15">
        <f t="shared" ca="1" si="332"/>
        <v>28</v>
      </c>
      <c r="P3192" s="16">
        <f t="shared" ca="1" si="333"/>
        <v>20.028339999999844</v>
      </c>
      <c r="Q3192" s="11" t="str">
        <f t="shared" ca="1" si="319"/>
        <v/>
      </c>
      <c r="R3192" s="11" t="str">
        <f t="shared" ca="1" si="320"/>
        <v/>
      </c>
      <c r="S3192" s="61" t="str">
        <f t="shared" ca="1" si="321"/>
        <v/>
      </c>
      <c r="T3192" s="11" t="str">
        <f t="shared" ca="1" si="322"/>
        <v/>
      </c>
      <c r="U3192" s="11" t="str">
        <f t="shared" ca="1" si="323"/>
        <v/>
      </c>
      <c r="V3192" s="18" t="str">
        <f t="shared" ca="1" si="324"/>
        <v/>
      </c>
      <c r="W3192" s="61" t="str">
        <f t="shared" ca="1" si="325"/>
        <v/>
      </c>
      <c r="X3192" s="61">
        <f t="shared" ca="1" si="326"/>
        <v>0</v>
      </c>
      <c r="Y3192" s="64" t="str">
        <f t="shared" ca="1" si="327"/>
        <v/>
      </c>
    </row>
    <row r="3193" spans="1:25">
      <c r="A3193" s="2">
        <f>+Get_Data!A3192</f>
        <v>44075</v>
      </c>
      <c r="B3193">
        <f>+ROUND(Get_Data!B3192,5)</f>
        <v>138.19627</v>
      </c>
      <c r="C3193">
        <f>+ROUND(Get_Data!C3192,5)</f>
        <v>48.725580000000001</v>
      </c>
      <c r="D3193" s="4">
        <f t="shared" si="335"/>
        <v>2.83622</v>
      </c>
      <c r="E3193" s="22">
        <f t="shared" ca="1" si="313"/>
        <v>2.95513</v>
      </c>
      <c r="F3193" s="23">
        <f t="shared" ca="1" si="314"/>
        <v>2.81087</v>
      </c>
      <c r="G3193" s="10">
        <f t="shared" ca="1" si="315"/>
        <v>0</v>
      </c>
      <c r="H3193" s="12">
        <f t="shared" ca="1" si="316"/>
        <v>0</v>
      </c>
      <c r="I3193" s="11">
        <f t="shared" ca="1" si="317"/>
        <v>0</v>
      </c>
      <c r="J3193" s="11">
        <f t="shared" ca="1" si="318"/>
        <v>-2</v>
      </c>
      <c r="K3193" s="10">
        <f t="shared" ca="1" si="328"/>
        <v>136.10132999999999</v>
      </c>
      <c r="L3193" s="11">
        <f t="shared" ca="1" si="329"/>
        <v>-47.892319999999998</v>
      </c>
      <c r="M3193" s="11">
        <f t="shared" ca="1" si="330"/>
        <v>2.8418199999999998</v>
      </c>
      <c r="N3193" s="15">
        <f t="shared" ca="1" si="331"/>
        <v>10</v>
      </c>
      <c r="O3193" s="15">
        <f t="shared" ca="1" si="332"/>
        <v>28</v>
      </c>
      <c r="P3193" s="16">
        <f t="shared" ca="1" si="333"/>
        <v>20.028339999999844</v>
      </c>
      <c r="Q3193" s="11" t="str">
        <f t="shared" ca="1" si="319"/>
        <v/>
      </c>
      <c r="R3193" s="11" t="str">
        <f t="shared" ca="1" si="320"/>
        <v/>
      </c>
      <c r="S3193" s="61" t="str">
        <f t="shared" ca="1" si="321"/>
        <v/>
      </c>
      <c r="T3193" s="11" t="str">
        <f t="shared" ca="1" si="322"/>
        <v/>
      </c>
      <c r="U3193" s="11" t="str">
        <f t="shared" ca="1" si="323"/>
        <v/>
      </c>
      <c r="V3193" s="18" t="str">
        <f t="shared" ca="1" si="324"/>
        <v/>
      </c>
      <c r="W3193" s="61" t="str">
        <f t="shared" ca="1" si="325"/>
        <v/>
      </c>
      <c r="X3193" s="61">
        <f t="shared" ca="1" si="326"/>
        <v>0</v>
      </c>
      <c r="Y3193" s="64" t="str">
        <f t="shared" ca="1" si="327"/>
        <v/>
      </c>
    </row>
    <row r="3194" spans="1:25">
      <c r="A3194" s="2">
        <f>+Get_Data!A3193</f>
        <v>44076</v>
      </c>
      <c r="B3194">
        <f>+ROUND(Get_Data!B3193,5)</f>
        <v>142.267</v>
      </c>
      <c r="C3194">
        <f>+ROUND(Get_Data!C3193,5)</f>
        <v>50.778950000000002</v>
      </c>
      <c r="D3194" s="4">
        <f t="shared" si="335"/>
        <v>2.8016899999999998</v>
      </c>
      <c r="E3194" s="22">
        <f t="shared" ca="1" si="313"/>
        <v>2.95513</v>
      </c>
      <c r="F3194" s="23">
        <f t="shared" ca="1" si="314"/>
        <v>2.8016899999999998</v>
      </c>
      <c r="G3194" s="10">
        <f t="shared" ca="1" si="315"/>
        <v>0</v>
      </c>
      <c r="H3194" s="12">
        <f t="shared" ca="1" si="316"/>
        <v>1</v>
      </c>
      <c r="I3194" s="11">
        <f t="shared" ca="1" si="317"/>
        <v>-1</v>
      </c>
      <c r="J3194" s="11">
        <f t="shared" ca="1" si="318"/>
        <v>0</v>
      </c>
      <c r="K3194" s="10">
        <f t="shared" ca="1" si="328"/>
        <v>136.10132999999999</v>
      </c>
      <c r="L3194" s="11">
        <f t="shared" ca="1" si="329"/>
        <v>-47.892319999999998</v>
      </c>
      <c r="M3194" s="11">
        <f t="shared" ca="1" si="330"/>
        <v>2.8418199999999998</v>
      </c>
      <c r="N3194" s="15">
        <f t="shared" ca="1" si="331"/>
        <v>10</v>
      </c>
      <c r="O3194" s="15">
        <f t="shared" ca="1" si="332"/>
        <v>28</v>
      </c>
      <c r="P3194" s="16">
        <f t="shared" ca="1" si="333"/>
        <v>20.028339999999844</v>
      </c>
      <c r="Q3194" s="11" t="str">
        <f t="shared" ca="1" si="319"/>
        <v/>
      </c>
      <c r="R3194" s="11" t="str">
        <f t="shared" ca="1" si="320"/>
        <v/>
      </c>
      <c r="S3194" s="61" t="str">
        <f t="shared" ca="1" si="321"/>
        <v/>
      </c>
      <c r="T3194" s="11" t="str">
        <f t="shared" ca="1" si="322"/>
        <v/>
      </c>
      <c r="U3194" s="11" t="str">
        <f t="shared" ca="1" si="323"/>
        <v/>
      </c>
      <c r="V3194" s="18" t="str">
        <f t="shared" ca="1" si="324"/>
        <v/>
      </c>
      <c r="W3194" s="61" t="str">
        <f t="shared" ca="1" si="325"/>
        <v/>
      </c>
      <c r="X3194" s="61">
        <f t="shared" ca="1" si="326"/>
        <v>0</v>
      </c>
      <c r="Y3194" s="64" t="str">
        <f t="shared" ca="1" si="327"/>
        <v/>
      </c>
    </row>
    <row r="3195" spans="1:25">
      <c r="A3195" s="2">
        <f>+Get_Data!A3194</f>
        <v>44077</v>
      </c>
      <c r="B3195">
        <f>+ROUND(Get_Data!B3194,5)</f>
        <v>139.37</v>
      </c>
      <c r="C3195">
        <f>+ROUND(Get_Data!C3194,5)</f>
        <v>50.074660000000002</v>
      </c>
      <c r="D3195" s="4">
        <f t="shared" si="335"/>
        <v>2.7832400000000002</v>
      </c>
      <c r="E3195" s="22">
        <f t="shared" ca="1" si="313"/>
        <v>2.95513</v>
      </c>
      <c r="F3195" s="23">
        <f t="shared" ca="1" si="314"/>
        <v>2.7832400000000002</v>
      </c>
      <c r="G3195" s="10">
        <f t="shared" ca="1" si="315"/>
        <v>0</v>
      </c>
      <c r="H3195" s="12">
        <f t="shared" ca="1" si="316"/>
        <v>1</v>
      </c>
      <c r="I3195" s="11">
        <f t="shared" ca="1" si="317"/>
        <v>-1</v>
      </c>
      <c r="J3195" s="11">
        <f t="shared" ca="1" si="318"/>
        <v>-1</v>
      </c>
      <c r="K3195" s="10" t="str">
        <f t="shared" ca="1" si="328"/>
        <v/>
      </c>
      <c r="L3195" s="11" t="str">
        <f t="shared" ca="1" si="329"/>
        <v/>
      </c>
      <c r="M3195" s="11" t="str">
        <f t="shared" ca="1" si="330"/>
        <v/>
      </c>
      <c r="N3195" s="15" t="str">
        <f t="shared" ca="1" si="331"/>
        <v/>
      </c>
      <c r="O3195" s="15" t="str">
        <f t="shared" ca="1" si="332"/>
        <v/>
      </c>
      <c r="P3195" s="16" t="str">
        <f t="shared" ca="1" si="333"/>
        <v/>
      </c>
      <c r="Q3195" s="11">
        <f t="shared" ca="1" si="319"/>
        <v>139.37</v>
      </c>
      <c r="R3195" s="11">
        <f t="shared" ca="1" si="320"/>
        <v>50.074660000000002</v>
      </c>
      <c r="S3195" s="61">
        <f t="shared" ca="1" si="321"/>
        <v>2.7832400000000002</v>
      </c>
      <c r="T3195" s="11">
        <f t="shared" ca="1" si="322"/>
        <v>10</v>
      </c>
      <c r="U3195" s="11">
        <f t="shared" ca="1" si="323"/>
        <v>28</v>
      </c>
      <c r="V3195" s="18">
        <f t="shared" ca="1" si="324"/>
        <v>-32.686700000000144</v>
      </c>
      <c r="W3195" s="61">
        <f t="shared" ca="1" si="325"/>
        <v>61.105520000000098</v>
      </c>
      <c r="X3195" s="61">
        <f t="shared" ca="1" si="326"/>
        <v>28.418819999999954</v>
      </c>
      <c r="Y3195" s="64">
        <f t="shared" ca="1" si="327"/>
        <v>2.0268891633869416E-2</v>
      </c>
    </row>
    <row r="3196" spans="1:25">
      <c r="A3196" s="2">
        <f>+Get_Data!A3195</f>
        <v>44078</v>
      </c>
      <c r="B3196">
        <f>+ROUND(Get_Data!B3195,5)</f>
        <v>138.75998999999999</v>
      </c>
      <c r="C3196">
        <f>+ROUND(Get_Data!C3195,5)</f>
        <v>50.630159999999997</v>
      </c>
      <c r="D3196" s="4">
        <f t="shared" si="335"/>
        <v>2.7406600000000001</v>
      </c>
      <c r="E3196" s="22">
        <f t="shared" ca="1" si="313"/>
        <v>2.95513</v>
      </c>
      <c r="F3196" s="23">
        <f t="shared" ca="1" si="314"/>
        <v>2.7406600000000001</v>
      </c>
      <c r="G3196" s="10">
        <f t="shared" ca="1" si="315"/>
        <v>0</v>
      </c>
      <c r="H3196" s="12">
        <f t="shared" ca="1" si="316"/>
        <v>1</v>
      </c>
      <c r="I3196" s="11">
        <f t="shared" ca="1" si="317"/>
        <v>-1</v>
      </c>
      <c r="J3196" s="11">
        <f t="shared" ca="1" si="318"/>
        <v>-2</v>
      </c>
      <c r="K3196" s="10">
        <f t="shared" ca="1" si="328"/>
        <v>138.75998999999999</v>
      </c>
      <c r="L3196" s="11">
        <f t="shared" ca="1" si="329"/>
        <v>-50.630159999999997</v>
      </c>
      <c r="M3196" s="11">
        <f t="shared" ca="1" si="330"/>
        <v>2.7406600000000001</v>
      </c>
      <c r="N3196" s="15">
        <f t="shared" ca="1" si="331"/>
        <v>10</v>
      </c>
      <c r="O3196" s="15">
        <f t="shared" ca="1" si="332"/>
        <v>27</v>
      </c>
      <c r="P3196" s="16">
        <f t="shared" ca="1" si="333"/>
        <v>20.585579999999936</v>
      </c>
      <c r="Q3196" s="11" t="str">
        <f t="shared" ca="1" si="319"/>
        <v/>
      </c>
      <c r="R3196" s="11" t="str">
        <f t="shared" ca="1" si="320"/>
        <v/>
      </c>
      <c r="S3196" s="61" t="str">
        <f t="shared" ca="1" si="321"/>
        <v/>
      </c>
      <c r="T3196" s="11" t="str">
        <f t="shared" ca="1" si="322"/>
        <v/>
      </c>
      <c r="U3196" s="11" t="str">
        <f t="shared" ca="1" si="323"/>
        <v/>
      </c>
      <c r="V3196" s="18" t="str">
        <f t="shared" ca="1" si="324"/>
        <v/>
      </c>
      <c r="W3196" s="61" t="str">
        <f t="shared" ca="1" si="325"/>
        <v/>
      </c>
      <c r="X3196" s="61">
        <f t="shared" ca="1" si="326"/>
        <v>0</v>
      </c>
      <c r="Y3196" s="64" t="str">
        <f t="shared" ca="1" si="327"/>
        <v/>
      </c>
    </row>
    <row r="3197" spans="1:25">
      <c r="A3197" s="2">
        <f>+Get_Data!A3196</f>
        <v>44082</v>
      </c>
      <c r="B3197">
        <f>+ROUND(Get_Data!B3196,5)</f>
        <v>135.55000000000001</v>
      </c>
      <c r="C3197">
        <f>+ROUND(Get_Data!C3196,5)</f>
        <v>49.410040000000002</v>
      </c>
      <c r="D3197" s="4">
        <f t="shared" si="335"/>
        <v>2.7433700000000001</v>
      </c>
      <c r="E3197" s="22">
        <f t="shared" ca="1" si="313"/>
        <v>2.9469599999999998</v>
      </c>
      <c r="F3197" s="23">
        <f t="shared" ca="1" si="314"/>
        <v>2.7406600000000001</v>
      </c>
      <c r="G3197" s="10">
        <f t="shared" ca="1" si="315"/>
        <v>0</v>
      </c>
      <c r="H3197" s="12">
        <f t="shared" ca="1" si="316"/>
        <v>0</v>
      </c>
      <c r="I3197" s="11">
        <f t="shared" ca="1" si="317"/>
        <v>0</v>
      </c>
      <c r="J3197" s="11">
        <f t="shared" ca="1" si="318"/>
        <v>-2</v>
      </c>
      <c r="K3197" s="10">
        <f t="shared" ca="1" si="328"/>
        <v>138.75998999999999</v>
      </c>
      <c r="L3197" s="11">
        <f t="shared" ca="1" si="329"/>
        <v>-50.630159999999997</v>
      </c>
      <c r="M3197" s="11">
        <f t="shared" ca="1" si="330"/>
        <v>2.7406600000000001</v>
      </c>
      <c r="N3197" s="15">
        <f t="shared" ca="1" si="331"/>
        <v>10</v>
      </c>
      <c r="O3197" s="15">
        <f t="shared" ca="1" si="332"/>
        <v>27</v>
      </c>
      <c r="P3197" s="16">
        <f t="shared" ca="1" si="333"/>
        <v>20.585579999999936</v>
      </c>
      <c r="Q3197" s="11" t="str">
        <f t="shared" ca="1" si="319"/>
        <v/>
      </c>
      <c r="R3197" s="11" t="str">
        <f t="shared" ca="1" si="320"/>
        <v/>
      </c>
      <c r="S3197" s="61" t="str">
        <f t="shared" ca="1" si="321"/>
        <v/>
      </c>
      <c r="T3197" s="11" t="str">
        <f t="shared" ca="1" si="322"/>
        <v/>
      </c>
      <c r="U3197" s="11" t="str">
        <f t="shared" ca="1" si="323"/>
        <v/>
      </c>
      <c r="V3197" s="18" t="str">
        <f t="shared" ca="1" si="324"/>
        <v/>
      </c>
      <c r="W3197" s="61" t="str">
        <f t="shared" ca="1" si="325"/>
        <v/>
      </c>
      <c r="X3197" s="61">
        <f t="shared" ca="1" si="326"/>
        <v>0</v>
      </c>
      <c r="Y3197" s="64" t="str">
        <f t="shared" ca="1" si="327"/>
        <v/>
      </c>
    </row>
    <row r="3198" spans="1:25">
      <c r="A3198" s="2">
        <f>+Get_Data!A3197</f>
        <v>44083</v>
      </c>
      <c r="B3198">
        <f>+ROUND(Get_Data!B3197,5)</f>
        <v>137.11000000000001</v>
      </c>
      <c r="C3198">
        <f>+ROUND(Get_Data!C3197,5)</f>
        <v>49.78698</v>
      </c>
      <c r="D3198" s="4">
        <f t="shared" si="335"/>
        <v>2.75393</v>
      </c>
      <c r="E3198" s="22">
        <f t="shared" ca="1" si="313"/>
        <v>2.8900299999999999</v>
      </c>
      <c r="F3198" s="23">
        <f t="shared" ca="1" si="314"/>
        <v>2.7406600000000001</v>
      </c>
      <c r="G3198" s="10">
        <f t="shared" ca="1" si="315"/>
        <v>0</v>
      </c>
      <c r="H3198" s="12">
        <f t="shared" ca="1" si="316"/>
        <v>0</v>
      </c>
      <c r="I3198" s="11">
        <f t="shared" ca="1" si="317"/>
        <v>0</v>
      </c>
      <c r="J3198" s="11">
        <f t="shared" ca="1" si="318"/>
        <v>-2</v>
      </c>
      <c r="K3198" s="10">
        <f t="shared" ca="1" si="328"/>
        <v>138.75998999999999</v>
      </c>
      <c r="L3198" s="11">
        <f t="shared" ca="1" si="329"/>
        <v>-50.630159999999997</v>
      </c>
      <c r="M3198" s="11">
        <f t="shared" ca="1" si="330"/>
        <v>2.7406600000000001</v>
      </c>
      <c r="N3198" s="15">
        <f t="shared" ca="1" si="331"/>
        <v>10</v>
      </c>
      <c r="O3198" s="15">
        <f t="shared" ca="1" si="332"/>
        <v>27</v>
      </c>
      <c r="P3198" s="16">
        <f t="shared" ca="1" si="333"/>
        <v>20.585579999999936</v>
      </c>
      <c r="Q3198" s="11" t="str">
        <f t="shared" ca="1" si="319"/>
        <v/>
      </c>
      <c r="R3198" s="11" t="str">
        <f t="shared" ca="1" si="320"/>
        <v/>
      </c>
      <c r="S3198" s="61" t="str">
        <f t="shared" ca="1" si="321"/>
        <v/>
      </c>
      <c r="T3198" s="11" t="str">
        <f t="shared" ca="1" si="322"/>
        <v/>
      </c>
      <c r="U3198" s="11" t="str">
        <f t="shared" ca="1" si="323"/>
        <v/>
      </c>
      <c r="V3198" s="18" t="str">
        <f t="shared" ca="1" si="324"/>
        <v/>
      </c>
      <c r="W3198" s="61" t="str">
        <f t="shared" ca="1" si="325"/>
        <v/>
      </c>
      <c r="X3198" s="61">
        <f t="shared" ca="1" si="326"/>
        <v>0</v>
      </c>
      <c r="Y3198" s="64" t="str">
        <f t="shared" ca="1" si="327"/>
        <v/>
      </c>
    </row>
    <row r="3199" spans="1:25">
      <c r="A3199" s="2">
        <f>+Get_Data!A3198</f>
        <v>44084</v>
      </c>
      <c r="B3199">
        <f>+ROUND(Get_Data!B3198,5)</f>
        <v>134.75998999999999</v>
      </c>
      <c r="C3199">
        <f>+ROUND(Get_Data!C3198,5)</f>
        <v>49.598509999999997</v>
      </c>
      <c r="D3199" s="4">
        <f t="shared" si="335"/>
        <v>2.7170200000000002</v>
      </c>
      <c r="E3199" s="22">
        <f t="shared" ca="1" si="313"/>
        <v>2.8900299999999999</v>
      </c>
      <c r="F3199" s="23">
        <f t="shared" ca="1" si="314"/>
        <v>2.7170200000000002</v>
      </c>
      <c r="G3199" s="10">
        <f t="shared" ca="1" si="315"/>
        <v>0</v>
      </c>
      <c r="H3199" s="12">
        <f t="shared" ca="1" si="316"/>
        <v>1</v>
      </c>
      <c r="I3199" s="11">
        <f t="shared" ca="1" si="317"/>
        <v>-1</v>
      </c>
      <c r="J3199" s="11">
        <f t="shared" ca="1" si="318"/>
        <v>0</v>
      </c>
      <c r="K3199" s="10">
        <f t="shared" ca="1" si="328"/>
        <v>138.75998999999999</v>
      </c>
      <c r="L3199" s="11">
        <f t="shared" ca="1" si="329"/>
        <v>-50.630159999999997</v>
      </c>
      <c r="M3199" s="11">
        <f t="shared" ca="1" si="330"/>
        <v>2.7406600000000001</v>
      </c>
      <c r="N3199" s="15">
        <f t="shared" ca="1" si="331"/>
        <v>10</v>
      </c>
      <c r="O3199" s="15">
        <f t="shared" ca="1" si="332"/>
        <v>27</v>
      </c>
      <c r="P3199" s="16">
        <f t="shared" ca="1" si="333"/>
        <v>20.585579999999936</v>
      </c>
      <c r="Q3199" s="11" t="str">
        <f t="shared" ca="1" si="319"/>
        <v/>
      </c>
      <c r="R3199" s="11" t="str">
        <f t="shared" ca="1" si="320"/>
        <v/>
      </c>
      <c r="S3199" s="61" t="str">
        <f t="shared" ca="1" si="321"/>
        <v/>
      </c>
      <c r="T3199" s="11" t="str">
        <f t="shared" ca="1" si="322"/>
        <v/>
      </c>
      <c r="U3199" s="11" t="str">
        <f t="shared" ca="1" si="323"/>
        <v/>
      </c>
      <c r="V3199" s="18" t="str">
        <f t="shared" ca="1" si="324"/>
        <v/>
      </c>
      <c r="W3199" s="61" t="str">
        <f t="shared" ca="1" si="325"/>
        <v/>
      </c>
      <c r="X3199" s="61">
        <f t="shared" ca="1" si="326"/>
        <v>0</v>
      </c>
      <c r="Y3199" s="64" t="str">
        <f t="shared" ca="1" si="327"/>
        <v/>
      </c>
    </row>
    <row r="3200" spans="1:25">
      <c r="A3200" s="2">
        <f>+Get_Data!A3199</f>
        <v>44085</v>
      </c>
      <c r="B3200">
        <f>+ROUND(Get_Data!B3199,5)</f>
        <v>135.81</v>
      </c>
      <c r="C3200">
        <f>+ROUND(Get_Data!C3199,5)</f>
        <v>50.65</v>
      </c>
      <c r="D3200" s="4">
        <f t="shared" si="335"/>
        <v>2.6813400000000001</v>
      </c>
      <c r="E3200" s="22">
        <f t="shared" ca="1" si="313"/>
        <v>2.8900299999999999</v>
      </c>
      <c r="F3200" s="23">
        <f t="shared" ca="1" si="314"/>
        <v>2.6813400000000001</v>
      </c>
      <c r="G3200" s="10">
        <f t="shared" ca="1" si="315"/>
        <v>0</v>
      </c>
      <c r="H3200" s="12">
        <f t="shared" ca="1" si="316"/>
        <v>1</v>
      </c>
      <c r="I3200" s="11">
        <f t="shared" ca="1" si="317"/>
        <v>-1</v>
      </c>
      <c r="J3200" s="11">
        <f t="shared" ca="1" si="318"/>
        <v>-1</v>
      </c>
      <c r="K3200" s="10" t="str">
        <f t="shared" ca="1" si="328"/>
        <v/>
      </c>
      <c r="L3200" s="11" t="str">
        <f t="shared" ca="1" si="329"/>
        <v/>
      </c>
      <c r="M3200" s="11" t="str">
        <f t="shared" ca="1" si="330"/>
        <v/>
      </c>
      <c r="N3200" s="15" t="str">
        <f t="shared" ca="1" si="331"/>
        <v/>
      </c>
      <c r="O3200" s="15" t="str">
        <f t="shared" ca="1" si="332"/>
        <v/>
      </c>
      <c r="P3200" s="16" t="str">
        <f t="shared" ca="1" si="333"/>
        <v/>
      </c>
      <c r="Q3200" s="11">
        <f t="shared" ca="1" si="319"/>
        <v>135.81</v>
      </c>
      <c r="R3200" s="11">
        <f t="shared" ca="1" si="320"/>
        <v>50.65</v>
      </c>
      <c r="S3200" s="61">
        <f t="shared" ca="1" si="321"/>
        <v>2.6813400000000001</v>
      </c>
      <c r="T3200" s="11">
        <f t="shared" ca="1" si="322"/>
        <v>10</v>
      </c>
      <c r="U3200" s="11">
        <f t="shared" ca="1" si="323"/>
        <v>27</v>
      </c>
      <c r="V3200" s="18">
        <f t="shared" ca="1" si="324"/>
        <v>29.499899999999855</v>
      </c>
      <c r="W3200" s="61">
        <f t="shared" ca="1" si="325"/>
        <v>0.53568000000005611</v>
      </c>
      <c r="X3200" s="61">
        <f t="shared" ca="1" si="326"/>
        <v>30.035579999999911</v>
      </c>
      <c r="Y3200" s="64">
        <f t="shared" ca="1" si="327"/>
        <v>2.1963058023472568E-2</v>
      </c>
    </row>
    <row r="3201" spans="1:25">
      <c r="A3201" s="2">
        <f>+Get_Data!A3200</f>
        <v>44088</v>
      </c>
      <c r="B3201">
        <f>+ROUND(Get_Data!B3200,5)</f>
        <v>136.66999999999999</v>
      </c>
      <c r="C3201">
        <f>+ROUND(Get_Data!C3200,5)</f>
        <v>50.71</v>
      </c>
      <c r="D3201" s="4">
        <f t="shared" si="335"/>
        <v>2.6951299999999998</v>
      </c>
      <c r="E3201" s="22">
        <f t="shared" ca="1" si="313"/>
        <v>2.8900299999999999</v>
      </c>
      <c r="F3201" s="23">
        <f t="shared" ca="1" si="314"/>
        <v>2.6813400000000001</v>
      </c>
      <c r="G3201" s="10">
        <f t="shared" ca="1" si="315"/>
        <v>0</v>
      </c>
      <c r="H3201" s="12">
        <f t="shared" ca="1" si="316"/>
        <v>0</v>
      </c>
      <c r="I3201" s="11">
        <f t="shared" ca="1" si="317"/>
        <v>0</v>
      </c>
      <c r="J3201" s="11">
        <f t="shared" ca="1" si="318"/>
        <v>-1</v>
      </c>
      <c r="K3201" s="10">
        <f t="shared" ca="1" si="328"/>
        <v>136.66999999999999</v>
      </c>
      <c r="L3201" s="11">
        <f t="shared" ca="1" si="329"/>
        <v>-50.71</v>
      </c>
      <c r="M3201" s="11">
        <f t="shared" ca="1" si="330"/>
        <v>2.6951299999999998</v>
      </c>
      <c r="N3201" s="15">
        <f t="shared" ca="1" si="331"/>
        <v>10</v>
      </c>
      <c r="O3201" s="15">
        <f t="shared" ca="1" si="332"/>
        <v>27</v>
      </c>
      <c r="P3201" s="16">
        <f t="shared" ca="1" si="333"/>
        <v>-2.4700000000002547</v>
      </c>
      <c r="Q3201" s="11" t="str">
        <f t="shared" ca="1" si="319"/>
        <v/>
      </c>
      <c r="R3201" s="11" t="str">
        <f t="shared" ca="1" si="320"/>
        <v/>
      </c>
      <c r="S3201" s="61" t="str">
        <f t="shared" ca="1" si="321"/>
        <v/>
      </c>
      <c r="T3201" s="11" t="str">
        <f t="shared" ca="1" si="322"/>
        <v/>
      </c>
      <c r="U3201" s="11" t="str">
        <f t="shared" ca="1" si="323"/>
        <v/>
      </c>
      <c r="V3201" s="18" t="str">
        <f t="shared" ca="1" si="324"/>
        <v/>
      </c>
      <c r="W3201" s="61" t="str">
        <f t="shared" ca="1" si="325"/>
        <v/>
      </c>
      <c r="X3201" s="61">
        <f t="shared" ca="1" si="326"/>
        <v>0</v>
      </c>
      <c r="Y3201" s="64" t="str">
        <f t="shared" ca="1" si="327"/>
        <v/>
      </c>
    </row>
    <row r="3202" spans="1:25">
      <c r="A3202" s="2">
        <f>+Get_Data!A3201</f>
        <v>44089</v>
      </c>
      <c r="B3202">
        <f>+ROUND(Get_Data!B3201,5)</f>
        <v>135.62</v>
      </c>
      <c r="C3202">
        <f>+ROUND(Get_Data!C3201,5)</f>
        <v>51.05</v>
      </c>
      <c r="D3202" s="4">
        <f t="shared" si="335"/>
        <v>2.6566100000000001</v>
      </c>
      <c r="E3202" s="22">
        <f t="shared" ca="1" si="313"/>
        <v>2.8900299999999999</v>
      </c>
      <c r="F3202" s="23">
        <f t="shared" ca="1" si="314"/>
        <v>2.6566100000000001</v>
      </c>
      <c r="G3202" s="10">
        <f t="shared" ca="1" si="315"/>
        <v>0</v>
      </c>
      <c r="H3202" s="12">
        <f t="shared" ca="1" si="316"/>
        <v>1</v>
      </c>
      <c r="I3202" s="11">
        <f t="shared" ca="1" si="317"/>
        <v>-1</v>
      </c>
      <c r="J3202" s="11">
        <f t="shared" ca="1" si="318"/>
        <v>-2</v>
      </c>
      <c r="K3202" s="10">
        <f t="shared" ca="1" si="328"/>
        <v>136.66999999999999</v>
      </c>
      <c r="L3202" s="11">
        <f t="shared" ca="1" si="329"/>
        <v>-50.71</v>
      </c>
      <c r="M3202" s="11">
        <f t="shared" ca="1" si="330"/>
        <v>2.6951299999999998</v>
      </c>
      <c r="N3202" s="15">
        <f t="shared" ca="1" si="331"/>
        <v>10</v>
      </c>
      <c r="O3202" s="15">
        <f t="shared" ca="1" si="332"/>
        <v>27</v>
      </c>
      <c r="P3202" s="16">
        <f t="shared" ca="1" si="333"/>
        <v>-2.4700000000002547</v>
      </c>
      <c r="Q3202" s="11" t="str">
        <f t="shared" ca="1" si="319"/>
        <v/>
      </c>
      <c r="R3202" s="11" t="str">
        <f t="shared" ca="1" si="320"/>
        <v/>
      </c>
      <c r="S3202" s="61" t="str">
        <f t="shared" ca="1" si="321"/>
        <v/>
      </c>
      <c r="T3202" s="11" t="str">
        <f t="shared" ca="1" si="322"/>
        <v/>
      </c>
      <c r="U3202" s="11" t="str">
        <f t="shared" ca="1" si="323"/>
        <v/>
      </c>
      <c r="V3202" s="18" t="str">
        <f t="shared" ca="1" si="324"/>
        <v/>
      </c>
      <c r="W3202" s="61" t="str">
        <f t="shared" ca="1" si="325"/>
        <v/>
      </c>
      <c r="X3202" s="61">
        <f t="shared" ca="1" si="326"/>
        <v>0</v>
      </c>
      <c r="Y3202" s="64" t="str">
        <f t="shared" ca="1" si="327"/>
        <v/>
      </c>
    </row>
    <row r="3203" spans="1:25">
      <c r="A3203" s="2">
        <f>+Get_Data!A3202</f>
        <v>44090</v>
      </c>
      <c r="B3203">
        <f>+ROUND(Get_Data!B3202,5)</f>
        <v>134.97999999999999</v>
      </c>
      <c r="C3203">
        <f>+ROUND(Get_Data!C3202,5)</f>
        <v>50.79</v>
      </c>
      <c r="D3203" s="4">
        <f t="shared" si="335"/>
        <v>2.65761</v>
      </c>
      <c r="E3203" s="22">
        <f t="shared" ca="1" si="313"/>
        <v>2.8900299999999999</v>
      </c>
      <c r="F3203" s="23">
        <f t="shared" ca="1" si="314"/>
        <v>2.6566100000000001</v>
      </c>
      <c r="G3203" s="10">
        <f t="shared" ca="1" si="315"/>
        <v>0</v>
      </c>
      <c r="H3203" s="12">
        <f t="shared" ca="1" si="316"/>
        <v>0</v>
      </c>
      <c r="I3203" s="11">
        <f t="shared" ca="1" si="317"/>
        <v>0</v>
      </c>
      <c r="J3203" s="11">
        <f t="shared" ca="1" si="318"/>
        <v>-2</v>
      </c>
      <c r="K3203" s="10">
        <f t="shared" ca="1" si="328"/>
        <v>136.66999999999999</v>
      </c>
      <c r="L3203" s="11">
        <f t="shared" ca="1" si="329"/>
        <v>-50.71</v>
      </c>
      <c r="M3203" s="11">
        <f t="shared" ca="1" si="330"/>
        <v>2.6951299999999998</v>
      </c>
      <c r="N3203" s="15">
        <f t="shared" ca="1" si="331"/>
        <v>10</v>
      </c>
      <c r="O3203" s="15">
        <f t="shared" ca="1" si="332"/>
        <v>27</v>
      </c>
      <c r="P3203" s="16">
        <f t="shared" ca="1" si="333"/>
        <v>-2.4700000000002547</v>
      </c>
      <c r="Q3203" s="11" t="str">
        <f t="shared" ca="1" si="319"/>
        <v/>
      </c>
      <c r="R3203" s="11" t="str">
        <f t="shared" ca="1" si="320"/>
        <v/>
      </c>
      <c r="S3203" s="61" t="str">
        <f t="shared" ca="1" si="321"/>
        <v/>
      </c>
      <c r="T3203" s="11" t="str">
        <f t="shared" ca="1" si="322"/>
        <v/>
      </c>
      <c r="U3203" s="11" t="str">
        <f t="shared" ca="1" si="323"/>
        <v/>
      </c>
      <c r="V3203" s="18" t="str">
        <f t="shared" ca="1" si="324"/>
        <v/>
      </c>
      <c r="W3203" s="61" t="str">
        <f t="shared" ca="1" si="325"/>
        <v/>
      </c>
      <c r="X3203" s="61">
        <f t="shared" ca="1" si="326"/>
        <v>0</v>
      </c>
      <c r="Y3203" s="64" t="str">
        <f t="shared" ca="1" si="327"/>
        <v/>
      </c>
    </row>
    <row r="3204" spans="1:25">
      <c r="A3204" s="2">
        <f>+Get_Data!A3203</f>
        <v>44091</v>
      </c>
      <c r="B3204">
        <f>+ROUND(Get_Data!B3203,5)</f>
        <v>133.19999999999999</v>
      </c>
      <c r="C3204">
        <f>+ROUND(Get_Data!C3203,5)</f>
        <v>50.55</v>
      </c>
      <c r="D3204" s="4">
        <f t="shared" si="335"/>
        <v>2.6350099999999999</v>
      </c>
      <c r="E3204" s="22">
        <f t="shared" ca="1" si="313"/>
        <v>2.8900299999999999</v>
      </c>
      <c r="F3204" s="23">
        <f t="shared" ca="1" si="314"/>
        <v>2.6350099999999999</v>
      </c>
      <c r="G3204" s="10">
        <f t="shared" ca="1" si="315"/>
        <v>0</v>
      </c>
      <c r="H3204" s="12">
        <f t="shared" ca="1" si="316"/>
        <v>1</v>
      </c>
      <c r="I3204" s="11">
        <f t="shared" ca="1" si="317"/>
        <v>-1</v>
      </c>
      <c r="J3204" s="11">
        <f t="shared" ca="1" si="318"/>
        <v>0</v>
      </c>
      <c r="K3204" s="10">
        <f t="shared" ca="1" si="328"/>
        <v>136.66999999999999</v>
      </c>
      <c r="L3204" s="11">
        <f t="shared" ca="1" si="329"/>
        <v>-50.71</v>
      </c>
      <c r="M3204" s="11">
        <f t="shared" ca="1" si="330"/>
        <v>2.6951299999999998</v>
      </c>
      <c r="N3204" s="15">
        <f t="shared" ca="1" si="331"/>
        <v>10</v>
      </c>
      <c r="O3204" s="15">
        <f t="shared" ca="1" si="332"/>
        <v>27</v>
      </c>
      <c r="P3204" s="16">
        <f t="shared" ca="1" si="333"/>
        <v>-2.4700000000002547</v>
      </c>
      <c r="Q3204" s="11" t="str">
        <f t="shared" ca="1" si="319"/>
        <v/>
      </c>
      <c r="R3204" s="11" t="str">
        <f t="shared" ca="1" si="320"/>
        <v/>
      </c>
      <c r="S3204" s="61" t="str">
        <f t="shared" ca="1" si="321"/>
        <v/>
      </c>
      <c r="T3204" s="11" t="str">
        <f t="shared" ca="1" si="322"/>
        <v/>
      </c>
      <c r="U3204" s="11" t="str">
        <f t="shared" ca="1" si="323"/>
        <v/>
      </c>
      <c r="V3204" s="18" t="str">
        <f t="shared" ca="1" si="324"/>
        <v/>
      </c>
      <c r="W3204" s="61" t="str">
        <f t="shared" ca="1" si="325"/>
        <v/>
      </c>
      <c r="X3204" s="61">
        <f t="shared" ca="1" si="326"/>
        <v>0</v>
      </c>
      <c r="Y3204" s="64" t="str">
        <f t="shared" ca="1" si="327"/>
        <v/>
      </c>
    </row>
    <row r="3205" spans="1:25">
      <c r="A3205" s="2">
        <f>+Get_Data!A3204</f>
        <v>44092</v>
      </c>
      <c r="B3205">
        <f>+ROUND(Get_Data!B3204,5)</f>
        <v>131.47</v>
      </c>
      <c r="C3205">
        <f>+ROUND(Get_Data!C3204,5)</f>
        <v>50.45</v>
      </c>
      <c r="D3205" s="4">
        <f t="shared" si="335"/>
        <v>2.60595</v>
      </c>
      <c r="E3205" s="22">
        <f t="shared" ref="E3205:E3268" ca="1" si="336">+MAX(OFFSET(D3205,-$G$2+1,,$G$2))</f>
        <v>2.8900299999999999</v>
      </c>
      <c r="F3205" s="23">
        <f t="shared" ref="F3205:F3268" ca="1" si="337">+MIN(OFFSET(D3205,-$G$2+1,,$G$2))</f>
        <v>2.60595</v>
      </c>
      <c r="G3205" s="10">
        <f t="shared" ref="G3205:G3268" ca="1" si="338">+IF(E3205=D3205,1,0)</f>
        <v>0</v>
      </c>
      <c r="H3205" s="12">
        <f t="shared" ref="H3205:H3268" ca="1" si="339">+IF(F3205=D3205,1,0)</f>
        <v>1</v>
      </c>
      <c r="I3205" s="11">
        <f t="shared" ref="I3205:I3268" ca="1" si="340">+G3205-H3205</f>
        <v>-1</v>
      </c>
      <c r="J3205" s="11">
        <f t="shared" ca="1" si="318"/>
        <v>-1</v>
      </c>
      <c r="K3205" s="10" t="str">
        <f t="shared" ca="1" si="328"/>
        <v/>
      </c>
      <c r="L3205" s="11" t="str">
        <f t="shared" ca="1" si="329"/>
        <v/>
      </c>
      <c r="M3205" s="11" t="str">
        <f t="shared" ca="1" si="330"/>
        <v/>
      </c>
      <c r="N3205" s="15" t="str">
        <f t="shared" ca="1" si="331"/>
        <v/>
      </c>
      <c r="O3205" s="15" t="str">
        <f t="shared" ca="1" si="332"/>
        <v/>
      </c>
      <c r="P3205" s="16" t="str">
        <f t="shared" ca="1" si="333"/>
        <v/>
      </c>
      <c r="Q3205" s="11">
        <f t="shared" ca="1" si="319"/>
        <v>131.47</v>
      </c>
      <c r="R3205" s="11">
        <f t="shared" ca="1" si="320"/>
        <v>50.45</v>
      </c>
      <c r="S3205" s="61">
        <f t="shared" ca="1" si="321"/>
        <v>2.60595</v>
      </c>
      <c r="T3205" s="11">
        <f t="shared" ca="1" si="322"/>
        <v>10</v>
      </c>
      <c r="U3205" s="11">
        <f t="shared" ca="1" si="323"/>
        <v>27</v>
      </c>
      <c r="V3205" s="18">
        <f t="shared" ca="1" si="324"/>
        <v>51.999999999999886</v>
      </c>
      <c r="W3205" s="61">
        <f t="shared" ca="1" si="325"/>
        <v>-7.0199999999999463</v>
      </c>
      <c r="X3205" s="61">
        <f t="shared" ca="1" si="326"/>
        <v>44.97999999999994</v>
      </c>
      <c r="Y3205" s="64">
        <f t="shared" ca="1" si="327"/>
        <v>3.3021326579304726E-2</v>
      </c>
    </row>
    <row r="3206" spans="1:25">
      <c r="A3206" s="2">
        <f>+Get_Data!A3205</f>
        <v>44095</v>
      </c>
      <c r="B3206">
        <f>+ROUND(Get_Data!B3205,5)</f>
        <v>131.24001000000001</v>
      </c>
      <c r="C3206">
        <f>+ROUND(Get_Data!C3205,5)</f>
        <v>49.09</v>
      </c>
      <c r="D3206" s="4">
        <f t="shared" si="335"/>
        <v>2.6734599999999999</v>
      </c>
      <c r="E3206" s="22">
        <f t="shared" ca="1" si="336"/>
        <v>2.8900299999999999</v>
      </c>
      <c r="F3206" s="23">
        <f t="shared" ca="1" si="337"/>
        <v>2.60595</v>
      </c>
      <c r="G3206" s="10">
        <f t="shared" ca="1" si="338"/>
        <v>0</v>
      </c>
      <c r="H3206" s="12">
        <f t="shared" ca="1" si="339"/>
        <v>0</v>
      </c>
      <c r="I3206" s="11">
        <f t="shared" ca="1" si="340"/>
        <v>0</v>
      </c>
      <c r="J3206" s="11">
        <f t="shared" ref="J3206:J3269" ca="1" si="341">+IF(AND(ABS(J3205)=2,ABS(I3206)=1),0,J3205+I3206)</f>
        <v>-1</v>
      </c>
      <c r="K3206" s="10">
        <f t="shared" ca="1" si="328"/>
        <v>131.24001000000001</v>
      </c>
      <c r="L3206" s="11">
        <f t="shared" ca="1" si="329"/>
        <v>-49.09</v>
      </c>
      <c r="M3206" s="11">
        <f t="shared" ca="1" si="330"/>
        <v>2.6734599999999999</v>
      </c>
      <c r="N3206" s="15">
        <f t="shared" ca="1" si="331"/>
        <v>10</v>
      </c>
      <c r="O3206" s="15">
        <f t="shared" ca="1" si="332"/>
        <v>27</v>
      </c>
      <c r="P3206" s="16">
        <f t="shared" ca="1" si="333"/>
        <v>-13.029899999999998</v>
      </c>
      <c r="Q3206" s="11" t="str">
        <f t="shared" ca="1" si="319"/>
        <v/>
      </c>
      <c r="R3206" s="11" t="str">
        <f t="shared" ca="1" si="320"/>
        <v/>
      </c>
      <c r="S3206" s="61" t="str">
        <f t="shared" ca="1" si="321"/>
        <v/>
      </c>
      <c r="T3206" s="11" t="str">
        <f t="shared" ca="1" si="322"/>
        <v/>
      </c>
      <c r="U3206" s="11" t="str">
        <f t="shared" ca="1" si="323"/>
        <v/>
      </c>
      <c r="V3206" s="18" t="str">
        <f t="shared" ca="1" si="324"/>
        <v/>
      </c>
      <c r="W3206" s="61" t="str">
        <f t="shared" ca="1" si="325"/>
        <v/>
      </c>
      <c r="X3206" s="61">
        <f t="shared" ca="1" si="326"/>
        <v>0</v>
      </c>
      <c r="Y3206" s="64" t="str">
        <f t="shared" ca="1" si="327"/>
        <v/>
      </c>
    </row>
    <row r="3207" spans="1:25">
      <c r="A3207" s="2">
        <f>+Get_Data!A3206</f>
        <v>44096</v>
      </c>
      <c r="B3207">
        <f>+ROUND(Get_Data!B3206,5)</f>
        <v>132.14999</v>
      </c>
      <c r="C3207">
        <f>+ROUND(Get_Data!C3206,5)</f>
        <v>49.66</v>
      </c>
      <c r="D3207" s="4">
        <f t="shared" si="335"/>
        <v>2.6610999999999998</v>
      </c>
      <c r="E3207" s="22">
        <f t="shared" ca="1" si="336"/>
        <v>2.8900299999999999</v>
      </c>
      <c r="F3207" s="23">
        <f t="shared" ca="1" si="337"/>
        <v>2.60595</v>
      </c>
      <c r="G3207" s="10">
        <f t="shared" ca="1" si="338"/>
        <v>0</v>
      </c>
      <c r="H3207" s="12">
        <f t="shared" ca="1" si="339"/>
        <v>0</v>
      </c>
      <c r="I3207" s="11">
        <f t="shared" ca="1" si="340"/>
        <v>0</v>
      </c>
      <c r="J3207" s="11">
        <f t="shared" ca="1" si="341"/>
        <v>-1</v>
      </c>
      <c r="K3207" s="10">
        <f t="shared" ca="1" si="328"/>
        <v>131.24001000000001</v>
      </c>
      <c r="L3207" s="11">
        <f t="shared" ca="1" si="329"/>
        <v>-49.09</v>
      </c>
      <c r="M3207" s="11">
        <f t="shared" ca="1" si="330"/>
        <v>2.6734599999999999</v>
      </c>
      <c r="N3207" s="15">
        <f t="shared" ca="1" si="331"/>
        <v>10</v>
      </c>
      <c r="O3207" s="15">
        <f t="shared" ca="1" si="332"/>
        <v>27</v>
      </c>
      <c r="P3207" s="16">
        <f t="shared" ca="1" si="333"/>
        <v>-13.029899999999998</v>
      </c>
      <c r="Q3207" s="11" t="str">
        <f t="shared" ca="1" si="319"/>
        <v/>
      </c>
      <c r="R3207" s="11" t="str">
        <f t="shared" ca="1" si="320"/>
        <v/>
      </c>
      <c r="S3207" s="61" t="str">
        <f t="shared" ca="1" si="321"/>
        <v/>
      </c>
      <c r="T3207" s="11" t="str">
        <f t="shared" ca="1" si="322"/>
        <v/>
      </c>
      <c r="U3207" s="11" t="str">
        <f t="shared" ca="1" si="323"/>
        <v/>
      </c>
      <c r="V3207" s="18" t="str">
        <f t="shared" ca="1" si="324"/>
        <v/>
      </c>
      <c r="W3207" s="61" t="str">
        <f t="shared" ca="1" si="325"/>
        <v/>
      </c>
      <c r="X3207" s="61">
        <f t="shared" ca="1" si="326"/>
        <v>0</v>
      </c>
      <c r="Y3207" s="64" t="str">
        <f t="shared" ca="1" si="327"/>
        <v/>
      </c>
    </row>
    <row r="3208" spans="1:25">
      <c r="A3208" s="2">
        <f>+Get_Data!A3207</f>
        <v>44097</v>
      </c>
      <c r="B3208">
        <f>+ROUND(Get_Data!B3207,5)</f>
        <v>131</v>
      </c>
      <c r="C3208">
        <f>+ROUND(Get_Data!C3207,5)</f>
        <v>48.21</v>
      </c>
      <c r="D3208" s="4">
        <f t="shared" si="335"/>
        <v>2.7172800000000001</v>
      </c>
      <c r="E3208" s="22">
        <f t="shared" ca="1" si="336"/>
        <v>2.8900299999999999</v>
      </c>
      <c r="F3208" s="23">
        <f t="shared" ca="1" si="337"/>
        <v>2.60595</v>
      </c>
      <c r="G3208" s="10">
        <f t="shared" ca="1" si="338"/>
        <v>0</v>
      </c>
      <c r="H3208" s="12">
        <f t="shared" ca="1" si="339"/>
        <v>0</v>
      </c>
      <c r="I3208" s="11">
        <f t="shared" ca="1" si="340"/>
        <v>0</v>
      </c>
      <c r="J3208" s="11">
        <f t="shared" ca="1" si="341"/>
        <v>-1</v>
      </c>
      <c r="K3208" s="10">
        <f t="shared" ca="1" si="328"/>
        <v>131.24001000000001</v>
      </c>
      <c r="L3208" s="11">
        <f t="shared" ca="1" si="329"/>
        <v>-49.09</v>
      </c>
      <c r="M3208" s="11">
        <f t="shared" ca="1" si="330"/>
        <v>2.6734599999999999</v>
      </c>
      <c r="N3208" s="15">
        <f t="shared" ca="1" si="331"/>
        <v>10</v>
      </c>
      <c r="O3208" s="15">
        <f t="shared" ca="1" si="332"/>
        <v>27</v>
      </c>
      <c r="P3208" s="16">
        <f t="shared" ca="1" si="333"/>
        <v>-13.029899999999998</v>
      </c>
      <c r="Q3208" s="11" t="str">
        <f t="shared" ca="1" si="319"/>
        <v/>
      </c>
      <c r="R3208" s="11" t="str">
        <f t="shared" ca="1" si="320"/>
        <v/>
      </c>
      <c r="S3208" s="61" t="str">
        <f t="shared" ca="1" si="321"/>
        <v/>
      </c>
      <c r="T3208" s="11" t="str">
        <f t="shared" ca="1" si="322"/>
        <v/>
      </c>
      <c r="U3208" s="11" t="str">
        <f t="shared" ca="1" si="323"/>
        <v/>
      </c>
      <c r="V3208" s="18" t="str">
        <f t="shared" ca="1" si="324"/>
        <v/>
      </c>
      <c r="W3208" s="61" t="str">
        <f t="shared" ca="1" si="325"/>
        <v/>
      </c>
      <c r="X3208" s="61">
        <f t="shared" ca="1" si="326"/>
        <v>0</v>
      </c>
      <c r="Y3208" s="64" t="str">
        <f t="shared" ca="1" si="327"/>
        <v/>
      </c>
    </row>
    <row r="3209" spans="1:25">
      <c r="A3209" s="2">
        <f>+Get_Data!A3208</f>
        <v>44098</v>
      </c>
      <c r="B3209">
        <f>+ROUND(Get_Data!B3208,5)</f>
        <v>131.58000000000001</v>
      </c>
      <c r="C3209">
        <f>+ROUND(Get_Data!C3208,5)</f>
        <v>48.7</v>
      </c>
      <c r="D3209" s="4">
        <f t="shared" si="335"/>
        <v>2.7018499999999999</v>
      </c>
      <c r="E3209" s="22">
        <f t="shared" ca="1" si="336"/>
        <v>2.8900299999999999</v>
      </c>
      <c r="F3209" s="23">
        <f t="shared" ca="1" si="337"/>
        <v>2.60595</v>
      </c>
      <c r="G3209" s="10">
        <f t="shared" ca="1" si="338"/>
        <v>0</v>
      </c>
      <c r="H3209" s="12">
        <f t="shared" ca="1" si="339"/>
        <v>0</v>
      </c>
      <c r="I3209" s="11">
        <f t="shared" ca="1" si="340"/>
        <v>0</v>
      </c>
      <c r="J3209" s="11">
        <f t="shared" ca="1" si="341"/>
        <v>-1</v>
      </c>
      <c r="K3209" s="10">
        <f t="shared" ca="1" si="328"/>
        <v>131.24001000000001</v>
      </c>
      <c r="L3209" s="11">
        <f t="shared" ca="1" si="329"/>
        <v>-49.09</v>
      </c>
      <c r="M3209" s="11">
        <f t="shared" ca="1" si="330"/>
        <v>2.6734599999999999</v>
      </c>
      <c r="N3209" s="15">
        <f t="shared" ca="1" si="331"/>
        <v>10</v>
      </c>
      <c r="O3209" s="15">
        <f t="shared" ca="1" si="332"/>
        <v>27</v>
      </c>
      <c r="P3209" s="16">
        <f t="shared" ca="1" si="333"/>
        <v>-13.029899999999998</v>
      </c>
      <c r="Q3209" s="11" t="str">
        <f t="shared" ca="1" si="319"/>
        <v/>
      </c>
      <c r="R3209" s="11" t="str">
        <f t="shared" ca="1" si="320"/>
        <v/>
      </c>
      <c r="S3209" s="61" t="str">
        <f t="shared" ca="1" si="321"/>
        <v/>
      </c>
      <c r="T3209" s="11" t="str">
        <f t="shared" ca="1" si="322"/>
        <v/>
      </c>
      <c r="U3209" s="11" t="str">
        <f t="shared" ca="1" si="323"/>
        <v/>
      </c>
      <c r="V3209" s="18" t="str">
        <f t="shared" ca="1" si="324"/>
        <v/>
      </c>
      <c r="W3209" s="61" t="str">
        <f t="shared" ca="1" si="325"/>
        <v/>
      </c>
      <c r="X3209" s="61">
        <f t="shared" ca="1" si="326"/>
        <v>0</v>
      </c>
      <c r="Y3209" s="64" t="str">
        <f t="shared" ca="1" si="327"/>
        <v/>
      </c>
    </row>
    <row r="3210" spans="1:25">
      <c r="A3210" s="2">
        <f>+Get_Data!A3209</f>
        <v>44099</v>
      </c>
      <c r="B3210">
        <f>+ROUND(Get_Data!B3209,5)</f>
        <v>133.55000000000001</v>
      </c>
      <c r="C3210">
        <f>+ROUND(Get_Data!C3209,5)</f>
        <v>48.72</v>
      </c>
      <c r="D3210" s="4">
        <f t="shared" si="335"/>
        <v>2.7411699999999999</v>
      </c>
      <c r="E3210" s="22">
        <f t="shared" ca="1" si="336"/>
        <v>2.8887999999999998</v>
      </c>
      <c r="F3210" s="23">
        <f t="shared" ca="1" si="337"/>
        <v>2.60595</v>
      </c>
      <c r="G3210" s="10">
        <f t="shared" ca="1" si="338"/>
        <v>0</v>
      </c>
      <c r="H3210" s="12">
        <f t="shared" ca="1" si="339"/>
        <v>0</v>
      </c>
      <c r="I3210" s="11">
        <f t="shared" ca="1" si="340"/>
        <v>0</v>
      </c>
      <c r="J3210" s="11">
        <f t="shared" ca="1" si="341"/>
        <v>-1</v>
      </c>
      <c r="K3210" s="10">
        <f t="shared" ca="1" si="328"/>
        <v>131.24001000000001</v>
      </c>
      <c r="L3210" s="11">
        <f t="shared" ca="1" si="329"/>
        <v>-49.09</v>
      </c>
      <c r="M3210" s="11">
        <f t="shared" ca="1" si="330"/>
        <v>2.6734599999999999</v>
      </c>
      <c r="N3210" s="15">
        <f t="shared" ca="1" si="331"/>
        <v>10</v>
      </c>
      <c r="O3210" s="15">
        <f t="shared" ca="1" si="332"/>
        <v>27</v>
      </c>
      <c r="P3210" s="16">
        <f t="shared" ca="1" si="333"/>
        <v>-13.029899999999998</v>
      </c>
      <c r="Q3210" s="11" t="str">
        <f t="shared" ca="1" si="319"/>
        <v/>
      </c>
      <c r="R3210" s="11" t="str">
        <f t="shared" ca="1" si="320"/>
        <v/>
      </c>
      <c r="S3210" s="61" t="str">
        <f t="shared" ca="1" si="321"/>
        <v/>
      </c>
      <c r="T3210" s="11" t="str">
        <f t="shared" ca="1" si="322"/>
        <v/>
      </c>
      <c r="U3210" s="11" t="str">
        <f t="shared" ca="1" si="323"/>
        <v/>
      </c>
      <c r="V3210" s="18" t="str">
        <f t="shared" ca="1" si="324"/>
        <v/>
      </c>
      <c r="W3210" s="61" t="str">
        <f t="shared" ca="1" si="325"/>
        <v/>
      </c>
      <c r="X3210" s="61">
        <f t="shared" ca="1" si="326"/>
        <v>0</v>
      </c>
      <c r="Y3210" s="64" t="str">
        <f t="shared" ca="1" si="327"/>
        <v/>
      </c>
    </row>
    <row r="3211" spans="1:25">
      <c r="A3211" s="2">
        <f>+Get_Data!A3210</f>
        <v>44102</v>
      </c>
      <c r="B3211">
        <f>+ROUND(Get_Data!B3210,5)</f>
        <v>137.97</v>
      </c>
      <c r="C3211">
        <f>+ROUND(Get_Data!C3210,5)</f>
        <v>49.28</v>
      </c>
      <c r="D3211" s="4">
        <f t="shared" si="335"/>
        <v>2.7997200000000002</v>
      </c>
      <c r="E3211" s="22">
        <f t="shared" ca="1" si="336"/>
        <v>2.8777900000000001</v>
      </c>
      <c r="F3211" s="23">
        <f t="shared" ca="1" si="337"/>
        <v>2.60595</v>
      </c>
      <c r="G3211" s="10">
        <f t="shared" ca="1" si="338"/>
        <v>0</v>
      </c>
      <c r="H3211" s="12">
        <f t="shared" ca="1" si="339"/>
        <v>0</v>
      </c>
      <c r="I3211" s="11">
        <f t="shared" ca="1" si="340"/>
        <v>0</v>
      </c>
      <c r="J3211" s="11">
        <f t="shared" ca="1" si="341"/>
        <v>-1</v>
      </c>
      <c r="K3211" s="10">
        <f t="shared" ca="1" si="328"/>
        <v>131.24001000000001</v>
      </c>
      <c r="L3211" s="11">
        <f t="shared" ca="1" si="329"/>
        <v>-49.09</v>
      </c>
      <c r="M3211" s="11">
        <f t="shared" ca="1" si="330"/>
        <v>2.6734599999999999</v>
      </c>
      <c r="N3211" s="15">
        <f t="shared" ca="1" si="331"/>
        <v>10</v>
      </c>
      <c r="O3211" s="15">
        <f t="shared" ca="1" si="332"/>
        <v>27</v>
      </c>
      <c r="P3211" s="16">
        <f t="shared" ca="1" si="333"/>
        <v>-13.029899999999998</v>
      </c>
      <c r="Q3211" s="11" t="str">
        <f t="shared" ca="1" si="319"/>
        <v/>
      </c>
      <c r="R3211" s="11" t="str">
        <f t="shared" ca="1" si="320"/>
        <v/>
      </c>
      <c r="S3211" s="61" t="str">
        <f t="shared" ca="1" si="321"/>
        <v/>
      </c>
      <c r="T3211" s="11" t="str">
        <f t="shared" ca="1" si="322"/>
        <v/>
      </c>
      <c r="U3211" s="11" t="str">
        <f t="shared" ca="1" si="323"/>
        <v/>
      </c>
      <c r="V3211" s="18" t="str">
        <f t="shared" ca="1" si="324"/>
        <v/>
      </c>
      <c r="W3211" s="61" t="str">
        <f t="shared" ca="1" si="325"/>
        <v/>
      </c>
      <c r="X3211" s="61">
        <f t="shared" ca="1" si="326"/>
        <v>0</v>
      </c>
      <c r="Y3211" s="64" t="str">
        <f t="shared" ca="1" si="327"/>
        <v/>
      </c>
    </row>
    <row r="3212" spans="1:25">
      <c r="A3212" s="2">
        <f>+Get_Data!A3211</f>
        <v>44103</v>
      </c>
      <c r="B3212">
        <f>+ROUND(Get_Data!B3211,5)</f>
        <v>137.16</v>
      </c>
      <c r="C3212">
        <f>+ROUND(Get_Data!C3211,5)</f>
        <v>48.92</v>
      </c>
      <c r="D3212" s="4">
        <f t="shared" si="335"/>
        <v>2.80376</v>
      </c>
      <c r="E3212" s="22">
        <f t="shared" ca="1" si="336"/>
        <v>2.8777900000000001</v>
      </c>
      <c r="F3212" s="23">
        <f t="shared" ca="1" si="337"/>
        <v>2.60595</v>
      </c>
      <c r="G3212" s="10">
        <f t="shared" ca="1" si="338"/>
        <v>0</v>
      </c>
      <c r="H3212" s="12">
        <f t="shared" ca="1" si="339"/>
        <v>0</v>
      </c>
      <c r="I3212" s="11">
        <f t="shared" ca="1" si="340"/>
        <v>0</v>
      </c>
      <c r="J3212" s="11">
        <f t="shared" ca="1" si="341"/>
        <v>-1</v>
      </c>
      <c r="K3212" s="10">
        <f t="shared" ca="1" si="328"/>
        <v>131.24001000000001</v>
      </c>
      <c r="L3212" s="11">
        <f t="shared" ca="1" si="329"/>
        <v>-49.09</v>
      </c>
      <c r="M3212" s="11">
        <f t="shared" ca="1" si="330"/>
        <v>2.6734599999999999</v>
      </c>
      <c r="N3212" s="15">
        <f t="shared" ca="1" si="331"/>
        <v>10</v>
      </c>
      <c r="O3212" s="15">
        <f t="shared" ca="1" si="332"/>
        <v>27</v>
      </c>
      <c r="P3212" s="16">
        <f t="shared" ca="1" si="333"/>
        <v>-13.029899999999998</v>
      </c>
      <c r="Q3212" s="11" t="str">
        <f t="shared" ca="1" si="319"/>
        <v/>
      </c>
      <c r="R3212" s="11" t="str">
        <f t="shared" ca="1" si="320"/>
        <v/>
      </c>
      <c r="S3212" s="61" t="str">
        <f t="shared" ca="1" si="321"/>
        <v/>
      </c>
      <c r="T3212" s="11" t="str">
        <f t="shared" ca="1" si="322"/>
        <v/>
      </c>
      <c r="U3212" s="11" t="str">
        <f t="shared" ca="1" si="323"/>
        <v/>
      </c>
      <c r="V3212" s="18" t="str">
        <f t="shared" ca="1" si="324"/>
        <v/>
      </c>
      <c r="W3212" s="61" t="str">
        <f t="shared" ca="1" si="325"/>
        <v/>
      </c>
      <c r="X3212" s="61">
        <f t="shared" ca="1" si="326"/>
        <v>0</v>
      </c>
      <c r="Y3212" s="64" t="str">
        <f t="shared" ca="1" si="327"/>
        <v/>
      </c>
    </row>
    <row r="3213" spans="1:25">
      <c r="A3213" s="2">
        <f>+Get_Data!A3212</f>
        <v>44104</v>
      </c>
      <c r="B3213">
        <f>+ROUND(Get_Data!B3212,5)</f>
        <v>138.60001</v>
      </c>
      <c r="C3213">
        <f>+ROUND(Get_Data!C3212,5)</f>
        <v>49.37</v>
      </c>
      <c r="D3213" s="4">
        <f t="shared" si="335"/>
        <v>2.8073700000000001</v>
      </c>
      <c r="E3213" s="22">
        <f t="shared" ca="1" si="336"/>
        <v>2.8777900000000001</v>
      </c>
      <c r="F3213" s="23">
        <f t="shared" ca="1" si="337"/>
        <v>2.60595</v>
      </c>
      <c r="G3213" s="10">
        <f t="shared" ca="1" si="338"/>
        <v>0</v>
      </c>
      <c r="H3213" s="12">
        <f t="shared" ca="1" si="339"/>
        <v>0</v>
      </c>
      <c r="I3213" s="11">
        <f t="shared" ca="1" si="340"/>
        <v>0</v>
      </c>
      <c r="J3213" s="11">
        <f t="shared" ca="1" si="341"/>
        <v>-1</v>
      </c>
      <c r="K3213" s="10">
        <f t="shared" ca="1" si="328"/>
        <v>131.24001000000001</v>
      </c>
      <c r="L3213" s="11">
        <f t="shared" ca="1" si="329"/>
        <v>-49.09</v>
      </c>
      <c r="M3213" s="11">
        <f t="shared" ca="1" si="330"/>
        <v>2.6734599999999999</v>
      </c>
      <c r="N3213" s="15">
        <f t="shared" ca="1" si="331"/>
        <v>10</v>
      </c>
      <c r="O3213" s="15">
        <f t="shared" ca="1" si="332"/>
        <v>27</v>
      </c>
      <c r="P3213" s="16">
        <f t="shared" ca="1" si="333"/>
        <v>-13.029899999999998</v>
      </c>
      <c r="Q3213" s="11" t="str">
        <f t="shared" ca="1" si="319"/>
        <v/>
      </c>
      <c r="R3213" s="11" t="str">
        <f t="shared" ca="1" si="320"/>
        <v/>
      </c>
      <c r="S3213" s="61" t="str">
        <f t="shared" ca="1" si="321"/>
        <v/>
      </c>
      <c r="T3213" s="11" t="str">
        <f t="shared" ca="1" si="322"/>
        <v/>
      </c>
      <c r="U3213" s="11" t="str">
        <f t="shared" ca="1" si="323"/>
        <v/>
      </c>
      <c r="V3213" s="18" t="str">
        <f t="shared" ca="1" si="324"/>
        <v/>
      </c>
      <c r="W3213" s="61" t="str">
        <f t="shared" ca="1" si="325"/>
        <v/>
      </c>
      <c r="X3213" s="61">
        <f t="shared" ca="1" si="326"/>
        <v>0</v>
      </c>
      <c r="Y3213" s="64" t="str">
        <f t="shared" ca="1" si="327"/>
        <v/>
      </c>
    </row>
    <row r="3214" spans="1:25">
      <c r="A3214" s="2">
        <f>+Get_Data!A3213</f>
        <v>44105</v>
      </c>
      <c r="B3214">
        <f>+ROUND(Get_Data!B3213,5)</f>
        <v>140.80000000000001</v>
      </c>
      <c r="C3214">
        <f>+ROUND(Get_Data!C3213,5)</f>
        <v>49.18</v>
      </c>
      <c r="D3214" s="4">
        <f t="shared" si="335"/>
        <v>2.8629500000000001</v>
      </c>
      <c r="E3214" s="22">
        <f t="shared" ca="1" si="336"/>
        <v>2.87216</v>
      </c>
      <c r="F3214" s="23">
        <f t="shared" ca="1" si="337"/>
        <v>2.60595</v>
      </c>
      <c r="G3214" s="10">
        <f t="shared" ca="1" si="338"/>
        <v>0</v>
      </c>
      <c r="H3214" s="12">
        <f t="shared" ca="1" si="339"/>
        <v>0</v>
      </c>
      <c r="I3214" s="11">
        <f t="shared" ca="1" si="340"/>
        <v>0</v>
      </c>
      <c r="J3214" s="11">
        <f t="shared" ca="1" si="341"/>
        <v>-1</v>
      </c>
      <c r="K3214" s="10">
        <f t="shared" ca="1" si="328"/>
        <v>131.24001000000001</v>
      </c>
      <c r="L3214" s="11">
        <f t="shared" ca="1" si="329"/>
        <v>-49.09</v>
      </c>
      <c r="M3214" s="11">
        <f t="shared" ca="1" si="330"/>
        <v>2.6734599999999999</v>
      </c>
      <c r="N3214" s="15">
        <f t="shared" ca="1" si="331"/>
        <v>10</v>
      </c>
      <c r="O3214" s="15">
        <f t="shared" ca="1" si="332"/>
        <v>27</v>
      </c>
      <c r="P3214" s="16">
        <f t="shared" ca="1" si="333"/>
        <v>-13.029899999999998</v>
      </c>
      <c r="Q3214" s="11" t="str">
        <f t="shared" ca="1" si="319"/>
        <v/>
      </c>
      <c r="R3214" s="11" t="str">
        <f t="shared" ca="1" si="320"/>
        <v/>
      </c>
      <c r="S3214" s="61" t="str">
        <f t="shared" ca="1" si="321"/>
        <v/>
      </c>
      <c r="T3214" s="11" t="str">
        <f t="shared" ca="1" si="322"/>
        <v/>
      </c>
      <c r="U3214" s="11" t="str">
        <f t="shared" ca="1" si="323"/>
        <v/>
      </c>
      <c r="V3214" s="18" t="str">
        <f t="shared" ca="1" si="324"/>
        <v/>
      </c>
      <c r="W3214" s="61" t="str">
        <f t="shared" ca="1" si="325"/>
        <v/>
      </c>
      <c r="X3214" s="61">
        <f t="shared" ca="1" si="326"/>
        <v>0</v>
      </c>
      <c r="Y3214" s="64" t="str">
        <f t="shared" ca="1" si="327"/>
        <v/>
      </c>
    </row>
    <row r="3215" spans="1:25">
      <c r="A3215" s="2">
        <f>+Get_Data!A3214</f>
        <v>44106</v>
      </c>
      <c r="B3215">
        <f>+ROUND(Get_Data!B3214,5)</f>
        <v>138.06</v>
      </c>
      <c r="C3215">
        <f>+ROUND(Get_Data!C3214,5)</f>
        <v>49.36</v>
      </c>
      <c r="D3215" s="4">
        <f t="shared" si="335"/>
        <v>2.7970000000000002</v>
      </c>
      <c r="E3215" s="22">
        <f t="shared" ca="1" si="336"/>
        <v>2.8629500000000001</v>
      </c>
      <c r="F3215" s="23">
        <f t="shared" ca="1" si="337"/>
        <v>2.60595</v>
      </c>
      <c r="G3215" s="10">
        <f t="shared" ca="1" si="338"/>
        <v>0</v>
      </c>
      <c r="H3215" s="12">
        <f t="shared" ca="1" si="339"/>
        <v>0</v>
      </c>
      <c r="I3215" s="11">
        <f t="shared" ca="1" si="340"/>
        <v>0</v>
      </c>
      <c r="J3215" s="11">
        <f t="shared" ca="1" si="341"/>
        <v>-1</v>
      </c>
      <c r="K3215" s="10">
        <f t="shared" ca="1" si="328"/>
        <v>131.24001000000001</v>
      </c>
      <c r="L3215" s="11">
        <f t="shared" ca="1" si="329"/>
        <v>-49.09</v>
      </c>
      <c r="M3215" s="11">
        <f t="shared" ca="1" si="330"/>
        <v>2.6734599999999999</v>
      </c>
      <c r="N3215" s="15">
        <f t="shared" ca="1" si="331"/>
        <v>10</v>
      </c>
      <c r="O3215" s="15">
        <f t="shared" ca="1" si="332"/>
        <v>27</v>
      </c>
      <c r="P3215" s="16">
        <f t="shared" ca="1" si="333"/>
        <v>-13.029899999999998</v>
      </c>
      <c r="Q3215" s="11" t="str">
        <f t="shared" ca="1" si="319"/>
        <v/>
      </c>
      <c r="R3215" s="11" t="str">
        <f t="shared" ca="1" si="320"/>
        <v/>
      </c>
      <c r="S3215" s="61" t="str">
        <f t="shared" ca="1" si="321"/>
        <v/>
      </c>
      <c r="T3215" s="11" t="str">
        <f t="shared" ca="1" si="322"/>
        <v/>
      </c>
      <c r="U3215" s="11" t="str">
        <f t="shared" ca="1" si="323"/>
        <v/>
      </c>
      <c r="V3215" s="18" t="str">
        <f t="shared" ca="1" si="324"/>
        <v/>
      </c>
      <c r="W3215" s="61" t="str">
        <f t="shared" ca="1" si="325"/>
        <v/>
      </c>
      <c r="X3215" s="61">
        <f t="shared" ca="1" si="326"/>
        <v>0</v>
      </c>
      <c r="Y3215" s="64" t="str">
        <f t="shared" ca="1" si="327"/>
        <v/>
      </c>
    </row>
    <row r="3216" spans="1:25">
      <c r="A3216" s="2">
        <f>+Get_Data!A3215</f>
        <v>44109</v>
      </c>
      <c r="B3216">
        <f>+ROUND(Get_Data!B3215,5)</f>
        <v>137.92999</v>
      </c>
      <c r="C3216">
        <f>+ROUND(Get_Data!C3215,5)</f>
        <v>49.38</v>
      </c>
      <c r="D3216" s="4">
        <f t="shared" si="335"/>
        <v>2.7932399999999999</v>
      </c>
      <c r="E3216" s="22">
        <f t="shared" ca="1" si="336"/>
        <v>2.8629500000000001</v>
      </c>
      <c r="F3216" s="23">
        <f t="shared" ca="1" si="337"/>
        <v>2.60595</v>
      </c>
      <c r="G3216" s="10">
        <f t="shared" ca="1" si="338"/>
        <v>0</v>
      </c>
      <c r="H3216" s="12">
        <f t="shared" ca="1" si="339"/>
        <v>0</v>
      </c>
      <c r="I3216" s="11">
        <f t="shared" ca="1" si="340"/>
        <v>0</v>
      </c>
      <c r="J3216" s="11">
        <f t="shared" ca="1" si="341"/>
        <v>-1</v>
      </c>
      <c r="K3216" s="10">
        <f t="shared" ca="1" si="328"/>
        <v>131.24001000000001</v>
      </c>
      <c r="L3216" s="11">
        <f t="shared" ca="1" si="329"/>
        <v>-49.09</v>
      </c>
      <c r="M3216" s="11">
        <f t="shared" ca="1" si="330"/>
        <v>2.6734599999999999</v>
      </c>
      <c r="N3216" s="15">
        <f t="shared" ca="1" si="331"/>
        <v>10</v>
      </c>
      <c r="O3216" s="15">
        <f t="shared" ca="1" si="332"/>
        <v>27</v>
      </c>
      <c r="P3216" s="16">
        <f t="shared" ca="1" si="333"/>
        <v>-13.029899999999998</v>
      </c>
      <c r="Q3216" s="11" t="str">
        <f t="shared" ca="1" si="319"/>
        <v/>
      </c>
      <c r="R3216" s="11" t="str">
        <f t="shared" ca="1" si="320"/>
        <v/>
      </c>
      <c r="S3216" s="61" t="str">
        <f t="shared" ca="1" si="321"/>
        <v/>
      </c>
      <c r="T3216" s="11" t="str">
        <f t="shared" ca="1" si="322"/>
        <v/>
      </c>
      <c r="U3216" s="11" t="str">
        <f t="shared" ca="1" si="323"/>
        <v/>
      </c>
      <c r="V3216" s="18" t="str">
        <f t="shared" ca="1" si="324"/>
        <v/>
      </c>
      <c r="W3216" s="61" t="str">
        <f t="shared" ca="1" si="325"/>
        <v/>
      </c>
      <c r="X3216" s="61">
        <f t="shared" ca="1" si="326"/>
        <v>0</v>
      </c>
      <c r="Y3216" s="64" t="str">
        <f t="shared" ca="1" si="327"/>
        <v/>
      </c>
    </row>
    <row r="3217" spans="1:25">
      <c r="A3217" s="2">
        <f>+Get_Data!A3216</f>
        <v>44110</v>
      </c>
      <c r="B3217">
        <f>+ROUND(Get_Data!B3216,5)</f>
        <v>135.69999999999999</v>
      </c>
      <c r="C3217">
        <f>+ROUND(Get_Data!C3216,5)</f>
        <v>48.94</v>
      </c>
      <c r="D3217" s="4">
        <f t="shared" si="335"/>
        <v>2.77278</v>
      </c>
      <c r="E3217" s="22">
        <f t="shared" ca="1" si="336"/>
        <v>2.8629500000000001</v>
      </c>
      <c r="F3217" s="23">
        <f t="shared" ca="1" si="337"/>
        <v>2.60595</v>
      </c>
      <c r="G3217" s="10">
        <f t="shared" ca="1" si="338"/>
        <v>0</v>
      </c>
      <c r="H3217" s="12">
        <f t="shared" ca="1" si="339"/>
        <v>0</v>
      </c>
      <c r="I3217" s="11">
        <f t="shared" ca="1" si="340"/>
        <v>0</v>
      </c>
      <c r="J3217" s="11">
        <f t="shared" ca="1" si="341"/>
        <v>-1</v>
      </c>
      <c r="K3217" s="10">
        <f t="shared" ca="1" si="328"/>
        <v>131.24001000000001</v>
      </c>
      <c r="L3217" s="11">
        <f t="shared" ca="1" si="329"/>
        <v>-49.09</v>
      </c>
      <c r="M3217" s="11">
        <f t="shared" ca="1" si="330"/>
        <v>2.6734599999999999</v>
      </c>
      <c r="N3217" s="15">
        <f t="shared" ca="1" si="331"/>
        <v>10</v>
      </c>
      <c r="O3217" s="15">
        <f t="shared" ca="1" si="332"/>
        <v>27</v>
      </c>
      <c r="P3217" s="16">
        <f t="shared" ca="1" si="333"/>
        <v>-13.029899999999998</v>
      </c>
      <c r="Q3217" s="11" t="str">
        <f t="shared" ca="1" si="319"/>
        <v/>
      </c>
      <c r="R3217" s="11" t="str">
        <f t="shared" ca="1" si="320"/>
        <v/>
      </c>
      <c r="S3217" s="61" t="str">
        <f t="shared" ca="1" si="321"/>
        <v/>
      </c>
      <c r="T3217" s="11" t="str">
        <f t="shared" ca="1" si="322"/>
        <v/>
      </c>
      <c r="U3217" s="11" t="str">
        <f t="shared" ca="1" si="323"/>
        <v/>
      </c>
      <c r="V3217" s="18" t="str">
        <f t="shared" ca="1" si="324"/>
        <v/>
      </c>
      <c r="W3217" s="61" t="str">
        <f t="shared" ca="1" si="325"/>
        <v/>
      </c>
      <c r="X3217" s="61">
        <f t="shared" ca="1" si="326"/>
        <v>0</v>
      </c>
      <c r="Y3217" s="64" t="str">
        <f t="shared" ca="1" si="327"/>
        <v/>
      </c>
    </row>
    <row r="3218" spans="1:25">
      <c r="A3218" s="2">
        <f>+Get_Data!A3217</f>
        <v>44111</v>
      </c>
      <c r="B3218">
        <f>+ROUND(Get_Data!B3217,5)</f>
        <v>137.00998999999999</v>
      </c>
      <c r="C3218">
        <f>+ROUND(Get_Data!C3217,5)</f>
        <v>49.56</v>
      </c>
      <c r="D3218" s="4">
        <f t="shared" si="335"/>
        <v>2.7645300000000002</v>
      </c>
      <c r="E3218" s="22">
        <f t="shared" ca="1" si="336"/>
        <v>2.8629500000000001</v>
      </c>
      <c r="F3218" s="23">
        <f t="shared" ca="1" si="337"/>
        <v>2.60595</v>
      </c>
      <c r="G3218" s="10">
        <f t="shared" ca="1" si="338"/>
        <v>0</v>
      </c>
      <c r="H3218" s="12">
        <f t="shared" ca="1" si="339"/>
        <v>0</v>
      </c>
      <c r="I3218" s="11">
        <f t="shared" ca="1" si="340"/>
        <v>0</v>
      </c>
      <c r="J3218" s="11">
        <f t="shared" ca="1" si="341"/>
        <v>-1</v>
      </c>
      <c r="K3218" s="10">
        <f t="shared" ca="1" si="328"/>
        <v>131.24001000000001</v>
      </c>
      <c r="L3218" s="11">
        <f t="shared" ca="1" si="329"/>
        <v>-49.09</v>
      </c>
      <c r="M3218" s="11">
        <f t="shared" ca="1" si="330"/>
        <v>2.6734599999999999</v>
      </c>
      <c r="N3218" s="15">
        <f t="shared" ca="1" si="331"/>
        <v>10</v>
      </c>
      <c r="O3218" s="15">
        <f t="shared" ca="1" si="332"/>
        <v>27</v>
      </c>
      <c r="P3218" s="16">
        <f t="shared" ca="1" si="333"/>
        <v>-13.029899999999998</v>
      </c>
      <c r="Q3218" s="11" t="str">
        <f t="shared" ca="1" si="319"/>
        <v/>
      </c>
      <c r="R3218" s="11" t="str">
        <f t="shared" ca="1" si="320"/>
        <v/>
      </c>
      <c r="S3218" s="61" t="str">
        <f t="shared" ca="1" si="321"/>
        <v/>
      </c>
      <c r="T3218" s="11" t="str">
        <f t="shared" ca="1" si="322"/>
        <v/>
      </c>
      <c r="U3218" s="11" t="str">
        <f t="shared" ca="1" si="323"/>
        <v/>
      </c>
      <c r="V3218" s="18" t="str">
        <f t="shared" ca="1" si="324"/>
        <v/>
      </c>
      <c r="W3218" s="61" t="str">
        <f t="shared" ca="1" si="325"/>
        <v/>
      </c>
      <c r="X3218" s="61">
        <f t="shared" ca="1" si="326"/>
        <v>0</v>
      </c>
      <c r="Y3218" s="64" t="str">
        <f t="shared" ca="1" si="327"/>
        <v/>
      </c>
    </row>
    <row r="3219" spans="1:25">
      <c r="A3219" s="2">
        <f>+Get_Data!A3218</f>
        <v>44112</v>
      </c>
      <c r="B3219">
        <f>+ROUND(Get_Data!B3218,5)</f>
        <v>137.85001</v>
      </c>
      <c r="C3219">
        <f>+ROUND(Get_Data!C3218,5)</f>
        <v>50.46</v>
      </c>
      <c r="D3219" s="4">
        <f t="shared" si="335"/>
        <v>2.7318699999999998</v>
      </c>
      <c r="E3219" s="22">
        <f t="shared" ca="1" si="336"/>
        <v>2.8629500000000001</v>
      </c>
      <c r="F3219" s="23">
        <f t="shared" ca="1" si="337"/>
        <v>2.60595</v>
      </c>
      <c r="G3219" s="10">
        <f t="shared" ca="1" si="338"/>
        <v>0</v>
      </c>
      <c r="H3219" s="12">
        <f t="shared" ca="1" si="339"/>
        <v>0</v>
      </c>
      <c r="I3219" s="11">
        <f t="shared" ca="1" si="340"/>
        <v>0</v>
      </c>
      <c r="J3219" s="11">
        <f t="shared" ca="1" si="341"/>
        <v>-1</v>
      </c>
      <c r="K3219" s="10">
        <f t="shared" ca="1" si="328"/>
        <v>131.24001000000001</v>
      </c>
      <c r="L3219" s="11">
        <f t="shared" ca="1" si="329"/>
        <v>-49.09</v>
      </c>
      <c r="M3219" s="11">
        <f t="shared" ca="1" si="330"/>
        <v>2.6734599999999999</v>
      </c>
      <c r="N3219" s="15">
        <f t="shared" ca="1" si="331"/>
        <v>10</v>
      </c>
      <c r="O3219" s="15">
        <f t="shared" ca="1" si="332"/>
        <v>27</v>
      </c>
      <c r="P3219" s="16">
        <f t="shared" ca="1" si="333"/>
        <v>-13.029899999999998</v>
      </c>
      <c r="Q3219" s="11" t="str">
        <f t="shared" ref="Q3219:Q3282" ca="1" si="342">+IF(ISNUMBER(T3219),B3219,"")</f>
        <v/>
      </c>
      <c r="R3219" s="11" t="str">
        <f t="shared" ref="R3219:R3282" ca="1" si="343">+IF(ISNUMBER(U3219),C3219,"")</f>
        <v/>
      </c>
      <c r="S3219" s="61" t="str">
        <f t="shared" ref="S3219:S3282" ca="1" si="344">+IF(ISNUMBER(T3219),D3219,"")</f>
        <v/>
      </c>
      <c r="T3219" s="11" t="str">
        <f t="shared" ref="T3219:T3282" ca="1" si="345">+IF(AND(ISNUMBER(N3218),NOT(ISNUMBER(N3219))),N3218,"")</f>
        <v/>
      </c>
      <c r="U3219" s="11" t="str">
        <f t="shared" ref="U3219:U3282" ca="1" si="346">+IF(AND(ISNUMBER(O3218),NOT(ISNUMBER(O3219))),O3218,"")</f>
        <v/>
      </c>
      <c r="V3219" s="18" t="str">
        <f t="shared" ref="V3219:V3282" ca="1" si="347">+IFERROR(T3219*(K3218-Q3219),"")</f>
        <v/>
      </c>
      <c r="W3219" s="61" t="str">
        <f t="shared" ref="W3219:W3282" ca="1" si="348">+IFERROR(U3219*(L3218+R3219),"")</f>
        <v/>
      </c>
      <c r="X3219" s="61">
        <f t="shared" ref="X3219:X3282" ca="1" si="349">+IFERROR(SUM(V3219:W3219),"")</f>
        <v>0</v>
      </c>
      <c r="Y3219" s="64" t="str">
        <f t="shared" ref="Y3219:Y3282" ca="1" si="350">IFERROR(+X3219/ABS(R3219*U3219),"")</f>
        <v/>
      </c>
    </row>
    <row r="3220" spans="1:25">
      <c r="A3220" s="2">
        <f>+Get_Data!A3219</f>
        <v>44113</v>
      </c>
      <c r="B3220">
        <f>+ROUND(Get_Data!B3219,5)</f>
        <v>138.44</v>
      </c>
      <c r="C3220">
        <f>+ROUND(Get_Data!C3219,5)</f>
        <v>50.81</v>
      </c>
      <c r="D3220" s="4">
        <f t="shared" si="335"/>
        <v>2.7246600000000001</v>
      </c>
      <c r="E3220" s="22">
        <f t="shared" ca="1" si="336"/>
        <v>2.8629500000000001</v>
      </c>
      <c r="F3220" s="23">
        <f t="shared" ca="1" si="337"/>
        <v>2.60595</v>
      </c>
      <c r="G3220" s="10">
        <f t="shared" ca="1" si="338"/>
        <v>0</v>
      </c>
      <c r="H3220" s="12">
        <f t="shared" ca="1" si="339"/>
        <v>0</v>
      </c>
      <c r="I3220" s="11">
        <f t="shared" ca="1" si="340"/>
        <v>0</v>
      </c>
      <c r="J3220" s="11">
        <f t="shared" ca="1" si="341"/>
        <v>-1</v>
      </c>
      <c r="K3220" s="10">
        <f t="shared" ca="1" si="328"/>
        <v>131.24001000000001</v>
      </c>
      <c r="L3220" s="11">
        <f t="shared" ca="1" si="329"/>
        <v>-49.09</v>
      </c>
      <c r="M3220" s="11">
        <f t="shared" ca="1" si="330"/>
        <v>2.6734599999999999</v>
      </c>
      <c r="N3220" s="15">
        <f t="shared" ca="1" si="331"/>
        <v>10</v>
      </c>
      <c r="O3220" s="15">
        <f t="shared" ca="1" si="332"/>
        <v>27</v>
      </c>
      <c r="P3220" s="16">
        <f t="shared" ca="1" si="333"/>
        <v>-13.029899999999998</v>
      </c>
      <c r="Q3220" s="11" t="str">
        <f t="shared" ca="1" si="342"/>
        <v/>
      </c>
      <c r="R3220" s="11" t="str">
        <f t="shared" ca="1" si="343"/>
        <v/>
      </c>
      <c r="S3220" s="61" t="str">
        <f t="shared" ca="1" si="344"/>
        <v/>
      </c>
      <c r="T3220" s="11" t="str">
        <f t="shared" ca="1" si="345"/>
        <v/>
      </c>
      <c r="U3220" s="11" t="str">
        <f t="shared" ca="1" si="346"/>
        <v/>
      </c>
      <c r="V3220" s="18" t="str">
        <f t="shared" ca="1" si="347"/>
        <v/>
      </c>
      <c r="W3220" s="61" t="str">
        <f t="shared" ca="1" si="348"/>
        <v/>
      </c>
      <c r="X3220" s="61">
        <f t="shared" ca="1" si="349"/>
        <v>0</v>
      </c>
      <c r="Y3220" s="64" t="str">
        <f t="shared" ca="1" si="350"/>
        <v/>
      </c>
    </row>
    <row r="3221" spans="1:25">
      <c r="A3221" s="2">
        <f>+Get_Data!A3220</f>
        <v>44116</v>
      </c>
      <c r="B3221">
        <f>+ROUND(Get_Data!B3220,5)</f>
        <v>142.13</v>
      </c>
      <c r="C3221">
        <f>+ROUND(Get_Data!C3220,5)</f>
        <v>51.09</v>
      </c>
      <c r="D3221" s="4">
        <f t="shared" si="335"/>
        <v>2.7819500000000001</v>
      </c>
      <c r="E3221" s="22">
        <f t="shared" ca="1" si="336"/>
        <v>2.8629500000000001</v>
      </c>
      <c r="F3221" s="23">
        <f t="shared" ca="1" si="337"/>
        <v>2.60595</v>
      </c>
      <c r="G3221" s="10">
        <f t="shared" ca="1" si="338"/>
        <v>0</v>
      </c>
      <c r="H3221" s="12">
        <f t="shared" ca="1" si="339"/>
        <v>0</v>
      </c>
      <c r="I3221" s="11">
        <f t="shared" ca="1" si="340"/>
        <v>0</v>
      </c>
      <c r="J3221" s="11">
        <f t="shared" ca="1" si="341"/>
        <v>-1</v>
      </c>
      <c r="K3221" s="10">
        <f t="shared" ca="1" si="328"/>
        <v>131.24001000000001</v>
      </c>
      <c r="L3221" s="11">
        <f t="shared" ca="1" si="329"/>
        <v>-49.09</v>
      </c>
      <c r="M3221" s="11">
        <f t="shared" ca="1" si="330"/>
        <v>2.6734599999999999</v>
      </c>
      <c r="N3221" s="15">
        <f t="shared" ca="1" si="331"/>
        <v>10</v>
      </c>
      <c r="O3221" s="15">
        <f t="shared" ca="1" si="332"/>
        <v>27</v>
      </c>
      <c r="P3221" s="16">
        <f t="shared" ca="1" si="333"/>
        <v>-13.029899999999998</v>
      </c>
      <c r="Q3221" s="11" t="str">
        <f t="shared" ca="1" si="342"/>
        <v/>
      </c>
      <c r="R3221" s="11" t="str">
        <f t="shared" ca="1" si="343"/>
        <v/>
      </c>
      <c r="S3221" s="61" t="str">
        <f t="shared" ca="1" si="344"/>
        <v/>
      </c>
      <c r="T3221" s="11" t="str">
        <f t="shared" ca="1" si="345"/>
        <v/>
      </c>
      <c r="U3221" s="11" t="str">
        <f t="shared" ca="1" si="346"/>
        <v/>
      </c>
      <c r="V3221" s="18" t="str">
        <f t="shared" ca="1" si="347"/>
        <v/>
      </c>
      <c r="W3221" s="61" t="str">
        <f t="shared" ca="1" si="348"/>
        <v/>
      </c>
      <c r="X3221" s="61">
        <f t="shared" ca="1" si="349"/>
        <v>0</v>
      </c>
      <c r="Y3221" s="64" t="str">
        <f t="shared" ca="1" si="350"/>
        <v/>
      </c>
    </row>
    <row r="3222" spans="1:25">
      <c r="A3222" s="2">
        <f>+Get_Data!A3221</f>
        <v>44117</v>
      </c>
      <c r="B3222">
        <f>+ROUND(Get_Data!B3221,5)</f>
        <v>143.53998999999999</v>
      </c>
      <c r="C3222">
        <f>+ROUND(Get_Data!C3221,5)</f>
        <v>50.22</v>
      </c>
      <c r="D3222" s="4">
        <f t="shared" si="335"/>
        <v>2.8582200000000002</v>
      </c>
      <c r="E3222" s="22">
        <f t="shared" ca="1" si="336"/>
        <v>2.8629500000000001</v>
      </c>
      <c r="F3222" s="23">
        <f t="shared" ca="1" si="337"/>
        <v>2.60595</v>
      </c>
      <c r="G3222" s="10">
        <f t="shared" ca="1" si="338"/>
        <v>0</v>
      </c>
      <c r="H3222" s="12">
        <f t="shared" ca="1" si="339"/>
        <v>0</v>
      </c>
      <c r="I3222" s="11">
        <f t="shared" ca="1" si="340"/>
        <v>0</v>
      </c>
      <c r="J3222" s="11">
        <f t="shared" ca="1" si="341"/>
        <v>-1</v>
      </c>
      <c r="K3222" s="10">
        <f t="shared" ca="1" si="328"/>
        <v>131.24001000000001</v>
      </c>
      <c r="L3222" s="11">
        <f t="shared" ca="1" si="329"/>
        <v>-49.09</v>
      </c>
      <c r="M3222" s="11">
        <f t="shared" ca="1" si="330"/>
        <v>2.6734599999999999</v>
      </c>
      <c r="N3222" s="15">
        <f t="shared" ca="1" si="331"/>
        <v>10</v>
      </c>
      <c r="O3222" s="15">
        <f t="shared" ca="1" si="332"/>
        <v>27</v>
      </c>
      <c r="P3222" s="16">
        <f t="shared" ca="1" si="333"/>
        <v>-13.029899999999998</v>
      </c>
      <c r="Q3222" s="11" t="str">
        <f t="shared" ca="1" si="342"/>
        <v/>
      </c>
      <c r="R3222" s="11" t="str">
        <f t="shared" ca="1" si="343"/>
        <v/>
      </c>
      <c r="S3222" s="61" t="str">
        <f t="shared" ca="1" si="344"/>
        <v/>
      </c>
      <c r="T3222" s="11" t="str">
        <f t="shared" ca="1" si="345"/>
        <v/>
      </c>
      <c r="U3222" s="11" t="str">
        <f t="shared" ca="1" si="346"/>
        <v/>
      </c>
      <c r="V3222" s="18" t="str">
        <f t="shared" ca="1" si="347"/>
        <v/>
      </c>
      <c r="W3222" s="61" t="str">
        <f t="shared" ca="1" si="348"/>
        <v/>
      </c>
      <c r="X3222" s="61">
        <f t="shared" ca="1" si="349"/>
        <v>0</v>
      </c>
      <c r="Y3222" s="64" t="str">
        <f t="shared" ca="1" si="350"/>
        <v/>
      </c>
    </row>
    <row r="3223" spans="1:25">
      <c r="A3223" s="2">
        <f>+Get_Data!A3222</f>
        <v>44118</v>
      </c>
      <c r="B3223">
        <f>+ROUND(Get_Data!B3222,5)</f>
        <v>142.52000000000001</v>
      </c>
      <c r="C3223">
        <f>+ROUND(Get_Data!C3222,5)</f>
        <v>50.12</v>
      </c>
      <c r="D3223" s="4">
        <f t="shared" si="335"/>
        <v>2.8435800000000002</v>
      </c>
      <c r="E3223" s="22">
        <f t="shared" ca="1" si="336"/>
        <v>2.8629500000000001</v>
      </c>
      <c r="F3223" s="23">
        <f t="shared" ca="1" si="337"/>
        <v>2.60595</v>
      </c>
      <c r="G3223" s="10">
        <f t="shared" ca="1" si="338"/>
        <v>0</v>
      </c>
      <c r="H3223" s="12">
        <f t="shared" ca="1" si="339"/>
        <v>0</v>
      </c>
      <c r="I3223" s="11">
        <f t="shared" ca="1" si="340"/>
        <v>0</v>
      </c>
      <c r="J3223" s="11">
        <f t="shared" ca="1" si="341"/>
        <v>-1</v>
      </c>
      <c r="K3223" s="10">
        <f t="shared" ca="1" si="328"/>
        <v>131.24001000000001</v>
      </c>
      <c r="L3223" s="11">
        <f t="shared" ca="1" si="329"/>
        <v>-49.09</v>
      </c>
      <c r="M3223" s="11">
        <f t="shared" ca="1" si="330"/>
        <v>2.6734599999999999</v>
      </c>
      <c r="N3223" s="15">
        <f t="shared" ca="1" si="331"/>
        <v>10</v>
      </c>
      <c r="O3223" s="15">
        <f t="shared" ca="1" si="332"/>
        <v>27</v>
      </c>
      <c r="P3223" s="16">
        <f t="shared" ca="1" si="333"/>
        <v>-13.029899999999998</v>
      </c>
      <c r="Q3223" s="11" t="str">
        <f t="shared" ca="1" si="342"/>
        <v/>
      </c>
      <c r="R3223" s="11" t="str">
        <f t="shared" ca="1" si="343"/>
        <v/>
      </c>
      <c r="S3223" s="61" t="str">
        <f t="shared" ca="1" si="344"/>
        <v/>
      </c>
      <c r="T3223" s="11" t="str">
        <f t="shared" ca="1" si="345"/>
        <v/>
      </c>
      <c r="U3223" s="11" t="str">
        <f t="shared" ca="1" si="346"/>
        <v/>
      </c>
      <c r="V3223" s="18" t="str">
        <f t="shared" ca="1" si="347"/>
        <v/>
      </c>
      <c r="W3223" s="61" t="str">
        <f t="shared" ca="1" si="348"/>
        <v/>
      </c>
      <c r="X3223" s="61">
        <f t="shared" ca="1" si="349"/>
        <v>0</v>
      </c>
      <c r="Y3223" s="64" t="str">
        <f t="shared" ca="1" si="350"/>
        <v/>
      </c>
    </row>
    <row r="3224" spans="1:25">
      <c r="A3224" s="2">
        <f>+Get_Data!A3223</f>
        <v>44119</v>
      </c>
      <c r="B3224">
        <f>+ROUND(Get_Data!B3223,5)</f>
        <v>140.88</v>
      </c>
      <c r="C3224">
        <f>+ROUND(Get_Data!C3223,5)</f>
        <v>49.91</v>
      </c>
      <c r="D3224" s="4">
        <f t="shared" si="335"/>
        <v>2.8226800000000001</v>
      </c>
      <c r="E3224" s="22">
        <f t="shared" ca="1" si="336"/>
        <v>2.8629500000000001</v>
      </c>
      <c r="F3224" s="23">
        <f t="shared" ca="1" si="337"/>
        <v>2.60595</v>
      </c>
      <c r="G3224" s="10">
        <f t="shared" ca="1" si="338"/>
        <v>0</v>
      </c>
      <c r="H3224" s="12">
        <f t="shared" ca="1" si="339"/>
        <v>0</v>
      </c>
      <c r="I3224" s="11">
        <f t="shared" ca="1" si="340"/>
        <v>0</v>
      </c>
      <c r="J3224" s="11">
        <f t="shared" ca="1" si="341"/>
        <v>-1</v>
      </c>
      <c r="K3224" s="10">
        <f t="shared" ca="1" si="328"/>
        <v>131.24001000000001</v>
      </c>
      <c r="L3224" s="11">
        <f t="shared" ca="1" si="329"/>
        <v>-49.09</v>
      </c>
      <c r="M3224" s="11">
        <f t="shared" ca="1" si="330"/>
        <v>2.6734599999999999</v>
      </c>
      <c r="N3224" s="15">
        <f t="shared" ca="1" si="331"/>
        <v>10</v>
      </c>
      <c r="O3224" s="15">
        <f t="shared" ca="1" si="332"/>
        <v>27</v>
      </c>
      <c r="P3224" s="16">
        <f t="shared" ca="1" si="333"/>
        <v>-13.029899999999998</v>
      </c>
      <c r="Q3224" s="11" t="str">
        <f t="shared" ca="1" si="342"/>
        <v/>
      </c>
      <c r="R3224" s="11" t="str">
        <f t="shared" ca="1" si="343"/>
        <v/>
      </c>
      <c r="S3224" s="61" t="str">
        <f t="shared" ca="1" si="344"/>
        <v/>
      </c>
      <c r="T3224" s="11" t="str">
        <f t="shared" ca="1" si="345"/>
        <v/>
      </c>
      <c r="U3224" s="11" t="str">
        <f t="shared" ca="1" si="346"/>
        <v/>
      </c>
      <c r="V3224" s="18" t="str">
        <f t="shared" ca="1" si="347"/>
        <v/>
      </c>
      <c r="W3224" s="61" t="str">
        <f t="shared" ca="1" si="348"/>
        <v/>
      </c>
      <c r="X3224" s="61">
        <f t="shared" ca="1" si="349"/>
        <v>0</v>
      </c>
      <c r="Y3224" s="64" t="str">
        <f t="shared" ca="1" si="350"/>
        <v/>
      </c>
    </row>
    <row r="3225" spans="1:25">
      <c r="A3225" s="2">
        <f>+Get_Data!A3224</f>
        <v>0</v>
      </c>
      <c r="B3225">
        <f>+ROUND(Get_Data!B3224,5)</f>
        <v>0</v>
      </c>
      <c r="C3225">
        <f>+ROUND(Get_Data!C3224,5)</f>
        <v>0</v>
      </c>
      <c r="D3225" s="4" t="str">
        <f t="shared" si="335"/>
        <v/>
      </c>
      <c r="E3225" s="22">
        <f t="shared" ca="1" si="336"/>
        <v>2.8629500000000001</v>
      </c>
      <c r="F3225" s="23">
        <f t="shared" ca="1" si="337"/>
        <v>2.60595</v>
      </c>
      <c r="G3225" s="10">
        <f t="shared" ca="1" si="338"/>
        <v>0</v>
      </c>
      <c r="H3225" s="12">
        <f t="shared" ca="1" si="339"/>
        <v>0</v>
      </c>
      <c r="I3225" s="11">
        <f t="shared" ca="1" si="340"/>
        <v>0</v>
      </c>
      <c r="J3225" s="11">
        <f t="shared" ca="1" si="341"/>
        <v>-1</v>
      </c>
      <c r="K3225" s="10">
        <f t="shared" ca="1" si="328"/>
        <v>131.24001000000001</v>
      </c>
      <c r="L3225" s="11">
        <f t="shared" ca="1" si="329"/>
        <v>-49.09</v>
      </c>
      <c r="M3225" s="11">
        <f t="shared" ca="1" si="330"/>
        <v>2.6734599999999999</v>
      </c>
      <c r="N3225" s="15">
        <f t="shared" ca="1" si="331"/>
        <v>10</v>
      </c>
      <c r="O3225" s="15">
        <f t="shared" ca="1" si="332"/>
        <v>27</v>
      </c>
      <c r="P3225" s="16">
        <f t="shared" ca="1" si="333"/>
        <v>-13.029899999999998</v>
      </c>
      <c r="Q3225" s="11" t="str">
        <f t="shared" ca="1" si="342"/>
        <v/>
      </c>
      <c r="R3225" s="11" t="str">
        <f t="shared" ca="1" si="343"/>
        <v/>
      </c>
      <c r="S3225" s="61" t="str">
        <f t="shared" ca="1" si="344"/>
        <v/>
      </c>
      <c r="T3225" s="11" t="str">
        <f t="shared" ca="1" si="345"/>
        <v/>
      </c>
      <c r="U3225" s="11" t="str">
        <f t="shared" ca="1" si="346"/>
        <v/>
      </c>
      <c r="V3225" s="18" t="str">
        <f t="shared" ca="1" si="347"/>
        <v/>
      </c>
      <c r="W3225" s="61" t="str">
        <f t="shared" ca="1" si="348"/>
        <v/>
      </c>
      <c r="X3225" s="61">
        <f t="shared" ca="1" si="349"/>
        <v>0</v>
      </c>
      <c r="Y3225" s="64" t="str">
        <f t="shared" ca="1" si="350"/>
        <v/>
      </c>
    </row>
    <row r="3226" spans="1:25">
      <c r="A3226" s="2">
        <f>+Get_Data!A3225</f>
        <v>0</v>
      </c>
      <c r="B3226">
        <f>+ROUND(Get_Data!B3225,5)</f>
        <v>0</v>
      </c>
      <c r="C3226">
        <f>+ROUND(Get_Data!C3225,5)</f>
        <v>0</v>
      </c>
      <c r="D3226" s="4" t="str">
        <f t="shared" si="335"/>
        <v/>
      </c>
      <c r="E3226" s="22">
        <f t="shared" ca="1" si="336"/>
        <v>2.8629500000000001</v>
      </c>
      <c r="F3226" s="23">
        <f t="shared" ca="1" si="337"/>
        <v>2.60595</v>
      </c>
      <c r="G3226" s="10">
        <f t="shared" ca="1" si="338"/>
        <v>0</v>
      </c>
      <c r="H3226" s="12">
        <f t="shared" ca="1" si="339"/>
        <v>0</v>
      </c>
      <c r="I3226" s="11">
        <f t="shared" ca="1" si="340"/>
        <v>0</v>
      </c>
      <c r="J3226" s="11">
        <f t="shared" ca="1" si="341"/>
        <v>-1</v>
      </c>
      <c r="K3226" s="10">
        <f t="shared" ref="K3226:K3289" ca="1" si="351">+IF($J3225=0,"",IF(AND(ABS($J3225)=1,ABS($I3225)=1),-$J3225*B3226,K3225))</f>
        <v>131.24001000000001</v>
      </c>
      <c r="L3226" s="11">
        <f t="shared" ref="L3226:L3289" ca="1" si="352">+IF($J3225=0,"",IF(AND(ABS($J3225)=1,ABS($I3225)=1),$J3225*C3226,L3225))</f>
        <v>-49.09</v>
      </c>
      <c r="M3226" s="11">
        <f t="shared" ref="M3226:M3289" ca="1" si="353">+IF($J3225=0,"",IF(AND(ABS($J3225)=1,ABS($I3225)=1),D3226,M3225))</f>
        <v>2.6734599999999999</v>
      </c>
      <c r="N3226" s="15">
        <f t="shared" ref="N3226:N3289" ca="1" si="354">+IF(ISNUMBER(K3226),stocks,"")</f>
        <v>10</v>
      </c>
      <c r="O3226" s="15">
        <f t="shared" ref="O3226:O3289" ca="1" si="355">+IFERROR(ROUND(N3226*M3226,0),"")</f>
        <v>27</v>
      </c>
      <c r="P3226" s="16">
        <f t="shared" ref="P3226:P3289" ca="1" si="356">IFERROR(+N3226*K3226+O3226*L3226,"")</f>
        <v>-13.029899999999998</v>
      </c>
      <c r="Q3226" s="11" t="str">
        <f t="shared" ca="1" si="342"/>
        <v/>
      </c>
      <c r="R3226" s="11" t="str">
        <f t="shared" ca="1" si="343"/>
        <v/>
      </c>
      <c r="S3226" s="61" t="str">
        <f t="shared" ca="1" si="344"/>
        <v/>
      </c>
      <c r="T3226" s="11" t="str">
        <f t="shared" ca="1" si="345"/>
        <v/>
      </c>
      <c r="U3226" s="11" t="str">
        <f t="shared" ca="1" si="346"/>
        <v/>
      </c>
      <c r="V3226" s="18" t="str">
        <f t="shared" ca="1" si="347"/>
        <v/>
      </c>
      <c r="W3226" s="61" t="str">
        <f t="shared" ca="1" si="348"/>
        <v/>
      </c>
      <c r="X3226" s="61">
        <f t="shared" ca="1" si="349"/>
        <v>0</v>
      </c>
      <c r="Y3226" s="64" t="str">
        <f t="shared" ca="1" si="350"/>
        <v/>
      </c>
    </row>
    <row r="3227" spans="1:25">
      <c r="A3227" s="2">
        <f>+Get_Data!A3226</f>
        <v>0</v>
      </c>
      <c r="B3227">
        <f>+ROUND(Get_Data!B3226,5)</f>
        <v>0</v>
      </c>
      <c r="C3227">
        <f>+ROUND(Get_Data!C3226,5)</f>
        <v>0</v>
      </c>
      <c r="D3227" s="4" t="str">
        <f t="shared" si="335"/>
        <v/>
      </c>
      <c r="E3227" s="22">
        <f t="shared" ca="1" si="336"/>
        <v>2.8629500000000001</v>
      </c>
      <c r="F3227" s="23">
        <f t="shared" ca="1" si="337"/>
        <v>2.60595</v>
      </c>
      <c r="G3227" s="10">
        <f t="shared" ca="1" si="338"/>
        <v>0</v>
      </c>
      <c r="H3227" s="12">
        <f t="shared" ca="1" si="339"/>
        <v>0</v>
      </c>
      <c r="I3227" s="11">
        <f t="shared" ca="1" si="340"/>
        <v>0</v>
      </c>
      <c r="J3227" s="11">
        <f t="shared" ca="1" si="341"/>
        <v>-1</v>
      </c>
      <c r="K3227" s="10">
        <f t="shared" ca="1" si="351"/>
        <v>131.24001000000001</v>
      </c>
      <c r="L3227" s="11">
        <f t="shared" ca="1" si="352"/>
        <v>-49.09</v>
      </c>
      <c r="M3227" s="11">
        <f t="shared" ca="1" si="353"/>
        <v>2.6734599999999999</v>
      </c>
      <c r="N3227" s="15">
        <f t="shared" ca="1" si="354"/>
        <v>10</v>
      </c>
      <c r="O3227" s="15">
        <f t="shared" ca="1" si="355"/>
        <v>27</v>
      </c>
      <c r="P3227" s="16">
        <f t="shared" ca="1" si="356"/>
        <v>-13.029899999999998</v>
      </c>
      <c r="Q3227" s="11" t="str">
        <f t="shared" ca="1" si="342"/>
        <v/>
      </c>
      <c r="R3227" s="11" t="str">
        <f t="shared" ca="1" si="343"/>
        <v/>
      </c>
      <c r="S3227" s="61" t="str">
        <f t="shared" ca="1" si="344"/>
        <v/>
      </c>
      <c r="T3227" s="11" t="str">
        <f t="shared" ca="1" si="345"/>
        <v/>
      </c>
      <c r="U3227" s="11" t="str">
        <f t="shared" ca="1" si="346"/>
        <v/>
      </c>
      <c r="V3227" s="18" t="str">
        <f t="shared" ca="1" si="347"/>
        <v/>
      </c>
      <c r="W3227" s="61" t="str">
        <f t="shared" ca="1" si="348"/>
        <v/>
      </c>
      <c r="X3227" s="61">
        <f t="shared" ca="1" si="349"/>
        <v>0</v>
      </c>
      <c r="Y3227" s="64" t="str">
        <f t="shared" ca="1" si="350"/>
        <v/>
      </c>
    </row>
    <row r="3228" spans="1:25">
      <c r="A3228" s="2">
        <f>+Get_Data!A3227</f>
        <v>0</v>
      </c>
      <c r="B3228">
        <f>+ROUND(Get_Data!B3227,5)</f>
        <v>0</v>
      </c>
      <c r="C3228">
        <f>+ROUND(Get_Data!C3227,5)</f>
        <v>0</v>
      </c>
      <c r="D3228" s="4" t="str">
        <f t="shared" si="335"/>
        <v/>
      </c>
      <c r="E3228" s="22">
        <f t="shared" ca="1" si="336"/>
        <v>2.8629500000000001</v>
      </c>
      <c r="F3228" s="23">
        <f t="shared" ca="1" si="337"/>
        <v>2.60595</v>
      </c>
      <c r="G3228" s="10">
        <f t="shared" ca="1" si="338"/>
        <v>0</v>
      </c>
      <c r="H3228" s="12">
        <f t="shared" ca="1" si="339"/>
        <v>0</v>
      </c>
      <c r="I3228" s="11">
        <f t="shared" ca="1" si="340"/>
        <v>0</v>
      </c>
      <c r="J3228" s="11">
        <f t="shared" ca="1" si="341"/>
        <v>-1</v>
      </c>
      <c r="K3228" s="10">
        <f t="shared" ca="1" si="351"/>
        <v>131.24001000000001</v>
      </c>
      <c r="L3228" s="11">
        <f t="shared" ca="1" si="352"/>
        <v>-49.09</v>
      </c>
      <c r="M3228" s="11">
        <f t="shared" ca="1" si="353"/>
        <v>2.6734599999999999</v>
      </c>
      <c r="N3228" s="15">
        <f t="shared" ca="1" si="354"/>
        <v>10</v>
      </c>
      <c r="O3228" s="15">
        <f t="shared" ca="1" si="355"/>
        <v>27</v>
      </c>
      <c r="P3228" s="16">
        <f t="shared" ca="1" si="356"/>
        <v>-13.029899999999998</v>
      </c>
      <c r="Q3228" s="11" t="str">
        <f t="shared" ca="1" si="342"/>
        <v/>
      </c>
      <c r="R3228" s="11" t="str">
        <f t="shared" ca="1" si="343"/>
        <v/>
      </c>
      <c r="S3228" s="61" t="str">
        <f t="shared" ca="1" si="344"/>
        <v/>
      </c>
      <c r="T3228" s="11" t="str">
        <f t="shared" ca="1" si="345"/>
        <v/>
      </c>
      <c r="U3228" s="11" t="str">
        <f t="shared" ca="1" si="346"/>
        <v/>
      </c>
      <c r="V3228" s="18" t="str">
        <f t="shared" ca="1" si="347"/>
        <v/>
      </c>
      <c r="W3228" s="61" t="str">
        <f t="shared" ca="1" si="348"/>
        <v/>
      </c>
      <c r="X3228" s="61">
        <f t="shared" ca="1" si="349"/>
        <v>0</v>
      </c>
      <c r="Y3228" s="64" t="str">
        <f t="shared" ca="1" si="350"/>
        <v/>
      </c>
    </row>
    <row r="3229" spans="1:25">
      <c r="A3229" s="2">
        <f>+Get_Data!A3228</f>
        <v>0</v>
      </c>
      <c r="B3229">
        <f>+ROUND(Get_Data!B3228,5)</f>
        <v>0</v>
      </c>
      <c r="C3229">
        <f>+ROUND(Get_Data!C3228,5)</f>
        <v>0</v>
      </c>
      <c r="D3229" s="4" t="str">
        <f t="shared" si="335"/>
        <v/>
      </c>
      <c r="E3229" s="22">
        <f t="shared" ca="1" si="336"/>
        <v>2.8629500000000001</v>
      </c>
      <c r="F3229" s="23">
        <f t="shared" ca="1" si="337"/>
        <v>2.60595</v>
      </c>
      <c r="G3229" s="10">
        <f t="shared" ca="1" si="338"/>
        <v>0</v>
      </c>
      <c r="H3229" s="12">
        <f t="shared" ca="1" si="339"/>
        <v>0</v>
      </c>
      <c r="I3229" s="11">
        <f t="shared" ca="1" si="340"/>
        <v>0</v>
      </c>
      <c r="J3229" s="11">
        <f t="shared" ca="1" si="341"/>
        <v>-1</v>
      </c>
      <c r="K3229" s="10">
        <f t="shared" ca="1" si="351"/>
        <v>131.24001000000001</v>
      </c>
      <c r="L3229" s="11">
        <f t="shared" ca="1" si="352"/>
        <v>-49.09</v>
      </c>
      <c r="M3229" s="11">
        <f t="shared" ca="1" si="353"/>
        <v>2.6734599999999999</v>
      </c>
      <c r="N3229" s="15">
        <f t="shared" ca="1" si="354"/>
        <v>10</v>
      </c>
      <c r="O3229" s="15">
        <f t="shared" ca="1" si="355"/>
        <v>27</v>
      </c>
      <c r="P3229" s="16">
        <f t="shared" ca="1" si="356"/>
        <v>-13.029899999999998</v>
      </c>
      <c r="Q3229" s="11" t="str">
        <f t="shared" ca="1" si="342"/>
        <v/>
      </c>
      <c r="R3229" s="11" t="str">
        <f t="shared" ca="1" si="343"/>
        <v/>
      </c>
      <c r="S3229" s="61" t="str">
        <f t="shared" ca="1" si="344"/>
        <v/>
      </c>
      <c r="T3229" s="11" t="str">
        <f t="shared" ca="1" si="345"/>
        <v/>
      </c>
      <c r="U3229" s="11" t="str">
        <f t="shared" ca="1" si="346"/>
        <v/>
      </c>
      <c r="V3229" s="18" t="str">
        <f t="shared" ca="1" si="347"/>
        <v/>
      </c>
      <c r="W3229" s="61" t="str">
        <f t="shared" ca="1" si="348"/>
        <v/>
      </c>
      <c r="X3229" s="61">
        <f t="shared" ca="1" si="349"/>
        <v>0</v>
      </c>
      <c r="Y3229" s="64" t="str">
        <f t="shared" ca="1" si="350"/>
        <v/>
      </c>
    </row>
    <row r="3230" spans="1:25">
      <c r="A3230" s="2">
        <f>+Get_Data!A3229</f>
        <v>0</v>
      </c>
      <c r="B3230">
        <f>+ROUND(Get_Data!B3229,5)</f>
        <v>0</v>
      </c>
      <c r="C3230">
        <f>+ROUND(Get_Data!C3229,5)</f>
        <v>0</v>
      </c>
      <c r="D3230" s="4" t="str">
        <f t="shared" si="335"/>
        <v/>
      </c>
      <c r="E3230" s="22">
        <f t="shared" ca="1" si="336"/>
        <v>2.8629500000000001</v>
      </c>
      <c r="F3230" s="23">
        <f t="shared" ca="1" si="337"/>
        <v>2.6610999999999998</v>
      </c>
      <c r="G3230" s="10">
        <f t="shared" ca="1" si="338"/>
        <v>0</v>
      </c>
      <c r="H3230" s="12">
        <f t="shared" ca="1" si="339"/>
        <v>0</v>
      </c>
      <c r="I3230" s="11">
        <f t="shared" ca="1" si="340"/>
        <v>0</v>
      </c>
      <c r="J3230" s="11">
        <f t="shared" ca="1" si="341"/>
        <v>-1</v>
      </c>
      <c r="K3230" s="10">
        <f t="shared" ca="1" si="351"/>
        <v>131.24001000000001</v>
      </c>
      <c r="L3230" s="11">
        <f t="shared" ca="1" si="352"/>
        <v>-49.09</v>
      </c>
      <c r="M3230" s="11">
        <f t="shared" ca="1" si="353"/>
        <v>2.6734599999999999</v>
      </c>
      <c r="N3230" s="15">
        <f t="shared" ca="1" si="354"/>
        <v>10</v>
      </c>
      <c r="O3230" s="15">
        <f t="shared" ca="1" si="355"/>
        <v>27</v>
      </c>
      <c r="P3230" s="16">
        <f t="shared" ca="1" si="356"/>
        <v>-13.029899999999998</v>
      </c>
      <c r="Q3230" s="11" t="str">
        <f t="shared" ca="1" si="342"/>
        <v/>
      </c>
      <c r="R3230" s="11" t="str">
        <f t="shared" ca="1" si="343"/>
        <v/>
      </c>
      <c r="S3230" s="61" t="str">
        <f t="shared" ca="1" si="344"/>
        <v/>
      </c>
      <c r="T3230" s="11" t="str">
        <f t="shared" ca="1" si="345"/>
        <v/>
      </c>
      <c r="U3230" s="11" t="str">
        <f t="shared" ca="1" si="346"/>
        <v/>
      </c>
      <c r="V3230" s="18" t="str">
        <f t="shared" ca="1" si="347"/>
        <v/>
      </c>
      <c r="W3230" s="61" t="str">
        <f t="shared" ca="1" si="348"/>
        <v/>
      </c>
      <c r="X3230" s="61">
        <f t="shared" ca="1" si="349"/>
        <v>0</v>
      </c>
      <c r="Y3230" s="64" t="str">
        <f t="shared" ca="1" si="350"/>
        <v/>
      </c>
    </row>
    <row r="3231" spans="1:25">
      <c r="A3231" s="2">
        <f>+Get_Data!A3230</f>
        <v>0</v>
      </c>
      <c r="B3231">
        <f>+ROUND(Get_Data!B3230,5)</f>
        <v>0</v>
      </c>
      <c r="C3231">
        <f>+ROUND(Get_Data!C3230,5)</f>
        <v>0</v>
      </c>
      <c r="D3231" s="4" t="str">
        <f t="shared" si="335"/>
        <v/>
      </c>
      <c r="E3231" s="22">
        <f t="shared" ca="1" si="336"/>
        <v>2.8629500000000001</v>
      </c>
      <c r="F3231" s="23">
        <f t="shared" ca="1" si="337"/>
        <v>2.6610999999999998</v>
      </c>
      <c r="G3231" s="10">
        <f t="shared" ca="1" si="338"/>
        <v>0</v>
      </c>
      <c r="H3231" s="12">
        <f t="shared" ca="1" si="339"/>
        <v>0</v>
      </c>
      <c r="I3231" s="11">
        <f t="shared" ca="1" si="340"/>
        <v>0</v>
      </c>
      <c r="J3231" s="11">
        <f t="shared" ca="1" si="341"/>
        <v>-1</v>
      </c>
      <c r="K3231" s="10">
        <f t="shared" ca="1" si="351"/>
        <v>131.24001000000001</v>
      </c>
      <c r="L3231" s="11">
        <f t="shared" ca="1" si="352"/>
        <v>-49.09</v>
      </c>
      <c r="M3231" s="11">
        <f t="shared" ca="1" si="353"/>
        <v>2.6734599999999999</v>
      </c>
      <c r="N3231" s="15">
        <f t="shared" ca="1" si="354"/>
        <v>10</v>
      </c>
      <c r="O3231" s="15">
        <f t="shared" ca="1" si="355"/>
        <v>27</v>
      </c>
      <c r="P3231" s="16">
        <f t="shared" ca="1" si="356"/>
        <v>-13.029899999999998</v>
      </c>
      <c r="Q3231" s="11" t="str">
        <f t="shared" ca="1" si="342"/>
        <v/>
      </c>
      <c r="R3231" s="11" t="str">
        <f t="shared" ca="1" si="343"/>
        <v/>
      </c>
      <c r="S3231" s="61" t="str">
        <f t="shared" ca="1" si="344"/>
        <v/>
      </c>
      <c r="T3231" s="11" t="str">
        <f t="shared" ca="1" si="345"/>
        <v/>
      </c>
      <c r="U3231" s="11" t="str">
        <f t="shared" ca="1" si="346"/>
        <v/>
      </c>
      <c r="V3231" s="18" t="str">
        <f t="shared" ca="1" si="347"/>
        <v/>
      </c>
      <c r="W3231" s="61" t="str">
        <f t="shared" ca="1" si="348"/>
        <v/>
      </c>
      <c r="X3231" s="61">
        <f t="shared" ca="1" si="349"/>
        <v>0</v>
      </c>
      <c r="Y3231" s="64" t="str">
        <f t="shared" ca="1" si="350"/>
        <v/>
      </c>
    </row>
    <row r="3232" spans="1:25">
      <c r="A3232" s="2">
        <f>+Get_Data!A3231</f>
        <v>0</v>
      </c>
      <c r="B3232">
        <f>+ROUND(Get_Data!B3231,5)</f>
        <v>0</v>
      </c>
      <c r="C3232">
        <f>+ROUND(Get_Data!C3231,5)</f>
        <v>0</v>
      </c>
      <c r="D3232" s="4" t="str">
        <f t="shared" si="335"/>
        <v/>
      </c>
      <c r="E3232" s="22">
        <f t="shared" ca="1" si="336"/>
        <v>2.8629500000000001</v>
      </c>
      <c r="F3232" s="23">
        <f t="shared" ca="1" si="337"/>
        <v>2.7018499999999999</v>
      </c>
      <c r="G3232" s="10">
        <f t="shared" ca="1" si="338"/>
        <v>0</v>
      </c>
      <c r="H3232" s="12">
        <f t="shared" ca="1" si="339"/>
        <v>0</v>
      </c>
      <c r="I3232" s="11">
        <f t="shared" ca="1" si="340"/>
        <v>0</v>
      </c>
      <c r="J3232" s="11">
        <f t="shared" ca="1" si="341"/>
        <v>-1</v>
      </c>
      <c r="K3232" s="10">
        <f t="shared" ca="1" si="351"/>
        <v>131.24001000000001</v>
      </c>
      <c r="L3232" s="11">
        <f t="shared" ca="1" si="352"/>
        <v>-49.09</v>
      </c>
      <c r="M3232" s="11">
        <f t="shared" ca="1" si="353"/>
        <v>2.6734599999999999</v>
      </c>
      <c r="N3232" s="15">
        <f t="shared" ca="1" si="354"/>
        <v>10</v>
      </c>
      <c r="O3232" s="15">
        <f t="shared" ca="1" si="355"/>
        <v>27</v>
      </c>
      <c r="P3232" s="16">
        <f t="shared" ca="1" si="356"/>
        <v>-13.029899999999998</v>
      </c>
      <c r="Q3232" s="11" t="str">
        <f t="shared" ca="1" si="342"/>
        <v/>
      </c>
      <c r="R3232" s="11" t="str">
        <f t="shared" ca="1" si="343"/>
        <v/>
      </c>
      <c r="S3232" s="61" t="str">
        <f t="shared" ca="1" si="344"/>
        <v/>
      </c>
      <c r="T3232" s="11" t="str">
        <f t="shared" ca="1" si="345"/>
        <v/>
      </c>
      <c r="U3232" s="11" t="str">
        <f t="shared" ca="1" si="346"/>
        <v/>
      </c>
      <c r="V3232" s="18" t="str">
        <f t="shared" ca="1" si="347"/>
        <v/>
      </c>
      <c r="W3232" s="61" t="str">
        <f t="shared" ca="1" si="348"/>
        <v/>
      </c>
      <c r="X3232" s="61">
        <f t="shared" ca="1" si="349"/>
        <v>0</v>
      </c>
      <c r="Y3232" s="64" t="str">
        <f t="shared" ca="1" si="350"/>
        <v/>
      </c>
    </row>
    <row r="3233" spans="1:25">
      <c r="A3233" s="2">
        <f>+Get_Data!A3232</f>
        <v>0</v>
      </c>
      <c r="B3233">
        <f>+ROUND(Get_Data!B3232,5)</f>
        <v>0</v>
      </c>
      <c r="C3233">
        <f>+ROUND(Get_Data!C3232,5)</f>
        <v>0</v>
      </c>
      <c r="D3233" s="4" t="str">
        <f t="shared" si="335"/>
        <v/>
      </c>
      <c r="E3233" s="22">
        <f t="shared" ca="1" si="336"/>
        <v>2.8629500000000001</v>
      </c>
      <c r="F3233" s="23">
        <f t="shared" ca="1" si="337"/>
        <v>2.7018499999999999</v>
      </c>
      <c r="G3233" s="10">
        <f t="shared" ca="1" si="338"/>
        <v>0</v>
      </c>
      <c r="H3233" s="12">
        <f t="shared" ca="1" si="339"/>
        <v>0</v>
      </c>
      <c r="I3233" s="11">
        <f t="shared" ca="1" si="340"/>
        <v>0</v>
      </c>
      <c r="J3233" s="11">
        <f t="shared" ca="1" si="341"/>
        <v>-1</v>
      </c>
      <c r="K3233" s="10">
        <f t="shared" ca="1" si="351"/>
        <v>131.24001000000001</v>
      </c>
      <c r="L3233" s="11">
        <f t="shared" ca="1" si="352"/>
        <v>-49.09</v>
      </c>
      <c r="M3233" s="11">
        <f t="shared" ca="1" si="353"/>
        <v>2.6734599999999999</v>
      </c>
      <c r="N3233" s="15">
        <f t="shared" ca="1" si="354"/>
        <v>10</v>
      </c>
      <c r="O3233" s="15">
        <f t="shared" ca="1" si="355"/>
        <v>27</v>
      </c>
      <c r="P3233" s="16">
        <f t="shared" ca="1" si="356"/>
        <v>-13.029899999999998</v>
      </c>
      <c r="Q3233" s="11" t="str">
        <f t="shared" ca="1" si="342"/>
        <v/>
      </c>
      <c r="R3233" s="11" t="str">
        <f t="shared" ca="1" si="343"/>
        <v/>
      </c>
      <c r="S3233" s="61" t="str">
        <f t="shared" ca="1" si="344"/>
        <v/>
      </c>
      <c r="T3233" s="11" t="str">
        <f t="shared" ca="1" si="345"/>
        <v/>
      </c>
      <c r="U3233" s="11" t="str">
        <f t="shared" ca="1" si="346"/>
        <v/>
      </c>
      <c r="V3233" s="18" t="str">
        <f t="shared" ca="1" si="347"/>
        <v/>
      </c>
      <c r="W3233" s="61" t="str">
        <f t="shared" ca="1" si="348"/>
        <v/>
      </c>
      <c r="X3233" s="61">
        <f t="shared" ca="1" si="349"/>
        <v>0</v>
      </c>
      <c r="Y3233" s="64" t="str">
        <f t="shared" ca="1" si="350"/>
        <v/>
      </c>
    </row>
    <row r="3234" spans="1:25">
      <c r="A3234" s="2">
        <f>+Get_Data!A3233</f>
        <v>0</v>
      </c>
      <c r="B3234">
        <f>+ROUND(Get_Data!B3233,5)</f>
        <v>0</v>
      </c>
      <c r="C3234">
        <f>+ROUND(Get_Data!C3233,5)</f>
        <v>0</v>
      </c>
      <c r="D3234" s="4" t="str">
        <f t="shared" si="335"/>
        <v/>
      </c>
      <c r="E3234" s="22">
        <f t="shared" ca="1" si="336"/>
        <v>2.8629500000000001</v>
      </c>
      <c r="F3234" s="23">
        <f t="shared" ca="1" si="337"/>
        <v>2.7246600000000001</v>
      </c>
      <c r="G3234" s="10">
        <f t="shared" ca="1" si="338"/>
        <v>0</v>
      </c>
      <c r="H3234" s="12">
        <f t="shared" ca="1" si="339"/>
        <v>0</v>
      </c>
      <c r="I3234" s="11">
        <f t="shared" ca="1" si="340"/>
        <v>0</v>
      </c>
      <c r="J3234" s="11">
        <f t="shared" ca="1" si="341"/>
        <v>-1</v>
      </c>
      <c r="K3234" s="10">
        <f t="shared" ca="1" si="351"/>
        <v>131.24001000000001</v>
      </c>
      <c r="L3234" s="11">
        <f t="shared" ca="1" si="352"/>
        <v>-49.09</v>
      </c>
      <c r="M3234" s="11">
        <f t="shared" ca="1" si="353"/>
        <v>2.6734599999999999</v>
      </c>
      <c r="N3234" s="15">
        <f t="shared" ca="1" si="354"/>
        <v>10</v>
      </c>
      <c r="O3234" s="15">
        <f t="shared" ca="1" si="355"/>
        <v>27</v>
      </c>
      <c r="P3234" s="16">
        <f t="shared" ca="1" si="356"/>
        <v>-13.029899999999998</v>
      </c>
      <c r="Q3234" s="11" t="str">
        <f t="shared" ca="1" si="342"/>
        <v/>
      </c>
      <c r="R3234" s="11" t="str">
        <f t="shared" ca="1" si="343"/>
        <v/>
      </c>
      <c r="S3234" s="61" t="str">
        <f t="shared" ca="1" si="344"/>
        <v/>
      </c>
      <c r="T3234" s="11" t="str">
        <f t="shared" ca="1" si="345"/>
        <v/>
      </c>
      <c r="U3234" s="11" t="str">
        <f t="shared" ca="1" si="346"/>
        <v/>
      </c>
      <c r="V3234" s="18" t="str">
        <f t="shared" ca="1" si="347"/>
        <v/>
      </c>
      <c r="W3234" s="61" t="str">
        <f t="shared" ca="1" si="348"/>
        <v/>
      </c>
      <c r="X3234" s="61">
        <f t="shared" ca="1" si="349"/>
        <v>0</v>
      </c>
      <c r="Y3234" s="64" t="str">
        <f t="shared" ca="1" si="350"/>
        <v/>
      </c>
    </row>
    <row r="3235" spans="1:25">
      <c r="A3235" s="2">
        <f>+Get_Data!A3234</f>
        <v>0</v>
      </c>
      <c r="B3235">
        <f>+ROUND(Get_Data!B3234,5)</f>
        <v>0</v>
      </c>
      <c r="C3235">
        <f>+ROUND(Get_Data!C3234,5)</f>
        <v>0</v>
      </c>
      <c r="D3235" s="4" t="str">
        <f t="shared" si="335"/>
        <v/>
      </c>
      <c r="E3235" s="22">
        <f t="shared" ca="1" si="336"/>
        <v>2.8629500000000001</v>
      </c>
      <c r="F3235" s="23">
        <f t="shared" ca="1" si="337"/>
        <v>2.7246600000000001</v>
      </c>
      <c r="G3235" s="10">
        <f t="shared" ca="1" si="338"/>
        <v>0</v>
      </c>
      <c r="H3235" s="12">
        <f t="shared" ca="1" si="339"/>
        <v>0</v>
      </c>
      <c r="I3235" s="11">
        <f t="shared" ca="1" si="340"/>
        <v>0</v>
      </c>
      <c r="J3235" s="11">
        <f t="shared" ca="1" si="341"/>
        <v>-1</v>
      </c>
      <c r="K3235" s="10">
        <f t="shared" ca="1" si="351"/>
        <v>131.24001000000001</v>
      </c>
      <c r="L3235" s="11">
        <f t="shared" ca="1" si="352"/>
        <v>-49.09</v>
      </c>
      <c r="M3235" s="11">
        <f t="shared" ca="1" si="353"/>
        <v>2.6734599999999999</v>
      </c>
      <c r="N3235" s="15">
        <f t="shared" ca="1" si="354"/>
        <v>10</v>
      </c>
      <c r="O3235" s="15">
        <f t="shared" ca="1" si="355"/>
        <v>27</v>
      </c>
      <c r="P3235" s="16">
        <f t="shared" ca="1" si="356"/>
        <v>-13.029899999999998</v>
      </c>
      <c r="Q3235" s="11" t="str">
        <f t="shared" ca="1" si="342"/>
        <v/>
      </c>
      <c r="R3235" s="11" t="str">
        <f t="shared" ca="1" si="343"/>
        <v/>
      </c>
      <c r="S3235" s="61" t="str">
        <f t="shared" ca="1" si="344"/>
        <v/>
      </c>
      <c r="T3235" s="11" t="str">
        <f t="shared" ca="1" si="345"/>
        <v/>
      </c>
      <c r="U3235" s="11" t="str">
        <f t="shared" ca="1" si="346"/>
        <v/>
      </c>
      <c r="V3235" s="18" t="str">
        <f t="shared" ca="1" si="347"/>
        <v/>
      </c>
      <c r="W3235" s="61" t="str">
        <f t="shared" ca="1" si="348"/>
        <v/>
      </c>
      <c r="X3235" s="61">
        <f t="shared" ca="1" si="349"/>
        <v>0</v>
      </c>
      <c r="Y3235" s="64" t="str">
        <f t="shared" ca="1" si="350"/>
        <v/>
      </c>
    </row>
    <row r="3236" spans="1:25">
      <c r="A3236" s="2">
        <f>+Get_Data!A3235</f>
        <v>0</v>
      </c>
      <c r="B3236">
        <f>+ROUND(Get_Data!B3235,5)</f>
        <v>0</v>
      </c>
      <c r="C3236">
        <f>+ROUND(Get_Data!C3235,5)</f>
        <v>0</v>
      </c>
      <c r="D3236" s="4" t="str">
        <f t="shared" si="335"/>
        <v/>
      </c>
      <c r="E3236" s="22">
        <f t="shared" ca="1" si="336"/>
        <v>2.8629500000000001</v>
      </c>
      <c r="F3236" s="23">
        <f t="shared" ca="1" si="337"/>
        <v>2.7246600000000001</v>
      </c>
      <c r="G3236" s="10">
        <f t="shared" ca="1" si="338"/>
        <v>0</v>
      </c>
      <c r="H3236" s="12">
        <f t="shared" ca="1" si="339"/>
        <v>0</v>
      </c>
      <c r="I3236" s="11">
        <f t="shared" ca="1" si="340"/>
        <v>0</v>
      </c>
      <c r="J3236" s="11">
        <f t="shared" ca="1" si="341"/>
        <v>-1</v>
      </c>
      <c r="K3236" s="10">
        <f t="shared" ca="1" si="351"/>
        <v>131.24001000000001</v>
      </c>
      <c r="L3236" s="11">
        <f t="shared" ca="1" si="352"/>
        <v>-49.09</v>
      </c>
      <c r="M3236" s="11">
        <f t="shared" ca="1" si="353"/>
        <v>2.6734599999999999</v>
      </c>
      <c r="N3236" s="15">
        <f t="shared" ca="1" si="354"/>
        <v>10</v>
      </c>
      <c r="O3236" s="15">
        <f t="shared" ca="1" si="355"/>
        <v>27</v>
      </c>
      <c r="P3236" s="16">
        <f t="shared" ca="1" si="356"/>
        <v>-13.029899999999998</v>
      </c>
      <c r="Q3236" s="11" t="str">
        <f t="shared" ca="1" si="342"/>
        <v/>
      </c>
      <c r="R3236" s="11" t="str">
        <f t="shared" ca="1" si="343"/>
        <v/>
      </c>
      <c r="S3236" s="61" t="str">
        <f t="shared" ca="1" si="344"/>
        <v/>
      </c>
      <c r="T3236" s="11" t="str">
        <f t="shared" ca="1" si="345"/>
        <v/>
      </c>
      <c r="U3236" s="11" t="str">
        <f t="shared" ca="1" si="346"/>
        <v/>
      </c>
      <c r="V3236" s="18" t="str">
        <f t="shared" ca="1" si="347"/>
        <v/>
      </c>
      <c r="W3236" s="61" t="str">
        <f t="shared" ca="1" si="348"/>
        <v/>
      </c>
      <c r="X3236" s="61">
        <f t="shared" ca="1" si="349"/>
        <v>0</v>
      </c>
      <c r="Y3236" s="64" t="str">
        <f t="shared" ca="1" si="350"/>
        <v/>
      </c>
    </row>
    <row r="3237" spans="1:25">
      <c r="A3237" s="2">
        <f>+Get_Data!A3236</f>
        <v>0</v>
      </c>
      <c r="B3237">
        <f>+ROUND(Get_Data!B3236,5)</f>
        <v>0</v>
      </c>
      <c r="C3237">
        <f>+ROUND(Get_Data!C3236,5)</f>
        <v>0</v>
      </c>
      <c r="D3237" s="4" t="str">
        <f t="shared" si="335"/>
        <v/>
      </c>
      <c r="E3237" s="22">
        <f t="shared" ca="1" si="336"/>
        <v>2.8629500000000001</v>
      </c>
      <c r="F3237" s="23">
        <f t="shared" ca="1" si="337"/>
        <v>2.7246600000000001</v>
      </c>
      <c r="G3237" s="10">
        <f t="shared" ca="1" si="338"/>
        <v>0</v>
      </c>
      <c r="H3237" s="12">
        <f t="shared" ca="1" si="339"/>
        <v>0</v>
      </c>
      <c r="I3237" s="11">
        <f t="shared" ca="1" si="340"/>
        <v>0</v>
      </c>
      <c r="J3237" s="11">
        <f t="shared" ca="1" si="341"/>
        <v>-1</v>
      </c>
      <c r="K3237" s="10">
        <f t="shared" ca="1" si="351"/>
        <v>131.24001000000001</v>
      </c>
      <c r="L3237" s="11">
        <f t="shared" ca="1" si="352"/>
        <v>-49.09</v>
      </c>
      <c r="M3237" s="11">
        <f t="shared" ca="1" si="353"/>
        <v>2.6734599999999999</v>
      </c>
      <c r="N3237" s="15">
        <f t="shared" ca="1" si="354"/>
        <v>10</v>
      </c>
      <c r="O3237" s="15">
        <f t="shared" ca="1" si="355"/>
        <v>27</v>
      </c>
      <c r="P3237" s="16">
        <f t="shared" ca="1" si="356"/>
        <v>-13.029899999999998</v>
      </c>
      <c r="Q3237" s="11" t="str">
        <f t="shared" ca="1" si="342"/>
        <v/>
      </c>
      <c r="R3237" s="11" t="str">
        <f t="shared" ca="1" si="343"/>
        <v/>
      </c>
      <c r="S3237" s="61" t="str">
        <f t="shared" ca="1" si="344"/>
        <v/>
      </c>
      <c r="T3237" s="11" t="str">
        <f t="shared" ca="1" si="345"/>
        <v/>
      </c>
      <c r="U3237" s="11" t="str">
        <f t="shared" ca="1" si="346"/>
        <v/>
      </c>
      <c r="V3237" s="18" t="str">
        <f t="shared" ca="1" si="347"/>
        <v/>
      </c>
      <c r="W3237" s="61" t="str">
        <f t="shared" ca="1" si="348"/>
        <v/>
      </c>
      <c r="X3237" s="61">
        <f t="shared" ca="1" si="349"/>
        <v>0</v>
      </c>
      <c r="Y3237" s="64" t="str">
        <f t="shared" ca="1" si="350"/>
        <v/>
      </c>
    </row>
    <row r="3238" spans="1:25">
      <c r="A3238" s="2">
        <f>+Get_Data!A3237</f>
        <v>0</v>
      </c>
      <c r="B3238">
        <f>+ROUND(Get_Data!B3237,5)</f>
        <v>0</v>
      </c>
      <c r="C3238">
        <f>+ROUND(Get_Data!C3237,5)</f>
        <v>0</v>
      </c>
      <c r="D3238" s="4" t="str">
        <f t="shared" si="335"/>
        <v/>
      </c>
      <c r="E3238" s="22">
        <f t="shared" ca="1" si="336"/>
        <v>2.8629500000000001</v>
      </c>
      <c r="F3238" s="23">
        <f t="shared" ca="1" si="337"/>
        <v>2.7246600000000001</v>
      </c>
      <c r="G3238" s="10">
        <f t="shared" ca="1" si="338"/>
        <v>0</v>
      </c>
      <c r="H3238" s="12">
        <f t="shared" ca="1" si="339"/>
        <v>0</v>
      </c>
      <c r="I3238" s="11">
        <f t="shared" ca="1" si="340"/>
        <v>0</v>
      </c>
      <c r="J3238" s="11">
        <f t="shared" ca="1" si="341"/>
        <v>-1</v>
      </c>
      <c r="K3238" s="10">
        <f t="shared" ca="1" si="351"/>
        <v>131.24001000000001</v>
      </c>
      <c r="L3238" s="11">
        <f t="shared" ca="1" si="352"/>
        <v>-49.09</v>
      </c>
      <c r="M3238" s="11">
        <f t="shared" ca="1" si="353"/>
        <v>2.6734599999999999</v>
      </c>
      <c r="N3238" s="15">
        <f t="shared" ca="1" si="354"/>
        <v>10</v>
      </c>
      <c r="O3238" s="15">
        <f t="shared" ca="1" si="355"/>
        <v>27</v>
      </c>
      <c r="P3238" s="16">
        <f t="shared" ca="1" si="356"/>
        <v>-13.029899999999998</v>
      </c>
      <c r="Q3238" s="11" t="str">
        <f t="shared" ca="1" si="342"/>
        <v/>
      </c>
      <c r="R3238" s="11" t="str">
        <f t="shared" ca="1" si="343"/>
        <v/>
      </c>
      <c r="S3238" s="61" t="str">
        <f t="shared" ca="1" si="344"/>
        <v/>
      </c>
      <c r="T3238" s="11" t="str">
        <f t="shared" ca="1" si="345"/>
        <v/>
      </c>
      <c r="U3238" s="11" t="str">
        <f t="shared" ca="1" si="346"/>
        <v/>
      </c>
      <c r="V3238" s="18" t="str">
        <f t="shared" ca="1" si="347"/>
        <v/>
      </c>
      <c r="W3238" s="61" t="str">
        <f t="shared" ca="1" si="348"/>
        <v/>
      </c>
      <c r="X3238" s="61">
        <f t="shared" ca="1" si="349"/>
        <v>0</v>
      </c>
      <c r="Y3238" s="64" t="str">
        <f t="shared" ca="1" si="350"/>
        <v/>
      </c>
    </row>
    <row r="3239" spans="1:25">
      <c r="A3239" s="2">
        <f>+Get_Data!A3238</f>
        <v>0</v>
      </c>
      <c r="B3239">
        <f>+ROUND(Get_Data!B3238,5)</f>
        <v>0</v>
      </c>
      <c r="C3239">
        <f>+ROUND(Get_Data!C3238,5)</f>
        <v>0</v>
      </c>
      <c r="D3239" s="4" t="str">
        <f t="shared" si="335"/>
        <v/>
      </c>
      <c r="E3239" s="22">
        <f t="shared" ca="1" si="336"/>
        <v>2.8582200000000002</v>
      </c>
      <c r="F3239" s="23">
        <f t="shared" ca="1" si="337"/>
        <v>2.7246600000000001</v>
      </c>
      <c r="G3239" s="10">
        <f t="shared" ca="1" si="338"/>
        <v>0</v>
      </c>
      <c r="H3239" s="12">
        <f t="shared" ca="1" si="339"/>
        <v>0</v>
      </c>
      <c r="I3239" s="11">
        <f t="shared" ca="1" si="340"/>
        <v>0</v>
      </c>
      <c r="J3239" s="11">
        <f t="shared" ca="1" si="341"/>
        <v>-1</v>
      </c>
      <c r="K3239" s="10">
        <f t="shared" ca="1" si="351"/>
        <v>131.24001000000001</v>
      </c>
      <c r="L3239" s="11">
        <f t="shared" ca="1" si="352"/>
        <v>-49.09</v>
      </c>
      <c r="M3239" s="11">
        <f t="shared" ca="1" si="353"/>
        <v>2.6734599999999999</v>
      </c>
      <c r="N3239" s="15">
        <f t="shared" ca="1" si="354"/>
        <v>10</v>
      </c>
      <c r="O3239" s="15">
        <f t="shared" ca="1" si="355"/>
        <v>27</v>
      </c>
      <c r="P3239" s="16">
        <f t="shared" ca="1" si="356"/>
        <v>-13.029899999999998</v>
      </c>
      <c r="Q3239" s="11" t="str">
        <f t="shared" ca="1" si="342"/>
        <v/>
      </c>
      <c r="R3239" s="11" t="str">
        <f t="shared" ca="1" si="343"/>
        <v/>
      </c>
      <c r="S3239" s="61" t="str">
        <f t="shared" ca="1" si="344"/>
        <v/>
      </c>
      <c r="T3239" s="11" t="str">
        <f t="shared" ca="1" si="345"/>
        <v/>
      </c>
      <c r="U3239" s="11" t="str">
        <f t="shared" ca="1" si="346"/>
        <v/>
      </c>
      <c r="V3239" s="18" t="str">
        <f t="shared" ca="1" si="347"/>
        <v/>
      </c>
      <c r="W3239" s="61" t="str">
        <f t="shared" ca="1" si="348"/>
        <v/>
      </c>
      <c r="X3239" s="61">
        <f t="shared" ca="1" si="349"/>
        <v>0</v>
      </c>
      <c r="Y3239" s="64" t="str">
        <f t="shared" ca="1" si="350"/>
        <v/>
      </c>
    </row>
    <row r="3240" spans="1:25">
      <c r="A3240" s="2">
        <f>+Get_Data!A3239</f>
        <v>0</v>
      </c>
      <c r="B3240">
        <f>+ROUND(Get_Data!B3239,5)</f>
        <v>0</v>
      </c>
      <c r="C3240">
        <f>+ROUND(Get_Data!C3239,5)</f>
        <v>0</v>
      </c>
      <c r="D3240" s="4" t="str">
        <f t="shared" si="335"/>
        <v/>
      </c>
      <c r="E3240" s="22">
        <f t="shared" ca="1" si="336"/>
        <v>2.8582200000000002</v>
      </c>
      <c r="F3240" s="23">
        <f t="shared" ca="1" si="337"/>
        <v>2.7246600000000001</v>
      </c>
      <c r="G3240" s="10">
        <f t="shared" ca="1" si="338"/>
        <v>0</v>
      </c>
      <c r="H3240" s="12">
        <f t="shared" ca="1" si="339"/>
        <v>0</v>
      </c>
      <c r="I3240" s="11">
        <f t="shared" ca="1" si="340"/>
        <v>0</v>
      </c>
      <c r="J3240" s="11">
        <f t="shared" ca="1" si="341"/>
        <v>-1</v>
      </c>
      <c r="K3240" s="10">
        <f t="shared" ca="1" si="351"/>
        <v>131.24001000000001</v>
      </c>
      <c r="L3240" s="11">
        <f t="shared" ca="1" si="352"/>
        <v>-49.09</v>
      </c>
      <c r="M3240" s="11">
        <f t="shared" ca="1" si="353"/>
        <v>2.6734599999999999</v>
      </c>
      <c r="N3240" s="15">
        <f t="shared" ca="1" si="354"/>
        <v>10</v>
      </c>
      <c r="O3240" s="15">
        <f t="shared" ca="1" si="355"/>
        <v>27</v>
      </c>
      <c r="P3240" s="16">
        <f t="shared" ca="1" si="356"/>
        <v>-13.029899999999998</v>
      </c>
      <c r="Q3240" s="11" t="str">
        <f t="shared" ca="1" si="342"/>
        <v/>
      </c>
      <c r="R3240" s="11" t="str">
        <f t="shared" ca="1" si="343"/>
        <v/>
      </c>
      <c r="S3240" s="61" t="str">
        <f t="shared" ca="1" si="344"/>
        <v/>
      </c>
      <c r="T3240" s="11" t="str">
        <f t="shared" ca="1" si="345"/>
        <v/>
      </c>
      <c r="U3240" s="11" t="str">
        <f t="shared" ca="1" si="346"/>
        <v/>
      </c>
      <c r="V3240" s="18" t="str">
        <f t="shared" ca="1" si="347"/>
        <v/>
      </c>
      <c r="W3240" s="61" t="str">
        <f t="shared" ca="1" si="348"/>
        <v/>
      </c>
      <c r="X3240" s="61">
        <f t="shared" ca="1" si="349"/>
        <v>0</v>
      </c>
      <c r="Y3240" s="64" t="str">
        <f t="shared" ca="1" si="350"/>
        <v/>
      </c>
    </row>
    <row r="3241" spans="1:25">
      <c r="A3241" s="2">
        <f>+Get_Data!A3240</f>
        <v>0</v>
      </c>
      <c r="B3241">
        <f>+ROUND(Get_Data!B3240,5)</f>
        <v>0</v>
      </c>
      <c r="C3241">
        <f>+ROUND(Get_Data!C3240,5)</f>
        <v>0</v>
      </c>
      <c r="D3241" s="4" t="str">
        <f t="shared" si="335"/>
        <v/>
      </c>
      <c r="E3241" s="22">
        <f t="shared" ca="1" si="336"/>
        <v>2.8582200000000002</v>
      </c>
      <c r="F3241" s="23">
        <f t="shared" ca="1" si="337"/>
        <v>2.7246600000000001</v>
      </c>
      <c r="G3241" s="10">
        <f t="shared" ca="1" si="338"/>
        <v>0</v>
      </c>
      <c r="H3241" s="12">
        <f t="shared" ca="1" si="339"/>
        <v>0</v>
      </c>
      <c r="I3241" s="11">
        <f t="shared" ca="1" si="340"/>
        <v>0</v>
      </c>
      <c r="J3241" s="11">
        <f t="shared" ca="1" si="341"/>
        <v>-1</v>
      </c>
      <c r="K3241" s="10">
        <f t="shared" ca="1" si="351"/>
        <v>131.24001000000001</v>
      </c>
      <c r="L3241" s="11">
        <f t="shared" ca="1" si="352"/>
        <v>-49.09</v>
      </c>
      <c r="M3241" s="11">
        <f t="shared" ca="1" si="353"/>
        <v>2.6734599999999999</v>
      </c>
      <c r="N3241" s="15">
        <f t="shared" ca="1" si="354"/>
        <v>10</v>
      </c>
      <c r="O3241" s="15">
        <f t="shared" ca="1" si="355"/>
        <v>27</v>
      </c>
      <c r="P3241" s="16">
        <f t="shared" ca="1" si="356"/>
        <v>-13.029899999999998</v>
      </c>
      <c r="Q3241" s="11" t="str">
        <f t="shared" ca="1" si="342"/>
        <v/>
      </c>
      <c r="R3241" s="11" t="str">
        <f t="shared" ca="1" si="343"/>
        <v/>
      </c>
      <c r="S3241" s="61" t="str">
        <f t="shared" ca="1" si="344"/>
        <v/>
      </c>
      <c r="T3241" s="11" t="str">
        <f t="shared" ca="1" si="345"/>
        <v/>
      </c>
      <c r="U3241" s="11" t="str">
        <f t="shared" ca="1" si="346"/>
        <v/>
      </c>
      <c r="V3241" s="18" t="str">
        <f t="shared" ca="1" si="347"/>
        <v/>
      </c>
      <c r="W3241" s="61" t="str">
        <f t="shared" ca="1" si="348"/>
        <v/>
      </c>
      <c r="X3241" s="61">
        <f t="shared" ca="1" si="349"/>
        <v>0</v>
      </c>
      <c r="Y3241" s="64" t="str">
        <f t="shared" ca="1" si="350"/>
        <v/>
      </c>
    </row>
    <row r="3242" spans="1:25">
      <c r="A3242" s="2">
        <f>+Get_Data!A3241</f>
        <v>0</v>
      </c>
      <c r="B3242">
        <f>+ROUND(Get_Data!B3241,5)</f>
        <v>0</v>
      </c>
      <c r="C3242">
        <f>+ROUND(Get_Data!C3241,5)</f>
        <v>0</v>
      </c>
      <c r="D3242" s="4" t="str">
        <f t="shared" si="335"/>
        <v/>
      </c>
      <c r="E3242" s="22">
        <f t="shared" ca="1" si="336"/>
        <v>2.8582200000000002</v>
      </c>
      <c r="F3242" s="23">
        <f t="shared" ca="1" si="337"/>
        <v>2.7246600000000001</v>
      </c>
      <c r="G3242" s="10">
        <f t="shared" ca="1" si="338"/>
        <v>0</v>
      </c>
      <c r="H3242" s="12">
        <f t="shared" ca="1" si="339"/>
        <v>0</v>
      </c>
      <c r="I3242" s="11">
        <f t="shared" ca="1" si="340"/>
        <v>0</v>
      </c>
      <c r="J3242" s="11">
        <f t="shared" ca="1" si="341"/>
        <v>-1</v>
      </c>
      <c r="K3242" s="10">
        <f t="shared" ca="1" si="351"/>
        <v>131.24001000000001</v>
      </c>
      <c r="L3242" s="11">
        <f t="shared" ca="1" si="352"/>
        <v>-49.09</v>
      </c>
      <c r="M3242" s="11">
        <f t="shared" ca="1" si="353"/>
        <v>2.6734599999999999</v>
      </c>
      <c r="N3242" s="15">
        <f t="shared" ca="1" si="354"/>
        <v>10</v>
      </c>
      <c r="O3242" s="15">
        <f t="shared" ca="1" si="355"/>
        <v>27</v>
      </c>
      <c r="P3242" s="16">
        <f t="shared" ca="1" si="356"/>
        <v>-13.029899999999998</v>
      </c>
      <c r="Q3242" s="11" t="str">
        <f t="shared" ca="1" si="342"/>
        <v/>
      </c>
      <c r="R3242" s="11" t="str">
        <f t="shared" ca="1" si="343"/>
        <v/>
      </c>
      <c r="S3242" s="61" t="str">
        <f t="shared" ca="1" si="344"/>
        <v/>
      </c>
      <c r="T3242" s="11" t="str">
        <f t="shared" ca="1" si="345"/>
        <v/>
      </c>
      <c r="U3242" s="11" t="str">
        <f t="shared" ca="1" si="346"/>
        <v/>
      </c>
      <c r="V3242" s="18" t="str">
        <f t="shared" ca="1" si="347"/>
        <v/>
      </c>
      <c r="W3242" s="61" t="str">
        <f t="shared" ca="1" si="348"/>
        <v/>
      </c>
      <c r="X3242" s="61">
        <f t="shared" ca="1" si="349"/>
        <v>0</v>
      </c>
      <c r="Y3242" s="64" t="str">
        <f t="shared" ca="1" si="350"/>
        <v/>
      </c>
    </row>
    <row r="3243" spans="1:25">
      <c r="A3243" s="2">
        <f>+Get_Data!A3242</f>
        <v>0</v>
      </c>
      <c r="B3243">
        <f>+ROUND(Get_Data!B3242,5)</f>
        <v>0</v>
      </c>
      <c r="C3243">
        <f>+ROUND(Get_Data!C3242,5)</f>
        <v>0</v>
      </c>
      <c r="D3243" s="4" t="str">
        <f t="shared" si="335"/>
        <v/>
      </c>
      <c r="E3243" s="22">
        <f t="shared" ca="1" si="336"/>
        <v>2.8582200000000002</v>
      </c>
      <c r="F3243" s="23">
        <f t="shared" ca="1" si="337"/>
        <v>2.7246600000000001</v>
      </c>
      <c r="G3243" s="10">
        <f t="shared" ca="1" si="338"/>
        <v>0</v>
      </c>
      <c r="H3243" s="12">
        <f t="shared" ca="1" si="339"/>
        <v>0</v>
      </c>
      <c r="I3243" s="11">
        <f t="shared" ca="1" si="340"/>
        <v>0</v>
      </c>
      <c r="J3243" s="11">
        <f t="shared" ca="1" si="341"/>
        <v>-1</v>
      </c>
      <c r="K3243" s="10">
        <f t="shared" ca="1" si="351"/>
        <v>131.24001000000001</v>
      </c>
      <c r="L3243" s="11">
        <f t="shared" ca="1" si="352"/>
        <v>-49.09</v>
      </c>
      <c r="M3243" s="11">
        <f t="shared" ca="1" si="353"/>
        <v>2.6734599999999999</v>
      </c>
      <c r="N3243" s="15">
        <f t="shared" ca="1" si="354"/>
        <v>10</v>
      </c>
      <c r="O3243" s="15">
        <f t="shared" ca="1" si="355"/>
        <v>27</v>
      </c>
      <c r="P3243" s="16">
        <f t="shared" ca="1" si="356"/>
        <v>-13.029899999999998</v>
      </c>
      <c r="Q3243" s="11" t="str">
        <f t="shared" ca="1" si="342"/>
        <v/>
      </c>
      <c r="R3243" s="11" t="str">
        <f t="shared" ca="1" si="343"/>
        <v/>
      </c>
      <c r="S3243" s="61" t="str">
        <f t="shared" ca="1" si="344"/>
        <v/>
      </c>
      <c r="T3243" s="11" t="str">
        <f t="shared" ca="1" si="345"/>
        <v/>
      </c>
      <c r="U3243" s="11" t="str">
        <f t="shared" ca="1" si="346"/>
        <v/>
      </c>
      <c r="V3243" s="18" t="str">
        <f t="shared" ca="1" si="347"/>
        <v/>
      </c>
      <c r="W3243" s="61" t="str">
        <f t="shared" ca="1" si="348"/>
        <v/>
      </c>
      <c r="X3243" s="61">
        <f t="shared" ca="1" si="349"/>
        <v>0</v>
      </c>
      <c r="Y3243" s="64" t="str">
        <f t="shared" ca="1" si="350"/>
        <v/>
      </c>
    </row>
    <row r="3244" spans="1:25">
      <c r="A3244" s="2">
        <f>+Get_Data!A3243</f>
        <v>0</v>
      </c>
      <c r="B3244">
        <f>+ROUND(Get_Data!B3243,5)</f>
        <v>0</v>
      </c>
      <c r="C3244">
        <f>+ROUND(Get_Data!C3243,5)</f>
        <v>0</v>
      </c>
      <c r="D3244" s="4" t="str">
        <f t="shared" si="335"/>
        <v/>
      </c>
      <c r="E3244" s="22">
        <f t="shared" ca="1" si="336"/>
        <v>2.8582200000000002</v>
      </c>
      <c r="F3244" s="23">
        <f t="shared" ca="1" si="337"/>
        <v>2.7246600000000001</v>
      </c>
      <c r="G3244" s="10">
        <f t="shared" ca="1" si="338"/>
        <v>0</v>
      </c>
      <c r="H3244" s="12">
        <f t="shared" ca="1" si="339"/>
        <v>0</v>
      </c>
      <c r="I3244" s="11">
        <f t="shared" ca="1" si="340"/>
        <v>0</v>
      </c>
      <c r="J3244" s="11">
        <f t="shared" ca="1" si="341"/>
        <v>-1</v>
      </c>
      <c r="K3244" s="10">
        <f t="shared" ca="1" si="351"/>
        <v>131.24001000000001</v>
      </c>
      <c r="L3244" s="11">
        <f t="shared" ca="1" si="352"/>
        <v>-49.09</v>
      </c>
      <c r="M3244" s="11">
        <f t="shared" ca="1" si="353"/>
        <v>2.6734599999999999</v>
      </c>
      <c r="N3244" s="15">
        <f t="shared" ca="1" si="354"/>
        <v>10</v>
      </c>
      <c r="O3244" s="15">
        <f t="shared" ca="1" si="355"/>
        <v>27</v>
      </c>
      <c r="P3244" s="16">
        <f t="shared" ca="1" si="356"/>
        <v>-13.029899999999998</v>
      </c>
      <c r="Q3244" s="11" t="str">
        <f t="shared" ca="1" si="342"/>
        <v/>
      </c>
      <c r="R3244" s="11" t="str">
        <f t="shared" ca="1" si="343"/>
        <v/>
      </c>
      <c r="S3244" s="61" t="str">
        <f t="shared" ca="1" si="344"/>
        <v/>
      </c>
      <c r="T3244" s="11" t="str">
        <f t="shared" ca="1" si="345"/>
        <v/>
      </c>
      <c r="U3244" s="11" t="str">
        <f t="shared" ca="1" si="346"/>
        <v/>
      </c>
      <c r="V3244" s="18" t="str">
        <f t="shared" ca="1" si="347"/>
        <v/>
      </c>
      <c r="W3244" s="61" t="str">
        <f t="shared" ca="1" si="348"/>
        <v/>
      </c>
      <c r="X3244" s="61">
        <f t="shared" ca="1" si="349"/>
        <v>0</v>
      </c>
      <c r="Y3244" s="64" t="str">
        <f t="shared" ca="1" si="350"/>
        <v/>
      </c>
    </row>
    <row r="3245" spans="1:25">
      <c r="A3245" s="2">
        <f>+Get_Data!A3244</f>
        <v>0</v>
      </c>
      <c r="B3245">
        <f>+ROUND(Get_Data!B3244,5)</f>
        <v>0</v>
      </c>
      <c r="C3245">
        <f>+ROUND(Get_Data!C3244,5)</f>
        <v>0</v>
      </c>
      <c r="D3245" s="4" t="str">
        <f t="shared" si="335"/>
        <v/>
      </c>
      <c r="E3245" s="22">
        <f t="shared" ca="1" si="336"/>
        <v>2.8582200000000002</v>
      </c>
      <c r="F3245" s="23">
        <f t="shared" ca="1" si="337"/>
        <v>2.7819500000000001</v>
      </c>
      <c r="G3245" s="10">
        <f t="shared" ca="1" si="338"/>
        <v>0</v>
      </c>
      <c r="H3245" s="12">
        <f t="shared" ca="1" si="339"/>
        <v>0</v>
      </c>
      <c r="I3245" s="11">
        <f t="shared" ca="1" si="340"/>
        <v>0</v>
      </c>
      <c r="J3245" s="11">
        <f t="shared" ca="1" si="341"/>
        <v>-1</v>
      </c>
      <c r="K3245" s="10">
        <f t="shared" ca="1" si="351"/>
        <v>131.24001000000001</v>
      </c>
      <c r="L3245" s="11">
        <f t="shared" ca="1" si="352"/>
        <v>-49.09</v>
      </c>
      <c r="M3245" s="11">
        <f t="shared" ca="1" si="353"/>
        <v>2.6734599999999999</v>
      </c>
      <c r="N3245" s="15">
        <f t="shared" ca="1" si="354"/>
        <v>10</v>
      </c>
      <c r="O3245" s="15">
        <f t="shared" ca="1" si="355"/>
        <v>27</v>
      </c>
      <c r="P3245" s="16">
        <f t="shared" ca="1" si="356"/>
        <v>-13.029899999999998</v>
      </c>
      <c r="Q3245" s="11" t="str">
        <f t="shared" ca="1" si="342"/>
        <v/>
      </c>
      <c r="R3245" s="11" t="str">
        <f t="shared" ca="1" si="343"/>
        <v/>
      </c>
      <c r="S3245" s="61" t="str">
        <f t="shared" ca="1" si="344"/>
        <v/>
      </c>
      <c r="T3245" s="11" t="str">
        <f t="shared" ca="1" si="345"/>
        <v/>
      </c>
      <c r="U3245" s="11" t="str">
        <f t="shared" ca="1" si="346"/>
        <v/>
      </c>
      <c r="V3245" s="18" t="str">
        <f t="shared" ca="1" si="347"/>
        <v/>
      </c>
      <c r="W3245" s="61" t="str">
        <f t="shared" ca="1" si="348"/>
        <v/>
      </c>
      <c r="X3245" s="61">
        <f t="shared" ca="1" si="349"/>
        <v>0</v>
      </c>
      <c r="Y3245" s="64" t="str">
        <f t="shared" ca="1" si="350"/>
        <v/>
      </c>
    </row>
    <row r="3246" spans="1:25">
      <c r="A3246" s="2">
        <f>+Get_Data!A3245</f>
        <v>0</v>
      </c>
      <c r="B3246">
        <f>+ROUND(Get_Data!B3245,5)</f>
        <v>0</v>
      </c>
      <c r="C3246">
        <f>+ROUND(Get_Data!C3245,5)</f>
        <v>0</v>
      </c>
      <c r="D3246" s="4" t="str">
        <f t="shared" si="335"/>
        <v/>
      </c>
      <c r="E3246" s="22">
        <f t="shared" ca="1" si="336"/>
        <v>2.8582200000000002</v>
      </c>
      <c r="F3246" s="23">
        <f t="shared" ca="1" si="337"/>
        <v>2.8226800000000001</v>
      </c>
      <c r="G3246" s="10">
        <f t="shared" ca="1" si="338"/>
        <v>0</v>
      </c>
      <c r="H3246" s="12">
        <f t="shared" ca="1" si="339"/>
        <v>0</v>
      </c>
      <c r="I3246" s="11">
        <f t="shared" ca="1" si="340"/>
        <v>0</v>
      </c>
      <c r="J3246" s="11">
        <f t="shared" ca="1" si="341"/>
        <v>-1</v>
      </c>
      <c r="K3246" s="10">
        <f t="shared" ca="1" si="351"/>
        <v>131.24001000000001</v>
      </c>
      <c r="L3246" s="11">
        <f t="shared" ca="1" si="352"/>
        <v>-49.09</v>
      </c>
      <c r="M3246" s="11">
        <f t="shared" ca="1" si="353"/>
        <v>2.6734599999999999</v>
      </c>
      <c r="N3246" s="15">
        <f t="shared" ca="1" si="354"/>
        <v>10</v>
      </c>
      <c r="O3246" s="15">
        <f t="shared" ca="1" si="355"/>
        <v>27</v>
      </c>
      <c r="P3246" s="16">
        <f t="shared" ca="1" si="356"/>
        <v>-13.029899999999998</v>
      </c>
      <c r="Q3246" s="11" t="str">
        <f t="shared" ca="1" si="342"/>
        <v/>
      </c>
      <c r="R3246" s="11" t="str">
        <f t="shared" ca="1" si="343"/>
        <v/>
      </c>
      <c r="S3246" s="61" t="str">
        <f t="shared" ca="1" si="344"/>
        <v/>
      </c>
      <c r="T3246" s="11" t="str">
        <f t="shared" ca="1" si="345"/>
        <v/>
      </c>
      <c r="U3246" s="11" t="str">
        <f t="shared" ca="1" si="346"/>
        <v/>
      </c>
      <c r="V3246" s="18" t="str">
        <f t="shared" ca="1" si="347"/>
        <v/>
      </c>
      <c r="W3246" s="61" t="str">
        <f t="shared" ca="1" si="348"/>
        <v/>
      </c>
      <c r="X3246" s="61">
        <f t="shared" ca="1" si="349"/>
        <v>0</v>
      </c>
      <c r="Y3246" s="64" t="str">
        <f t="shared" ca="1" si="350"/>
        <v/>
      </c>
    </row>
    <row r="3247" spans="1:25">
      <c r="A3247" s="2">
        <f>+Get_Data!A3246</f>
        <v>0</v>
      </c>
      <c r="B3247">
        <f>+ROUND(Get_Data!B3246,5)</f>
        <v>0</v>
      </c>
      <c r="C3247">
        <f>+ROUND(Get_Data!C3246,5)</f>
        <v>0</v>
      </c>
      <c r="D3247" s="4" t="str">
        <f t="shared" si="335"/>
        <v/>
      </c>
      <c r="E3247" s="22">
        <f t="shared" ca="1" si="336"/>
        <v>2.8435800000000002</v>
      </c>
      <c r="F3247" s="23">
        <f t="shared" ca="1" si="337"/>
        <v>2.8226800000000001</v>
      </c>
      <c r="G3247" s="10">
        <f t="shared" ca="1" si="338"/>
        <v>0</v>
      </c>
      <c r="H3247" s="12">
        <f t="shared" ca="1" si="339"/>
        <v>0</v>
      </c>
      <c r="I3247" s="11">
        <f t="shared" ca="1" si="340"/>
        <v>0</v>
      </c>
      <c r="J3247" s="11">
        <f t="shared" ca="1" si="341"/>
        <v>-1</v>
      </c>
      <c r="K3247" s="10">
        <f t="shared" ca="1" si="351"/>
        <v>131.24001000000001</v>
      </c>
      <c r="L3247" s="11">
        <f t="shared" ca="1" si="352"/>
        <v>-49.09</v>
      </c>
      <c r="M3247" s="11">
        <f t="shared" ca="1" si="353"/>
        <v>2.6734599999999999</v>
      </c>
      <c r="N3247" s="15">
        <f t="shared" ca="1" si="354"/>
        <v>10</v>
      </c>
      <c r="O3247" s="15">
        <f t="shared" ca="1" si="355"/>
        <v>27</v>
      </c>
      <c r="P3247" s="16">
        <f t="shared" ca="1" si="356"/>
        <v>-13.029899999999998</v>
      </c>
      <c r="Q3247" s="11" t="str">
        <f t="shared" ca="1" si="342"/>
        <v/>
      </c>
      <c r="R3247" s="11" t="str">
        <f t="shared" ca="1" si="343"/>
        <v/>
      </c>
      <c r="S3247" s="61" t="str">
        <f t="shared" ca="1" si="344"/>
        <v/>
      </c>
      <c r="T3247" s="11" t="str">
        <f t="shared" ca="1" si="345"/>
        <v/>
      </c>
      <c r="U3247" s="11" t="str">
        <f t="shared" ca="1" si="346"/>
        <v/>
      </c>
      <c r="V3247" s="18" t="str">
        <f t="shared" ca="1" si="347"/>
        <v/>
      </c>
      <c r="W3247" s="61" t="str">
        <f t="shared" ca="1" si="348"/>
        <v/>
      </c>
      <c r="X3247" s="61">
        <f t="shared" ca="1" si="349"/>
        <v>0</v>
      </c>
      <c r="Y3247" s="64" t="str">
        <f t="shared" ca="1" si="350"/>
        <v/>
      </c>
    </row>
    <row r="3248" spans="1:25">
      <c r="A3248" s="2">
        <f>+Get_Data!A3247</f>
        <v>0</v>
      </c>
      <c r="B3248">
        <f>+ROUND(Get_Data!B3247,5)</f>
        <v>0</v>
      </c>
      <c r="C3248">
        <f>+ROUND(Get_Data!C3247,5)</f>
        <v>0</v>
      </c>
      <c r="D3248" s="4" t="str">
        <f t="shared" si="335"/>
        <v/>
      </c>
      <c r="E3248" s="22">
        <f t="shared" ca="1" si="336"/>
        <v>2.8226800000000001</v>
      </c>
      <c r="F3248" s="23">
        <f t="shared" ca="1" si="337"/>
        <v>2.8226800000000001</v>
      </c>
      <c r="G3248" s="10">
        <f t="shared" ca="1" si="338"/>
        <v>0</v>
      </c>
      <c r="H3248" s="12">
        <f t="shared" ca="1" si="339"/>
        <v>0</v>
      </c>
      <c r="I3248" s="11">
        <f t="shared" ca="1" si="340"/>
        <v>0</v>
      </c>
      <c r="J3248" s="11">
        <f t="shared" ca="1" si="341"/>
        <v>-1</v>
      </c>
      <c r="K3248" s="10">
        <f t="shared" ca="1" si="351"/>
        <v>131.24001000000001</v>
      </c>
      <c r="L3248" s="11">
        <f t="shared" ca="1" si="352"/>
        <v>-49.09</v>
      </c>
      <c r="M3248" s="11">
        <f t="shared" ca="1" si="353"/>
        <v>2.6734599999999999</v>
      </c>
      <c r="N3248" s="15">
        <f t="shared" ca="1" si="354"/>
        <v>10</v>
      </c>
      <c r="O3248" s="15">
        <f t="shared" ca="1" si="355"/>
        <v>27</v>
      </c>
      <c r="P3248" s="16">
        <f t="shared" ca="1" si="356"/>
        <v>-13.029899999999998</v>
      </c>
      <c r="Q3248" s="11" t="str">
        <f t="shared" ca="1" si="342"/>
        <v/>
      </c>
      <c r="R3248" s="11" t="str">
        <f t="shared" ca="1" si="343"/>
        <v/>
      </c>
      <c r="S3248" s="61" t="str">
        <f t="shared" ca="1" si="344"/>
        <v/>
      </c>
      <c r="T3248" s="11" t="str">
        <f t="shared" ca="1" si="345"/>
        <v/>
      </c>
      <c r="U3248" s="11" t="str">
        <f t="shared" ca="1" si="346"/>
        <v/>
      </c>
      <c r="V3248" s="18" t="str">
        <f t="shared" ca="1" si="347"/>
        <v/>
      </c>
      <c r="W3248" s="61" t="str">
        <f t="shared" ca="1" si="348"/>
        <v/>
      </c>
      <c r="X3248" s="61">
        <f t="shared" ca="1" si="349"/>
        <v>0</v>
      </c>
      <c r="Y3248" s="64" t="str">
        <f t="shared" ca="1" si="350"/>
        <v/>
      </c>
    </row>
    <row r="3249" spans="1:25">
      <c r="A3249" s="2">
        <f>+Get_Data!A3248</f>
        <v>0</v>
      </c>
      <c r="B3249">
        <f>+ROUND(Get_Data!B3248,5)</f>
        <v>0</v>
      </c>
      <c r="C3249">
        <f>+ROUND(Get_Data!C3248,5)</f>
        <v>0</v>
      </c>
      <c r="D3249" s="4" t="str">
        <f t="shared" si="335"/>
        <v/>
      </c>
      <c r="E3249" s="22">
        <f t="shared" ca="1" si="336"/>
        <v>0</v>
      </c>
      <c r="F3249" s="23">
        <f t="shared" ca="1" si="337"/>
        <v>0</v>
      </c>
      <c r="G3249" s="10">
        <f t="shared" ca="1" si="338"/>
        <v>0</v>
      </c>
      <c r="H3249" s="12">
        <f t="shared" ca="1" si="339"/>
        <v>0</v>
      </c>
      <c r="I3249" s="11">
        <f t="shared" ca="1" si="340"/>
        <v>0</v>
      </c>
      <c r="J3249" s="11">
        <f t="shared" ca="1" si="341"/>
        <v>-1</v>
      </c>
      <c r="K3249" s="10">
        <f t="shared" ca="1" si="351"/>
        <v>131.24001000000001</v>
      </c>
      <c r="L3249" s="11">
        <f t="shared" ca="1" si="352"/>
        <v>-49.09</v>
      </c>
      <c r="M3249" s="11">
        <f t="shared" ca="1" si="353"/>
        <v>2.6734599999999999</v>
      </c>
      <c r="N3249" s="15">
        <f t="shared" ca="1" si="354"/>
        <v>10</v>
      </c>
      <c r="O3249" s="15">
        <f t="shared" ca="1" si="355"/>
        <v>27</v>
      </c>
      <c r="P3249" s="16">
        <f t="shared" ca="1" si="356"/>
        <v>-13.029899999999998</v>
      </c>
      <c r="Q3249" s="11" t="str">
        <f t="shared" ca="1" si="342"/>
        <v/>
      </c>
      <c r="R3249" s="11" t="str">
        <f t="shared" ca="1" si="343"/>
        <v/>
      </c>
      <c r="S3249" s="61" t="str">
        <f t="shared" ca="1" si="344"/>
        <v/>
      </c>
      <c r="T3249" s="11" t="str">
        <f t="shared" ca="1" si="345"/>
        <v/>
      </c>
      <c r="U3249" s="11" t="str">
        <f t="shared" ca="1" si="346"/>
        <v/>
      </c>
      <c r="V3249" s="18" t="str">
        <f t="shared" ca="1" si="347"/>
        <v/>
      </c>
      <c r="W3249" s="61" t="str">
        <f t="shared" ca="1" si="348"/>
        <v/>
      </c>
      <c r="X3249" s="61">
        <f t="shared" ca="1" si="349"/>
        <v>0</v>
      </c>
      <c r="Y3249" s="64" t="str">
        <f t="shared" ca="1" si="350"/>
        <v/>
      </c>
    </row>
    <row r="3250" spans="1:25">
      <c r="A3250" s="2">
        <f>+Get_Data!A3249</f>
        <v>0</v>
      </c>
      <c r="B3250">
        <f>+ROUND(Get_Data!B3249,5)</f>
        <v>0</v>
      </c>
      <c r="C3250">
        <f>+ROUND(Get_Data!C3249,5)</f>
        <v>0</v>
      </c>
      <c r="D3250" s="4" t="str">
        <f t="shared" ref="D3250:D3313" si="357">IFERROR(ROUND(B3250/C3250,5),"")</f>
        <v/>
      </c>
      <c r="E3250" s="22">
        <f t="shared" ca="1" si="336"/>
        <v>0</v>
      </c>
      <c r="F3250" s="23">
        <f t="shared" ca="1" si="337"/>
        <v>0</v>
      </c>
      <c r="G3250" s="10">
        <f t="shared" ca="1" si="338"/>
        <v>0</v>
      </c>
      <c r="H3250" s="12">
        <f t="shared" ca="1" si="339"/>
        <v>0</v>
      </c>
      <c r="I3250" s="11">
        <f t="shared" ca="1" si="340"/>
        <v>0</v>
      </c>
      <c r="J3250" s="11">
        <f t="shared" ca="1" si="341"/>
        <v>-1</v>
      </c>
      <c r="K3250" s="10">
        <f t="shared" ca="1" si="351"/>
        <v>131.24001000000001</v>
      </c>
      <c r="L3250" s="11">
        <f t="shared" ca="1" si="352"/>
        <v>-49.09</v>
      </c>
      <c r="M3250" s="11">
        <f t="shared" ca="1" si="353"/>
        <v>2.6734599999999999</v>
      </c>
      <c r="N3250" s="15">
        <f t="shared" ca="1" si="354"/>
        <v>10</v>
      </c>
      <c r="O3250" s="15">
        <f t="shared" ca="1" si="355"/>
        <v>27</v>
      </c>
      <c r="P3250" s="16">
        <f t="shared" ca="1" si="356"/>
        <v>-13.029899999999998</v>
      </c>
      <c r="Q3250" s="11" t="str">
        <f t="shared" ca="1" si="342"/>
        <v/>
      </c>
      <c r="R3250" s="11" t="str">
        <f t="shared" ca="1" si="343"/>
        <v/>
      </c>
      <c r="S3250" s="61" t="str">
        <f t="shared" ca="1" si="344"/>
        <v/>
      </c>
      <c r="T3250" s="11" t="str">
        <f t="shared" ca="1" si="345"/>
        <v/>
      </c>
      <c r="U3250" s="11" t="str">
        <f t="shared" ca="1" si="346"/>
        <v/>
      </c>
      <c r="V3250" s="18" t="str">
        <f t="shared" ca="1" si="347"/>
        <v/>
      </c>
      <c r="W3250" s="61" t="str">
        <f t="shared" ca="1" si="348"/>
        <v/>
      </c>
      <c r="X3250" s="61">
        <f t="shared" ca="1" si="349"/>
        <v>0</v>
      </c>
      <c r="Y3250" s="64" t="str">
        <f t="shared" ca="1" si="350"/>
        <v/>
      </c>
    </row>
    <row r="3251" spans="1:25">
      <c r="A3251" s="2">
        <f>+Get_Data!A3250</f>
        <v>0</v>
      </c>
      <c r="B3251">
        <f>+ROUND(Get_Data!B3250,5)</f>
        <v>0</v>
      </c>
      <c r="C3251">
        <f>+ROUND(Get_Data!C3250,5)</f>
        <v>0</v>
      </c>
      <c r="D3251" s="4" t="str">
        <f t="shared" si="357"/>
        <v/>
      </c>
      <c r="E3251" s="22">
        <f t="shared" ca="1" si="336"/>
        <v>0</v>
      </c>
      <c r="F3251" s="23">
        <f t="shared" ca="1" si="337"/>
        <v>0</v>
      </c>
      <c r="G3251" s="10">
        <f t="shared" ca="1" si="338"/>
        <v>0</v>
      </c>
      <c r="H3251" s="12">
        <f t="shared" ca="1" si="339"/>
        <v>0</v>
      </c>
      <c r="I3251" s="11">
        <f t="shared" ca="1" si="340"/>
        <v>0</v>
      </c>
      <c r="J3251" s="11">
        <f t="shared" ca="1" si="341"/>
        <v>-1</v>
      </c>
      <c r="K3251" s="10">
        <f t="shared" ca="1" si="351"/>
        <v>131.24001000000001</v>
      </c>
      <c r="L3251" s="11">
        <f t="shared" ca="1" si="352"/>
        <v>-49.09</v>
      </c>
      <c r="M3251" s="11">
        <f t="shared" ca="1" si="353"/>
        <v>2.6734599999999999</v>
      </c>
      <c r="N3251" s="15">
        <f t="shared" ca="1" si="354"/>
        <v>10</v>
      </c>
      <c r="O3251" s="15">
        <f t="shared" ca="1" si="355"/>
        <v>27</v>
      </c>
      <c r="P3251" s="16">
        <f t="shared" ca="1" si="356"/>
        <v>-13.029899999999998</v>
      </c>
      <c r="Q3251" s="11" t="str">
        <f t="shared" ca="1" si="342"/>
        <v/>
      </c>
      <c r="R3251" s="11" t="str">
        <f t="shared" ca="1" si="343"/>
        <v/>
      </c>
      <c r="S3251" s="61" t="str">
        <f t="shared" ca="1" si="344"/>
        <v/>
      </c>
      <c r="T3251" s="11" t="str">
        <f t="shared" ca="1" si="345"/>
        <v/>
      </c>
      <c r="U3251" s="11" t="str">
        <f t="shared" ca="1" si="346"/>
        <v/>
      </c>
      <c r="V3251" s="18" t="str">
        <f t="shared" ca="1" si="347"/>
        <v/>
      </c>
      <c r="W3251" s="61" t="str">
        <f t="shared" ca="1" si="348"/>
        <v/>
      </c>
      <c r="X3251" s="61">
        <f t="shared" ca="1" si="349"/>
        <v>0</v>
      </c>
      <c r="Y3251" s="64" t="str">
        <f t="shared" ca="1" si="350"/>
        <v/>
      </c>
    </row>
    <row r="3252" spans="1:25">
      <c r="A3252" s="2">
        <f>+Get_Data!A3251</f>
        <v>0</v>
      </c>
      <c r="B3252">
        <f>+ROUND(Get_Data!B3251,5)</f>
        <v>0</v>
      </c>
      <c r="C3252">
        <f>+ROUND(Get_Data!C3251,5)</f>
        <v>0</v>
      </c>
      <c r="D3252" s="4" t="str">
        <f t="shared" si="357"/>
        <v/>
      </c>
      <c r="E3252" s="22">
        <f t="shared" ca="1" si="336"/>
        <v>0</v>
      </c>
      <c r="F3252" s="23">
        <f t="shared" ca="1" si="337"/>
        <v>0</v>
      </c>
      <c r="G3252" s="10">
        <f t="shared" ca="1" si="338"/>
        <v>0</v>
      </c>
      <c r="H3252" s="12">
        <f t="shared" ca="1" si="339"/>
        <v>0</v>
      </c>
      <c r="I3252" s="11">
        <f t="shared" ca="1" si="340"/>
        <v>0</v>
      </c>
      <c r="J3252" s="11">
        <f t="shared" ca="1" si="341"/>
        <v>-1</v>
      </c>
      <c r="K3252" s="10">
        <f t="shared" ca="1" si="351"/>
        <v>131.24001000000001</v>
      </c>
      <c r="L3252" s="11">
        <f t="shared" ca="1" si="352"/>
        <v>-49.09</v>
      </c>
      <c r="M3252" s="11">
        <f t="shared" ca="1" si="353"/>
        <v>2.6734599999999999</v>
      </c>
      <c r="N3252" s="15">
        <f t="shared" ca="1" si="354"/>
        <v>10</v>
      </c>
      <c r="O3252" s="15">
        <f t="shared" ca="1" si="355"/>
        <v>27</v>
      </c>
      <c r="P3252" s="16">
        <f t="shared" ca="1" si="356"/>
        <v>-13.029899999999998</v>
      </c>
      <c r="Q3252" s="11" t="str">
        <f t="shared" ca="1" si="342"/>
        <v/>
      </c>
      <c r="R3252" s="11" t="str">
        <f t="shared" ca="1" si="343"/>
        <v/>
      </c>
      <c r="S3252" s="61" t="str">
        <f t="shared" ca="1" si="344"/>
        <v/>
      </c>
      <c r="T3252" s="11" t="str">
        <f t="shared" ca="1" si="345"/>
        <v/>
      </c>
      <c r="U3252" s="11" t="str">
        <f t="shared" ca="1" si="346"/>
        <v/>
      </c>
      <c r="V3252" s="18" t="str">
        <f t="shared" ca="1" si="347"/>
        <v/>
      </c>
      <c r="W3252" s="61" t="str">
        <f t="shared" ca="1" si="348"/>
        <v/>
      </c>
      <c r="X3252" s="61">
        <f t="shared" ca="1" si="349"/>
        <v>0</v>
      </c>
      <c r="Y3252" s="64" t="str">
        <f t="shared" ca="1" si="350"/>
        <v/>
      </c>
    </row>
    <row r="3253" spans="1:25">
      <c r="A3253" s="2">
        <f>+Get_Data!A3252</f>
        <v>0</v>
      </c>
      <c r="B3253">
        <f>+ROUND(Get_Data!B3252,5)</f>
        <v>0</v>
      </c>
      <c r="C3253">
        <f>+ROUND(Get_Data!C3252,5)</f>
        <v>0</v>
      </c>
      <c r="D3253" s="4" t="str">
        <f t="shared" si="357"/>
        <v/>
      </c>
      <c r="E3253" s="22">
        <f t="shared" ca="1" si="336"/>
        <v>0</v>
      </c>
      <c r="F3253" s="23">
        <f t="shared" ca="1" si="337"/>
        <v>0</v>
      </c>
      <c r="G3253" s="10">
        <f t="shared" ca="1" si="338"/>
        <v>0</v>
      </c>
      <c r="H3253" s="12">
        <f t="shared" ca="1" si="339"/>
        <v>0</v>
      </c>
      <c r="I3253" s="11">
        <f t="shared" ca="1" si="340"/>
        <v>0</v>
      </c>
      <c r="J3253" s="11">
        <f t="shared" ca="1" si="341"/>
        <v>-1</v>
      </c>
      <c r="K3253" s="10">
        <f t="shared" ca="1" si="351"/>
        <v>131.24001000000001</v>
      </c>
      <c r="L3253" s="11">
        <f t="shared" ca="1" si="352"/>
        <v>-49.09</v>
      </c>
      <c r="M3253" s="11">
        <f t="shared" ca="1" si="353"/>
        <v>2.6734599999999999</v>
      </c>
      <c r="N3253" s="15">
        <f t="shared" ca="1" si="354"/>
        <v>10</v>
      </c>
      <c r="O3253" s="15">
        <f t="shared" ca="1" si="355"/>
        <v>27</v>
      </c>
      <c r="P3253" s="16">
        <f t="shared" ca="1" si="356"/>
        <v>-13.029899999999998</v>
      </c>
      <c r="Q3253" s="11" t="str">
        <f t="shared" ca="1" si="342"/>
        <v/>
      </c>
      <c r="R3253" s="11" t="str">
        <f t="shared" ca="1" si="343"/>
        <v/>
      </c>
      <c r="S3253" s="61" t="str">
        <f t="shared" ca="1" si="344"/>
        <v/>
      </c>
      <c r="T3253" s="11" t="str">
        <f t="shared" ca="1" si="345"/>
        <v/>
      </c>
      <c r="U3253" s="11" t="str">
        <f t="shared" ca="1" si="346"/>
        <v/>
      </c>
      <c r="V3253" s="18" t="str">
        <f t="shared" ca="1" si="347"/>
        <v/>
      </c>
      <c r="W3253" s="61" t="str">
        <f t="shared" ca="1" si="348"/>
        <v/>
      </c>
      <c r="X3253" s="61">
        <f t="shared" ca="1" si="349"/>
        <v>0</v>
      </c>
      <c r="Y3253" s="64" t="str">
        <f t="shared" ca="1" si="350"/>
        <v/>
      </c>
    </row>
    <row r="3254" spans="1:25">
      <c r="A3254" s="2">
        <f>+Get_Data!A3253</f>
        <v>0</v>
      </c>
      <c r="B3254">
        <f>+ROUND(Get_Data!B3253,5)</f>
        <v>0</v>
      </c>
      <c r="C3254">
        <f>+ROUND(Get_Data!C3253,5)</f>
        <v>0</v>
      </c>
      <c r="D3254" s="4" t="str">
        <f t="shared" si="357"/>
        <v/>
      </c>
      <c r="E3254" s="22">
        <f t="shared" ca="1" si="336"/>
        <v>0</v>
      </c>
      <c r="F3254" s="23">
        <f t="shared" ca="1" si="337"/>
        <v>0</v>
      </c>
      <c r="G3254" s="10">
        <f t="shared" ca="1" si="338"/>
        <v>0</v>
      </c>
      <c r="H3254" s="12">
        <f t="shared" ca="1" si="339"/>
        <v>0</v>
      </c>
      <c r="I3254" s="11">
        <f t="shared" ca="1" si="340"/>
        <v>0</v>
      </c>
      <c r="J3254" s="11">
        <f t="shared" ca="1" si="341"/>
        <v>-1</v>
      </c>
      <c r="K3254" s="10">
        <f t="shared" ca="1" si="351"/>
        <v>131.24001000000001</v>
      </c>
      <c r="L3254" s="11">
        <f t="shared" ca="1" si="352"/>
        <v>-49.09</v>
      </c>
      <c r="M3254" s="11">
        <f t="shared" ca="1" si="353"/>
        <v>2.6734599999999999</v>
      </c>
      <c r="N3254" s="15">
        <f t="shared" ca="1" si="354"/>
        <v>10</v>
      </c>
      <c r="O3254" s="15">
        <f t="shared" ca="1" si="355"/>
        <v>27</v>
      </c>
      <c r="P3254" s="16">
        <f t="shared" ca="1" si="356"/>
        <v>-13.029899999999998</v>
      </c>
      <c r="Q3254" s="11" t="str">
        <f t="shared" ca="1" si="342"/>
        <v/>
      </c>
      <c r="R3254" s="11" t="str">
        <f t="shared" ca="1" si="343"/>
        <v/>
      </c>
      <c r="S3254" s="61" t="str">
        <f t="shared" ca="1" si="344"/>
        <v/>
      </c>
      <c r="T3254" s="11" t="str">
        <f t="shared" ca="1" si="345"/>
        <v/>
      </c>
      <c r="U3254" s="11" t="str">
        <f t="shared" ca="1" si="346"/>
        <v/>
      </c>
      <c r="V3254" s="18" t="str">
        <f t="shared" ca="1" si="347"/>
        <v/>
      </c>
      <c r="W3254" s="61" t="str">
        <f t="shared" ca="1" si="348"/>
        <v/>
      </c>
      <c r="X3254" s="61">
        <f t="shared" ca="1" si="349"/>
        <v>0</v>
      </c>
      <c r="Y3254" s="64" t="str">
        <f t="shared" ca="1" si="350"/>
        <v/>
      </c>
    </row>
    <row r="3255" spans="1:25">
      <c r="A3255" s="2">
        <f>+Get_Data!A3254</f>
        <v>0</v>
      </c>
      <c r="B3255">
        <f>+ROUND(Get_Data!B3254,5)</f>
        <v>0</v>
      </c>
      <c r="C3255">
        <f>+ROUND(Get_Data!C3254,5)</f>
        <v>0</v>
      </c>
      <c r="D3255" s="4" t="str">
        <f t="shared" si="357"/>
        <v/>
      </c>
      <c r="E3255" s="22">
        <f t="shared" ca="1" si="336"/>
        <v>0</v>
      </c>
      <c r="F3255" s="23">
        <f t="shared" ca="1" si="337"/>
        <v>0</v>
      </c>
      <c r="G3255" s="10">
        <f t="shared" ca="1" si="338"/>
        <v>0</v>
      </c>
      <c r="H3255" s="12">
        <f t="shared" ca="1" si="339"/>
        <v>0</v>
      </c>
      <c r="I3255" s="11">
        <f t="shared" ca="1" si="340"/>
        <v>0</v>
      </c>
      <c r="J3255" s="11">
        <f t="shared" ca="1" si="341"/>
        <v>-1</v>
      </c>
      <c r="K3255" s="10">
        <f t="shared" ca="1" si="351"/>
        <v>131.24001000000001</v>
      </c>
      <c r="L3255" s="11">
        <f t="shared" ca="1" si="352"/>
        <v>-49.09</v>
      </c>
      <c r="M3255" s="11">
        <f t="shared" ca="1" si="353"/>
        <v>2.6734599999999999</v>
      </c>
      <c r="N3255" s="15">
        <f t="shared" ca="1" si="354"/>
        <v>10</v>
      </c>
      <c r="O3255" s="15">
        <f t="shared" ca="1" si="355"/>
        <v>27</v>
      </c>
      <c r="P3255" s="16">
        <f t="shared" ca="1" si="356"/>
        <v>-13.029899999999998</v>
      </c>
      <c r="Q3255" s="11" t="str">
        <f t="shared" ca="1" si="342"/>
        <v/>
      </c>
      <c r="R3255" s="11" t="str">
        <f t="shared" ca="1" si="343"/>
        <v/>
      </c>
      <c r="S3255" s="61" t="str">
        <f t="shared" ca="1" si="344"/>
        <v/>
      </c>
      <c r="T3255" s="11" t="str">
        <f t="shared" ca="1" si="345"/>
        <v/>
      </c>
      <c r="U3255" s="11" t="str">
        <f t="shared" ca="1" si="346"/>
        <v/>
      </c>
      <c r="V3255" s="18" t="str">
        <f t="shared" ca="1" si="347"/>
        <v/>
      </c>
      <c r="W3255" s="61" t="str">
        <f t="shared" ca="1" si="348"/>
        <v/>
      </c>
      <c r="X3255" s="61">
        <f t="shared" ca="1" si="349"/>
        <v>0</v>
      </c>
      <c r="Y3255" s="64" t="str">
        <f t="shared" ca="1" si="350"/>
        <v/>
      </c>
    </row>
    <row r="3256" spans="1:25">
      <c r="A3256" s="2">
        <f>+Get_Data!A3255</f>
        <v>0</v>
      </c>
      <c r="B3256">
        <f>+ROUND(Get_Data!B3255,5)</f>
        <v>0</v>
      </c>
      <c r="C3256">
        <f>+ROUND(Get_Data!C3255,5)</f>
        <v>0</v>
      </c>
      <c r="D3256" s="4" t="str">
        <f t="shared" si="357"/>
        <v/>
      </c>
      <c r="E3256" s="22">
        <f t="shared" ca="1" si="336"/>
        <v>0</v>
      </c>
      <c r="F3256" s="23">
        <f t="shared" ca="1" si="337"/>
        <v>0</v>
      </c>
      <c r="G3256" s="10">
        <f t="shared" ca="1" si="338"/>
        <v>0</v>
      </c>
      <c r="H3256" s="12">
        <f t="shared" ca="1" si="339"/>
        <v>0</v>
      </c>
      <c r="I3256" s="11">
        <f t="shared" ca="1" si="340"/>
        <v>0</v>
      </c>
      <c r="J3256" s="11">
        <f t="shared" ca="1" si="341"/>
        <v>-1</v>
      </c>
      <c r="K3256" s="10">
        <f t="shared" ca="1" si="351"/>
        <v>131.24001000000001</v>
      </c>
      <c r="L3256" s="11">
        <f t="shared" ca="1" si="352"/>
        <v>-49.09</v>
      </c>
      <c r="M3256" s="11">
        <f t="shared" ca="1" si="353"/>
        <v>2.6734599999999999</v>
      </c>
      <c r="N3256" s="15">
        <f t="shared" ca="1" si="354"/>
        <v>10</v>
      </c>
      <c r="O3256" s="15">
        <f t="shared" ca="1" si="355"/>
        <v>27</v>
      </c>
      <c r="P3256" s="16">
        <f t="shared" ca="1" si="356"/>
        <v>-13.029899999999998</v>
      </c>
      <c r="Q3256" s="11" t="str">
        <f t="shared" ca="1" si="342"/>
        <v/>
      </c>
      <c r="R3256" s="11" t="str">
        <f t="shared" ca="1" si="343"/>
        <v/>
      </c>
      <c r="S3256" s="61" t="str">
        <f t="shared" ca="1" si="344"/>
        <v/>
      </c>
      <c r="T3256" s="11" t="str">
        <f t="shared" ca="1" si="345"/>
        <v/>
      </c>
      <c r="U3256" s="11" t="str">
        <f t="shared" ca="1" si="346"/>
        <v/>
      </c>
      <c r="V3256" s="18" t="str">
        <f t="shared" ca="1" si="347"/>
        <v/>
      </c>
      <c r="W3256" s="61" t="str">
        <f t="shared" ca="1" si="348"/>
        <v/>
      </c>
      <c r="X3256" s="61">
        <f t="shared" ca="1" si="349"/>
        <v>0</v>
      </c>
      <c r="Y3256" s="64" t="str">
        <f t="shared" ca="1" si="350"/>
        <v/>
      </c>
    </row>
    <row r="3257" spans="1:25">
      <c r="A3257" s="2">
        <f>+Get_Data!A3256</f>
        <v>0</v>
      </c>
      <c r="B3257">
        <f>+ROUND(Get_Data!B3256,5)</f>
        <v>0</v>
      </c>
      <c r="C3257">
        <f>+ROUND(Get_Data!C3256,5)</f>
        <v>0</v>
      </c>
      <c r="D3257" s="4" t="str">
        <f t="shared" si="357"/>
        <v/>
      </c>
      <c r="E3257" s="22">
        <f t="shared" ca="1" si="336"/>
        <v>0</v>
      </c>
      <c r="F3257" s="23">
        <f t="shared" ca="1" si="337"/>
        <v>0</v>
      </c>
      <c r="G3257" s="10">
        <f t="shared" ca="1" si="338"/>
        <v>0</v>
      </c>
      <c r="H3257" s="12">
        <f t="shared" ca="1" si="339"/>
        <v>0</v>
      </c>
      <c r="I3257" s="11">
        <f t="shared" ca="1" si="340"/>
        <v>0</v>
      </c>
      <c r="J3257" s="11">
        <f t="shared" ca="1" si="341"/>
        <v>-1</v>
      </c>
      <c r="K3257" s="10">
        <f t="shared" ca="1" si="351"/>
        <v>131.24001000000001</v>
      </c>
      <c r="L3257" s="11">
        <f t="shared" ca="1" si="352"/>
        <v>-49.09</v>
      </c>
      <c r="M3257" s="11">
        <f t="shared" ca="1" si="353"/>
        <v>2.6734599999999999</v>
      </c>
      <c r="N3257" s="15">
        <f t="shared" ca="1" si="354"/>
        <v>10</v>
      </c>
      <c r="O3257" s="15">
        <f t="shared" ca="1" si="355"/>
        <v>27</v>
      </c>
      <c r="P3257" s="16">
        <f t="shared" ca="1" si="356"/>
        <v>-13.029899999999998</v>
      </c>
      <c r="Q3257" s="11" t="str">
        <f t="shared" ca="1" si="342"/>
        <v/>
      </c>
      <c r="R3257" s="11" t="str">
        <f t="shared" ca="1" si="343"/>
        <v/>
      </c>
      <c r="S3257" s="61" t="str">
        <f t="shared" ca="1" si="344"/>
        <v/>
      </c>
      <c r="T3257" s="11" t="str">
        <f t="shared" ca="1" si="345"/>
        <v/>
      </c>
      <c r="U3257" s="11" t="str">
        <f t="shared" ca="1" si="346"/>
        <v/>
      </c>
      <c r="V3257" s="18" t="str">
        <f t="shared" ca="1" si="347"/>
        <v/>
      </c>
      <c r="W3257" s="61" t="str">
        <f t="shared" ca="1" si="348"/>
        <v/>
      </c>
      <c r="X3257" s="61">
        <f t="shared" ca="1" si="349"/>
        <v>0</v>
      </c>
      <c r="Y3257" s="64" t="str">
        <f t="shared" ca="1" si="350"/>
        <v/>
      </c>
    </row>
    <row r="3258" spans="1:25">
      <c r="A3258" s="2">
        <f>+Get_Data!A3257</f>
        <v>0</v>
      </c>
      <c r="B3258">
        <f>+ROUND(Get_Data!B3257,5)</f>
        <v>0</v>
      </c>
      <c r="C3258">
        <f>+ROUND(Get_Data!C3257,5)</f>
        <v>0</v>
      </c>
      <c r="D3258" s="4" t="str">
        <f t="shared" si="357"/>
        <v/>
      </c>
      <c r="E3258" s="22">
        <f t="shared" ca="1" si="336"/>
        <v>0</v>
      </c>
      <c r="F3258" s="23">
        <f t="shared" ca="1" si="337"/>
        <v>0</v>
      </c>
      <c r="G3258" s="10">
        <f t="shared" ca="1" si="338"/>
        <v>0</v>
      </c>
      <c r="H3258" s="12">
        <f t="shared" ca="1" si="339"/>
        <v>0</v>
      </c>
      <c r="I3258" s="11">
        <f t="shared" ca="1" si="340"/>
        <v>0</v>
      </c>
      <c r="J3258" s="11">
        <f t="shared" ca="1" si="341"/>
        <v>-1</v>
      </c>
      <c r="K3258" s="10">
        <f t="shared" ca="1" si="351"/>
        <v>131.24001000000001</v>
      </c>
      <c r="L3258" s="11">
        <f t="shared" ca="1" si="352"/>
        <v>-49.09</v>
      </c>
      <c r="M3258" s="11">
        <f t="shared" ca="1" si="353"/>
        <v>2.6734599999999999</v>
      </c>
      <c r="N3258" s="15">
        <f t="shared" ca="1" si="354"/>
        <v>10</v>
      </c>
      <c r="O3258" s="15">
        <f t="shared" ca="1" si="355"/>
        <v>27</v>
      </c>
      <c r="P3258" s="16">
        <f t="shared" ca="1" si="356"/>
        <v>-13.029899999999998</v>
      </c>
      <c r="Q3258" s="11" t="str">
        <f t="shared" ca="1" si="342"/>
        <v/>
      </c>
      <c r="R3258" s="11" t="str">
        <f t="shared" ca="1" si="343"/>
        <v/>
      </c>
      <c r="S3258" s="61" t="str">
        <f t="shared" ca="1" si="344"/>
        <v/>
      </c>
      <c r="T3258" s="11" t="str">
        <f t="shared" ca="1" si="345"/>
        <v/>
      </c>
      <c r="U3258" s="11" t="str">
        <f t="shared" ca="1" si="346"/>
        <v/>
      </c>
      <c r="V3258" s="18" t="str">
        <f t="shared" ca="1" si="347"/>
        <v/>
      </c>
      <c r="W3258" s="61" t="str">
        <f t="shared" ca="1" si="348"/>
        <v/>
      </c>
      <c r="X3258" s="61">
        <f t="shared" ca="1" si="349"/>
        <v>0</v>
      </c>
      <c r="Y3258" s="64" t="str">
        <f t="shared" ca="1" si="350"/>
        <v/>
      </c>
    </row>
    <row r="3259" spans="1:25">
      <c r="A3259" s="2">
        <f>+Get_Data!A3258</f>
        <v>0</v>
      </c>
      <c r="B3259">
        <f>+ROUND(Get_Data!B3258,5)</f>
        <v>0</v>
      </c>
      <c r="C3259">
        <f>+ROUND(Get_Data!C3258,5)</f>
        <v>0</v>
      </c>
      <c r="D3259" s="4" t="str">
        <f t="shared" si="357"/>
        <v/>
      </c>
      <c r="E3259" s="22">
        <f t="shared" ca="1" si="336"/>
        <v>0</v>
      </c>
      <c r="F3259" s="23">
        <f t="shared" ca="1" si="337"/>
        <v>0</v>
      </c>
      <c r="G3259" s="10">
        <f t="shared" ca="1" si="338"/>
        <v>0</v>
      </c>
      <c r="H3259" s="12">
        <f t="shared" ca="1" si="339"/>
        <v>0</v>
      </c>
      <c r="I3259" s="11">
        <f t="shared" ca="1" si="340"/>
        <v>0</v>
      </c>
      <c r="J3259" s="11">
        <f t="shared" ca="1" si="341"/>
        <v>-1</v>
      </c>
      <c r="K3259" s="10">
        <f t="shared" ca="1" si="351"/>
        <v>131.24001000000001</v>
      </c>
      <c r="L3259" s="11">
        <f t="shared" ca="1" si="352"/>
        <v>-49.09</v>
      </c>
      <c r="M3259" s="11">
        <f t="shared" ca="1" si="353"/>
        <v>2.6734599999999999</v>
      </c>
      <c r="N3259" s="15">
        <f t="shared" ca="1" si="354"/>
        <v>10</v>
      </c>
      <c r="O3259" s="15">
        <f t="shared" ca="1" si="355"/>
        <v>27</v>
      </c>
      <c r="P3259" s="16">
        <f t="shared" ca="1" si="356"/>
        <v>-13.029899999999998</v>
      </c>
      <c r="Q3259" s="11" t="str">
        <f t="shared" ca="1" si="342"/>
        <v/>
      </c>
      <c r="R3259" s="11" t="str">
        <f t="shared" ca="1" si="343"/>
        <v/>
      </c>
      <c r="S3259" s="61" t="str">
        <f t="shared" ca="1" si="344"/>
        <v/>
      </c>
      <c r="T3259" s="11" t="str">
        <f t="shared" ca="1" si="345"/>
        <v/>
      </c>
      <c r="U3259" s="11" t="str">
        <f t="shared" ca="1" si="346"/>
        <v/>
      </c>
      <c r="V3259" s="18" t="str">
        <f t="shared" ca="1" si="347"/>
        <v/>
      </c>
      <c r="W3259" s="61" t="str">
        <f t="shared" ca="1" si="348"/>
        <v/>
      </c>
      <c r="X3259" s="61">
        <f t="shared" ca="1" si="349"/>
        <v>0</v>
      </c>
      <c r="Y3259" s="64" t="str">
        <f t="shared" ca="1" si="350"/>
        <v/>
      </c>
    </row>
    <row r="3260" spans="1:25">
      <c r="A3260" s="2">
        <f>+Get_Data!A3259</f>
        <v>0</v>
      </c>
      <c r="B3260">
        <f>+ROUND(Get_Data!B3259,5)</f>
        <v>0</v>
      </c>
      <c r="C3260">
        <f>+ROUND(Get_Data!C3259,5)</f>
        <v>0</v>
      </c>
      <c r="D3260" s="4" t="str">
        <f t="shared" si="357"/>
        <v/>
      </c>
      <c r="E3260" s="22">
        <f t="shared" ca="1" si="336"/>
        <v>0</v>
      </c>
      <c r="F3260" s="23">
        <f t="shared" ca="1" si="337"/>
        <v>0</v>
      </c>
      <c r="G3260" s="10">
        <f t="shared" ca="1" si="338"/>
        <v>0</v>
      </c>
      <c r="H3260" s="12">
        <f t="shared" ca="1" si="339"/>
        <v>0</v>
      </c>
      <c r="I3260" s="11">
        <f t="shared" ca="1" si="340"/>
        <v>0</v>
      </c>
      <c r="J3260" s="11">
        <f t="shared" ca="1" si="341"/>
        <v>-1</v>
      </c>
      <c r="K3260" s="10">
        <f t="shared" ca="1" si="351"/>
        <v>131.24001000000001</v>
      </c>
      <c r="L3260" s="11">
        <f t="shared" ca="1" si="352"/>
        <v>-49.09</v>
      </c>
      <c r="M3260" s="11">
        <f t="shared" ca="1" si="353"/>
        <v>2.6734599999999999</v>
      </c>
      <c r="N3260" s="15">
        <f t="shared" ca="1" si="354"/>
        <v>10</v>
      </c>
      <c r="O3260" s="15">
        <f t="shared" ca="1" si="355"/>
        <v>27</v>
      </c>
      <c r="P3260" s="16">
        <f t="shared" ca="1" si="356"/>
        <v>-13.029899999999998</v>
      </c>
      <c r="Q3260" s="11" t="str">
        <f t="shared" ca="1" si="342"/>
        <v/>
      </c>
      <c r="R3260" s="11" t="str">
        <f t="shared" ca="1" si="343"/>
        <v/>
      </c>
      <c r="S3260" s="61" t="str">
        <f t="shared" ca="1" si="344"/>
        <v/>
      </c>
      <c r="T3260" s="11" t="str">
        <f t="shared" ca="1" si="345"/>
        <v/>
      </c>
      <c r="U3260" s="11" t="str">
        <f t="shared" ca="1" si="346"/>
        <v/>
      </c>
      <c r="V3260" s="18" t="str">
        <f t="shared" ca="1" si="347"/>
        <v/>
      </c>
      <c r="W3260" s="61" t="str">
        <f t="shared" ca="1" si="348"/>
        <v/>
      </c>
      <c r="X3260" s="61">
        <f t="shared" ca="1" si="349"/>
        <v>0</v>
      </c>
      <c r="Y3260" s="64" t="str">
        <f t="shared" ca="1" si="350"/>
        <v/>
      </c>
    </row>
    <row r="3261" spans="1:25">
      <c r="A3261" s="2">
        <f>+Get_Data!A3260</f>
        <v>0</v>
      </c>
      <c r="B3261">
        <f>+ROUND(Get_Data!B3260,5)</f>
        <v>0</v>
      </c>
      <c r="C3261">
        <f>+ROUND(Get_Data!C3260,5)</f>
        <v>0</v>
      </c>
      <c r="D3261" s="4" t="str">
        <f t="shared" si="357"/>
        <v/>
      </c>
      <c r="E3261" s="22">
        <f t="shared" ca="1" si="336"/>
        <v>0</v>
      </c>
      <c r="F3261" s="23">
        <f t="shared" ca="1" si="337"/>
        <v>0</v>
      </c>
      <c r="G3261" s="10">
        <f t="shared" ca="1" si="338"/>
        <v>0</v>
      </c>
      <c r="H3261" s="12">
        <f t="shared" ca="1" si="339"/>
        <v>0</v>
      </c>
      <c r="I3261" s="11">
        <f t="shared" ca="1" si="340"/>
        <v>0</v>
      </c>
      <c r="J3261" s="11">
        <f t="shared" ca="1" si="341"/>
        <v>-1</v>
      </c>
      <c r="K3261" s="10">
        <f t="shared" ca="1" si="351"/>
        <v>131.24001000000001</v>
      </c>
      <c r="L3261" s="11">
        <f t="shared" ca="1" si="352"/>
        <v>-49.09</v>
      </c>
      <c r="M3261" s="11">
        <f t="shared" ca="1" si="353"/>
        <v>2.6734599999999999</v>
      </c>
      <c r="N3261" s="15">
        <f t="shared" ca="1" si="354"/>
        <v>10</v>
      </c>
      <c r="O3261" s="15">
        <f t="shared" ca="1" si="355"/>
        <v>27</v>
      </c>
      <c r="P3261" s="16">
        <f t="shared" ca="1" si="356"/>
        <v>-13.029899999999998</v>
      </c>
      <c r="Q3261" s="11" t="str">
        <f t="shared" ca="1" si="342"/>
        <v/>
      </c>
      <c r="R3261" s="11" t="str">
        <f t="shared" ca="1" si="343"/>
        <v/>
      </c>
      <c r="S3261" s="61" t="str">
        <f t="shared" ca="1" si="344"/>
        <v/>
      </c>
      <c r="T3261" s="11" t="str">
        <f t="shared" ca="1" si="345"/>
        <v/>
      </c>
      <c r="U3261" s="11" t="str">
        <f t="shared" ca="1" si="346"/>
        <v/>
      </c>
      <c r="V3261" s="18" t="str">
        <f t="shared" ca="1" si="347"/>
        <v/>
      </c>
      <c r="W3261" s="61" t="str">
        <f t="shared" ca="1" si="348"/>
        <v/>
      </c>
      <c r="X3261" s="61">
        <f t="shared" ca="1" si="349"/>
        <v>0</v>
      </c>
      <c r="Y3261" s="64" t="str">
        <f t="shared" ca="1" si="350"/>
        <v/>
      </c>
    </row>
    <row r="3262" spans="1:25">
      <c r="A3262" s="2">
        <f>+Get_Data!A3261</f>
        <v>0</v>
      </c>
      <c r="B3262">
        <f>+ROUND(Get_Data!B3261,5)</f>
        <v>0</v>
      </c>
      <c r="C3262">
        <f>+ROUND(Get_Data!C3261,5)</f>
        <v>0</v>
      </c>
      <c r="D3262" s="4" t="str">
        <f t="shared" si="357"/>
        <v/>
      </c>
      <c r="E3262" s="22">
        <f t="shared" ca="1" si="336"/>
        <v>0</v>
      </c>
      <c r="F3262" s="23">
        <f t="shared" ca="1" si="337"/>
        <v>0</v>
      </c>
      <c r="G3262" s="10">
        <f t="shared" ca="1" si="338"/>
        <v>0</v>
      </c>
      <c r="H3262" s="12">
        <f t="shared" ca="1" si="339"/>
        <v>0</v>
      </c>
      <c r="I3262" s="11">
        <f t="shared" ca="1" si="340"/>
        <v>0</v>
      </c>
      <c r="J3262" s="11">
        <f t="shared" ca="1" si="341"/>
        <v>-1</v>
      </c>
      <c r="K3262" s="10">
        <f t="shared" ca="1" si="351"/>
        <v>131.24001000000001</v>
      </c>
      <c r="L3262" s="11">
        <f t="shared" ca="1" si="352"/>
        <v>-49.09</v>
      </c>
      <c r="M3262" s="11">
        <f t="shared" ca="1" si="353"/>
        <v>2.6734599999999999</v>
      </c>
      <c r="N3262" s="15">
        <f t="shared" ca="1" si="354"/>
        <v>10</v>
      </c>
      <c r="O3262" s="15">
        <f t="shared" ca="1" si="355"/>
        <v>27</v>
      </c>
      <c r="P3262" s="16">
        <f t="shared" ca="1" si="356"/>
        <v>-13.029899999999998</v>
      </c>
      <c r="Q3262" s="11" t="str">
        <f t="shared" ca="1" si="342"/>
        <v/>
      </c>
      <c r="R3262" s="11" t="str">
        <f t="shared" ca="1" si="343"/>
        <v/>
      </c>
      <c r="S3262" s="61" t="str">
        <f t="shared" ca="1" si="344"/>
        <v/>
      </c>
      <c r="T3262" s="11" t="str">
        <f t="shared" ca="1" si="345"/>
        <v/>
      </c>
      <c r="U3262" s="11" t="str">
        <f t="shared" ca="1" si="346"/>
        <v/>
      </c>
      <c r="V3262" s="18" t="str">
        <f t="shared" ca="1" si="347"/>
        <v/>
      </c>
      <c r="W3262" s="61" t="str">
        <f t="shared" ca="1" si="348"/>
        <v/>
      </c>
      <c r="X3262" s="61">
        <f t="shared" ca="1" si="349"/>
        <v>0</v>
      </c>
      <c r="Y3262" s="64" t="str">
        <f t="shared" ca="1" si="350"/>
        <v/>
      </c>
    </row>
    <row r="3263" spans="1:25">
      <c r="A3263" s="2">
        <f>+Get_Data!A3262</f>
        <v>0</v>
      </c>
      <c r="B3263">
        <f>+ROUND(Get_Data!B3262,5)</f>
        <v>0</v>
      </c>
      <c r="C3263">
        <f>+ROUND(Get_Data!C3262,5)</f>
        <v>0</v>
      </c>
      <c r="D3263" s="4" t="str">
        <f t="shared" si="357"/>
        <v/>
      </c>
      <c r="E3263" s="22">
        <f t="shared" ca="1" si="336"/>
        <v>0</v>
      </c>
      <c r="F3263" s="23">
        <f t="shared" ca="1" si="337"/>
        <v>0</v>
      </c>
      <c r="G3263" s="10">
        <f t="shared" ca="1" si="338"/>
        <v>0</v>
      </c>
      <c r="H3263" s="12">
        <f t="shared" ca="1" si="339"/>
        <v>0</v>
      </c>
      <c r="I3263" s="11">
        <f t="shared" ca="1" si="340"/>
        <v>0</v>
      </c>
      <c r="J3263" s="11">
        <f t="shared" ca="1" si="341"/>
        <v>-1</v>
      </c>
      <c r="K3263" s="10">
        <f t="shared" ca="1" si="351"/>
        <v>131.24001000000001</v>
      </c>
      <c r="L3263" s="11">
        <f t="shared" ca="1" si="352"/>
        <v>-49.09</v>
      </c>
      <c r="M3263" s="11">
        <f t="shared" ca="1" si="353"/>
        <v>2.6734599999999999</v>
      </c>
      <c r="N3263" s="15">
        <f t="shared" ca="1" si="354"/>
        <v>10</v>
      </c>
      <c r="O3263" s="15">
        <f t="shared" ca="1" si="355"/>
        <v>27</v>
      </c>
      <c r="P3263" s="16">
        <f t="shared" ca="1" si="356"/>
        <v>-13.029899999999998</v>
      </c>
      <c r="Q3263" s="11" t="str">
        <f t="shared" ca="1" si="342"/>
        <v/>
      </c>
      <c r="R3263" s="11" t="str">
        <f t="shared" ca="1" si="343"/>
        <v/>
      </c>
      <c r="S3263" s="61" t="str">
        <f t="shared" ca="1" si="344"/>
        <v/>
      </c>
      <c r="T3263" s="11" t="str">
        <f t="shared" ca="1" si="345"/>
        <v/>
      </c>
      <c r="U3263" s="11" t="str">
        <f t="shared" ca="1" si="346"/>
        <v/>
      </c>
      <c r="V3263" s="18" t="str">
        <f t="shared" ca="1" si="347"/>
        <v/>
      </c>
      <c r="W3263" s="61" t="str">
        <f t="shared" ca="1" si="348"/>
        <v/>
      </c>
      <c r="X3263" s="61">
        <f t="shared" ca="1" si="349"/>
        <v>0</v>
      </c>
      <c r="Y3263" s="64" t="str">
        <f t="shared" ca="1" si="350"/>
        <v/>
      </c>
    </row>
    <row r="3264" spans="1:25">
      <c r="A3264" s="2">
        <f>+Get_Data!A3263</f>
        <v>0</v>
      </c>
      <c r="B3264">
        <f>+ROUND(Get_Data!B3263,5)</f>
        <v>0</v>
      </c>
      <c r="C3264">
        <f>+ROUND(Get_Data!C3263,5)</f>
        <v>0</v>
      </c>
      <c r="D3264" s="4" t="str">
        <f t="shared" si="357"/>
        <v/>
      </c>
      <c r="E3264" s="22">
        <f t="shared" ca="1" si="336"/>
        <v>0</v>
      </c>
      <c r="F3264" s="23">
        <f t="shared" ca="1" si="337"/>
        <v>0</v>
      </c>
      <c r="G3264" s="10">
        <f t="shared" ca="1" si="338"/>
        <v>0</v>
      </c>
      <c r="H3264" s="12">
        <f t="shared" ca="1" si="339"/>
        <v>0</v>
      </c>
      <c r="I3264" s="11">
        <f t="shared" ca="1" si="340"/>
        <v>0</v>
      </c>
      <c r="J3264" s="11">
        <f t="shared" ca="1" si="341"/>
        <v>-1</v>
      </c>
      <c r="K3264" s="10">
        <f t="shared" ca="1" si="351"/>
        <v>131.24001000000001</v>
      </c>
      <c r="L3264" s="11">
        <f t="shared" ca="1" si="352"/>
        <v>-49.09</v>
      </c>
      <c r="M3264" s="11">
        <f t="shared" ca="1" si="353"/>
        <v>2.6734599999999999</v>
      </c>
      <c r="N3264" s="15">
        <f t="shared" ca="1" si="354"/>
        <v>10</v>
      </c>
      <c r="O3264" s="15">
        <f t="shared" ca="1" si="355"/>
        <v>27</v>
      </c>
      <c r="P3264" s="16">
        <f t="shared" ca="1" si="356"/>
        <v>-13.029899999999998</v>
      </c>
      <c r="Q3264" s="11" t="str">
        <f t="shared" ca="1" si="342"/>
        <v/>
      </c>
      <c r="R3264" s="11" t="str">
        <f t="shared" ca="1" si="343"/>
        <v/>
      </c>
      <c r="S3264" s="61" t="str">
        <f t="shared" ca="1" si="344"/>
        <v/>
      </c>
      <c r="T3264" s="11" t="str">
        <f t="shared" ca="1" si="345"/>
        <v/>
      </c>
      <c r="U3264" s="11" t="str">
        <f t="shared" ca="1" si="346"/>
        <v/>
      </c>
      <c r="V3264" s="18" t="str">
        <f t="shared" ca="1" si="347"/>
        <v/>
      </c>
      <c r="W3264" s="61" t="str">
        <f t="shared" ca="1" si="348"/>
        <v/>
      </c>
      <c r="X3264" s="61">
        <f t="shared" ca="1" si="349"/>
        <v>0</v>
      </c>
      <c r="Y3264" s="64" t="str">
        <f t="shared" ca="1" si="350"/>
        <v/>
      </c>
    </row>
    <row r="3265" spans="1:25">
      <c r="A3265" s="2">
        <f>+Get_Data!A3264</f>
        <v>0</v>
      </c>
      <c r="B3265">
        <f>+ROUND(Get_Data!B3264,5)</f>
        <v>0</v>
      </c>
      <c r="C3265">
        <f>+ROUND(Get_Data!C3264,5)</f>
        <v>0</v>
      </c>
      <c r="D3265" s="4" t="str">
        <f t="shared" si="357"/>
        <v/>
      </c>
      <c r="E3265" s="22">
        <f t="shared" ca="1" si="336"/>
        <v>0</v>
      </c>
      <c r="F3265" s="23">
        <f t="shared" ca="1" si="337"/>
        <v>0</v>
      </c>
      <c r="G3265" s="10">
        <f t="shared" ca="1" si="338"/>
        <v>0</v>
      </c>
      <c r="H3265" s="12">
        <f t="shared" ca="1" si="339"/>
        <v>0</v>
      </c>
      <c r="I3265" s="11">
        <f t="shared" ca="1" si="340"/>
        <v>0</v>
      </c>
      <c r="J3265" s="11">
        <f t="shared" ca="1" si="341"/>
        <v>-1</v>
      </c>
      <c r="K3265" s="10">
        <f t="shared" ca="1" si="351"/>
        <v>131.24001000000001</v>
      </c>
      <c r="L3265" s="11">
        <f t="shared" ca="1" si="352"/>
        <v>-49.09</v>
      </c>
      <c r="M3265" s="11">
        <f t="shared" ca="1" si="353"/>
        <v>2.6734599999999999</v>
      </c>
      <c r="N3265" s="15">
        <f t="shared" ca="1" si="354"/>
        <v>10</v>
      </c>
      <c r="O3265" s="15">
        <f t="shared" ca="1" si="355"/>
        <v>27</v>
      </c>
      <c r="P3265" s="16">
        <f t="shared" ca="1" si="356"/>
        <v>-13.029899999999998</v>
      </c>
      <c r="Q3265" s="11" t="str">
        <f t="shared" ca="1" si="342"/>
        <v/>
      </c>
      <c r="R3265" s="11" t="str">
        <f t="shared" ca="1" si="343"/>
        <v/>
      </c>
      <c r="S3265" s="61" t="str">
        <f t="shared" ca="1" si="344"/>
        <v/>
      </c>
      <c r="T3265" s="11" t="str">
        <f t="shared" ca="1" si="345"/>
        <v/>
      </c>
      <c r="U3265" s="11" t="str">
        <f t="shared" ca="1" si="346"/>
        <v/>
      </c>
      <c r="V3265" s="18" t="str">
        <f t="shared" ca="1" si="347"/>
        <v/>
      </c>
      <c r="W3265" s="61" t="str">
        <f t="shared" ca="1" si="348"/>
        <v/>
      </c>
      <c r="X3265" s="61">
        <f t="shared" ca="1" si="349"/>
        <v>0</v>
      </c>
      <c r="Y3265" s="64" t="str">
        <f t="shared" ca="1" si="350"/>
        <v/>
      </c>
    </row>
    <row r="3266" spans="1:25">
      <c r="A3266" s="2">
        <f>+Get_Data!A3265</f>
        <v>0</v>
      </c>
      <c r="B3266">
        <f>+ROUND(Get_Data!B3265,5)</f>
        <v>0</v>
      </c>
      <c r="C3266">
        <f>+ROUND(Get_Data!C3265,5)</f>
        <v>0</v>
      </c>
      <c r="D3266" s="4" t="str">
        <f t="shared" si="357"/>
        <v/>
      </c>
      <c r="E3266" s="22">
        <f t="shared" ca="1" si="336"/>
        <v>0</v>
      </c>
      <c r="F3266" s="23">
        <f t="shared" ca="1" si="337"/>
        <v>0</v>
      </c>
      <c r="G3266" s="10">
        <f t="shared" ca="1" si="338"/>
        <v>0</v>
      </c>
      <c r="H3266" s="12">
        <f t="shared" ca="1" si="339"/>
        <v>0</v>
      </c>
      <c r="I3266" s="11">
        <f t="shared" ca="1" si="340"/>
        <v>0</v>
      </c>
      <c r="J3266" s="11">
        <f t="shared" ca="1" si="341"/>
        <v>-1</v>
      </c>
      <c r="K3266" s="10">
        <f t="shared" ca="1" si="351"/>
        <v>131.24001000000001</v>
      </c>
      <c r="L3266" s="11">
        <f t="shared" ca="1" si="352"/>
        <v>-49.09</v>
      </c>
      <c r="M3266" s="11">
        <f t="shared" ca="1" si="353"/>
        <v>2.6734599999999999</v>
      </c>
      <c r="N3266" s="15">
        <f t="shared" ca="1" si="354"/>
        <v>10</v>
      </c>
      <c r="O3266" s="15">
        <f t="shared" ca="1" si="355"/>
        <v>27</v>
      </c>
      <c r="P3266" s="16">
        <f t="shared" ca="1" si="356"/>
        <v>-13.029899999999998</v>
      </c>
      <c r="Q3266" s="11" t="str">
        <f t="shared" ca="1" si="342"/>
        <v/>
      </c>
      <c r="R3266" s="11" t="str">
        <f t="shared" ca="1" si="343"/>
        <v/>
      </c>
      <c r="S3266" s="61" t="str">
        <f t="shared" ca="1" si="344"/>
        <v/>
      </c>
      <c r="T3266" s="11" t="str">
        <f t="shared" ca="1" si="345"/>
        <v/>
      </c>
      <c r="U3266" s="11" t="str">
        <f t="shared" ca="1" si="346"/>
        <v/>
      </c>
      <c r="V3266" s="18" t="str">
        <f t="shared" ca="1" si="347"/>
        <v/>
      </c>
      <c r="W3266" s="61" t="str">
        <f t="shared" ca="1" si="348"/>
        <v/>
      </c>
      <c r="X3266" s="61">
        <f t="shared" ca="1" si="349"/>
        <v>0</v>
      </c>
      <c r="Y3266" s="64" t="str">
        <f t="shared" ca="1" si="350"/>
        <v/>
      </c>
    </row>
    <row r="3267" spans="1:25">
      <c r="A3267" s="2">
        <f>+Get_Data!A3266</f>
        <v>0</v>
      </c>
      <c r="B3267">
        <f>+ROUND(Get_Data!B3266,5)</f>
        <v>0</v>
      </c>
      <c r="C3267">
        <f>+ROUND(Get_Data!C3266,5)</f>
        <v>0</v>
      </c>
      <c r="D3267" s="4" t="str">
        <f t="shared" si="357"/>
        <v/>
      </c>
      <c r="E3267" s="22">
        <f t="shared" ca="1" si="336"/>
        <v>0</v>
      </c>
      <c r="F3267" s="23">
        <f t="shared" ca="1" si="337"/>
        <v>0</v>
      </c>
      <c r="G3267" s="10">
        <f t="shared" ca="1" si="338"/>
        <v>0</v>
      </c>
      <c r="H3267" s="12">
        <f t="shared" ca="1" si="339"/>
        <v>0</v>
      </c>
      <c r="I3267" s="11">
        <f t="shared" ca="1" si="340"/>
        <v>0</v>
      </c>
      <c r="J3267" s="11">
        <f t="shared" ca="1" si="341"/>
        <v>-1</v>
      </c>
      <c r="K3267" s="10">
        <f t="shared" ca="1" si="351"/>
        <v>131.24001000000001</v>
      </c>
      <c r="L3267" s="11">
        <f t="shared" ca="1" si="352"/>
        <v>-49.09</v>
      </c>
      <c r="M3267" s="11">
        <f t="shared" ca="1" si="353"/>
        <v>2.6734599999999999</v>
      </c>
      <c r="N3267" s="15">
        <f t="shared" ca="1" si="354"/>
        <v>10</v>
      </c>
      <c r="O3267" s="15">
        <f t="shared" ca="1" si="355"/>
        <v>27</v>
      </c>
      <c r="P3267" s="16">
        <f t="shared" ca="1" si="356"/>
        <v>-13.029899999999998</v>
      </c>
      <c r="Q3267" s="11" t="str">
        <f t="shared" ca="1" si="342"/>
        <v/>
      </c>
      <c r="R3267" s="11" t="str">
        <f t="shared" ca="1" si="343"/>
        <v/>
      </c>
      <c r="S3267" s="61" t="str">
        <f t="shared" ca="1" si="344"/>
        <v/>
      </c>
      <c r="T3267" s="11" t="str">
        <f t="shared" ca="1" si="345"/>
        <v/>
      </c>
      <c r="U3267" s="11" t="str">
        <f t="shared" ca="1" si="346"/>
        <v/>
      </c>
      <c r="V3267" s="18" t="str">
        <f t="shared" ca="1" si="347"/>
        <v/>
      </c>
      <c r="W3267" s="61" t="str">
        <f t="shared" ca="1" si="348"/>
        <v/>
      </c>
      <c r="X3267" s="61">
        <f t="shared" ca="1" si="349"/>
        <v>0</v>
      </c>
      <c r="Y3267" s="64" t="str">
        <f t="shared" ca="1" si="350"/>
        <v/>
      </c>
    </row>
    <row r="3268" spans="1:25">
      <c r="A3268" s="2">
        <f>+Get_Data!A3267</f>
        <v>0</v>
      </c>
      <c r="B3268">
        <f>+ROUND(Get_Data!B3267,5)</f>
        <v>0</v>
      </c>
      <c r="C3268">
        <f>+ROUND(Get_Data!C3267,5)</f>
        <v>0</v>
      </c>
      <c r="D3268" s="4" t="str">
        <f t="shared" si="357"/>
        <v/>
      </c>
      <c r="E3268" s="22">
        <f t="shared" ca="1" si="336"/>
        <v>0</v>
      </c>
      <c r="F3268" s="23">
        <f t="shared" ca="1" si="337"/>
        <v>0</v>
      </c>
      <c r="G3268" s="10">
        <f t="shared" ca="1" si="338"/>
        <v>0</v>
      </c>
      <c r="H3268" s="12">
        <f t="shared" ca="1" si="339"/>
        <v>0</v>
      </c>
      <c r="I3268" s="11">
        <f t="shared" ca="1" si="340"/>
        <v>0</v>
      </c>
      <c r="J3268" s="11">
        <f t="shared" ca="1" si="341"/>
        <v>-1</v>
      </c>
      <c r="K3268" s="10">
        <f t="shared" ca="1" si="351"/>
        <v>131.24001000000001</v>
      </c>
      <c r="L3268" s="11">
        <f t="shared" ca="1" si="352"/>
        <v>-49.09</v>
      </c>
      <c r="M3268" s="11">
        <f t="shared" ca="1" si="353"/>
        <v>2.6734599999999999</v>
      </c>
      <c r="N3268" s="15">
        <f t="shared" ca="1" si="354"/>
        <v>10</v>
      </c>
      <c r="O3268" s="15">
        <f t="shared" ca="1" si="355"/>
        <v>27</v>
      </c>
      <c r="P3268" s="16">
        <f t="shared" ca="1" si="356"/>
        <v>-13.029899999999998</v>
      </c>
      <c r="Q3268" s="11" t="str">
        <f t="shared" ca="1" si="342"/>
        <v/>
      </c>
      <c r="R3268" s="11" t="str">
        <f t="shared" ca="1" si="343"/>
        <v/>
      </c>
      <c r="S3268" s="61" t="str">
        <f t="shared" ca="1" si="344"/>
        <v/>
      </c>
      <c r="T3268" s="11" t="str">
        <f t="shared" ca="1" si="345"/>
        <v/>
      </c>
      <c r="U3268" s="11" t="str">
        <f t="shared" ca="1" si="346"/>
        <v/>
      </c>
      <c r="V3268" s="18" t="str">
        <f t="shared" ca="1" si="347"/>
        <v/>
      </c>
      <c r="W3268" s="61" t="str">
        <f t="shared" ca="1" si="348"/>
        <v/>
      </c>
      <c r="X3268" s="61">
        <f t="shared" ca="1" si="349"/>
        <v>0</v>
      </c>
      <c r="Y3268" s="64" t="str">
        <f t="shared" ca="1" si="350"/>
        <v/>
      </c>
    </row>
    <row r="3269" spans="1:25">
      <c r="A3269" s="2">
        <f>+Get_Data!A3268</f>
        <v>0</v>
      </c>
      <c r="B3269">
        <f>+ROUND(Get_Data!B3268,5)</f>
        <v>0</v>
      </c>
      <c r="C3269">
        <f>+ROUND(Get_Data!C3268,5)</f>
        <v>0</v>
      </c>
      <c r="D3269" s="4" t="str">
        <f t="shared" si="357"/>
        <v/>
      </c>
      <c r="E3269" s="22">
        <f t="shared" ref="E3269:E3332" ca="1" si="358">+MAX(OFFSET(D3269,-$G$2+1,,$G$2))</f>
        <v>0</v>
      </c>
      <c r="F3269" s="23">
        <f t="shared" ref="F3269:F3332" ca="1" si="359">+MIN(OFFSET(D3269,-$G$2+1,,$G$2))</f>
        <v>0</v>
      </c>
      <c r="G3269" s="10">
        <f t="shared" ref="G3269:G3332" ca="1" si="360">+IF(E3269=D3269,1,0)</f>
        <v>0</v>
      </c>
      <c r="H3269" s="12">
        <f t="shared" ref="H3269:H3332" ca="1" si="361">+IF(F3269=D3269,1,0)</f>
        <v>0</v>
      </c>
      <c r="I3269" s="11">
        <f t="shared" ref="I3269:I3332" ca="1" si="362">+G3269-H3269</f>
        <v>0</v>
      </c>
      <c r="J3269" s="11">
        <f t="shared" ca="1" si="341"/>
        <v>-1</v>
      </c>
      <c r="K3269" s="10">
        <f t="shared" ca="1" si="351"/>
        <v>131.24001000000001</v>
      </c>
      <c r="L3269" s="11">
        <f t="shared" ca="1" si="352"/>
        <v>-49.09</v>
      </c>
      <c r="M3269" s="11">
        <f t="shared" ca="1" si="353"/>
        <v>2.6734599999999999</v>
      </c>
      <c r="N3269" s="15">
        <f t="shared" ca="1" si="354"/>
        <v>10</v>
      </c>
      <c r="O3269" s="15">
        <f t="shared" ca="1" si="355"/>
        <v>27</v>
      </c>
      <c r="P3269" s="16">
        <f t="shared" ca="1" si="356"/>
        <v>-13.029899999999998</v>
      </c>
      <c r="Q3269" s="11" t="str">
        <f t="shared" ca="1" si="342"/>
        <v/>
      </c>
      <c r="R3269" s="11" t="str">
        <f t="shared" ca="1" si="343"/>
        <v/>
      </c>
      <c r="S3269" s="61" t="str">
        <f t="shared" ca="1" si="344"/>
        <v/>
      </c>
      <c r="T3269" s="11" t="str">
        <f t="shared" ca="1" si="345"/>
        <v/>
      </c>
      <c r="U3269" s="11" t="str">
        <f t="shared" ca="1" si="346"/>
        <v/>
      </c>
      <c r="V3269" s="18" t="str">
        <f t="shared" ca="1" si="347"/>
        <v/>
      </c>
      <c r="W3269" s="61" t="str">
        <f t="shared" ca="1" si="348"/>
        <v/>
      </c>
      <c r="X3269" s="61">
        <f t="shared" ca="1" si="349"/>
        <v>0</v>
      </c>
      <c r="Y3269" s="64" t="str">
        <f t="shared" ca="1" si="350"/>
        <v/>
      </c>
    </row>
    <row r="3270" spans="1:25">
      <c r="A3270" s="2">
        <f>+Get_Data!A3269</f>
        <v>0</v>
      </c>
      <c r="B3270">
        <f>+ROUND(Get_Data!B3269,5)</f>
        <v>0</v>
      </c>
      <c r="C3270">
        <f>+ROUND(Get_Data!C3269,5)</f>
        <v>0</v>
      </c>
      <c r="D3270" s="4" t="str">
        <f t="shared" si="357"/>
        <v/>
      </c>
      <c r="E3270" s="22">
        <f t="shared" ca="1" si="358"/>
        <v>0</v>
      </c>
      <c r="F3270" s="23">
        <f t="shared" ca="1" si="359"/>
        <v>0</v>
      </c>
      <c r="G3270" s="10">
        <f t="shared" ca="1" si="360"/>
        <v>0</v>
      </c>
      <c r="H3270" s="12">
        <f t="shared" ca="1" si="361"/>
        <v>0</v>
      </c>
      <c r="I3270" s="11">
        <f t="shared" ca="1" si="362"/>
        <v>0</v>
      </c>
      <c r="J3270" s="11">
        <f t="shared" ref="J3270:J3333" ca="1" si="363">+IF(AND(ABS(J3269)=2,ABS(I3270)=1),0,J3269+I3270)</f>
        <v>-1</v>
      </c>
      <c r="K3270" s="10">
        <f t="shared" ca="1" si="351"/>
        <v>131.24001000000001</v>
      </c>
      <c r="L3270" s="11">
        <f t="shared" ca="1" si="352"/>
        <v>-49.09</v>
      </c>
      <c r="M3270" s="11">
        <f t="shared" ca="1" si="353"/>
        <v>2.6734599999999999</v>
      </c>
      <c r="N3270" s="15">
        <f t="shared" ca="1" si="354"/>
        <v>10</v>
      </c>
      <c r="O3270" s="15">
        <f t="shared" ca="1" si="355"/>
        <v>27</v>
      </c>
      <c r="P3270" s="16">
        <f t="shared" ca="1" si="356"/>
        <v>-13.029899999999998</v>
      </c>
      <c r="Q3270" s="11" t="str">
        <f t="shared" ca="1" si="342"/>
        <v/>
      </c>
      <c r="R3270" s="11" t="str">
        <f t="shared" ca="1" si="343"/>
        <v/>
      </c>
      <c r="S3270" s="61" t="str">
        <f t="shared" ca="1" si="344"/>
        <v/>
      </c>
      <c r="T3270" s="11" t="str">
        <f t="shared" ca="1" si="345"/>
        <v/>
      </c>
      <c r="U3270" s="11" t="str">
        <f t="shared" ca="1" si="346"/>
        <v/>
      </c>
      <c r="V3270" s="18" t="str">
        <f t="shared" ca="1" si="347"/>
        <v/>
      </c>
      <c r="W3270" s="61" t="str">
        <f t="shared" ca="1" si="348"/>
        <v/>
      </c>
      <c r="X3270" s="61">
        <f t="shared" ca="1" si="349"/>
        <v>0</v>
      </c>
      <c r="Y3270" s="64" t="str">
        <f t="shared" ca="1" si="350"/>
        <v/>
      </c>
    </row>
    <row r="3271" spans="1:25">
      <c r="A3271" s="2">
        <f>+Get_Data!A3270</f>
        <v>0</v>
      </c>
      <c r="B3271">
        <f>+ROUND(Get_Data!B3270,5)</f>
        <v>0</v>
      </c>
      <c r="C3271">
        <f>+ROUND(Get_Data!C3270,5)</f>
        <v>0</v>
      </c>
      <c r="D3271" s="4" t="str">
        <f t="shared" si="357"/>
        <v/>
      </c>
      <c r="E3271" s="22">
        <f t="shared" ca="1" si="358"/>
        <v>0</v>
      </c>
      <c r="F3271" s="23">
        <f t="shared" ca="1" si="359"/>
        <v>0</v>
      </c>
      <c r="G3271" s="10">
        <f t="shared" ca="1" si="360"/>
        <v>0</v>
      </c>
      <c r="H3271" s="12">
        <f t="shared" ca="1" si="361"/>
        <v>0</v>
      </c>
      <c r="I3271" s="11">
        <f t="shared" ca="1" si="362"/>
        <v>0</v>
      </c>
      <c r="J3271" s="11">
        <f t="shared" ca="1" si="363"/>
        <v>-1</v>
      </c>
      <c r="K3271" s="10">
        <f t="shared" ca="1" si="351"/>
        <v>131.24001000000001</v>
      </c>
      <c r="L3271" s="11">
        <f t="shared" ca="1" si="352"/>
        <v>-49.09</v>
      </c>
      <c r="M3271" s="11">
        <f t="shared" ca="1" si="353"/>
        <v>2.6734599999999999</v>
      </c>
      <c r="N3271" s="15">
        <f t="shared" ca="1" si="354"/>
        <v>10</v>
      </c>
      <c r="O3271" s="15">
        <f t="shared" ca="1" si="355"/>
        <v>27</v>
      </c>
      <c r="P3271" s="16">
        <f t="shared" ca="1" si="356"/>
        <v>-13.029899999999998</v>
      </c>
      <c r="Q3271" s="11" t="str">
        <f t="shared" ca="1" si="342"/>
        <v/>
      </c>
      <c r="R3271" s="11" t="str">
        <f t="shared" ca="1" si="343"/>
        <v/>
      </c>
      <c r="S3271" s="61" t="str">
        <f t="shared" ca="1" si="344"/>
        <v/>
      </c>
      <c r="T3271" s="11" t="str">
        <f t="shared" ca="1" si="345"/>
        <v/>
      </c>
      <c r="U3271" s="11" t="str">
        <f t="shared" ca="1" si="346"/>
        <v/>
      </c>
      <c r="V3271" s="18" t="str">
        <f t="shared" ca="1" si="347"/>
        <v/>
      </c>
      <c r="W3271" s="61" t="str">
        <f t="shared" ca="1" si="348"/>
        <v/>
      </c>
      <c r="X3271" s="61">
        <f t="shared" ca="1" si="349"/>
        <v>0</v>
      </c>
      <c r="Y3271" s="64" t="str">
        <f t="shared" ca="1" si="350"/>
        <v/>
      </c>
    </row>
    <row r="3272" spans="1:25">
      <c r="A3272" s="2">
        <f>+Get_Data!A3271</f>
        <v>0</v>
      </c>
      <c r="B3272">
        <f>+ROUND(Get_Data!B3271,5)</f>
        <v>0</v>
      </c>
      <c r="C3272">
        <f>+ROUND(Get_Data!C3271,5)</f>
        <v>0</v>
      </c>
      <c r="D3272" s="4" t="str">
        <f t="shared" si="357"/>
        <v/>
      </c>
      <c r="E3272" s="22">
        <f t="shared" ca="1" si="358"/>
        <v>0</v>
      </c>
      <c r="F3272" s="23">
        <f t="shared" ca="1" si="359"/>
        <v>0</v>
      </c>
      <c r="G3272" s="10">
        <f t="shared" ca="1" si="360"/>
        <v>0</v>
      </c>
      <c r="H3272" s="12">
        <f t="shared" ca="1" si="361"/>
        <v>0</v>
      </c>
      <c r="I3272" s="11">
        <f t="shared" ca="1" si="362"/>
        <v>0</v>
      </c>
      <c r="J3272" s="11">
        <f t="shared" ca="1" si="363"/>
        <v>-1</v>
      </c>
      <c r="K3272" s="10">
        <f t="shared" ca="1" si="351"/>
        <v>131.24001000000001</v>
      </c>
      <c r="L3272" s="11">
        <f t="shared" ca="1" si="352"/>
        <v>-49.09</v>
      </c>
      <c r="M3272" s="11">
        <f t="shared" ca="1" si="353"/>
        <v>2.6734599999999999</v>
      </c>
      <c r="N3272" s="15">
        <f t="shared" ca="1" si="354"/>
        <v>10</v>
      </c>
      <c r="O3272" s="15">
        <f t="shared" ca="1" si="355"/>
        <v>27</v>
      </c>
      <c r="P3272" s="16">
        <f t="shared" ca="1" si="356"/>
        <v>-13.029899999999998</v>
      </c>
      <c r="Q3272" s="11" t="str">
        <f t="shared" ca="1" si="342"/>
        <v/>
      </c>
      <c r="R3272" s="11" t="str">
        <f t="shared" ca="1" si="343"/>
        <v/>
      </c>
      <c r="S3272" s="61" t="str">
        <f t="shared" ca="1" si="344"/>
        <v/>
      </c>
      <c r="T3272" s="11" t="str">
        <f t="shared" ca="1" si="345"/>
        <v/>
      </c>
      <c r="U3272" s="11" t="str">
        <f t="shared" ca="1" si="346"/>
        <v/>
      </c>
      <c r="V3272" s="18" t="str">
        <f t="shared" ca="1" si="347"/>
        <v/>
      </c>
      <c r="W3272" s="61" t="str">
        <f t="shared" ca="1" si="348"/>
        <v/>
      </c>
      <c r="X3272" s="61">
        <f t="shared" ca="1" si="349"/>
        <v>0</v>
      </c>
      <c r="Y3272" s="64" t="str">
        <f t="shared" ca="1" si="350"/>
        <v/>
      </c>
    </row>
    <row r="3273" spans="1:25">
      <c r="A3273" s="2">
        <f>+Get_Data!A3272</f>
        <v>0</v>
      </c>
      <c r="B3273">
        <f>+ROUND(Get_Data!B3272,5)</f>
        <v>0</v>
      </c>
      <c r="C3273">
        <f>+ROUND(Get_Data!C3272,5)</f>
        <v>0</v>
      </c>
      <c r="D3273" s="4" t="str">
        <f t="shared" si="357"/>
        <v/>
      </c>
      <c r="E3273" s="22">
        <f t="shared" ca="1" si="358"/>
        <v>0</v>
      </c>
      <c r="F3273" s="23">
        <f t="shared" ca="1" si="359"/>
        <v>0</v>
      </c>
      <c r="G3273" s="10">
        <f t="shared" ca="1" si="360"/>
        <v>0</v>
      </c>
      <c r="H3273" s="12">
        <f t="shared" ca="1" si="361"/>
        <v>0</v>
      </c>
      <c r="I3273" s="11">
        <f t="shared" ca="1" si="362"/>
        <v>0</v>
      </c>
      <c r="J3273" s="11">
        <f t="shared" ca="1" si="363"/>
        <v>-1</v>
      </c>
      <c r="K3273" s="10">
        <f t="shared" ca="1" si="351"/>
        <v>131.24001000000001</v>
      </c>
      <c r="L3273" s="11">
        <f t="shared" ca="1" si="352"/>
        <v>-49.09</v>
      </c>
      <c r="M3273" s="11">
        <f t="shared" ca="1" si="353"/>
        <v>2.6734599999999999</v>
      </c>
      <c r="N3273" s="15">
        <f t="shared" ca="1" si="354"/>
        <v>10</v>
      </c>
      <c r="O3273" s="15">
        <f t="shared" ca="1" si="355"/>
        <v>27</v>
      </c>
      <c r="P3273" s="16">
        <f t="shared" ca="1" si="356"/>
        <v>-13.029899999999998</v>
      </c>
      <c r="Q3273" s="11" t="str">
        <f t="shared" ca="1" si="342"/>
        <v/>
      </c>
      <c r="R3273" s="11" t="str">
        <f t="shared" ca="1" si="343"/>
        <v/>
      </c>
      <c r="S3273" s="61" t="str">
        <f t="shared" ca="1" si="344"/>
        <v/>
      </c>
      <c r="T3273" s="11" t="str">
        <f t="shared" ca="1" si="345"/>
        <v/>
      </c>
      <c r="U3273" s="11" t="str">
        <f t="shared" ca="1" si="346"/>
        <v/>
      </c>
      <c r="V3273" s="18" t="str">
        <f t="shared" ca="1" si="347"/>
        <v/>
      </c>
      <c r="W3273" s="61" t="str">
        <f t="shared" ca="1" si="348"/>
        <v/>
      </c>
      <c r="X3273" s="61">
        <f t="shared" ca="1" si="349"/>
        <v>0</v>
      </c>
      <c r="Y3273" s="64" t="str">
        <f t="shared" ca="1" si="350"/>
        <v/>
      </c>
    </row>
    <row r="3274" spans="1:25">
      <c r="A3274" s="2">
        <f>+Get_Data!A3273</f>
        <v>0</v>
      </c>
      <c r="B3274">
        <f>+ROUND(Get_Data!B3273,5)</f>
        <v>0</v>
      </c>
      <c r="C3274">
        <f>+ROUND(Get_Data!C3273,5)</f>
        <v>0</v>
      </c>
      <c r="D3274" s="4" t="str">
        <f t="shared" si="357"/>
        <v/>
      </c>
      <c r="E3274" s="22">
        <f t="shared" ca="1" si="358"/>
        <v>0</v>
      </c>
      <c r="F3274" s="23">
        <f t="shared" ca="1" si="359"/>
        <v>0</v>
      </c>
      <c r="G3274" s="10">
        <f t="shared" ca="1" si="360"/>
        <v>0</v>
      </c>
      <c r="H3274" s="12">
        <f t="shared" ca="1" si="361"/>
        <v>0</v>
      </c>
      <c r="I3274" s="11">
        <f t="shared" ca="1" si="362"/>
        <v>0</v>
      </c>
      <c r="J3274" s="11">
        <f t="shared" ca="1" si="363"/>
        <v>-1</v>
      </c>
      <c r="K3274" s="10">
        <f t="shared" ca="1" si="351"/>
        <v>131.24001000000001</v>
      </c>
      <c r="L3274" s="11">
        <f t="shared" ca="1" si="352"/>
        <v>-49.09</v>
      </c>
      <c r="M3274" s="11">
        <f t="shared" ca="1" si="353"/>
        <v>2.6734599999999999</v>
      </c>
      <c r="N3274" s="15">
        <f t="shared" ca="1" si="354"/>
        <v>10</v>
      </c>
      <c r="O3274" s="15">
        <f t="shared" ca="1" si="355"/>
        <v>27</v>
      </c>
      <c r="P3274" s="16">
        <f t="shared" ca="1" si="356"/>
        <v>-13.029899999999998</v>
      </c>
      <c r="Q3274" s="11" t="str">
        <f t="shared" ca="1" si="342"/>
        <v/>
      </c>
      <c r="R3274" s="11" t="str">
        <f t="shared" ca="1" si="343"/>
        <v/>
      </c>
      <c r="S3274" s="61" t="str">
        <f t="shared" ca="1" si="344"/>
        <v/>
      </c>
      <c r="T3274" s="11" t="str">
        <f t="shared" ca="1" si="345"/>
        <v/>
      </c>
      <c r="U3274" s="11" t="str">
        <f t="shared" ca="1" si="346"/>
        <v/>
      </c>
      <c r="V3274" s="18" t="str">
        <f t="shared" ca="1" si="347"/>
        <v/>
      </c>
      <c r="W3274" s="61" t="str">
        <f t="shared" ca="1" si="348"/>
        <v/>
      </c>
      <c r="X3274" s="61">
        <f t="shared" ca="1" si="349"/>
        <v>0</v>
      </c>
      <c r="Y3274" s="64" t="str">
        <f t="shared" ca="1" si="350"/>
        <v/>
      </c>
    </row>
    <row r="3275" spans="1:25">
      <c r="A3275" s="2">
        <f>+Get_Data!A3274</f>
        <v>0</v>
      </c>
      <c r="B3275">
        <f>+ROUND(Get_Data!B3274,5)</f>
        <v>0</v>
      </c>
      <c r="C3275">
        <f>+ROUND(Get_Data!C3274,5)</f>
        <v>0</v>
      </c>
      <c r="D3275" s="4" t="str">
        <f t="shared" si="357"/>
        <v/>
      </c>
      <c r="E3275" s="22">
        <f t="shared" ca="1" si="358"/>
        <v>0</v>
      </c>
      <c r="F3275" s="23">
        <f t="shared" ca="1" si="359"/>
        <v>0</v>
      </c>
      <c r="G3275" s="10">
        <f t="shared" ca="1" si="360"/>
        <v>0</v>
      </c>
      <c r="H3275" s="12">
        <f t="shared" ca="1" si="361"/>
        <v>0</v>
      </c>
      <c r="I3275" s="11">
        <f t="shared" ca="1" si="362"/>
        <v>0</v>
      </c>
      <c r="J3275" s="11">
        <f t="shared" ca="1" si="363"/>
        <v>-1</v>
      </c>
      <c r="K3275" s="10">
        <f t="shared" ca="1" si="351"/>
        <v>131.24001000000001</v>
      </c>
      <c r="L3275" s="11">
        <f t="shared" ca="1" si="352"/>
        <v>-49.09</v>
      </c>
      <c r="M3275" s="11">
        <f t="shared" ca="1" si="353"/>
        <v>2.6734599999999999</v>
      </c>
      <c r="N3275" s="15">
        <f t="shared" ca="1" si="354"/>
        <v>10</v>
      </c>
      <c r="O3275" s="15">
        <f t="shared" ca="1" si="355"/>
        <v>27</v>
      </c>
      <c r="P3275" s="16">
        <f t="shared" ca="1" si="356"/>
        <v>-13.029899999999998</v>
      </c>
      <c r="Q3275" s="11" t="str">
        <f t="shared" ca="1" si="342"/>
        <v/>
      </c>
      <c r="R3275" s="11" t="str">
        <f t="shared" ca="1" si="343"/>
        <v/>
      </c>
      <c r="S3275" s="61" t="str">
        <f t="shared" ca="1" si="344"/>
        <v/>
      </c>
      <c r="T3275" s="11" t="str">
        <f t="shared" ca="1" si="345"/>
        <v/>
      </c>
      <c r="U3275" s="11" t="str">
        <f t="shared" ca="1" si="346"/>
        <v/>
      </c>
      <c r="V3275" s="18" t="str">
        <f t="shared" ca="1" si="347"/>
        <v/>
      </c>
      <c r="W3275" s="61" t="str">
        <f t="shared" ca="1" si="348"/>
        <v/>
      </c>
      <c r="X3275" s="61">
        <f t="shared" ca="1" si="349"/>
        <v>0</v>
      </c>
      <c r="Y3275" s="64" t="str">
        <f t="shared" ca="1" si="350"/>
        <v/>
      </c>
    </row>
    <row r="3276" spans="1:25">
      <c r="A3276" s="2">
        <f>+Get_Data!A3275</f>
        <v>0</v>
      </c>
      <c r="B3276">
        <f>+ROUND(Get_Data!B3275,5)</f>
        <v>0</v>
      </c>
      <c r="C3276">
        <f>+ROUND(Get_Data!C3275,5)</f>
        <v>0</v>
      </c>
      <c r="D3276" s="4" t="str">
        <f t="shared" si="357"/>
        <v/>
      </c>
      <c r="E3276" s="22">
        <f t="shared" ca="1" si="358"/>
        <v>0</v>
      </c>
      <c r="F3276" s="23">
        <f t="shared" ca="1" si="359"/>
        <v>0</v>
      </c>
      <c r="G3276" s="10">
        <f t="shared" ca="1" si="360"/>
        <v>0</v>
      </c>
      <c r="H3276" s="12">
        <f t="shared" ca="1" si="361"/>
        <v>0</v>
      </c>
      <c r="I3276" s="11">
        <f t="shared" ca="1" si="362"/>
        <v>0</v>
      </c>
      <c r="J3276" s="11">
        <f t="shared" ca="1" si="363"/>
        <v>-1</v>
      </c>
      <c r="K3276" s="10">
        <f t="shared" ca="1" si="351"/>
        <v>131.24001000000001</v>
      </c>
      <c r="L3276" s="11">
        <f t="shared" ca="1" si="352"/>
        <v>-49.09</v>
      </c>
      <c r="M3276" s="11">
        <f t="shared" ca="1" si="353"/>
        <v>2.6734599999999999</v>
      </c>
      <c r="N3276" s="15">
        <f t="shared" ca="1" si="354"/>
        <v>10</v>
      </c>
      <c r="O3276" s="15">
        <f t="shared" ca="1" si="355"/>
        <v>27</v>
      </c>
      <c r="P3276" s="16">
        <f t="shared" ca="1" si="356"/>
        <v>-13.029899999999998</v>
      </c>
      <c r="Q3276" s="11" t="str">
        <f t="shared" ca="1" si="342"/>
        <v/>
      </c>
      <c r="R3276" s="11" t="str">
        <f t="shared" ca="1" si="343"/>
        <v/>
      </c>
      <c r="S3276" s="61" t="str">
        <f t="shared" ca="1" si="344"/>
        <v/>
      </c>
      <c r="T3276" s="11" t="str">
        <f t="shared" ca="1" si="345"/>
        <v/>
      </c>
      <c r="U3276" s="11" t="str">
        <f t="shared" ca="1" si="346"/>
        <v/>
      </c>
      <c r="V3276" s="18" t="str">
        <f t="shared" ca="1" si="347"/>
        <v/>
      </c>
      <c r="W3276" s="61" t="str">
        <f t="shared" ca="1" si="348"/>
        <v/>
      </c>
      <c r="X3276" s="61">
        <f t="shared" ca="1" si="349"/>
        <v>0</v>
      </c>
      <c r="Y3276" s="64" t="str">
        <f t="shared" ca="1" si="350"/>
        <v/>
      </c>
    </row>
    <row r="3277" spans="1:25">
      <c r="A3277" s="2">
        <f>+Get_Data!A3276</f>
        <v>0</v>
      </c>
      <c r="B3277">
        <f>+ROUND(Get_Data!B3276,5)</f>
        <v>0</v>
      </c>
      <c r="C3277">
        <f>+ROUND(Get_Data!C3276,5)</f>
        <v>0</v>
      </c>
      <c r="D3277" s="4" t="str">
        <f t="shared" si="357"/>
        <v/>
      </c>
      <c r="E3277" s="22">
        <f t="shared" ca="1" si="358"/>
        <v>0</v>
      </c>
      <c r="F3277" s="23">
        <f t="shared" ca="1" si="359"/>
        <v>0</v>
      </c>
      <c r="G3277" s="10">
        <f t="shared" ca="1" si="360"/>
        <v>0</v>
      </c>
      <c r="H3277" s="12">
        <f t="shared" ca="1" si="361"/>
        <v>0</v>
      </c>
      <c r="I3277" s="11">
        <f t="shared" ca="1" si="362"/>
        <v>0</v>
      </c>
      <c r="J3277" s="11">
        <f t="shared" ca="1" si="363"/>
        <v>-1</v>
      </c>
      <c r="K3277" s="10">
        <f t="shared" ca="1" si="351"/>
        <v>131.24001000000001</v>
      </c>
      <c r="L3277" s="11">
        <f t="shared" ca="1" si="352"/>
        <v>-49.09</v>
      </c>
      <c r="M3277" s="11">
        <f t="shared" ca="1" si="353"/>
        <v>2.6734599999999999</v>
      </c>
      <c r="N3277" s="15">
        <f t="shared" ca="1" si="354"/>
        <v>10</v>
      </c>
      <c r="O3277" s="15">
        <f t="shared" ca="1" si="355"/>
        <v>27</v>
      </c>
      <c r="P3277" s="16">
        <f t="shared" ca="1" si="356"/>
        <v>-13.029899999999998</v>
      </c>
      <c r="Q3277" s="11" t="str">
        <f t="shared" ca="1" si="342"/>
        <v/>
      </c>
      <c r="R3277" s="11" t="str">
        <f t="shared" ca="1" si="343"/>
        <v/>
      </c>
      <c r="S3277" s="61" t="str">
        <f t="shared" ca="1" si="344"/>
        <v/>
      </c>
      <c r="T3277" s="11" t="str">
        <f t="shared" ca="1" si="345"/>
        <v/>
      </c>
      <c r="U3277" s="11" t="str">
        <f t="shared" ca="1" si="346"/>
        <v/>
      </c>
      <c r="V3277" s="18" t="str">
        <f t="shared" ca="1" si="347"/>
        <v/>
      </c>
      <c r="W3277" s="61" t="str">
        <f t="shared" ca="1" si="348"/>
        <v/>
      </c>
      <c r="X3277" s="61">
        <f t="shared" ca="1" si="349"/>
        <v>0</v>
      </c>
      <c r="Y3277" s="64" t="str">
        <f t="shared" ca="1" si="350"/>
        <v/>
      </c>
    </row>
    <row r="3278" spans="1:25">
      <c r="A3278" s="2">
        <f>+Get_Data!A3277</f>
        <v>0</v>
      </c>
      <c r="B3278">
        <f>+ROUND(Get_Data!B3277,5)</f>
        <v>0</v>
      </c>
      <c r="C3278">
        <f>+ROUND(Get_Data!C3277,5)</f>
        <v>0</v>
      </c>
      <c r="D3278" s="4" t="str">
        <f t="shared" si="357"/>
        <v/>
      </c>
      <c r="E3278" s="22">
        <f t="shared" ca="1" si="358"/>
        <v>0</v>
      </c>
      <c r="F3278" s="23">
        <f t="shared" ca="1" si="359"/>
        <v>0</v>
      </c>
      <c r="G3278" s="10">
        <f t="shared" ca="1" si="360"/>
        <v>0</v>
      </c>
      <c r="H3278" s="12">
        <f t="shared" ca="1" si="361"/>
        <v>0</v>
      </c>
      <c r="I3278" s="11">
        <f t="shared" ca="1" si="362"/>
        <v>0</v>
      </c>
      <c r="J3278" s="11">
        <f t="shared" ca="1" si="363"/>
        <v>-1</v>
      </c>
      <c r="K3278" s="10">
        <f t="shared" ca="1" si="351"/>
        <v>131.24001000000001</v>
      </c>
      <c r="L3278" s="11">
        <f t="shared" ca="1" si="352"/>
        <v>-49.09</v>
      </c>
      <c r="M3278" s="11">
        <f t="shared" ca="1" si="353"/>
        <v>2.6734599999999999</v>
      </c>
      <c r="N3278" s="15">
        <f t="shared" ca="1" si="354"/>
        <v>10</v>
      </c>
      <c r="O3278" s="15">
        <f t="shared" ca="1" si="355"/>
        <v>27</v>
      </c>
      <c r="P3278" s="16">
        <f t="shared" ca="1" si="356"/>
        <v>-13.029899999999998</v>
      </c>
      <c r="Q3278" s="11" t="str">
        <f t="shared" ca="1" si="342"/>
        <v/>
      </c>
      <c r="R3278" s="11" t="str">
        <f t="shared" ca="1" si="343"/>
        <v/>
      </c>
      <c r="S3278" s="61" t="str">
        <f t="shared" ca="1" si="344"/>
        <v/>
      </c>
      <c r="T3278" s="11" t="str">
        <f t="shared" ca="1" si="345"/>
        <v/>
      </c>
      <c r="U3278" s="11" t="str">
        <f t="shared" ca="1" si="346"/>
        <v/>
      </c>
      <c r="V3278" s="18" t="str">
        <f t="shared" ca="1" si="347"/>
        <v/>
      </c>
      <c r="W3278" s="61" t="str">
        <f t="shared" ca="1" si="348"/>
        <v/>
      </c>
      <c r="X3278" s="61">
        <f t="shared" ca="1" si="349"/>
        <v>0</v>
      </c>
      <c r="Y3278" s="64" t="str">
        <f t="shared" ca="1" si="350"/>
        <v/>
      </c>
    </row>
    <row r="3279" spans="1:25">
      <c r="A3279" s="2">
        <f>+Get_Data!A3278</f>
        <v>0</v>
      </c>
      <c r="B3279">
        <f>+ROUND(Get_Data!B3278,5)</f>
        <v>0</v>
      </c>
      <c r="C3279">
        <f>+ROUND(Get_Data!C3278,5)</f>
        <v>0</v>
      </c>
      <c r="D3279" s="4" t="str">
        <f t="shared" si="357"/>
        <v/>
      </c>
      <c r="E3279" s="22">
        <f t="shared" ca="1" si="358"/>
        <v>0</v>
      </c>
      <c r="F3279" s="23">
        <f t="shared" ca="1" si="359"/>
        <v>0</v>
      </c>
      <c r="G3279" s="10">
        <f t="shared" ca="1" si="360"/>
        <v>0</v>
      </c>
      <c r="H3279" s="12">
        <f t="shared" ca="1" si="361"/>
        <v>0</v>
      </c>
      <c r="I3279" s="11">
        <f t="shared" ca="1" si="362"/>
        <v>0</v>
      </c>
      <c r="J3279" s="11">
        <f t="shared" ca="1" si="363"/>
        <v>-1</v>
      </c>
      <c r="K3279" s="10">
        <f t="shared" ca="1" si="351"/>
        <v>131.24001000000001</v>
      </c>
      <c r="L3279" s="11">
        <f t="shared" ca="1" si="352"/>
        <v>-49.09</v>
      </c>
      <c r="M3279" s="11">
        <f t="shared" ca="1" si="353"/>
        <v>2.6734599999999999</v>
      </c>
      <c r="N3279" s="15">
        <f t="shared" ca="1" si="354"/>
        <v>10</v>
      </c>
      <c r="O3279" s="15">
        <f t="shared" ca="1" si="355"/>
        <v>27</v>
      </c>
      <c r="P3279" s="16">
        <f t="shared" ca="1" si="356"/>
        <v>-13.029899999999998</v>
      </c>
      <c r="Q3279" s="11" t="str">
        <f t="shared" ca="1" si="342"/>
        <v/>
      </c>
      <c r="R3279" s="11" t="str">
        <f t="shared" ca="1" si="343"/>
        <v/>
      </c>
      <c r="S3279" s="61" t="str">
        <f t="shared" ca="1" si="344"/>
        <v/>
      </c>
      <c r="T3279" s="11" t="str">
        <f t="shared" ca="1" si="345"/>
        <v/>
      </c>
      <c r="U3279" s="11" t="str">
        <f t="shared" ca="1" si="346"/>
        <v/>
      </c>
      <c r="V3279" s="18" t="str">
        <f t="shared" ca="1" si="347"/>
        <v/>
      </c>
      <c r="W3279" s="61" t="str">
        <f t="shared" ca="1" si="348"/>
        <v/>
      </c>
      <c r="X3279" s="61">
        <f t="shared" ca="1" si="349"/>
        <v>0</v>
      </c>
      <c r="Y3279" s="64" t="str">
        <f t="shared" ca="1" si="350"/>
        <v/>
      </c>
    </row>
    <row r="3280" spans="1:25">
      <c r="A3280" s="2">
        <f>+Get_Data!A3279</f>
        <v>0</v>
      </c>
      <c r="B3280">
        <f>+ROUND(Get_Data!B3279,5)</f>
        <v>0</v>
      </c>
      <c r="C3280">
        <f>+ROUND(Get_Data!C3279,5)</f>
        <v>0</v>
      </c>
      <c r="D3280" s="4" t="str">
        <f t="shared" si="357"/>
        <v/>
      </c>
      <c r="E3280" s="22">
        <f t="shared" ca="1" si="358"/>
        <v>0</v>
      </c>
      <c r="F3280" s="23">
        <f t="shared" ca="1" si="359"/>
        <v>0</v>
      </c>
      <c r="G3280" s="10">
        <f t="shared" ca="1" si="360"/>
        <v>0</v>
      </c>
      <c r="H3280" s="12">
        <f t="shared" ca="1" si="361"/>
        <v>0</v>
      </c>
      <c r="I3280" s="11">
        <f t="shared" ca="1" si="362"/>
        <v>0</v>
      </c>
      <c r="J3280" s="11">
        <f t="shared" ca="1" si="363"/>
        <v>-1</v>
      </c>
      <c r="K3280" s="10">
        <f t="shared" ca="1" si="351"/>
        <v>131.24001000000001</v>
      </c>
      <c r="L3280" s="11">
        <f t="shared" ca="1" si="352"/>
        <v>-49.09</v>
      </c>
      <c r="M3280" s="11">
        <f t="shared" ca="1" si="353"/>
        <v>2.6734599999999999</v>
      </c>
      <c r="N3280" s="15">
        <f t="shared" ca="1" si="354"/>
        <v>10</v>
      </c>
      <c r="O3280" s="15">
        <f t="shared" ca="1" si="355"/>
        <v>27</v>
      </c>
      <c r="P3280" s="16">
        <f t="shared" ca="1" si="356"/>
        <v>-13.029899999999998</v>
      </c>
      <c r="Q3280" s="11" t="str">
        <f t="shared" ca="1" si="342"/>
        <v/>
      </c>
      <c r="R3280" s="11" t="str">
        <f t="shared" ca="1" si="343"/>
        <v/>
      </c>
      <c r="S3280" s="61" t="str">
        <f t="shared" ca="1" si="344"/>
        <v/>
      </c>
      <c r="T3280" s="11" t="str">
        <f t="shared" ca="1" si="345"/>
        <v/>
      </c>
      <c r="U3280" s="11" t="str">
        <f t="shared" ca="1" si="346"/>
        <v/>
      </c>
      <c r="V3280" s="18" t="str">
        <f t="shared" ca="1" si="347"/>
        <v/>
      </c>
      <c r="W3280" s="61" t="str">
        <f t="shared" ca="1" si="348"/>
        <v/>
      </c>
      <c r="X3280" s="61">
        <f t="shared" ca="1" si="349"/>
        <v>0</v>
      </c>
      <c r="Y3280" s="64" t="str">
        <f t="shared" ca="1" si="350"/>
        <v/>
      </c>
    </row>
    <row r="3281" spans="1:25">
      <c r="A3281" s="2">
        <f>+Get_Data!A3280</f>
        <v>0</v>
      </c>
      <c r="B3281">
        <f>+ROUND(Get_Data!B3280,5)</f>
        <v>0</v>
      </c>
      <c r="C3281">
        <f>+ROUND(Get_Data!C3280,5)</f>
        <v>0</v>
      </c>
      <c r="D3281" s="4" t="str">
        <f t="shared" si="357"/>
        <v/>
      </c>
      <c r="E3281" s="22">
        <f t="shared" ca="1" si="358"/>
        <v>0</v>
      </c>
      <c r="F3281" s="23">
        <f t="shared" ca="1" si="359"/>
        <v>0</v>
      </c>
      <c r="G3281" s="10">
        <f t="shared" ca="1" si="360"/>
        <v>0</v>
      </c>
      <c r="H3281" s="12">
        <f t="shared" ca="1" si="361"/>
        <v>0</v>
      </c>
      <c r="I3281" s="11">
        <f t="shared" ca="1" si="362"/>
        <v>0</v>
      </c>
      <c r="J3281" s="11">
        <f t="shared" ca="1" si="363"/>
        <v>-1</v>
      </c>
      <c r="K3281" s="10">
        <f t="shared" ca="1" si="351"/>
        <v>131.24001000000001</v>
      </c>
      <c r="L3281" s="11">
        <f t="shared" ca="1" si="352"/>
        <v>-49.09</v>
      </c>
      <c r="M3281" s="11">
        <f t="shared" ca="1" si="353"/>
        <v>2.6734599999999999</v>
      </c>
      <c r="N3281" s="15">
        <f t="shared" ca="1" si="354"/>
        <v>10</v>
      </c>
      <c r="O3281" s="15">
        <f t="shared" ca="1" si="355"/>
        <v>27</v>
      </c>
      <c r="P3281" s="16">
        <f t="shared" ca="1" si="356"/>
        <v>-13.029899999999998</v>
      </c>
      <c r="Q3281" s="11" t="str">
        <f t="shared" ca="1" si="342"/>
        <v/>
      </c>
      <c r="R3281" s="11" t="str">
        <f t="shared" ca="1" si="343"/>
        <v/>
      </c>
      <c r="S3281" s="61" t="str">
        <f t="shared" ca="1" si="344"/>
        <v/>
      </c>
      <c r="T3281" s="11" t="str">
        <f t="shared" ca="1" si="345"/>
        <v/>
      </c>
      <c r="U3281" s="11" t="str">
        <f t="shared" ca="1" si="346"/>
        <v/>
      </c>
      <c r="V3281" s="18" t="str">
        <f t="shared" ca="1" si="347"/>
        <v/>
      </c>
      <c r="W3281" s="61" t="str">
        <f t="shared" ca="1" si="348"/>
        <v/>
      </c>
      <c r="X3281" s="61">
        <f t="shared" ca="1" si="349"/>
        <v>0</v>
      </c>
      <c r="Y3281" s="64" t="str">
        <f t="shared" ca="1" si="350"/>
        <v/>
      </c>
    </row>
    <row r="3282" spans="1:25">
      <c r="A3282" s="2">
        <f>+Get_Data!A3281</f>
        <v>0</v>
      </c>
      <c r="B3282">
        <f>+ROUND(Get_Data!B3281,5)</f>
        <v>0</v>
      </c>
      <c r="C3282">
        <f>+ROUND(Get_Data!C3281,5)</f>
        <v>0</v>
      </c>
      <c r="D3282" s="4" t="str">
        <f t="shared" si="357"/>
        <v/>
      </c>
      <c r="E3282" s="22">
        <f t="shared" ca="1" si="358"/>
        <v>0</v>
      </c>
      <c r="F3282" s="23">
        <f t="shared" ca="1" si="359"/>
        <v>0</v>
      </c>
      <c r="G3282" s="10">
        <f t="shared" ca="1" si="360"/>
        <v>0</v>
      </c>
      <c r="H3282" s="12">
        <f t="shared" ca="1" si="361"/>
        <v>0</v>
      </c>
      <c r="I3282" s="11">
        <f t="shared" ca="1" si="362"/>
        <v>0</v>
      </c>
      <c r="J3282" s="11">
        <f t="shared" ca="1" si="363"/>
        <v>-1</v>
      </c>
      <c r="K3282" s="10">
        <f t="shared" ca="1" si="351"/>
        <v>131.24001000000001</v>
      </c>
      <c r="L3282" s="11">
        <f t="shared" ca="1" si="352"/>
        <v>-49.09</v>
      </c>
      <c r="M3282" s="11">
        <f t="shared" ca="1" si="353"/>
        <v>2.6734599999999999</v>
      </c>
      <c r="N3282" s="15">
        <f t="shared" ca="1" si="354"/>
        <v>10</v>
      </c>
      <c r="O3282" s="15">
        <f t="shared" ca="1" si="355"/>
        <v>27</v>
      </c>
      <c r="P3282" s="16">
        <f t="shared" ca="1" si="356"/>
        <v>-13.029899999999998</v>
      </c>
      <c r="Q3282" s="11" t="str">
        <f t="shared" ca="1" si="342"/>
        <v/>
      </c>
      <c r="R3282" s="11" t="str">
        <f t="shared" ca="1" si="343"/>
        <v/>
      </c>
      <c r="S3282" s="61" t="str">
        <f t="shared" ca="1" si="344"/>
        <v/>
      </c>
      <c r="T3282" s="11" t="str">
        <f t="shared" ca="1" si="345"/>
        <v/>
      </c>
      <c r="U3282" s="11" t="str">
        <f t="shared" ca="1" si="346"/>
        <v/>
      </c>
      <c r="V3282" s="18" t="str">
        <f t="shared" ca="1" si="347"/>
        <v/>
      </c>
      <c r="W3282" s="61" t="str">
        <f t="shared" ca="1" si="348"/>
        <v/>
      </c>
      <c r="X3282" s="61">
        <f t="shared" ca="1" si="349"/>
        <v>0</v>
      </c>
      <c r="Y3282" s="64" t="str">
        <f t="shared" ca="1" si="350"/>
        <v/>
      </c>
    </row>
    <row r="3283" spans="1:25">
      <c r="A3283" s="2">
        <f>+Get_Data!A3282</f>
        <v>0</v>
      </c>
      <c r="B3283">
        <f>+ROUND(Get_Data!B3282,5)</f>
        <v>0</v>
      </c>
      <c r="C3283">
        <f>+ROUND(Get_Data!C3282,5)</f>
        <v>0</v>
      </c>
      <c r="D3283" s="4" t="str">
        <f t="shared" si="357"/>
        <v/>
      </c>
      <c r="E3283" s="22">
        <f t="shared" ca="1" si="358"/>
        <v>0</v>
      </c>
      <c r="F3283" s="23">
        <f t="shared" ca="1" si="359"/>
        <v>0</v>
      </c>
      <c r="G3283" s="10">
        <f t="shared" ca="1" si="360"/>
        <v>0</v>
      </c>
      <c r="H3283" s="12">
        <f t="shared" ca="1" si="361"/>
        <v>0</v>
      </c>
      <c r="I3283" s="11">
        <f t="shared" ca="1" si="362"/>
        <v>0</v>
      </c>
      <c r="J3283" s="11">
        <f t="shared" ca="1" si="363"/>
        <v>-1</v>
      </c>
      <c r="K3283" s="10">
        <f t="shared" ca="1" si="351"/>
        <v>131.24001000000001</v>
      </c>
      <c r="L3283" s="11">
        <f t="shared" ca="1" si="352"/>
        <v>-49.09</v>
      </c>
      <c r="M3283" s="11">
        <f t="shared" ca="1" si="353"/>
        <v>2.6734599999999999</v>
      </c>
      <c r="N3283" s="15">
        <f t="shared" ca="1" si="354"/>
        <v>10</v>
      </c>
      <c r="O3283" s="15">
        <f t="shared" ca="1" si="355"/>
        <v>27</v>
      </c>
      <c r="P3283" s="16">
        <f t="shared" ca="1" si="356"/>
        <v>-13.029899999999998</v>
      </c>
      <c r="Q3283" s="11" t="str">
        <f t="shared" ref="Q3283:Q3346" ca="1" si="364">+IF(ISNUMBER(T3283),B3283,"")</f>
        <v/>
      </c>
      <c r="R3283" s="11" t="str">
        <f t="shared" ref="R3283:R3346" ca="1" si="365">+IF(ISNUMBER(U3283),C3283,"")</f>
        <v/>
      </c>
      <c r="S3283" s="61" t="str">
        <f t="shared" ref="S3283:S3346" ca="1" si="366">+IF(ISNUMBER(T3283),D3283,"")</f>
        <v/>
      </c>
      <c r="T3283" s="11" t="str">
        <f t="shared" ref="T3283:T3346" ca="1" si="367">+IF(AND(ISNUMBER(N3282),NOT(ISNUMBER(N3283))),N3282,"")</f>
        <v/>
      </c>
      <c r="U3283" s="11" t="str">
        <f t="shared" ref="U3283:U3346" ca="1" si="368">+IF(AND(ISNUMBER(O3282),NOT(ISNUMBER(O3283))),O3282,"")</f>
        <v/>
      </c>
      <c r="V3283" s="18" t="str">
        <f t="shared" ref="V3283:V3346" ca="1" si="369">+IFERROR(T3283*(K3282-Q3283),"")</f>
        <v/>
      </c>
      <c r="W3283" s="61" t="str">
        <f t="shared" ref="W3283:W3346" ca="1" si="370">+IFERROR(U3283*(L3282+R3283),"")</f>
        <v/>
      </c>
      <c r="X3283" s="61">
        <f t="shared" ref="X3283:X3346" ca="1" si="371">+IFERROR(SUM(V3283:W3283),"")</f>
        <v>0</v>
      </c>
      <c r="Y3283" s="64" t="str">
        <f t="shared" ref="Y3283:Y3346" ca="1" si="372">IFERROR(+X3283/ABS(R3283*U3283),"")</f>
        <v/>
      </c>
    </row>
    <row r="3284" spans="1:25">
      <c r="A3284" s="2">
        <f>+Get_Data!A3283</f>
        <v>0</v>
      </c>
      <c r="B3284">
        <f>+ROUND(Get_Data!B3283,5)</f>
        <v>0</v>
      </c>
      <c r="C3284">
        <f>+ROUND(Get_Data!C3283,5)</f>
        <v>0</v>
      </c>
      <c r="D3284" s="4" t="str">
        <f t="shared" si="357"/>
        <v/>
      </c>
      <c r="E3284" s="22">
        <f t="shared" ca="1" si="358"/>
        <v>0</v>
      </c>
      <c r="F3284" s="23">
        <f t="shared" ca="1" si="359"/>
        <v>0</v>
      </c>
      <c r="G3284" s="10">
        <f t="shared" ca="1" si="360"/>
        <v>0</v>
      </c>
      <c r="H3284" s="12">
        <f t="shared" ca="1" si="361"/>
        <v>0</v>
      </c>
      <c r="I3284" s="11">
        <f t="shared" ca="1" si="362"/>
        <v>0</v>
      </c>
      <c r="J3284" s="11">
        <f t="shared" ca="1" si="363"/>
        <v>-1</v>
      </c>
      <c r="K3284" s="10">
        <f t="shared" ca="1" si="351"/>
        <v>131.24001000000001</v>
      </c>
      <c r="L3284" s="11">
        <f t="shared" ca="1" si="352"/>
        <v>-49.09</v>
      </c>
      <c r="M3284" s="11">
        <f t="shared" ca="1" si="353"/>
        <v>2.6734599999999999</v>
      </c>
      <c r="N3284" s="15">
        <f t="shared" ca="1" si="354"/>
        <v>10</v>
      </c>
      <c r="O3284" s="15">
        <f t="shared" ca="1" si="355"/>
        <v>27</v>
      </c>
      <c r="P3284" s="16">
        <f t="shared" ca="1" si="356"/>
        <v>-13.029899999999998</v>
      </c>
      <c r="Q3284" s="11" t="str">
        <f t="shared" ca="1" si="364"/>
        <v/>
      </c>
      <c r="R3284" s="11" t="str">
        <f t="shared" ca="1" si="365"/>
        <v/>
      </c>
      <c r="S3284" s="61" t="str">
        <f t="shared" ca="1" si="366"/>
        <v/>
      </c>
      <c r="T3284" s="11" t="str">
        <f t="shared" ca="1" si="367"/>
        <v/>
      </c>
      <c r="U3284" s="11" t="str">
        <f t="shared" ca="1" si="368"/>
        <v/>
      </c>
      <c r="V3284" s="18" t="str">
        <f t="shared" ca="1" si="369"/>
        <v/>
      </c>
      <c r="W3284" s="61" t="str">
        <f t="shared" ca="1" si="370"/>
        <v/>
      </c>
      <c r="X3284" s="61">
        <f t="shared" ca="1" si="371"/>
        <v>0</v>
      </c>
      <c r="Y3284" s="64" t="str">
        <f t="shared" ca="1" si="372"/>
        <v/>
      </c>
    </row>
    <row r="3285" spans="1:25">
      <c r="A3285" s="2">
        <f>+Get_Data!A3284</f>
        <v>0</v>
      </c>
      <c r="B3285">
        <f>+ROUND(Get_Data!B3284,5)</f>
        <v>0</v>
      </c>
      <c r="C3285">
        <f>+ROUND(Get_Data!C3284,5)</f>
        <v>0</v>
      </c>
      <c r="D3285" s="4" t="str">
        <f t="shared" si="357"/>
        <v/>
      </c>
      <c r="E3285" s="22">
        <f t="shared" ca="1" si="358"/>
        <v>0</v>
      </c>
      <c r="F3285" s="23">
        <f t="shared" ca="1" si="359"/>
        <v>0</v>
      </c>
      <c r="G3285" s="10">
        <f t="shared" ca="1" si="360"/>
        <v>0</v>
      </c>
      <c r="H3285" s="12">
        <f t="shared" ca="1" si="361"/>
        <v>0</v>
      </c>
      <c r="I3285" s="11">
        <f t="shared" ca="1" si="362"/>
        <v>0</v>
      </c>
      <c r="J3285" s="11">
        <f t="shared" ca="1" si="363"/>
        <v>-1</v>
      </c>
      <c r="K3285" s="10">
        <f t="shared" ca="1" si="351"/>
        <v>131.24001000000001</v>
      </c>
      <c r="L3285" s="11">
        <f t="shared" ca="1" si="352"/>
        <v>-49.09</v>
      </c>
      <c r="M3285" s="11">
        <f t="shared" ca="1" si="353"/>
        <v>2.6734599999999999</v>
      </c>
      <c r="N3285" s="15">
        <f t="shared" ca="1" si="354"/>
        <v>10</v>
      </c>
      <c r="O3285" s="15">
        <f t="shared" ca="1" si="355"/>
        <v>27</v>
      </c>
      <c r="P3285" s="16">
        <f t="shared" ca="1" si="356"/>
        <v>-13.029899999999998</v>
      </c>
      <c r="Q3285" s="11" t="str">
        <f t="shared" ca="1" si="364"/>
        <v/>
      </c>
      <c r="R3285" s="11" t="str">
        <f t="shared" ca="1" si="365"/>
        <v/>
      </c>
      <c r="S3285" s="61" t="str">
        <f t="shared" ca="1" si="366"/>
        <v/>
      </c>
      <c r="T3285" s="11" t="str">
        <f t="shared" ca="1" si="367"/>
        <v/>
      </c>
      <c r="U3285" s="11" t="str">
        <f t="shared" ca="1" si="368"/>
        <v/>
      </c>
      <c r="V3285" s="18" t="str">
        <f t="shared" ca="1" si="369"/>
        <v/>
      </c>
      <c r="W3285" s="61" t="str">
        <f t="shared" ca="1" si="370"/>
        <v/>
      </c>
      <c r="X3285" s="61">
        <f t="shared" ca="1" si="371"/>
        <v>0</v>
      </c>
      <c r="Y3285" s="64" t="str">
        <f t="shared" ca="1" si="372"/>
        <v/>
      </c>
    </row>
    <row r="3286" spans="1:25">
      <c r="A3286" s="2">
        <f>+Get_Data!A3285</f>
        <v>0</v>
      </c>
      <c r="B3286">
        <f>+ROUND(Get_Data!B3285,5)</f>
        <v>0</v>
      </c>
      <c r="C3286">
        <f>+ROUND(Get_Data!C3285,5)</f>
        <v>0</v>
      </c>
      <c r="D3286" s="4" t="str">
        <f t="shared" si="357"/>
        <v/>
      </c>
      <c r="E3286" s="22">
        <f t="shared" ca="1" si="358"/>
        <v>0</v>
      </c>
      <c r="F3286" s="23">
        <f t="shared" ca="1" si="359"/>
        <v>0</v>
      </c>
      <c r="G3286" s="10">
        <f t="shared" ca="1" si="360"/>
        <v>0</v>
      </c>
      <c r="H3286" s="12">
        <f t="shared" ca="1" si="361"/>
        <v>0</v>
      </c>
      <c r="I3286" s="11">
        <f t="shared" ca="1" si="362"/>
        <v>0</v>
      </c>
      <c r="J3286" s="11">
        <f t="shared" ca="1" si="363"/>
        <v>-1</v>
      </c>
      <c r="K3286" s="10">
        <f t="shared" ca="1" si="351"/>
        <v>131.24001000000001</v>
      </c>
      <c r="L3286" s="11">
        <f t="shared" ca="1" si="352"/>
        <v>-49.09</v>
      </c>
      <c r="M3286" s="11">
        <f t="shared" ca="1" si="353"/>
        <v>2.6734599999999999</v>
      </c>
      <c r="N3286" s="15">
        <f t="shared" ca="1" si="354"/>
        <v>10</v>
      </c>
      <c r="O3286" s="15">
        <f t="shared" ca="1" si="355"/>
        <v>27</v>
      </c>
      <c r="P3286" s="16">
        <f t="shared" ca="1" si="356"/>
        <v>-13.029899999999998</v>
      </c>
      <c r="Q3286" s="11" t="str">
        <f t="shared" ca="1" si="364"/>
        <v/>
      </c>
      <c r="R3286" s="11" t="str">
        <f t="shared" ca="1" si="365"/>
        <v/>
      </c>
      <c r="S3286" s="61" t="str">
        <f t="shared" ca="1" si="366"/>
        <v/>
      </c>
      <c r="T3286" s="11" t="str">
        <f t="shared" ca="1" si="367"/>
        <v/>
      </c>
      <c r="U3286" s="11" t="str">
        <f t="shared" ca="1" si="368"/>
        <v/>
      </c>
      <c r="V3286" s="18" t="str">
        <f t="shared" ca="1" si="369"/>
        <v/>
      </c>
      <c r="W3286" s="61" t="str">
        <f t="shared" ca="1" si="370"/>
        <v/>
      </c>
      <c r="X3286" s="61">
        <f t="shared" ca="1" si="371"/>
        <v>0</v>
      </c>
      <c r="Y3286" s="64" t="str">
        <f t="shared" ca="1" si="372"/>
        <v/>
      </c>
    </row>
    <row r="3287" spans="1:25">
      <c r="A3287" s="2">
        <f>+Get_Data!A3286</f>
        <v>0</v>
      </c>
      <c r="B3287">
        <f>+ROUND(Get_Data!B3286,5)</f>
        <v>0</v>
      </c>
      <c r="C3287">
        <f>+ROUND(Get_Data!C3286,5)</f>
        <v>0</v>
      </c>
      <c r="D3287" s="4" t="str">
        <f t="shared" si="357"/>
        <v/>
      </c>
      <c r="E3287" s="22">
        <f t="shared" ca="1" si="358"/>
        <v>0</v>
      </c>
      <c r="F3287" s="23">
        <f t="shared" ca="1" si="359"/>
        <v>0</v>
      </c>
      <c r="G3287" s="10">
        <f t="shared" ca="1" si="360"/>
        <v>0</v>
      </c>
      <c r="H3287" s="12">
        <f t="shared" ca="1" si="361"/>
        <v>0</v>
      </c>
      <c r="I3287" s="11">
        <f t="shared" ca="1" si="362"/>
        <v>0</v>
      </c>
      <c r="J3287" s="11">
        <f t="shared" ca="1" si="363"/>
        <v>-1</v>
      </c>
      <c r="K3287" s="10">
        <f t="shared" ca="1" si="351"/>
        <v>131.24001000000001</v>
      </c>
      <c r="L3287" s="11">
        <f t="shared" ca="1" si="352"/>
        <v>-49.09</v>
      </c>
      <c r="M3287" s="11">
        <f t="shared" ca="1" si="353"/>
        <v>2.6734599999999999</v>
      </c>
      <c r="N3287" s="15">
        <f t="shared" ca="1" si="354"/>
        <v>10</v>
      </c>
      <c r="O3287" s="15">
        <f t="shared" ca="1" si="355"/>
        <v>27</v>
      </c>
      <c r="P3287" s="16">
        <f t="shared" ca="1" si="356"/>
        <v>-13.029899999999998</v>
      </c>
      <c r="Q3287" s="11" t="str">
        <f t="shared" ca="1" si="364"/>
        <v/>
      </c>
      <c r="R3287" s="11" t="str">
        <f t="shared" ca="1" si="365"/>
        <v/>
      </c>
      <c r="S3287" s="61" t="str">
        <f t="shared" ca="1" si="366"/>
        <v/>
      </c>
      <c r="T3287" s="11" t="str">
        <f t="shared" ca="1" si="367"/>
        <v/>
      </c>
      <c r="U3287" s="11" t="str">
        <f t="shared" ca="1" si="368"/>
        <v/>
      </c>
      <c r="V3287" s="18" t="str">
        <f t="shared" ca="1" si="369"/>
        <v/>
      </c>
      <c r="W3287" s="61" t="str">
        <f t="shared" ca="1" si="370"/>
        <v/>
      </c>
      <c r="X3287" s="61">
        <f t="shared" ca="1" si="371"/>
        <v>0</v>
      </c>
      <c r="Y3287" s="64" t="str">
        <f t="shared" ca="1" si="372"/>
        <v/>
      </c>
    </row>
    <row r="3288" spans="1:25">
      <c r="A3288" s="2">
        <f>+Get_Data!A3287</f>
        <v>0</v>
      </c>
      <c r="B3288">
        <f>+ROUND(Get_Data!B3287,5)</f>
        <v>0</v>
      </c>
      <c r="C3288">
        <f>+ROUND(Get_Data!C3287,5)</f>
        <v>0</v>
      </c>
      <c r="D3288" s="4" t="str">
        <f t="shared" si="357"/>
        <v/>
      </c>
      <c r="E3288" s="22">
        <f t="shared" ca="1" si="358"/>
        <v>0</v>
      </c>
      <c r="F3288" s="23">
        <f t="shared" ca="1" si="359"/>
        <v>0</v>
      </c>
      <c r="G3288" s="10">
        <f t="shared" ca="1" si="360"/>
        <v>0</v>
      </c>
      <c r="H3288" s="12">
        <f t="shared" ca="1" si="361"/>
        <v>0</v>
      </c>
      <c r="I3288" s="11">
        <f t="shared" ca="1" si="362"/>
        <v>0</v>
      </c>
      <c r="J3288" s="11">
        <f t="shared" ca="1" si="363"/>
        <v>-1</v>
      </c>
      <c r="K3288" s="10">
        <f t="shared" ca="1" si="351"/>
        <v>131.24001000000001</v>
      </c>
      <c r="L3288" s="11">
        <f t="shared" ca="1" si="352"/>
        <v>-49.09</v>
      </c>
      <c r="M3288" s="11">
        <f t="shared" ca="1" si="353"/>
        <v>2.6734599999999999</v>
      </c>
      <c r="N3288" s="15">
        <f t="shared" ca="1" si="354"/>
        <v>10</v>
      </c>
      <c r="O3288" s="15">
        <f t="shared" ca="1" si="355"/>
        <v>27</v>
      </c>
      <c r="P3288" s="16">
        <f t="shared" ca="1" si="356"/>
        <v>-13.029899999999998</v>
      </c>
      <c r="Q3288" s="11" t="str">
        <f t="shared" ca="1" si="364"/>
        <v/>
      </c>
      <c r="R3288" s="11" t="str">
        <f t="shared" ca="1" si="365"/>
        <v/>
      </c>
      <c r="S3288" s="61" t="str">
        <f t="shared" ca="1" si="366"/>
        <v/>
      </c>
      <c r="T3288" s="11" t="str">
        <f t="shared" ca="1" si="367"/>
        <v/>
      </c>
      <c r="U3288" s="11" t="str">
        <f t="shared" ca="1" si="368"/>
        <v/>
      </c>
      <c r="V3288" s="18" t="str">
        <f t="shared" ca="1" si="369"/>
        <v/>
      </c>
      <c r="W3288" s="61" t="str">
        <f t="shared" ca="1" si="370"/>
        <v/>
      </c>
      <c r="X3288" s="61">
        <f t="shared" ca="1" si="371"/>
        <v>0</v>
      </c>
      <c r="Y3288" s="64" t="str">
        <f t="shared" ca="1" si="372"/>
        <v/>
      </c>
    </row>
    <row r="3289" spans="1:25">
      <c r="A3289" s="2">
        <f>+Get_Data!A3288</f>
        <v>0</v>
      </c>
      <c r="B3289">
        <f>+ROUND(Get_Data!B3288,5)</f>
        <v>0</v>
      </c>
      <c r="C3289">
        <f>+ROUND(Get_Data!C3288,5)</f>
        <v>0</v>
      </c>
      <c r="D3289" s="4" t="str">
        <f t="shared" si="357"/>
        <v/>
      </c>
      <c r="E3289" s="22">
        <f t="shared" ca="1" si="358"/>
        <v>0</v>
      </c>
      <c r="F3289" s="23">
        <f t="shared" ca="1" si="359"/>
        <v>0</v>
      </c>
      <c r="G3289" s="10">
        <f t="shared" ca="1" si="360"/>
        <v>0</v>
      </c>
      <c r="H3289" s="12">
        <f t="shared" ca="1" si="361"/>
        <v>0</v>
      </c>
      <c r="I3289" s="11">
        <f t="shared" ca="1" si="362"/>
        <v>0</v>
      </c>
      <c r="J3289" s="11">
        <f t="shared" ca="1" si="363"/>
        <v>-1</v>
      </c>
      <c r="K3289" s="10">
        <f t="shared" ca="1" si="351"/>
        <v>131.24001000000001</v>
      </c>
      <c r="L3289" s="11">
        <f t="shared" ca="1" si="352"/>
        <v>-49.09</v>
      </c>
      <c r="M3289" s="11">
        <f t="shared" ca="1" si="353"/>
        <v>2.6734599999999999</v>
      </c>
      <c r="N3289" s="15">
        <f t="shared" ca="1" si="354"/>
        <v>10</v>
      </c>
      <c r="O3289" s="15">
        <f t="shared" ca="1" si="355"/>
        <v>27</v>
      </c>
      <c r="P3289" s="16">
        <f t="shared" ca="1" si="356"/>
        <v>-13.029899999999998</v>
      </c>
      <c r="Q3289" s="11" t="str">
        <f t="shared" ca="1" si="364"/>
        <v/>
      </c>
      <c r="R3289" s="11" t="str">
        <f t="shared" ca="1" si="365"/>
        <v/>
      </c>
      <c r="S3289" s="61" t="str">
        <f t="shared" ca="1" si="366"/>
        <v/>
      </c>
      <c r="T3289" s="11" t="str">
        <f t="shared" ca="1" si="367"/>
        <v/>
      </c>
      <c r="U3289" s="11" t="str">
        <f t="shared" ca="1" si="368"/>
        <v/>
      </c>
      <c r="V3289" s="18" t="str">
        <f t="shared" ca="1" si="369"/>
        <v/>
      </c>
      <c r="W3289" s="61" t="str">
        <f t="shared" ca="1" si="370"/>
        <v/>
      </c>
      <c r="X3289" s="61">
        <f t="shared" ca="1" si="371"/>
        <v>0</v>
      </c>
      <c r="Y3289" s="64" t="str">
        <f t="shared" ca="1" si="372"/>
        <v/>
      </c>
    </row>
    <row r="3290" spans="1:25">
      <c r="A3290" s="2">
        <f>+Get_Data!A3289</f>
        <v>0</v>
      </c>
      <c r="B3290">
        <f>+ROUND(Get_Data!B3289,5)</f>
        <v>0</v>
      </c>
      <c r="C3290">
        <f>+ROUND(Get_Data!C3289,5)</f>
        <v>0</v>
      </c>
      <c r="D3290" s="4" t="str">
        <f t="shared" si="357"/>
        <v/>
      </c>
      <c r="E3290" s="22">
        <f t="shared" ca="1" si="358"/>
        <v>0</v>
      </c>
      <c r="F3290" s="23">
        <f t="shared" ca="1" si="359"/>
        <v>0</v>
      </c>
      <c r="G3290" s="10">
        <f t="shared" ca="1" si="360"/>
        <v>0</v>
      </c>
      <c r="H3290" s="12">
        <f t="shared" ca="1" si="361"/>
        <v>0</v>
      </c>
      <c r="I3290" s="11">
        <f t="shared" ca="1" si="362"/>
        <v>0</v>
      </c>
      <c r="J3290" s="11">
        <f t="shared" ca="1" si="363"/>
        <v>-1</v>
      </c>
      <c r="K3290" s="10">
        <f t="shared" ref="K3290:K3353" ca="1" si="373">+IF($J3289=0,"",IF(AND(ABS($J3289)=1,ABS($I3289)=1),-$J3289*B3290,K3289))</f>
        <v>131.24001000000001</v>
      </c>
      <c r="L3290" s="11">
        <f t="shared" ref="L3290:L3353" ca="1" si="374">+IF($J3289=0,"",IF(AND(ABS($J3289)=1,ABS($I3289)=1),$J3289*C3290,L3289))</f>
        <v>-49.09</v>
      </c>
      <c r="M3290" s="11">
        <f t="shared" ref="M3290:M3353" ca="1" si="375">+IF($J3289=0,"",IF(AND(ABS($J3289)=1,ABS($I3289)=1),D3290,M3289))</f>
        <v>2.6734599999999999</v>
      </c>
      <c r="N3290" s="15">
        <f t="shared" ref="N3290:N3353" ca="1" si="376">+IF(ISNUMBER(K3290),stocks,"")</f>
        <v>10</v>
      </c>
      <c r="O3290" s="15">
        <f t="shared" ref="O3290:O3353" ca="1" si="377">+IFERROR(ROUND(N3290*M3290,0),"")</f>
        <v>27</v>
      </c>
      <c r="P3290" s="16">
        <f t="shared" ref="P3290:P3353" ca="1" si="378">IFERROR(+N3290*K3290+O3290*L3290,"")</f>
        <v>-13.029899999999998</v>
      </c>
      <c r="Q3290" s="11" t="str">
        <f t="shared" ca="1" si="364"/>
        <v/>
      </c>
      <c r="R3290" s="11" t="str">
        <f t="shared" ca="1" si="365"/>
        <v/>
      </c>
      <c r="S3290" s="61" t="str">
        <f t="shared" ca="1" si="366"/>
        <v/>
      </c>
      <c r="T3290" s="11" t="str">
        <f t="shared" ca="1" si="367"/>
        <v/>
      </c>
      <c r="U3290" s="11" t="str">
        <f t="shared" ca="1" si="368"/>
        <v/>
      </c>
      <c r="V3290" s="18" t="str">
        <f t="shared" ca="1" si="369"/>
        <v/>
      </c>
      <c r="W3290" s="61" t="str">
        <f t="shared" ca="1" si="370"/>
        <v/>
      </c>
      <c r="X3290" s="61">
        <f t="shared" ca="1" si="371"/>
        <v>0</v>
      </c>
      <c r="Y3290" s="64" t="str">
        <f t="shared" ca="1" si="372"/>
        <v/>
      </c>
    </row>
    <row r="3291" spans="1:25">
      <c r="A3291" s="2">
        <f>+Get_Data!A3290</f>
        <v>0</v>
      </c>
      <c r="B3291">
        <f>+ROUND(Get_Data!B3290,5)</f>
        <v>0</v>
      </c>
      <c r="C3291">
        <f>+ROUND(Get_Data!C3290,5)</f>
        <v>0</v>
      </c>
      <c r="D3291" s="4" t="str">
        <f t="shared" si="357"/>
        <v/>
      </c>
      <c r="E3291" s="22">
        <f t="shared" ca="1" si="358"/>
        <v>0</v>
      </c>
      <c r="F3291" s="23">
        <f t="shared" ca="1" si="359"/>
        <v>0</v>
      </c>
      <c r="G3291" s="10">
        <f t="shared" ca="1" si="360"/>
        <v>0</v>
      </c>
      <c r="H3291" s="12">
        <f t="shared" ca="1" si="361"/>
        <v>0</v>
      </c>
      <c r="I3291" s="11">
        <f t="shared" ca="1" si="362"/>
        <v>0</v>
      </c>
      <c r="J3291" s="11">
        <f t="shared" ca="1" si="363"/>
        <v>-1</v>
      </c>
      <c r="K3291" s="10">
        <f t="shared" ca="1" si="373"/>
        <v>131.24001000000001</v>
      </c>
      <c r="L3291" s="11">
        <f t="shared" ca="1" si="374"/>
        <v>-49.09</v>
      </c>
      <c r="M3291" s="11">
        <f t="shared" ca="1" si="375"/>
        <v>2.6734599999999999</v>
      </c>
      <c r="N3291" s="15">
        <f t="shared" ca="1" si="376"/>
        <v>10</v>
      </c>
      <c r="O3291" s="15">
        <f t="shared" ca="1" si="377"/>
        <v>27</v>
      </c>
      <c r="P3291" s="16">
        <f t="shared" ca="1" si="378"/>
        <v>-13.029899999999998</v>
      </c>
      <c r="Q3291" s="11" t="str">
        <f t="shared" ca="1" si="364"/>
        <v/>
      </c>
      <c r="R3291" s="11" t="str">
        <f t="shared" ca="1" si="365"/>
        <v/>
      </c>
      <c r="S3291" s="61" t="str">
        <f t="shared" ca="1" si="366"/>
        <v/>
      </c>
      <c r="T3291" s="11" t="str">
        <f t="shared" ca="1" si="367"/>
        <v/>
      </c>
      <c r="U3291" s="11" t="str">
        <f t="shared" ca="1" si="368"/>
        <v/>
      </c>
      <c r="V3291" s="18" t="str">
        <f t="shared" ca="1" si="369"/>
        <v/>
      </c>
      <c r="W3291" s="61" t="str">
        <f t="shared" ca="1" si="370"/>
        <v/>
      </c>
      <c r="X3291" s="61">
        <f t="shared" ca="1" si="371"/>
        <v>0</v>
      </c>
      <c r="Y3291" s="64" t="str">
        <f t="shared" ca="1" si="372"/>
        <v/>
      </c>
    </row>
    <row r="3292" spans="1:25">
      <c r="A3292" s="2">
        <f>+Get_Data!A3291</f>
        <v>0</v>
      </c>
      <c r="B3292">
        <f>+ROUND(Get_Data!B3291,5)</f>
        <v>0</v>
      </c>
      <c r="C3292">
        <f>+ROUND(Get_Data!C3291,5)</f>
        <v>0</v>
      </c>
      <c r="D3292" s="4" t="str">
        <f t="shared" si="357"/>
        <v/>
      </c>
      <c r="E3292" s="22">
        <f t="shared" ca="1" si="358"/>
        <v>0</v>
      </c>
      <c r="F3292" s="23">
        <f t="shared" ca="1" si="359"/>
        <v>0</v>
      </c>
      <c r="G3292" s="10">
        <f t="shared" ca="1" si="360"/>
        <v>0</v>
      </c>
      <c r="H3292" s="12">
        <f t="shared" ca="1" si="361"/>
        <v>0</v>
      </c>
      <c r="I3292" s="11">
        <f t="shared" ca="1" si="362"/>
        <v>0</v>
      </c>
      <c r="J3292" s="11">
        <f t="shared" ca="1" si="363"/>
        <v>-1</v>
      </c>
      <c r="K3292" s="10">
        <f t="shared" ca="1" si="373"/>
        <v>131.24001000000001</v>
      </c>
      <c r="L3292" s="11">
        <f t="shared" ca="1" si="374"/>
        <v>-49.09</v>
      </c>
      <c r="M3292" s="11">
        <f t="shared" ca="1" si="375"/>
        <v>2.6734599999999999</v>
      </c>
      <c r="N3292" s="15">
        <f t="shared" ca="1" si="376"/>
        <v>10</v>
      </c>
      <c r="O3292" s="15">
        <f t="shared" ca="1" si="377"/>
        <v>27</v>
      </c>
      <c r="P3292" s="16">
        <f t="shared" ca="1" si="378"/>
        <v>-13.029899999999998</v>
      </c>
      <c r="Q3292" s="11" t="str">
        <f t="shared" ca="1" si="364"/>
        <v/>
      </c>
      <c r="R3292" s="11" t="str">
        <f t="shared" ca="1" si="365"/>
        <v/>
      </c>
      <c r="S3292" s="61" t="str">
        <f t="shared" ca="1" si="366"/>
        <v/>
      </c>
      <c r="T3292" s="11" t="str">
        <f t="shared" ca="1" si="367"/>
        <v/>
      </c>
      <c r="U3292" s="11" t="str">
        <f t="shared" ca="1" si="368"/>
        <v/>
      </c>
      <c r="V3292" s="18" t="str">
        <f t="shared" ca="1" si="369"/>
        <v/>
      </c>
      <c r="W3292" s="61" t="str">
        <f t="shared" ca="1" si="370"/>
        <v/>
      </c>
      <c r="X3292" s="61">
        <f t="shared" ca="1" si="371"/>
        <v>0</v>
      </c>
      <c r="Y3292" s="64" t="str">
        <f t="shared" ca="1" si="372"/>
        <v/>
      </c>
    </row>
    <row r="3293" spans="1:25">
      <c r="A3293" s="2">
        <f>+Get_Data!A3292</f>
        <v>0</v>
      </c>
      <c r="B3293">
        <f>+ROUND(Get_Data!B3292,5)</f>
        <v>0</v>
      </c>
      <c r="C3293">
        <f>+ROUND(Get_Data!C3292,5)</f>
        <v>0</v>
      </c>
      <c r="D3293" s="4" t="str">
        <f t="shared" si="357"/>
        <v/>
      </c>
      <c r="E3293" s="22">
        <f t="shared" ca="1" si="358"/>
        <v>0</v>
      </c>
      <c r="F3293" s="23">
        <f t="shared" ca="1" si="359"/>
        <v>0</v>
      </c>
      <c r="G3293" s="10">
        <f t="shared" ca="1" si="360"/>
        <v>0</v>
      </c>
      <c r="H3293" s="12">
        <f t="shared" ca="1" si="361"/>
        <v>0</v>
      </c>
      <c r="I3293" s="11">
        <f t="shared" ca="1" si="362"/>
        <v>0</v>
      </c>
      <c r="J3293" s="11">
        <f t="shared" ca="1" si="363"/>
        <v>-1</v>
      </c>
      <c r="K3293" s="10">
        <f t="shared" ca="1" si="373"/>
        <v>131.24001000000001</v>
      </c>
      <c r="L3293" s="11">
        <f t="shared" ca="1" si="374"/>
        <v>-49.09</v>
      </c>
      <c r="M3293" s="11">
        <f t="shared" ca="1" si="375"/>
        <v>2.6734599999999999</v>
      </c>
      <c r="N3293" s="15">
        <f t="shared" ca="1" si="376"/>
        <v>10</v>
      </c>
      <c r="O3293" s="15">
        <f t="shared" ca="1" si="377"/>
        <v>27</v>
      </c>
      <c r="P3293" s="16">
        <f t="shared" ca="1" si="378"/>
        <v>-13.029899999999998</v>
      </c>
      <c r="Q3293" s="11" t="str">
        <f t="shared" ca="1" si="364"/>
        <v/>
      </c>
      <c r="R3293" s="11" t="str">
        <f t="shared" ca="1" si="365"/>
        <v/>
      </c>
      <c r="S3293" s="61" t="str">
        <f t="shared" ca="1" si="366"/>
        <v/>
      </c>
      <c r="T3293" s="11" t="str">
        <f t="shared" ca="1" si="367"/>
        <v/>
      </c>
      <c r="U3293" s="11" t="str">
        <f t="shared" ca="1" si="368"/>
        <v/>
      </c>
      <c r="V3293" s="18" t="str">
        <f t="shared" ca="1" si="369"/>
        <v/>
      </c>
      <c r="W3293" s="61" t="str">
        <f t="shared" ca="1" si="370"/>
        <v/>
      </c>
      <c r="X3293" s="61">
        <f t="shared" ca="1" si="371"/>
        <v>0</v>
      </c>
      <c r="Y3293" s="64" t="str">
        <f t="shared" ca="1" si="372"/>
        <v/>
      </c>
    </row>
    <row r="3294" spans="1:25">
      <c r="A3294" s="2">
        <f>+Get_Data!A3293</f>
        <v>0</v>
      </c>
      <c r="B3294">
        <f>+ROUND(Get_Data!B3293,5)</f>
        <v>0</v>
      </c>
      <c r="C3294">
        <f>+ROUND(Get_Data!C3293,5)</f>
        <v>0</v>
      </c>
      <c r="D3294" s="4" t="str">
        <f t="shared" si="357"/>
        <v/>
      </c>
      <c r="E3294" s="22">
        <f t="shared" ca="1" si="358"/>
        <v>0</v>
      </c>
      <c r="F3294" s="23">
        <f t="shared" ca="1" si="359"/>
        <v>0</v>
      </c>
      <c r="G3294" s="10">
        <f t="shared" ca="1" si="360"/>
        <v>0</v>
      </c>
      <c r="H3294" s="12">
        <f t="shared" ca="1" si="361"/>
        <v>0</v>
      </c>
      <c r="I3294" s="11">
        <f t="shared" ca="1" si="362"/>
        <v>0</v>
      </c>
      <c r="J3294" s="11">
        <f t="shared" ca="1" si="363"/>
        <v>-1</v>
      </c>
      <c r="K3294" s="10">
        <f t="shared" ca="1" si="373"/>
        <v>131.24001000000001</v>
      </c>
      <c r="L3294" s="11">
        <f t="shared" ca="1" si="374"/>
        <v>-49.09</v>
      </c>
      <c r="M3294" s="11">
        <f t="shared" ca="1" si="375"/>
        <v>2.6734599999999999</v>
      </c>
      <c r="N3294" s="15">
        <f t="shared" ca="1" si="376"/>
        <v>10</v>
      </c>
      <c r="O3294" s="15">
        <f t="shared" ca="1" si="377"/>
        <v>27</v>
      </c>
      <c r="P3294" s="16">
        <f t="shared" ca="1" si="378"/>
        <v>-13.029899999999998</v>
      </c>
      <c r="Q3294" s="11" t="str">
        <f t="shared" ca="1" si="364"/>
        <v/>
      </c>
      <c r="R3294" s="11" t="str">
        <f t="shared" ca="1" si="365"/>
        <v/>
      </c>
      <c r="S3294" s="61" t="str">
        <f t="shared" ca="1" si="366"/>
        <v/>
      </c>
      <c r="T3294" s="11" t="str">
        <f t="shared" ca="1" si="367"/>
        <v/>
      </c>
      <c r="U3294" s="11" t="str">
        <f t="shared" ca="1" si="368"/>
        <v/>
      </c>
      <c r="V3294" s="18" t="str">
        <f t="shared" ca="1" si="369"/>
        <v/>
      </c>
      <c r="W3294" s="61" t="str">
        <f t="shared" ca="1" si="370"/>
        <v/>
      </c>
      <c r="X3294" s="61">
        <f t="shared" ca="1" si="371"/>
        <v>0</v>
      </c>
      <c r="Y3294" s="64" t="str">
        <f t="shared" ca="1" si="372"/>
        <v/>
      </c>
    </row>
    <row r="3295" spans="1:25">
      <c r="A3295" s="2">
        <f>+Get_Data!A3294</f>
        <v>0</v>
      </c>
      <c r="B3295">
        <f>+ROUND(Get_Data!B3294,5)</f>
        <v>0</v>
      </c>
      <c r="C3295">
        <f>+ROUND(Get_Data!C3294,5)</f>
        <v>0</v>
      </c>
      <c r="D3295" s="4" t="str">
        <f t="shared" si="357"/>
        <v/>
      </c>
      <c r="E3295" s="22">
        <f t="shared" ca="1" si="358"/>
        <v>0</v>
      </c>
      <c r="F3295" s="23">
        <f t="shared" ca="1" si="359"/>
        <v>0</v>
      </c>
      <c r="G3295" s="10">
        <f t="shared" ca="1" si="360"/>
        <v>0</v>
      </c>
      <c r="H3295" s="12">
        <f t="shared" ca="1" si="361"/>
        <v>0</v>
      </c>
      <c r="I3295" s="11">
        <f t="shared" ca="1" si="362"/>
        <v>0</v>
      </c>
      <c r="J3295" s="11">
        <f t="shared" ca="1" si="363"/>
        <v>-1</v>
      </c>
      <c r="K3295" s="10">
        <f t="shared" ca="1" si="373"/>
        <v>131.24001000000001</v>
      </c>
      <c r="L3295" s="11">
        <f t="shared" ca="1" si="374"/>
        <v>-49.09</v>
      </c>
      <c r="M3295" s="11">
        <f t="shared" ca="1" si="375"/>
        <v>2.6734599999999999</v>
      </c>
      <c r="N3295" s="15">
        <f t="shared" ca="1" si="376"/>
        <v>10</v>
      </c>
      <c r="O3295" s="15">
        <f t="shared" ca="1" si="377"/>
        <v>27</v>
      </c>
      <c r="P3295" s="16">
        <f t="shared" ca="1" si="378"/>
        <v>-13.029899999999998</v>
      </c>
      <c r="Q3295" s="11" t="str">
        <f t="shared" ca="1" si="364"/>
        <v/>
      </c>
      <c r="R3295" s="11" t="str">
        <f t="shared" ca="1" si="365"/>
        <v/>
      </c>
      <c r="S3295" s="61" t="str">
        <f t="shared" ca="1" si="366"/>
        <v/>
      </c>
      <c r="T3295" s="11" t="str">
        <f t="shared" ca="1" si="367"/>
        <v/>
      </c>
      <c r="U3295" s="11" t="str">
        <f t="shared" ca="1" si="368"/>
        <v/>
      </c>
      <c r="V3295" s="18" t="str">
        <f t="shared" ca="1" si="369"/>
        <v/>
      </c>
      <c r="W3295" s="61" t="str">
        <f t="shared" ca="1" si="370"/>
        <v/>
      </c>
      <c r="X3295" s="61">
        <f t="shared" ca="1" si="371"/>
        <v>0</v>
      </c>
      <c r="Y3295" s="64" t="str">
        <f t="shared" ca="1" si="372"/>
        <v/>
      </c>
    </row>
    <row r="3296" spans="1:25">
      <c r="A3296" s="2">
        <f>+Get_Data!A3295</f>
        <v>0</v>
      </c>
      <c r="B3296">
        <f>+ROUND(Get_Data!B3295,5)</f>
        <v>0</v>
      </c>
      <c r="C3296">
        <f>+ROUND(Get_Data!C3295,5)</f>
        <v>0</v>
      </c>
      <c r="D3296" s="4" t="str">
        <f t="shared" si="357"/>
        <v/>
      </c>
      <c r="E3296" s="22">
        <f t="shared" ca="1" si="358"/>
        <v>0</v>
      </c>
      <c r="F3296" s="23">
        <f t="shared" ca="1" si="359"/>
        <v>0</v>
      </c>
      <c r="G3296" s="10">
        <f t="shared" ca="1" si="360"/>
        <v>0</v>
      </c>
      <c r="H3296" s="12">
        <f t="shared" ca="1" si="361"/>
        <v>0</v>
      </c>
      <c r="I3296" s="11">
        <f t="shared" ca="1" si="362"/>
        <v>0</v>
      </c>
      <c r="J3296" s="11">
        <f t="shared" ca="1" si="363"/>
        <v>-1</v>
      </c>
      <c r="K3296" s="10">
        <f t="shared" ca="1" si="373"/>
        <v>131.24001000000001</v>
      </c>
      <c r="L3296" s="11">
        <f t="shared" ca="1" si="374"/>
        <v>-49.09</v>
      </c>
      <c r="M3296" s="11">
        <f t="shared" ca="1" si="375"/>
        <v>2.6734599999999999</v>
      </c>
      <c r="N3296" s="15">
        <f t="shared" ca="1" si="376"/>
        <v>10</v>
      </c>
      <c r="O3296" s="15">
        <f t="shared" ca="1" si="377"/>
        <v>27</v>
      </c>
      <c r="P3296" s="16">
        <f t="shared" ca="1" si="378"/>
        <v>-13.029899999999998</v>
      </c>
      <c r="Q3296" s="11" t="str">
        <f t="shared" ca="1" si="364"/>
        <v/>
      </c>
      <c r="R3296" s="11" t="str">
        <f t="shared" ca="1" si="365"/>
        <v/>
      </c>
      <c r="S3296" s="61" t="str">
        <f t="shared" ca="1" si="366"/>
        <v/>
      </c>
      <c r="T3296" s="11" t="str">
        <f t="shared" ca="1" si="367"/>
        <v/>
      </c>
      <c r="U3296" s="11" t="str">
        <f t="shared" ca="1" si="368"/>
        <v/>
      </c>
      <c r="V3296" s="18" t="str">
        <f t="shared" ca="1" si="369"/>
        <v/>
      </c>
      <c r="W3296" s="61" t="str">
        <f t="shared" ca="1" si="370"/>
        <v/>
      </c>
      <c r="X3296" s="61">
        <f t="shared" ca="1" si="371"/>
        <v>0</v>
      </c>
      <c r="Y3296" s="64" t="str">
        <f t="shared" ca="1" si="372"/>
        <v/>
      </c>
    </row>
    <row r="3297" spans="1:25">
      <c r="A3297" s="2">
        <f>+Get_Data!A3296</f>
        <v>0</v>
      </c>
      <c r="B3297">
        <f>+ROUND(Get_Data!B3296,5)</f>
        <v>0</v>
      </c>
      <c r="C3297">
        <f>+ROUND(Get_Data!C3296,5)</f>
        <v>0</v>
      </c>
      <c r="D3297" s="4" t="str">
        <f t="shared" si="357"/>
        <v/>
      </c>
      <c r="E3297" s="22">
        <f t="shared" ca="1" si="358"/>
        <v>0</v>
      </c>
      <c r="F3297" s="23">
        <f t="shared" ca="1" si="359"/>
        <v>0</v>
      </c>
      <c r="G3297" s="10">
        <f t="shared" ca="1" si="360"/>
        <v>0</v>
      </c>
      <c r="H3297" s="12">
        <f t="shared" ca="1" si="361"/>
        <v>0</v>
      </c>
      <c r="I3297" s="11">
        <f t="shared" ca="1" si="362"/>
        <v>0</v>
      </c>
      <c r="J3297" s="11">
        <f t="shared" ca="1" si="363"/>
        <v>-1</v>
      </c>
      <c r="K3297" s="10">
        <f t="shared" ca="1" si="373"/>
        <v>131.24001000000001</v>
      </c>
      <c r="L3297" s="11">
        <f t="shared" ca="1" si="374"/>
        <v>-49.09</v>
      </c>
      <c r="M3297" s="11">
        <f t="shared" ca="1" si="375"/>
        <v>2.6734599999999999</v>
      </c>
      <c r="N3297" s="15">
        <f t="shared" ca="1" si="376"/>
        <v>10</v>
      </c>
      <c r="O3297" s="15">
        <f t="shared" ca="1" si="377"/>
        <v>27</v>
      </c>
      <c r="P3297" s="16">
        <f t="shared" ca="1" si="378"/>
        <v>-13.029899999999998</v>
      </c>
      <c r="Q3297" s="11" t="str">
        <f t="shared" ca="1" si="364"/>
        <v/>
      </c>
      <c r="R3297" s="11" t="str">
        <f t="shared" ca="1" si="365"/>
        <v/>
      </c>
      <c r="S3297" s="61" t="str">
        <f t="shared" ca="1" si="366"/>
        <v/>
      </c>
      <c r="T3297" s="11" t="str">
        <f t="shared" ca="1" si="367"/>
        <v/>
      </c>
      <c r="U3297" s="11" t="str">
        <f t="shared" ca="1" si="368"/>
        <v/>
      </c>
      <c r="V3297" s="18" t="str">
        <f t="shared" ca="1" si="369"/>
        <v/>
      </c>
      <c r="W3297" s="61" t="str">
        <f t="shared" ca="1" si="370"/>
        <v/>
      </c>
      <c r="X3297" s="61">
        <f t="shared" ca="1" si="371"/>
        <v>0</v>
      </c>
      <c r="Y3297" s="64" t="str">
        <f t="shared" ca="1" si="372"/>
        <v/>
      </c>
    </row>
    <row r="3298" spans="1:25">
      <c r="A3298" s="2">
        <f>+Get_Data!A3297</f>
        <v>0</v>
      </c>
      <c r="B3298">
        <f>+ROUND(Get_Data!B3297,5)</f>
        <v>0</v>
      </c>
      <c r="C3298">
        <f>+ROUND(Get_Data!C3297,5)</f>
        <v>0</v>
      </c>
      <c r="D3298" s="4" t="str">
        <f t="shared" si="357"/>
        <v/>
      </c>
      <c r="E3298" s="22">
        <f t="shared" ca="1" si="358"/>
        <v>0</v>
      </c>
      <c r="F3298" s="23">
        <f t="shared" ca="1" si="359"/>
        <v>0</v>
      </c>
      <c r="G3298" s="10">
        <f t="shared" ca="1" si="360"/>
        <v>0</v>
      </c>
      <c r="H3298" s="12">
        <f t="shared" ca="1" si="361"/>
        <v>0</v>
      </c>
      <c r="I3298" s="11">
        <f t="shared" ca="1" si="362"/>
        <v>0</v>
      </c>
      <c r="J3298" s="11">
        <f t="shared" ca="1" si="363"/>
        <v>-1</v>
      </c>
      <c r="K3298" s="10">
        <f t="shared" ca="1" si="373"/>
        <v>131.24001000000001</v>
      </c>
      <c r="L3298" s="11">
        <f t="shared" ca="1" si="374"/>
        <v>-49.09</v>
      </c>
      <c r="M3298" s="11">
        <f t="shared" ca="1" si="375"/>
        <v>2.6734599999999999</v>
      </c>
      <c r="N3298" s="15">
        <f t="shared" ca="1" si="376"/>
        <v>10</v>
      </c>
      <c r="O3298" s="15">
        <f t="shared" ca="1" si="377"/>
        <v>27</v>
      </c>
      <c r="P3298" s="16">
        <f t="shared" ca="1" si="378"/>
        <v>-13.029899999999998</v>
      </c>
      <c r="Q3298" s="11" t="str">
        <f t="shared" ca="1" si="364"/>
        <v/>
      </c>
      <c r="R3298" s="11" t="str">
        <f t="shared" ca="1" si="365"/>
        <v/>
      </c>
      <c r="S3298" s="61" t="str">
        <f t="shared" ca="1" si="366"/>
        <v/>
      </c>
      <c r="T3298" s="11" t="str">
        <f t="shared" ca="1" si="367"/>
        <v/>
      </c>
      <c r="U3298" s="11" t="str">
        <f t="shared" ca="1" si="368"/>
        <v/>
      </c>
      <c r="V3298" s="18" t="str">
        <f t="shared" ca="1" si="369"/>
        <v/>
      </c>
      <c r="W3298" s="61" t="str">
        <f t="shared" ca="1" si="370"/>
        <v/>
      </c>
      <c r="X3298" s="61">
        <f t="shared" ca="1" si="371"/>
        <v>0</v>
      </c>
      <c r="Y3298" s="64" t="str">
        <f t="shared" ca="1" si="372"/>
        <v/>
      </c>
    </row>
    <row r="3299" spans="1:25">
      <c r="A3299" s="2">
        <f>+Get_Data!A3298</f>
        <v>0</v>
      </c>
      <c r="B3299">
        <f>+ROUND(Get_Data!B3298,5)</f>
        <v>0</v>
      </c>
      <c r="C3299">
        <f>+ROUND(Get_Data!C3298,5)</f>
        <v>0</v>
      </c>
      <c r="D3299" s="4" t="str">
        <f t="shared" si="357"/>
        <v/>
      </c>
      <c r="E3299" s="22">
        <f t="shared" ca="1" si="358"/>
        <v>0</v>
      </c>
      <c r="F3299" s="23">
        <f t="shared" ca="1" si="359"/>
        <v>0</v>
      </c>
      <c r="G3299" s="10">
        <f t="shared" ca="1" si="360"/>
        <v>0</v>
      </c>
      <c r="H3299" s="12">
        <f t="shared" ca="1" si="361"/>
        <v>0</v>
      </c>
      <c r="I3299" s="11">
        <f t="shared" ca="1" si="362"/>
        <v>0</v>
      </c>
      <c r="J3299" s="11">
        <f t="shared" ca="1" si="363"/>
        <v>-1</v>
      </c>
      <c r="K3299" s="10">
        <f t="shared" ca="1" si="373"/>
        <v>131.24001000000001</v>
      </c>
      <c r="L3299" s="11">
        <f t="shared" ca="1" si="374"/>
        <v>-49.09</v>
      </c>
      <c r="M3299" s="11">
        <f t="shared" ca="1" si="375"/>
        <v>2.6734599999999999</v>
      </c>
      <c r="N3299" s="15">
        <f t="shared" ca="1" si="376"/>
        <v>10</v>
      </c>
      <c r="O3299" s="15">
        <f t="shared" ca="1" si="377"/>
        <v>27</v>
      </c>
      <c r="P3299" s="16">
        <f t="shared" ca="1" si="378"/>
        <v>-13.029899999999998</v>
      </c>
      <c r="Q3299" s="11" t="str">
        <f t="shared" ca="1" si="364"/>
        <v/>
      </c>
      <c r="R3299" s="11" t="str">
        <f t="shared" ca="1" si="365"/>
        <v/>
      </c>
      <c r="S3299" s="61" t="str">
        <f t="shared" ca="1" si="366"/>
        <v/>
      </c>
      <c r="T3299" s="11" t="str">
        <f t="shared" ca="1" si="367"/>
        <v/>
      </c>
      <c r="U3299" s="11" t="str">
        <f t="shared" ca="1" si="368"/>
        <v/>
      </c>
      <c r="V3299" s="18" t="str">
        <f t="shared" ca="1" si="369"/>
        <v/>
      </c>
      <c r="W3299" s="61" t="str">
        <f t="shared" ca="1" si="370"/>
        <v/>
      </c>
      <c r="X3299" s="61">
        <f t="shared" ca="1" si="371"/>
        <v>0</v>
      </c>
      <c r="Y3299" s="64" t="str">
        <f t="shared" ca="1" si="372"/>
        <v/>
      </c>
    </row>
    <row r="3300" spans="1:25">
      <c r="A3300" s="2">
        <f>+Get_Data!A3299</f>
        <v>0</v>
      </c>
      <c r="B3300">
        <f>+ROUND(Get_Data!B3299,5)</f>
        <v>0</v>
      </c>
      <c r="C3300">
        <f>+ROUND(Get_Data!C3299,5)</f>
        <v>0</v>
      </c>
      <c r="D3300" s="4" t="str">
        <f t="shared" si="357"/>
        <v/>
      </c>
      <c r="E3300" s="22">
        <f t="shared" ca="1" si="358"/>
        <v>0</v>
      </c>
      <c r="F3300" s="23">
        <f t="shared" ca="1" si="359"/>
        <v>0</v>
      </c>
      <c r="G3300" s="10">
        <f t="shared" ca="1" si="360"/>
        <v>0</v>
      </c>
      <c r="H3300" s="12">
        <f t="shared" ca="1" si="361"/>
        <v>0</v>
      </c>
      <c r="I3300" s="11">
        <f t="shared" ca="1" si="362"/>
        <v>0</v>
      </c>
      <c r="J3300" s="11">
        <f t="shared" ca="1" si="363"/>
        <v>-1</v>
      </c>
      <c r="K3300" s="10">
        <f t="shared" ca="1" si="373"/>
        <v>131.24001000000001</v>
      </c>
      <c r="L3300" s="11">
        <f t="shared" ca="1" si="374"/>
        <v>-49.09</v>
      </c>
      <c r="M3300" s="11">
        <f t="shared" ca="1" si="375"/>
        <v>2.6734599999999999</v>
      </c>
      <c r="N3300" s="15">
        <f t="shared" ca="1" si="376"/>
        <v>10</v>
      </c>
      <c r="O3300" s="15">
        <f t="shared" ca="1" si="377"/>
        <v>27</v>
      </c>
      <c r="P3300" s="16">
        <f t="shared" ca="1" si="378"/>
        <v>-13.029899999999998</v>
      </c>
      <c r="Q3300" s="11" t="str">
        <f t="shared" ca="1" si="364"/>
        <v/>
      </c>
      <c r="R3300" s="11" t="str">
        <f t="shared" ca="1" si="365"/>
        <v/>
      </c>
      <c r="S3300" s="61" t="str">
        <f t="shared" ca="1" si="366"/>
        <v/>
      </c>
      <c r="T3300" s="11" t="str">
        <f t="shared" ca="1" si="367"/>
        <v/>
      </c>
      <c r="U3300" s="11" t="str">
        <f t="shared" ca="1" si="368"/>
        <v/>
      </c>
      <c r="V3300" s="18" t="str">
        <f t="shared" ca="1" si="369"/>
        <v/>
      </c>
      <c r="W3300" s="61" t="str">
        <f t="shared" ca="1" si="370"/>
        <v/>
      </c>
      <c r="X3300" s="61">
        <f t="shared" ca="1" si="371"/>
        <v>0</v>
      </c>
      <c r="Y3300" s="64" t="str">
        <f t="shared" ca="1" si="372"/>
        <v/>
      </c>
    </row>
    <row r="3301" spans="1:25">
      <c r="A3301" s="2">
        <f>+Get_Data!A3300</f>
        <v>0</v>
      </c>
      <c r="B3301">
        <f>+ROUND(Get_Data!B3300,5)</f>
        <v>0</v>
      </c>
      <c r="C3301">
        <f>+ROUND(Get_Data!C3300,5)</f>
        <v>0</v>
      </c>
      <c r="D3301" s="4" t="str">
        <f t="shared" si="357"/>
        <v/>
      </c>
      <c r="E3301" s="22">
        <f t="shared" ca="1" si="358"/>
        <v>0</v>
      </c>
      <c r="F3301" s="23">
        <f t="shared" ca="1" si="359"/>
        <v>0</v>
      </c>
      <c r="G3301" s="10">
        <f t="shared" ca="1" si="360"/>
        <v>0</v>
      </c>
      <c r="H3301" s="12">
        <f t="shared" ca="1" si="361"/>
        <v>0</v>
      </c>
      <c r="I3301" s="11">
        <f t="shared" ca="1" si="362"/>
        <v>0</v>
      </c>
      <c r="J3301" s="11">
        <f t="shared" ca="1" si="363"/>
        <v>-1</v>
      </c>
      <c r="K3301" s="10">
        <f t="shared" ca="1" si="373"/>
        <v>131.24001000000001</v>
      </c>
      <c r="L3301" s="11">
        <f t="shared" ca="1" si="374"/>
        <v>-49.09</v>
      </c>
      <c r="M3301" s="11">
        <f t="shared" ca="1" si="375"/>
        <v>2.6734599999999999</v>
      </c>
      <c r="N3301" s="15">
        <f t="shared" ca="1" si="376"/>
        <v>10</v>
      </c>
      <c r="O3301" s="15">
        <f t="shared" ca="1" si="377"/>
        <v>27</v>
      </c>
      <c r="P3301" s="16">
        <f t="shared" ca="1" si="378"/>
        <v>-13.029899999999998</v>
      </c>
      <c r="Q3301" s="11" t="str">
        <f t="shared" ca="1" si="364"/>
        <v/>
      </c>
      <c r="R3301" s="11" t="str">
        <f t="shared" ca="1" si="365"/>
        <v/>
      </c>
      <c r="S3301" s="61" t="str">
        <f t="shared" ca="1" si="366"/>
        <v/>
      </c>
      <c r="T3301" s="11" t="str">
        <f t="shared" ca="1" si="367"/>
        <v/>
      </c>
      <c r="U3301" s="11" t="str">
        <f t="shared" ca="1" si="368"/>
        <v/>
      </c>
      <c r="V3301" s="18" t="str">
        <f t="shared" ca="1" si="369"/>
        <v/>
      </c>
      <c r="W3301" s="61" t="str">
        <f t="shared" ca="1" si="370"/>
        <v/>
      </c>
      <c r="X3301" s="61">
        <f t="shared" ca="1" si="371"/>
        <v>0</v>
      </c>
      <c r="Y3301" s="64" t="str">
        <f t="shared" ca="1" si="372"/>
        <v/>
      </c>
    </row>
    <row r="3302" spans="1:25">
      <c r="A3302" s="2">
        <f>+Get_Data!A3301</f>
        <v>0</v>
      </c>
      <c r="B3302">
        <f>+ROUND(Get_Data!B3301,5)</f>
        <v>0</v>
      </c>
      <c r="C3302">
        <f>+ROUND(Get_Data!C3301,5)</f>
        <v>0</v>
      </c>
      <c r="D3302" s="4" t="str">
        <f t="shared" si="357"/>
        <v/>
      </c>
      <c r="E3302" s="22">
        <f t="shared" ca="1" si="358"/>
        <v>0</v>
      </c>
      <c r="F3302" s="23">
        <f t="shared" ca="1" si="359"/>
        <v>0</v>
      </c>
      <c r="G3302" s="10">
        <f t="shared" ca="1" si="360"/>
        <v>0</v>
      </c>
      <c r="H3302" s="12">
        <f t="shared" ca="1" si="361"/>
        <v>0</v>
      </c>
      <c r="I3302" s="11">
        <f t="shared" ca="1" si="362"/>
        <v>0</v>
      </c>
      <c r="J3302" s="11">
        <f t="shared" ca="1" si="363"/>
        <v>-1</v>
      </c>
      <c r="K3302" s="10">
        <f t="shared" ca="1" si="373"/>
        <v>131.24001000000001</v>
      </c>
      <c r="L3302" s="11">
        <f t="shared" ca="1" si="374"/>
        <v>-49.09</v>
      </c>
      <c r="M3302" s="11">
        <f t="shared" ca="1" si="375"/>
        <v>2.6734599999999999</v>
      </c>
      <c r="N3302" s="15">
        <f t="shared" ca="1" si="376"/>
        <v>10</v>
      </c>
      <c r="O3302" s="15">
        <f t="shared" ca="1" si="377"/>
        <v>27</v>
      </c>
      <c r="P3302" s="16">
        <f t="shared" ca="1" si="378"/>
        <v>-13.029899999999998</v>
      </c>
      <c r="Q3302" s="11" t="str">
        <f t="shared" ca="1" si="364"/>
        <v/>
      </c>
      <c r="R3302" s="11" t="str">
        <f t="shared" ca="1" si="365"/>
        <v/>
      </c>
      <c r="S3302" s="61" t="str">
        <f t="shared" ca="1" si="366"/>
        <v/>
      </c>
      <c r="T3302" s="11" t="str">
        <f t="shared" ca="1" si="367"/>
        <v/>
      </c>
      <c r="U3302" s="11" t="str">
        <f t="shared" ca="1" si="368"/>
        <v/>
      </c>
      <c r="V3302" s="18" t="str">
        <f t="shared" ca="1" si="369"/>
        <v/>
      </c>
      <c r="W3302" s="61" t="str">
        <f t="shared" ca="1" si="370"/>
        <v/>
      </c>
      <c r="X3302" s="61">
        <f t="shared" ca="1" si="371"/>
        <v>0</v>
      </c>
      <c r="Y3302" s="64" t="str">
        <f t="shared" ca="1" si="372"/>
        <v/>
      </c>
    </row>
    <row r="3303" spans="1:25">
      <c r="A3303" s="2">
        <f>+Get_Data!A3302</f>
        <v>0</v>
      </c>
      <c r="B3303">
        <f>+ROUND(Get_Data!B3302,5)</f>
        <v>0</v>
      </c>
      <c r="C3303">
        <f>+ROUND(Get_Data!C3302,5)</f>
        <v>0</v>
      </c>
      <c r="D3303" s="4" t="str">
        <f t="shared" si="357"/>
        <v/>
      </c>
      <c r="E3303" s="22">
        <f t="shared" ca="1" si="358"/>
        <v>0</v>
      </c>
      <c r="F3303" s="23">
        <f t="shared" ca="1" si="359"/>
        <v>0</v>
      </c>
      <c r="G3303" s="10">
        <f t="shared" ca="1" si="360"/>
        <v>0</v>
      </c>
      <c r="H3303" s="12">
        <f t="shared" ca="1" si="361"/>
        <v>0</v>
      </c>
      <c r="I3303" s="11">
        <f t="shared" ca="1" si="362"/>
        <v>0</v>
      </c>
      <c r="J3303" s="11">
        <f t="shared" ca="1" si="363"/>
        <v>-1</v>
      </c>
      <c r="K3303" s="10">
        <f t="shared" ca="1" si="373"/>
        <v>131.24001000000001</v>
      </c>
      <c r="L3303" s="11">
        <f t="shared" ca="1" si="374"/>
        <v>-49.09</v>
      </c>
      <c r="M3303" s="11">
        <f t="shared" ca="1" si="375"/>
        <v>2.6734599999999999</v>
      </c>
      <c r="N3303" s="15">
        <f t="shared" ca="1" si="376"/>
        <v>10</v>
      </c>
      <c r="O3303" s="15">
        <f t="shared" ca="1" si="377"/>
        <v>27</v>
      </c>
      <c r="P3303" s="16">
        <f t="shared" ca="1" si="378"/>
        <v>-13.029899999999998</v>
      </c>
      <c r="Q3303" s="11" t="str">
        <f t="shared" ca="1" si="364"/>
        <v/>
      </c>
      <c r="R3303" s="11" t="str">
        <f t="shared" ca="1" si="365"/>
        <v/>
      </c>
      <c r="S3303" s="61" t="str">
        <f t="shared" ca="1" si="366"/>
        <v/>
      </c>
      <c r="T3303" s="11" t="str">
        <f t="shared" ca="1" si="367"/>
        <v/>
      </c>
      <c r="U3303" s="11" t="str">
        <f t="shared" ca="1" si="368"/>
        <v/>
      </c>
      <c r="V3303" s="18" t="str">
        <f t="shared" ca="1" si="369"/>
        <v/>
      </c>
      <c r="W3303" s="61" t="str">
        <f t="shared" ca="1" si="370"/>
        <v/>
      </c>
      <c r="X3303" s="61">
        <f t="shared" ca="1" si="371"/>
        <v>0</v>
      </c>
      <c r="Y3303" s="64" t="str">
        <f t="shared" ca="1" si="372"/>
        <v/>
      </c>
    </row>
    <row r="3304" spans="1:25">
      <c r="A3304" s="2">
        <f>+Get_Data!A3303</f>
        <v>0</v>
      </c>
      <c r="B3304">
        <f>+ROUND(Get_Data!B3303,5)</f>
        <v>0</v>
      </c>
      <c r="C3304">
        <f>+ROUND(Get_Data!C3303,5)</f>
        <v>0</v>
      </c>
      <c r="D3304" s="4" t="str">
        <f t="shared" si="357"/>
        <v/>
      </c>
      <c r="E3304" s="22">
        <f t="shared" ca="1" si="358"/>
        <v>0</v>
      </c>
      <c r="F3304" s="23">
        <f t="shared" ca="1" si="359"/>
        <v>0</v>
      </c>
      <c r="G3304" s="10">
        <f t="shared" ca="1" si="360"/>
        <v>0</v>
      </c>
      <c r="H3304" s="12">
        <f t="shared" ca="1" si="361"/>
        <v>0</v>
      </c>
      <c r="I3304" s="11">
        <f t="shared" ca="1" si="362"/>
        <v>0</v>
      </c>
      <c r="J3304" s="11">
        <f t="shared" ca="1" si="363"/>
        <v>-1</v>
      </c>
      <c r="K3304" s="10">
        <f t="shared" ca="1" si="373"/>
        <v>131.24001000000001</v>
      </c>
      <c r="L3304" s="11">
        <f t="shared" ca="1" si="374"/>
        <v>-49.09</v>
      </c>
      <c r="M3304" s="11">
        <f t="shared" ca="1" si="375"/>
        <v>2.6734599999999999</v>
      </c>
      <c r="N3304" s="15">
        <f t="shared" ca="1" si="376"/>
        <v>10</v>
      </c>
      <c r="O3304" s="15">
        <f t="shared" ca="1" si="377"/>
        <v>27</v>
      </c>
      <c r="P3304" s="16">
        <f t="shared" ca="1" si="378"/>
        <v>-13.029899999999998</v>
      </c>
      <c r="Q3304" s="11" t="str">
        <f t="shared" ca="1" si="364"/>
        <v/>
      </c>
      <c r="R3304" s="11" t="str">
        <f t="shared" ca="1" si="365"/>
        <v/>
      </c>
      <c r="S3304" s="61" t="str">
        <f t="shared" ca="1" si="366"/>
        <v/>
      </c>
      <c r="T3304" s="11" t="str">
        <f t="shared" ca="1" si="367"/>
        <v/>
      </c>
      <c r="U3304" s="11" t="str">
        <f t="shared" ca="1" si="368"/>
        <v/>
      </c>
      <c r="V3304" s="18" t="str">
        <f t="shared" ca="1" si="369"/>
        <v/>
      </c>
      <c r="W3304" s="61" t="str">
        <f t="shared" ca="1" si="370"/>
        <v/>
      </c>
      <c r="X3304" s="61">
        <f t="shared" ca="1" si="371"/>
        <v>0</v>
      </c>
      <c r="Y3304" s="64" t="str">
        <f t="shared" ca="1" si="372"/>
        <v/>
      </c>
    </row>
    <row r="3305" spans="1:25">
      <c r="A3305" s="2">
        <f>+Get_Data!A3304</f>
        <v>0</v>
      </c>
      <c r="B3305">
        <f>+ROUND(Get_Data!B3304,5)</f>
        <v>0</v>
      </c>
      <c r="C3305">
        <f>+ROUND(Get_Data!C3304,5)</f>
        <v>0</v>
      </c>
      <c r="D3305" s="4" t="str">
        <f t="shared" si="357"/>
        <v/>
      </c>
      <c r="E3305" s="22">
        <f t="shared" ca="1" si="358"/>
        <v>0</v>
      </c>
      <c r="F3305" s="23">
        <f t="shared" ca="1" si="359"/>
        <v>0</v>
      </c>
      <c r="G3305" s="10">
        <f t="shared" ca="1" si="360"/>
        <v>0</v>
      </c>
      <c r="H3305" s="12">
        <f t="shared" ca="1" si="361"/>
        <v>0</v>
      </c>
      <c r="I3305" s="11">
        <f t="shared" ca="1" si="362"/>
        <v>0</v>
      </c>
      <c r="J3305" s="11">
        <f t="shared" ca="1" si="363"/>
        <v>-1</v>
      </c>
      <c r="K3305" s="10">
        <f t="shared" ca="1" si="373"/>
        <v>131.24001000000001</v>
      </c>
      <c r="L3305" s="11">
        <f t="shared" ca="1" si="374"/>
        <v>-49.09</v>
      </c>
      <c r="M3305" s="11">
        <f t="shared" ca="1" si="375"/>
        <v>2.6734599999999999</v>
      </c>
      <c r="N3305" s="15">
        <f t="shared" ca="1" si="376"/>
        <v>10</v>
      </c>
      <c r="O3305" s="15">
        <f t="shared" ca="1" si="377"/>
        <v>27</v>
      </c>
      <c r="P3305" s="16">
        <f t="shared" ca="1" si="378"/>
        <v>-13.029899999999998</v>
      </c>
      <c r="Q3305" s="11" t="str">
        <f t="shared" ca="1" si="364"/>
        <v/>
      </c>
      <c r="R3305" s="11" t="str">
        <f t="shared" ca="1" si="365"/>
        <v/>
      </c>
      <c r="S3305" s="61" t="str">
        <f t="shared" ca="1" si="366"/>
        <v/>
      </c>
      <c r="T3305" s="11" t="str">
        <f t="shared" ca="1" si="367"/>
        <v/>
      </c>
      <c r="U3305" s="11" t="str">
        <f t="shared" ca="1" si="368"/>
        <v/>
      </c>
      <c r="V3305" s="18" t="str">
        <f t="shared" ca="1" si="369"/>
        <v/>
      </c>
      <c r="W3305" s="61" t="str">
        <f t="shared" ca="1" si="370"/>
        <v/>
      </c>
      <c r="X3305" s="61">
        <f t="shared" ca="1" si="371"/>
        <v>0</v>
      </c>
      <c r="Y3305" s="64" t="str">
        <f t="shared" ca="1" si="372"/>
        <v/>
      </c>
    </row>
    <row r="3306" spans="1:25">
      <c r="A3306" s="2">
        <f>+Get_Data!A3305</f>
        <v>0</v>
      </c>
      <c r="B3306">
        <f>+ROUND(Get_Data!B3305,5)</f>
        <v>0</v>
      </c>
      <c r="C3306">
        <f>+ROUND(Get_Data!C3305,5)</f>
        <v>0</v>
      </c>
      <c r="D3306" s="4" t="str">
        <f t="shared" si="357"/>
        <v/>
      </c>
      <c r="E3306" s="22">
        <f t="shared" ca="1" si="358"/>
        <v>0</v>
      </c>
      <c r="F3306" s="23">
        <f t="shared" ca="1" si="359"/>
        <v>0</v>
      </c>
      <c r="G3306" s="10">
        <f t="shared" ca="1" si="360"/>
        <v>0</v>
      </c>
      <c r="H3306" s="12">
        <f t="shared" ca="1" si="361"/>
        <v>0</v>
      </c>
      <c r="I3306" s="11">
        <f t="shared" ca="1" si="362"/>
        <v>0</v>
      </c>
      <c r="J3306" s="11">
        <f t="shared" ca="1" si="363"/>
        <v>-1</v>
      </c>
      <c r="K3306" s="10">
        <f t="shared" ca="1" si="373"/>
        <v>131.24001000000001</v>
      </c>
      <c r="L3306" s="11">
        <f t="shared" ca="1" si="374"/>
        <v>-49.09</v>
      </c>
      <c r="M3306" s="11">
        <f t="shared" ca="1" si="375"/>
        <v>2.6734599999999999</v>
      </c>
      <c r="N3306" s="15">
        <f t="shared" ca="1" si="376"/>
        <v>10</v>
      </c>
      <c r="O3306" s="15">
        <f t="shared" ca="1" si="377"/>
        <v>27</v>
      </c>
      <c r="P3306" s="16">
        <f t="shared" ca="1" si="378"/>
        <v>-13.029899999999998</v>
      </c>
      <c r="Q3306" s="11" t="str">
        <f t="shared" ca="1" si="364"/>
        <v/>
      </c>
      <c r="R3306" s="11" t="str">
        <f t="shared" ca="1" si="365"/>
        <v/>
      </c>
      <c r="S3306" s="61" t="str">
        <f t="shared" ca="1" si="366"/>
        <v/>
      </c>
      <c r="T3306" s="11" t="str">
        <f t="shared" ca="1" si="367"/>
        <v/>
      </c>
      <c r="U3306" s="11" t="str">
        <f t="shared" ca="1" si="368"/>
        <v/>
      </c>
      <c r="V3306" s="18" t="str">
        <f t="shared" ca="1" si="369"/>
        <v/>
      </c>
      <c r="W3306" s="61" t="str">
        <f t="shared" ca="1" si="370"/>
        <v/>
      </c>
      <c r="X3306" s="61">
        <f t="shared" ca="1" si="371"/>
        <v>0</v>
      </c>
      <c r="Y3306" s="64" t="str">
        <f t="shared" ca="1" si="372"/>
        <v/>
      </c>
    </row>
    <row r="3307" spans="1:25">
      <c r="A3307" s="2">
        <f>+Get_Data!A3306</f>
        <v>0</v>
      </c>
      <c r="B3307">
        <f>+ROUND(Get_Data!B3306,5)</f>
        <v>0</v>
      </c>
      <c r="C3307">
        <f>+ROUND(Get_Data!C3306,5)</f>
        <v>0</v>
      </c>
      <c r="D3307" s="4" t="str">
        <f t="shared" si="357"/>
        <v/>
      </c>
      <c r="E3307" s="22">
        <f t="shared" ca="1" si="358"/>
        <v>0</v>
      </c>
      <c r="F3307" s="23">
        <f t="shared" ca="1" si="359"/>
        <v>0</v>
      </c>
      <c r="G3307" s="10">
        <f t="shared" ca="1" si="360"/>
        <v>0</v>
      </c>
      <c r="H3307" s="12">
        <f t="shared" ca="1" si="361"/>
        <v>0</v>
      </c>
      <c r="I3307" s="11">
        <f t="shared" ca="1" si="362"/>
        <v>0</v>
      </c>
      <c r="J3307" s="11">
        <f t="shared" ca="1" si="363"/>
        <v>-1</v>
      </c>
      <c r="K3307" s="10">
        <f t="shared" ca="1" si="373"/>
        <v>131.24001000000001</v>
      </c>
      <c r="L3307" s="11">
        <f t="shared" ca="1" si="374"/>
        <v>-49.09</v>
      </c>
      <c r="M3307" s="11">
        <f t="shared" ca="1" si="375"/>
        <v>2.6734599999999999</v>
      </c>
      <c r="N3307" s="15">
        <f t="shared" ca="1" si="376"/>
        <v>10</v>
      </c>
      <c r="O3307" s="15">
        <f t="shared" ca="1" si="377"/>
        <v>27</v>
      </c>
      <c r="P3307" s="16">
        <f t="shared" ca="1" si="378"/>
        <v>-13.029899999999998</v>
      </c>
      <c r="Q3307" s="11" t="str">
        <f t="shared" ca="1" si="364"/>
        <v/>
      </c>
      <c r="R3307" s="11" t="str">
        <f t="shared" ca="1" si="365"/>
        <v/>
      </c>
      <c r="S3307" s="61" t="str">
        <f t="shared" ca="1" si="366"/>
        <v/>
      </c>
      <c r="T3307" s="11" t="str">
        <f t="shared" ca="1" si="367"/>
        <v/>
      </c>
      <c r="U3307" s="11" t="str">
        <f t="shared" ca="1" si="368"/>
        <v/>
      </c>
      <c r="V3307" s="18" t="str">
        <f t="shared" ca="1" si="369"/>
        <v/>
      </c>
      <c r="W3307" s="61" t="str">
        <f t="shared" ca="1" si="370"/>
        <v/>
      </c>
      <c r="X3307" s="61">
        <f t="shared" ca="1" si="371"/>
        <v>0</v>
      </c>
      <c r="Y3307" s="64" t="str">
        <f t="shared" ca="1" si="372"/>
        <v/>
      </c>
    </row>
    <row r="3308" spans="1:25">
      <c r="A3308" s="2">
        <f>+Get_Data!A3307</f>
        <v>0</v>
      </c>
      <c r="B3308">
        <f>+ROUND(Get_Data!B3307,5)</f>
        <v>0</v>
      </c>
      <c r="C3308">
        <f>+ROUND(Get_Data!C3307,5)</f>
        <v>0</v>
      </c>
      <c r="D3308" s="4" t="str">
        <f t="shared" si="357"/>
        <v/>
      </c>
      <c r="E3308" s="22">
        <f t="shared" ca="1" si="358"/>
        <v>0</v>
      </c>
      <c r="F3308" s="23">
        <f t="shared" ca="1" si="359"/>
        <v>0</v>
      </c>
      <c r="G3308" s="10">
        <f t="shared" ca="1" si="360"/>
        <v>0</v>
      </c>
      <c r="H3308" s="12">
        <f t="shared" ca="1" si="361"/>
        <v>0</v>
      </c>
      <c r="I3308" s="11">
        <f t="shared" ca="1" si="362"/>
        <v>0</v>
      </c>
      <c r="J3308" s="11">
        <f t="shared" ca="1" si="363"/>
        <v>-1</v>
      </c>
      <c r="K3308" s="10">
        <f t="shared" ca="1" si="373"/>
        <v>131.24001000000001</v>
      </c>
      <c r="L3308" s="11">
        <f t="shared" ca="1" si="374"/>
        <v>-49.09</v>
      </c>
      <c r="M3308" s="11">
        <f t="shared" ca="1" si="375"/>
        <v>2.6734599999999999</v>
      </c>
      <c r="N3308" s="15">
        <f t="shared" ca="1" si="376"/>
        <v>10</v>
      </c>
      <c r="O3308" s="15">
        <f t="shared" ca="1" si="377"/>
        <v>27</v>
      </c>
      <c r="P3308" s="16">
        <f t="shared" ca="1" si="378"/>
        <v>-13.029899999999998</v>
      </c>
      <c r="Q3308" s="11" t="str">
        <f t="shared" ca="1" si="364"/>
        <v/>
      </c>
      <c r="R3308" s="11" t="str">
        <f t="shared" ca="1" si="365"/>
        <v/>
      </c>
      <c r="S3308" s="61" t="str">
        <f t="shared" ca="1" si="366"/>
        <v/>
      </c>
      <c r="T3308" s="11" t="str">
        <f t="shared" ca="1" si="367"/>
        <v/>
      </c>
      <c r="U3308" s="11" t="str">
        <f t="shared" ca="1" si="368"/>
        <v/>
      </c>
      <c r="V3308" s="18" t="str">
        <f t="shared" ca="1" si="369"/>
        <v/>
      </c>
      <c r="W3308" s="61" t="str">
        <f t="shared" ca="1" si="370"/>
        <v/>
      </c>
      <c r="X3308" s="61">
        <f t="shared" ca="1" si="371"/>
        <v>0</v>
      </c>
      <c r="Y3308" s="64" t="str">
        <f t="shared" ca="1" si="372"/>
        <v/>
      </c>
    </row>
    <row r="3309" spans="1:25">
      <c r="A3309" s="2">
        <f>+Get_Data!A3308</f>
        <v>0</v>
      </c>
      <c r="B3309">
        <f>+ROUND(Get_Data!B3308,5)</f>
        <v>0</v>
      </c>
      <c r="C3309">
        <f>+ROUND(Get_Data!C3308,5)</f>
        <v>0</v>
      </c>
      <c r="D3309" s="4" t="str">
        <f t="shared" si="357"/>
        <v/>
      </c>
      <c r="E3309" s="22">
        <f t="shared" ca="1" si="358"/>
        <v>0</v>
      </c>
      <c r="F3309" s="23">
        <f t="shared" ca="1" si="359"/>
        <v>0</v>
      </c>
      <c r="G3309" s="10">
        <f t="shared" ca="1" si="360"/>
        <v>0</v>
      </c>
      <c r="H3309" s="12">
        <f t="shared" ca="1" si="361"/>
        <v>0</v>
      </c>
      <c r="I3309" s="11">
        <f t="shared" ca="1" si="362"/>
        <v>0</v>
      </c>
      <c r="J3309" s="11">
        <f t="shared" ca="1" si="363"/>
        <v>-1</v>
      </c>
      <c r="K3309" s="10">
        <f t="shared" ca="1" si="373"/>
        <v>131.24001000000001</v>
      </c>
      <c r="L3309" s="11">
        <f t="shared" ca="1" si="374"/>
        <v>-49.09</v>
      </c>
      <c r="M3309" s="11">
        <f t="shared" ca="1" si="375"/>
        <v>2.6734599999999999</v>
      </c>
      <c r="N3309" s="15">
        <f t="shared" ca="1" si="376"/>
        <v>10</v>
      </c>
      <c r="O3309" s="15">
        <f t="shared" ca="1" si="377"/>
        <v>27</v>
      </c>
      <c r="P3309" s="16">
        <f t="shared" ca="1" si="378"/>
        <v>-13.029899999999998</v>
      </c>
      <c r="Q3309" s="11" t="str">
        <f t="shared" ca="1" si="364"/>
        <v/>
      </c>
      <c r="R3309" s="11" t="str">
        <f t="shared" ca="1" si="365"/>
        <v/>
      </c>
      <c r="S3309" s="61" t="str">
        <f t="shared" ca="1" si="366"/>
        <v/>
      </c>
      <c r="T3309" s="11" t="str">
        <f t="shared" ca="1" si="367"/>
        <v/>
      </c>
      <c r="U3309" s="11" t="str">
        <f t="shared" ca="1" si="368"/>
        <v/>
      </c>
      <c r="V3309" s="18" t="str">
        <f t="shared" ca="1" si="369"/>
        <v/>
      </c>
      <c r="W3309" s="61" t="str">
        <f t="shared" ca="1" si="370"/>
        <v/>
      </c>
      <c r="X3309" s="61">
        <f t="shared" ca="1" si="371"/>
        <v>0</v>
      </c>
      <c r="Y3309" s="64" t="str">
        <f t="shared" ca="1" si="372"/>
        <v/>
      </c>
    </row>
    <row r="3310" spans="1:25">
      <c r="A3310" s="2">
        <f>+Get_Data!A3309</f>
        <v>0</v>
      </c>
      <c r="B3310">
        <f>+ROUND(Get_Data!B3309,5)</f>
        <v>0</v>
      </c>
      <c r="C3310">
        <f>+ROUND(Get_Data!C3309,5)</f>
        <v>0</v>
      </c>
      <c r="D3310" s="4" t="str">
        <f t="shared" si="357"/>
        <v/>
      </c>
      <c r="E3310" s="22">
        <f t="shared" ca="1" si="358"/>
        <v>0</v>
      </c>
      <c r="F3310" s="23">
        <f t="shared" ca="1" si="359"/>
        <v>0</v>
      </c>
      <c r="G3310" s="10">
        <f t="shared" ca="1" si="360"/>
        <v>0</v>
      </c>
      <c r="H3310" s="12">
        <f t="shared" ca="1" si="361"/>
        <v>0</v>
      </c>
      <c r="I3310" s="11">
        <f t="shared" ca="1" si="362"/>
        <v>0</v>
      </c>
      <c r="J3310" s="11">
        <f t="shared" ca="1" si="363"/>
        <v>-1</v>
      </c>
      <c r="K3310" s="10">
        <f t="shared" ca="1" si="373"/>
        <v>131.24001000000001</v>
      </c>
      <c r="L3310" s="11">
        <f t="shared" ca="1" si="374"/>
        <v>-49.09</v>
      </c>
      <c r="M3310" s="11">
        <f t="shared" ca="1" si="375"/>
        <v>2.6734599999999999</v>
      </c>
      <c r="N3310" s="15">
        <f t="shared" ca="1" si="376"/>
        <v>10</v>
      </c>
      <c r="O3310" s="15">
        <f t="shared" ca="1" si="377"/>
        <v>27</v>
      </c>
      <c r="P3310" s="16">
        <f t="shared" ca="1" si="378"/>
        <v>-13.029899999999998</v>
      </c>
      <c r="Q3310" s="11" t="str">
        <f t="shared" ca="1" si="364"/>
        <v/>
      </c>
      <c r="R3310" s="11" t="str">
        <f t="shared" ca="1" si="365"/>
        <v/>
      </c>
      <c r="S3310" s="61" t="str">
        <f t="shared" ca="1" si="366"/>
        <v/>
      </c>
      <c r="T3310" s="11" t="str">
        <f t="shared" ca="1" si="367"/>
        <v/>
      </c>
      <c r="U3310" s="11" t="str">
        <f t="shared" ca="1" si="368"/>
        <v/>
      </c>
      <c r="V3310" s="18" t="str">
        <f t="shared" ca="1" si="369"/>
        <v/>
      </c>
      <c r="W3310" s="61" t="str">
        <f t="shared" ca="1" si="370"/>
        <v/>
      </c>
      <c r="X3310" s="61">
        <f t="shared" ca="1" si="371"/>
        <v>0</v>
      </c>
      <c r="Y3310" s="64" t="str">
        <f t="shared" ca="1" si="372"/>
        <v/>
      </c>
    </row>
    <row r="3311" spans="1:25">
      <c r="A3311" s="2">
        <f>+Get_Data!A3310</f>
        <v>0</v>
      </c>
      <c r="B3311">
        <f>+ROUND(Get_Data!B3310,5)</f>
        <v>0</v>
      </c>
      <c r="C3311">
        <f>+ROUND(Get_Data!C3310,5)</f>
        <v>0</v>
      </c>
      <c r="D3311" s="4" t="str">
        <f t="shared" si="357"/>
        <v/>
      </c>
      <c r="E3311" s="22">
        <f t="shared" ca="1" si="358"/>
        <v>0</v>
      </c>
      <c r="F3311" s="23">
        <f t="shared" ca="1" si="359"/>
        <v>0</v>
      </c>
      <c r="G3311" s="10">
        <f t="shared" ca="1" si="360"/>
        <v>0</v>
      </c>
      <c r="H3311" s="12">
        <f t="shared" ca="1" si="361"/>
        <v>0</v>
      </c>
      <c r="I3311" s="11">
        <f t="shared" ca="1" si="362"/>
        <v>0</v>
      </c>
      <c r="J3311" s="11">
        <f t="shared" ca="1" si="363"/>
        <v>-1</v>
      </c>
      <c r="K3311" s="10">
        <f t="shared" ca="1" si="373"/>
        <v>131.24001000000001</v>
      </c>
      <c r="L3311" s="11">
        <f t="shared" ca="1" si="374"/>
        <v>-49.09</v>
      </c>
      <c r="M3311" s="11">
        <f t="shared" ca="1" si="375"/>
        <v>2.6734599999999999</v>
      </c>
      <c r="N3311" s="15">
        <f t="shared" ca="1" si="376"/>
        <v>10</v>
      </c>
      <c r="O3311" s="15">
        <f t="shared" ca="1" si="377"/>
        <v>27</v>
      </c>
      <c r="P3311" s="16">
        <f t="shared" ca="1" si="378"/>
        <v>-13.029899999999998</v>
      </c>
      <c r="Q3311" s="11" t="str">
        <f t="shared" ca="1" si="364"/>
        <v/>
      </c>
      <c r="R3311" s="11" t="str">
        <f t="shared" ca="1" si="365"/>
        <v/>
      </c>
      <c r="S3311" s="61" t="str">
        <f t="shared" ca="1" si="366"/>
        <v/>
      </c>
      <c r="T3311" s="11" t="str">
        <f t="shared" ca="1" si="367"/>
        <v/>
      </c>
      <c r="U3311" s="11" t="str">
        <f t="shared" ca="1" si="368"/>
        <v/>
      </c>
      <c r="V3311" s="18" t="str">
        <f t="shared" ca="1" si="369"/>
        <v/>
      </c>
      <c r="W3311" s="61" t="str">
        <f t="shared" ca="1" si="370"/>
        <v/>
      </c>
      <c r="X3311" s="61">
        <f t="shared" ca="1" si="371"/>
        <v>0</v>
      </c>
      <c r="Y3311" s="64" t="str">
        <f t="shared" ca="1" si="372"/>
        <v/>
      </c>
    </row>
    <row r="3312" spans="1:25">
      <c r="A3312" s="2">
        <f>+Get_Data!A3311</f>
        <v>0</v>
      </c>
      <c r="B3312">
        <f>+ROUND(Get_Data!B3311,5)</f>
        <v>0</v>
      </c>
      <c r="C3312">
        <f>+ROUND(Get_Data!C3311,5)</f>
        <v>0</v>
      </c>
      <c r="D3312" s="4" t="str">
        <f t="shared" si="357"/>
        <v/>
      </c>
      <c r="E3312" s="22">
        <f t="shared" ca="1" si="358"/>
        <v>0</v>
      </c>
      <c r="F3312" s="23">
        <f t="shared" ca="1" si="359"/>
        <v>0</v>
      </c>
      <c r="G3312" s="10">
        <f t="shared" ca="1" si="360"/>
        <v>0</v>
      </c>
      <c r="H3312" s="12">
        <f t="shared" ca="1" si="361"/>
        <v>0</v>
      </c>
      <c r="I3312" s="11">
        <f t="shared" ca="1" si="362"/>
        <v>0</v>
      </c>
      <c r="J3312" s="11">
        <f t="shared" ca="1" si="363"/>
        <v>-1</v>
      </c>
      <c r="K3312" s="10">
        <f t="shared" ca="1" si="373"/>
        <v>131.24001000000001</v>
      </c>
      <c r="L3312" s="11">
        <f t="shared" ca="1" si="374"/>
        <v>-49.09</v>
      </c>
      <c r="M3312" s="11">
        <f t="shared" ca="1" si="375"/>
        <v>2.6734599999999999</v>
      </c>
      <c r="N3312" s="15">
        <f t="shared" ca="1" si="376"/>
        <v>10</v>
      </c>
      <c r="O3312" s="15">
        <f t="shared" ca="1" si="377"/>
        <v>27</v>
      </c>
      <c r="P3312" s="16">
        <f t="shared" ca="1" si="378"/>
        <v>-13.029899999999998</v>
      </c>
      <c r="Q3312" s="11" t="str">
        <f t="shared" ca="1" si="364"/>
        <v/>
      </c>
      <c r="R3312" s="11" t="str">
        <f t="shared" ca="1" si="365"/>
        <v/>
      </c>
      <c r="S3312" s="61" t="str">
        <f t="shared" ca="1" si="366"/>
        <v/>
      </c>
      <c r="T3312" s="11" t="str">
        <f t="shared" ca="1" si="367"/>
        <v/>
      </c>
      <c r="U3312" s="11" t="str">
        <f t="shared" ca="1" si="368"/>
        <v/>
      </c>
      <c r="V3312" s="18" t="str">
        <f t="shared" ca="1" si="369"/>
        <v/>
      </c>
      <c r="W3312" s="61" t="str">
        <f t="shared" ca="1" si="370"/>
        <v/>
      </c>
      <c r="X3312" s="61">
        <f t="shared" ca="1" si="371"/>
        <v>0</v>
      </c>
      <c r="Y3312" s="64" t="str">
        <f t="shared" ca="1" si="372"/>
        <v/>
      </c>
    </row>
    <row r="3313" spans="1:25">
      <c r="A3313" s="2">
        <f>+Get_Data!A3312</f>
        <v>0</v>
      </c>
      <c r="B3313">
        <f>+ROUND(Get_Data!B3312,5)</f>
        <v>0</v>
      </c>
      <c r="C3313">
        <f>+ROUND(Get_Data!C3312,5)</f>
        <v>0</v>
      </c>
      <c r="D3313" s="4" t="str">
        <f t="shared" si="357"/>
        <v/>
      </c>
      <c r="E3313" s="22">
        <f t="shared" ca="1" si="358"/>
        <v>0</v>
      </c>
      <c r="F3313" s="23">
        <f t="shared" ca="1" si="359"/>
        <v>0</v>
      </c>
      <c r="G3313" s="10">
        <f t="shared" ca="1" si="360"/>
        <v>0</v>
      </c>
      <c r="H3313" s="12">
        <f t="shared" ca="1" si="361"/>
        <v>0</v>
      </c>
      <c r="I3313" s="11">
        <f t="shared" ca="1" si="362"/>
        <v>0</v>
      </c>
      <c r="J3313" s="11">
        <f t="shared" ca="1" si="363"/>
        <v>-1</v>
      </c>
      <c r="K3313" s="10">
        <f t="shared" ca="1" si="373"/>
        <v>131.24001000000001</v>
      </c>
      <c r="L3313" s="11">
        <f t="shared" ca="1" si="374"/>
        <v>-49.09</v>
      </c>
      <c r="M3313" s="11">
        <f t="shared" ca="1" si="375"/>
        <v>2.6734599999999999</v>
      </c>
      <c r="N3313" s="15">
        <f t="shared" ca="1" si="376"/>
        <v>10</v>
      </c>
      <c r="O3313" s="15">
        <f t="shared" ca="1" si="377"/>
        <v>27</v>
      </c>
      <c r="P3313" s="16">
        <f t="shared" ca="1" si="378"/>
        <v>-13.029899999999998</v>
      </c>
      <c r="Q3313" s="11" t="str">
        <f t="shared" ca="1" si="364"/>
        <v/>
      </c>
      <c r="R3313" s="11" t="str">
        <f t="shared" ca="1" si="365"/>
        <v/>
      </c>
      <c r="S3313" s="61" t="str">
        <f t="shared" ca="1" si="366"/>
        <v/>
      </c>
      <c r="T3313" s="11" t="str">
        <f t="shared" ca="1" si="367"/>
        <v/>
      </c>
      <c r="U3313" s="11" t="str">
        <f t="shared" ca="1" si="368"/>
        <v/>
      </c>
      <c r="V3313" s="18" t="str">
        <f t="shared" ca="1" si="369"/>
        <v/>
      </c>
      <c r="W3313" s="61" t="str">
        <f t="shared" ca="1" si="370"/>
        <v/>
      </c>
      <c r="X3313" s="61">
        <f t="shared" ca="1" si="371"/>
        <v>0</v>
      </c>
      <c r="Y3313" s="64" t="str">
        <f t="shared" ca="1" si="372"/>
        <v/>
      </c>
    </row>
    <row r="3314" spans="1:25">
      <c r="A3314" s="2">
        <f>+Get_Data!A3313</f>
        <v>0</v>
      </c>
      <c r="B3314">
        <f>+ROUND(Get_Data!B3313,5)</f>
        <v>0</v>
      </c>
      <c r="C3314">
        <f>+ROUND(Get_Data!C3313,5)</f>
        <v>0</v>
      </c>
      <c r="D3314" s="4" t="str">
        <f t="shared" ref="D3314:D3377" si="379">IFERROR(ROUND(B3314/C3314,5),"")</f>
        <v/>
      </c>
      <c r="E3314" s="22">
        <f t="shared" ca="1" si="358"/>
        <v>0</v>
      </c>
      <c r="F3314" s="23">
        <f t="shared" ca="1" si="359"/>
        <v>0</v>
      </c>
      <c r="G3314" s="10">
        <f t="shared" ca="1" si="360"/>
        <v>0</v>
      </c>
      <c r="H3314" s="12">
        <f t="shared" ca="1" si="361"/>
        <v>0</v>
      </c>
      <c r="I3314" s="11">
        <f t="shared" ca="1" si="362"/>
        <v>0</v>
      </c>
      <c r="J3314" s="11">
        <f t="shared" ca="1" si="363"/>
        <v>-1</v>
      </c>
      <c r="K3314" s="10">
        <f t="shared" ca="1" si="373"/>
        <v>131.24001000000001</v>
      </c>
      <c r="L3314" s="11">
        <f t="shared" ca="1" si="374"/>
        <v>-49.09</v>
      </c>
      <c r="M3314" s="11">
        <f t="shared" ca="1" si="375"/>
        <v>2.6734599999999999</v>
      </c>
      <c r="N3314" s="15">
        <f t="shared" ca="1" si="376"/>
        <v>10</v>
      </c>
      <c r="O3314" s="15">
        <f t="shared" ca="1" si="377"/>
        <v>27</v>
      </c>
      <c r="P3314" s="16">
        <f t="shared" ca="1" si="378"/>
        <v>-13.029899999999998</v>
      </c>
      <c r="Q3314" s="11" t="str">
        <f t="shared" ca="1" si="364"/>
        <v/>
      </c>
      <c r="R3314" s="11" t="str">
        <f t="shared" ca="1" si="365"/>
        <v/>
      </c>
      <c r="S3314" s="61" t="str">
        <f t="shared" ca="1" si="366"/>
        <v/>
      </c>
      <c r="T3314" s="11" t="str">
        <f t="shared" ca="1" si="367"/>
        <v/>
      </c>
      <c r="U3314" s="11" t="str">
        <f t="shared" ca="1" si="368"/>
        <v/>
      </c>
      <c r="V3314" s="18" t="str">
        <f t="shared" ca="1" si="369"/>
        <v/>
      </c>
      <c r="W3314" s="61" t="str">
        <f t="shared" ca="1" si="370"/>
        <v/>
      </c>
      <c r="X3314" s="61">
        <f t="shared" ca="1" si="371"/>
        <v>0</v>
      </c>
      <c r="Y3314" s="64" t="str">
        <f t="shared" ca="1" si="372"/>
        <v/>
      </c>
    </row>
    <row r="3315" spans="1:25">
      <c r="A3315" s="2">
        <f>+Get_Data!A3314</f>
        <v>0</v>
      </c>
      <c r="B3315">
        <f>+ROUND(Get_Data!B3314,5)</f>
        <v>0</v>
      </c>
      <c r="C3315">
        <f>+ROUND(Get_Data!C3314,5)</f>
        <v>0</v>
      </c>
      <c r="D3315" s="4" t="str">
        <f t="shared" si="379"/>
        <v/>
      </c>
      <c r="E3315" s="22">
        <f t="shared" ca="1" si="358"/>
        <v>0</v>
      </c>
      <c r="F3315" s="23">
        <f t="shared" ca="1" si="359"/>
        <v>0</v>
      </c>
      <c r="G3315" s="10">
        <f t="shared" ca="1" si="360"/>
        <v>0</v>
      </c>
      <c r="H3315" s="12">
        <f t="shared" ca="1" si="361"/>
        <v>0</v>
      </c>
      <c r="I3315" s="11">
        <f t="shared" ca="1" si="362"/>
        <v>0</v>
      </c>
      <c r="J3315" s="11">
        <f t="shared" ca="1" si="363"/>
        <v>-1</v>
      </c>
      <c r="K3315" s="10">
        <f t="shared" ca="1" si="373"/>
        <v>131.24001000000001</v>
      </c>
      <c r="L3315" s="11">
        <f t="shared" ca="1" si="374"/>
        <v>-49.09</v>
      </c>
      <c r="M3315" s="11">
        <f t="shared" ca="1" si="375"/>
        <v>2.6734599999999999</v>
      </c>
      <c r="N3315" s="15">
        <f t="shared" ca="1" si="376"/>
        <v>10</v>
      </c>
      <c r="O3315" s="15">
        <f t="shared" ca="1" si="377"/>
        <v>27</v>
      </c>
      <c r="P3315" s="16">
        <f t="shared" ca="1" si="378"/>
        <v>-13.029899999999998</v>
      </c>
      <c r="Q3315" s="11" t="str">
        <f t="shared" ca="1" si="364"/>
        <v/>
      </c>
      <c r="R3315" s="11" t="str">
        <f t="shared" ca="1" si="365"/>
        <v/>
      </c>
      <c r="S3315" s="61" t="str">
        <f t="shared" ca="1" si="366"/>
        <v/>
      </c>
      <c r="T3315" s="11" t="str">
        <f t="shared" ca="1" si="367"/>
        <v/>
      </c>
      <c r="U3315" s="11" t="str">
        <f t="shared" ca="1" si="368"/>
        <v/>
      </c>
      <c r="V3315" s="18" t="str">
        <f t="shared" ca="1" si="369"/>
        <v/>
      </c>
      <c r="W3315" s="61" t="str">
        <f t="shared" ca="1" si="370"/>
        <v/>
      </c>
      <c r="X3315" s="61">
        <f t="shared" ca="1" si="371"/>
        <v>0</v>
      </c>
      <c r="Y3315" s="64" t="str">
        <f t="shared" ca="1" si="372"/>
        <v/>
      </c>
    </row>
    <row r="3316" spans="1:25">
      <c r="A3316" s="2">
        <f>+Get_Data!A3315</f>
        <v>0</v>
      </c>
      <c r="B3316">
        <f>+ROUND(Get_Data!B3315,5)</f>
        <v>0</v>
      </c>
      <c r="C3316">
        <f>+ROUND(Get_Data!C3315,5)</f>
        <v>0</v>
      </c>
      <c r="D3316" s="4" t="str">
        <f t="shared" si="379"/>
        <v/>
      </c>
      <c r="E3316" s="22">
        <f t="shared" ca="1" si="358"/>
        <v>0</v>
      </c>
      <c r="F3316" s="23">
        <f t="shared" ca="1" si="359"/>
        <v>0</v>
      </c>
      <c r="G3316" s="10">
        <f t="shared" ca="1" si="360"/>
        <v>0</v>
      </c>
      <c r="H3316" s="12">
        <f t="shared" ca="1" si="361"/>
        <v>0</v>
      </c>
      <c r="I3316" s="11">
        <f t="shared" ca="1" si="362"/>
        <v>0</v>
      </c>
      <c r="J3316" s="11">
        <f t="shared" ca="1" si="363"/>
        <v>-1</v>
      </c>
      <c r="K3316" s="10">
        <f t="shared" ca="1" si="373"/>
        <v>131.24001000000001</v>
      </c>
      <c r="L3316" s="11">
        <f t="shared" ca="1" si="374"/>
        <v>-49.09</v>
      </c>
      <c r="M3316" s="11">
        <f t="shared" ca="1" si="375"/>
        <v>2.6734599999999999</v>
      </c>
      <c r="N3316" s="15">
        <f t="shared" ca="1" si="376"/>
        <v>10</v>
      </c>
      <c r="O3316" s="15">
        <f t="shared" ca="1" si="377"/>
        <v>27</v>
      </c>
      <c r="P3316" s="16">
        <f t="shared" ca="1" si="378"/>
        <v>-13.029899999999998</v>
      </c>
      <c r="Q3316" s="11" t="str">
        <f t="shared" ca="1" si="364"/>
        <v/>
      </c>
      <c r="R3316" s="11" t="str">
        <f t="shared" ca="1" si="365"/>
        <v/>
      </c>
      <c r="S3316" s="61" t="str">
        <f t="shared" ca="1" si="366"/>
        <v/>
      </c>
      <c r="T3316" s="11" t="str">
        <f t="shared" ca="1" si="367"/>
        <v/>
      </c>
      <c r="U3316" s="11" t="str">
        <f t="shared" ca="1" si="368"/>
        <v/>
      </c>
      <c r="V3316" s="18" t="str">
        <f t="shared" ca="1" si="369"/>
        <v/>
      </c>
      <c r="W3316" s="61" t="str">
        <f t="shared" ca="1" si="370"/>
        <v/>
      </c>
      <c r="X3316" s="61">
        <f t="shared" ca="1" si="371"/>
        <v>0</v>
      </c>
      <c r="Y3316" s="64" t="str">
        <f t="shared" ca="1" si="372"/>
        <v/>
      </c>
    </row>
    <row r="3317" spans="1:25">
      <c r="A3317" s="2">
        <f>+Get_Data!A3316</f>
        <v>0</v>
      </c>
      <c r="B3317">
        <f>+ROUND(Get_Data!B3316,5)</f>
        <v>0</v>
      </c>
      <c r="C3317">
        <f>+ROUND(Get_Data!C3316,5)</f>
        <v>0</v>
      </c>
      <c r="D3317" s="4" t="str">
        <f t="shared" si="379"/>
        <v/>
      </c>
      <c r="E3317" s="22">
        <f t="shared" ca="1" si="358"/>
        <v>0</v>
      </c>
      <c r="F3317" s="23">
        <f t="shared" ca="1" si="359"/>
        <v>0</v>
      </c>
      <c r="G3317" s="10">
        <f t="shared" ca="1" si="360"/>
        <v>0</v>
      </c>
      <c r="H3317" s="12">
        <f t="shared" ca="1" si="361"/>
        <v>0</v>
      </c>
      <c r="I3317" s="11">
        <f t="shared" ca="1" si="362"/>
        <v>0</v>
      </c>
      <c r="J3317" s="11">
        <f t="shared" ca="1" si="363"/>
        <v>-1</v>
      </c>
      <c r="K3317" s="10">
        <f t="shared" ca="1" si="373"/>
        <v>131.24001000000001</v>
      </c>
      <c r="L3317" s="11">
        <f t="shared" ca="1" si="374"/>
        <v>-49.09</v>
      </c>
      <c r="M3317" s="11">
        <f t="shared" ca="1" si="375"/>
        <v>2.6734599999999999</v>
      </c>
      <c r="N3317" s="15">
        <f t="shared" ca="1" si="376"/>
        <v>10</v>
      </c>
      <c r="O3317" s="15">
        <f t="shared" ca="1" si="377"/>
        <v>27</v>
      </c>
      <c r="P3317" s="16">
        <f t="shared" ca="1" si="378"/>
        <v>-13.029899999999998</v>
      </c>
      <c r="Q3317" s="11" t="str">
        <f t="shared" ca="1" si="364"/>
        <v/>
      </c>
      <c r="R3317" s="11" t="str">
        <f t="shared" ca="1" si="365"/>
        <v/>
      </c>
      <c r="S3317" s="61" t="str">
        <f t="shared" ca="1" si="366"/>
        <v/>
      </c>
      <c r="T3317" s="11" t="str">
        <f t="shared" ca="1" si="367"/>
        <v/>
      </c>
      <c r="U3317" s="11" t="str">
        <f t="shared" ca="1" si="368"/>
        <v/>
      </c>
      <c r="V3317" s="18" t="str">
        <f t="shared" ca="1" si="369"/>
        <v/>
      </c>
      <c r="W3317" s="61" t="str">
        <f t="shared" ca="1" si="370"/>
        <v/>
      </c>
      <c r="X3317" s="61">
        <f t="shared" ca="1" si="371"/>
        <v>0</v>
      </c>
      <c r="Y3317" s="64" t="str">
        <f t="shared" ca="1" si="372"/>
        <v/>
      </c>
    </row>
    <row r="3318" spans="1:25">
      <c r="A3318" s="2">
        <f>+Get_Data!A3317</f>
        <v>0</v>
      </c>
      <c r="B3318">
        <f>+ROUND(Get_Data!B3317,5)</f>
        <v>0</v>
      </c>
      <c r="C3318">
        <f>+ROUND(Get_Data!C3317,5)</f>
        <v>0</v>
      </c>
      <c r="D3318" s="4" t="str">
        <f t="shared" si="379"/>
        <v/>
      </c>
      <c r="E3318" s="22">
        <f t="shared" ca="1" si="358"/>
        <v>0</v>
      </c>
      <c r="F3318" s="23">
        <f t="shared" ca="1" si="359"/>
        <v>0</v>
      </c>
      <c r="G3318" s="10">
        <f t="shared" ca="1" si="360"/>
        <v>0</v>
      </c>
      <c r="H3318" s="12">
        <f t="shared" ca="1" si="361"/>
        <v>0</v>
      </c>
      <c r="I3318" s="11">
        <f t="shared" ca="1" si="362"/>
        <v>0</v>
      </c>
      <c r="J3318" s="11">
        <f t="shared" ca="1" si="363"/>
        <v>-1</v>
      </c>
      <c r="K3318" s="10">
        <f t="shared" ca="1" si="373"/>
        <v>131.24001000000001</v>
      </c>
      <c r="L3318" s="11">
        <f t="shared" ca="1" si="374"/>
        <v>-49.09</v>
      </c>
      <c r="M3318" s="11">
        <f t="shared" ca="1" si="375"/>
        <v>2.6734599999999999</v>
      </c>
      <c r="N3318" s="15">
        <f t="shared" ca="1" si="376"/>
        <v>10</v>
      </c>
      <c r="O3318" s="15">
        <f t="shared" ca="1" si="377"/>
        <v>27</v>
      </c>
      <c r="P3318" s="16">
        <f t="shared" ca="1" si="378"/>
        <v>-13.029899999999998</v>
      </c>
      <c r="Q3318" s="11" t="str">
        <f t="shared" ca="1" si="364"/>
        <v/>
      </c>
      <c r="R3318" s="11" t="str">
        <f t="shared" ca="1" si="365"/>
        <v/>
      </c>
      <c r="S3318" s="61" t="str">
        <f t="shared" ca="1" si="366"/>
        <v/>
      </c>
      <c r="T3318" s="11" t="str">
        <f t="shared" ca="1" si="367"/>
        <v/>
      </c>
      <c r="U3318" s="11" t="str">
        <f t="shared" ca="1" si="368"/>
        <v/>
      </c>
      <c r="V3318" s="18" t="str">
        <f t="shared" ca="1" si="369"/>
        <v/>
      </c>
      <c r="W3318" s="61" t="str">
        <f t="shared" ca="1" si="370"/>
        <v/>
      </c>
      <c r="X3318" s="61">
        <f t="shared" ca="1" si="371"/>
        <v>0</v>
      </c>
      <c r="Y3318" s="64" t="str">
        <f t="shared" ca="1" si="372"/>
        <v/>
      </c>
    </row>
    <row r="3319" spans="1:25">
      <c r="A3319" s="2">
        <f>+Get_Data!A3318</f>
        <v>0</v>
      </c>
      <c r="B3319">
        <f>+ROUND(Get_Data!B3318,5)</f>
        <v>0</v>
      </c>
      <c r="C3319">
        <f>+ROUND(Get_Data!C3318,5)</f>
        <v>0</v>
      </c>
      <c r="D3319" s="4" t="str">
        <f t="shared" si="379"/>
        <v/>
      </c>
      <c r="E3319" s="22">
        <f t="shared" ca="1" si="358"/>
        <v>0</v>
      </c>
      <c r="F3319" s="23">
        <f t="shared" ca="1" si="359"/>
        <v>0</v>
      </c>
      <c r="G3319" s="10">
        <f t="shared" ca="1" si="360"/>
        <v>0</v>
      </c>
      <c r="H3319" s="12">
        <f t="shared" ca="1" si="361"/>
        <v>0</v>
      </c>
      <c r="I3319" s="11">
        <f t="shared" ca="1" si="362"/>
        <v>0</v>
      </c>
      <c r="J3319" s="11">
        <f t="shared" ca="1" si="363"/>
        <v>-1</v>
      </c>
      <c r="K3319" s="10">
        <f t="shared" ca="1" si="373"/>
        <v>131.24001000000001</v>
      </c>
      <c r="L3319" s="11">
        <f t="shared" ca="1" si="374"/>
        <v>-49.09</v>
      </c>
      <c r="M3319" s="11">
        <f t="shared" ca="1" si="375"/>
        <v>2.6734599999999999</v>
      </c>
      <c r="N3319" s="15">
        <f t="shared" ca="1" si="376"/>
        <v>10</v>
      </c>
      <c r="O3319" s="15">
        <f t="shared" ca="1" si="377"/>
        <v>27</v>
      </c>
      <c r="P3319" s="16">
        <f t="shared" ca="1" si="378"/>
        <v>-13.029899999999998</v>
      </c>
      <c r="Q3319" s="11" t="str">
        <f t="shared" ca="1" si="364"/>
        <v/>
      </c>
      <c r="R3319" s="11" t="str">
        <f t="shared" ca="1" si="365"/>
        <v/>
      </c>
      <c r="S3319" s="61" t="str">
        <f t="shared" ca="1" si="366"/>
        <v/>
      </c>
      <c r="T3319" s="11" t="str">
        <f t="shared" ca="1" si="367"/>
        <v/>
      </c>
      <c r="U3319" s="11" t="str">
        <f t="shared" ca="1" si="368"/>
        <v/>
      </c>
      <c r="V3319" s="18" t="str">
        <f t="shared" ca="1" si="369"/>
        <v/>
      </c>
      <c r="W3319" s="61" t="str">
        <f t="shared" ca="1" si="370"/>
        <v/>
      </c>
      <c r="X3319" s="61">
        <f t="shared" ca="1" si="371"/>
        <v>0</v>
      </c>
      <c r="Y3319" s="64" t="str">
        <f t="shared" ca="1" si="372"/>
        <v/>
      </c>
    </row>
    <row r="3320" spans="1:25">
      <c r="A3320" s="2">
        <f>+Get_Data!A3319</f>
        <v>0</v>
      </c>
      <c r="B3320">
        <f>+ROUND(Get_Data!B3319,5)</f>
        <v>0</v>
      </c>
      <c r="C3320">
        <f>+ROUND(Get_Data!C3319,5)</f>
        <v>0</v>
      </c>
      <c r="D3320" s="4" t="str">
        <f t="shared" si="379"/>
        <v/>
      </c>
      <c r="E3320" s="22">
        <f t="shared" ca="1" si="358"/>
        <v>0</v>
      </c>
      <c r="F3320" s="23">
        <f t="shared" ca="1" si="359"/>
        <v>0</v>
      </c>
      <c r="G3320" s="10">
        <f t="shared" ca="1" si="360"/>
        <v>0</v>
      </c>
      <c r="H3320" s="12">
        <f t="shared" ca="1" si="361"/>
        <v>0</v>
      </c>
      <c r="I3320" s="11">
        <f t="shared" ca="1" si="362"/>
        <v>0</v>
      </c>
      <c r="J3320" s="11">
        <f t="shared" ca="1" si="363"/>
        <v>-1</v>
      </c>
      <c r="K3320" s="10">
        <f t="shared" ca="1" si="373"/>
        <v>131.24001000000001</v>
      </c>
      <c r="L3320" s="11">
        <f t="shared" ca="1" si="374"/>
        <v>-49.09</v>
      </c>
      <c r="M3320" s="11">
        <f t="shared" ca="1" si="375"/>
        <v>2.6734599999999999</v>
      </c>
      <c r="N3320" s="15">
        <f t="shared" ca="1" si="376"/>
        <v>10</v>
      </c>
      <c r="O3320" s="15">
        <f t="shared" ca="1" si="377"/>
        <v>27</v>
      </c>
      <c r="P3320" s="16">
        <f t="shared" ca="1" si="378"/>
        <v>-13.029899999999998</v>
      </c>
      <c r="Q3320" s="11" t="str">
        <f t="shared" ca="1" si="364"/>
        <v/>
      </c>
      <c r="R3320" s="11" t="str">
        <f t="shared" ca="1" si="365"/>
        <v/>
      </c>
      <c r="S3320" s="61" t="str">
        <f t="shared" ca="1" si="366"/>
        <v/>
      </c>
      <c r="T3320" s="11" t="str">
        <f t="shared" ca="1" si="367"/>
        <v/>
      </c>
      <c r="U3320" s="11" t="str">
        <f t="shared" ca="1" si="368"/>
        <v/>
      </c>
      <c r="V3320" s="18" t="str">
        <f t="shared" ca="1" si="369"/>
        <v/>
      </c>
      <c r="W3320" s="61" t="str">
        <f t="shared" ca="1" si="370"/>
        <v/>
      </c>
      <c r="X3320" s="61">
        <f t="shared" ca="1" si="371"/>
        <v>0</v>
      </c>
      <c r="Y3320" s="64" t="str">
        <f t="shared" ca="1" si="372"/>
        <v/>
      </c>
    </row>
    <row r="3321" spans="1:25">
      <c r="A3321" s="2">
        <f>+Get_Data!A3320</f>
        <v>0</v>
      </c>
      <c r="B3321">
        <f>+ROUND(Get_Data!B3320,5)</f>
        <v>0</v>
      </c>
      <c r="C3321">
        <f>+ROUND(Get_Data!C3320,5)</f>
        <v>0</v>
      </c>
      <c r="D3321" s="4" t="str">
        <f t="shared" si="379"/>
        <v/>
      </c>
      <c r="E3321" s="22">
        <f t="shared" ca="1" si="358"/>
        <v>0</v>
      </c>
      <c r="F3321" s="23">
        <f t="shared" ca="1" si="359"/>
        <v>0</v>
      </c>
      <c r="G3321" s="10">
        <f t="shared" ca="1" si="360"/>
        <v>0</v>
      </c>
      <c r="H3321" s="12">
        <f t="shared" ca="1" si="361"/>
        <v>0</v>
      </c>
      <c r="I3321" s="11">
        <f t="shared" ca="1" si="362"/>
        <v>0</v>
      </c>
      <c r="J3321" s="11">
        <f t="shared" ca="1" si="363"/>
        <v>-1</v>
      </c>
      <c r="K3321" s="10">
        <f t="shared" ca="1" si="373"/>
        <v>131.24001000000001</v>
      </c>
      <c r="L3321" s="11">
        <f t="shared" ca="1" si="374"/>
        <v>-49.09</v>
      </c>
      <c r="M3321" s="11">
        <f t="shared" ca="1" si="375"/>
        <v>2.6734599999999999</v>
      </c>
      <c r="N3321" s="15">
        <f t="shared" ca="1" si="376"/>
        <v>10</v>
      </c>
      <c r="O3321" s="15">
        <f t="shared" ca="1" si="377"/>
        <v>27</v>
      </c>
      <c r="P3321" s="16">
        <f t="shared" ca="1" si="378"/>
        <v>-13.029899999999998</v>
      </c>
      <c r="Q3321" s="11" t="str">
        <f t="shared" ca="1" si="364"/>
        <v/>
      </c>
      <c r="R3321" s="11" t="str">
        <f t="shared" ca="1" si="365"/>
        <v/>
      </c>
      <c r="S3321" s="61" t="str">
        <f t="shared" ca="1" si="366"/>
        <v/>
      </c>
      <c r="T3321" s="11" t="str">
        <f t="shared" ca="1" si="367"/>
        <v/>
      </c>
      <c r="U3321" s="11" t="str">
        <f t="shared" ca="1" si="368"/>
        <v/>
      </c>
      <c r="V3321" s="18" t="str">
        <f t="shared" ca="1" si="369"/>
        <v/>
      </c>
      <c r="W3321" s="61" t="str">
        <f t="shared" ca="1" si="370"/>
        <v/>
      </c>
      <c r="X3321" s="61">
        <f t="shared" ca="1" si="371"/>
        <v>0</v>
      </c>
      <c r="Y3321" s="64" t="str">
        <f t="shared" ca="1" si="372"/>
        <v/>
      </c>
    </row>
    <row r="3322" spans="1:25">
      <c r="A3322" s="2">
        <f>+Get_Data!A3321</f>
        <v>0</v>
      </c>
      <c r="B3322">
        <f>+ROUND(Get_Data!B3321,5)</f>
        <v>0</v>
      </c>
      <c r="C3322">
        <f>+ROUND(Get_Data!C3321,5)</f>
        <v>0</v>
      </c>
      <c r="D3322" s="4" t="str">
        <f t="shared" si="379"/>
        <v/>
      </c>
      <c r="E3322" s="22">
        <f t="shared" ca="1" si="358"/>
        <v>0</v>
      </c>
      <c r="F3322" s="23">
        <f t="shared" ca="1" si="359"/>
        <v>0</v>
      </c>
      <c r="G3322" s="10">
        <f t="shared" ca="1" si="360"/>
        <v>0</v>
      </c>
      <c r="H3322" s="12">
        <f t="shared" ca="1" si="361"/>
        <v>0</v>
      </c>
      <c r="I3322" s="11">
        <f t="shared" ca="1" si="362"/>
        <v>0</v>
      </c>
      <c r="J3322" s="11">
        <f t="shared" ca="1" si="363"/>
        <v>-1</v>
      </c>
      <c r="K3322" s="10">
        <f t="shared" ca="1" si="373"/>
        <v>131.24001000000001</v>
      </c>
      <c r="L3322" s="11">
        <f t="shared" ca="1" si="374"/>
        <v>-49.09</v>
      </c>
      <c r="M3322" s="11">
        <f t="shared" ca="1" si="375"/>
        <v>2.6734599999999999</v>
      </c>
      <c r="N3322" s="15">
        <f t="shared" ca="1" si="376"/>
        <v>10</v>
      </c>
      <c r="O3322" s="15">
        <f t="shared" ca="1" si="377"/>
        <v>27</v>
      </c>
      <c r="P3322" s="16">
        <f t="shared" ca="1" si="378"/>
        <v>-13.029899999999998</v>
      </c>
      <c r="Q3322" s="11" t="str">
        <f t="shared" ca="1" si="364"/>
        <v/>
      </c>
      <c r="R3322" s="11" t="str">
        <f t="shared" ca="1" si="365"/>
        <v/>
      </c>
      <c r="S3322" s="61" t="str">
        <f t="shared" ca="1" si="366"/>
        <v/>
      </c>
      <c r="T3322" s="11" t="str">
        <f t="shared" ca="1" si="367"/>
        <v/>
      </c>
      <c r="U3322" s="11" t="str">
        <f t="shared" ca="1" si="368"/>
        <v/>
      </c>
      <c r="V3322" s="18" t="str">
        <f t="shared" ca="1" si="369"/>
        <v/>
      </c>
      <c r="W3322" s="61" t="str">
        <f t="shared" ca="1" si="370"/>
        <v/>
      </c>
      <c r="X3322" s="61">
        <f t="shared" ca="1" si="371"/>
        <v>0</v>
      </c>
      <c r="Y3322" s="64" t="str">
        <f t="shared" ca="1" si="372"/>
        <v/>
      </c>
    </row>
    <row r="3323" spans="1:25">
      <c r="A3323" s="2">
        <f>+Get_Data!A3322</f>
        <v>0</v>
      </c>
      <c r="B3323">
        <f>+ROUND(Get_Data!B3322,5)</f>
        <v>0</v>
      </c>
      <c r="C3323">
        <f>+ROUND(Get_Data!C3322,5)</f>
        <v>0</v>
      </c>
      <c r="D3323" s="4" t="str">
        <f t="shared" si="379"/>
        <v/>
      </c>
      <c r="E3323" s="22">
        <f t="shared" ca="1" si="358"/>
        <v>0</v>
      </c>
      <c r="F3323" s="23">
        <f t="shared" ca="1" si="359"/>
        <v>0</v>
      </c>
      <c r="G3323" s="10">
        <f t="shared" ca="1" si="360"/>
        <v>0</v>
      </c>
      <c r="H3323" s="12">
        <f t="shared" ca="1" si="361"/>
        <v>0</v>
      </c>
      <c r="I3323" s="11">
        <f t="shared" ca="1" si="362"/>
        <v>0</v>
      </c>
      <c r="J3323" s="11">
        <f t="shared" ca="1" si="363"/>
        <v>-1</v>
      </c>
      <c r="K3323" s="10">
        <f t="shared" ca="1" si="373"/>
        <v>131.24001000000001</v>
      </c>
      <c r="L3323" s="11">
        <f t="shared" ca="1" si="374"/>
        <v>-49.09</v>
      </c>
      <c r="M3323" s="11">
        <f t="shared" ca="1" si="375"/>
        <v>2.6734599999999999</v>
      </c>
      <c r="N3323" s="15">
        <f t="shared" ca="1" si="376"/>
        <v>10</v>
      </c>
      <c r="O3323" s="15">
        <f t="shared" ca="1" si="377"/>
        <v>27</v>
      </c>
      <c r="P3323" s="16">
        <f t="shared" ca="1" si="378"/>
        <v>-13.029899999999998</v>
      </c>
      <c r="Q3323" s="11" t="str">
        <f t="shared" ca="1" si="364"/>
        <v/>
      </c>
      <c r="R3323" s="11" t="str">
        <f t="shared" ca="1" si="365"/>
        <v/>
      </c>
      <c r="S3323" s="61" t="str">
        <f t="shared" ca="1" si="366"/>
        <v/>
      </c>
      <c r="T3323" s="11" t="str">
        <f t="shared" ca="1" si="367"/>
        <v/>
      </c>
      <c r="U3323" s="11" t="str">
        <f t="shared" ca="1" si="368"/>
        <v/>
      </c>
      <c r="V3323" s="18" t="str">
        <f t="shared" ca="1" si="369"/>
        <v/>
      </c>
      <c r="W3323" s="61" t="str">
        <f t="shared" ca="1" si="370"/>
        <v/>
      </c>
      <c r="X3323" s="61">
        <f t="shared" ca="1" si="371"/>
        <v>0</v>
      </c>
      <c r="Y3323" s="64" t="str">
        <f t="shared" ca="1" si="372"/>
        <v/>
      </c>
    </row>
    <row r="3324" spans="1:25">
      <c r="A3324" s="2">
        <f>+Get_Data!A3323</f>
        <v>0</v>
      </c>
      <c r="B3324">
        <f>+ROUND(Get_Data!B3323,5)</f>
        <v>0</v>
      </c>
      <c r="C3324">
        <f>+ROUND(Get_Data!C3323,5)</f>
        <v>0</v>
      </c>
      <c r="D3324" s="4" t="str">
        <f t="shared" si="379"/>
        <v/>
      </c>
      <c r="E3324" s="22">
        <f t="shared" ca="1" si="358"/>
        <v>0</v>
      </c>
      <c r="F3324" s="23">
        <f t="shared" ca="1" si="359"/>
        <v>0</v>
      </c>
      <c r="G3324" s="10">
        <f t="shared" ca="1" si="360"/>
        <v>0</v>
      </c>
      <c r="H3324" s="12">
        <f t="shared" ca="1" si="361"/>
        <v>0</v>
      </c>
      <c r="I3324" s="11">
        <f t="shared" ca="1" si="362"/>
        <v>0</v>
      </c>
      <c r="J3324" s="11">
        <f t="shared" ca="1" si="363"/>
        <v>-1</v>
      </c>
      <c r="K3324" s="10">
        <f t="shared" ca="1" si="373"/>
        <v>131.24001000000001</v>
      </c>
      <c r="L3324" s="11">
        <f t="shared" ca="1" si="374"/>
        <v>-49.09</v>
      </c>
      <c r="M3324" s="11">
        <f t="shared" ca="1" si="375"/>
        <v>2.6734599999999999</v>
      </c>
      <c r="N3324" s="15">
        <f t="shared" ca="1" si="376"/>
        <v>10</v>
      </c>
      <c r="O3324" s="15">
        <f t="shared" ca="1" si="377"/>
        <v>27</v>
      </c>
      <c r="P3324" s="16">
        <f t="shared" ca="1" si="378"/>
        <v>-13.029899999999998</v>
      </c>
      <c r="Q3324" s="11" t="str">
        <f t="shared" ca="1" si="364"/>
        <v/>
      </c>
      <c r="R3324" s="11" t="str">
        <f t="shared" ca="1" si="365"/>
        <v/>
      </c>
      <c r="S3324" s="61" t="str">
        <f t="shared" ca="1" si="366"/>
        <v/>
      </c>
      <c r="T3324" s="11" t="str">
        <f t="shared" ca="1" si="367"/>
        <v/>
      </c>
      <c r="U3324" s="11" t="str">
        <f t="shared" ca="1" si="368"/>
        <v/>
      </c>
      <c r="V3324" s="18" t="str">
        <f t="shared" ca="1" si="369"/>
        <v/>
      </c>
      <c r="W3324" s="61" t="str">
        <f t="shared" ca="1" si="370"/>
        <v/>
      </c>
      <c r="X3324" s="61">
        <f t="shared" ca="1" si="371"/>
        <v>0</v>
      </c>
      <c r="Y3324" s="64" t="str">
        <f t="shared" ca="1" si="372"/>
        <v/>
      </c>
    </row>
    <row r="3325" spans="1:25">
      <c r="A3325" s="2">
        <f>+Get_Data!A3324</f>
        <v>0</v>
      </c>
      <c r="B3325">
        <f>+ROUND(Get_Data!B3324,5)</f>
        <v>0</v>
      </c>
      <c r="C3325">
        <f>+ROUND(Get_Data!C3324,5)</f>
        <v>0</v>
      </c>
      <c r="D3325" s="4" t="str">
        <f t="shared" si="379"/>
        <v/>
      </c>
      <c r="E3325" s="22">
        <f t="shared" ca="1" si="358"/>
        <v>0</v>
      </c>
      <c r="F3325" s="23">
        <f t="shared" ca="1" si="359"/>
        <v>0</v>
      </c>
      <c r="G3325" s="10">
        <f t="shared" ca="1" si="360"/>
        <v>0</v>
      </c>
      <c r="H3325" s="12">
        <f t="shared" ca="1" si="361"/>
        <v>0</v>
      </c>
      <c r="I3325" s="11">
        <f t="shared" ca="1" si="362"/>
        <v>0</v>
      </c>
      <c r="J3325" s="11">
        <f t="shared" ca="1" si="363"/>
        <v>-1</v>
      </c>
      <c r="K3325" s="10">
        <f t="shared" ca="1" si="373"/>
        <v>131.24001000000001</v>
      </c>
      <c r="L3325" s="11">
        <f t="shared" ca="1" si="374"/>
        <v>-49.09</v>
      </c>
      <c r="M3325" s="11">
        <f t="shared" ca="1" si="375"/>
        <v>2.6734599999999999</v>
      </c>
      <c r="N3325" s="15">
        <f t="shared" ca="1" si="376"/>
        <v>10</v>
      </c>
      <c r="O3325" s="15">
        <f t="shared" ca="1" si="377"/>
        <v>27</v>
      </c>
      <c r="P3325" s="16">
        <f t="shared" ca="1" si="378"/>
        <v>-13.029899999999998</v>
      </c>
      <c r="Q3325" s="11" t="str">
        <f t="shared" ca="1" si="364"/>
        <v/>
      </c>
      <c r="R3325" s="11" t="str">
        <f t="shared" ca="1" si="365"/>
        <v/>
      </c>
      <c r="S3325" s="61" t="str">
        <f t="shared" ca="1" si="366"/>
        <v/>
      </c>
      <c r="T3325" s="11" t="str">
        <f t="shared" ca="1" si="367"/>
        <v/>
      </c>
      <c r="U3325" s="11" t="str">
        <f t="shared" ca="1" si="368"/>
        <v/>
      </c>
      <c r="V3325" s="18" t="str">
        <f t="shared" ca="1" si="369"/>
        <v/>
      </c>
      <c r="W3325" s="61" t="str">
        <f t="shared" ca="1" si="370"/>
        <v/>
      </c>
      <c r="X3325" s="61">
        <f t="shared" ca="1" si="371"/>
        <v>0</v>
      </c>
      <c r="Y3325" s="64" t="str">
        <f t="shared" ca="1" si="372"/>
        <v/>
      </c>
    </row>
    <row r="3326" spans="1:25">
      <c r="A3326" s="2">
        <f>+Get_Data!A3325</f>
        <v>0</v>
      </c>
      <c r="B3326">
        <f>+ROUND(Get_Data!B3325,5)</f>
        <v>0</v>
      </c>
      <c r="C3326">
        <f>+ROUND(Get_Data!C3325,5)</f>
        <v>0</v>
      </c>
      <c r="D3326" s="4" t="str">
        <f t="shared" si="379"/>
        <v/>
      </c>
      <c r="E3326" s="22">
        <f t="shared" ca="1" si="358"/>
        <v>0</v>
      </c>
      <c r="F3326" s="23">
        <f t="shared" ca="1" si="359"/>
        <v>0</v>
      </c>
      <c r="G3326" s="10">
        <f t="shared" ca="1" si="360"/>
        <v>0</v>
      </c>
      <c r="H3326" s="12">
        <f t="shared" ca="1" si="361"/>
        <v>0</v>
      </c>
      <c r="I3326" s="11">
        <f t="shared" ca="1" si="362"/>
        <v>0</v>
      </c>
      <c r="J3326" s="11">
        <f t="shared" ca="1" si="363"/>
        <v>-1</v>
      </c>
      <c r="K3326" s="10">
        <f t="shared" ca="1" si="373"/>
        <v>131.24001000000001</v>
      </c>
      <c r="L3326" s="11">
        <f t="shared" ca="1" si="374"/>
        <v>-49.09</v>
      </c>
      <c r="M3326" s="11">
        <f t="shared" ca="1" si="375"/>
        <v>2.6734599999999999</v>
      </c>
      <c r="N3326" s="15">
        <f t="shared" ca="1" si="376"/>
        <v>10</v>
      </c>
      <c r="O3326" s="15">
        <f t="shared" ca="1" si="377"/>
        <v>27</v>
      </c>
      <c r="P3326" s="16">
        <f t="shared" ca="1" si="378"/>
        <v>-13.029899999999998</v>
      </c>
      <c r="Q3326" s="11" t="str">
        <f t="shared" ca="1" si="364"/>
        <v/>
      </c>
      <c r="R3326" s="11" t="str">
        <f t="shared" ca="1" si="365"/>
        <v/>
      </c>
      <c r="S3326" s="61" t="str">
        <f t="shared" ca="1" si="366"/>
        <v/>
      </c>
      <c r="T3326" s="11" t="str">
        <f t="shared" ca="1" si="367"/>
        <v/>
      </c>
      <c r="U3326" s="11" t="str">
        <f t="shared" ca="1" si="368"/>
        <v/>
      </c>
      <c r="V3326" s="18" t="str">
        <f t="shared" ca="1" si="369"/>
        <v/>
      </c>
      <c r="W3326" s="61" t="str">
        <f t="shared" ca="1" si="370"/>
        <v/>
      </c>
      <c r="X3326" s="61">
        <f t="shared" ca="1" si="371"/>
        <v>0</v>
      </c>
      <c r="Y3326" s="64" t="str">
        <f t="shared" ca="1" si="372"/>
        <v/>
      </c>
    </row>
    <row r="3327" spans="1:25">
      <c r="A3327" s="2">
        <f>+Get_Data!A3326</f>
        <v>0</v>
      </c>
      <c r="B3327">
        <f>+ROUND(Get_Data!B3326,5)</f>
        <v>0</v>
      </c>
      <c r="C3327">
        <f>+ROUND(Get_Data!C3326,5)</f>
        <v>0</v>
      </c>
      <c r="D3327" s="4" t="str">
        <f t="shared" si="379"/>
        <v/>
      </c>
      <c r="E3327" s="22">
        <f t="shared" ca="1" si="358"/>
        <v>0</v>
      </c>
      <c r="F3327" s="23">
        <f t="shared" ca="1" si="359"/>
        <v>0</v>
      </c>
      <c r="G3327" s="10">
        <f t="shared" ca="1" si="360"/>
        <v>0</v>
      </c>
      <c r="H3327" s="12">
        <f t="shared" ca="1" si="361"/>
        <v>0</v>
      </c>
      <c r="I3327" s="11">
        <f t="shared" ca="1" si="362"/>
        <v>0</v>
      </c>
      <c r="J3327" s="11">
        <f t="shared" ca="1" si="363"/>
        <v>-1</v>
      </c>
      <c r="K3327" s="10">
        <f t="shared" ca="1" si="373"/>
        <v>131.24001000000001</v>
      </c>
      <c r="L3327" s="11">
        <f t="shared" ca="1" si="374"/>
        <v>-49.09</v>
      </c>
      <c r="M3327" s="11">
        <f t="shared" ca="1" si="375"/>
        <v>2.6734599999999999</v>
      </c>
      <c r="N3327" s="15">
        <f t="shared" ca="1" si="376"/>
        <v>10</v>
      </c>
      <c r="O3327" s="15">
        <f t="shared" ca="1" si="377"/>
        <v>27</v>
      </c>
      <c r="P3327" s="16">
        <f t="shared" ca="1" si="378"/>
        <v>-13.029899999999998</v>
      </c>
      <c r="Q3327" s="11" t="str">
        <f t="shared" ca="1" si="364"/>
        <v/>
      </c>
      <c r="R3327" s="11" t="str">
        <f t="shared" ca="1" si="365"/>
        <v/>
      </c>
      <c r="S3327" s="61" t="str">
        <f t="shared" ca="1" si="366"/>
        <v/>
      </c>
      <c r="T3327" s="11" t="str">
        <f t="shared" ca="1" si="367"/>
        <v/>
      </c>
      <c r="U3327" s="11" t="str">
        <f t="shared" ca="1" si="368"/>
        <v/>
      </c>
      <c r="V3327" s="18" t="str">
        <f t="shared" ca="1" si="369"/>
        <v/>
      </c>
      <c r="W3327" s="61" t="str">
        <f t="shared" ca="1" si="370"/>
        <v/>
      </c>
      <c r="X3327" s="61">
        <f t="shared" ca="1" si="371"/>
        <v>0</v>
      </c>
      <c r="Y3327" s="64" t="str">
        <f t="shared" ca="1" si="372"/>
        <v/>
      </c>
    </row>
    <row r="3328" spans="1:25">
      <c r="A3328" s="2">
        <f>+Get_Data!A3327</f>
        <v>0</v>
      </c>
      <c r="B3328">
        <f>+ROUND(Get_Data!B3327,5)</f>
        <v>0</v>
      </c>
      <c r="C3328">
        <f>+ROUND(Get_Data!C3327,5)</f>
        <v>0</v>
      </c>
      <c r="D3328" s="4" t="str">
        <f t="shared" si="379"/>
        <v/>
      </c>
      <c r="E3328" s="22">
        <f t="shared" ca="1" si="358"/>
        <v>0</v>
      </c>
      <c r="F3328" s="23">
        <f t="shared" ca="1" si="359"/>
        <v>0</v>
      </c>
      <c r="G3328" s="10">
        <f t="shared" ca="1" si="360"/>
        <v>0</v>
      </c>
      <c r="H3328" s="12">
        <f t="shared" ca="1" si="361"/>
        <v>0</v>
      </c>
      <c r="I3328" s="11">
        <f t="shared" ca="1" si="362"/>
        <v>0</v>
      </c>
      <c r="J3328" s="11">
        <f t="shared" ca="1" si="363"/>
        <v>-1</v>
      </c>
      <c r="K3328" s="10">
        <f t="shared" ca="1" si="373"/>
        <v>131.24001000000001</v>
      </c>
      <c r="L3328" s="11">
        <f t="shared" ca="1" si="374"/>
        <v>-49.09</v>
      </c>
      <c r="M3328" s="11">
        <f t="shared" ca="1" si="375"/>
        <v>2.6734599999999999</v>
      </c>
      <c r="N3328" s="15">
        <f t="shared" ca="1" si="376"/>
        <v>10</v>
      </c>
      <c r="O3328" s="15">
        <f t="shared" ca="1" si="377"/>
        <v>27</v>
      </c>
      <c r="P3328" s="16">
        <f t="shared" ca="1" si="378"/>
        <v>-13.029899999999998</v>
      </c>
      <c r="Q3328" s="11" t="str">
        <f t="shared" ca="1" si="364"/>
        <v/>
      </c>
      <c r="R3328" s="11" t="str">
        <f t="shared" ca="1" si="365"/>
        <v/>
      </c>
      <c r="S3328" s="61" t="str">
        <f t="shared" ca="1" si="366"/>
        <v/>
      </c>
      <c r="T3328" s="11" t="str">
        <f t="shared" ca="1" si="367"/>
        <v/>
      </c>
      <c r="U3328" s="11" t="str">
        <f t="shared" ca="1" si="368"/>
        <v/>
      </c>
      <c r="V3328" s="18" t="str">
        <f t="shared" ca="1" si="369"/>
        <v/>
      </c>
      <c r="W3328" s="61" t="str">
        <f t="shared" ca="1" si="370"/>
        <v/>
      </c>
      <c r="X3328" s="61">
        <f t="shared" ca="1" si="371"/>
        <v>0</v>
      </c>
      <c r="Y3328" s="64" t="str">
        <f t="shared" ca="1" si="372"/>
        <v/>
      </c>
    </row>
    <row r="3329" spans="1:25">
      <c r="A3329" s="2">
        <f>+Get_Data!A3328</f>
        <v>0</v>
      </c>
      <c r="B3329">
        <f>+ROUND(Get_Data!B3328,5)</f>
        <v>0</v>
      </c>
      <c r="C3329">
        <f>+ROUND(Get_Data!C3328,5)</f>
        <v>0</v>
      </c>
      <c r="D3329" s="4" t="str">
        <f t="shared" si="379"/>
        <v/>
      </c>
      <c r="E3329" s="22">
        <f t="shared" ca="1" si="358"/>
        <v>0</v>
      </c>
      <c r="F3329" s="23">
        <f t="shared" ca="1" si="359"/>
        <v>0</v>
      </c>
      <c r="G3329" s="10">
        <f t="shared" ca="1" si="360"/>
        <v>0</v>
      </c>
      <c r="H3329" s="12">
        <f t="shared" ca="1" si="361"/>
        <v>0</v>
      </c>
      <c r="I3329" s="11">
        <f t="shared" ca="1" si="362"/>
        <v>0</v>
      </c>
      <c r="J3329" s="11">
        <f t="shared" ca="1" si="363"/>
        <v>-1</v>
      </c>
      <c r="K3329" s="10">
        <f t="shared" ca="1" si="373"/>
        <v>131.24001000000001</v>
      </c>
      <c r="L3329" s="11">
        <f t="shared" ca="1" si="374"/>
        <v>-49.09</v>
      </c>
      <c r="M3329" s="11">
        <f t="shared" ca="1" si="375"/>
        <v>2.6734599999999999</v>
      </c>
      <c r="N3329" s="15">
        <f t="shared" ca="1" si="376"/>
        <v>10</v>
      </c>
      <c r="O3329" s="15">
        <f t="shared" ca="1" si="377"/>
        <v>27</v>
      </c>
      <c r="P3329" s="16">
        <f t="shared" ca="1" si="378"/>
        <v>-13.029899999999998</v>
      </c>
      <c r="Q3329" s="11" t="str">
        <f t="shared" ca="1" si="364"/>
        <v/>
      </c>
      <c r="R3329" s="11" t="str">
        <f t="shared" ca="1" si="365"/>
        <v/>
      </c>
      <c r="S3329" s="61" t="str">
        <f t="shared" ca="1" si="366"/>
        <v/>
      </c>
      <c r="T3329" s="11" t="str">
        <f t="shared" ca="1" si="367"/>
        <v/>
      </c>
      <c r="U3329" s="11" t="str">
        <f t="shared" ca="1" si="368"/>
        <v/>
      </c>
      <c r="V3329" s="18" t="str">
        <f t="shared" ca="1" si="369"/>
        <v/>
      </c>
      <c r="W3329" s="61" t="str">
        <f t="shared" ca="1" si="370"/>
        <v/>
      </c>
      <c r="X3329" s="61">
        <f t="shared" ca="1" si="371"/>
        <v>0</v>
      </c>
      <c r="Y3329" s="64" t="str">
        <f t="shared" ca="1" si="372"/>
        <v/>
      </c>
    </row>
    <row r="3330" spans="1:25">
      <c r="A3330" s="2">
        <f>+Get_Data!A3329</f>
        <v>0</v>
      </c>
      <c r="B3330">
        <f>+ROUND(Get_Data!B3329,5)</f>
        <v>0</v>
      </c>
      <c r="C3330">
        <f>+ROUND(Get_Data!C3329,5)</f>
        <v>0</v>
      </c>
      <c r="D3330" s="4" t="str">
        <f t="shared" si="379"/>
        <v/>
      </c>
      <c r="E3330" s="22">
        <f t="shared" ca="1" si="358"/>
        <v>0</v>
      </c>
      <c r="F3330" s="23">
        <f t="shared" ca="1" si="359"/>
        <v>0</v>
      </c>
      <c r="G3330" s="10">
        <f t="shared" ca="1" si="360"/>
        <v>0</v>
      </c>
      <c r="H3330" s="12">
        <f t="shared" ca="1" si="361"/>
        <v>0</v>
      </c>
      <c r="I3330" s="11">
        <f t="shared" ca="1" si="362"/>
        <v>0</v>
      </c>
      <c r="J3330" s="11">
        <f t="shared" ca="1" si="363"/>
        <v>-1</v>
      </c>
      <c r="K3330" s="10">
        <f t="shared" ca="1" si="373"/>
        <v>131.24001000000001</v>
      </c>
      <c r="L3330" s="11">
        <f t="shared" ca="1" si="374"/>
        <v>-49.09</v>
      </c>
      <c r="M3330" s="11">
        <f t="shared" ca="1" si="375"/>
        <v>2.6734599999999999</v>
      </c>
      <c r="N3330" s="15">
        <f t="shared" ca="1" si="376"/>
        <v>10</v>
      </c>
      <c r="O3330" s="15">
        <f t="shared" ca="1" si="377"/>
        <v>27</v>
      </c>
      <c r="P3330" s="16">
        <f t="shared" ca="1" si="378"/>
        <v>-13.029899999999998</v>
      </c>
      <c r="Q3330" s="11" t="str">
        <f t="shared" ca="1" si="364"/>
        <v/>
      </c>
      <c r="R3330" s="11" t="str">
        <f t="shared" ca="1" si="365"/>
        <v/>
      </c>
      <c r="S3330" s="61" t="str">
        <f t="shared" ca="1" si="366"/>
        <v/>
      </c>
      <c r="T3330" s="11" t="str">
        <f t="shared" ca="1" si="367"/>
        <v/>
      </c>
      <c r="U3330" s="11" t="str">
        <f t="shared" ca="1" si="368"/>
        <v/>
      </c>
      <c r="V3330" s="18" t="str">
        <f t="shared" ca="1" si="369"/>
        <v/>
      </c>
      <c r="W3330" s="61" t="str">
        <f t="shared" ca="1" si="370"/>
        <v/>
      </c>
      <c r="X3330" s="61">
        <f t="shared" ca="1" si="371"/>
        <v>0</v>
      </c>
      <c r="Y3330" s="64" t="str">
        <f t="shared" ca="1" si="372"/>
        <v/>
      </c>
    </row>
    <row r="3331" spans="1:25">
      <c r="A3331" s="2">
        <f>+Get_Data!A3330</f>
        <v>0</v>
      </c>
      <c r="B3331">
        <f>+ROUND(Get_Data!B3330,5)</f>
        <v>0</v>
      </c>
      <c r="C3331">
        <f>+ROUND(Get_Data!C3330,5)</f>
        <v>0</v>
      </c>
      <c r="D3331" s="4" t="str">
        <f t="shared" si="379"/>
        <v/>
      </c>
      <c r="E3331" s="22">
        <f t="shared" ca="1" si="358"/>
        <v>0</v>
      </c>
      <c r="F3331" s="23">
        <f t="shared" ca="1" si="359"/>
        <v>0</v>
      </c>
      <c r="G3331" s="10">
        <f t="shared" ca="1" si="360"/>
        <v>0</v>
      </c>
      <c r="H3331" s="12">
        <f t="shared" ca="1" si="361"/>
        <v>0</v>
      </c>
      <c r="I3331" s="11">
        <f t="shared" ca="1" si="362"/>
        <v>0</v>
      </c>
      <c r="J3331" s="11">
        <f t="shared" ca="1" si="363"/>
        <v>-1</v>
      </c>
      <c r="K3331" s="10">
        <f t="shared" ca="1" si="373"/>
        <v>131.24001000000001</v>
      </c>
      <c r="L3331" s="11">
        <f t="shared" ca="1" si="374"/>
        <v>-49.09</v>
      </c>
      <c r="M3331" s="11">
        <f t="shared" ca="1" si="375"/>
        <v>2.6734599999999999</v>
      </c>
      <c r="N3331" s="15">
        <f t="shared" ca="1" si="376"/>
        <v>10</v>
      </c>
      <c r="O3331" s="15">
        <f t="shared" ca="1" si="377"/>
        <v>27</v>
      </c>
      <c r="P3331" s="16">
        <f t="shared" ca="1" si="378"/>
        <v>-13.029899999999998</v>
      </c>
      <c r="Q3331" s="11" t="str">
        <f t="shared" ca="1" si="364"/>
        <v/>
      </c>
      <c r="R3331" s="11" t="str">
        <f t="shared" ca="1" si="365"/>
        <v/>
      </c>
      <c r="S3331" s="61" t="str">
        <f t="shared" ca="1" si="366"/>
        <v/>
      </c>
      <c r="T3331" s="11" t="str">
        <f t="shared" ca="1" si="367"/>
        <v/>
      </c>
      <c r="U3331" s="11" t="str">
        <f t="shared" ca="1" si="368"/>
        <v/>
      </c>
      <c r="V3331" s="18" t="str">
        <f t="shared" ca="1" si="369"/>
        <v/>
      </c>
      <c r="W3331" s="61" t="str">
        <f t="shared" ca="1" si="370"/>
        <v/>
      </c>
      <c r="X3331" s="61">
        <f t="shared" ca="1" si="371"/>
        <v>0</v>
      </c>
      <c r="Y3331" s="64" t="str">
        <f t="shared" ca="1" si="372"/>
        <v/>
      </c>
    </row>
    <row r="3332" spans="1:25">
      <c r="A3332" s="2">
        <f>+Get_Data!A3331</f>
        <v>0</v>
      </c>
      <c r="B3332">
        <f>+ROUND(Get_Data!B3331,5)</f>
        <v>0</v>
      </c>
      <c r="C3332">
        <f>+ROUND(Get_Data!C3331,5)</f>
        <v>0</v>
      </c>
      <c r="D3332" s="4" t="str">
        <f t="shared" si="379"/>
        <v/>
      </c>
      <c r="E3332" s="22">
        <f t="shared" ca="1" si="358"/>
        <v>0</v>
      </c>
      <c r="F3332" s="23">
        <f t="shared" ca="1" si="359"/>
        <v>0</v>
      </c>
      <c r="G3332" s="10">
        <f t="shared" ca="1" si="360"/>
        <v>0</v>
      </c>
      <c r="H3332" s="12">
        <f t="shared" ca="1" si="361"/>
        <v>0</v>
      </c>
      <c r="I3332" s="11">
        <f t="shared" ca="1" si="362"/>
        <v>0</v>
      </c>
      <c r="J3332" s="11">
        <f t="shared" ca="1" si="363"/>
        <v>-1</v>
      </c>
      <c r="K3332" s="10">
        <f t="shared" ca="1" si="373"/>
        <v>131.24001000000001</v>
      </c>
      <c r="L3332" s="11">
        <f t="shared" ca="1" si="374"/>
        <v>-49.09</v>
      </c>
      <c r="M3332" s="11">
        <f t="shared" ca="1" si="375"/>
        <v>2.6734599999999999</v>
      </c>
      <c r="N3332" s="15">
        <f t="shared" ca="1" si="376"/>
        <v>10</v>
      </c>
      <c r="O3332" s="15">
        <f t="shared" ca="1" si="377"/>
        <v>27</v>
      </c>
      <c r="P3332" s="16">
        <f t="shared" ca="1" si="378"/>
        <v>-13.029899999999998</v>
      </c>
      <c r="Q3332" s="11" t="str">
        <f t="shared" ca="1" si="364"/>
        <v/>
      </c>
      <c r="R3332" s="11" t="str">
        <f t="shared" ca="1" si="365"/>
        <v/>
      </c>
      <c r="S3332" s="61" t="str">
        <f t="shared" ca="1" si="366"/>
        <v/>
      </c>
      <c r="T3332" s="11" t="str">
        <f t="shared" ca="1" si="367"/>
        <v/>
      </c>
      <c r="U3332" s="11" t="str">
        <f t="shared" ca="1" si="368"/>
        <v/>
      </c>
      <c r="V3332" s="18" t="str">
        <f t="shared" ca="1" si="369"/>
        <v/>
      </c>
      <c r="W3332" s="61" t="str">
        <f t="shared" ca="1" si="370"/>
        <v/>
      </c>
      <c r="X3332" s="61">
        <f t="shared" ca="1" si="371"/>
        <v>0</v>
      </c>
      <c r="Y3332" s="64" t="str">
        <f t="shared" ca="1" si="372"/>
        <v/>
      </c>
    </row>
    <row r="3333" spans="1:25">
      <c r="A3333" s="2">
        <f>+Get_Data!A3332</f>
        <v>0</v>
      </c>
      <c r="B3333">
        <f>+ROUND(Get_Data!B3332,5)</f>
        <v>0</v>
      </c>
      <c r="C3333">
        <f>+ROUND(Get_Data!C3332,5)</f>
        <v>0</v>
      </c>
      <c r="D3333" s="4" t="str">
        <f t="shared" si="379"/>
        <v/>
      </c>
      <c r="E3333" s="22">
        <f t="shared" ref="E3333:E3396" ca="1" si="380">+MAX(OFFSET(D3333,-$G$2+1,,$G$2))</f>
        <v>0</v>
      </c>
      <c r="F3333" s="23">
        <f t="shared" ref="F3333:F3396" ca="1" si="381">+MIN(OFFSET(D3333,-$G$2+1,,$G$2))</f>
        <v>0</v>
      </c>
      <c r="G3333" s="10">
        <f t="shared" ref="G3333:G3396" ca="1" si="382">+IF(E3333=D3333,1,0)</f>
        <v>0</v>
      </c>
      <c r="H3333" s="12">
        <f t="shared" ref="H3333:H3396" ca="1" si="383">+IF(F3333=D3333,1,0)</f>
        <v>0</v>
      </c>
      <c r="I3333" s="11">
        <f t="shared" ref="I3333:I3396" ca="1" si="384">+G3333-H3333</f>
        <v>0</v>
      </c>
      <c r="J3333" s="11">
        <f t="shared" ca="1" si="363"/>
        <v>-1</v>
      </c>
      <c r="K3333" s="10">
        <f t="shared" ca="1" si="373"/>
        <v>131.24001000000001</v>
      </c>
      <c r="L3333" s="11">
        <f t="shared" ca="1" si="374"/>
        <v>-49.09</v>
      </c>
      <c r="M3333" s="11">
        <f t="shared" ca="1" si="375"/>
        <v>2.6734599999999999</v>
      </c>
      <c r="N3333" s="15">
        <f t="shared" ca="1" si="376"/>
        <v>10</v>
      </c>
      <c r="O3333" s="15">
        <f t="shared" ca="1" si="377"/>
        <v>27</v>
      </c>
      <c r="P3333" s="16">
        <f t="shared" ca="1" si="378"/>
        <v>-13.029899999999998</v>
      </c>
      <c r="Q3333" s="11" t="str">
        <f t="shared" ca="1" si="364"/>
        <v/>
      </c>
      <c r="R3333" s="11" t="str">
        <f t="shared" ca="1" si="365"/>
        <v/>
      </c>
      <c r="S3333" s="61" t="str">
        <f t="shared" ca="1" si="366"/>
        <v/>
      </c>
      <c r="T3333" s="11" t="str">
        <f t="shared" ca="1" si="367"/>
        <v/>
      </c>
      <c r="U3333" s="11" t="str">
        <f t="shared" ca="1" si="368"/>
        <v/>
      </c>
      <c r="V3333" s="18" t="str">
        <f t="shared" ca="1" si="369"/>
        <v/>
      </c>
      <c r="W3333" s="61" t="str">
        <f t="shared" ca="1" si="370"/>
        <v/>
      </c>
      <c r="X3333" s="61">
        <f t="shared" ca="1" si="371"/>
        <v>0</v>
      </c>
      <c r="Y3333" s="64" t="str">
        <f t="shared" ca="1" si="372"/>
        <v/>
      </c>
    </row>
    <row r="3334" spans="1:25">
      <c r="A3334" s="2">
        <f>+Get_Data!A3333</f>
        <v>0</v>
      </c>
      <c r="B3334">
        <f>+ROUND(Get_Data!B3333,5)</f>
        <v>0</v>
      </c>
      <c r="C3334">
        <f>+ROUND(Get_Data!C3333,5)</f>
        <v>0</v>
      </c>
      <c r="D3334" s="4" t="str">
        <f t="shared" si="379"/>
        <v/>
      </c>
      <c r="E3334" s="22">
        <f t="shared" ca="1" si="380"/>
        <v>0</v>
      </c>
      <c r="F3334" s="23">
        <f t="shared" ca="1" si="381"/>
        <v>0</v>
      </c>
      <c r="G3334" s="10">
        <f t="shared" ca="1" si="382"/>
        <v>0</v>
      </c>
      <c r="H3334" s="12">
        <f t="shared" ca="1" si="383"/>
        <v>0</v>
      </c>
      <c r="I3334" s="11">
        <f t="shared" ca="1" si="384"/>
        <v>0</v>
      </c>
      <c r="J3334" s="11">
        <f t="shared" ref="J3334:J3397" ca="1" si="385">+IF(AND(ABS(J3333)=2,ABS(I3334)=1),0,J3333+I3334)</f>
        <v>-1</v>
      </c>
      <c r="K3334" s="10">
        <f t="shared" ca="1" si="373"/>
        <v>131.24001000000001</v>
      </c>
      <c r="L3334" s="11">
        <f t="shared" ca="1" si="374"/>
        <v>-49.09</v>
      </c>
      <c r="M3334" s="11">
        <f t="shared" ca="1" si="375"/>
        <v>2.6734599999999999</v>
      </c>
      <c r="N3334" s="15">
        <f t="shared" ca="1" si="376"/>
        <v>10</v>
      </c>
      <c r="O3334" s="15">
        <f t="shared" ca="1" si="377"/>
        <v>27</v>
      </c>
      <c r="P3334" s="16">
        <f t="shared" ca="1" si="378"/>
        <v>-13.029899999999998</v>
      </c>
      <c r="Q3334" s="11" t="str">
        <f t="shared" ca="1" si="364"/>
        <v/>
      </c>
      <c r="R3334" s="11" t="str">
        <f t="shared" ca="1" si="365"/>
        <v/>
      </c>
      <c r="S3334" s="61" t="str">
        <f t="shared" ca="1" si="366"/>
        <v/>
      </c>
      <c r="T3334" s="11" t="str">
        <f t="shared" ca="1" si="367"/>
        <v/>
      </c>
      <c r="U3334" s="11" t="str">
        <f t="shared" ca="1" si="368"/>
        <v/>
      </c>
      <c r="V3334" s="18" t="str">
        <f t="shared" ca="1" si="369"/>
        <v/>
      </c>
      <c r="W3334" s="61" t="str">
        <f t="shared" ca="1" si="370"/>
        <v/>
      </c>
      <c r="X3334" s="61">
        <f t="shared" ca="1" si="371"/>
        <v>0</v>
      </c>
      <c r="Y3334" s="64" t="str">
        <f t="shared" ca="1" si="372"/>
        <v/>
      </c>
    </row>
    <row r="3335" spans="1:25">
      <c r="A3335" s="2">
        <f>+Get_Data!A3334</f>
        <v>0</v>
      </c>
      <c r="B3335">
        <f>+ROUND(Get_Data!B3334,5)</f>
        <v>0</v>
      </c>
      <c r="C3335">
        <f>+ROUND(Get_Data!C3334,5)</f>
        <v>0</v>
      </c>
      <c r="D3335" s="4" t="str">
        <f t="shared" si="379"/>
        <v/>
      </c>
      <c r="E3335" s="22">
        <f t="shared" ca="1" si="380"/>
        <v>0</v>
      </c>
      <c r="F3335" s="23">
        <f t="shared" ca="1" si="381"/>
        <v>0</v>
      </c>
      <c r="G3335" s="10">
        <f t="shared" ca="1" si="382"/>
        <v>0</v>
      </c>
      <c r="H3335" s="12">
        <f t="shared" ca="1" si="383"/>
        <v>0</v>
      </c>
      <c r="I3335" s="11">
        <f t="shared" ca="1" si="384"/>
        <v>0</v>
      </c>
      <c r="J3335" s="11">
        <f t="shared" ca="1" si="385"/>
        <v>-1</v>
      </c>
      <c r="K3335" s="10">
        <f t="shared" ca="1" si="373"/>
        <v>131.24001000000001</v>
      </c>
      <c r="L3335" s="11">
        <f t="shared" ca="1" si="374"/>
        <v>-49.09</v>
      </c>
      <c r="M3335" s="11">
        <f t="shared" ca="1" si="375"/>
        <v>2.6734599999999999</v>
      </c>
      <c r="N3335" s="15">
        <f t="shared" ca="1" si="376"/>
        <v>10</v>
      </c>
      <c r="O3335" s="15">
        <f t="shared" ca="1" si="377"/>
        <v>27</v>
      </c>
      <c r="P3335" s="16">
        <f t="shared" ca="1" si="378"/>
        <v>-13.029899999999998</v>
      </c>
      <c r="Q3335" s="11" t="str">
        <f t="shared" ca="1" si="364"/>
        <v/>
      </c>
      <c r="R3335" s="11" t="str">
        <f t="shared" ca="1" si="365"/>
        <v/>
      </c>
      <c r="S3335" s="61" t="str">
        <f t="shared" ca="1" si="366"/>
        <v/>
      </c>
      <c r="T3335" s="11" t="str">
        <f t="shared" ca="1" si="367"/>
        <v/>
      </c>
      <c r="U3335" s="11" t="str">
        <f t="shared" ca="1" si="368"/>
        <v/>
      </c>
      <c r="V3335" s="18" t="str">
        <f t="shared" ca="1" si="369"/>
        <v/>
      </c>
      <c r="W3335" s="61" t="str">
        <f t="shared" ca="1" si="370"/>
        <v/>
      </c>
      <c r="X3335" s="61">
        <f t="shared" ca="1" si="371"/>
        <v>0</v>
      </c>
      <c r="Y3335" s="64" t="str">
        <f t="shared" ca="1" si="372"/>
        <v/>
      </c>
    </row>
    <row r="3336" spans="1:25">
      <c r="A3336" s="2">
        <f>+Get_Data!A3335</f>
        <v>0</v>
      </c>
      <c r="B3336">
        <f>+ROUND(Get_Data!B3335,5)</f>
        <v>0</v>
      </c>
      <c r="C3336">
        <f>+ROUND(Get_Data!C3335,5)</f>
        <v>0</v>
      </c>
      <c r="D3336" s="4" t="str">
        <f t="shared" si="379"/>
        <v/>
      </c>
      <c r="E3336" s="22">
        <f t="shared" ca="1" si="380"/>
        <v>0</v>
      </c>
      <c r="F3336" s="23">
        <f t="shared" ca="1" si="381"/>
        <v>0</v>
      </c>
      <c r="G3336" s="10">
        <f t="shared" ca="1" si="382"/>
        <v>0</v>
      </c>
      <c r="H3336" s="12">
        <f t="shared" ca="1" si="383"/>
        <v>0</v>
      </c>
      <c r="I3336" s="11">
        <f t="shared" ca="1" si="384"/>
        <v>0</v>
      </c>
      <c r="J3336" s="11">
        <f t="shared" ca="1" si="385"/>
        <v>-1</v>
      </c>
      <c r="K3336" s="10">
        <f t="shared" ca="1" si="373"/>
        <v>131.24001000000001</v>
      </c>
      <c r="L3336" s="11">
        <f t="shared" ca="1" si="374"/>
        <v>-49.09</v>
      </c>
      <c r="M3336" s="11">
        <f t="shared" ca="1" si="375"/>
        <v>2.6734599999999999</v>
      </c>
      <c r="N3336" s="15">
        <f t="shared" ca="1" si="376"/>
        <v>10</v>
      </c>
      <c r="O3336" s="15">
        <f t="shared" ca="1" si="377"/>
        <v>27</v>
      </c>
      <c r="P3336" s="16">
        <f t="shared" ca="1" si="378"/>
        <v>-13.029899999999998</v>
      </c>
      <c r="Q3336" s="11" t="str">
        <f t="shared" ca="1" si="364"/>
        <v/>
      </c>
      <c r="R3336" s="11" t="str">
        <f t="shared" ca="1" si="365"/>
        <v/>
      </c>
      <c r="S3336" s="61" t="str">
        <f t="shared" ca="1" si="366"/>
        <v/>
      </c>
      <c r="T3336" s="11" t="str">
        <f t="shared" ca="1" si="367"/>
        <v/>
      </c>
      <c r="U3336" s="11" t="str">
        <f t="shared" ca="1" si="368"/>
        <v/>
      </c>
      <c r="V3336" s="18" t="str">
        <f t="shared" ca="1" si="369"/>
        <v/>
      </c>
      <c r="W3336" s="61" t="str">
        <f t="shared" ca="1" si="370"/>
        <v/>
      </c>
      <c r="X3336" s="61">
        <f t="shared" ca="1" si="371"/>
        <v>0</v>
      </c>
      <c r="Y3336" s="64" t="str">
        <f t="shared" ca="1" si="372"/>
        <v/>
      </c>
    </row>
    <row r="3337" spans="1:25">
      <c r="A3337" s="2">
        <f>+Get_Data!A3336</f>
        <v>0</v>
      </c>
      <c r="B3337">
        <f>+ROUND(Get_Data!B3336,5)</f>
        <v>0</v>
      </c>
      <c r="C3337">
        <f>+ROUND(Get_Data!C3336,5)</f>
        <v>0</v>
      </c>
      <c r="D3337" s="4" t="str">
        <f t="shared" si="379"/>
        <v/>
      </c>
      <c r="E3337" s="22">
        <f t="shared" ca="1" si="380"/>
        <v>0</v>
      </c>
      <c r="F3337" s="23">
        <f t="shared" ca="1" si="381"/>
        <v>0</v>
      </c>
      <c r="G3337" s="10">
        <f t="shared" ca="1" si="382"/>
        <v>0</v>
      </c>
      <c r="H3337" s="12">
        <f t="shared" ca="1" si="383"/>
        <v>0</v>
      </c>
      <c r="I3337" s="11">
        <f t="shared" ca="1" si="384"/>
        <v>0</v>
      </c>
      <c r="J3337" s="11">
        <f t="shared" ca="1" si="385"/>
        <v>-1</v>
      </c>
      <c r="K3337" s="10">
        <f t="shared" ca="1" si="373"/>
        <v>131.24001000000001</v>
      </c>
      <c r="L3337" s="11">
        <f t="shared" ca="1" si="374"/>
        <v>-49.09</v>
      </c>
      <c r="M3337" s="11">
        <f t="shared" ca="1" si="375"/>
        <v>2.6734599999999999</v>
      </c>
      <c r="N3337" s="15">
        <f t="shared" ca="1" si="376"/>
        <v>10</v>
      </c>
      <c r="O3337" s="15">
        <f t="shared" ca="1" si="377"/>
        <v>27</v>
      </c>
      <c r="P3337" s="16">
        <f t="shared" ca="1" si="378"/>
        <v>-13.029899999999998</v>
      </c>
      <c r="Q3337" s="11" t="str">
        <f t="shared" ca="1" si="364"/>
        <v/>
      </c>
      <c r="R3337" s="11" t="str">
        <f t="shared" ca="1" si="365"/>
        <v/>
      </c>
      <c r="S3337" s="61" t="str">
        <f t="shared" ca="1" si="366"/>
        <v/>
      </c>
      <c r="T3337" s="11" t="str">
        <f t="shared" ca="1" si="367"/>
        <v/>
      </c>
      <c r="U3337" s="11" t="str">
        <f t="shared" ca="1" si="368"/>
        <v/>
      </c>
      <c r="V3337" s="18" t="str">
        <f t="shared" ca="1" si="369"/>
        <v/>
      </c>
      <c r="W3337" s="61" t="str">
        <f t="shared" ca="1" si="370"/>
        <v/>
      </c>
      <c r="X3337" s="61">
        <f t="shared" ca="1" si="371"/>
        <v>0</v>
      </c>
      <c r="Y3337" s="64" t="str">
        <f t="shared" ca="1" si="372"/>
        <v/>
      </c>
    </row>
    <row r="3338" spans="1:25">
      <c r="A3338" s="2">
        <f>+Get_Data!A3337</f>
        <v>0</v>
      </c>
      <c r="B3338">
        <f>+ROUND(Get_Data!B3337,5)</f>
        <v>0</v>
      </c>
      <c r="C3338">
        <f>+ROUND(Get_Data!C3337,5)</f>
        <v>0</v>
      </c>
      <c r="D3338" s="4" t="str">
        <f t="shared" si="379"/>
        <v/>
      </c>
      <c r="E3338" s="22">
        <f t="shared" ca="1" si="380"/>
        <v>0</v>
      </c>
      <c r="F3338" s="23">
        <f t="shared" ca="1" si="381"/>
        <v>0</v>
      </c>
      <c r="G3338" s="10">
        <f t="shared" ca="1" si="382"/>
        <v>0</v>
      </c>
      <c r="H3338" s="12">
        <f t="shared" ca="1" si="383"/>
        <v>0</v>
      </c>
      <c r="I3338" s="11">
        <f t="shared" ca="1" si="384"/>
        <v>0</v>
      </c>
      <c r="J3338" s="11">
        <f t="shared" ca="1" si="385"/>
        <v>-1</v>
      </c>
      <c r="K3338" s="10">
        <f t="shared" ca="1" si="373"/>
        <v>131.24001000000001</v>
      </c>
      <c r="L3338" s="11">
        <f t="shared" ca="1" si="374"/>
        <v>-49.09</v>
      </c>
      <c r="M3338" s="11">
        <f t="shared" ca="1" si="375"/>
        <v>2.6734599999999999</v>
      </c>
      <c r="N3338" s="15">
        <f t="shared" ca="1" si="376"/>
        <v>10</v>
      </c>
      <c r="O3338" s="15">
        <f t="shared" ca="1" si="377"/>
        <v>27</v>
      </c>
      <c r="P3338" s="16">
        <f t="shared" ca="1" si="378"/>
        <v>-13.029899999999998</v>
      </c>
      <c r="Q3338" s="11" t="str">
        <f t="shared" ca="1" si="364"/>
        <v/>
      </c>
      <c r="R3338" s="11" t="str">
        <f t="shared" ca="1" si="365"/>
        <v/>
      </c>
      <c r="S3338" s="61" t="str">
        <f t="shared" ca="1" si="366"/>
        <v/>
      </c>
      <c r="T3338" s="11" t="str">
        <f t="shared" ca="1" si="367"/>
        <v/>
      </c>
      <c r="U3338" s="11" t="str">
        <f t="shared" ca="1" si="368"/>
        <v/>
      </c>
      <c r="V3338" s="18" t="str">
        <f t="shared" ca="1" si="369"/>
        <v/>
      </c>
      <c r="W3338" s="61" t="str">
        <f t="shared" ca="1" si="370"/>
        <v/>
      </c>
      <c r="X3338" s="61">
        <f t="shared" ca="1" si="371"/>
        <v>0</v>
      </c>
      <c r="Y3338" s="64" t="str">
        <f t="shared" ca="1" si="372"/>
        <v/>
      </c>
    </row>
    <row r="3339" spans="1:25">
      <c r="A3339" s="2">
        <f>+Get_Data!A3338</f>
        <v>0</v>
      </c>
      <c r="B3339">
        <f>+ROUND(Get_Data!B3338,5)</f>
        <v>0</v>
      </c>
      <c r="C3339">
        <f>+ROUND(Get_Data!C3338,5)</f>
        <v>0</v>
      </c>
      <c r="D3339" s="4" t="str">
        <f t="shared" si="379"/>
        <v/>
      </c>
      <c r="E3339" s="22">
        <f t="shared" ca="1" si="380"/>
        <v>0</v>
      </c>
      <c r="F3339" s="23">
        <f t="shared" ca="1" si="381"/>
        <v>0</v>
      </c>
      <c r="G3339" s="10">
        <f t="shared" ca="1" si="382"/>
        <v>0</v>
      </c>
      <c r="H3339" s="12">
        <f t="shared" ca="1" si="383"/>
        <v>0</v>
      </c>
      <c r="I3339" s="11">
        <f t="shared" ca="1" si="384"/>
        <v>0</v>
      </c>
      <c r="J3339" s="11">
        <f t="shared" ca="1" si="385"/>
        <v>-1</v>
      </c>
      <c r="K3339" s="10">
        <f t="shared" ca="1" si="373"/>
        <v>131.24001000000001</v>
      </c>
      <c r="L3339" s="11">
        <f t="shared" ca="1" si="374"/>
        <v>-49.09</v>
      </c>
      <c r="M3339" s="11">
        <f t="shared" ca="1" si="375"/>
        <v>2.6734599999999999</v>
      </c>
      <c r="N3339" s="15">
        <f t="shared" ca="1" si="376"/>
        <v>10</v>
      </c>
      <c r="O3339" s="15">
        <f t="shared" ca="1" si="377"/>
        <v>27</v>
      </c>
      <c r="P3339" s="16">
        <f t="shared" ca="1" si="378"/>
        <v>-13.029899999999998</v>
      </c>
      <c r="Q3339" s="11" t="str">
        <f t="shared" ca="1" si="364"/>
        <v/>
      </c>
      <c r="R3339" s="11" t="str">
        <f t="shared" ca="1" si="365"/>
        <v/>
      </c>
      <c r="S3339" s="61" t="str">
        <f t="shared" ca="1" si="366"/>
        <v/>
      </c>
      <c r="T3339" s="11" t="str">
        <f t="shared" ca="1" si="367"/>
        <v/>
      </c>
      <c r="U3339" s="11" t="str">
        <f t="shared" ca="1" si="368"/>
        <v/>
      </c>
      <c r="V3339" s="18" t="str">
        <f t="shared" ca="1" si="369"/>
        <v/>
      </c>
      <c r="W3339" s="61" t="str">
        <f t="shared" ca="1" si="370"/>
        <v/>
      </c>
      <c r="X3339" s="61">
        <f t="shared" ca="1" si="371"/>
        <v>0</v>
      </c>
      <c r="Y3339" s="64" t="str">
        <f t="shared" ca="1" si="372"/>
        <v/>
      </c>
    </row>
    <row r="3340" spans="1:25">
      <c r="A3340" s="2">
        <f>+Get_Data!A3339</f>
        <v>0</v>
      </c>
      <c r="B3340">
        <f>+ROUND(Get_Data!B3339,5)</f>
        <v>0</v>
      </c>
      <c r="C3340">
        <f>+ROUND(Get_Data!C3339,5)</f>
        <v>0</v>
      </c>
      <c r="D3340" s="4" t="str">
        <f t="shared" si="379"/>
        <v/>
      </c>
      <c r="E3340" s="22">
        <f t="shared" ca="1" si="380"/>
        <v>0</v>
      </c>
      <c r="F3340" s="23">
        <f t="shared" ca="1" si="381"/>
        <v>0</v>
      </c>
      <c r="G3340" s="10">
        <f t="shared" ca="1" si="382"/>
        <v>0</v>
      </c>
      <c r="H3340" s="12">
        <f t="shared" ca="1" si="383"/>
        <v>0</v>
      </c>
      <c r="I3340" s="11">
        <f t="shared" ca="1" si="384"/>
        <v>0</v>
      </c>
      <c r="J3340" s="11">
        <f t="shared" ca="1" si="385"/>
        <v>-1</v>
      </c>
      <c r="K3340" s="10">
        <f t="shared" ca="1" si="373"/>
        <v>131.24001000000001</v>
      </c>
      <c r="L3340" s="11">
        <f t="shared" ca="1" si="374"/>
        <v>-49.09</v>
      </c>
      <c r="M3340" s="11">
        <f t="shared" ca="1" si="375"/>
        <v>2.6734599999999999</v>
      </c>
      <c r="N3340" s="15">
        <f t="shared" ca="1" si="376"/>
        <v>10</v>
      </c>
      <c r="O3340" s="15">
        <f t="shared" ca="1" si="377"/>
        <v>27</v>
      </c>
      <c r="P3340" s="16">
        <f t="shared" ca="1" si="378"/>
        <v>-13.029899999999998</v>
      </c>
      <c r="Q3340" s="11" t="str">
        <f t="shared" ca="1" si="364"/>
        <v/>
      </c>
      <c r="R3340" s="11" t="str">
        <f t="shared" ca="1" si="365"/>
        <v/>
      </c>
      <c r="S3340" s="61" t="str">
        <f t="shared" ca="1" si="366"/>
        <v/>
      </c>
      <c r="T3340" s="11" t="str">
        <f t="shared" ca="1" si="367"/>
        <v/>
      </c>
      <c r="U3340" s="11" t="str">
        <f t="shared" ca="1" si="368"/>
        <v/>
      </c>
      <c r="V3340" s="18" t="str">
        <f t="shared" ca="1" si="369"/>
        <v/>
      </c>
      <c r="W3340" s="61" t="str">
        <f t="shared" ca="1" si="370"/>
        <v/>
      </c>
      <c r="X3340" s="61">
        <f t="shared" ca="1" si="371"/>
        <v>0</v>
      </c>
      <c r="Y3340" s="64" t="str">
        <f t="shared" ca="1" si="372"/>
        <v/>
      </c>
    </row>
    <row r="3341" spans="1:25">
      <c r="A3341" s="2">
        <f>+Get_Data!A3340</f>
        <v>0</v>
      </c>
      <c r="B3341">
        <f>+ROUND(Get_Data!B3340,5)</f>
        <v>0</v>
      </c>
      <c r="C3341">
        <f>+ROUND(Get_Data!C3340,5)</f>
        <v>0</v>
      </c>
      <c r="D3341" s="4" t="str">
        <f t="shared" si="379"/>
        <v/>
      </c>
      <c r="E3341" s="22">
        <f t="shared" ca="1" si="380"/>
        <v>0</v>
      </c>
      <c r="F3341" s="23">
        <f t="shared" ca="1" si="381"/>
        <v>0</v>
      </c>
      <c r="G3341" s="10">
        <f t="shared" ca="1" si="382"/>
        <v>0</v>
      </c>
      <c r="H3341" s="12">
        <f t="shared" ca="1" si="383"/>
        <v>0</v>
      </c>
      <c r="I3341" s="11">
        <f t="shared" ca="1" si="384"/>
        <v>0</v>
      </c>
      <c r="J3341" s="11">
        <f t="shared" ca="1" si="385"/>
        <v>-1</v>
      </c>
      <c r="K3341" s="10">
        <f t="shared" ca="1" si="373"/>
        <v>131.24001000000001</v>
      </c>
      <c r="L3341" s="11">
        <f t="shared" ca="1" si="374"/>
        <v>-49.09</v>
      </c>
      <c r="M3341" s="11">
        <f t="shared" ca="1" si="375"/>
        <v>2.6734599999999999</v>
      </c>
      <c r="N3341" s="15">
        <f t="shared" ca="1" si="376"/>
        <v>10</v>
      </c>
      <c r="O3341" s="15">
        <f t="shared" ca="1" si="377"/>
        <v>27</v>
      </c>
      <c r="P3341" s="16">
        <f t="shared" ca="1" si="378"/>
        <v>-13.029899999999998</v>
      </c>
      <c r="Q3341" s="11" t="str">
        <f t="shared" ca="1" si="364"/>
        <v/>
      </c>
      <c r="R3341" s="11" t="str">
        <f t="shared" ca="1" si="365"/>
        <v/>
      </c>
      <c r="S3341" s="61" t="str">
        <f t="shared" ca="1" si="366"/>
        <v/>
      </c>
      <c r="T3341" s="11" t="str">
        <f t="shared" ca="1" si="367"/>
        <v/>
      </c>
      <c r="U3341" s="11" t="str">
        <f t="shared" ca="1" si="368"/>
        <v/>
      </c>
      <c r="V3341" s="18" t="str">
        <f t="shared" ca="1" si="369"/>
        <v/>
      </c>
      <c r="W3341" s="61" t="str">
        <f t="shared" ca="1" si="370"/>
        <v/>
      </c>
      <c r="X3341" s="61">
        <f t="shared" ca="1" si="371"/>
        <v>0</v>
      </c>
      <c r="Y3341" s="64" t="str">
        <f t="shared" ca="1" si="372"/>
        <v/>
      </c>
    </row>
    <row r="3342" spans="1:25">
      <c r="A3342" s="2">
        <f>+Get_Data!A3341</f>
        <v>0</v>
      </c>
      <c r="B3342">
        <f>+ROUND(Get_Data!B3341,5)</f>
        <v>0</v>
      </c>
      <c r="C3342">
        <f>+ROUND(Get_Data!C3341,5)</f>
        <v>0</v>
      </c>
      <c r="D3342" s="4" t="str">
        <f t="shared" si="379"/>
        <v/>
      </c>
      <c r="E3342" s="22">
        <f t="shared" ca="1" si="380"/>
        <v>0</v>
      </c>
      <c r="F3342" s="23">
        <f t="shared" ca="1" si="381"/>
        <v>0</v>
      </c>
      <c r="G3342" s="10">
        <f t="shared" ca="1" si="382"/>
        <v>0</v>
      </c>
      <c r="H3342" s="12">
        <f t="shared" ca="1" si="383"/>
        <v>0</v>
      </c>
      <c r="I3342" s="11">
        <f t="shared" ca="1" si="384"/>
        <v>0</v>
      </c>
      <c r="J3342" s="11">
        <f t="shared" ca="1" si="385"/>
        <v>-1</v>
      </c>
      <c r="K3342" s="10">
        <f t="shared" ca="1" si="373"/>
        <v>131.24001000000001</v>
      </c>
      <c r="L3342" s="11">
        <f t="shared" ca="1" si="374"/>
        <v>-49.09</v>
      </c>
      <c r="M3342" s="11">
        <f t="shared" ca="1" si="375"/>
        <v>2.6734599999999999</v>
      </c>
      <c r="N3342" s="15">
        <f t="shared" ca="1" si="376"/>
        <v>10</v>
      </c>
      <c r="O3342" s="15">
        <f t="shared" ca="1" si="377"/>
        <v>27</v>
      </c>
      <c r="P3342" s="16">
        <f t="shared" ca="1" si="378"/>
        <v>-13.029899999999998</v>
      </c>
      <c r="Q3342" s="11" t="str">
        <f t="shared" ca="1" si="364"/>
        <v/>
      </c>
      <c r="R3342" s="11" t="str">
        <f t="shared" ca="1" si="365"/>
        <v/>
      </c>
      <c r="S3342" s="61" t="str">
        <f t="shared" ca="1" si="366"/>
        <v/>
      </c>
      <c r="T3342" s="11" t="str">
        <f t="shared" ca="1" si="367"/>
        <v/>
      </c>
      <c r="U3342" s="11" t="str">
        <f t="shared" ca="1" si="368"/>
        <v/>
      </c>
      <c r="V3342" s="18" t="str">
        <f t="shared" ca="1" si="369"/>
        <v/>
      </c>
      <c r="W3342" s="61" t="str">
        <f t="shared" ca="1" si="370"/>
        <v/>
      </c>
      <c r="X3342" s="61">
        <f t="shared" ca="1" si="371"/>
        <v>0</v>
      </c>
      <c r="Y3342" s="64" t="str">
        <f t="shared" ca="1" si="372"/>
        <v/>
      </c>
    </row>
    <row r="3343" spans="1:25">
      <c r="A3343" s="2">
        <f>+Get_Data!A3342</f>
        <v>0</v>
      </c>
      <c r="B3343">
        <f>+ROUND(Get_Data!B3342,5)</f>
        <v>0</v>
      </c>
      <c r="C3343">
        <f>+ROUND(Get_Data!C3342,5)</f>
        <v>0</v>
      </c>
      <c r="D3343" s="4" t="str">
        <f t="shared" si="379"/>
        <v/>
      </c>
      <c r="E3343" s="22">
        <f t="shared" ca="1" si="380"/>
        <v>0</v>
      </c>
      <c r="F3343" s="23">
        <f t="shared" ca="1" si="381"/>
        <v>0</v>
      </c>
      <c r="G3343" s="10">
        <f t="shared" ca="1" si="382"/>
        <v>0</v>
      </c>
      <c r="H3343" s="12">
        <f t="shared" ca="1" si="383"/>
        <v>0</v>
      </c>
      <c r="I3343" s="11">
        <f t="shared" ca="1" si="384"/>
        <v>0</v>
      </c>
      <c r="J3343" s="11">
        <f t="shared" ca="1" si="385"/>
        <v>-1</v>
      </c>
      <c r="K3343" s="10">
        <f t="shared" ca="1" si="373"/>
        <v>131.24001000000001</v>
      </c>
      <c r="L3343" s="11">
        <f t="shared" ca="1" si="374"/>
        <v>-49.09</v>
      </c>
      <c r="M3343" s="11">
        <f t="shared" ca="1" si="375"/>
        <v>2.6734599999999999</v>
      </c>
      <c r="N3343" s="15">
        <f t="shared" ca="1" si="376"/>
        <v>10</v>
      </c>
      <c r="O3343" s="15">
        <f t="shared" ca="1" si="377"/>
        <v>27</v>
      </c>
      <c r="P3343" s="16">
        <f t="shared" ca="1" si="378"/>
        <v>-13.029899999999998</v>
      </c>
      <c r="Q3343" s="11" t="str">
        <f t="shared" ca="1" si="364"/>
        <v/>
      </c>
      <c r="R3343" s="11" t="str">
        <f t="shared" ca="1" si="365"/>
        <v/>
      </c>
      <c r="S3343" s="61" t="str">
        <f t="shared" ca="1" si="366"/>
        <v/>
      </c>
      <c r="T3343" s="11" t="str">
        <f t="shared" ca="1" si="367"/>
        <v/>
      </c>
      <c r="U3343" s="11" t="str">
        <f t="shared" ca="1" si="368"/>
        <v/>
      </c>
      <c r="V3343" s="18" t="str">
        <f t="shared" ca="1" si="369"/>
        <v/>
      </c>
      <c r="W3343" s="61" t="str">
        <f t="shared" ca="1" si="370"/>
        <v/>
      </c>
      <c r="X3343" s="61">
        <f t="shared" ca="1" si="371"/>
        <v>0</v>
      </c>
      <c r="Y3343" s="64" t="str">
        <f t="shared" ca="1" si="372"/>
        <v/>
      </c>
    </row>
    <row r="3344" spans="1:25">
      <c r="A3344" s="2">
        <f>+Get_Data!A3343</f>
        <v>0</v>
      </c>
      <c r="B3344">
        <f>+ROUND(Get_Data!B3343,5)</f>
        <v>0</v>
      </c>
      <c r="C3344">
        <f>+ROUND(Get_Data!C3343,5)</f>
        <v>0</v>
      </c>
      <c r="D3344" s="4" t="str">
        <f t="shared" si="379"/>
        <v/>
      </c>
      <c r="E3344" s="22">
        <f t="shared" ca="1" si="380"/>
        <v>0</v>
      </c>
      <c r="F3344" s="23">
        <f t="shared" ca="1" si="381"/>
        <v>0</v>
      </c>
      <c r="G3344" s="10">
        <f t="shared" ca="1" si="382"/>
        <v>0</v>
      </c>
      <c r="H3344" s="12">
        <f t="shared" ca="1" si="383"/>
        <v>0</v>
      </c>
      <c r="I3344" s="11">
        <f t="shared" ca="1" si="384"/>
        <v>0</v>
      </c>
      <c r="J3344" s="11">
        <f t="shared" ca="1" si="385"/>
        <v>-1</v>
      </c>
      <c r="K3344" s="10">
        <f t="shared" ca="1" si="373"/>
        <v>131.24001000000001</v>
      </c>
      <c r="L3344" s="11">
        <f t="shared" ca="1" si="374"/>
        <v>-49.09</v>
      </c>
      <c r="M3344" s="11">
        <f t="shared" ca="1" si="375"/>
        <v>2.6734599999999999</v>
      </c>
      <c r="N3344" s="15">
        <f t="shared" ca="1" si="376"/>
        <v>10</v>
      </c>
      <c r="O3344" s="15">
        <f t="shared" ca="1" si="377"/>
        <v>27</v>
      </c>
      <c r="P3344" s="16">
        <f t="shared" ca="1" si="378"/>
        <v>-13.029899999999998</v>
      </c>
      <c r="Q3344" s="11" t="str">
        <f t="shared" ca="1" si="364"/>
        <v/>
      </c>
      <c r="R3344" s="11" t="str">
        <f t="shared" ca="1" si="365"/>
        <v/>
      </c>
      <c r="S3344" s="61" t="str">
        <f t="shared" ca="1" si="366"/>
        <v/>
      </c>
      <c r="T3344" s="11" t="str">
        <f t="shared" ca="1" si="367"/>
        <v/>
      </c>
      <c r="U3344" s="11" t="str">
        <f t="shared" ca="1" si="368"/>
        <v/>
      </c>
      <c r="V3344" s="18" t="str">
        <f t="shared" ca="1" si="369"/>
        <v/>
      </c>
      <c r="W3344" s="61" t="str">
        <f t="shared" ca="1" si="370"/>
        <v/>
      </c>
      <c r="X3344" s="61">
        <f t="shared" ca="1" si="371"/>
        <v>0</v>
      </c>
      <c r="Y3344" s="64" t="str">
        <f t="shared" ca="1" si="372"/>
        <v/>
      </c>
    </row>
    <row r="3345" spans="1:25">
      <c r="A3345" s="2">
        <f>+Get_Data!A3344</f>
        <v>0</v>
      </c>
      <c r="B3345">
        <f>+ROUND(Get_Data!B3344,5)</f>
        <v>0</v>
      </c>
      <c r="C3345">
        <f>+ROUND(Get_Data!C3344,5)</f>
        <v>0</v>
      </c>
      <c r="D3345" s="4" t="str">
        <f t="shared" si="379"/>
        <v/>
      </c>
      <c r="E3345" s="22">
        <f t="shared" ca="1" si="380"/>
        <v>0</v>
      </c>
      <c r="F3345" s="23">
        <f t="shared" ca="1" si="381"/>
        <v>0</v>
      </c>
      <c r="G3345" s="10">
        <f t="shared" ca="1" si="382"/>
        <v>0</v>
      </c>
      <c r="H3345" s="12">
        <f t="shared" ca="1" si="383"/>
        <v>0</v>
      </c>
      <c r="I3345" s="11">
        <f t="shared" ca="1" si="384"/>
        <v>0</v>
      </c>
      <c r="J3345" s="11">
        <f t="shared" ca="1" si="385"/>
        <v>-1</v>
      </c>
      <c r="K3345" s="10">
        <f t="shared" ca="1" si="373"/>
        <v>131.24001000000001</v>
      </c>
      <c r="L3345" s="11">
        <f t="shared" ca="1" si="374"/>
        <v>-49.09</v>
      </c>
      <c r="M3345" s="11">
        <f t="shared" ca="1" si="375"/>
        <v>2.6734599999999999</v>
      </c>
      <c r="N3345" s="15">
        <f t="shared" ca="1" si="376"/>
        <v>10</v>
      </c>
      <c r="O3345" s="15">
        <f t="shared" ca="1" si="377"/>
        <v>27</v>
      </c>
      <c r="P3345" s="16">
        <f t="shared" ca="1" si="378"/>
        <v>-13.029899999999998</v>
      </c>
      <c r="Q3345" s="11" t="str">
        <f t="shared" ca="1" si="364"/>
        <v/>
      </c>
      <c r="R3345" s="11" t="str">
        <f t="shared" ca="1" si="365"/>
        <v/>
      </c>
      <c r="S3345" s="61" t="str">
        <f t="shared" ca="1" si="366"/>
        <v/>
      </c>
      <c r="T3345" s="11" t="str">
        <f t="shared" ca="1" si="367"/>
        <v/>
      </c>
      <c r="U3345" s="11" t="str">
        <f t="shared" ca="1" si="368"/>
        <v/>
      </c>
      <c r="V3345" s="18" t="str">
        <f t="shared" ca="1" si="369"/>
        <v/>
      </c>
      <c r="W3345" s="61" t="str">
        <f t="shared" ca="1" si="370"/>
        <v/>
      </c>
      <c r="X3345" s="61">
        <f t="shared" ca="1" si="371"/>
        <v>0</v>
      </c>
      <c r="Y3345" s="64" t="str">
        <f t="shared" ca="1" si="372"/>
        <v/>
      </c>
    </row>
    <row r="3346" spans="1:25">
      <c r="A3346" s="2">
        <f>+Get_Data!A3345</f>
        <v>0</v>
      </c>
      <c r="B3346">
        <f>+ROUND(Get_Data!B3345,5)</f>
        <v>0</v>
      </c>
      <c r="C3346">
        <f>+ROUND(Get_Data!C3345,5)</f>
        <v>0</v>
      </c>
      <c r="D3346" s="4" t="str">
        <f t="shared" si="379"/>
        <v/>
      </c>
      <c r="E3346" s="22">
        <f t="shared" ca="1" si="380"/>
        <v>0</v>
      </c>
      <c r="F3346" s="23">
        <f t="shared" ca="1" si="381"/>
        <v>0</v>
      </c>
      <c r="G3346" s="10">
        <f t="shared" ca="1" si="382"/>
        <v>0</v>
      </c>
      <c r="H3346" s="12">
        <f t="shared" ca="1" si="383"/>
        <v>0</v>
      </c>
      <c r="I3346" s="11">
        <f t="shared" ca="1" si="384"/>
        <v>0</v>
      </c>
      <c r="J3346" s="11">
        <f t="shared" ca="1" si="385"/>
        <v>-1</v>
      </c>
      <c r="K3346" s="10">
        <f t="shared" ca="1" si="373"/>
        <v>131.24001000000001</v>
      </c>
      <c r="L3346" s="11">
        <f t="shared" ca="1" si="374"/>
        <v>-49.09</v>
      </c>
      <c r="M3346" s="11">
        <f t="shared" ca="1" si="375"/>
        <v>2.6734599999999999</v>
      </c>
      <c r="N3346" s="15">
        <f t="shared" ca="1" si="376"/>
        <v>10</v>
      </c>
      <c r="O3346" s="15">
        <f t="shared" ca="1" si="377"/>
        <v>27</v>
      </c>
      <c r="P3346" s="16">
        <f t="shared" ca="1" si="378"/>
        <v>-13.029899999999998</v>
      </c>
      <c r="Q3346" s="11" t="str">
        <f t="shared" ca="1" si="364"/>
        <v/>
      </c>
      <c r="R3346" s="11" t="str">
        <f t="shared" ca="1" si="365"/>
        <v/>
      </c>
      <c r="S3346" s="61" t="str">
        <f t="shared" ca="1" si="366"/>
        <v/>
      </c>
      <c r="T3346" s="11" t="str">
        <f t="shared" ca="1" si="367"/>
        <v/>
      </c>
      <c r="U3346" s="11" t="str">
        <f t="shared" ca="1" si="368"/>
        <v/>
      </c>
      <c r="V3346" s="18" t="str">
        <f t="shared" ca="1" si="369"/>
        <v/>
      </c>
      <c r="W3346" s="61" t="str">
        <f t="shared" ca="1" si="370"/>
        <v/>
      </c>
      <c r="X3346" s="61">
        <f t="shared" ca="1" si="371"/>
        <v>0</v>
      </c>
      <c r="Y3346" s="64" t="str">
        <f t="shared" ca="1" si="372"/>
        <v/>
      </c>
    </row>
    <row r="3347" spans="1:25">
      <c r="A3347" s="2">
        <f>+Get_Data!A3346</f>
        <v>0</v>
      </c>
      <c r="B3347">
        <f>+ROUND(Get_Data!B3346,5)</f>
        <v>0</v>
      </c>
      <c r="C3347">
        <f>+ROUND(Get_Data!C3346,5)</f>
        <v>0</v>
      </c>
      <c r="D3347" s="4" t="str">
        <f t="shared" si="379"/>
        <v/>
      </c>
      <c r="E3347" s="22">
        <f t="shared" ca="1" si="380"/>
        <v>0</v>
      </c>
      <c r="F3347" s="23">
        <f t="shared" ca="1" si="381"/>
        <v>0</v>
      </c>
      <c r="G3347" s="10">
        <f t="shared" ca="1" si="382"/>
        <v>0</v>
      </c>
      <c r="H3347" s="12">
        <f t="shared" ca="1" si="383"/>
        <v>0</v>
      </c>
      <c r="I3347" s="11">
        <f t="shared" ca="1" si="384"/>
        <v>0</v>
      </c>
      <c r="J3347" s="11">
        <f t="shared" ca="1" si="385"/>
        <v>-1</v>
      </c>
      <c r="K3347" s="10">
        <f t="shared" ca="1" si="373"/>
        <v>131.24001000000001</v>
      </c>
      <c r="L3347" s="11">
        <f t="shared" ca="1" si="374"/>
        <v>-49.09</v>
      </c>
      <c r="M3347" s="11">
        <f t="shared" ca="1" si="375"/>
        <v>2.6734599999999999</v>
      </c>
      <c r="N3347" s="15">
        <f t="shared" ca="1" si="376"/>
        <v>10</v>
      </c>
      <c r="O3347" s="15">
        <f t="shared" ca="1" si="377"/>
        <v>27</v>
      </c>
      <c r="P3347" s="16">
        <f t="shared" ca="1" si="378"/>
        <v>-13.029899999999998</v>
      </c>
      <c r="Q3347" s="11" t="str">
        <f t="shared" ref="Q3347:Q3410" ca="1" si="386">+IF(ISNUMBER(T3347),B3347,"")</f>
        <v/>
      </c>
      <c r="R3347" s="11" t="str">
        <f t="shared" ref="R3347:R3410" ca="1" si="387">+IF(ISNUMBER(U3347),C3347,"")</f>
        <v/>
      </c>
      <c r="S3347" s="61" t="str">
        <f t="shared" ref="S3347:S3410" ca="1" si="388">+IF(ISNUMBER(T3347),D3347,"")</f>
        <v/>
      </c>
      <c r="T3347" s="11" t="str">
        <f t="shared" ref="T3347:T3410" ca="1" si="389">+IF(AND(ISNUMBER(N3346),NOT(ISNUMBER(N3347))),N3346,"")</f>
        <v/>
      </c>
      <c r="U3347" s="11" t="str">
        <f t="shared" ref="U3347:U3410" ca="1" si="390">+IF(AND(ISNUMBER(O3346),NOT(ISNUMBER(O3347))),O3346,"")</f>
        <v/>
      </c>
      <c r="V3347" s="18" t="str">
        <f t="shared" ref="V3347:V3410" ca="1" si="391">+IFERROR(T3347*(K3346-Q3347),"")</f>
        <v/>
      </c>
      <c r="W3347" s="61" t="str">
        <f t="shared" ref="W3347:W3410" ca="1" si="392">+IFERROR(U3347*(L3346+R3347),"")</f>
        <v/>
      </c>
      <c r="X3347" s="61">
        <f t="shared" ref="X3347:X3410" ca="1" si="393">+IFERROR(SUM(V3347:W3347),"")</f>
        <v>0</v>
      </c>
      <c r="Y3347" s="64" t="str">
        <f t="shared" ref="Y3347:Y3410" ca="1" si="394">IFERROR(+X3347/ABS(R3347*U3347),"")</f>
        <v/>
      </c>
    </row>
    <row r="3348" spans="1:25">
      <c r="A3348" s="2">
        <f>+Get_Data!A3347</f>
        <v>0</v>
      </c>
      <c r="B3348">
        <f>+ROUND(Get_Data!B3347,5)</f>
        <v>0</v>
      </c>
      <c r="C3348">
        <f>+ROUND(Get_Data!C3347,5)</f>
        <v>0</v>
      </c>
      <c r="D3348" s="4" t="str">
        <f t="shared" si="379"/>
        <v/>
      </c>
      <c r="E3348" s="22">
        <f t="shared" ca="1" si="380"/>
        <v>0</v>
      </c>
      <c r="F3348" s="23">
        <f t="shared" ca="1" si="381"/>
        <v>0</v>
      </c>
      <c r="G3348" s="10">
        <f t="shared" ca="1" si="382"/>
        <v>0</v>
      </c>
      <c r="H3348" s="12">
        <f t="shared" ca="1" si="383"/>
        <v>0</v>
      </c>
      <c r="I3348" s="11">
        <f t="shared" ca="1" si="384"/>
        <v>0</v>
      </c>
      <c r="J3348" s="11">
        <f t="shared" ca="1" si="385"/>
        <v>-1</v>
      </c>
      <c r="K3348" s="10">
        <f t="shared" ca="1" si="373"/>
        <v>131.24001000000001</v>
      </c>
      <c r="L3348" s="11">
        <f t="shared" ca="1" si="374"/>
        <v>-49.09</v>
      </c>
      <c r="M3348" s="11">
        <f t="shared" ca="1" si="375"/>
        <v>2.6734599999999999</v>
      </c>
      <c r="N3348" s="15">
        <f t="shared" ca="1" si="376"/>
        <v>10</v>
      </c>
      <c r="O3348" s="15">
        <f t="shared" ca="1" si="377"/>
        <v>27</v>
      </c>
      <c r="P3348" s="16">
        <f t="shared" ca="1" si="378"/>
        <v>-13.029899999999998</v>
      </c>
      <c r="Q3348" s="11" t="str">
        <f t="shared" ca="1" si="386"/>
        <v/>
      </c>
      <c r="R3348" s="11" t="str">
        <f t="shared" ca="1" si="387"/>
        <v/>
      </c>
      <c r="S3348" s="61" t="str">
        <f t="shared" ca="1" si="388"/>
        <v/>
      </c>
      <c r="T3348" s="11" t="str">
        <f t="shared" ca="1" si="389"/>
        <v/>
      </c>
      <c r="U3348" s="11" t="str">
        <f t="shared" ca="1" si="390"/>
        <v/>
      </c>
      <c r="V3348" s="18" t="str">
        <f t="shared" ca="1" si="391"/>
        <v/>
      </c>
      <c r="W3348" s="61" t="str">
        <f t="shared" ca="1" si="392"/>
        <v/>
      </c>
      <c r="X3348" s="61">
        <f t="shared" ca="1" si="393"/>
        <v>0</v>
      </c>
      <c r="Y3348" s="64" t="str">
        <f t="shared" ca="1" si="394"/>
        <v/>
      </c>
    </row>
    <row r="3349" spans="1:25">
      <c r="A3349" s="2">
        <f>+Get_Data!A3348</f>
        <v>0</v>
      </c>
      <c r="B3349">
        <f>+ROUND(Get_Data!B3348,5)</f>
        <v>0</v>
      </c>
      <c r="C3349">
        <f>+ROUND(Get_Data!C3348,5)</f>
        <v>0</v>
      </c>
      <c r="D3349" s="4" t="str">
        <f t="shared" si="379"/>
        <v/>
      </c>
      <c r="E3349" s="22">
        <f t="shared" ca="1" si="380"/>
        <v>0</v>
      </c>
      <c r="F3349" s="23">
        <f t="shared" ca="1" si="381"/>
        <v>0</v>
      </c>
      <c r="G3349" s="10">
        <f t="shared" ca="1" si="382"/>
        <v>0</v>
      </c>
      <c r="H3349" s="12">
        <f t="shared" ca="1" si="383"/>
        <v>0</v>
      </c>
      <c r="I3349" s="11">
        <f t="shared" ca="1" si="384"/>
        <v>0</v>
      </c>
      <c r="J3349" s="11">
        <f t="shared" ca="1" si="385"/>
        <v>-1</v>
      </c>
      <c r="K3349" s="10">
        <f t="shared" ca="1" si="373"/>
        <v>131.24001000000001</v>
      </c>
      <c r="L3349" s="11">
        <f t="shared" ca="1" si="374"/>
        <v>-49.09</v>
      </c>
      <c r="M3349" s="11">
        <f t="shared" ca="1" si="375"/>
        <v>2.6734599999999999</v>
      </c>
      <c r="N3349" s="15">
        <f t="shared" ca="1" si="376"/>
        <v>10</v>
      </c>
      <c r="O3349" s="15">
        <f t="shared" ca="1" si="377"/>
        <v>27</v>
      </c>
      <c r="P3349" s="16">
        <f t="shared" ca="1" si="378"/>
        <v>-13.029899999999998</v>
      </c>
      <c r="Q3349" s="11" t="str">
        <f t="shared" ca="1" si="386"/>
        <v/>
      </c>
      <c r="R3349" s="11" t="str">
        <f t="shared" ca="1" si="387"/>
        <v/>
      </c>
      <c r="S3349" s="61" t="str">
        <f t="shared" ca="1" si="388"/>
        <v/>
      </c>
      <c r="T3349" s="11" t="str">
        <f t="shared" ca="1" si="389"/>
        <v/>
      </c>
      <c r="U3349" s="11" t="str">
        <f t="shared" ca="1" si="390"/>
        <v/>
      </c>
      <c r="V3349" s="18" t="str">
        <f t="shared" ca="1" si="391"/>
        <v/>
      </c>
      <c r="W3349" s="61" t="str">
        <f t="shared" ca="1" si="392"/>
        <v/>
      </c>
      <c r="X3349" s="61">
        <f t="shared" ca="1" si="393"/>
        <v>0</v>
      </c>
      <c r="Y3349" s="64" t="str">
        <f t="shared" ca="1" si="394"/>
        <v/>
      </c>
    </row>
    <row r="3350" spans="1:25">
      <c r="A3350" s="2">
        <f>+Get_Data!A3349</f>
        <v>0</v>
      </c>
      <c r="B3350">
        <f>+ROUND(Get_Data!B3349,5)</f>
        <v>0</v>
      </c>
      <c r="C3350">
        <f>+ROUND(Get_Data!C3349,5)</f>
        <v>0</v>
      </c>
      <c r="D3350" s="4" t="str">
        <f t="shared" si="379"/>
        <v/>
      </c>
      <c r="E3350" s="22">
        <f t="shared" ca="1" si="380"/>
        <v>0</v>
      </c>
      <c r="F3350" s="23">
        <f t="shared" ca="1" si="381"/>
        <v>0</v>
      </c>
      <c r="G3350" s="10">
        <f t="shared" ca="1" si="382"/>
        <v>0</v>
      </c>
      <c r="H3350" s="12">
        <f t="shared" ca="1" si="383"/>
        <v>0</v>
      </c>
      <c r="I3350" s="11">
        <f t="shared" ca="1" si="384"/>
        <v>0</v>
      </c>
      <c r="J3350" s="11">
        <f t="shared" ca="1" si="385"/>
        <v>-1</v>
      </c>
      <c r="K3350" s="10">
        <f t="shared" ca="1" si="373"/>
        <v>131.24001000000001</v>
      </c>
      <c r="L3350" s="11">
        <f t="shared" ca="1" si="374"/>
        <v>-49.09</v>
      </c>
      <c r="M3350" s="11">
        <f t="shared" ca="1" si="375"/>
        <v>2.6734599999999999</v>
      </c>
      <c r="N3350" s="15">
        <f t="shared" ca="1" si="376"/>
        <v>10</v>
      </c>
      <c r="O3350" s="15">
        <f t="shared" ca="1" si="377"/>
        <v>27</v>
      </c>
      <c r="P3350" s="16">
        <f t="shared" ca="1" si="378"/>
        <v>-13.029899999999998</v>
      </c>
      <c r="Q3350" s="11" t="str">
        <f t="shared" ca="1" si="386"/>
        <v/>
      </c>
      <c r="R3350" s="11" t="str">
        <f t="shared" ca="1" si="387"/>
        <v/>
      </c>
      <c r="S3350" s="61" t="str">
        <f t="shared" ca="1" si="388"/>
        <v/>
      </c>
      <c r="T3350" s="11" t="str">
        <f t="shared" ca="1" si="389"/>
        <v/>
      </c>
      <c r="U3350" s="11" t="str">
        <f t="shared" ca="1" si="390"/>
        <v/>
      </c>
      <c r="V3350" s="18" t="str">
        <f t="shared" ca="1" si="391"/>
        <v/>
      </c>
      <c r="W3350" s="61" t="str">
        <f t="shared" ca="1" si="392"/>
        <v/>
      </c>
      <c r="X3350" s="61">
        <f t="shared" ca="1" si="393"/>
        <v>0</v>
      </c>
      <c r="Y3350" s="64" t="str">
        <f t="shared" ca="1" si="394"/>
        <v/>
      </c>
    </row>
    <row r="3351" spans="1:25">
      <c r="A3351" s="2">
        <f>+Get_Data!A3350</f>
        <v>0</v>
      </c>
      <c r="B3351">
        <f>+ROUND(Get_Data!B3350,5)</f>
        <v>0</v>
      </c>
      <c r="C3351">
        <f>+ROUND(Get_Data!C3350,5)</f>
        <v>0</v>
      </c>
      <c r="D3351" s="4" t="str">
        <f t="shared" si="379"/>
        <v/>
      </c>
      <c r="E3351" s="22">
        <f t="shared" ca="1" si="380"/>
        <v>0</v>
      </c>
      <c r="F3351" s="23">
        <f t="shared" ca="1" si="381"/>
        <v>0</v>
      </c>
      <c r="G3351" s="10">
        <f t="shared" ca="1" si="382"/>
        <v>0</v>
      </c>
      <c r="H3351" s="12">
        <f t="shared" ca="1" si="383"/>
        <v>0</v>
      </c>
      <c r="I3351" s="11">
        <f t="shared" ca="1" si="384"/>
        <v>0</v>
      </c>
      <c r="J3351" s="11">
        <f t="shared" ca="1" si="385"/>
        <v>-1</v>
      </c>
      <c r="K3351" s="10">
        <f t="shared" ca="1" si="373"/>
        <v>131.24001000000001</v>
      </c>
      <c r="L3351" s="11">
        <f t="shared" ca="1" si="374"/>
        <v>-49.09</v>
      </c>
      <c r="M3351" s="11">
        <f t="shared" ca="1" si="375"/>
        <v>2.6734599999999999</v>
      </c>
      <c r="N3351" s="15">
        <f t="shared" ca="1" si="376"/>
        <v>10</v>
      </c>
      <c r="O3351" s="15">
        <f t="shared" ca="1" si="377"/>
        <v>27</v>
      </c>
      <c r="P3351" s="16">
        <f t="shared" ca="1" si="378"/>
        <v>-13.029899999999998</v>
      </c>
      <c r="Q3351" s="11" t="str">
        <f t="shared" ca="1" si="386"/>
        <v/>
      </c>
      <c r="R3351" s="11" t="str">
        <f t="shared" ca="1" si="387"/>
        <v/>
      </c>
      <c r="S3351" s="61" t="str">
        <f t="shared" ca="1" si="388"/>
        <v/>
      </c>
      <c r="T3351" s="11" t="str">
        <f t="shared" ca="1" si="389"/>
        <v/>
      </c>
      <c r="U3351" s="11" t="str">
        <f t="shared" ca="1" si="390"/>
        <v/>
      </c>
      <c r="V3351" s="18" t="str">
        <f t="shared" ca="1" si="391"/>
        <v/>
      </c>
      <c r="W3351" s="61" t="str">
        <f t="shared" ca="1" si="392"/>
        <v/>
      </c>
      <c r="X3351" s="61">
        <f t="shared" ca="1" si="393"/>
        <v>0</v>
      </c>
      <c r="Y3351" s="64" t="str">
        <f t="shared" ca="1" si="394"/>
        <v/>
      </c>
    </row>
    <row r="3352" spans="1:25">
      <c r="A3352" s="2">
        <f>+Get_Data!A3351</f>
        <v>0</v>
      </c>
      <c r="B3352">
        <f>+ROUND(Get_Data!B3351,5)</f>
        <v>0</v>
      </c>
      <c r="C3352">
        <f>+ROUND(Get_Data!C3351,5)</f>
        <v>0</v>
      </c>
      <c r="D3352" s="4" t="str">
        <f t="shared" si="379"/>
        <v/>
      </c>
      <c r="E3352" s="22">
        <f t="shared" ca="1" si="380"/>
        <v>0</v>
      </c>
      <c r="F3352" s="23">
        <f t="shared" ca="1" si="381"/>
        <v>0</v>
      </c>
      <c r="G3352" s="10">
        <f t="shared" ca="1" si="382"/>
        <v>0</v>
      </c>
      <c r="H3352" s="12">
        <f t="shared" ca="1" si="383"/>
        <v>0</v>
      </c>
      <c r="I3352" s="11">
        <f t="shared" ca="1" si="384"/>
        <v>0</v>
      </c>
      <c r="J3352" s="11">
        <f t="shared" ca="1" si="385"/>
        <v>-1</v>
      </c>
      <c r="K3352" s="10">
        <f t="shared" ca="1" si="373"/>
        <v>131.24001000000001</v>
      </c>
      <c r="L3352" s="11">
        <f t="shared" ca="1" si="374"/>
        <v>-49.09</v>
      </c>
      <c r="M3352" s="11">
        <f t="shared" ca="1" si="375"/>
        <v>2.6734599999999999</v>
      </c>
      <c r="N3352" s="15">
        <f t="shared" ca="1" si="376"/>
        <v>10</v>
      </c>
      <c r="O3352" s="15">
        <f t="shared" ca="1" si="377"/>
        <v>27</v>
      </c>
      <c r="P3352" s="16">
        <f t="shared" ca="1" si="378"/>
        <v>-13.029899999999998</v>
      </c>
      <c r="Q3352" s="11" t="str">
        <f t="shared" ca="1" si="386"/>
        <v/>
      </c>
      <c r="R3352" s="11" t="str">
        <f t="shared" ca="1" si="387"/>
        <v/>
      </c>
      <c r="S3352" s="61" t="str">
        <f t="shared" ca="1" si="388"/>
        <v/>
      </c>
      <c r="T3352" s="11" t="str">
        <f t="shared" ca="1" si="389"/>
        <v/>
      </c>
      <c r="U3352" s="11" t="str">
        <f t="shared" ca="1" si="390"/>
        <v/>
      </c>
      <c r="V3352" s="18" t="str">
        <f t="shared" ca="1" si="391"/>
        <v/>
      </c>
      <c r="W3352" s="61" t="str">
        <f t="shared" ca="1" si="392"/>
        <v/>
      </c>
      <c r="X3352" s="61">
        <f t="shared" ca="1" si="393"/>
        <v>0</v>
      </c>
      <c r="Y3352" s="64" t="str">
        <f t="shared" ca="1" si="394"/>
        <v/>
      </c>
    </row>
    <row r="3353" spans="1:25">
      <c r="A3353" s="2">
        <f>+Get_Data!A3352</f>
        <v>0</v>
      </c>
      <c r="B3353">
        <f>+ROUND(Get_Data!B3352,5)</f>
        <v>0</v>
      </c>
      <c r="C3353">
        <f>+ROUND(Get_Data!C3352,5)</f>
        <v>0</v>
      </c>
      <c r="D3353" s="4" t="str">
        <f t="shared" si="379"/>
        <v/>
      </c>
      <c r="E3353" s="22">
        <f t="shared" ca="1" si="380"/>
        <v>0</v>
      </c>
      <c r="F3353" s="23">
        <f t="shared" ca="1" si="381"/>
        <v>0</v>
      </c>
      <c r="G3353" s="10">
        <f t="shared" ca="1" si="382"/>
        <v>0</v>
      </c>
      <c r="H3353" s="12">
        <f t="shared" ca="1" si="383"/>
        <v>0</v>
      </c>
      <c r="I3353" s="11">
        <f t="shared" ca="1" si="384"/>
        <v>0</v>
      </c>
      <c r="J3353" s="11">
        <f t="shared" ca="1" si="385"/>
        <v>-1</v>
      </c>
      <c r="K3353" s="10">
        <f t="shared" ca="1" si="373"/>
        <v>131.24001000000001</v>
      </c>
      <c r="L3353" s="11">
        <f t="shared" ca="1" si="374"/>
        <v>-49.09</v>
      </c>
      <c r="M3353" s="11">
        <f t="shared" ca="1" si="375"/>
        <v>2.6734599999999999</v>
      </c>
      <c r="N3353" s="15">
        <f t="shared" ca="1" si="376"/>
        <v>10</v>
      </c>
      <c r="O3353" s="15">
        <f t="shared" ca="1" si="377"/>
        <v>27</v>
      </c>
      <c r="P3353" s="16">
        <f t="shared" ca="1" si="378"/>
        <v>-13.029899999999998</v>
      </c>
      <c r="Q3353" s="11" t="str">
        <f t="shared" ca="1" si="386"/>
        <v/>
      </c>
      <c r="R3353" s="11" t="str">
        <f t="shared" ca="1" si="387"/>
        <v/>
      </c>
      <c r="S3353" s="61" t="str">
        <f t="shared" ca="1" si="388"/>
        <v/>
      </c>
      <c r="T3353" s="11" t="str">
        <f t="shared" ca="1" si="389"/>
        <v/>
      </c>
      <c r="U3353" s="11" t="str">
        <f t="shared" ca="1" si="390"/>
        <v/>
      </c>
      <c r="V3353" s="18" t="str">
        <f t="shared" ca="1" si="391"/>
        <v/>
      </c>
      <c r="W3353" s="61" t="str">
        <f t="shared" ca="1" si="392"/>
        <v/>
      </c>
      <c r="X3353" s="61">
        <f t="shared" ca="1" si="393"/>
        <v>0</v>
      </c>
      <c r="Y3353" s="64" t="str">
        <f t="shared" ca="1" si="394"/>
        <v/>
      </c>
    </row>
    <row r="3354" spans="1:25">
      <c r="A3354" s="2">
        <f>+Get_Data!A3353</f>
        <v>0</v>
      </c>
      <c r="B3354">
        <f>+ROUND(Get_Data!B3353,5)</f>
        <v>0</v>
      </c>
      <c r="C3354">
        <f>+ROUND(Get_Data!C3353,5)</f>
        <v>0</v>
      </c>
      <c r="D3354" s="4" t="str">
        <f t="shared" si="379"/>
        <v/>
      </c>
      <c r="E3354" s="22">
        <f t="shared" ca="1" si="380"/>
        <v>0</v>
      </c>
      <c r="F3354" s="23">
        <f t="shared" ca="1" si="381"/>
        <v>0</v>
      </c>
      <c r="G3354" s="10">
        <f t="shared" ca="1" si="382"/>
        <v>0</v>
      </c>
      <c r="H3354" s="12">
        <f t="shared" ca="1" si="383"/>
        <v>0</v>
      </c>
      <c r="I3354" s="11">
        <f t="shared" ca="1" si="384"/>
        <v>0</v>
      </c>
      <c r="J3354" s="11">
        <f t="shared" ca="1" si="385"/>
        <v>-1</v>
      </c>
      <c r="K3354" s="10">
        <f t="shared" ref="K3354:K3417" ca="1" si="395">+IF($J3353=0,"",IF(AND(ABS($J3353)=1,ABS($I3353)=1),-$J3353*B3354,K3353))</f>
        <v>131.24001000000001</v>
      </c>
      <c r="L3354" s="11">
        <f t="shared" ref="L3354:L3417" ca="1" si="396">+IF($J3353=0,"",IF(AND(ABS($J3353)=1,ABS($I3353)=1),$J3353*C3354,L3353))</f>
        <v>-49.09</v>
      </c>
      <c r="M3354" s="11">
        <f t="shared" ref="M3354:M3417" ca="1" si="397">+IF($J3353=0,"",IF(AND(ABS($J3353)=1,ABS($I3353)=1),D3354,M3353))</f>
        <v>2.6734599999999999</v>
      </c>
      <c r="N3354" s="15">
        <f t="shared" ref="N3354:N3417" ca="1" si="398">+IF(ISNUMBER(K3354),stocks,"")</f>
        <v>10</v>
      </c>
      <c r="O3354" s="15">
        <f t="shared" ref="O3354:O3417" ca="1" si="399">+IFERROR(ROUND(N3354*M3354,0),"")</f>
        <v>27</v>
      </c>
      <c r="P3354" s="16">
        <f t="shared" ref="P3354:P3417" ca="1" si="400">IFERROR(+N3354*K3354+O3354*L3354,"")</f>
        <v>-13.029899999999998</v>
      </c>
      <c r="Q3354" s="11" t="str">
        <f t="shared" ca="1" si="386"/>
        <v/>
      </c>
      <c r="R3354" s="11" t="str">
        <f t="shared" ca="1" si="387"/>
        <v/>
      </c>
      <c r="S3354" s="61" t="str">
        <f t="shared" ca="1" si="388"/>
        <v/>
      </c>
      <c r="T3354" s="11" t="str">
        <f t="shared" ca="1" si="389"/>
        <v/>
      </c>
      <c r="U3354" s="11" t="str">
        <f t="shared" ca="1" si="390"/>
        <v/>
      </c>
      <c r="V3354" s="18" t="str">
        <f t="shared" ca="1" si="391"/>
        <v/>
      </c>
      <c r="W3354" s="61" t="str">
        <f t="shared" ca="1" si="392"/>
        <v/>
      </c>
      <c r="X3354" s="61">
        <f t="shared" ca="1" si="393"/>
        <v>0</v>
      </c>
      <c r="Y3354" s="64" t="str">
        <f t="shared" ca="1" si="394"/>
        <v/>
      </c>
    </row>
    <row r="3355" spans="1:25">
      <c r="A3355" s="2">
        <f>+Get_Data!A3354</f>
        <v>0</v>
      </c>
      <c r="B3355">
        <f>+ROUND(Get_Data!B3354,5)</f>
        <v>0</v>
      </c>
      <c r="C3355">
        <f>+ROUND(Get_Data!C3354,5)</f>
        <v>0</v>
      </c>
      <c r="D3355" s="4" t="str">
        <f t="shared" si="379"/>
        <v/>
      </c>
      <c r="E3355" s="22">
        <f t="shared" ca="1" si="380"/>
        <v>0</v>
      </c>
      <c r="F3355" s="23">
        <f t="shared" ca="1" si="381"/>
        <v>0</v>
      </c>
      <c r="G3355" s="10">
        <f t="shared" ca="1" si="382"/>
        <v>0</v>
      </c>
      <c r="H3355" s="12">
        <f t="shared" ca="1" si="383"/>
        <v>0</v>
      </c>
      <c r="I3355" s="11">
        <f t="shared" ca="1" si="384"/>
        <v>0</v>
      </c>
      <c r="J3355" s="11">
        <f t="shared" ca="1" si="385"/>
        <v>-1</v>
      </c>
      <c r="K3355" s="10">
        <f t="shared" ca="1" si="395"/>
        <v>131.24001000000001</v>
      </c>
      <c r="L3355" s="11">
        <f t="shared" ca="1" si="396"/>
        <v>-49.09</v>
      </c>
      <c r="M3355" s="11">
        <f t="shared" ca="1" si="397"/>
        <v>2.6734599999999999</v>
      </c>
      <c r="N3355" s="15">
        <f t="shared" ca="1" si="398"/>
        <v>10</v>
      </c>
      <c r="O3355" s="15">
        <f t="shared" ca="1" si="399"/>
        <v>27</v>
      </c>
      <c r="P3355" s="16">
        <f t="shared" ca="1" si="400"/>
        <v>-13.029899999999998</v>
      </c>
      <c r="Q3355" s="11" t="str">
        <f t="shared" ca="1" si="386"/>
        <v/>
      </c>
      <c r="R3355" s="11" t="str">
        <f t="shared" ca="1" si="387"/>
        <v/>
      </c>
      <c r="S3355" s="61" t="str">
        <f t="shared" ca="1" si="388"/>
        <v/>
      </c>
      <c r="T3355" s="11" t="str">
        <f t="shared" ca="1" si="389"/>
        <v/>
      </c>
      <c r="U3355" s="11" t="str">
        <f t="shared" ca="1" si="390"/>
        <v/>
      </c>
      <c r="V3355" s="18" t="str">
        <f t="shared" ca="1" si="391"/>
        <v/>
      </c>
      <c r="W3355" s="61" t="str">
        <f t="shared" ca="1" si="392"/>
        <v/>
      </c>
      <c r="X3355" s="61">
        <f t="shared" ca="1" si="393"/>
        <v>0</v>
      </c>
      <c r="Y3355" s="64" t="str">
        <f t="shared" ca="1" si="394"/>
        <v/>
      </c>
    </row>
    <row r="3356" spans="1:25">
      <c r="A3356" s="2">
        <f>+Get_Data!A3355</f>
        <v>0</v>
      </c>
      <c r="B3356">
        <f>+ROUND(Get_Data!B3355,5)</f>
        <v>0</v>
      </c>
      <c r="C3356">
        <f>+ROUND(Get_Data!C3355,5)</f>
        <v>0</v>
      </c>
      <c r="D3356" s="4" t="str">
        <f t="shared" si="379"/>
        <v/>
      </c>
      <c r="E3356" s="22">
        <f t="shared" ca="1" si="380"/>
        <v>0</v>
      </c>
      <c r="F3356" s="23">
        <f t="shared" ca="1" si="381"/>
        <v>0</v>
      </c>
      <c r="G3356" s="10">
        <f t="shared" ca="1" si="382"/>
        <v>0</v>
      </c>
      <c r="H3356" s="12">
        <f t="shared" ca="1" si="383"/>
        <v>0</v>
      </c>
      <c r="I3356" s="11">
        <f t="shared" ca="1" si="384"/>
        <v>0</v>
      </c>
      <c r="J3356" s="11">
        <f t="shared" ca="1" si="385"/>
        <v>-1</v>
      </c>
      <c r="K3356" s="10">
        <f t="shared" ca="1" si="395"/>
        <v>131.24001000000001</v>
      </c>
      <c r="L3356" s="11">
        <f t="shared" ca="1" si="396"/>
        <v>-49.09</v>
      </c>
      <c r="M3356" s="11">
        <f t="shared" ca="1" si="397"/>
        <v>2.6734599999999999</v>
      </c>
      <c r="N3356" s="15">
        <f t="shared" ca="1" si="398"/>
        <v>10</v>
      </c>
      <c r="O3356" s="15">
        <f t="shared" ca="1" si="399"/>
        <v>27</v>
      </c>
      <c r="P3356" s="16">
        <f t="shared" ca="1" si="400"/>
        <v>-13.029899999999998</v>
      </c>
      <c r="Q3356" s="11" t="str">
        <f t="shared" ca="1" si="386"/>
        <v/>
      </c>
      <c r="R3356" s="11" t="str">
        <f t="shared" ca="1" si="387"/>
        <v/>
      </c>
      <c r="S3356" s="61" t="str">
        <f t="shared" ca="1" si="388"/>
        <v/>
      </c>
      <c r="T3356" s="11" t="str">
        <f t="shared" ca="1" si="389"/>
        <v/>
      </c>
      <c r="U3356" s="11" t="str">
        <f t="shared" ca="1" si="390"/>
        <v/>
      </c>
      <c r="V3356" s="18" t="str">
        <f t="shared" ca="1" si="391"/>
        <v/>
      </c>
      <c r="W3356" s="61" t="str">
        <f t="shared" ca="1" si="392"/>
        <v/>
      </c>
      <c r="X3356" s="61">
        <f t="shared" ca="1" si="393"/>
        <v>0</v>
      </c>
      <c r="Y3356" s="64" t="str">
        <f t="shared" ca="1" si="394"/>
        <v/>
      </c>
    </row>
    <row r="3357" spans="1:25">
      <c r="A3357" s="2">
        <f>+Get_Data!A3356</f>
        <v>0</v>
      </c>
      <c r="B3357">
        <f>+ROUND(Get_Data!B3356,5)</f>
        <v>0</v>
      </c>
      <c r="C3357">
        <f>+ROUND(Get_Data!C3356,5)</f>
        <v>0</v>
      </c>
      <c r="D3357" s="4" t="str">
        <f t="shared" si="379"/>
        <v/>
      </c>
      <c r="E3357" s="22">
        <f t="shared" ca="1" si="380"/>
        <v>0</v>
      </c>
      <c r="F3357" s="23">
        <f t="shared" ca="1" si="381"/>
        <v>0</v>
      </c>
      <c r="G3357" s="10">
        <f t="shared" ca="1" si="382"/>
        <v>0</v>
      </c>
      <c r="H3357" s="12">
        <f t="shared" ca="1" si="383"/>
        <v>0</v>
      </c>
      <c r="I3357" s="11">
        <f t="shared" ca="1" si="384"/>
        <v>0</v>
      </c>
      <c r="J3357" s="11">
        <f t="shared" ca="1" si="385"/>
        <v>-1</v>
      </c>
      <c r="K3357" s="10">
        <f t="shared" ca="1" si="395"/>
        <v>131.24001000000001</v>
      </c>
      <c r="L3357" s="11">
        <f t="shared" ca="1" si="396"/>
        <v>-49.09</v>
      </c>
      <c r="M3357" s="11">
        <f t="shared" ca="1" si="397"/>
        <v>2.6734599999999999</v>
      </c>
      <c r="N3357" s="15">
        <f t="shared" ca="1" si="398"/>
        <v>10</v>
      </c>
      <c r="O3357" s="15">
        <f t="shared" ca="1" si="399"/>
        <v>27</v>
      </c>
      <c r="P3357" s="16">
        <f t="shared" ca="1" si="400"/>
        <v>-13.029899999999998</v>
      </c>
      <c r="Q3357" s="11" t="str">
        <f t="shared" ca="1" si="386"/>
        <v/>
      </c>
      <c r="R3357" s="11" t="str">
        <f t="shared" ca="1" si="387"/>
        <v/>
      </c>
      <c r="S3357" s="61" t="str">
        <f t="shared" ca="1" si="388"/>
        <v/>
      </c>
      <c r="T3357" s="11" t="str">
        <f t="shared" ca="1" si="389"/>
        <v/>
      </c>
      <c r="U3357" s="11" t="str">
        <f t="shared" ca="1" si="390"/>
        <v/>
      </c>
      <c r="V3357" s="18" t="str">
        <f t="shared" ca="1" si="391"/>
        <v/>
      </c>
      <c r="W3357" s="61" t="str">
        <f t="shared" ca="1" si="392"/>
        <v/>
      </c>
      <c r="X3357" s="61">
        <f t="shared" ca="1" si="393"/>
        <v>0</v>
      </c>
      <c r="Y3357" s="64" t="str">
        <f t="shared" ca="1" si="394"/>
        <v/>
      </c>
    </row>
    <row r="3358" spans="1:25">
      <c r="A3358" s="2">
        <f>+Get_Data!A3357</f>
        <v>0</v>
      </c>
      <c r="B3358">
        <f>+ROUND(Get_Data!B3357,5)</f>
        <v>0</v>
      </c>
      <c r="C3358">
        <f>+ROUND(Get_Data!C3357,5)</f>
        <v>0</v>
      </c>
      <c r="D3358" s="4" t="str">
        <f t="shared" si="379"/>
        <v/>
      </c>
      <c r="E3358" s="22">
        <f t="shared" ca="1" si="380"/>
        <v>0</v>
      </c>
      <c r="F3358" s="23">
        <f t="shared" ca="1" si="381"/>
        <v>0</v>
      </c>
      <c r="G3358" s="10">
        <f t="shared" ca="1" si="382"/>
        <v>0</v>
      </c>
      <c r="H3358" s="12">
        <f t="shared" ca="1" si="383"/>
        <v>0</v>
      </c>
      <c r="I3358" s="11">
        <f t="shared" ca="1" si="384"/>
        <v>0</v>
      </c>
      <c r="J3358" s="11">
        <f t="shared" ca="1" si="385"/>
        <v>-1</v>
      </c>
      <c r="K3358" s="10">
        <f t="shared" ca="1" si="395"/>
        <v>131.24001000000001</v>
      </c>
      <c r="L3358" s="11">
        <f t="shared" ca="1" si="396"/>
        <v>-49.09</v>
      </c>
      <c r="M3358" s="11">
        <f t="shared" ca="1" si="397"/>
        <v>2.6734599999999999</v>
      </c>
      <c r="N3358" s="15">
        <f t="shared" ca="1" si="398"/>
        <v>10</v>
      </c>
      <c r="O3358" s="15">
        <f t="shared" ca="1" si="399"/>
        <v>27</v>
      </c>
      <c r="P3358" s="16">
        <f t="shared" ca="1" si="400"/>
        <v>-13.029899999999998</v>
      </c>
      <c r="Q3358" s="11" t="str">
        <f t="shared" ca="1" si="386"/>
        <v/>
      </c>
      <c r="R3358" s="11" t="str">
        <f t="shared" ca="1" si="387"/>
        <v/>
      </c>
      <c r="S3358" s="61" t="str">
        <f t="shared" ca="1" si="388"/>
        <v/>
      </c>
      <c r="T3358" s="11" t="str">
        <f t="shared" ca="1" si="389"/>
        <v/>
      </c>
      <c r="U3358" s="11" t="str">
        <f t="shared" ca="1" si="390"/>
        <v/>
      </c>
      <c r="V3358" s="18" t="str">
        <f t="shared" ca="1" si="391"/>
        <v/>
      </c>
      <c r="W3358" s="61" t="str">
        <f t="shared" ca="1" si="392"/>
        <v/>
      </c>
      <c r="X3358" s="61">
        <f t="shared" ca="1" si="393"/>
        <v>0</v>
      </c>
      <c r="Y3358" s="64" t="str">
        <f t="shared" ca="1" si="394"/>
        <v/>
      </c>
    </row>
    <row r="3359" spans="1:25">
      <c r="A3359" s="2">
        <f>+Get_Data!A3358</f>
        <v>0</v>
      </c>
      <c r="B3359">
        <f>+ROUND(Get_Data!B3358,5)</f>
        <v>0</v>
      </c>
      <c r="C3359">
        <f>+ROUND(Get_Data!C3358,5)</f>
        <v>0</v>
      </c>
      <c r="D3359" s="4" t="str">
        <f t="shared" si="379"/>
        <v/>
      </c>
      <c r="E3359" s="22">
        <f t="shared" ca="1" si="380"/>
        <v>0</v>
      </c>
      <c r="F3359" s="23">
        <f t="shared" ca="1" si="381"/>
        <v>0</v>
      </c>
      <c r="G3359" s="10">
        <f t="shared" ca="1" si="382"/>
        <v>0</v>
      </c>
      <c r="H3359" s="12">
        <f t="shared" ca="1" si="383"/>
        <v>0</v>
      </c>
      <c r="I3359" s="11">
        <f t="shared" ca="1" si="384"/>
        <v>0</v>
      </c>
      <c r="J3359" s="11">
        <f t="shared" ca="1" si="385"/>
        <v>-1</v>
      </c>
      <c r="K3359" s="10">
        <f t="shared" ca="1" si="395"/>
        <v>131.24001000000001</v>
      </c>
      <c r="L3359" s="11">
        <f t="shared" ca="1" si="396"/>
        <v>-49.09</v>
      </c>
      <c r="M3359" s="11">
        <f t="shared" ca="1" si="397"/>
        <v>2.6734599999999999</v>
      </c>
      <c r="N3359" s="15">
        <f t="shared" ca="1" si="398"/>
        <v>10</v>
      </c>
      <c r="O3359" s="15">
        <f t="shared" ca="1" si="399"/>
        <v>27</v>
      </c>
      <c r="P3359" s="16">
        <f t="shared" ca="1" si="400"/>
        <v>-13.029899999999998</v>
      </c>
      <c r="Q3359" s="11" t="str">
        <f t="shared" ca="1" si="386"/>
        <v/>
      </c>
      <c r="R3359" s="11" t="str">
        <f t="shared" ca="1" si="387"/>
        <v/>
      </c>
      <c r="S3359" s="61" t="str">
        <f t="shared" ca="1" si="388"/>
        <v/>
      </c>
      <c r="T3359" s="11" t="str">
        <f t="shared" ca="1" si="389"/>
        <v/>
      </c>
      <c r="U3359" s="11" t="str">
        <f t="shared" ca="1" si="390"/>
        <v/>
      </c>
      <c r="V3359" s="18" t="str">
        <f t="shared" ca="1" si="391"/>
        <v/>
      </c>
      <c r="W3359" s="61" t="str">
        <f t="shared" ca="1" si="392"/>
        <v/>
      </c>
      <c r="X3359" s="61">
        <f t="shared" ca="1" si="393"/>
        <v>0</v>
      </c>
      <c r="Y3359" s="64" t="str">
        <f t="shared" ca="1" si="394"/>
        <v/>
      </c>
    </row>
    <row r="3360" spans="1:25">
      <c r="A3360" s="2">
        <f>+Get_Data!A3359</f>
        <v>0</v>
      </c>
      <c r="B3360">
        <f>+ROUND(Get_Data!B3359,5)</f>
        <v>0</v>
      </c>
      <c r="C3360">
        <f>+ROUND(Get_Data!C3359,5)</f>
        <v>0</v>
      </c>
      <c r="D3360" s="4" t="str">
        <f t="shared" si="379"/>
        <v/>
      </c>
      <c r="E3360" s="22">
        <f t="shared" ca="1" si="380"/>
        <v>0</v>
      </c>
      <c r="F3360" s="23">
        <f t="shared" ca="1" si="381"/>
        <v>0</v>
      </c>
      <c r="G3360" s="10">
        <f t="shared" ca="1" si="382"/>
        <v>0</v>
      </c>
      <c r="H3360" s="12">
        <f t="shared" ca="1" si="383"/>
        <v>0</v>
      </c>
      <c r="I3360" s="11">
        <f t="shared" ca="1" si="384"/>
        <v>0</v>
      </c>
      <c r="J3360" s="11">
        <f t="shared" ca="1" si="385"/>
        <v>-1</v>
      </c>
      <c r="K3360" s="10">
        <f t="shared" ca="1" si="395"/>
        <v>131.24001000000001</v>
      </c>
      <c r="L3360" s="11">
        <f t="shared" ca="1" si="396"/>
        <v>-49.09</v>
      </c>
      <c r="M3360" s="11">
        <f t="shared" ca="1" si="397"/>
        <v>2.6734599999999999</v>
      </c>
      <c r="N3360" s="15">
        <f t="shared" ca="1" si="398"/>
        <v>10</v>
      </c>
      <c r="O3360" s="15">
        <f t="shared" ca="1" si="399"/>
        <v>27</v>
      </c>
      <c r="P3360" s="16">
        <f t="shared" ca="1" si="400"/>
        <v>-13.029899999999998</v>
      </c>
      <c r="Q3360" s="11" t="str">
        <f t="shared" ca="1" si="386"/>
        <v/>
      </c>
      <c r="R3360" s="11" t="str">
        <f t="shared" ca="1" si="387"/>
        <v/>
      </c>
      <c r="S3360" s="61" t="str">
        <f t="shared" ca="1" si="388"/>
        <v/>
      </c>
      <c r="T3360" s="11" t="str">
        <f t="shared" ca="1" si="389"/>
        <v/>
      </c>
      <c r="U3360" s="11" t="str">
        <f t="shared" ca="1" si="390"/>
        <v/>
      </c>
      <c r="V3360" s="18" t="str">
        <f t="shared" ca="1" si="391"/>
        <v/>
      </c>
      <c r="W3360" s="61" t="str">
        <f t="shared" ca="1" si="392"/>
        <v/>
      </c>
      <c r="X3360" s="61">
        <f t="shared" ca="1" si="393"/>
        <v>0</v>
      </c>
      <c r="Y3360" s="64" t="str">
        <f t="shared" ca="1" si="394"/>
        <v/>
      </c>
    </row>
    <row r="3361" spans="1:25">
      <c r="A3361" s="2">
        <f>+Get_Data!A3360</f>
        <v>0</v>
      </c>
      <c r="B3361">
        <f>+ROUND(Get_Data!B3360,5)</f>
        <v>0</v>
      </c>
      <c r="C3361">
        <f>+ROUND(Get_Data!C3360,5)</f>
        <v>0</v>
      </c>
      <c r="D3361" s="4" t="str">
        <f t="shared" si="379"/>
        <v/>
      </c>
      <c r="E3361" s="22">
        <f t="shared" ca="1" si="380"/>
        <v>0</v>
      </c>
      <c r="F3361" s="23">
        <f t="shared" ca="1" si="381"/>
        <v>0</v>
      </c>
      <c r="G3361" s="10">
        <f t="shared" ca="1" si="382"/>
        <v>0</v>
      </c>
      <c r="H3361" s="12">
        <f t="shared" ca="1" si="383"/>
        <v>0</v>
      </c>
      <c r="I3361" s="11">
        <f t="shared" ca="1" si="384"/>
        <v>0</v>
      </c>
      <c r="J3361" s="11">
        <f t="shared" ca="1" si="385"/>
        <v>-1</v>
      </c>
      <c r="K3361" s="10">
        <f t="shared" ca="1" si="395"/>
        <v>131.24001000000001</v>
      </c>
      <c r="L3361" s="11">
        <f t="shared" ca="1" si="396"/>
        <v>-49.09</v>
      </c>
      <c r="M3361" s="11">
        <f t="shared" ca="1" si="397"/>
        <v>2.6734599999999999</v>
      </c>
      <c r="N3361" s="15">
        <f t="shared" ca="1" si="398"/>
        <v>10</v>
      </c>
      <c r="O3361" s="15">
        <f t="shared" ca="1" si="399"/>
        <v>27</v>
      </c>
      <c r="P3361" s="16">
        <f t="shared" ca="1" si="400"/>
        <v>-13.029899999999998</v>
      </c>
      <c r="Q3361" s="11" t="str">
        <f t="shared" ca="1" si="386"/>
        <v/>
      </c>
      <c r="R3361" s="11" t="str">
        <f t="shared" ca="1" si="387"/>
        <v/>
      </c>
      <c r="S3361" s="61" t="str">
        <f t="shared" ca="1" si="388"/>
        <v/>
      </c>
      <c r="T3361" s="11" t="str">
        <f t="shared" ca="1" si="389"/>
        <v/>
      </c>
      <c r="U3361" s="11" t="str">
        <f t="shared" ca="1" si="390"/>
        <v/>
      </c>
      <c r="V3361" s="18" t="str">
        <f t="shared" ca="1" si="391"/>
        <v/>
      </c>
      <c r="W3361" s="61" t="str">
        <f t="shared" ca="1" si="392"/>
        <v/>
      </c>
      <c r="X3361" s="61">
        <f t="shared" ca="1" si="393"/>
        <v>0</v>
      </c>
      <c r="Y3361" s="64" t="str">
        <f t="shared" ca="1" si="394"/>
        <v/>
      </c>
    </row>
    <row r="3362" spans="1:25">
      <c r="A3362" s="2">
        <f>+Get_Data!A3361</f>
        <v>0</v>
      </c>
      <c r="B3362">
        <f>+ROUND(Get_Data!B3361,5)</f>
        <v>0</v>
      </c>
      <c r="C3362">
        <f>+ROUND(Get_Data!C3361,5)</f>
        <v>0</v>
      </c>
      <c r="D3362" s="4" t="str">
        <f t="shared" si="379"/>
        <v/>
      </c>
      <c r="E3362" s="22">
        <f t="shared" ca="1" si="380"/>
        <v>0</v>
      </c>
      <c r="F3362" s="23">
        <f t="shared" ca="1" si="381"/>
        <v>0</v>
      </c>
      <c r="G3362" s="10">
        <f t="shared" ca="1" si="382"/>
        <v>0</v>
      </c>
      <c r="H3362" s="12">
        <f t="shared" ca="1" si="383"/>
        <v>0</v>
      </c>
      <c r="I3362" s="11">
        <f t="shared" ca="1" si="384"/>
        <v>0</v>
      </c>
      <c r="J3362" s="11">
        <f t="shared" ca="1" si="385"/>
        <v>-1</v>
      </c>
      <c r="K3362" s="10">
        <f t="shared" ca="1" si="395"/>
        <v>131.24001000000001</v>
      </c>
      <c r="L3362" s="11">
        <f t="shared" ca="1" si="396"/>
        <v>-49.09</v>
      </c>
      <c r="M3362" s="11">
        <f t="shared" ca="1" si="397"/>
        <v>2.6734599999999999</v>
      </c>
      <c r="N3362" s="15">
        <f t="shared" ca="1" si="398"/>
        <v>10</v>
      </c>
      <c r="O3362" s="15">
        <f t="shared" ca="1" si="399"/>
        <v>27</v>
      </c>
      <c r="P3362" s="16">
        <f t="shared" ca="1" si="400"/>
        <v>-13.029899999999998</v>
      </c>
      <c r="Q3362" s="11" t="str">
        <f t="shared" ca="1" si="386"/>
        <v/>
      </c>
      <c r="R3362" s="11" t="str">
        <f t="shared" ca="1" si="387"/>
        <v/>
      </c>
      <c r="S3362" s="61" t="str">
        <f t="shared" ca="1" si="388"/>
        <v/>
      </c>
      <c r="T3362" s="11" t="str">
        <f t="shared" ca="1" si="389"/>
        <v/>
      </c>
      <c r="U3362" s="11" t="str">
        <f t="shared" ca="1" si="390"/>
        <v/>
      </c>
      <c r="V3362" s="18" t="str">
        <f t="shared" ca="1" si="391"/>
        <v/>
      </c>
      <c r="W3362" s="61" t="str">
        <f t="shared" ca="1" si="392"/>
        <v/>
      </c>
      <c r="X3362" s="61">
        <f t="shared" ca="1" si="393"/>
        <v>0</v>
      </c>
      <c r="Y3362" s="64" t="str">
        <f t="shared" ca="1" si="394"/>
        <v/>
      </c>
    </row>
    <row r="3363" spans="1:25">
      <c r="A3363" s="2">
        <f>+Get_Data!A3362</f>
        <v>0</v>
      </c>
      <c r="B3363">
        <f>+ROUND(Get_Data!B3362,5)</f>
        <v>0</v>
      </c>
      <c r="C3363">
        <f>+ROUND(Get_Data!C3362,5)</f>
        <v>0</v>
      </c>
      <c r="D3363" s="4" t="str">
        <f t="shared" si="379"/>
        <v/>
      </c>
      <c r="E3363" s="22">
        <f t="shared" ca="1" si="380"/>
        <v>0</v>
      </c>
      <c r="F3363" s="23">
        <f t="shared" ca="1" si="381"/>
        <v>0</v>
      </c>
      <c r="G3363" s="10">
        <f t="shared" ca="1" si="382"/>
        <v>0</v>
      </c>
      <c r="H3363" s="12">
        <f t="shared" ca="1" si="383"/>
        <v>0</v>
      </c>
      <c r="I3363" s="11">
        <f t="shared" ca="1" si="384"/>
        <v>0</v>
      </c>
      <c r="J3363" s="11">
        <f t="shared" ca="1" si="385"/>
        <v>-1</v>
      </c>
      <c r="K3363" s="10">
        <f t="shared" ca="1" si="395"/>
        <v>131.24001000000001</v>
      </c>
      <c r="L3363" s="11">
        <f t="shared" ca="1" si="396"/>
        <v>-49.09</v>
      </c>
      <c r="M3363" s="11">
        <f t="shared" ca="1" si="397"/>
        <v>2.6734599999999999</v>
      </c>
      <c r="N3363" s="15">
        <f t="shared" ca="1" si="398"/>
        <v>10</v>
      </c>
      <c r="O3363" s="15">
        <f t="shared" ca="1" si="399"/>
        <v>27</v>
      </c>
      <c r="P3363" s="16">
        <f t="shared" ca="1" si="400"/>
        <v>-13.029899999999998</v>
      </c>
      <c r="Q3363" s="11" t="str">
        <f t="shared" ca="1" si="386"/>
        <v/>
      </c>
      <c r="R3363" s="11" t="str">
        <f t="shared" ca="1" si="387"/>
        <v/>
      </c>
      <c r="S3363" s="61" t="str">
        <f t="shared" ca="1" si="388"/>
        <v/>
      </c>
      <c r="T3363" s="11" t="str">
        <f t="shared" ca="1" si="389"/>
        <v/>
      </c>
      <c r="U3363" s="11" t="str">
        <f t="shared" ca="1" si="390"/>
        <v/>
      </c>
      <c r="V3363" s="18" t="str">
        <f t="shared" ca="1" si="391"/>
        <v/>
      </c>
      <c r="W3363" s="61" t="str">
        <f t="shared" ca="1" si="392"/>
        <v/>
      </c>
      <c r="X3363" s="61">
        <f t="shared" ca="1" si="393"/>
        <v>0</v>
      </c>
      <c r="Y3363" s="64" t="str">
        <f t="shared" ca="1" si="394"/>
        <v/>
      </c>
    </row>
    <row r="3364" spans="1:25">
      <c r="A3364" s="2">
        <f>+Get_Data!A3363</f>
        <v>0</v>
      </c>
      <c r="B3364">
        <f>+ROUND(Get_Data!B3363,5)</f>
        <v>0</v>
      </c>
      <c r="C3364">
        <f>+ROUND(Get_Data!C3363,5)</f>
        <v>0</v>
      </c>
      <c r="D3364" s="4" t="str">
        <f t="shared" si="379"/>
        <v/>
      </c>
      <c r="E3364" s="22">
        <f t="shared" ca="1" si="380"/>
        <v>0</v>
      </c>
      <c r="F3364" s="23">
        <f t="shared" ca="1" si="381"/>
        <v>0</v>
      </c>
      <c r="G3364" s="10">
        <f t="shared" ca="1" si="382"/>
        <v>0</v>
      </c>
      <c r="H3364" s="12">
        <f t="shared" ca="1" si="383"/>
        <v>0</v>
      </c>
      <c r="I3364" s="11">
        <f t="shared" ca="1" si="384"/>
        <v>0</v>
      </c>
      <c r="J3364" s="11">
        <f t="shared" ca="1" si="385"/>
        <v>-1</v>
      </c>
      <c r="K3364" s="10">
        <f t="shared" ca="1" si="395"/>
        <v>131.24001000000001</v>
      </c>
      <c r="L3364" s="11">
        <f t="shared" ca="1" si="396"/>
        <v>-49.09</v>
      </c>
      <c r="M3364" s="11">
        <f t="shared" ca="1" si="397"/>
        <v>2.6734599999999999</v>
      </c>
      <c r="N3364" s="15">
        <f t="shared" ca="1" si="398"/>
        <v>10</v>
      </c>
      <c r="O3364" s="15">
        <f t="shared" ca="1" si="399"/>
        <v>27</v>
      </c>
      <c r="P3364" s="16">
        <f t="shared" ca="1" si="400"/>
        <v>-13.029899999999998</v>
      </c>
      <c r="Q3364" s="11" t="str">
        <f t="shared" ca="1" si="386"/>
        <v/>
      </c>
      <c r="R3364" s="11" t="str">
        <f t="shared" ca="1" si="387"/>
        <v/>
      </c>
      <c r="S3364" s="61" t="str">
        <f t="shared" ca="1" si="388"/>
        <v/>
      </c>
      <c r="T3364" s="11" t="str">
        <f t="shared" ca="1" si="389"/>
        <v/>
      </c>
      <c r="U3364" s="11" t="str">
        <f t="shared" ca="1" si="390"/>
        <v/>
      </c>
      <c r="V3364" s="18" t="str">
        <f t="shared" ca="1" si="391"/>
        <v/>
      </c>
      <c r="W3364" s="61" t="str">
        <f t="shared" ca="1" si="392"/>
        <v/>
      </c>
      <c r="X3364" s="61">
        <f t="shared" ca="1" si="393"/>
        <v>0</v>
      </c>
      <c r="Y3364" s="64" t="str">
        <f t="shared" ca="1" si="394"/>
        <v/>
      </c>
    </row>
    <row r="3365" spans="1:25">
      <c r="A3365" s="2">
        <f>+Get_Data!A3364</f>
        <v>0</v>
      </c>
      <c r="B3365">
        <f>+ROUND(Get_Data!B3364,5)</f>
        <v>0</v>
      </c>
      <c r="C3365">
        <f>+ROUND(Get_Data!C3364,5)</f>
        <v>0</v>
      </c>
      <c r="D3365" s="4" t="str">
        <f t="shared" si="379"/>
        <v/>
      </c>
      <c r="E3365" s="22">
        <f t="shared" ca="1" si="380"/>
        <v>0</v>
      </c>
      <c r="F3365" s="23">
        <f t="shared" ca="1" si="381"/>
        <v>0</v>
      </c>
      <c r="G3365" s="10">
        <f t="shared" ca="1" si="382"/>
        <v>0</v>
      </c>
      <c r="H3365" s="12">
        <f t="shared" ca="1" si="383"/>
        <v>0</v>
      </c>
      <c r="I3365" s="11">
        <f t="shared" ca="1" si="384"/>
        <v>0</v>
      </c>
      <c r="J3365" s="11">
        <f t="shared" ca="1" si="385"/>
        <v>-1</v>
      </c>
      <c r="K3365" s="10">
        <f t="shared" ca="1" si="395"/>
        <v>131.24001000000001</v>
      </c>
      <c r="L3365" s="11">
        <f t="shared" ca="1" si="396"/>
        <v>-49.09</v>
      </c>
      <c r="M3365" s="11">
        <f t="shared" ca="1" si="397"/>
        <v>2.6734599999999999</v>
      </c>
      <c r="N3365" s="15">
        <f t="shared" ca="1" si="398"/>
        <v>10</v>
      </c>
      <c r="O3365" s="15">
        <f t="shared" ca="1" si="399"/>
        <v>27</v>
      </c>
      <c r="P3365" s="16">
        <f t="shared" ca="1" si="400"/>
        <v>-13.029899999999998</v>
      </c>
      <c r="Q3365" s="11" t="str">
        <f t="shared" ca="1" si="386"/>
        <v/>
      </c>
      <c r="R3365" s="11" t="str">
        <f t="shared" ca="1" si="387"/>
        <v/>
      </c>
      <c r="S3365" s="61" t="str">
        <f t="shared" ca="1" si="388"/>
        <v/>
      </c>
      <c r="T3365" s="11" t="str">
        <f t="shared" ca="1" si="389"/>
        <v/>
      </c>
      <c r="U3365" s="11" t="str">
        <f t="shared" ca="1" si="390"/>
        <v/>
      </c>
      <c r="V3365" s="18" t="str">
        <f t="shared" ca="1" si="391"/>
        <v/>
      </c>
      <c r="W3365" s="61" t="str">
        <f t="shared" ca="1" si="392"/>
        <v/>
      </c>
      <c r="X3365" s="61">
        <f t="shared" ca="1" si="393"/>
        <v>0</v>
      </c>
      <c r="Y3365" s="64" t="str">
        <f t="shared" ca="1" si="394"/>
        <v/>
      </c>
    </row>
    <row r="3366" spans="1:25">
      <c r="A3366" s="2">
        <f>+Get_Data!A3365</f>
        <v>0</v>
      </c>
      <c r="B3366">
        <f>+ROUND(Get_Data!B3365,5)</f>
        <v>0</v>
      </c>
      <c r="C3366">
        <f>+ROUND(Get_Data!C3365,5)</f>
        <v>0</v>
      </c>
      <c r="D3366" s="4" t="str">
        <f t="shared" si="379"/>
        <v/>
      </c>
      <c r="E3366" s="22">
        <f t="shared" ca="1" si="380"/>
        <v>0</v>
      </c>
      <c r="F3366" s="23">
        <f t="shared" ca="1" si="381"/>
        <v>0</v>
      </c>
      <c r="G3366" s="10">
        <f t="shared" ca="1" si="382"/>
        <v>0</v>
      </c>
      <c r="H3366" s="12">
        <f t="shared" ca="1" si="383"/>
        <v>0</v>
      </c>
      <c r="I3366" s="11">
        <f t="shared" ca="1" si="384"/>
        <v>0</v>
      </c>
      <c r="J3366" s="11">
        <f t="shared" ca="1" si="385"/>
        <v>-1</v>
      </c>
      <c r="K3366" s="10">
        <f t="shared" ca="1" si="395"/>
        <v>131.24001000000001</v>
      </c>
      <c r="L3366" s="11">
        <f t="shared" ca="1" si="396"/>
        <v>-49.09</v>
      </c>
      <c r="M3366" s="11">
        <f t="shared" ca="1" si="397"/>
        <v>2.6734599999999999</v>
      </c>
      <c r="N3366" s="15">
        <f t="shared" ca="1" si="398"/>
        <v>10</v>
      </c>
      <c r="O3366" s="15">
        <f t="shared" ca="1" si="399"/>
        <v>27</v>
      </c>
      <c r="P3366" s="16">
        <f t="shared" ca="1" si="400"/>
        <v>-13.029899999999998</v>
      </c>
      <c r="Q3366" s="11" t="str">
        <f t="shared" ca="1" si="386"/>
        <v/>
      </c>
      <c r="R3366" s="11" t="str">
        <f t="shared" ca="1" si="387"/>
        <v/>
      </c>
      <c r="S3366" s="61" t="str">
        <f t="shared" ca="1" si="388"/>
        <v/>
      </c>
      <c r="T3366" s="11" t="str">
        <f t="shared" ca="1" si="389"/>
        <v/>
      </c>
      <c r="U3366" s="11" t="str">
        <f t="shared" ca="1" si="390"/>
        <v/>
      </c>
      <c r="V3366" s="18" t="str">
        <f t="shared" ca="1" si="391"/>
        <v/>
      </c>
      <c r="W3366" s="61" t="str">
        <f t="shared" ca="1" si="392"/>
        <v/>
      </c>
      <c r="X3366" s="61">
        <f t="shared" ca="1" si="393"/>
        <v>0</v>
      </c>
      <c r="Y3366" s="64" t="str">
        <f t="shared" ca="1" si="394"/>
        <v/>
      </c>
    </row>
    <row r="3367" spans="1:25">
      <c r="A3367" s="2">
        <f>+Get_Data!A3366</f>
        <v>0</v>
      </c>
      <c r="B3367">
        <f>+ROUND(Get_Data!B3366,5)</f>
        <v>0</v>
      </c>
      <c r="C3367">
        <f>+ROUND(Get_Data!C3366,5)</f>
        <v>0</v>
      </c>
      <c r="D3367" s="4" t="str">
        <f t="shared" si="379"/>
        <v/>
      </c>
      <c r="E3367" s="22">
        <f t="shared" ca="1" si="380"/>
        <v>0</v>
      </c>
      <c r="F3367" s="23">
        <f t="shared" ca="1" si="381"/>
        <v>0</v>
      </c>
      <c r="G3367" s="10">
        <f t="shared" ca="1" si="382"/>
        <v>0</v>
      </c>
      <c r="H3367" s="12">
        <f t="shared" ca="1" si="383"/>
        <v>0</v>
      </c>
      <c r="I3367" s="11">
        <f t="shared" ca="1" si="384"/>
        <v>0</v>
      </c>
      <c r="J3367" s="11">
        <f t="shared" ca="1" si="385"/>
        <v>-1</v>
      </c>
      <c r="K3367" s="10">
        <f t="shared" ca="1" si="395"/>
        <v>131.24001000000001</v>
      </c>
      <c r="L3367" s="11">
        <f t="shared" ca="1" si="396"/>
        <v>-49.09</v>
      </c>
      <c r="M3367" s="11">
        <f t="shared" ca="1" si="397"/>
        <v>2.6734599999999999</v>
      </c>
      <c r="N3367" s="15">
        <f t="shared" ca="1" si="398"/>
        <v>10</v>
      </c>
      <c r="O3367" s="15">
        <f t="shared" ca="1" si="399"/>
        <v>27</v>
      </c>
      <c r="P3367" s="16">
        <f t="shared" ca="1" si="400"/>
        <v>-13.029899999999998</v>
      </c>
      <c r="Q3367" s="11" t="str">
        <f t="shared" ca="1" si="386"/>
        <v/>
      </c>
      <c r="R3367" s="11" t="str">
        <f t="shared" ca="1" si="387"/>
        <v/>
      </c>
      <c r="S3367" s="61" t="str">
        <f t="shared" ca="1" si="388"/>
        <v/>
      </c>
      <c r="T3367" s="11" t="str">
        <f t="shared" ca="1" si="389"/>
        <v/>
      </c>
      <c r="U3367" s="11" t="str">
        <f t="shared" ca="1" si="390"/>
        <v/>
      </c>
      <c r="V3367" s="18" t="str">
        <f t="shared" ca="1" si="391"/>
        <v/>
      </c>
      <c r="W3367" s="61" t="str">
        <f t="shared" ca="1" si="392"/>
        <v/>
      </c>
      <c r="X3367" s="61">
        <f t="shared" ca="1" si="393"/>
        <v>0</v>
      </c>
      <c r="Y3367" s="64" t="str">
        <f t="shared" ca="1" si="394"/>
        <v/>
      </c>
    </row>
    <row r="3368" spans="1:25">
      <c r="A3368" s="2">
        <f>+Get_Data!A3367</f>
        <v>0</v>
      </c>
      <c r="B3368">
        <f>+ROUND(Get_Data!B3367,5)</f>
        <v>0</v>
      </c>
      <c r="C3368">
        <f>+ROUND(Get_Data!C3367,5)</f>
        <v>0</v>
      </c>
      <c r="D3368" s="4" t="str">
        <f t="shared" si="379"/>
        <v/>
      </c>
      <c r="E3368" s="22">
        <f t="shared" ca="1" si="380"/>
        <v>0</v>
      </c>
      <c r="F3368" s="23">
        <f t="shared" ca="1" si="381"/>
        <v>0</v>
      </c>
      <c r="G3368" s="10">
        <f t="shared" ca="1" si="382"/>
        <v>0</v>
      </c>
      <c r="H3368" s="12">
        <f t="shared" ca="1" si="383"/>
        <v>0</v>
      </c>
      <c r="I3368" s="11">
        <f t="shared" ca="1" si="384"/>
        <v>0</v>
      </c>
      <c r="J3368" s="11">
        <f t="shared" ca="1" si="385"/>
        <v>-1</v>
      </c>
      <c r="K3368" s="10">
        <f t="shared" ca="1" si="395"/>
        <v>131.24001000000001</v>
      </c>
      <c r="L3368" s="11">
        <f t="shared" ca="1" si="396"/>
        <v>-49.09</v>
      </c>
      <c r="M3368" s="11">
        <f t="shared" ca="1" si="397"/>
        <v>2.6734599999999999</v>
      </c>
      <c r="N3368" s="15">
        <f t="shared" ca="1" si="398"/>
        <v>10</v>
      </c>
      <c r="O3368" s="15">
        <f t="shared" ca="1" si="399"/>
        <v>27</v>
      </c>
      <c r="P3368" s="16">
        <f t="shared" ca="1" si="400"/>
        <v>-13.029899999999998</v>
      </c>
      <c r="Q3368" s="11" t="str">
        <f t="shared" ca="1" si="386"/>
        <v/>
      </c>
      <c r="R3368" s="11" t="str">
        <f t="shared" ca="1" si="387"/>
        <v/>
      </c>
      <c r="S3368" s="61" t="str">
        <f t="shared" ca="1" si="388"/>
        <v/>
      </c>
      <c r="T3368" s="11" t="str">
        <f t="shared" ca="1" si="389"/>
        <v/>
      </c>
      <c r="U3368" s="11" t="str">
        <f t="shared" ca="1" si="390"/>
        <v/>
      </c>
      <c r="V3368" s="18" t="str">
        <f t="shared" ca="1" si="391"/>
        <v/>
      </c>
      <c r="W3368" s="61" t="str">
        <f t="shared" ca="1" si="392"/>
        <v/>
      </c>
      <c r="X3368" s="61">
        <f t="shared" ca="1" si="393"/>
        <v>0</v>
      </c>
      <c r="Y3368" s="64" t="str">
        <f t="shared" ca="1" si="394"/>
        <v/>
      </c>
    </row>
    <row r="3369" spans="1:25">
      <c r="A3369" s="2">
        <f>+Get_Data!A3368</f>
        <v>0</v>
      </c>
      <c r="B3369">
        <f>+ROUND(Get_Data!B3368,5)</f>
        <v>0</v>
      </c>
      <c r="C3369">
        <f>+ROUND(Get_Data!C3368,5)</f>
        <v>0</v>
      </c>
      <c r="D3369" s="4" t="str">
        <f t="shared" si="379"/>
        <v/>
      </c>
      <c r="E3369" s="22">
        <f t="shared" ca="1" si="380"/>
        <v>0</v>
      </c>
      <c r="F3369" s="23">
        <f t="shared" ca="1" si="381"/>
        <v>0</v>
      </c>
      <c r="G3369" s="10">
        <f t="shared" ca="1" si="382"/>
        <v>0</v>
      </c>
      <c r="H3369" s="12">
        <f t="shared" ca="1" si="383"/>
        <v>0</v>
      </c>
      <c r="I3369" s="11">
        <f t="shared" ca="1" si="384"/>
        <v>0</v>
      </c>
      <c r="J3369" s="11">
        <f t="shared" ca="1" si="385"/>
        <v>-1</v>
      </c>
      <c r="K3369" s="10">
        <f t="shared" ca="1" si="395"/>
        <v>131.24001000000001</v>
      </c>
      <c r="L3369" s="11">
        <f t="shared" ca="1" si="396"/>
        <v>-49.09</v>
      </c>
      <c r="M3369" s="11">
        <f t="shared" ca="1" si="397"/>
        <v>2.6734599999999999</v>
      </c>
      <c r="N3369" s="15">
        <f t="shared" ca="1" si="398"/>
        <v>10</v>
      </c>
      <c r="O3369" s="15">
        <f t="shared" ca="1" si="399"/>
        <v>27</v>
      </c>
      <c r="P3369" s="16">
        <f t="shared" ca="1" si="400"/>
        <v>-13.029899999999998</v>
      </c>
      <c r="Q3369" s="11" t="str">
        <f t="shared" ca="1" si="386"/>
        <v/>
      </c>
      <c r="R3369" s="11" t="str">
        <f t="shared" ca="1" si="387"/>
        <v/>
      </c>
      <c r="S3369" s="61" t="str">
        <f t="shared" ca="1" si="388"/>
        <v/>
      </c>
      <c r="T3369" s="11" t="str">
        <f t="shared" ca="1" si="389"/>
        <v/>
      </c>
      <c r="U3369" s="11" t="str">
        <f t="shared" ca="1" si="390"/>
        <v/>
      </c>
      <c r="V3369" s="18" t="str">
        <f t="shared" ca="1" si="391"/>
        <v/>
      </c>
      <c r="W3369" s="61" t="str">
        <f t="shared" ca="1" si="392"/>
        <v/>
      </c>
      <c r="X3369" s="61">
        <f t="shared" ca="1" si="393"/>
        <v>0</v>
      </c>
      <c r="Y3369" s="64" t="str">
        <f t="shared" ca="1" si="394"/>
        <v/>
      </c>
    </row>
    <row r="3370" spans="1:25">
      <c r="A3370" s="2">
        <f>+Get_Data!A3369</f>
        <v>0</v>
      </c>
      <c r="B3370">
        <f>+ROUND(Get_Data!B3369,5)</f>
        <v>0</v>
      </c>
      <c r="C3370">
        <f>+ROUND(Get_Data!C3369,5)</f>
        <v>0</v>
      </c>
      <c r="D3370" s="4" t="str">
        <f t="shared" si="379"/>
        <v/>
      </c>
      <c r="E3370" s="22">
        <f t="shared" ca="1" si="380"/>
        <v>0</v>
      </c>
      <c r="F3370" s="23">
        <f t="shared" ca="1" si="381"/>
        <v>0</v>
      </c>
      <c r="G3370" s="10">
        <f t="shared" ca="1" si="382"/>
        <v>0</v>
      </c>
      <c r="H3370" s="12">
        <f t="shared" ca="1" si="383"/>
        <v>0</v>
      </c>
      <c r="I3370" s="11">
        <f t="shared" ca="1" si="384"/>
        <v>0</v>
      </c>
      <c r="J3370" s="11">
        <f t="shared" ca="1" si="385"/>
        <v>-1</v>
      </c>
      <c r="K3370" s="10">
        <f t="shared" ca="1" si="395"/>
        <v>131.24001000000001</v>
      </c>
      <c r="L3370" s="11">
        <f t="shared" ca="1" si="396"/>
        <v>-49.09</v>
      </c>
      <c r="M3370" s="11">
        <f t="shared" ca="1" si="397"/>
        <v>2.6734599999999999</v>
      </c>
      <c r="N3370" s="15">
        <f t="shared" ca="1" si="398"/>
        <v>10</v>
      </c>
      <c r="O3370" s="15">
        <f t="shared" ca="1" si="399"/>
        <v>27</v>
      </c>
      <c r="P3370" s="16">
        <f t="shared" ca="1" si="400"/>
        <v>-13.029899999999998</v>
      </c>
      <c r="Q3370" s="11" t="str">
        <f t="shared" ca="1" si="386"/>
        <v/>
      </c>
      <c r="R3370" s="11" t="str">
        <f t="shared" ca="1" si="387"/>
        <v/>
      </c>
      <c r="S3370" s="61" t="str">
        <f t="shared" ca="1" si="388"/>
        <v/>
      </c>
      <c r="T3370" s="11" t="str">
        <f t="shared" ca="1" si="389"/>
        <v/>
      </c>
      <c r="U3370" s="11" t="str">
        <f t="shared" ca="1" si="390"/>
        <v/>
      </c>
      <c r="V3370" s="18" t="str">
        <f t="shared" ca="1" si="391"/>
        <v/>
      </c>
      <c r="W3370" s="61" t="str">
        <f t="shared" ca="1" si="392"/>
        <v/>
      </c>
      <c r="X3370" s="61">
        <f t="shared" ca="1" si="393"/>
        <v>0</v>
      </c>
      <c r="Y3370" s="64" t="str">
        <f t="shared" ca="1" si="394"/>
        <v/>
      </c>
    </row>
    <row r="3371" spans="1:25">
      <c r="A3371" s="2">
        <f>+Get_Data!A3370</f>
        <v>0</v>
      </c>
      <c r="B3371">
        <f>+ROUND(Get_Data!B3370,5)</f>
        <v>0</v>
      </c>
      <c r="C3371">
        <f>+ROUND(Get_Data!C3370,5)</f>
        <v>0</v>
      </c>
      <c r="D3371" s="4" t="str">
        <f t="shared" si="379"/>
        <v/>
      </c>
      <c r="E3371" s="22">
        <f t="shared" ca="1" si="380"/>
        <v>0</v>
      </c>
      <c r="F3371" s="23">
        <f t="shared" ca="1" si="381"/>
        <v>0</v>
      </c>
      <c r="G3371" s="10">
        <f t="shared" ca="1" si="382"/>
        <v>0</v>
      </c>
      <c r="H3371" s="12">
        <f t="shared" ca="1" si="383"/>
        <v>0</v>
      </c>
      <c r="I3371" s="11">
        <f t="shared" ca="1" si="384"/>
        <v>0</v>
      </c>
      <c r="J3371" s="11">
        <f t="shared" ca="1" si="385"/>
        <v>-1</v>
      </c>
      <c r="K3371" s="10">
        <f t="shared" ca="1" si="395"/>
        <v>131.24001000000001</v>
      </c>
      <c r="L3371" s="11">
        <f t="shared" ca="1" si="396"/>
        <v>-49.09</v>
      </c>
      <c r="M3371" s="11">
        <f t="shared" ca="1" si="397"/>
        <v>2.6734599999999999</v>
      </c>
      <c r="N3371" s="15">
        <f t="shared" ca="1" si="398"/>
        <v>10</v>
      </c>
      <c r="O3371" s="15">
        <f t="shared" ca="1" si="399"/>
        <v>27</v>
      </c>
      <c r="P3371" s="16">
        <f t="shared" ca="1" si="400"/>
        <v>-13.029899999999998</v>
      </c>
      <c r="Q3371" s="11" t="str">
        <f t="shared" ca="1" si="386"/>
        <v/>
      </c>
      <c r="R3371" s="11" t="str">
        <f t="shared" ca="1" si="387"/>
        <v/>
      </c>
      <c r="S3371" s="61" t="str">
        <f t="shared" ca="1" si="388"/>
        <v/>
      </c>
      <c r="T3371" s="11" t="str">
        <f t="shared" ca="1" si="389"/>
        <v/>
      </c>
      <c r="U3371" s="11" t="str">
        <f t="shared" ca="1" si="390"/>
        <v/>
      </c>
      <c r="V3371" s="18" t="str">
        <f t="shared" ca="1" si="391"/>
        <v/>
      </c>
      <c r="W3371" s="61" t="str">
        <f t="shared" ca="1" si="392"/>
        <v/>
      </c>
      <c r="X3371" s="61">
        <f t="shared" ca="1" si="393"/>
        <v>0</v>
      </c>
      <c r="Y3371" s="64" t="str">
        <f t="shared" ca="1" si="394"/>
        <v/>
      </c>
    </row>
    <row r="3372" spans="1:25">
      <c r="A3372" s="2">
        <f>+Get_Data!A3371</f>
        <v>0</v>
      </c>
      <c r="B3372">
        <f>+ROUND(Get_Data!B3371,5)</f>
        <v>0</v>
      </c>
      <c r="C3372">
        <f>+ROUND(Get_Data!C3371,5)</f>
        <v>0</v>
      </c>
      <c r="D3372" s="4" t="str">
        <f t="shared" si="379"/>
        <v/>
      </c>
      <c r="E3372" s="22">
        <f t="shared" ca="1" si="380"/>
        <v>0</v>
      </c>
      <c r="F3372" s="23">
        <f t="shared" ca="1" si="381"/>
        <v>0</v>
      </c>
      <c r="G3372" s="10">
        <f t="shared" ca="1" si="382"/>
        <v>0</v>
      </c>
      <c r="H3372" s="12">
        <f t="shared" ca="1" si="383"/>
        <v>0</v>
      </c>
      <c r="I3372" s="11">
        <f t="shared" ca="1" si="384"/>
        <v>0</v>
      </c>
      <c r="J3372" s="11">
        <f t="shared" ca="1" si="385"/>
        <v>-1</v>
      </c>
      <c r="K3372" s="10">
        <f t="shared" ca="1" si="395"/>
        <v>131.24001000000001</v>
      </c>
      <c r="L3372" s="11">
        <f t="shared" ca="1" si="396"/>
        <v>-49.09</v>
      </c>
      <c r="M3372" s="11">
        <f t="shared" ca="1" si="397"/>
        <v>2.6734599999999999</v>
      </c>
      <c r="N3372" s="15">
        <f t="shared" ca="1" si="398"/>
        <v>10</v>
      </c>
      <c r="O3372" s="15">
        <f t="shared" ca="1" si="399"/>
        <v>27</v>
      </c>
      <c r="P3372" s="16">
        <f t="shared" ca="1" si="400"/>
        <v>-13.029899999999998</v>
      </c>
      <c r="Q3372" s="11" t="str">
        <f t="shared" ca="1" si="386"/>
        <v/>
      </c>
      <c r="R3372" s="11" t="str">
        <f t="shared" ca="1" si="387"/>
        <v/>
      </c>
      <c r="S3372" s="61" t="str">
        <f t="shared" ca="1" si="388"/>
        <v/>
      </c>
      <c r="T3372" s="11" t="str">
        <f t="shared" ca="1" si="389"/>
        <v/>
      </c>
      <c r="U3372" s="11" t="str">
        <f t="shared" ca="1" si="390"/>
        <v/>
      </c>
      <c r="V3372" s="18" t="str">
        <f t="shared" ca="1" si="391"/>
        <v/>
      </c>
      <c r="W3372" s="61" t="str">
        <f t="shared" ca="1" si="392"/>
        <v/>
      </c>
      <c r="X3372" s="61">
        <f t="shared" ca="1" si="393"/>
        <v>0</v>
      </c>
      <c r="Y3372" s="64" t="str">
        <f t="shared" ca="1" si="394"/>
        <v/>
      </c>
    </row>
    <row r="3373" spans="1:25">
      <c r="A3373" s="2">
        <f>+Get_Data!A3372</f>
        <v>0</v>
      </c>
      <c r="B3373">
        <f>+ROUND(Get_Data!B3372,5)</f>
        <v>0</v>
      </c>
      <c r="C3373">
        <f>+ROUND(Get_Data!C3372,5)</f>
        <v>0</v>
      </c>
      <c r="D3373" s="4" t="str">
        <f t="shared" si="379"/>
        <v/>
      </c>
      <c r="E3373" s="22">
        <f t="shared" ca="1" si="380"/>
        <v>0</v>
      </c>
      <c r="F3373" s="23">
        <f t="shared" ca="1" si="381"/>
        <v>0</v>
      </c>
      <c r="G3373" s="10">
        <f t="shared" ca="1" si="382"/>
        <v>0</v>
      </c>
      <c r="H3373" s="12">
        <f t="shared" ca="1" si="383"/>
        <v>0</v>
      </c>
      <c r="I3373" s="11">
        <f t="shared" ca="1" si="384"/>
        <v>0</v>
      </c>
      <c r="J3373" s="11">
        <f t="shared" ca="1" si="385"/>
        <v>-1</v>
      </c>
      <c r="K3373" s="10">
        <f t="shared" ca="1" si="395"/>
        <v>131.24001000000001</v>
      </c>
      <c r="L3373" s="11">
        <f t="shared" ca="1" si="396"/>
        <v>-49.09</v>
      </c>
      <c r="M3373" s="11">
        <f t="shared" ca="1" si="397"/>
        <v>2.6734599999999999</v>
      </c>
      <c r="N3373" s="15">
        <f t="shared" ca="1" si="398"/>
        <v>10</v>
      </c>
      <c r="O3373" s="15">
        <f t="shared" ca="1" si="399"/>
        <v>27</v>
      </c>
      <c r="P3373" s="16">
        <f t="shared" ca="1" si="400"/>
        <v>-13.029899999999998</v>
      </c>
      <c r="Q3373" s="11" t="str">
        <f t="shared" ca="1" si="386"/>
        <v/>
      </c>
      <c r="R3373" s="11" t="str">
        <f t="shared" ca="1" si="387"/>
        <v/>
      </c>
      <c r="S3373" s="61" t="str">
        <f t="shared" ca="1" si="388"/>
        <v/>
      </c>
      <c r="T3373" s="11" t="str">
        <f t="shared" ca="1" si="389"/>
        <v/>
      </c>
      <c r="U3373" s="11" t="str">
        <f t="shared" ca="1" si="390"/>
        <v/>
      </c>
      <c r="V3373" s="18" t="str">
        <f t="shared" ca="1" si="391"/>
        <v/>
      </c>
      <c r="W3373" s="61" t="str">
        <f t="shared" ca="1" si="392"/>
        <v/>
      </c>
      <c r="X3373" s="61">
        <f t="shared" ca="1" si="393"/>
        <v>0</v>
      </c>
      <c r="Y3373" s="64" t="str">
        <f t="shared" ca="1" si="394"/>
        <v/>
      </c>
    </row>
    <row r="3374" spans="1:25">
      <c r="A3374" s="2">
        <f>+Get_Data!A3373</f>
        <v>0</v>
      </c>
      <c r="B3374">
        <f>+ROUND(Get_Data!B3373,5)</f>
        <v>0</v>
      </c>
      <c r="C3374">
        <f>+ROUND(Get_Data!C3373,5)</f>
        <v>0</v>
      </c>
      <c r="D3374" s="4" t="str">
        <f t="shared" si="379"/>
        <v/>
      </c>
      <c r="E3374" s="22">
        <f t="shared" ca="1" si="380"/>
        <v>0</v>
      </c>
      <c r="F3374" s="23">
        <f t="shared" ca="1" si="381"/>
        <v>0</v>
      </c>
      <c r="G3374" s="10">
        <f t="shared" ca="1" si="382"/>
        <v>0</v>
      </c>
      <c r="H3374" s="12">
        <f t="shared" ca="1" si="383"/>
        <v>0</v>
      </c>
      <c r="I3374" s="11">
        <f t="shared" ca="1" si="384"/>
        <v>0</v>
      </c>
      <c r="J3374" s="11">
        <f t="shared" ca="1" si="385"/>
        <v>-1</v>
      </c>
      <c r="K3374" s="10">
        <f t="shared" ca="1" si="395"/>
        <v>131.24001000000001</v>
      </c>
      <c r="L3374" s="11">
        <f t="shared" ca="1" si="396"/>
        <v>-49.09</v>
      </c>
      <c r="M3374" s="11">
        <f t="shared" ca="1" si="397"/>
        <v>2.6734599999999999</v>
      </c>
      <c r="N3374" s="15">
        <f t="shared" ca="1" si="398"/>
        <v>10</v>
      </c>
      <c r="O3374" s="15">
        <f t="shared" ca="1" si="399"/>
        <v>27</v>
      </c>
      <c r="P3374" s="16">
        <f t="shared" ca="1" si="400"/>
        <v>-13.029899999999998</v>
      </c>
      <c r="Q3374" s="11" t="str">
        <f t="shared" ca="1" si="386"/>
        <v/>
      </c>
      <c r="R3374" s="11" t="str">
        <f t="shared" ca="1" si="387"/>
        <v/>
      </c>
      <c r="S3374" s="61" t="str">
        <f t="shared" ca="1" si="388"/>
        <v/>
      </c>
      <c r="T3374" s="11" t="str">
        <f t="shared" ca="1" si="389"/>
        <v/>
      </c>
      <c r="U3374" s="11" t="str">
        <f t="shared" ca="1" si="390"/>
        <v/>
      </c>
      <c r="V3374" s="18" t="str">
        <f t="shared" ca="1" si="391"/>
        <v/>
      </c>
      <c r="W3374" s="61" t="str">
        <f t="shared" ca="1" si="392"/>
        <v/>
      </c>
      <c r="X3374" s="61">
        <f t="shared" ca="1" si="393"/>
        <v>0</v>
      </c>
      <c r="Y3374" s="64" t="str">
        <f t="shared" ca="1" si="394"/>
        <v/>
      </c>
    </row>
    <row r="3375" spans="1:25">
      <c r="A3375" s="2">
        <f>+Get_Data!A3374</f>
        <v>0</v>
      </c>
      <c r="B3375">
        <f>+ROUND(Get_Data!B3374,5)</f>
        <v>0</v>
      </c>
      <c r="C3375">
        <f>+ROUND(Get_Data!C3374,5)</f>
        <v>0</v>
      </c>
      <c r="D3375" s="4" t="str">
        <f t="shared" si="379"/>
        <v/>
      </c>
      <c r="E3375" s="22">
        <f t="shared" ca="1" si="380"/>
        <v>0</v>
      </c>
      <c r="F3375" s="23">
        <f t="shared" ca="1" si="381"/>
        <v>0</v>
      </c>
      <c r="G3375" s="10">
        <f t="shared" ca="1" si="382"/>
        <v>0</v>
      </c>
      <c r="H3375" s="12">
        <f t="shared" ca="1" si="383"/>
        <v>0</v>
      </c>
      <c r="I3375" s="11">
        <f t="shared" ca="1" si="384"/>
        <v>0</v>
      </c>
      <c r="J3375" s="11">
        <f t="shared" ca="1" si="385"/>
        <v>-1</v>
      </c>
      <c r="K3375" s="10">
        <f t="shared" ca="1" si="395"/>
        <v>131.24001000000001</v>
      </c>
      <c r="L3375" s="11">
        <f t="shared" ca="1" si="396"/>
        <v>-49.09</v>
      </c>
      <c r="M3375" s="11">
        <f t="shared" ca="1" si="397"/>
        <v>2.6734599999999999</v>
      </c>
      <c r="N3375" s="15">
        <f t="shared" ca="1" si="398"/>
        <v>10</v>
      </c>
      <c r="O3375" s="15">
        <f t="shared" ca="1" si="399"/>
        <v>27</v>
      </c>
      <c r="P3375" s="16">
        <f t="shared" ca="1" si="400"/>
        <v>-13.029899999999998</v>
      </c>
      <c r="Q3375" s="11" t="str">
        <f t="shared" ca="1" si="386"/>
        <v/>
      </c>
      <c r="R3375" s="11" t="str">
        <f t="shared" ca="1" si="387"/>
        <v/>
      </c>
      <c r="S3375" s="61" t="str">
        <f t="shared" ca="1" si="388"/>
        <v/>
      </c>
      <c r="T3375" s="11" t="str">
        <f t="shared" ca="1" si="389"/>
        <v/>
      </c>
      <c r="U3375" s="11" t="str">
        <f t="shared" ca="1" si="390"/>
        <v/>
      </c>
      <c r="V3375" s="18" t="str">
        <f t="shared" ca="1" si="391"/>
        <v/>
      </c>
      <c r="W3375" s="61" t="str">
        <f t="shared" ca="1" si="392"/>
        <v/>
      </c>
      <c r="X3375" s="61">
        <f t="shared" ca="1" si="393"/>
        <v>0</v>
      </c>
      <c r="Y3375" s="64" t="str">
        <f t="shared" ca="1" si="394"/>
        <v/>
      </c>
    </row>
    <row r="3376" spans="1:25">
      <c r="A3376" s="2">
        <f>+Get_Data!A3375</f>
        <v>0</v>
      </c>
      <c r="B3376">
        <f>+ROUND(Get_Data!B3375,5)</f>
        <v>0</v>
      </c>
      <c r="C3376">
        <f>+ROUND(Get_Data!C3375,5)</f>
        <v>0</v>
      </c>
      <c r="D3376" s="4" t="str">
        <f t="shared" si="379"/>
        <v/>
      </c>
      <c r="E3376" s="22">
        <f t="shared" ca="1" si="380"/>
        <v>0</v>
      </c>
      <c r="F3376" s="23">
        <f t="shared" ca="1" si="381"/>
        <v>0</v>
      </c>
      <c r="G3376" s="10">
        <f t="shared" ca="1" si="382"/>
        <v>0</v>
      </c>
      <c r="H3376" s="12">
        <f t="shared" ca="1" si="383"/>
        <v>0</v>
      </c>
      <c r="I3376" s="11">
        <f t="shared" ca="1" si="384"/>
        <v>0</v>
      </c>
      <c r="J3376" s="11">
        <f t="shared" ca="1" si="385"/>
        <v>-1</v>
      </c>
      <c r="K3376" s="10">
        <f t="shared" ca="1" si="395"/>
        <v>131.24001000000001</v>
      </c>
      <c r="L3376" s="11">
        <f t="shared" ca="1" si="396"/>
        <v>-49.09</v>
      </c>
      <c r="M3376" s="11">
        <f t="shared" ca="1" si="397"/>
        <v>2.6734599999999999</v>
      </c>
      <c r="N3376" s="15">
        <f t="shared" ca="1" si="398"/>
        <v>10</v>
      </c>
      <c r="O3376" s="15">
        <f t="shared" ca="1" si="399"/>
        <v>27</v>
      </c>
      <c r="P3376" s="16">
        <f t="shared" ca="1" si="400"/>
        <v>-13.029899999999998</v>
      </c>
      <c r="Q3376" s="11" t="str">
        <f t="shared" ca="1" si="386"/>
        <v/>
      </c>
      <c r="R3376" s="11" t="str">
        <f t="shared" ca="1" si="387"/>
        <v/>
      </c>
      <c r="S3376" s="61" t="str">
        <f t="shared" ca="1" si="388"/>
        <v/>
      </c>
      <c r="T3376" s="11" t="str">
        <f t="shared" ca="1" si="389"/>
        <v/>
      </c>
      <c r="U3376" s="11" t="str">
        <f t="shared" ca="1" si="390"/>
        <v/>
      </c>
      <c r="V3376" s="18" t="str">
        <f t="shared" ca="1" si="391"/>
        <v/>
      </c>
      <c r="W3376" s="61" t="str">
        <f t="shared" ca="1" si="392"/>
        <v/>
      </c>
      <c r="X3376" s="61">
        <f t="shared" ca="1" si="393"/>
        <v>0</v>
      </c>
      <c r="Y3376" s="64" t="str">
        <f t="shared" ca="1" si="394"/>
        <v/>
      </c>
    </row>
    <row r="3377" spans="1:25">
      <c r="A3377" s="2">
        <f>+Get_Data!A3376</f>
        <v>0</v>
      </c>
      <c r="B3377">
        <f>+ROUND(Get_Data!B3376,5)</f>
        <v>0</v>
      </c>
      <c r="C3377">
        <f>+ROUND(Get_Data!C3376,5)</f>
        <v>0</v>
      </c>
      <c r="D3377" s="4" t="str">
        <f t="shared" si="379"/>
        <v/>
      </c>
      <c r="E3377" s="22">
        <f t="shared" ca="1" si="380"/>
        <v>0</v>
      </c>
      <c r="F3377" s="23">
        <f t="shared" ca="1" si="381"/>
        <v>0</v>
      </c>
      <c r="G3377" s="10">
        <f t="shared" ca="1" si="382"/>
        <v>0</v>
      </c>
      <c r="H3377" s="12">
        <f t="shared" ca="1" si="383"/>
        <v>0</v>
      </c>
      <c r="I3377" s="11">
        <f t="shared" ca="1" si="384"/>
        <v>0</v>
      </c>
      <c r="J3377" s="11">
        <f t="shared" ca="1" si="385"/>
        <v>-1</v>
      </c>
      <c r="K3377" s="10">
        <f t="shared" ca="1" si="395"/>
        <v>131.24001000000001</v>
      </c>
      <c r="L3377" s="11">
        <f t="shared" ca="1" si="396"/>
        <v>-49.09</v>
      </c>
      <c r="M3377" s="11">
        <f t="shared" ca="1" si="397"/>
        <v>2.6734599999999999</v>
      </c>
      <c r="N3377" s="15">
        <f t="shared" ca="1" si="398"/>
        <v>10</v>
      </c>
      <c r="O3377" s="15">
        <f t="shared" ca="1" si="399"/>
        <v>27</v>
      </c>
      <c r="P3377" s="16">
        <f t="shared" ca="1" si="400"/>
        <v>-13.029899999999998</v>
      </c>
      <c r="Q3377" s="11" t="str">
        <f t="shared" ca="1" si="386"/>
        <v/>
      </c>
      <c r="R3377" s="11" t="str">
        <f t="shared" ca="1" si="387"/>
        <v/>
      </c>
      <c r="S3377" s="61" t="str">
        <f t="shared" ca="1" si="388"/>
        <v/>
      </c>
      <c r="T3377" s="11" t="str">
        <f t="shared" ca="1" si="389"/>
        <v/>
      </c>
      <c r="U3377" s="11" t="str">
        <f t="shared" ca="1" si="390"/>
        <v/>
      </c>
      <c r="V3377" s="18" t="str">
        <f t="shared" ca="1" si="391"/>
        <v/>
      </c>
      <c r="W3377" s="61" t="str">
        <f t="shared" ca="1" si="392"/>
        <v/>
      </c>
      <c r="X3377" s="61">
        <f t="shared" ca="1" si="393"/>
        <v>0</v>
      </c>
      <c r="Y3377" s="64" t="str">
        <f t="shared" ca="1" si="394"/>
        <v/>
      </c>
    </row>
    <row r="3378" spans="1:25">
      <c r="A3378" s="2">
        <f>+Get_Data!A3377</f>
        <v>0</v>
      </c>
      <c r="B3378">
        <f>+ROUND(Get_Data!B3377,5)</f>
        <v>0</v>
      </c>
      <c r="C3378">
        <f>+ROUND(Get_Data!C3377,5)</f>
        <v>0</v>
      </c>
      <c r="D3378" s="4" t="str">
        <f t="shared" ref="D3378:D3441" si="401">IFERROR(ROUND(B3378/C3378,5),"")</f>
        <v/>
      </c>
      <c r="E3378" s="22">
        <f t="shared" ca="1" si="380"/>
        <v>0</v>
      </c>
      <c r="F3378" s="23">
        <f t="shared" ca="1" si="381"/>
        <v>0</v>
      </c>
      <c r="G3378" s="10">
        <f t="shared" ca="1" si="382"/>
        <v>0</v>
      </c>
      <c r="H3378" s="12">
        <f t="shared" ca="1" si="383"/>
        <v>0</v>
      </c>
      <c r="I3378" s="11">
        <f t="shared" ca="1" si="384"/>
        <v>0</v>
      </c>
      <c r="J3378" s="11">
        <f t="shared" ca="1" si="385"/>
        <v>-1</v>
      </c>
      <c r="K3378" s="10">
        <f t="shared" ca="1" si="395"/>
        <v>131.24001000000001</v>
      </c>
      <c r="L3378" s="11">
        <f t="shared" ca="1" si="396"/>
        <v>-49.09</v>
      </c>
      <c r="M3378" s="11">
        <f t="shared" ca="1" si="397"/>
        <v>2.6734599999999999</v>
      </c>
      <c r="N3378" s="15">
        <f t="shared" ca="1" si="398"/>
        <v>10</v>
      </c>
      <c r="O3378" s="15">
        <f t="shared" ca="1" si="399"/>
        <v>27</v>
      </c>
      <c r="P3378" s="16">
        <f t="shared" ca="1" si="400"/>
        <v>-13.029899999999998</v>
      </c>
      <c r="Q3378" s="11" t="str">
        <f t="shared" ca="1" si="386"/>
        <v/>
      </c>
      <c r="R3378" s="11" t="str">
        <f t="shared" ca="1" si="387"/>
        <v/>
      </c>
      <c r="S3378" s="61" t="str">
        <f t="shared" ca="1" si="388"/>
        <v/>
      </c>
      <c r="T3378" s="11" t="str">
        <f t="shared" ca="1" si="389"/>
        <v/>
      </c>
      <c r="U3378" s="11" t="str">
        <f t="shared" ca="1" si="390"/>
        <v/>
      </c>
      <c r="V3378" s="18" t="str">
        <f t="shared" ca="1" si="391"/>
        <v/>
      </c>
      <c r="W3378" s="61" t="str">
        <f t="shared" ca="1" si="392"/>
        <v/>
      </c>
      <c r="X3378" s="61">
        <f t="shared" ca="1" si="393"/>
        <v>0</v>
      </c>
      <c r="Y3378" s="64" t="str">
        <f t="shared" ca="1" si="394"/>
        <v/>
      </c>
    </row>
    <row r="3379" spans="1:25">
      <c r="A3379" s="2">
        <f>+Get_Data!A3378</f>
        <v>0</v>
      </c>
      <c r="B3379">
        <f>+ROUND(Get_Data!B3378,5)</f>
        <v>0</v>
      </c>
      <c r="C3379">
        <f>+ROUND(Get_Data!C3378,5)</f>
        <v>0</v>
      </c>
      <c r="D3379" s="4" t="str">
        <f t="shared" si="401"/>
        <v/>
      </c>
      <c r="E3379" s="22">
        <f t="shared" ca="1" si="380"/>
        <v>0</v>
      </c>
      <c r="F3379" s="23">
        <f t="shared" ca="1" si="381"/>
        <v>0</v>
      </c>
      <c r="G3379" s="10">
        <f t="shared" ca="1" si="382"/>
        <v>0</v>
      </c>
      <c r="H3379" s="12">
        <f t="shared" ca="1" si="383"/>
        <v>0</v>
      </c>
      <c r="I3379" s="11">
        <f t="shared" ca="1" si="384"/>
        <v>0</v>
      </c>
      <c r="J3379" s="11">
        <f t="shared" ca="1" si="385"/>
        <v>-1</v>
      </c>
      <c r="K3379" s="10">
        <f t="shared" ca="1" si="395"/>
        <v>131.24001000000001</v>
      </c>
      <c r="L3379" s="11">
        <f t="shared" ca="1" si="396"/>
        <v>-49.09</v>
      </c>
      <c r="M3379" s="11">
        <f t="shared" ca="1" si="397"/>
        <v>2.6734599999999999</v>
      </c>
      <c r="N3379" s="15">
        <f t="shared" ca="1" si="398"/>
        <v>10</v>
      </c>
      <c r="O3379" s="15">
        <f t="shared" ca="1" si="399"/>
        <v>27</v>
      </c>
      <c r="P3379" s="16">
        <f t="shared" ca="1" si="400"/>
        <v>-13.029899999999998</v>
      </c>
      <c r="Q3379" s="11" t="str">
        <f t="shared" ca="1" si="386"/>
        <v/>
      </c>
      <c r="R3379" s="11" t="str">
        <f t="shared" ca="1" si="387"/>
        <v/>
      </c>
      <c r="S3379" s="61" t="str">
        <f t="shared" ca="1" si="388"/>
        <v/>
      </c>
      <c r="T3379" s="11" t="str">
        <f t="shared" ca="1" si="389"/>
        <v/>
      </c>
      <c r="U3379" s="11" t="str">
        <f t="shared" ca="1" si="390"/>
        <v/>
      </c>
      <c r="V3379" s="18" t="str">
        <f t="shared" ca="1" si="391"/>
        <v/>
      </c>
      <c r="W3379" s="61" t="str">
        <f t="shared" ca="1" si="392"/>
        <v/>
      </c>
      <c r="X3379" s="61">
        <f t="shared" ca="1" si="393"/>
        <v>0</v>
      </c>
      <c r="Y3379" s="64" t="str">
        <f t="shared" ca="1" si="394"/>
        <v/>
      </c>
    </row>
    <row r="3380" spans="1:25">
      <c r="A3380" s="2">
        <f>+Get_Data!A3379</f>
        <v>0</v>
      </c>
      <c r="B3380">
        <f>+ROUND(Get_Data!B3379,5)</f>
        <v>0</v>
      </c>
      <c r="C3380">
        <f>+ROUND(Get_Data!C3379,5)</f>
        <v>0</v>
      </c>
      <c r="D3380" s="4" t="str">
        <f t="shared" si="401"/>
        <v/>
      </c>
      <c r="E3380" s="22">
        <f t="shared" ca="1" si="380"/>
        <v>0</v>
      </c>
      <c r="F3380" s="23">
        <f t="shared" ca="1" si="381"/>
        <v>0</v>
      </c>
      <c r="G3380" s="10">
        <f t="shared" ca="1" si="382"/>
        <v>0</v>
      </c>
      <c r="H3380" s="12">
        <f t="shared" ca="1" si="383"/>
        <v>0</v>
      </c>
      <c r="I3380" s="11">
        <f t="shared" ca="1" si="384"/>
        <v>0</v>
      </c>
      <c r="J3380" s="11">
        <f t="shared" ca="1" si="385"/>
        <v>-1</v>
      </c>
      <c r="K3380" s="10">
        <f t="shared" ca="1" si="395"/>
        <v>131.24001000000001</v>
      </c>
      <c r="L3380" s="11">
        <f t="shared" ca="1" si="396"/>
        <v>-49.09</v>
      </c>
      <c r="M3380" s="11">
        <f t="shared" ca="1" si="397"/>
        <v>2.6734599999999999</v>
      </c>
      <c r="N3380" s="15">
        <f t="shared" ca="1" si="398"/>
        <v>10</v>
      </c>
      <c r="O3380" s="15">
        <f t="shared" ca="1" si="399"/>
        <v>27</v>
      </c>
      <c r="P3380" s="16">
        <f t="shared" ca="1" si="400"/>
        <v>-13.029899999999998</v>
      </c>
      <c r="Q3380" s="11" t="str">
        <f t="shared" ca="1" si="386"/>
        <v/>
      </c>
      <c r="R3380" s="11" t="str">
        <f t="shared" ca="1" si="387"/>
        <v/>
      </c>
      <c r="S3380" s="61" t="str">
        <f t="shared" ca="1" si="388"/>
        <v/>
      </c>
      <c r="T3380" s="11" t="str">
        <f t="shared" ca="1" si="389"/>
        <v/>
      </c>
      <c r="U3380" s="11" t="str">
        <f t="shared" ca="1" si="390"/>
        <v/>
      </c>
      <c r="V3380" s="18" t="str">
        <f t="shared" ca="1" si="391"/>
        <v/>
      </c>
      <c r="W3380" s="61" t="str">
        <f t="shared" ca="1" si="392"/>
        <v/>
      </c>
      <c r="X3380" s="61">
        <f t="shared" ca="1" si="393"/>
        <v>0</v>
      </c>
      <c r="Y3380" s="64" t="str">
        <f t="shared" ca="1" si="394"/>
        <v/>
      </c>
    </row>
    <row r="3381" spans="1:25">
      <c r="A3381" s="2">
        <f>+Get_Data!A3380</f>
        <v>0</v>
      </c>
      <c r="B3381">
        <f>+ROUND(Get_Data!B3380,5)</f>
        <v>0</v>
      </c>
      <c r="C3381">
        <f>+ROUND(Get_Data!C3380,5)</f>
        <v>0</v>
      </c>
      <c r="D3381" s="4" t="str">
        <f t="shared" si="401"/>
        <v/>
      </c>
      <c r="E3381" s="22">
        <f t="shared" ca="1" si="380"/>
        <v>0</v>
      </c>
      <c r="F3381" s="23">
        <f t="shared" ca="1" si="381"/>
        <v>0</v>
      </c>
      <c r="G3381" s="10">
        <f t="shared" ca="1" si="382"/>
        <v>0</v>
      </c>
      <c r="H3381" s="12">
        <f t="shared" ca="1" si="383"/>
        <v>0</v>
      </c>
      <c r="I3381" s="11">
        <f t="shared" ca="1" si="384"/>
        <v>0</v>
      </c>
      <c r="J3381" s="11">
        <f t="shared" ca="1" si="385"/>
        <v>-1</v>
      </c>
      <c r="K3381" s="10">
        <f t="shared" ca="1" si="395"/>
        <v>131.24001000000001</v>
      </c>
      <c r="L3381" s="11">
        <f t="shared" ca="1" si="396"/>
        <v>-49.09</v>
      </c>
      <c r="M3381" s="11">
        <f t="shared" ca="1" si="397"/>
        <v>2.6734599999999999</v>
      </c>
      <c r="N3381" s="15">
        <f t="shared" ca="1" si="398"/>
        <v>10</v>
      </c>
      <c r="O3381" s="15">
        <f t="shared" ca="1" si="399"/>
        <v>27</v>
      </c>
      <c r="P3381" s="16">
        <f t="shared" ca="1" si="400"/>
        <v>-13.029899999999998</v>
      </c>
      <c r="Q3381" s="11" t="str">
        <f t="shared" ca="1" si="386"/>
        <v/>
      </c>
      <c r="R3381" s="11" t="str">
        <f t="shared" ca="1" si="387"/>
        <v/>
      </c>
      <c r="S3381" s="61" t="str">
        <f t="shared" ca="1" si="388"/>
        <v/>
      </c>
      <c r="T3381" s="11" t="str">
        <f t="shared" ca="1" si="389"/>
        <v/>
      </c>
      <c r="U3381" s="11" t="str">
        <f t="shared" ca="1" si="390"/>
        <v/>
      </c>
      <c r="V3381" s="18" t="str">
        <f t="shared" ca="1" si="391"/>
        <v/>
      </c>
      <c r="W3381" s="61" t="str">
        <f t="shared" ca="1" si="392"/>
        <v/>
      </c>
      <c r="X3381" s="61">
        <f t="shared" ca="1" si="393"/>
        <v>0</v>
      </c>
      <c r="Y3381" s="64" t="str">
        <f t="shared" ca="1" si="394"/>
        <v/>
      </c>
    </row>
    <row r="3382" spans="1:25">
      <c r="A3382" s="2">
        <f>+Get_Data!A3381</f>
        <v>0</v>
      </c>
      <c r="B3382">
        <f>+ROUND(Get_Data!B3381,5)</f>
        <v>0</v>
      </c>
      <c r="C3382">
        <f>+ROUND(Get_Data!C3381,5)</f>
        <v>0</v>
      </c>
      <c r="D3382" s="4" t="str">
        <f t="shared" si="401"/>
        <v/>
      </c>
      <c r="E3382" s="22">
        <f t="shared" ca="1" si="380"/>
        <v>0</v>
      </c>
      <c r="F3382" s="23">
        <f t="shared" ca="1" si="381"/>
        <v>0</v>
      </c>
      <c r="G3382" s="10">
        <f t="shared" ca="1" si="382"/>
        <v>0</v>
      </c>
      <c r="H3382" s="12">
        <f t="shared" ca="1" si="383"/>
        <v>0</v>
      </c>
      <c r="I3382" s="11">
        <f t="shared" ca="1" si="384"/>
        <v>0</v>
      </c>
      <c r="J3382" s="11">
        <f t="shared" ca="1" si="385"/>
        <v>-1</v>
      </c>
      <c r="K3382" s="10">
        <f t="shared" ca="1" si="395"/>
        <v>131.24001000000001</v>
      </c>
      <c r="L3382" s="11">
        <f t="shared" ca="1" si="396"/>
        <v>-49.09</v>
      </c>
      <c r="M3382" s="11">
        <f t="shared" ca="1" si="397"/>
        <v>2.6734599999999999</v>
      </c>
      <c r="N3382" s="15">
        <f t="shared" ca="1" si="398"/>
        <v>10</v>
      </c>
      <c r="O3382" s="15">
        <f t="shared" ca="1" si="399"/>
        <v>27</v>
      </c>
      <c r="P3382" s="16">
        <f t="shared" ca="1" si="400"/>
        <v>-13.029899999999998</v>
      </c>
      <c r="Q3382" s="11" t="str">
        <f t="shared" ca="1" si="386"/>
        <v/>
      </c>
      <c r="R3382" s="11" t="str">
        <f t="shared" ca="1" si="387"/>
        <v/>
      </c>
      <c r="S3382" s="61" t="str">
        <f t="shared" ca="1" si="388"/>
        <v/>
      </c>
      <c r="T3382" s="11" t="str">
        <f t="shared" ca="1" si="389"/>
        <v/>
      </c>
      <c r="U3382" s="11" t="str">
        <f t="shared" ca="1" si="390"/>
        <v/>
      </c>
      <c r="V3382" s="18" t="str">
        <f t="shared" ca="1" si="391"/>
        <v/>
      </c>
      <c r="W3382" s="61" t="str">
        <f t="shared" ca="1" si="392"/>
        <v/>
      </c>
      <c r="X3382" s="61">
        <f t="shared" ca="1" si="393"/>
        <v>0</v>
      </c>
      <c r="Y3382" s="64" t="str">
        <f t="shared" ca="1" si="394"/>
        <v/>
      </c>
    </row>
    <row r="3383" spans="1:25">
      <c r="A3383" s="2">
        <f>+Get_Data!A3382</f>
        <v>0</v>
      </c>
      <c r="B3383">
        <f>+ROUND(Get_Data!B3382,5)</f>
        <v>0</v>
      </c>
      <c r="C3383">
        <f>+ROUND(Get_Data!C3382,5)</f>
        <v>0</v>
      </c>
      <c r="D3383" s="4" t="str">
        <f t="shared" si="401"/>
        <v/>
      </c>
      <c r="E3383" s="22">
        <f t="shared" ca="1" si="380"/>
        <v>0</v>
      </c>
      <c r="F3383" s="23">
        <f t="shared" ca="1" si="381"/>
        <v>0</v>
      </c>
      <c r="G3383" s="10">
        <f t="shared" ca="1" si="382"/>
        <v>0</v>
      </c>
      <c r="H3383" s="12">
        <f t="shared" ca="1" si="383"/>
        <v>0</v>
      </c>
      <c r="I3383" s="11">
        <f t="shared" ca="1" si="384"/>
        <v>0</v>
      </c>
      <c r="J3383" s="11">
        <f t="shared" ca="1" si="385"/>
        <v>-1</v>
      </c>
      <c r="K3383" s="10">
        <f t="shared" ca="1" si="395"/>
        <v>131.24001000000001</v>
      </c>
      <c r="L3383" s="11">
        <f t="shared" ca="1" si="396"/>
        <v>-49.09</v>
      </c>
      <c r="M3383" s="11">
        <f t="shared" ca="1" si="397"/>
        <v>2.6734599999999999</v>
      </c>
      <c r="N3383" s="15">
        <f t="shared" ca="1" si="398"/>
        <v>10</v>
      </c>
      <c r="O3383" s="15">
        <f t="shared" ca="1" si="399"/>
        <v>27</v>
      </c>
      <c r="P3383" s="16">
        <f t="shared" ca="1" si="400"/>
        <v>-13.029899999999998</v>
      </c>
      <c r="Q3383" s="11" t="str">
        <f t="shared" ca="1" si="386"/>
        <v/>
      </c>
      <c r="R3383" s="11" t="str">
        <f t="shared" ca="1" si="387"/>
        <v/>
      </c>
      <c r="S3383" s="61" t="str">
        <f t="shared" ca="1" si="388"/>
        <v/>
      </c>
      <c r="T3383" s="11" t="str">
        <f t="shared" ca="1" si="389"/>
        <v/>
      </c>
      <c r="U3383" s="11" t="str">
        <f t="shared" ca="1" si="390"/>
        <v/>
      </c>
      <c r="V3383" s="18" t="str">
        <f t="shared" ca="1" si="391"/>
        <v/>
      </c>
      <c r="W3383" s="61" t="str">
        <f t="shared" ca="1" si="392"/>
        <v/>
      </c>
      <c r="X3383" s="61">
        <f t="shared" ca="1" si="393"/>
        <v>0</v>
      </c>
      <c r="Y3383" s="64" t="str">
        <f t="shared" ca="1" si="394"/>
        <v/>
      </c>
    </row>
    <row r="3384" spans="1:25">
      <c r="A3384" s="2">
        <f>+Get_Data!A3383</f>
        <v>0</v>
      </c>
      <c r="B3384">
        <f>+ROUND(Get_Data!B3383,5)</f>
        <v>0</v>
      </c>
      <c r="C3384">
        <f>+ROUND(Get_Data!C3383,5)</f>
        <v>0</v>
      </c>
      <c r="D3384" s="4" t="str">
        <f t="shared" si="401"/>
        <v/>
      </c>
      <c r="E3384" s="22">
        <f t="shared" ca="1" si="380"/>
        <v>0</v>
      </c>
      <c r="F3384" s="23">
        <f t="shared" ca="1" si="381"/>
        <v>0</v>
      </c>
      <c r="G3384" s="10">
        <f t="shared" ca="1" si="382"/>
        <v>0</v>
      </c>
      <c r="H3384" s="12">
        <f t="shared" ca="1" si="383"/>
        <v>0</v>
      </c>
      <c r="I3384" s="11">
        <f t="shared" ca="1" si="384"/>
        <v>0</v>
      </c>
      <c r="J3384" s="11">
        <f t="shared" ca="1" si="385"/>
        <v>-1</v>
      </c>
      <c r="K3384" s="10">
        <f t="shared" ca="1" si="395"/>
        <v>131.24001000000001</v>
      </c>
      <c r="L3384" s="11">
        <f t="shared" ca="1" si="396"/>
        <v>-49.09</v>
      </c>
      <c r="M3384" s="11">
        <f t="shared" ca="1" si="397"/>
        <v>2.6734599999999999</v>
      </c>
      <c r="N3384" s="15">
        <f t="shared" ca="1" si="398"/>
        <v>10</v>
      </c>
      <c r="O3384" s="15">
        <f t="shared" ca="1" si="399"/>
        <v>27</v>
      </c>
      <c r="P3384" s="16">
        <f t="shared" ca="1" si="400"/>
        <v>-13.029899999999998</v>
      </c>
      <c r="Q3384" s="11" t="str">
        <f t="shared" ca="1" si="386"/>
        <v/>
      </c>
      <c r="R3384" s="11" t="str">
        <f t="shared" ca="1" si="387"/>
        <v/>
      </c>
      <c r="S3384" s="61" t="str">
        <f t="shared" ca="1" si="388"/>
        <v/>
      </c>
      <c r="T3384" s="11" t="str">
        <f t="shared" ca="1" si="389"/>
        <v/>
      </c>
      <c r="U3384" s="11" t="str">
        <f t="shared" ca="1" si="390"/>
        <v/>
      </c>
      <c r="V3384" s="18" t="str">
        <f t="shared" ca="1" si="391"/>
        <v/>
      </c>
      <c r="W3384" s="61" t="str">
        <f t="shared" ca="1" si="392"/>
        <v/>
      </c>
      <c r="X3384" s="61">
        <f t="shared" ca="1" si="393"/>
        <v>0</v>
      </c>
      <c r="Y3384" s="64" t="str">
        <f t="shared" ca="1" si="394"/>
        <v/>
      </c>
    </row>
    <row r="3385" spans="1:25">
      <c r="A3385" s="2">
        <f>+Get_Data!A3384</f>
        <v>0</v>
      </c>
      <c r="B3385">
        <f>+ROUND(Get_Data!B3384,5)</f>
        <v>0</v>
      </c>
      <c r="C3385">
        <f>+ROUND(Get_Data!C3384,5)</f>
        <v>0</v>
      </c>
      <c r="D3385" s="4" t="str">
        <f t="shared" si="401"/>
        <v/>
      </c>
      <c r="E3385" s="22">
        <f t="shared" ca="1" si="380"/>
        <v>0</v>
      </c>
      <c r="F3385" s="23">
        <f t="shared" ca="1" si="381"/>
        <v>0</v>
      </c>
      <c r="G3385" s="10">
        <f t="shared" ca="1" si="382"/>
        <v>0</v>
      </c>
      <c r="H3385" s="12">
        <f t="shared" ca="1" si="383"/>
        <v>0</v>
      </c>
      <c r="I3385" s="11">
        <f t="shared" ca="1" si="384"/>
        <v>0</v>
      </c>
      <c r="J3385" s="11">
        <f t="shared" ca="1" si="385"/>
        <v>-1</v>
      </c>
      <c r="K3385" s="10">
        <f t="shared" ca="1" si="395"/>
        <v>131.24001000000001</v>
      </c>
      <c r="L3385" s="11">
        <f t="shared" ca="1" si="396"/>
        <v>-49.09</v>
      </c>
      <c r="M3385" s="11">
        <f t="shared" ca="1" si="397"/>
        <v>2.6734599999999999</v>
      </c>
      <c r="N3385" s="15">
        <f t="shared" ca="1" si="398"/>
        <v>10</v>
      </c>
      <c r="O3385" s="15">
        <f t="shared" ca="1" si="399"/>
        <v>27</v>
      </c>
      <c r="P3385" s="16">
        <f t="shared" ca="1" si="400"/>
        <v>-13.029899999999998</v>
      </c>
      <c r="Q3385" s="11" t="str">
        <f t="shared" ca="1" si="386"/>
        <v/>
      </c>
      <c r="R3385" s="11" t="str">
        <f t="shared" ca="1" si="387"/>
        <v/>
      </c>
      <c r="S3385" s="61" t="str">
        <f t="shared" ca="1" si="388"/>
        <v/>
      </c>
      <c r="T3385" s="11" t="str">
        <f t="shared" ca="1" si="389"/>
        <v/>
      </c>
      <c r="U3385" s="11" t="str">
        <f t="shared" ca="1" si="390"/>
        <v/>
      </c>
      <c r="V3385" s="18" t="str">
        <f t="shared" ca="1" si="391"/>
        <v/>
      </c>
      <c r="W3385" s="61" t="str">
        <f t="shared" ca="1" si="392"/>
        <v/>
      </c>
      <c r="X3385" s="61">
        <f t="shared" ca="1" si="393"/>
        <v>0</v>
      </c>
      <c r="Y3385" s="64" t="str">
        <f t="shared" ca="1" si="394"/>
        <v/>
      </c>
    </row>
    <row r="3386" spans="1:25">
      <c r="A3386" s="2">
        <f>+Get_Data!A3385</f>
        <v>0</v>
      </c>
      <c r="B3386">
        <f>+ROUND(Get_Data!B3385,5)</f>
        <v>0</v>
      </c>
      <c r="C3386">
        <f>+ROUND(Get_Data!C3385,5)</f>
        <v>0</v>
      </c>
      <c r="D3386" s="4" t="str">
        <f t="shared" si="401"/>
        <v/>
      </c>
      <c r="E3386" s="22">
        <f t="shared" ca="1" si="380"/>
        <v>0</v>
      </c>
      <c r="F3386" s="23">
        <f t="shared" ca="1" si="381"/>
        <v>0</v>
      </c>
      <c r="G3386" s="10">
        <f t="shared" ca="1" si="382"/>
        <v>0</v>
      </c>
      <c r="H3386" s="12">
        <f t="shared" ca="1" si="383"/>
        <v>0</v>
      </c>
      <c r="I3386" s="11">
        <f t="shared" ca="1" si="384"/>
        <v>0</v>
      </c>
      <c r="J3386" s="11">
        <f t="shared" ca="1" si="385"/>
        <v>-1</v>
      </c>
      <c r="K3386" s="10">
        <f t="shared" ca="1" si="395"/>
        <v>131.24001000000001</v>
      </c>
      <c r="L3386" s="11">
        <f t="shared" ca="1" si="396"/>
        <v>-49.09</v>
      </c>
      <c r="M3386" s="11">
        <f t="shared" ca="1" si="397"/>
        <v>2.6734599999999999</v>
      </c>
      <c r="N3386" s="15">
        <f t="shared" ca="1" si="398"/>
        <v>10</v>
      </c>
      <c r="O3386" s="15">
        <f t="shared" ca="1" si="399"/>
        <v>27</v>
      </c>
      <c r="P3386" s="16">
        <f t="shared" ca="1" si="400"/>
        <v>-13.029899999999998</v>
      </c>
      <c r="Q3386" s="11" t="str">
        <f t="shared" ca="1" si="386"/>
        <v/>
      </c>
      <c r="R3386" s="11" t="str">
        <f t="shared" ca="1" si="387"/>
        <v/>
      </c>
      <c r="S3386" s="61" t="str">
        <f t="shared" ca="1" si="388"/>
        <v/>
      </c>
      <c r="T3386" s="11" t="str">
        <f t="shared" ca="1" si="389"/>
        <v/>
      </c>
      <c r="U3386" s="11" t="str">
        <f t="shared" ca="1" si="390"/>
        <v/>
      </c>
      <c r="V3386" s="18" t="str">
        <f t="shared" ca="1" si="391"/>
        <v/>
      </c>
      <c r="W3386" s="61" t="str">
        <f t="shared" ca="1" si="392"/>
        <v/>
      </c>
      <c r="X3386" s="61">
        <f t="shared" ca="1" si="393"/>
        <v>0</v>
      </c>
      <c r="Y3386" s="64" t="str">
        <f t="shared" ca="1" si="394"/>
        <v/>
      </c>
    </row>
    <row r="3387" spans="1:25">
      <c r="A3387" s="2">
        <f>+Get_Data!A3386</f>
        <v>0</v>
      </c>
      <c r="B3387">
        <f>+ROUND(Get_Data!B3386,5)</f>
        <v>0</v>
      </c>
      <c r="C3387">
        <f>+ROUND(Get_Data!C3386,5)</f>
        <v>0</v>
      </c>
      <c r="D3387" s="4" t="str">
        <f t="shared" si="401"/>
        <v/>
      </c>
      <c r="E3387" s="22">
        <f t="shared" ca="1" si="380"/>
        <v>0</v>
      </c>
      <c r="F3387" s="23">
        <f t="shared" ca="1" si="381"/>
        <v>0</v>
      </c>
      <c r="G3387" s="10">
        <f t="shared" ca="1" si="382"/>
        <v>0</v>
      </c>
      <c r="H3387" s="12">
        <f t="shared" ca="1" si="383"/>
        <v>0</v>
      </c>
      <c r="I3387" s="11">
        <f t="shared" ca="1" si="384"/>
        <v>0</v>
      </c>
      <c r="J3387" s="11">
        <f t="shared" ca="1" si="385"/>
        <v>-1</v>
      </c>
      <c r="K3387" s="10">
        <f t="shared" ca="1" si="395"/>
        <v>131.24001000000001</v>
      </c>
      <c r="L3387" s="11">
        <f t="shared" ca="1" si="396"/>
        <v>-49.09</v>
      </c>
      <c r="M3387" s="11">
        <f t="shared" ca="1" si="397"/>
        <v>2.6734599999999999</v>
      </c>
      <c r="N3387" s="15">
        <f t="shared" ca="1" si="398"/>
        <v>10</v>
      </c>
      <c r="O3387" s="15">
        <f t="shared" ca="1" si="399"/>
        <v>27</v>
      </c>
      <c r="P3387" s="16">
        <f t="shared" ca="1" si="400"/>
        <v>-13.029899999999998</v>
      </c>
      <c r="Q3387" s="11" t="str">
        <f t="shared" ca="1" si="386"/>
        <v/>
      </c>
      <c r="R3387" s="11" t="str">
        <f t="shared" ca="1" si="387"/>
        <v/>
      </c>
      <c r="S3387" s="61" t="str">
        <f t="shared" ca="1" si="388"/>
        <v/>
      </c>
      <c r="T3387" s="11" t="str">
        <f t="shared" ca="1" si="389"/>
        <v/>
      </c>
      <c r="U3387" s="11" t="str">
        <f t="shared" ca="1" si="390"/>
        <v/>
      </c>
      <c r="V3387" s="18" t="str">
        <f t="shared" ca="1" si="391"/>
        <v/>
      </c>
      <c r="W3387" s="61" t="str">
        <f t="shared" ca="1" si="392"/>
        <v/>
      </c>
      <c r="X3387" s="61">
        <f t="shared" ca="1" si="393"/>
        <v>0</v>
      </c>
      <c r="Y3387" s="64" t="str">
        <f t="shared" ca="1" si="394"/>
        <v/>
      </c>
    </row>
    <row r="3388" spans="1:25">
      <c r="A3388" s="2">
        <f>+Get_Data!A3387</f>
        <v>0</v>
      </c>
      <c r="B3388">
        <f>+ROUND(Get_Data!B3387,5)</f>
        <v>0</v>
      </c>
      <c r="C3388">
        <f>+ROUND(Get_Data!C3387,5)</f>
        <v>0</v>
      </c>
      <c r="D3388" s="4" t="str">
        <f t="shared" si="401"/>
        <v/>
      </c>
      <c r="E3388" s="22">
        <f t="shared" ca="1" si="380"/>
        <v>0</v>
      </c>
      <c r="F3388" s="23">
        <f t="shared" ca="1" si="381"/>
        <v>0</v>
      </c>
      <c r="G3388" s="10">
        <f t="shared" ca="1" si="382"/>
        <v>0</v>
      </c>
      <c r="H3388" s="12">
        <f t="shared" ca="1" si="383"/>
        <v>0</v>
      </c>
      <c r="I3388" s="11">
        <f t="shared" ca="1" si="384"/>
        <v>0</v>
      </c>
      <c r="J3388" s="11">
        <f t="shared" ca="1" si="385"/>
        <v>-1</v>
      </c>
      <c r="K3388" s="10">
        <f t="shared" ca="1" si="395"/>
        <v>131.24001000000001</v>
      </c>
      <c r="L3388" s="11">
        <f t="shared" ca="1" si="396"/>
        <v>-49.09</v>
      </c>
      <c r="M3388" s="11">
        <f t="shared" ca="1" si="397"/>
        <v>2.6734599999999999</v>
      </c>
      <c r="N3388" s="15">
        <f t="shared" ca="1" si="398"/>
        <v>10</v>
      </c>
      <c r="O3388" s="15">
        <f t="shared" ca="1" si="399"/>
        <v>27</v>
      </c>
      <c r="P3388" s="16">
        <f t="shared" ca="1" si="400"/>
        <v>-13.029899999999998</v>
      </c>
      <c r="Q3388" s="11" t="str">
        <f t="shared" ca="1" si="386"/>
        <v/>
      </c>
      <c r="R3388" s="11" t="str">
        <f t="shared" ca="1" si="387"/>
        <v/>
      </c>
      <c r="S3388" s="61" t="str">
        <f t="shared" ca="1" si="388"/>
        <v/>
      </c>
      <c r="T3388" s="11" t="str">
        <f t="shared" ca="1" si="389"/>
        <v/>
      </c>
      <c r="U3388" s="11" t="str">
        <f t="shared" ca="1" si="390"/>
        <v/>
      </c>
      <c r="V3388" s="18" t="str">
        <f t="shared" ca="1" si="391"/>
        <v/>
      </c>
      <c r="W3388" s="61" t="str">
        <f t="shared" ca="1" si="392"/>
        <v/>
      </c>
      <c r="X3388" s="61">
        <f t="shared" ca="1" si="393"/>
        <v>0</v>
      </c>
      <c r="Y3388" s="64" t="str">
        <f t="shared" ca="1" si="394"/>
        <v/>
      </c>
    </row>
    <row r="3389" spans="1:25">
      <c r="A3389" s="2">
        <f>+Get_Data!A3388</f>
        <v>0</v>
      </c>
      <c r="B3389">
        <f>+ROUND(Get_Data!B3388,5)</f>
        <v>0</v>
      </c>
      <c r="C3389">
        <f>+ROUND(Get_Data!C3388,5)</f>
        <v>0</v>
      </c>
      <c r="D3389" s="4" t="str">
        <f t="shared" si="401"/>
        <v/>
      </c>
      <c r="E3389" s="22">
        <f t="shared" ca="1" si="380"/>
        <v>0</v>
      </c>
      <c r="F3389" s="23">
        <f t="shared" ca="1" si="381"/>
        <v>0</v>
      </c>
      <c r="G3389" s="10">
        <f t="shared" ca="1" si="382"/>
        <v>0</v>
      </c>
      <c r="H3389" s="12">
        <f t="shared" ca="1" si="383"/>
        <v>0</v>
      </c>
      <c r="I3389" s="11">
        <f t="shared" ca="1" si="384"/>
        <v>0</v>
      </c>
      <c r="J3389" s="11">
        <f t="shared" ca="1" si="385"/>
        <v>-1</v>
      </c>
      <c r="K3389" s="10">
        <f t="shared" ca="1" si="395"/>
        <v>131.24001000000001</v>
      </c>
      <c r="L3389" s="11">
        <f t="shared" ca="1" si="396"/>
        <v>-49.09</v>
      </c>
      <c r="M3389" s="11">
        <f t="shared" ca="1" si="397"/>
        <v>2.6734599999999999</v>
      </c>
      <c r="N3389" s="15">
        <f t="shared" ca="1" si="398"/>
        <v>10</v>
      </c>
      <c r="O3389" s="15">
        <f t="shared" ca="1" si="399"/>
        <v>27</v>
      </c>
      <c r="P3389" s="16">
        <f t="shared" ca="1" si="400"/>
        <v>-13.029899999999998</v>
      </c>
      <c r="Q3389" s="11" t="str">
        <f t="shared" ca="1" si="386"/>
        <v/>
      </c>
      <c r="R3389" s="11" t="str">
        <f t="shared" ca="1" si="387"/>
        <v/>
      </c>
      <c r="S3389" s="61" t="str">
        <f t="shared" ca="1" si="388"/>
        <v/>
      </c>
      <c r="T3389" s="11" t="str">
        <f t="shared" ca="1" si="389"/>
        <v/>
      </c>
      <c r="U3389" s="11" t="str">
        <f t="shared" ca="1" si="390"/>
        <v/>
      </c>
      <c r="V3389" s="18" t="str">
        <f t="shared" ca="1" si="391"/>
        <v/>
      </c>
      <c r="W3389" s="61" t="str">
        <f t="shared" ca="1" si="392"/>
        <v/>
      </c>
      <c r="X3389" s="61">
        <f t="shared" ca="1" si="393"/>
        <v>0</v>
      </c>
      <c r="Y3389" s="64" t="str">
        <f t="shared" ca="1" si="394"/>
        <v/>
      </c>
    </row>
    <row r="3390" spans="1:25">
      <c r="A3390" s="2">
        <f>+Get_Data!A3389</f>
        <v>0</v>
      </c>
      <c r="B3390">
        <f>+ROUND(Get_Data!B3389,5)</f>
        <v>0</v>
      </c>
      <c r="C3390">
        <f>+ROUND(Get_Data!C3389,5)</f>
        <v>0</v>
      </c>
      <c r="D3390" s="4" t="str">
        <f t="shared" si="401"/>
        <v/>
      </c>
      <c r="E3390" s="22">
        <f t="shared" ca="1" si="380"/>
        <v>0</v>
      </c>
      <c r="F3390" s="23">
        <f t="shared" ca="1" si="381"/>
        <v>0</v>
      </c>
      <c r="G3390" s="10">
        <f t="shared" ca="1" si="382"/>
        <v>0</v>
      </c>
      <c r="H3390" s="12">
        <f t="shared" ca="1" si="383"/>
        <v>0</v>
      </c>
      <c r="I3390" s="11">
        <f t="shared" ca="1" si="384"/>
        <v>0</v>
      </c>
      <c r="J3390" s="11">
        <f t="shared" ca="1" si="385"/>
        <v>-1</v>
      </c>
      <c r="K3390" s="10">
        <f t="shared" ca="1" si="395"/>
        <v>131.24001000000001</v>
      </c>
      <c r="L3390" s="11">
        <f t="shared" ca="1" si="396"/>
        <v>-49.09</v>
      </c>
      <c r="M3390" s="11">
        <f t="shared" ca="1" si="397"/>
        <v>2.6734599999999999</v>
      </c>
      <c r="N3390" s="15">
        <f t="shared" ca="1" si="398"/>
        <v>10</v>
      </c>
      <c r="O3390" s="15">
        <f t="shared" ca="1" si="399"/>
        <v>27</v>
      </c>
      <c r="P3390" s="16">
        <f t="shared" ca="1" si="400"/>
        <v>-13.029899999999998</v>
      </c>
      <c r="Q3390" s="11" t="str">
        <f t="shared" ca="1" si="386"/>
        <v/>
      </c>
      <c r="R3390" s="11" t="str">
        <f t="shared" ca="1" si="387"/>
        <v/>
      </c>
      <c r="S3390" s="61" t="str">
        <f t="shared" ca="1" si="388"/>
        <v/>
      </c>
      <c r="T3390" s="11" t="str">
        <f t="shared" ca="1" si="389"/>
        <v/>
      </c>
      <c r="U3390" s="11" t="str">
        <f t="shared" ca="1" si="390"/>
        <v/>
      </c>
      <c r="V3390" s="18" t="str">
        <f t="shared" ca="1" si="391"/>
        <v/>
      </c>
      <c r="W3390" s="61" t="str">
        <f t="shared" ca="1" si="392"/>
        <v/>
      </c>
      <c r="X3390" s="61">
        <f t="shared" ca="1" si="393"/>
        <v>0</v>
      </c>
      <c r="Y3390" s="64" t="str">
        <f t="shared" ca="1" si="394"/>
        <v/>
      </c>
    </row>
    <row r="3391" spans="1:25">
      <c r="A3391" s="2">
        <f>+Get_Data!A3390</f>
        <v>0</v>
      </c>
      <c r="B3391">
        <f>+ROUND(Get_Data!B3390,5)</f>
        <v>0</v>
      </c>
      <c r="C3391">
        <f>+ROUND(Get_Data!C3390,5)</f>
        <v>0</v>
      </c>
      <c r="D3391" s="4" t="str">
        <f t="shared" si="401"/>
        <v/>
      </c>
      <c r="E3391" s="22">
        <f t="shared" ca="1" si="380"/>
        <v>0</v>
      </c>
      <c r="F3391" s="23">
        <f t="shared" ca="1" si="381"/>
        <v>0</v>
      </c>
      <c r="G3391" s="10">
        <f t="shared" ca="1" si="382"/>
        <v>0</v>
      </c>
      <c r="H3391" s="12">
        <f t="shared" ca="1" si="383"/>
        <v>0</v>
      </c>
      <c r="I3391" s="11">
        <f t="shared" ca="1" si="384"/>
        <v>0</v>
      </c>
      <c r="J3391" s="11">
        <f t="shared" ca="1" si="385"/>
        <v>-1</v>
      </c>
      <c r="K3391" s="10">
        <f t="shared" ca="1" si="395"/>
        <v>131.24001000000001</v>
      </c>
      <c r="L3391" s="11">
        <f t="shared" ca="1" si="396"/>
        <v>-49.09</v>
      </c>
      <c r="M3391" s="11">
        <f t="shared" ca="1" si="397"/>
        <v>2.6734599999999999</v>
      </c>
      <c r="N3391" s="15">
        <f t="shared" ca="1" si="398"/>
        <v>10</v>
      </c>
      <c r="O3391" s="15">
        <f t="shared" ca="1" si="399"/>
        <v>27</v>
      </c>
      <c r="P3391" s="16">
        <f t="shared" ca="1" si="400"/>
        <v>-13.029899999999998</v>
      </c>
      <c r="Q3391" s="11" t="str">
        <f t="shared" ca="1" si="386"/>
        <v/>
      </c>
      <c r="R3391" s="11" t="str">
        <f t="shared" ca="1" si="387"/>
        <v/>
      </c>
      <c r="S3391" s="61" t="str">
        <f t="shared" ca="1" si="388"/>
        <v/>
      </c>
      <c r="T3391" s="11" t="str">
        <f t="shared" ca="1" si="389"/>
        <v/>
      </c>
      <c r="U3391" s="11" t="str">
        <f t="shared" ca="1" si="390"/>
        <v/>
      </c>
      <c r="V3391" s="18" t="str">
        <f t="shared" ca="1" si="391"/>
        <v/>
      </c>
      <c r="W3391" s="61" t="str">
        <f t="shared" ca="1" si="392"/>
        <v/>
      </c>
      <c r="X3391" s="61">
        <f t="shared" ca="1" si="393"/>
        <v>0</v>
      </c>
      <c r="Y3391" s="64" t="str">
        <f t="shared" ca="1" si="394"/>
        <v/>
      </c>
    </row>
    <row r="3392" spans="1:25">
      <c r="A3392" s="2">
        <f>+Get_Data!A3391</f>
        <v>0</v>
      </c>
      <c r="B3392">
        <f>+ROUND(Get_Data!B3391,5)</f>
        <v>0</v>
      </c>
      <c r="C3392">
        <f>+ROUND(Get_Data!C3391,5)</f>
        <v>0</v>
      </c>
      <c r="D3392" s="4" t="str">
        <f t="shared" si="401"/>
        <v/>
      </c>
      <c r="E3392" s="22">
        <f t="shared" ca="1" si="380"/>
        <v>0</v>
      </c>
      <c r="F3392" s="23">
        <f t="shared" ca="1" si="381"/>
        <v>0</v>
      </c>
      <c r="G3392" s="10">
        <f t="shared" ca="1" si="382"/>
        <v>0</v>
      </c>
      <c r="H3392" s="12">
        <f t="shared" ca="1" si="383"/>
        <v>0</v>
      </c>
      <c r="I3392" s="11">
        <f t="shared" ca="1" si="384"/>
        <v>0</v>
      </c>
      <c r="J3392" s="11">
        <f t="shared" ca="1" si="385"/>
        <v>-1</v>
      </c>
      <c r="K3392" s="10">
        <f t="shared" ca="1" si="395"/>
        <v>131.24001000000001</v>
      </c>
      <c r="L3392" s="11">
        <f t="shared" ca="1" si="396"/>
        <v>-49.09</v>
      </c>
      <c r="M3392" s="11">
        <f t="shared" ca="1" si="397"/>
        <v>2.6734599999999999</v>
      </c>
      <c r="N3392" s="15">
        <f t="shared" ca="1" si="398"/>
        <v>10</v>
      </c>
      <c r="O3392" s="15">
        <f t="shared" ca="1" si="399"/>
        <v>27</v>
      </c>
      <c r="P3392" s="16">
        <f t="shared" ca="1" si="400"/>
        <v>-13.029899999999998</v>
      </c>
      <c r="Q3392" s="11" t="str">
        <f t="shared" ca="1" si="386"/>
        <v/>
      </c>
      <c r="R3392" s="11" t="str">
        <f t="shared" ca="1" si="387"/>
        <v/>
      </c>
      <c r="S3392" s="61" t="str">
        <f t="shared" ca="1" si="388"/>
        <v/>
      </c>
      <c r="T3392" s="11" t="str">
        <f t="shared" ca="1" si="389"/>
        <v/>
      </c>
      <c r="U3392" s="11" t="str">
        <f t="shared" ca="1" si="390"/>
        <v/>
      </c>
      <c r="V3392" s="18" t="str">
        <f t="shared" ca="1" si="391"/>
        <v/>
      </c>
      <c r="W3392" s="61" t="str">
        <f t="shared" ca="1" si="392"/>
        <v/>
      </c>
      <c r="X3392" s="61">
        <f t="shared" ca="1" si="393"/>
        <v>0</v>
      </c>
      <c r="Y3392" s="64" t="str">
        <f t="shared" ca="1" si="394"/>
        <v/>
      </c>
    </row>
    <row r="3393" spans="1:25">
      <c r="A3393" s="2">
        <f>+Get_Data!A3392</f>
        <v>0</v>
      </c>
      <c r="B3393">
        <f>+ROUND(Get_Data!B3392,5)</f>
        <v>0</v>
      </c>
      <c r="C3393">
        <f>+ROUND(Get_Data!C3392,5)</f>
        <v>0</v>
      </c>
      <c r="D3393" s="4" t="str">
        <f t="shared" si="401"/>
        <v/>
      </c>
      <c r="E3393" s="22">
        <f t="shared" ca="1" si="380"/>
        <v>0</v>
      </c>
      <c r="F3393" s="23">
        <f t="shared" ca="1" si="381"/>
        <v>0</v>
      </c>
      <c r="G3393" s="10">
        <f t="shared" ca="1" si="382"/>
        <v>0</v>
      </c>
      <c r="H3393" s="12">
        <f t="shared" ca="1" si="383"/>
        <v>0</v>
      </c>
      <c r="I3393" s="11">
        <f t="shared" ca="1" si="384"/>
        <v>0</v>
      </c>
      <c r="J3393" s="11">
        <f t="shared" ca="1" si="385"/>
        <v>-1</v>
      </c>
      <c r="K3393" s="10">
        <f t="shared" ca="1" si="395"/>
        <v>131.24001000000001</v>
      </c>
      <c r="L3393" s="11">
        <f t="shared" ca="1" si="396"/>
        <v>-49.09</v>
      </c>
      <c r="M3393" s="11">
        <f t="shared" ca="1" si="397"/>
        <v>2.6734599999999999</v>
      </c>
      <c r="N3393" s="15">
        <f t="shared" ca="1" si="398"/>
        <v>10</v>
      </c>
      <c r="O3393" s="15">
        <f t="shared" ca="1" si="399"/>
        <v>27</v>
      </c>
      <c r="P3393" s="16">
        <f t="shared" ca="1" si="400"/>
        <v>-13.029899999999998</v>
      </c>
      <c r="Q3393" s="11" t="str">
        <f t="shared" ca="1" si="386"/>
        <v/>
      </c>
      <c r="R3393" s="11" t="str">
        <f t="shared" ca="1" si="387"/>
        <v/>
      </c>
      <c r="S3393" s="61" t="str">
        <f t="shared" ca="1" si="388"/>
        <v/>
      </c>
      <c r="T3393" s="11" t="str">
        <f t="shared" ca="1" si="389"/>
        <v/>
      </c>
      <c r="U3393" s="11" t="str">
        <f t="shared" ca="1" si="390"/>
        <v/>
      </c>
      <c r="V3393" s="18" t="str">
        <f t="shared" ca="1" si="391"/>
        <v/>
      </c>
      <c r="W3393" s="61" t="str">
        <f t="shared" ca="1" si="392"/>
        <v/>
      </c>
      <c r="X3393" s="61">
        <f t="shared" ca="1" si="393"/>
        <v>0</v>
      </c>
      <c r="Y3393" s="64" t="str">
        <f t="shared" ca="1" si="394"/>
        <v/>
      </c>
    </row>
    <row r="3394" spans="1:25">
      <c r="A3394" s="2">
        <f>+Get_Data!A3393</f>
        <v>0</v>
      </c>
      <c r="B3394">
        <f>+ROUND(Get_Data!B3393,5)</f>
        <v>0</v>
      </c>
      <c r="C3394">
        <f>+ROUND(Get_Data!C3393,5)</f>
        <v>0</v>
      </c>
      <c r="D3394" s="4" t="str">
        <f t="shared" si="401"/>
        <v/>
      </c>
      <c r="E3394" s="22">
        <f t="shared" ca="1" si="380"/>
        <v>0</v>
      </c>
      <c r="F3394" s="23">
        <f t="shared" ca="1" si="381"/>
        <v>0</v>
      </c>
      <c r="G3394" s="10">
        <f t="shared" ca="1" si="382"/>
        <v>0</v>
      </c>
      <c r="H3394" s="12">
        <f t="shared" ca="1" si="383"/>
        <v>0</v>
      </c>
      <c r="I3394" s="11">
        <f t="shared" ca="1" si="384"/>
        <v>0</v>
      </c>
      <c r="J3394" s="11">
        <f t="shared" ca="1" si="385"/>
        <v>-1</v>
      </c>
      <c r="K3394" s="10">
        <f t="shared" ca="1" si="395"/>
        <v>131.24001000000001</v>
      </c>
      <c r="L3394" s="11">
        <f t="shared" ca="1" si="396"/>
        <v>-49.09</v>
      </c>
      <c r="M3394" s="11">
        <f t="shared" ca="1" si="397"/>
        <v>2.6734599999999999</v>
      </c>
      <c r="N3394" s="15">
        <f t="shared" ca="1" si="398"/>
        <v>10</v>
      </c>
      <c r="O3394" s="15">
        <f t="shared" ca="1" si="399"/>
        <v>27</v>
      </c>
      <c r="P3394" s="16">
        <f t="shared" ca="1" si="400"/>
        <v>-13.029899999999998</v>
      </c>
      <c r="Q3394" s="11" t="str">
        <f t="shared" ca="1" si="386"/>
        <v/>
      </c>
      <c r="R3394" s="11" t="str">
        <f t="shared" ca="1" si="387"/>
        <v/>
      </c>
      <c r="S3394" s="61" t="str">
        <f t="shared" ca="1" si="388"/>
        <v/>
      </c>
      <c r="T3394" s="11" t="str">
        <f t="shared" ca="1" si="389"/>
        <v/>
      </c>
      <c r="U3394" s="11" t="str">
        <f t="shared" ca="1" si="390"/>
        <v/>
      </c>
      <c r="V3394" s="18" t="str">
        <f t="shared" ca="1" si="391"/>
        <v/>
      </c>
      <c r="W3394" s="61" t="str">
        <f t="shared" ca="1" si="392"/>
        <v/>
      </c>
      <c r="X3394" s="61">
        <f t="shared" ca="1" si="393"/>
        <v>0</v>
      </c>
      <c r="Y3394" s="64" t="str">
        <f t="shared" ca="1" si="394"/>
        <v/>
      </c>
    </row>
    <row r="3395" spans="1:25">
      <c r="A3395" s="2">
        <f>+Get_Data!A3394</f>
        <v>0</v>
      </c>
      <c r="B3395">
        <f>+ROUND(Get_Data!B3394,5)</f>
        <v>0</v>
      </c>
      <c r="C3395">
        <f>+ROUND(Get_Data!C3394,5)</f>
        <v>0</v>
      </c>
      <c r="D3395" s="4" t="str">
        <f t="shared" si="401"/>
        <v/>
      </c>
      <c r="E3395" s="22">
        <f t="shared" ca="1" si="380"/>
        <v>0</v>
      </c>
      <c r="F3395" s="23">
        <f t="shared" ca="1" si="381"/>
        <v>0</v>
      </c>
      <c r="G3395" s="10">
        <f t="shared" ca="1" si="382"/>
        <v>0</v>
      </c>
      <c r="H3395" s="12">
        <f t="shared" ca="1" si="383"/>
        <v>0</v>
      </c>
      <c r="I3395" s="11">
        <f t="shared" ca="1" si="384"/>
        <v>0</v>
      </c>
      <c r="J3395" s="11">
        <f t="shared" ca="1" si="385"/>
        <v>-1</v>
      </c>
      <c r="K3395" s="10">
        <f t="shared" ca="1" si="395"/>
        <v>131.24001000000001</v>
      </c>
      <c r="L3395" s="11">
        <f t="shared" ca="1" si="396"/>
        <v>-49.09</v>
      </c>
      <c r="M3395" s="11">
        <f t="shared" ca="1" si="397"/>
        <v>2.6734599999999999</v>
      </c>
      <c r="N3395" s="15">
        <f t="shared" ca="1" si="398"/>
        <v>10</v>
      </c>
      <c r="O3395" s="15">
        <f t="shared" ca="1" si="399"/>
        <v>27</v>
      </c>
      <c r="P3395" s="16">
        <f t="shared" ca="1" si="400"/>
        <v>-13.029899999999998</v>
      </c>
      <c r="Q3395" s="11" t="str">
        <f t="shared" ca="1" si="386"/>
        <v/>
      </c>
      <c r="R3395" s="11" t="str">
        <f t="shared" ca="1" si="387"/>
        <v/>
      </c>
      <c r="S3395" s="61" t="str">
        <f t="shared" ca="1" si="388"/>
        <v/>
      </c>
      <c r="T3395" s="11" t="str">
        <f t="shared" ca="1" si="389"/>
        <v/>
      </c>
      <c r="U3395" s="11" t="str">
        <f t="shared" ca="1" si="390"/>
        <v/>
      </c>
      <c r="V3395" s="18" t="str">
        <f t="shared" ca="1" si="391"/>
        <v/>
      </c>
      <c r="W3395" s="61" t="str">
        <f t="shared" ca="1" si="392"/>
        <v/>
      </c>
      <c r="X3395" s="61">
        <f t="shared" ca="1" si="393"/>
        <v>0</v>
      </c>
      <c r="Y3395" s="64" t="str">
        <f t="shared" ca="1" si="394"/>
        <v/>
      </c>
    </row>
    <row r="3396" spans="1:25">
      <c r="A3396" s="2">
        <f>+Get_Data!A3395</f>
        <v>0</v>
      </c>
      <c r="B3396">
        <f>+ROUND(Get_Data!B3395,5)</f>
        <v>0</v>
      </c>
      <c r="C3396">
        <f>+ROUND(Get_Data!C3395,5)</f>
        <v>0</v>
      </c>
      <c r="D3396" s="4" t="str">
        <f t="shared" si="401"/>
        <v/>
      </c>
      <c r="E3396" s="22">
        <f t="shared" ca="1" si="380"/>
        <v>0</v>
      </c>
      <c r="F3396" s="23">
        <f t="shared" ca="1" si="381"/>
        <v>0</v>
      </c>
      <c r="G3396" s="10">
        <f t="shared" ca="1" si="382"/>
        <v>0</v>
      </c>
      <c r="H3396" s="12">
        <f t="shared" ca="1" si="383"/>
        <v>0</v>
      </c>
      <c r="I3396" s="11">
        <f t="shared" ca="1" si="384"/>
        <v>0</v>
      </c>
      <c r="J3396" s="11">
        <f t="shared" ca="1" si="385"/>
        <v>-1</v>
      </c>
      <c r="K3396" s="10">
        <f t="shared" ca="1" si="395"/>
        <v>131.24001000000001</v>
      </c>
      <c r="L3396" s="11">
        <f t="shared" ca="1" si="396"/>
        <v>-49.09</v>
      </c>
      <c r="M3396" s="11">
        <f t="shared" ca="1" si="397"/>
        <v>2.6734599999999999</v>
      </c>
      <c r="N3396" s="15">
        <f t="shared" ca="1" si="398"/>
        <v>10</v>
      </c>
      <c r="O3396" s="15">
        <f t="shared" ca="1" si="399"/>
        <v>27</v>
      </c>
      <c r="P3396" s="16">
        <f t="shared" ca="1" si="400"/>
        <v>-13.029899999999998</v>
      </c>
      <c r="Q3396" s="11" t="str">
        <f t="shared" ca="1" si="386"/>
        <v/>
      </c>
      <c r="R3396" s="11" t="str">
        <f t="shared" ca="1" si="387"/>
        <v/>
      </c>
      <c r="S3396" s="61" t="str">
        <f t="shared" ca="1" si="388"/>
        <v/>
      </c>
      <c r="T3396" s="11" t="str">
        <f t="shared" ca="1" si="389"/>
        <v/>
      </c>
      <c r="U3396" s="11" t="str">
        <f t="shared" ca="1" si="390"/>
        <v/>
      </c>
      <c r="V3396" s="18" t="str">
        <f t="shared" ca="1" si="391"/>
        <v/>
      </c>
      <c r="W3396" s="61" t="str">
        <f t="shared" ca="1" si="392"/>
        <v/>
      </c>
      <c r="X3396" s="61">
        <f t="shared" ca="1" si="393"/>
        <v>0</v>
      </c>
      <c r="Y3396" s="64" t="str">
        <f t="shared" ca="1" si="394"/>
        <v/>
      </c>
    </row>
    <row r="3397" spans="1:25">
      <c r="A3397" s="2">
        <f>+Get_Data!A3396</f>
        <v>0</v>
      </c>
      <c r="B3397">
        <f>+ROUND(Get_Data!B3396,5)</f>
        <v>0</v>
      </c>
      <c r="C3397">
        <f>+ROUND(Get_Data!C3396,5)</f>
        <v>0</v>
      </c>
      <c r="D3397" s="4" t="str">
        <f t="shared" si="401"/>
        <v/>
      </c>
      <c r="E3397" s="22">
        <f t="shared" ref="E3397:E3460" ca="1" si="402">+MAX(OFFSET(D3397,-$G$2+1,,$G$2))</f>
        <v>0</v>
      </c>
      <c r="F3397" s="23">
        <f t="shared" ref="F3397:F3460" ca="1" si="403">+MIN(OFFSET(D3397,-$G$2+1,,$G$2))</f>
        <v>0</v>
      </c>
      <c r="G3397" s="10">
        <f t="shared" ref="G3397:G3460" ca="1" si="404">+IF(E3397=D3397,1,0)</f>
        <v>0</v>
      </c>
      <c r="H3397" s="12">
        <f t="shared" ref="H3397:H3460" ca="1" si="405">+IF(F3397=D3397,1,0)</f>
        <v>0</v>
      </c>
      <c r="I3397" s="11">
        <f t="shared" ref="I3397:I3460" ca="1" si="406">+G3397-H3397</f>
        <v>0</v>
      </c>
      <c r="J3397" s="11">
        <f t="shared" ca="1" si="385"/>
        <v>-1</v>
      </c>
      <c r="K3397" s="10">
        <f t="shared" ca="1" si="395"/>
        <v>131.24001000000001</v>
      </c>
      <c r="L3397" s="11">
        <f t="shared" ca="1" si="396"/>
        <v>-49.09</v>
      </c>
      <c r="M3397" s="11">
        <f t="shared" ca="1" si="397"/>
        <v>2.6734599999999999</v>
      </c>
      <c r="N3397" s="15">
        <f t="shared" ca="1" si="398"/>
        <v>10</v>
      </c>
      <c r="O3397" s="15">
        <f t="shared" ca="1" si="399"/>
        <v>27</v>
      </c>
      <c r="P3397" s="16">
        <f t="shared" ca="1" si="400"/>
        <v>-13.029899999999998</v>
      </c>
      <c r="Q3397" s="11" t="str">
        <f t="shared" ca="1" si="386"/>
        <v/>
      </c>
      <c r="R3397" s="11" t="str">
        <f t="shared" ca="1" si="387"/>
        <v/>
      </c>
      <c r="S3397" s="61" t="str">
        <f t="shared" ca="1" si="388"/>
        <v/>
      </c>
      <c r="T3397" s="11" t="str">
        <f t="shared" ca="1" si="389"/>
        <v/>
      </c>
      <c r="U3397" s="11" t="str">
        <f t="shared" ca="1" si="390"/>
        <v/>
      </c>
      <c r="V3397" s="18" t="str">
        <f t="shared" ca="1" si="391"/>
        <v/>
      </c>
      <c r="W3397" s="61" t="str">
        <f t="shared" ca="1" si="392"/>
        <v/>
      </c>
      <c r="X3397" s="61">
        <f t="shared" ca="1" si="393"/>
        <v>0</v>
      </c>
      <c r="Y3397" s="64" t="str">
        <f t="shared" ca="1" si="394"/>
        <v/>
      </c>
    </row>
    <row r="3398" spans="1:25">
      <c r="A3398" s="2">
        <f>+Get_Data!A3397</f>
        <v>0</v>
      </c>
      <c r="B3398">
        <f>+ROUND(Get_Data!B3397,5)</f>
        <v>0</v>
      </c>
      <c r="C3398">
        <f>+ROUND(Get_Data!C3397,5)</f>
        <v>0</v>
      </c>
      <c r="D3398" s="4" t="str">
        <f t="shared" si="401"/>
        <v/>
      </c>
      <c r="E3398" s="22">
        <f t="shared" ca="1" si="402"/>
        <v>0</v>
      </c>
      <c r="F3398" s="23">
        <f t="shared" ca="1" si="403"/>
        <v>0</v>
      </c>
      <c r="G3398" s="10">
        <f t="shared" ca="1" si="404"/>
        <v>0</v>
      </c>
      <c r="H3398" s="12">
        <f t="shared" ca="1" si="405"/>
        <v>0</v>
      </c>
      <c r="I3398" s="11">
        <f t="shared" ca="1" si="406"/>
        <v>0</v>
      </c>
      <c r="J3398" s="11">
        <f t="shared" ref="J3398:J3461" ca="1" si="407">+IF(AND(ABS(J3397)=2,ABS(I3398)=1),0,J3397+I3398)</f>
        <v>-1</v>
      </c>
      <c r="K3398" s="10">
        <f t="shared" ca="1" si="395"/>
        <v>131.24001000000001</v>
      </c>
      <c r="L3398" s="11">
        <f t="shared" ca="1" si="396"/>
        <v>-49.09</v>
      </c>
      <c r="M3398" s="11">
        <f t="shared" ca="1" si="397"/>
        <v>2.6734599999999999</v>
      </c>
      <c r="N3398" s="15">
        <f t="shared" ca="1" si="398"/>
        <v>10</v>
      </c>
      <c r="O3398" s="15">
        <f t="shared" ca="1" si="399"/>
        <v>27</v>
      </c>
      <c r="P3398" s="16">
        <f t="shared" ca="1" si="400"/>
        <v>-13.029899999999998</v>
      </c>
      <c r="Q3398" s="11" t="str">
        <f t="shared" ca="1" si="386"/>
        <v/>
      </c>
      <c r="R3398" s="11" t="str">
        <f t="shared" ca="1" si="387"/>
        <v/>
      </c>
      <c r="S3398" s="61" t="str">
        <f t="shared" ca="1" si="388"/>
        <v/>
      </c>
      <c r="T3398" s="11" t="str">
        <f t="shared" ca="1" si="389"/>
        <v/>
      </c>
      <c r="U3398" s="11" t="str">
        <f t="shared" ca="1" si="390"/>
        <v/>
      </c>
      <c r="V3398" s="18" t="str">
        <f t="shared" ca="1" si="391"/>
        <v/>
      </c>
      <c r="W3398" s="61" t="str">
        <f t="shared" ca="1" si="392"/>
        <v/>
      </c>
      <c r="X3398" s="61">
        <f t="shared" ca="1" si="393"/>
        <v>0</v>
      </c>
      <c r="Y3398" s="64" t="str">
        <f t="shared" ca="1" si="394"/>
        <v/>
      </c>
    </row>
    <row r="3399" spans="1:25">
      <c r="A3399" s="2">
        <f>+Get_Data!A3398</f>
        <v>0</v>
      </c>
      <c r="B3399">
        <f>+ROUND(Get_Data!B3398,5)</f>
        <v>0</v>
      </c>
      <c r="C3399">
        <f>+ROUND(Get_Data!C3398,5)</f>
        <v>0</v>
      </c>
      <c r="D3399" s="4" t="str">
        <f t="shared" si="401"/>
        <v/>
      </c>
      <c r="E3399" s="22">
        <f t="shared" ca="1" si="402"/>
        <v>0</v>
      </c>
      <c r="F3399" s="23">
        <f t="shared" ca="1" si="403"/>
        <v>0</v>
      </c>
      <c r="G3399" s="10">
        <f t="shared" ca="1" si="404"/>
        <v>0</v>
      </c>
      <c r="H3399" s="12">
        <f t="shared" ca="1" si="405"/>
        <v>0</v>
      </c>
      <c r="I3399" s="11">
        <f t="shared" ca="1" si="406"/>
        <v>0</v>
      </c>
      <c r="J3399" s="11">
        <f t="shared" ca="1" si="407"/>
        <v>-1</v>
      </c>
      <c r="K3399" s="10">
        <f t="shared" ca="1" si="395"/>
        <v>131.24001000000001</v>
      </c>
      <c r="L3399" s="11">
        <f t="shared" ca="1" si="396"/>
        <v>-49.09</v>
      </c>
      <c r="M3399" s="11">
        <f t="shared" ca="1" si="397"/>
        <v>2.6734599999999999</v>
      </c>
      <c r="N3399" s="15">
        <f t="shared" ca="1" si="398"/>
        <v>10</v>
      </c>
      <c r="O3399" s="15">
        <f t="shared" ca="1" si="399"/>
        <v>27</v>
      </c>
      <c r="P3399" s="16">
        <f t="shared" ca="1" si="400"/>
        <v>-13.029899999999998</v>
      </c>
      <c r="Q3399" s="11" t="str">
        <f t="shared" ca="1" si="386"/>
        <v/>
      </c>
      <c r="R3399" s="11" t="str">
        <f t="shared" ca="1" si="387"/>
        <v/>
      </c>
      <c r="S3399" s="61" t="str">
        <f t="shared" ca="1" si="388"/>
        <v/>
      </c>
      <c r="T3399" s="11" t="str">
        <f t="shared" ca="1" si="389"/>
        <v/>
      </c>
      <c r="U3399" s="11" t="str">
        <f t="shared" ca="1" si="390"/>
        <v/>
      </c>
      <c r="V3399" s="18" t="str">
        <f t="shared" ca="1" si="391"/>
        <v/>
      </c>
      <c r="W3399" s="61" t="str">
        <f t="shared" ca="1" si="392"/>
        <v/>
      </c>
      <c r="X3399" s="61">
        <f t="shared" ca="1" si="393"/>
        <v>0</v>
      </c>
      <c r="Y3399" s="64" t="str">
        <f t="shared" ca="1" si="394"/>
        <v/>
      </c>
    </row>
    <row r="3400" spans="1:25">
      <c r="A3400" s="2">
        <f>+Get_Data!A3399</f>
        <v>0</v>
      </c>
      <c r="B3400">
        <f>+ROUND(Get_Data!B3399,5)</f>
        <v>0</v>
      </c>
      <c r="C3400">
        <f>+ROUND(Get_Data!C3399,5)</f>
        <v>0</v>
      </c>
      <c r="D3400" s="4" t="str">
        <f t="shared" si="401"/>
        <v/>
      </c>
      <c r="E3400" s="22">
        <f t="shared" ca="1" si="402"/>
        <v>0</v>
      </c>
      <c r="F3400" s="23">
        <f t="shared" ca="1" si="403"/>
        <v>0</v>
      </c>
      <c r="G3400" s="10">
        <f t="shared" ca="1" si="404"/>
        <v>0</v>
      </c>
      <c r="H3400" s="12">
        <f t="shared" ca="1" si="405"/>
        <v>0</v>
      </c>
      <c r="I3400" s="11">
        <f t="shared" ca="1" si="406"/>
        <v>0</v>
      </c>
      <c r="J3400" s="11">
        <f t="shared" ca="1" si="407"/>
        <v>-1</v>
      </c>
      <c r="K3400" s="10">
        <f t="shared" ca="1" si="395"/>
        <v>131.24001000000001</v>
      </c>
      <c r="L3400" s="11">
        <f t="shared" ca="1" si="396"/>
        <v>-49.09</v>
      </c>
      <c r="M3400" s="11">
        <f t="shared" ca="1" si="397"/>
        <v>2.6734599999999999</v>
      </c>
      <c r="N3400" s="15">
        <f t="shared" ca="1" si="398"/>
        <v>10</v>
      </c>
      <c r="O3400" s="15">
        <f t="shared" ca="1" si="399"/>
        <v>27</v>
      </c>
      <c r="P3400" s="16">
        <f t="shared" ca="1" si="400"/>
        <v>-13.029899999999998</v>
      </c>
      <c r="Q3400" s="11" t="str">
        <f t="shared" ca="1" si="386"/>
        <v/>
      </c>
      <c r="R3400" s="11" t="str">
        <f t="shared" ca="1" si="387"/>
        <v/>
      </c>
      <c r="S3400" s="61" t="str">
        <f t="shared" ca="1" si="388"/>
        <v/>
      </c>
      <c r="T3400" s="11" t="str">
        <f t="shared" ca="1" si="389"/>
        <v/>
      </c>
      <c r="U3400" s="11" t="str">
        <f t="shared" ca="1" si="390"/>
        <v/>
      </c>
      <c r="V3400" s="18" t="str">
        <f t="shared" ca="1" si="391"/>
        <v/>
      </c>
      <c r="W3400" s="61" t="str">
        <f t="shared" ca="1" si="392"/>
        <v/>
      </c>
      <c r="X3400" s="61">
        <f t="shared" ca="1" si="393"/>
        <v>0</v>
      </c>
      <c r="Y3400" s="64" t="str">
        <f t="shared" ca="1" si="394"/>
        <v/>
      </c>
    </row>
    <row r="3401" spans="1:25">
      <c r="A3401" s="2">
        <f>+Get_Data!A3400</f>
        <v>0</v>
      </c>
      <c r="B3401">
        <f>+ROUND(Get_Data!B3400,5)</f>
        <v>0</v>
      </c>
      <c r="C3401">
        <f>+ROUND(Get_Data!C3400,5)</f>
        <v>0</v>
      </c>
      <c r="D3401" s="4" t="str">
        <f t="shared" si="401"/>
        <v/>
      </c>
      <c r="E3401" s="22">
        <f t="shared" ca="1" si="402"/>
        <v>0</v>
      </c>
      <c r="F3401" s="23">
        <f t="shared" ca="1" si="403"/>
        <v>0</v>
      </c>
      <c r="G3401" s="10">
        <f t="shared" ca="1" si="404"/>
        <v>0</v>
      </c>
      <c r="H3401" s="12">
        <f t="shared" ca="1" si="405"/>
        <v>0</v>
      </c>
      <c r="I3401" s="11">
        <f t="shared" ca="1" si="406"/>
        <v>0</v>
      </c>
      <c r="J3401" s="11">
        <f t="shared" ca="1" si="407"/>
        <v>-1</v>
      </c>
      <c r="K3401" s="10">
        <f t="shared" ca="1" si="395"/>
        <v>131.24001000000001</v>
      </c>
      <c r="L3401" s="11">
        <f t="shared" ca="1" si="396"/>
        <v>-49.09</v>
      </c>
      <c r="M3401" s="11">
        <f t="shared" ca="1" si="397"/>
        <v>2.6734599999999999</v>
      </c>
      <c r="N3401" s="15">
        <f t="shared" ca="1" si="398"/>
        <v>10</v>
      </c>
      <c r="O3401" s="15">
        <f t="shared" ca="1" si="399"/>
        <v>27</v>
      </c>
      <c r="P3401" s="16">
        <f t="shared" ca="1" si="400"/>
        <v>-13.029899999999998</v>
      </c>
      <c r="Q3401" s="11" t="str">
        <f t="shared" ca="1" si="386"/>
        <v/>
      </c>
      <c r="R3401" s="11" t="str">
        <f t="shared" ca="1" si="387"/>
        <v/>
      </c>
      <c r="S3401" s="61" t="str">
        <f t="shared" ca="1" si="388"/>
        <v/>
      </c>
      <c r="T3401" s="11" t="str">
        <f t="shared" ca="1" si="389"/>
        <v/>
      </c>
      <c r="U3401" s="11" t="str">
        <f t="shared" ca="1" si="390"/>
        <v/>
      </c>
      <c r="V3401" s="18" t="str">
        <f t="shared" ca="1" si="391"/>
        <v/>
      </c>
      <c r="W3401" s="61" t="str">
        <f t="shared" ca="1" si="392"/>
        <v/>
      </c>
      <c r="X3401" s="61">
        <f t="shared" ca="1" si="393"/>
        <v>0</v>
      </c>
      <c r="Y3401" s="64" t="str">
        <f t="shared" ca="1" si="394"/>
        <v/>
      </c>
    </row>
    <row r="3402" spans="1:25">
      <c r="A3402" s="2">
        <f>+Get_Data!A3401</f>
        <v>0</v>
      </c>
      <c r="B3402">
        <f>+ROUND(Get_Data!B3401,5)</f>
        <v>0</v>
      </c>
      <c r="C3402">
        <f>+ROUND(Get_Data!C3401,5)</f>
        <v>0</v>
      </c>
      <c r="D3402" s="4" t="str">
        <f t="shared" si="401"/>
        <v/>
      </c>
      <c r="E3402" s="22">
        <f t="shared" ca="1" si="402"/>
        <v>0</v>
      </c>
      <c r="F3402" s="23">
        <f t="shared" ca="1" si="403"/>
        <v>0</v>
      </c>
      <c r="G3402" s="10">
        <f t="shared" ca="1" si="404"/>
        <v>0</v>
      </c>
      <c r="H3402" s="12">
        <f t="shared" ca="1" si="405"/>
        <v>0</v>
      </c>
      <c r="I3402" s="11">
        <f t="shared" ca="1" si="406"/>
        <v>0</v>
      </c>
      <c r="J3402" s="11">
        <f t="shared" ca="1" si="407"/>
        <v>-1</v>
      </c>
      <c r="K3402" s="10">
        <f t="shared" ca="1" si="395"/>
        <v>131.24001000000001</v>
      </c>
      <c r="L3402" s="11">
        <f t="shared" ca="1" si="396"/>
        <v>-49.09</v>
      </c>
      <c r="M3402" s="11">
        <f t="shared" ca="1" si="397"/>
        <v>2.6734599999999999</v>
      </c>
      <c r="N3402" s="15">
        <f t="shared" ca="1" si="398"/>
        <v>10</v>
      </c>
      <c r="O3402" s="15">
        <f t="shared" ca="1" si="399"/>
        <v>27</v>
      </c>
      <c r="P3402" s="16">
        <f t="shared" ca="1" si="400"/>
        <v>-13.029899999999998</v>
      </c>
      <c r="Q3402" s="11" t="str">
        <f t="shared" ca="1" si="386"/>
        <v/>
      </c>
      <c r="R3402" s="11" t="str">
        <f t="shared" ca="1" si="387"/>
        <v/>
      </c>
      <c r="S3402" s="61" t="str">
        <f t="shared" ca="1" si="388"/>
        <v/>
      </c>
      <c r="T3402" s="11" t="str">
        <f t="shared" ca="1" si="389"/>
        <v/>
      </c>
      <c r="U3402" s="11" t="str">
        <f t="shared" ca="1" si="390"/>
        <v/>
      </c>
      <c r="V3402" s="18" t="str">
        <f t="shared" ca="1" si="391"/>
        <v/>
      </c>
      <c r="W3402" s="61" t="str">
        <f t="shared" ca="1" si="392"/>
        <v/>
      </c>
      <c r="X3402" s="61">
        <f t="shared" ca="1" si="393"/>
        <v>0</v>
      </c>
      <c r="Y3402" s="64" t="str">
        <f t="shared" ca="1" si="394"/>
        <v/>
      </c>
    </row>
    <row r="3403" spans="1:25">
      <c r="A3403" s="2">
        <f>+Get_Data!A3402</f>
        <v>0</v>
      </c>
      <c r="B3403">
        <f>+ROUND(Get_Data!B3402,5)</f>
        <v>0</v>
      </c>
      <c r="C3403">
        <f>+ROUND(Get_Data!C3402,5)</f>
        <v>0</v>
      </c>
      <c r="D3403" s="4" t="str">
        <f t="shared" si="401"/>
        <v/>
      </c>
      <c r="E3403" s="22">
        <f t="shared" ca="1" si="402"/>
        <v>0</v>
      </c>
      <c r="F3403" s="23">
        <f t="shared" ca="1" si="403"/>
        <v>0</v>
      </c>
      <c r="G3403" s="10">
        <f t="shared" ca="1" si="404"/>
        <v>0</v>
      </c>
      <c r="H3403" s="12">
        <f t="shared" ca="1" si="405"/>
        <v>0</v>
      </c>
      <c r="I3403" s="11">
        <f t="shared" ca="1" si="406"/>
        <v>0</v>
      </c>
      <c r="J3403" s="11">
        <f t="shared" ca="1" si="407"/>
        <v>-1</v>
      </c>
      <c r="K3403" s="10">
        <f t="shared" ca="1" si="395"/>
        <v>131.24001000000001</v>
      </c>
      <c r="L3403" s="11">
        <f t="shared" ca="1" si="396"/>
        <v>-49.09</v>
      </c>
      <c r="M3403" s="11">
        <f t="shared" ca="1" si="397"/>
        <v>2.6734599999999999</v>
      </c>
      <c r="N3403" s="15">
        <f t="shared" ca="1" si="398"/>
        <v>10</v>
      </c>
      <c r="O3403" s="15">
        <f t="shared" ca="1" si="399"/>
        <v>27</v>
      </c>
      <c r="P3403" s="16">
        <f t="shared" ca="1" si="400"/>
        <v>-13.029899999999998</v>
      </c>
      <c r="Q3403" s="11" t="str">
        <f t="shared" ca="1" si="386"/>
        <v/>
      </c>
      <c r="R3403" s="11" t="str">
        <f t="shared" ca="1" si="387"/>
        <v/>
      </c>
      <c r="S3403" s="61" t="str">
        <f t="shared" ca="1" si="388"/>
        <v/>
      </c>
      <c r="T3403" s="11" t="str">
        <f t="shared" ca="1" si="389"/>
        <v/>
      </c>
      <c r="U3403" s="11" t="str">
        <f t="shared" ca="1" si="390"/>
        <v/>
      </c>
      <c r="V3403" s="18" t="str">
        <f t="shared" ca="1" si="391"/>
        <v/>
      </c>
      <c r="W3403" s="61" t="str">
        <f t="shared" ca="1" si="392"/>
        <v/>
      </c>
      <c r="X3403" s="61">
        <f t="shared" ca="1" si="393"/>
        <v>0</v>
      </c>
      <c r="Y3403" s="64" t="str">
        <f t="shared" ca="1" si="394"/>
        <v/>
      </c>
    </row>
    <row r="3404" spans="1:25">
      <c r="A3404" s="2">
        <f>+Get_Data!A3403</f>
        <v>0</v>
      </c>
      <c r="B3404">
        <f>+ROUND(Get_Data!B3403,5)</f>
        <v>0</v>
      </c>
      <c r="C3404">
        <f>+ROUND(Get_Data!C3403,5)</f>
        <v>0</v>
      </c>
      <c r="D3404" s="4" t="str">
        <f t="shared" si="401"/>
        <v/>
      </c>
      <c r="E3404" s="22">
        <f t="shared" ca="1" si="402"/>
        <v>0</v>
      </c>
      <c r="F3404" s="23">
        <f t="shared" ca="1" si="403"/>
        <v>0</v>
      </c>
      <c r="G3404" s="10">
        <f t="shared" ca="1" si="404"/>
        <v>0</v>
      </c>
      <c r="H3404" s="12">
        <f t="shared" ca="1" si="405"/>
        <v>0</v>
      </c>
      <c r="I3404" s="11">
        <f t="shared" ca="1" si="406"/>
        <v>0</v>
      </c>
      <c r="J3404" s="11">
        <f t="shared" ca="1" si="407"/>
        <v>-1</v>
      </c>
      <c r="K3404" s="10">
        <f t="shared" ca="1" si="395"/>
        <v>131.24001000000001</v>
      </c>
      <c r="L3404" s="11">
        <f t="shared" ca="1" si="396"/>
        <v>-49.09</v>
      </c>
      <c r="M3404" s="11">
        <f t="shared" ca="1" si="397"/>
        <v>2.6734599999999999</v>
      </c>
      <c r="N3404" s="15">
        <f t="shared" ca="1" si="398"/>
        <v>10</v>
      </c>
      <c r="O3404" s="15">
        <f t="shared" ca="1" si="399"/>
        <v>27</v>
      </c>
      <c r="P3404" s="16">
        <f t="shared" ca="1" si="400"/>
        <v>-13.029899999999998</v>
      </c>
      <c r="Q3404" s="11" t="str">
        <f t="shared" ca="1" si="386"/>
        <v/>
      </c>
      <c r="R3404" s="11" t="str">
        <f t="shared" ca="1" si="387"/>
        <v/>
      </c>
      <c r="S3404" s="61" t="str">
        <f t="shared" ca="1" si="388"/>
        <v/>
      </c>
      <c r="T3404" s="11" t="str">
        <f t="shared" ca="1" si="389"/>
        <v/>
      </c>
      <c r="U3404" s="11" t="str">
        <f t="shared" ca="1" si="390"/>
        <v/>
      </c>
      <c r="V3404" s="18" t="str">
        <f t="shared" ca="1" si="391"/>
        <v/>
      </c>
      <c r="W3404" s="61" t="str">
        <f t="shared" ca="1" si="392"/>
        <v/>
      </c>
      <c r="X3404" s="61">
        <f t="shared" ca="1" si="393"/>
        <v>0</v>
      </c>
      <c r="Y3404" s="64" t="str">
        <f t="shared" ca="1" si="394"/>
        <v/>
      </c>
    </row>
    <row r="3405" spans="1:25">
      <c r="A3405" s="2">
        <f>+Get_Data!A3404</f>
        <v>0</v>
      </c>
      <c r="B3405">
        <f>+ROUND(Get_Data!B3404,5)</f>
        <v>0</v>
      </c>
      <c r="C3405">
        <f>+ROUND(Get_Data!C3404,5)</f>
        <v>0</v>
      </c>
      <c r="D3405" s="4" t="str">
        <f t="shared" si="401"/>
        <v/>
      </c>
      <c r="E3405" s="22">
        <f t="shared" ca="1" si="402"/>
        <v>0</v>
      </c>
      <c r="F3405" s="23">
        <f t="shared" ca="1" si="403"/>
        <v>0</v>
      </c>
      <c r="G3405" s="10">
        <f t="shared" ca="1" si="404"/>
        <v>0</v>
      </c>
      <c r="H3405" s="12">
        <f t="shared" ca="1" si="405"/>
        <v>0</v>
      </c>
      <c r="I3405" s="11">
        <f t="shared" ca="1" si="406"/>
        <v>0</v>
      </c>
      <c r="J3405" s="11">
        <f t="shared" ca="1" si="407"/>
        <v>-1</v>
      </c>
      <c r="K3405" s="10">
        <f t="shared" ca="1" si="395"/>
        <v>131.24001000000001</v>
      </c>
      <c r="L3405" s="11">
        <f t="shared" ca="1" si="396"/>
        <v>-49.09</v>
      </c>
      <c r="M3405" s="11">
        <f t="shared" ca="1" si="397"/>
        <v>2.6734599999999999</v>
      </c>
      <c r="N3405" s="15">
        <f t="shared" ca="1" si="398"/>
        <v>10</v>
      </c>
      <c r="O3405" s="15">
        <f t="shared" ca="1" si="399"/>
        <v>27</v>
      </c>
      <c r="P3405" s="16">
        <f t="shared" ca="1" si="400"/>
        <v>-13.029899999999998</v>
      </c>
      <c r="Q3405" s="11" t="str">
        <f t="shared" ca="1" si="386"/>
        <v/>
      </c>
      <c r="R3405" s="11" t="str">
        <f t="shared" ca="1" si="387"/>
        <v/>
      </c>
      <c r="S3405" s="61" t="str">
        <f t="shared" ca="1" si="388"/>
        <v/>
      </c>
      <c r="T3405" s="11" t="str">
        <f t="shared" ca="1" si="389"/>
        <v/>
      </c>
      <c r="U3405" s="11" t="str">
        <f t="shared" ca="1" si="390"/>
        <v/>
      </c>
      <c r="V3405" s="18" t="str">
        <f t="shared" ca="1" si="391"/>
        <v/>
      </c>
      <c r="W3405" s="61" t="str">
        <f t="shared" ca="1" si="392"/>
        <v/>
      </c>
      <c r="X3405" s="61">
        <f t="shared" ca="1" si="393"/>
        <v>0</v>
      </c>
      <c r="Y3405" s="64" t="str">
        <f t="shared" ca="1" si="394"/>
        <v/>
      </c>
    </row>
    <row r="3406" spans="1:25">
      <c r="A3406" s="2">
        <f>+Get_Data!A3405</f>
        <v>0</v>
      </c>
      <c r="B3406">
        <f>+ROUND(Get_Data!B3405,5)</f>
        <v>0</v>
      </c>
      <c r="C3406">
        <f>+ROUND(Get_Data!C3405,5)</f>
        <v>0</v>
      </c>
      <c r="D3406" s="4" t="str">
        <f t="shared" si="401"/>
        <v/>
      </c>
      <c r="E3406" s="22">
        <f t="shared" ca="1" si="402"/>
        <v>0</v>
      </c>
      <c r="F3406" s="23">
        <f t="shared" ca="1" si="403"/>
        <v>0</v>
      </c>
      <c r="G3406" s="10">
        <f t="shared" ca="1" si="404"/>
        <v>0</v>
      </c>
      <c r="H3406" s="12">
        <f t="shared" ca="1" si="405"/>
        <v>0</v>
      </c>
      <c r="I3406" s="11">
        <f t="shared" ca="1" si="406"/>
        <v>0</v>
      </c>
      <c r="J3406" s="11">
        <f t="shared" ca="1" si="407"/>
        <v>-1</v>
      </c>
      <c r="K3406" s="10">
        <f t="shared" ca="1" si="395"/>
        <v>131.24001000000001</v>
      </c>
      <c r="L3406" s="11">
        <f t="shared" ca="1" si="396"/>
        <v>-49.09</v>
      </c>
      <c r="M3406" s="11">
        <f t="shared" ca="1" si="397"/>
        <v>2.6734599999999999</v>
      </c>
      <c r="N3406" s="15">
        <f t="shared" ca="1" si="398"/>
        <v>10</v>
      </c>
      <c r="O3406" s="15">
        <f t="shared" ca="1" si="399"/>
        <v>27</v>
      </c>
      <c r="P3406" s="16">
        <f t="shared" ca="1" si="400"/>
        <v>-13.029899999999998</v>
      </c>
      <c r="Q3406" s="11" t="str">
        <f t="shared" ca="1" si="386"/>
        <v/>
      </c>
      <c r="R3406" s="11" t="str">
        <f t="shared" ca="1" si="387"/>
        <v/>
      </c>
      <c r="S3406" s="61" t="str">
        <f t="shared" ca="1" si="388"/>
        <v/>
      </c>
      <c r="T3406" s="11" t="str">
        <f t="shared" ca="1" si="389"/>
        <v/>
      </c>
      <c r="U3406" s="11" t="str">
        <f t="shared" ca="1" si="390"/>
        <v/>
      </c>
      <c r="V3406" s="18" t="str">
        <f t="shared" ca="1" si="391"/>
        <v/>
      </c>
      <c r="W3406" s="61" t="str">
        <f t="shared" ca="1" si="392"/>
        <v/>
      </c>
      <c r="X3406" s="61">
        <f t="shared" ca="1" si="393"/>
        <v>0</v>
      </c>
      <c r="Y3406" s="64" t="str">
        <f t="shared" ca="1" si="394"/>
        <v/>
      </c>
    </row>
    <row r="3407" spans="1:25">
      <c r="A3407" s="2">
        <f>+Get_Data!A3406</f>
        <v>0</v>
      </c>
      <c r="B3407">
        <f>+ROUND(Get_Data!B3406,5)</f>
        <v>0</v>
      </c>
      <c r="C3407">
        <f>+ROUND(Get_Data!C3406,5)</f>
        <v>0</v>
      </c>
      <c r="D3407" s="4" t="str">
        <f t="shared" si="401"/>
        <v/>
      </c>
      <c r="E3407" s="22">
        <f t="shared" ca="1" si="402"/>
        <v>0</v>
      </c>
      <c r="F3407" s="23">
        <f t="shared" ca="1" si="403"/>
        <v>0</v>
      </c>
      <c r="G3407" s="10">
        <f t="shared" ca="1" si="404"/>
        <v>0</v>
      </c>
      <c r="H3407" s="12">
        <f t="shared" ca="1" si="405"/>
        <v>0</v>
      </c>
      <c r="I3407" s="11">
        <f t="shared" ca="1" si="406"/>
        <v>0</v>
      </c>
      <c r="J3407" s="11">
        <f t="shared" ca="1" si="407"/>
        <v>-1</v>
      </c>
      <c r="K3407" s="10">
        <f t="shared" ca="1" si="395"/>
        <v>131.24001000000001</v>
      </c>
      <c r="L3407" s="11">
        <f t="shared" ca="1" si="396"/>
        <v>-49.09</v>
      </c>
      <c r="M3407" s="11">
        <f t="shared" ca="1" si="397"/>
        <v>2.6734599999999999</v>
      </c>
      <c r="N3407" s="15">
        <f t="shared" ca="1" si="398"/>
        <v>10</v>
      </c>
      <c r="O3407" s="15">
        <f t="shared" ca="1" si="399"/>
        <v>27</v>
      </c>
      <c r="P3407" s="16">
        <f t="shared" ca="1" si="400"/>
        <v>-13.029899999999998</v>
      </c>
      <c r="Q3407" s="11" t="str">
        <f t="shared" ca="1" si="386"/>
        <v/>
      </c>
      <c r="R3407" s="11" t="str">
        <f t="shared" ca="1" si="387"/>
        <v/>
      </c>
      <c r="S3407" s="61" t="str">
        <f t="shared" ca="1" si="388"/>
        <v/>
      </c>
      <c r="T3407" s="11" t="str">
        <f t="shared" ca="1" si="389"/>
        <v/>
      </c>
      <c r="U3407" s="11" t="str">
        <f t="shared" ca="1" si="390"/>
        <v/>
      </c>
      <c r="V3407" s="18" t="str">
        <f t="shared" ca="1" si="391"/>
        <v/>
      </c>
      <c r="W3407" s="61" t="str">
        <f t="shared" ca="1" si="392"/>
        <v/>
      </c>
      <c r="X3407" s="61">
        <f t="shared" ca="1" si="393"/>
        <v>0</v>
      </c>
      <c r="Y3407" s="64" t="str">
        <f t="shared" ca="1" si="394"/>
        <v/>
      </c>
    </row>
    <row r="3408" spans="1:25">
      <c r="A3408" s="2">
        <f>+Get_Data!A3407</f>
        <v>0</v>
      </c>
      <c r="B3408">
        <f>+ROUND(Get_Data!B3407,5)</f>
        <v>0</v>
      </c>
      <c r="C3408">
        <f>+ROUND(Get_Data!C3407,5)</f>
        <v>0</v>
      </c>
      <c r="D3408" s="4" t="str">
        <f t="shared" si="401"/>
        <v/>
      </c>
      <c r="E3408" s="22">
        <f t="shared" ca="1" si="402"/>
        <v>0</v>
      </c>
      <c r="F3408" s="23">
        <f t="shared" ca="1" si="403"/>
        <v>0</v>
      </c>
      <c r="G3408" s="10">
        <f t="shared" ca="1" si="404"/>
        <v>0</v>
      </c>
      <c r="H3408" s="12">
        <f t="shared" ca="1" si="405"/>
        <v>0</v>
      </c>
      <c r="I3408" s="11">
        <f t="shared" ca="1" si="406"/>
        <v>0</v>
      </c>
      <c r="J3408" s="11">
        <f t="shared" ca="1" si="407"/>
        <v>-1</v>
      </c>
      <c r="K3408" s="10">
        <f t="shared" ca="1" si="395"/>
        <v>131.24001000000001</v>
      </c>
      <c r="L3408" s="11">
        <f t="shared" ca="1" si="396"/>
        <v>-49.09</v>
      </c>
      <c r="M3408" s="11">
        <f t="shared" ca="1" si="397"/>
        <v>2.6734599999999999</v>
      </c>
      <c r="N3408" s="15">
        <f t="shared" ca="1" si="398"/>
        <v>10</v>
      </c>
      <c r="O3408" s="15">
        <f t="shared" ca="1" si="399"/>
        <v>27</v>
      </c>
      <c r="P3408" s="16">
        <f t="shared" ca="1" si="400"/>
        <v>-13.029899999999998</v>
      </c>
      <c r="Q3408" s="11" t="str">
        <f t="shared" ca="1" si="386"/>
        <v/>
      </c>
      <c r="R3408" s="11" t="str">
        <f t="shared" ca="1" si="387"/>
        <v/>
      </c>
      <c r="S3408" s="61" t="str">
        <f t="shared" ca="1" si="388"/>
        <v/>
      </c>
      <c r="T3408" s="11" t="str">
        <f t="shared" ca="1" si="389"/>
        <v/>
      </c>
      <c r="U3408" s="11" t="str">
        <f t="shared" ca="1" si="390"/>
        <v/>
      </c>
      <c r="V3408" s="18" t="str">
        <f t="shared" ca="1" si="391"/>
        <v/>
      </c>
      <c r="W3408" s="61" t="str">
        <f t="shared" ca="1" si="392"/>
        <v/>
      </c>
      <c r="X3408" s="61">
        <f t="shared" ca="1" si="393"/>
        <v>0</v>
      </c>
      <c r="Y3408" s="64" t="str">
        <f t="shared" ca="1" si="394"/>
        <v/>
      </c>
    </row>
    <row r="3409" spans="1:25">
      <c r="A3409" s="2">
        <f>+Get_Data!A3408</f>
        <v>0</v>
      </c>
      <c r="B3409">
        <f>+ROUND(Get_Data!B3408,5)</f>
        <v>0</v>
      </c>
      <c r="C3409">
        <f>+ROUND(Get_Data!C3408,5)</f>
        <v>0</v>
      </c>
      <c r="D3409" s="4" t="str">
        <f t="shared" si="401"/>
        <v/>
      </c>
      <c r="E3409" s="22">
        <f t="shared" ca="1" si="402"/>
        <v>0</v>
      </c>
      <c r="F3409" s="23">
        <f t="shared" ca="1" si="403"/>
        <v>0</v>
      </c>
      <c r="G3409" s="10">
        <f t="shared" ca="1" si="404"/>
        <v>0</v>
      </c>
      <c r="H3409" s="12">
        <f t="shared" ca="1" si="405"/>
        <v>0</v>
      </c>
      <c r="I3409" s="11">
        <f t="shared" ca="1" si="406"/>
        <v>0</v>
      </c>
      <c r="J3409" s="11">
        <f t="shared" ca="1" si="407"/>
        <v>-1</v>
      </c>
      <c r="K3409" s="10">
        <f t="shared" ca="1" si="395"/>
        <v>131.24001000000001</v>
      </c>
      <c r="L3409" s="11">
        <f t="shared" ca="1" si="396"/>
        <v>-49.09</v>
      </c>
      <c r="M3409" s="11">
        <f t="shared" ca="1" si="397"/>
        <v>2.6734599999999999</v>
      </c>
      <c r="N3409" s="15">
        <f t="shared" ca="1" si="398"/>
        <v>10</v>
      </c>
      <c r="O3409" s="15">
        <f t="shared" ca="1" si="399"/>
        <v>27</v>
      </c>
      <c r="P3409" s="16">
        <f t="shared" ca="1" si="400"/>
        <v>-13.029899999999998</v>
      </c>
      <c r="Q3409" s="11" t="str">
        <f t="shared" ca="1" si="386"/>
        <v/>
      </c>
      <c r="R3409" s="11" t="str">
        <f t="shared" ca="1" si="387"/>
        <v/>
      </c>
      <c r="S3409" s="61" t="str">
        <f t="shared" ca="1" si="388"/>
        <v/>
      </c>
      <c r="T3409" s="11" t="str">
        <f t="shared" ca="1" si="389"/>
        <v/>
      </c>
      <c r="U3409" s="11" t="str">
        <f t="shared" ca="1" si="390"/>
        <v/>
      </c>
      <c r="V3409" s="18" t="str">
        <f t="shared" ca="1" si="391"/>
        <v/>
      </c>
      <c r="W3409" s="61" t="str">
        <f t="shared" ca="1" si="392"/>
        <v/>
      </c>
      <c r="X3409" s="61">
        <f t="shared" ca="1" si="393"/>
        <v>0</v>
      </c>
      <c r="Y3409" s="64" t="str">
        <f t="shared" ca="1" si="394"/>
        <v/>
      </c>
    </row>
    <row r="3410" spans="1:25">
      <c r="A3410" s="2">
        <f>+Get_Data!A3409</f>
        <v>0</v>
      </c>
      <c r="B3410">
        <f>+ROUND(Get_Data!B3409,5)</f>
        <v>0</v>
      </c>
      <c r="C3410">
        <f>+ROUND(Get_Data!C3409,5)</f>
        <v>0</v>
      </c>
      <c r="D3410" s="4" t="str">
        <f t="shared" si="401"/>
        <v/>
      </c>
      <c r="E3410" s="22">
        <f t="shared" ca="1" si="402"/>
        <v>0</v>
      </c>
      <c r="F3410" s="23">
        <f t="shared" ca="1" si="403"/>
        <v>0</v>
      </c>
      <c r="G3410" s="10">
        <f t="shared" ca="1" si="404"/>
        <v>0</v>
      </c>
      <c r="H3410" s="12">
        <f t="shared" ca="1" si="405"/>
        <v>0</v>
      </c>
      <c r="I3410" s="11">
        <f t="shared" ca="1" si="406"/>
        <v>0</v>
      </c>
      <c r="J3410" s="11">
        <f t="shared" ca="1" si="407"/>
        <v>-1</v>
      </c>
      <c r="K3410" s="10">
        <f t="shared" ca="1" si="395"/>
        <v>131.24001000000001</v>
      </c>
      <c r="L3410" s="11">
        <f t="shared" ca="1" si="396"/>
        <v>-49.09</v>
      </c>
      <c r="M3410" s="11">
        <f t="shared" ca="1" si="397"/>
        <v>2.6734599999999999</v>
      </c>
      <c r="N3410" s="15">
        <f t="shared" ca="1" si="398"/>
        <v>10</v>
      </c>
      <c r="O3410" s="15">
        <f t="shared" ca="1" si="399"/>
        <v>27</v>
      </c>
      <c r="P3410" s="16">
        <f t="shared" ca="1" si="400"/>
        <v>-13.029899999999998</v>
      </c>
      <c r="Q3410" s="11" t="str">
        <f t="shared" ca="1" si="386"/>
        <v/>
      </c>
      <c r="R3410" s="11" t="str">
        <f t="shared" ca="1" si="387"/>
        <v/>
      </c>
      <c r="S3410" s="61" t="str">
        <f t="shared" ca="1" si="388"/>
        <v/>
      </c>
      <c r="T3410" s="11" t="str">
        <f t="shared" ca="1" si="389"/>
        <v/>
      </c>
      <c r="U3410" s="11" t="str">
        <f t="shared" ca="1" si="390"/>
        <v/>
      </c>
      <c r="V3410" s="18" t="str">
        <f t="shared" ca="1" si="391"/>
        <v/>
      </c>
      <c r="W3410" s="61" t="str">
        <f t="shared" ca="1" si="392"/>
        <v/>
      </c>
      <c r="X3410" s="61">
        <f t="shared" ca="1" si="393"/>
        <v>0</v>
      </c>
      <c r="Y3410" s="64" t="str">
        <f t="shared" ca="1" si="394"/>
        <v/>
      </c>
    </row>
    <row r="3411" spans="1:25">
      <c r="A3411" s="2">
        <f>+Get_Data!A3410</f>
        <v>0</v>
      </c>
      <c r="B3411">
        <f>+ROUND(Get_Data!B3410,5)</f>
        <v>0</v>
      </c>
      <c r="C3411">
        <f>+ROUND(Get_Data!C3410,5)</f>
        <v>0</v>
      </c>
      <c r="D3411" s="4" t="str">
        <f t="shared" si="401"/>
        <v/>
      </c>
      <c r="E3411" s="22">
        <f t="shared" ca="1" si="402"/>
        <v>0</v>
      </c>
      <c r="F3411" s="23">
        <f t="shared" ca="1" si="403"/>
        <v>0</v>
      </c>
      <c r="G3411" s="10">
        <f t="shared" ca="1" si="404"/>
        <v>0</v>
      </c>
      <c r="H3411" s="12">
        <f t="shared" ca="1" si="405"/>
        <v>0</v>
      </c>
      <c r="I3411" s="11">
        <f t="shared" ca="1" si="406"/>
        <v>0</v>
      </c>
      <c r="J3411" s="11">
        <f t="shared" ca="1" si="407"/>
        <v>-1</v>
      </c>
      <c r="K3411" s="10">
        <f t="shared" ca="1" si="395"/>
        <v>131.24001000000001</v>
      </c>
      <c r="L3411" s="11">
        <f t="shared" ca="1" si="396"/>
        <v>-49.09</v>
      </c>
      <c r="M3411" s="11">
        <f t="shared" ca="1" si="397"/>
        <v>2.6734599999999999</v>
      </c>
      <c r="N3411" s="15">
        <f t="shared" ca="1" si="398"/>
        <v>10</v>
      </c>
      <c r="O3411" s="15">
        <f t="shared" ca="1" si="399"/>
        <v>27</v>
      </c>
      <c r="P3411" s="16">
        <f t="shared" ca="1" si="400"/>
        <v>-13.029899999999998</v>
      </c>
      <c r="Q3411" s="11" t="str">
        <f t="shared" ref="Q3411:Q3474" ca="1" si="408">+IF(ISNUMBER(T3411),B3411,"")</f>
        <v/>
      </c>
      <c r="R3411" s="11" t="str">
        <f t="shared" ref="R3411:R3474" ca="1" si="409">+IF(ISNUMBER(U3411),C3411,"")</f>
        <v/>
      </c>
      <c r="S3411" s="61" t="str">
        <f t="shared" ref="S3411:S3474" ca="1" si="410">+IF(ISNUMBER(T3411),D3411,"")</f>
        <v/>
      </c>
      <c r="T3411" s="11" t="str">
        <f t="shared" ref="T3411:T3474" ca="1" si="411">+IF(AND(ISNUMBER(N3410),NOT(ISNUMBER(N3411))),N3410,"")</f>
        <v/>
      </c>
      <c r="U3411" s="11" t="str">
        <f t="shared" ref="U3411:U3474" ca="1" si="412">+IF(AND(ISNUMBER(O3410),NOT(ISNUMBER(O3411))),O3410,"")</f>
        <v/>
      </c>
      <c r="V3411" s="18" t="str">
        <f t="shared" ref="V3411:V3474" ca="1" si="413">+IFERROR(T3411*(K3410-Q3411),"")</f>
        <v/>
      </c>
      <c r="W3411" s="61" t="str">
        <f t="shared" ref="W3411:W3474" ca="1" si="414">+IFERROR(U3411*(L3410+R3411),"")</f>
        <v/>
      </c>
      <c r="X3411" s="61">
        <f t="shared" ref="X3411:X3474" ca="1" si="415">+IFERROR(SUM(V3411:W3411),"")</f>
        <v>0</v>
      </c>
      <c r="Y3411" s="64" t="str">
        <f t="shared" ref="Y3411:Y3474" ca="1" si="416">IFERROR(+X3411/ABS(R3411*U3411),"")</f>
        <v/>
      </c>
    </row>
    <row r="3412" spans="1:25">
      <c r="A3412" s="2">
        <f>+Get_Data!A3411</f>
        <v>0</v>
      </c>
      <c r="B3412">
        <f>+ROUND(Get_Data!B3411,5)</f>
        <v>0</v>
      </c>
      <c r="C3412">
        <f>+ROUND(Get_Data!C3411,5)</f>
        <v>0</v>
      </c>
      <c r="D3412" s="4" t="str">
        <f t="shared" si="401"/>
        <v/>
      </c>
      <c r="E3412" s="22">
        <f t="shared" ca="1" si="402"/>
        <v>0</v>
      </c>
      <c r="F3412" s="23">
        <f t="shared" ca="1" si="403"/>
        <v>0</v>
      </c>
      <c r="G3412" s="10">
        <f t="shared" ca="1" si="404"/>
        <v>0</v>
      </c>
      <c r="H3412" s="12">
        <f t="shared" ca="1" si="405"/>
        <v>0</v>
      </c>
      <c r="I3412" s="11">
        <f t="shared" ca="1" si="406"/>
        <v>0</v>
      </c>
      <c r="J3412" s="11">
        <f t="shared" ca="1" si="407"/>
        <v>-1</v>
      </c>
      <c r="K3412" s="10">
        <f t="shared" ca="1" si="395"/>
        <v>131.24001000000001</v>
      </c>
      <c r="L3412" s="11">
        <f t="shared" ca="1" si="396"/>
        <v>-49.09</v>
      </c>
      <c r="M3412" s="11">
        <f t="shared" ca="1" si="397"/>
        <v>2.6734599999999999</v>
      </c>
      <c r="N3412" s="15">
        <f t="shared" ca="1" si="398"/>
        <v>10</v>
      </c>
      <c r="O3412" s="15">
        <f t="shared" ca="1" si="399"/>
        <v>27</v>
      </c>
      <c r="P3412" s="16">
        <f t="shared" ca="1" si="400"/>
        <v>-13.029899999999998</v>
      </c>
      <c r="Q3412" s="11" t="str">
        <f t="shared" ca="1" si="408"/>
        <v/>
      </c>
      <c r="R3412" s="11" t="str">
        <f t="shared" ca="1" si="409"/>
        <v/>
      </c>
      <c r="S3412" s="61" t="str">
        <f t="shared" ca="1" si="410"/>
        <v/>
      </c>
      <c r="T3412" s="11" t="str">
        <f t="shared" ca="1" si="411"/>
        <v/>
      </c>
      <c r="U3412" s="11" t="str">
        <f t="shared" ca="1" si="412"/>
        <v/>
      </c>
      <c r="V3412" s="18" t="str">
        <f t="shared" ca="1" si="413"/>
        <v/>
      </c>
      <c r="W3412" s="61" t="str">
        <f t="shared" ca="1" si="414"/>
        <v/>
      </c>
      <c r="X3412" s="61">
        <f t="shared" ca="1" si="415"/>
        <v>0</v>
      </c>
      <c r="Y3412" s="64" t="str">
        <f t="shared" ca="1" si="416"/>
        <v/>
      </c>
    </row>
    <row r="3413" spans="1:25">
      <c r="A3413" s="2">
        <f>+Get_Data!A3412</f>
        <v>0</v>
      </c>
      <c r="B3413">
        <f>+ROUND(Get_Data!B3412,5)</f>
        <v>0</v>
      </c>
      <c r="C3413">
        <f>+ROUND(Get_Data!C3412,5)</f>
        <v>0</v>
      </c>
      <c r="D3413" s="4" t="str">
        <f t="shared" si="401"/>
        <v/>
      </c>
      <c r="E3413" s="22">
        <f t="shared" ca="1" si="402"/>
        <v>0</v>
      </c>
      <c r="F3413" s="23">
        <f t="shared" ca="1" si="403"/>
        <v>0</v>
      </c>
      <c r="G3413" s="10">
        <f t="shared" ca="1" si="404"/>
        <v>0</v>
      </c>
      <c r="H3413" s="12">
        <f t="shared" ca="1" si="405"/>
        <v>0</v>
      </c>
      <c r="I3413" s="11">
        <f t="shared" ca="1" si="406"/>
        <v>0</v>
      </c>
      <c r="J3413" s="11">
        <f t="shared" ca="1" si="407"/>
        <v>-1</v>
      </c>
      <c r="K3413" s="10">
        <f t="shared" ca="1" si="395"/>
        <v>131.24001000000001</v>
      </c>
      <c r="L3413" s="11">
        <f t="shared" ca="1" si="396"/>
        <v>-49.09</v>
      </c>
      <c r="M3413" s="11">
        <f t="shared" ca="1" si="397"/>
        <v>2.6734599999999999</v>
      </c>
      <c r="N3413" s="15">
        <f t="shared" ca="1" si="398"/>
        <v>10</v>
      </c>
      <c r="O3413" s="15">
        <f t="shared" ca="1" si="399"/>
        <v>27</v>
      </c>
      <c r="P3413" s="16">
        <f t="shared" ca="1" si="400"/>
        <v>-13.029899999999998</v>
      </c>
      <c r="Q3413" s="11" t="str">
        <f t="shared" ca="1" si="408"/>
        <v/>
      </c>
      <c r="R3413" s="11" t="str">
        <f t="shared" ca="1" si="409"/>
        <v/>
      </c>
      <c r="S3413" s="61" t="str">
        <f t="shared" ca="1" si="410"/>
        <v/>
      </c>
      <c r="T3413" s="11" t="str">
        <f t="shared" ca="1" si="411"/>
        <v/>
      </c>
      <c r="U3413" s="11" t="str">
        <f t="shared" ca="1" si="412"/>
        <v/>
      </c>
      <c r="V3413" s="18" t="str">
        <f t="shared" ca="1" si="413"/>
        <v/>
      </c>
      <c r="W3413" s="61" t="str">
        <f t="shared" ca="1" si="414"/>
        <v/>
      </c>
      <c r="X3413" s="61">
        <f t="shared" ca="1" si="415"/>
        <v>0</v>
      </c>
      <c r="Y3413" s="64" t="str">
        <f t="shared" ca="1" si="416"/>
        <v/>
      </c>
    </row>
    <row r="3414" spans="1:25">
      <c r="A3414" s="2">
        <f>+Get_Data!A3413</f>
        <v>0</v>
      </c>
      <c r="B3414">
        <f>+ROUND(Get_Data!B3413,5)</f>
        <v>0</v>
      </c>
      <c r="C3414">
        <f>+ROUND(Get_Data!C3413,5)</f>
        <v>0</v>
      </c>
      <c r="D3414" s="4" t="str">
        <f t="shared" si="401"/>
        <v/>
      </c>
      <c r="E3414" s="22">
        <f t="shared" ca="1" si="402"/>
        <v>0</v>
      </c>
      <c r="F3414" s="23">
        <f t="shared" ca="1" si="403"/>
        <v>0</v>
      </c>
      <c r="G3414" s="10">
        <f t="shared" ca="1" si="404"/>
        <v>0</v>
      </c>
      <c r="H3414" s="12">
        <f t="shared" ca="1" si="405"/>
        <v>0</v>
      </c>
      <c r="I3414" s="11">
        <f t="shared" ca="1" si="406"/>
        <v>0</v>
      </c>
      <c r="J3414" s="11">
        <f t="shared" ca="1" si="407"/>
        <v>-1</v>
      </c>
      <c r="K3414" s="10">
        <f t="shared" ca="1" si="395"/>
        <v>131.24001000000001</v>
      </c>
      <c r="L3414" s="11">
        <f t="shared" ca="1" si="396"/>
        <v>-49.09</v>
      </c>
      <c r="M3414" s="11">
        <f t="shared" ca="1" si="397"/>
        <v>2.6734599999999999</v>
      </c>
      <c r="N3414" s="15">
        <f t="shared" ca="1" si="398"/>
        <v>10</v>
      </c>
      <c r="O3414" s="15">
        <f t="shared" ca="1" si="399"/>
        <v>27</v>
      </c>
      <c r="P3414" s="16">
        <f t="shared" ca="1" si="400"/>
        <v>-13.029899999999998</v>
      </c>
      <c r="Q3414" s="11" t="str">
        <f t="shared" ca="1" si="408"/>
        <v/>
      </c>
      <c r="R3414" s="11" t="str">
        <f t="shared" ca="1" si="409"/>
        <v/>
      </c>
      <c r="S3414" s="61" t="str">
        <f t="shared" ca="1" si="410"/>
        <v/>
      </c>
      <c r="T3414" s="11" t="str">
        <f t="shared" ca="1" si="411"/>
        <v/>
      </c>
      <c r="U3414" s="11" t="str">
        <f t="shared" ca="1" si="412"/>
        <v/>
      </c>
      <c r="V3414" s="18" t="str">
        <f t="shared" ca="1" si="413"/>
        <v/>
      </c>
      <c r="W3414" s="61" t="str">
        <f t="shared" ca="1" si="414"/>
        <v/>
      </c>
      <c r="X3414" s="61">
        <f t="shared" ca="1" si="415"/>
        <v>0</v>
      </c>
      <c r="Y3414" s="64" t="str">
        <f t="shared" ca="1" si="416"/>
        <v/>
      </c>
    </row>
    <row r="3415" spans="1:25">
      <c r="A3415" s="2">
        <f>+Get_Data!A3414</f>
        <v>0</v>
      </c>
      <c r="B3415">
        <f>+ROUND(Get_Data!B3414,5)</f>
        <v>0</v>
      </c>
      <c r="C3415">
        <f>+ROUND(Get_Data!C3414,5)</f>
        <v>0</v>
      </c>
      <c r="D3415" s="4" t="str">
        <f t="shared" si="401"/>
        <v/>
      </c>
      <c r="E3415" s="22">
        <f t="shared" ca="1" si="402"/>
        <v>0</v>
      </c>
      <c r="F3415" s="23">
        <f t="shared" ca="1" si="403"/>
        <v>0</v>
      </c>
      <c r="G3415" s="10">
        <f t="shared" ca="1" si="404"/>
        <v>0</v>
      </c>
      <c r="H3415" s="12">
        <f t="shared" ca="1" si="405"/>
        <v>0</v>
      </c>
      <c r="I3415" s="11">
        <f t="shared" ca="1" si="406"/>
        <v>0</v>
      </c>
      <c r="J3415" s="11">
        <f t="shared" ca="1" si="407"/>
        <v>-1</v>
      </c>
      <c r="K3415" s="10">
        <f t="shared" ca="1" si="395"/>
        <v>131.24001000000001</v>
      </c>
      <c r="L3415" s="11">
        <f t="shared" ca="1" si="396"/>
        <v>-49.09</v>
      </c>
      <c r="M3415" s="11">
        <f t="shared" ca="1" si="397"/>
        <v>2.6734599999999999</v>
      </c>
      <c r="N3415" s="15">
        <f t="shared" ca="1" si="398"/>
        <v>10</v>
      </c>
      <c r="O3415" s="15">
        <f t="shared" ca="1" si="399"/>
        <v>27</v>
      </c>
      <c r="P3415" s="16">
        <f t="shared" ca="1" si="400"/>
        <v>-13.029899999999998</v>
      </c>
      <c r="Q3415" s="11" t="str">
        <f t="shared" ca="1" si="408"/>
        <v/>
      </c>
      <c r="R3415" s="11" t="str">
        <f t="shared" ca="1" si="409"/>
        <v/>
      </c>
      <c r="S3415" s="61" t="str">
        <f t="shared" ca="1" si="410"/>
        <v/>
      </c>
      <c r="T3415" s="11" t="str">
        <f t="shared" ca="1" si="411"/>
        <v/>
      </c>
      <c r="U3415" s="11" t="str">
        <f t="shared" ca="1" si="412"/>
        <v/>
      </c>
      <c r="V3415" s="18" t="str">
        <f t="shared" ca="1" si="413"/>
        <v/>
      </c>
      <c r="W3415" s="61" t="str">
        <f t="shared" ca="1" si="414"/>
        <v/>
      </c>
      <c r="X3415" s="61">
        <f t="shared" ca="1" si="415"/>
        <v>0</v>
      </c>
      <c r="Y3415" s="64" t="str">
        <f t="shared" ca="1" si="416"/>
        <v/>
      </c>
    </row>
    <row r="3416" spans="1:25">
      <c r="A3416" s="2">
        <f>+Get_Data!A3415</f>
        <v>0</v>
      </c>
      <c r="B3416">
        <f>+ROUND(Get_Data!B3415,5)</f>
        <v>0</v>
      </c>
      <c r="C3416">
        <f>+ROUND(Get_Data!C3415,5)</f>
        <v>0</v>
      </c>
      <c r="D3416" s="4" t="str">
        <f t="shared" si="401"/>
        <v/>
      </c>
      <c r="E3416" s="22">
        <f t="shared" ca="1" si="402"/>
        <v>0</v>
      </c>
      <c r="F3416" s="23">
        <f t="shared" ca="1" si="403"/>
        <v>0</v>
      </c>
      <c r="G3416" s="10">
        <f t="shared" ca="1" si="404"/>
        <v>0</v>
      </c>
      <c r="H3416" s="12">
        <f t="shared" ca="1" si="405"/>
        <v>0</v>
      </c>
      <c r="I3416" s="11">
        <f t="shared" ca="1" si="406"/>
        <v>0</v>
      </c>
      <c r="J3416" s="11">
        <f t="shared" ca="1" si="407"/>
        <v>-1</v>
      </c>
      <c r="K3416" s="10">
        <f t="shared" ca="1" si="395"/>
        <v>131.24001000000001</v>
      </c>
      <c r="L3416" s="11">
        <f t="shared" ca="1" si="396"/>
        <v>-49.09</v>
      </c>
      <c r="M3416" s="11">
        <f t="shared" ca="1" si="397"/>
        <v>2.6734599999999999</v>
      </c>
      <c r="N3416" s="15">
        <f t="shared" ca="1" si="398"/>
        <v>10</v>
      </c>
      <c r="O3416" s="15">
        <f t="shared" ca="1" si="399"/>
        <v>27</v>
      </c>
      <c r="P3416" s="16">
        <f t="shared" ca="1" si="400"/>
        <v>-13.029899999999998</v>
      </c>
      <c r="Q3416" s="11" t="str">
        <f t="shared" ca="1" si="408"/>
        <v/>
      </c>
      <c r="R3416" s="11" t="str">
        <f t="shared" ca="1" si="409"/>
        <v/>
      </c>
      <c r="S3416" s="61" t="str">
        <f t="shared" ca="1" si="410"/>
        <v/>
      </c>
      <c r="T3416" s="11" t="str">
        <f t="shared" ca="1" si="411"/>
        <v/>
      </c>
      <c r="U3416" s="11" t="str">
        <f t="shared" ca="1" si="412"/>
        <v/>
      </c>
      <c r="V3416" s="18" t="str">
        <f t="shared" ca="1" si="413"/>
        <v/>
      </c>
      <c r="W3416" s="61" t="str">
        <f t="shared" ca="1" si="414"/>
        <v/>
      </c>
      <c r="X3416" s="61">
        <f t="shared" ca="1" si="415"/>
        <v>0</v>
      </c>
      <c r="Y3416" s="64" t="str">
        <f t="shared" ca="1" si="416"/>
        <v/>
      </c>
    </row>
    <row r="3417" spans="1:25">
      <c r="A3417" s="2">
        <f>+Get_Data!A3416</f>
        <v>0</v>
      </c>
      <c r="B3417">
        <f>+ROUND(Get_Data!B3416,5)</f>
        <v>0</v>
      </c>
      <c r="C3417">
        <f>+ROUND(Get_Data!C3416,5)</f>
        <v>0</v>
      </c>
      <c r="D3417" s="4" t="str">
        <f t="shared" si="401"/>
        <v/>
      </c>
      <c r="E3417" s="22">
        <f t="shared" ca="1" si="402"/>
        <v>0</v>
      </c>
      <c r="F3417" s="23">
        <f t="shared" ca="1" si="403"/>
        <v>0</v>
      </c>
      <c r="G3417" s="10">
        <f t="shared" ca="1" si="404"/>
        <v>0</v>
      </c>
      <c r="H3417" s="12">
        <f t="shared" ca="1" si="405"/>
        <v>0</v>
      </c>
      <c r="I3417" s="11">
        <f t="shared" ca="1" si="406"/>
        <v>0</v>
      </c>
      <c r="J3417" s="11">
        <f t="shared" ca="1" si="407"/>
        <v>-1</v>
      </c>
      <c r="K3417" s="10">
        <f t="shared" ca="1" si="395"/>
        <v>131.24001000000001</v>
      </c>
      <c r="L3417" s="11">
        <f t="shared" ca="1" si="396"/>
        <v>-49.09</v>
      </c>
      <c r="M3417" s="11">
        <f t="shared" ca="1" si="397"/>
        <v>2.6734599999999999</v>
      </c>
      <c r="N3417" s="15">
        <f t="shared" ca="1" si="398"/>
        <v>10</v>
      </c>
      <c r="O3417" s="15">
        <f t="shared" ca="1" si="399"/>
        <v>27</v>
      </c>
      <c r="P3417" s="16">
        <f t="shared" ca="1" si="400"/>
        <v>-13.029899999999998</v>
      </c>
      <c r="Q3417" s="11" t="str">
        <f t="shared" ca="1" si="408"/>
        <v/>
      </c>
      <c r="R3417" s="11" t="str">
        <f t="shared" ca="1" si="409"/>
        <v/>
      </c>
      <c r="S3417" s="61" t="str">
        <f t="shared" ca="1" si="410"/>
        <v/>
      </c>
      <c r="T3417" s="11" t="str">
        <f t="shared" ca="1" si="411"/>
        <v/>
      </c>
      <c r="U3417" s="11" t="str">
        <f t="shared" ca="1" si="412"/>
        <v/>
      </c>
      <c r="V3417" s="18" t="str">
        <f t="shared" ca="1" si="413"/>
        <v/>
      </c>
      <c r="W3417" s="61" t="str">
        <f t="shared" ca="1" si="414"/>
        <v/>
      </c>
      <c r="X3417" s="61">
        <f t="shared" ca="1" si="415"/>
        <v>0</v>
      </c>
      <c r="Y3417" s="64" t="str">
        <f t="shared" ca="1" si="416"/>
        <v/>
      </c>
    </row>
    <row r="3418" spans="1:25">
      <c r="A3418" s="2">
        <f>+Get_Data!A3417</f>
        <v>0</v>
      </c>
      <c r="B3418">
        <f>+ROUND(Get_Data!B3417,5)</f>
        <v>0</v>
      </c>
      <c r="C3418">
        <f>+ROUND(Get_Data!C3417,5)</f>
        <v>0</v>
      </c>
      <c r="D3418" s="4" t="str">
        <f t="shared" si="401"/>
        <v/>
      </c>
      <c r="E3418" s="22">
        <f t="shared" ca="1" si="402"/>
        <v>0</v>
      </c>
      <c r="F3418" s="23">
        <f t="shared" ca="1" si="403"/>
        <v>0</v>
      </c>
      <c r="G3418" s="10">
        <f t="shared" ca="1" si="404"/>
        <v>0</v>
      </c>
      <c r="H3418" s="12">
        <f t="shared" ca="1" si="405"/>
        <v>0</v>
      </c>
      <c r="I3418" s="11">
        <f t="shared" ca="1" si="406"/>
        <v>0</v>
      </c>
      <c r="J3418" s="11">
        <f t="shared" ca="1" si="407"/>
        <v>-1</v>
      </c>
      <c r="K3418" s="10">
        <f t="shared" ref="K3418:K3481" ca="1" si="417">+IF($J3417=0,"",IF(AND(ABS($J3417)=1,ABS($I3417)=1),-$J3417*B3418,K3417))</f>
        <v>131.24001000000001</v>
      </c>
      <c r="L3418" s="11">
        <f t="shared" ref="L3418:L3481" ca="1" si="418">+IF($J3417=0,"",IF(AND(ABS($J3417)=1,ABS($I3417)=1),$J3417*C3418,L3417))</f>
        <v>-49.09</v>
      </c>
      <c r="M3418" s="11">
        <f t="shared" ref="M3418:M3481" ca="1" si="419">+IF($J3417=0,"",IF(AND(ABS($J3417)=1,ABS($I3417)=1),D3418,M3417))</f>
        <v>2.6734599999999999</v>
      </c>
      <c r="N3418" s="15">
        <f t="shared" ref="N3418:N3481" ca="1" si="420">+IF(ISNUMBER(K3418),stocks,"")</f>
        <v>10</v>
      </c>
      <c r="O3418" s="15">
        <f t="shared" ref="O3418:O3481" ca="1" si="421">+IFERROR(ROUND(N3418*M3418,0),"")</f>
        <v>27</v>
      </c>
      <c r="P3418" s="16">
        <f t="shared" ref="P3418:P3481" ca="1" si="422">IFERROR(+N3418*K3418+O3418*L3418,"")</f>
        <v>-13.029899999999998</v>
      </c>
      <c r="Q3418" s="11" t="str">
        <f t="shared" ca="1" si="408"/>
        <v/>
      </c>
      <c r="R3418" s="11" t="str">
        <f t="shared" ca="1" si="409"/>
        <v/>
      </c>
      <c r="S3418" s="61" t="str">
        <f t="shared" ca="1" si="410"/>
        <v/>
      </c>
      <c r="T3418" s="11" t="str">
        <f t="shared" ca="1" si="411"/>
        <v/>
      </c>
      <c r="U3418" s="11" t="str">
        <f t="shared" ca="1" si="412"/>
        <v/>
      </c>
      <c r="V3418" s="18" t="str">
        <f t="shared" ca="1" si="413"/>
        <v/>
      </c>
      <c r="W3418" s="61" t="str">
        <f t="shared" ca="1" si="414"/>
        <v/>
      </c>
      <c r="X3418" s="61">
        <f t="shared" ca="1" si="415"/>
        <v>0</v>
      </c>
      <c r="Y3418" s="64" t="str">
        <f t="shared" ca="1" si="416"/>
        <v/>
      </c>
    </row>
    <row r="3419" spans="1:25">
      <c r="A3419" s="2">
        <f>+Get_Data!A3418</f>
        <v>0</v>
      </c>
      <c r="B3419">
        <f>+ROUND(Get_Data!B3418,5)</f>
        <v>0</v>
      </c>
      <c r="C3419">
        <f>+ROUND(Get_Data!C3418,5)</f>
        <v>0</v>
      </c>
      <c r="D3419" s="4" t="str">
        <f t="shared" si="401"/>
        <v/>
      </c>
      <c r="E3419" s="22">
        <f t="shared" ca="1" si="402"/>
        <v>0</v>
      </c>
      <c r="F3419" s="23">
        <f t="shared" ca="1" si="403"/>
        <v>0</v>
      </c>
      <c r="G3419" s="10">
        <f t="shared" ca="1" si="404"/>
        <v>0</v>
      </c>
      <c r="H3419" s="12">
        <f t="shared" ca="1" si="405"/>
        <v>0</v>
      </c>
      <c r="I3419" s="11">
        <f t="shared" ca="1" si="406"/>
        <v>0</v>
      </c>
      <c r="J3419" s="11">
        <f t="shared" ca="1" si="407"/>
        <v>-1</v>
      </c>
      <c r="K3419" s="10">
        <f t="shared" ca="1" si="417"/>
        <v>131.24001000000001</v>
      </c>
      <c r="L3419" s="11">
        <f t="shared" ca="1" si="418"/>
        <v>-49.09</v>
      </c>
      <c r="M3419" s="11">
        <f t="shared" ca="1" si="419"/>
        <v>2.6734599999999999</v>
      </c>
      <c r="N3419" s="15">
        <f t="shared" ca="1" si="420"/>
        <v>10</v>
      </c>
      <c r="O3419" s="15">
        <f t="shared" ca="1" si="421"/>
        <v>27</v>
      </c>
      <c r="P3419" s="16">
        <f t="shared" ca="1" si="422"/>
        <v>-13.029899999999998</v>
      </c>
      <c r="Q3419" s="11" t="str">
        <f t="shared" ca="1" si="408"/>
        <v/>
      </c>
      <c r="R3419" s="11" t="str">
        <f t="shared" ca="1" si="409"/>
        <v/>
      </c>
      <c r="S3419" s="61" t="str">
        <f t="shared" ca="1" si="410"/>
        <v/>
      </c>
      <c r="T3419" s="11" t="str">
        <f t="shared" ca="1" si="411"/>
        <v/>
      </c>
      <c r="U3419" s="11" t="str">
        <f t="shared" ca="1" si="412"/>
        <v/>
      </c>
      <c r="V3419" s="18" t="str">
        <f t="shared" ca="1" si="413"/>
        <v/>
      </c>
      <c r="W3419" s="61" t="str">
        <f t="shared" ca="1" si="414"/>
        <v/>
      </c>
      <c r="X3419" s="61">
        <f t="shared" ca="1" si="415"/>
        <v>0</v>
      </c>
      <c r="Y3419" s="64" t="str">
        <f t="shared" ca="1" si="416"/>
        <v/>
      </c>
    </row>
    <row r="3420" spans="1:25">
      <c r="A3420" s="2">
        <f>+Get_Data!A3419</f>
        <v>0</v>
      </c>
      <c r="B3420">
        <f>+ROUND(Get_Data!B3419,5)</f>
        <v>0</v>
      </c>
      <c r="C3420">
        <f>+ROUND(Get_Data!C3419,5)</f>
        <v>0</v>
      </c>
      <c r="D3420" s="4" t="str">
        <f t="shared" si="401"/>
        <v/>
      </c>
      <c r="E3420" s="22">
        <f t="shared" ca="1" si="402"/>
        <v>0</v>
      </c>
      <c r="F3420" s="23">
        <f t="shared" ca="1" si="403"/>
        <v>0</v>
      </c>
      <c r="G3420" s="10">
        <f t="shared" ca="1" si="404"/>
        <v>0</v>
      </c>
      <c r="H3420" s="12">
        <f t="shared" ca="1" si="405"/>
        <v>0</v>
      </c>
      <c r="I3420" s="11">
        <f t="shared" ca="1" si="406"/>
        <v>0</v>
      </c>
      <c r="J3420" s="11">
        <f t="shared" ca="1" si="407"/>
        <v>-1</v>
      </c>
      <c r="K3420" s="10">
        <f t="shared" ca="1" si="417"/>
        <v>131.24001000000001</v>
      </c>
      <c r="L3420" s="11">
        <f t="shared" ca="1" si="418"/>
        <v>-49.09</v>
      </c>
      <c r="M3420" s="11">
        <f t="shared" ca="1" si="419"/>
        <v>2.6734599999999999</v>
      </c>
      <c r="N3420" s="15">
        <f t="shared" ca="1" si="420"/>
        <v>10</v>
      </c>
      <c r="O3420" s="15">
        <f t="shared" ca="1" si="421"/>
        <v>27</v>
      </c>
      <c r="P3420" s="16">
        <f t="shared" ca="1" si="422"/>
        <v>-13.029899999999998</v>
      </c>
      <c r="Q3420" s="11" t="str">
        <f t="shared" ca="1" si="408"/>
        <v/>
      </c>
      <c r="R3420" s="11" t="str">
        <f t="shared" ca="1" si="409"/>
        <v/>
      </c>
      <c r="S3420" s="61" t="str">
        <f t="shared" ca="1" si="410"/>
        <v/>
      </c>
      <c r="T3420" s="11" t="str">
        <f t="shared" ca="1" si="411"/>
        <v/>
      </c>
      <c r="U3420" s="11" t="str">
        <f t="shared" ca="1" si="412"/>
        <v/>
      </c>
      <c r="V3420" s="18" t="str">
        <f t="shared" ca="1" si="413"/>
        <v/>
      </c>
      <c r="W3420" s="61" t="str">
        <f t="shared" ca="1" si="414"/>
        <v/>
      </c>
      <c r="X3420" s="61">
        <f t="shared" ca="1" si="415"/>
        <v>0</v>
      </c>
      <c r="Y3420" s="64" t="str">
        <f t="shared" ca="1" si="416"/>
        <v/>
      </c>
    </row>
    <row r="3421" spans="1:25">
      <c r="A3421" s="2">
        <f>+Get_Data!A3420</f>
        <v>0</v>
      </c>
      <c r="B3421">
        <f>+ROUND(Get_Data!B3420,5)</f>
        <v>0</v>
      </c>
      <c r="C3421">
        <f>+ROUND(Get_Data!C3420,5)</f>
        <v>0</v>
      </c>
      <c r="D3421" s="4" t="str">
        <f t="shared" si="401"/>
        <v/>
      </c>
      <c r="E3421" s="22">
        <f t="shared" ca="1" si="402"/>
        <v>0</v>
      </c>
      <c r="F3421" s="23">
        <f t="shared" ca="1" si="403"/>
        <v>0</v>
      </c>
      <c r="G3421" s="10">
        <f t="shared" ca="1" si="404"/>
        <v>0</v>
      </c>
      <c r="H3421" s="12">
        <f t="shared" ca="1" si="405"/>
        <v>0</v>
      </c>
      <c r="I3421" s="11">
        <f t="shared" ca="1" si="406"/>
        <v>0</v>
      </c>
      <c r="J3421" s="11">
        <f t="shared" ca="1" si="407"/>
        <v>-1</v>
      </c>
      <c r="K3421" s="10">
        <f t="shared" ca="1" si="417"/>
        <v>131.24001000000001</v>
      </c>
      <c r="L3421" s="11">
        <f t="shared" ca="1" si="418"/>
        <v>-49.09</v>
      </c>
      <c r="M3421" s="11">
        <f t="shared" ca="1" si="419"/>
        <v>2.6734599999999999</v>
      </c>
      <c r="N3421" s="15">
        <f t="shared" ca="1" si="420"/>
        <v>10</v>
      </c>
      <c r="O3421" s="15">
        <f t="shared" ca="1" si="421"/>
        <v>27</v>
      </c>
      <c r="P3421" s="16">
        <f t="shared" ca="1" si="422"/>
        <v>-13.029899999999998</v>
      </c>
      <c r="Q3421" s="11" t="str">
        <f t="shared" ca="1" si="408"/>
        <v/>
      </c>
      <c r="R3421" s="11" t="str">
        <f t="shared" ca="1" si="409"/>
        <v/>
      </c>
      <c r="S3421" s="61" t="str">
        <f t="shared" ca="1" si="410"/>
        <v/>
      </c>
      <c r="T3421" s="11" t="str">
        <f t="shared" ca="1" si="411"/>
        <v/>
      </c>
      <c r="U3421" s="11" t="str">
        <f t="shared" ca="1" si="412"/>
        <v/>
      </c>
      <c r="V3421" s="18" t="str">
        <f t="shared" ca="1" si="413"/>
        <v/>
      </c>
      <c r="W3421" s="61" t="str">
        <f t="shared" ca="1" si="414"/>
        <v/>
      </c>
      <c r="X3421" s="61">
        <f t="shared" ca="1" si="415"/>
        <v>0</v>
      </c>
      <c r="Y3421" s="64" t="str">
        <f t="shared" ca="1" si="416"/>
        <v/>
      </c>
    </row>
    <row r="3422" spans="1:25">
      <c r="A3422" s="2">
        <f>+Get_Data!A3421</f>
        <v>0</v>
      </c>
      <c r="B3422">
        <f>+ROUND(Get_Data!B3421,5)</f>
        <v>0</v>
      </c>
      <c r="C3422">
        <f>+ROUND(Get_Data!C3421,5)</f>
        <v>0</v>
      </c>
      <c r="D3422" s="4" t="str">
        <f t="shared" si="401"/>
        <v/>
      </c>
      <c r="E3422" s="22">
        <f t="shared" ca="1" si="402"/>
        <v>0</v>
      </c>
      <c r="F3422" s="23">
        <f t="shared" ca="1" si="403"/>
        <v>0</v>
      </c>
      <c r="G3422" s="10">
        <f t="shared" ca="1" si="404"/>
        <v>0</v>
      </c>
      <c r="H3422" s="12">
        <f t="shared" ca="1" si="405"/>
        <v>0</v>
      </c>
      <c r="I3422" s="11">
        <f t="shared" ca="1" si="406"/>
        <v>0</v>
      </c>
      <c r="J3422" s="11">
        <f t="shared" ca="1" si="407"/>
        <v>-1</v>
      </c>
      <c r="K3422" s="10">
        <f t="shared" ca="1" si="417"/>
        <v>131.24001000000001</v>
      </c>
      <c r="L3422" s="11">
        <f t="shared" ca="1" si="418"/>
        <v>-49.09</v>
      </c>
      <c r="M3422" s="11">
        <f t="shared" ca="1" si="419"/>
        <v>2.6734599999999999</v>
      </c>
      <c r="N3422" s="15">
        <f t="shared" ca="1" si="420"/>
        <v>10</v>
      </c>
      <c r="O3422" s="15">
        <f t="shared" ca="1" si="421"/>
        <v>27</v>
      </c>
      <c r="P3422" s="16">
        <f t="shared" ca="1" si="422"/>
        <v>-13.029899999999998</v>
      </c>
      <c r="Q3422" s="11" t="str">
        <f t="shared" ca="1" si="408"/>
        <v/>
      </c>
      <c r="R3422" s="11" t="str">
        <f t="shared" ca="1" si="409"/>
        <v/>
      </c>
      <c r="S3422" s="61" t="str">
        <f t="shared" ca="1" si="410"/>
        <v/>
      </c>
      <c r="T3422" s="11" t="str">
        <f t="shared" ca="1" si="411"/>
        <v/>
      </c>
      <c r="U3422" s="11" t="str">
        <f t="shared" ca="1" si="412"/>
        <v/>
      </c>
      <c r="V3422" s="18" t="str">
        <f t="shared" ca="1" si="413"/>
        <v/>
      </c>
      <c r="W3422" s="61" t="str">
        <f t="shared" ca="1" si="414"/>
        <v/>
      </c>
      <c r="X3422" s="61">
        <f t="shared" ca="1" si="415"/>
        <v>0</v>
      </c>
      <c r="Y3422" s="64" t="str">
        <f t="shared" ca="1" si="416"/>
        <v/>
      </c>
    </row>
    <row r="3423" spans="1:25">
      <c r="A3423" s="2">
        <f>+Get_Data!A3422</f>
        <v>0</v>
      </c>
      <c r="B3423">
        <f>+ROUND(Get_Data!B3422,5)</f>
        <v>0</v>
      </c>
      <c r="C3423">
        <f>+ROUND(Get_Data!C3422,5)</f>
        <v>0</v>
      </c>
      <c r="D3423" s="4" t="str">
        <f t="shared" si="401"/>
        <v/>
      </c>
      <c r="E3423" s="22">
        <f t="shared" ca="1" si="402"/>
        <v>0</v>
      </c>
      <c r="F3423" s="23">
        <f t="shared" ca="1" si="403"/>
        <v>0</v>
      </c>
      <c r="G3423" s="10">
        <f t="shared" ca="1" si="404"/>
        <v>0</v>
      </c>
      <c r="H3423" s="12">
        <f t="shared" ca="1" si="405"/>
        <v>0</v>
      </c>
      <c r="I3423" s="11">
        <f t="shared" ca="1" si="406"/>
        <v>0</v>
      </c>
      <c r="J3423" s="11">
        <f t="shared" ca="1" si="407"/>
        <v>-1</v>
      </c>
      <c r="K3423" s="10">
        <f t="shared" ca="1" si="417"/>
        <v>131.24001000000001</v>
      </c>
      <c r="L3423" s="11">
        <f t="shared" ca="1" si="418"/>
        <v>-49.09</v>
      </c>
      <c r="M3423" s="11">
        <f t="shared" ca="1" si="419"/>
        <v>2.6734599999999999</v>
      </c>
      <c r="N3423" s="15">
        <f t="shared" ca="1" si="420"/>
        <v>10</v>
      </c>
      <c r="O3423" s="15">
        <f t="shared" ca="1" si="421"/>
        <v>27</v>
      </c>
      <c r="P3423" s="16">
        <f t="shared" ca="1" si="422"/>
        <v>-13.029899999999998</v>
      </c>
      <c r="Q3423" s="11" t="str">
        <f t="shared" ca="1" si="408"/>
        <v/>
      </c>
      <c r="R3423" s="11" t="str">
        <f t="shared" ca="1" si="409"/>
        <v/>
      </c>
      <c r="S3423" s="61" t="str">
        <f t="shared" ca="1" si="410"/>
        <v/>
      </c>
      <c r="T3423" s="11" t="str">
        <f t="shared" ca="1" si="411"/>
        <v/>
      </c>
      <c r="U3423" s="11" t="str">
        <f t="shared" ca="1" si="412"/>
        <v/>
      </c>
      <c r="V3423" s="18" t="str">
        <f t="shared" ca="1" si="413"/>
        <v/>
      </c>
      <c r="W3423" s="61" t="str">
        <f t="shared" ca="1" si="414"/>
        <v/>
      </c>
      <c r="X3423" s="61">
        <f t="shared" ca="1" si="415"/>
        <v>0</v>
      </c>
      <c r="Y3423" s="64" t="str">
        <f t="shared" ca="1" si="416"/>
        <v/>
      </c>
    </row>
    <row r="3424" spans="1:25">
      <c r="A3424" s="2">
        <f>+Get_Data!A3423</f>
        <v>0</v>
      </c>
      <c r="B3424">
        <f>+ROUND(Get_Data!B3423,5)</f>
        <v>0</v>
      </c>
      <c r="C3424">
        <f>+ROUND(Get_Data!C3423,5)</f>
        <v>0</v>
      </c>
      <c r="D3424" s="4" t="str">
        <f t="shared" si="401"/>
        <v/>
      </c>
      <c r="E3424" s="22">
        <f t="shared" ca="1" si="402"/>
        <v>0</v>
      </c>
      <c r="F3424" s="23">
        <f t="shared" ca="1" si="403"/>
        <v>0</v>
      </c>
      <c r="G3424" s="10">
        <f t="shared" ca="1" si="404"/>
        <v>0</v>
      </c>
      <c r="H3424" s="12">
        <f t="shared" ca="1" si="405"/>
        <v>0</v>
      </c>
      <c r="I3424" s="11">
        <f t="shared" ca="1" si="406"/>
        <v>0</v>
      </c>
      <c r="J3424" s="11">
        <f t="shared" ca="1" si="407"/>
        <v>-1</v>
      </c>
      <c r="K3424" s="10">
        <f t="shared" ca="1" si="417"/>
        <v>131.24001000000001</v>
      </c>
      <c r="L3424" s="11">
        <f t="shared" ca="1" si="418"/>
        <v>-49.09</v>
      </c>
      <c r="M3424" s="11">
        <f t="shared" ca="1" si="419"/>
        <v>2.6734599999999999</v>
      </c>
      <c r="N3424" s="15">
        <f t="shared" ca="1" si="420"/>
        <v>10</v>
      </c>
      <c r="O3424" s="15">
        <f t="shared" ca="1" si="421"/>
        <v>27</v>
      </c>
      <c r="P3424" s="16">
        <f t="shared" ca="1" si="422"/>
        <v>-13.029899999999998</v>
      </c>
      <c r="Q3424" s="11" t="str">
        <f t="shared" ca="1" si="408"/>
        <v/>
      </c>
      <c r="R3424" s="11" t="str">
        <f t="shared" ca="1" si="409"/>
        <v/>
      </c>
      <c r="S3424" s="61" t="str">
        <f t="shared" ca="1" si="410"/>
        <v/>
      </c>
      <c r="T3424" s="11" t="str">
        <f t="shared" ca="1" si="411"/>
        <v/>
      </c>
      <c r="U3424" s="11" t="str">
        <f t="shared" ca="1" si="412"/>
        <v/>
      </c>
      <c r="V3424" s="18" t="str">
        <f t="shared" ca="1" si="413"/>
        <v/>
      </c>
      <c r="W3424" s="61" t="str">
        <f t="shared" ca="1" si="414"/>
        <v/>
      </c>
      <c r="X3424" s="61">
        <f t="shared" ca="1" si="415"/>
        <v>0</v>
      </c>
      <c r="Y3424" s="64" t="str">
        <f t="shared" ca="1" si="416"/>
        <v/>
      </c>
    </row>
    <row r="3425" spans="1:25">
      <c r="A3425" s="2">
        <f>+Get_Data!A3424</f>
        <v>0</v>
      </c>
      <c r="B3425">
        <f>+ROUND(Get_Data!B3424,5)</f>
        <v>0</v>
      </c>
      <c r="C3425">
        <f>+ROUND(Get_Data!C3424,5)</f>
        <v>0</v>
      </c>
      <c r="D3425" s="4" t="str">
        <f t="shared" si="401"/>
        <v/>
      </c>
      <c r="E3425" s="22">
        <f t="shared" ca="1" si="402"/>
        <v>0</v>
      </c>
      <c r="F3425" s="23">
        <f t="shared" ca="1" si="403"/>
        <v>0</v>
      </c>
      <c r="G3425" s="10">
        <f t="shared" ca="1" si="404"/>
        <v>0</v>
      </c>
      <c r="H3425" s="12">
        <f t="shared" ca="1" si="405"/>
        <v>0</v>
      </c>
      <c r="I3425" s="11">
        <f t="shared" ca="1" si="406"/>
        <v>0</v>
      </c>
      <c r="J3425" s="11">
        <f t="shared" ca="1" si="407"/>
        <v>-1</v>
      </c>
      <c r="K3425" s="10">
        <f t="shared" ca="1" si="417"/>
        <v>131.24001000000001</v>
      </c>
      <c r="L3425" s="11">
        <f t="shared" ca="1" si="418"/>
        <v>-49.09</v>
      </c>
      <c r="M3425" s="11">
        <f t="shared" ca="1" si="419"/>
        <v>2.6734599999999999</v>
      </c>
      <c r="N3425" s="15">
        <f t="shared" ca="1" si="420"/>
        <v>10</v>
      </c>
      <c r="O3425" s="15">
        <f t="shared" ca="1" si="421"/>
        <v>27</v>
      </c>
      <c r="P3425" s="16">
        <f t="shared" ca="1" si="422"/>
        <v>-13.029899999999998</v>
      </c>
      <c r="Q3425" s="11" t="str">
        <f t="shared" ca="1" si="408"/>
        <v/>
      </c>
      <c r="R3425" s="11" t="str">
        <f t="shared" ca="1" si="409"/>
        <v/>
      </c>
      <c r="S3425" s="61" t="str">
        <f t="shared" ca="1" si="410"/>
        <v/>
      </c>
      <c r="T3425" s="11" t="str">
        <f t="shared" ca="1" si="411"/>
        <v/>
      </c>
      <c r="U3425" s="11" t="str">
        <f t="shared" ca="1" si="412"/>
        <v/>
      </c>
      <c r="V3425" s="18" t="str">
        <f t="shared" ca="1" si="413"/>
        <v/>
      </c>
      <c r="W3425" s="61" t="str">
        <f t="shared" ca="1" si="414"/>
        <v/>
      </c>
      <c r="X3425" s="61">
        <f t="shared" ca="1" si="415"/>
        <v>0</v>
      </c>
      <c r="Y3425" s="64" t="str">
        <f t="shared" ca="1" si="416"/>
        <v/>
      </c>
    </row>
    <row r="3426" spans="1:25">
      <c r="A3426" s="2">
        <f>+Get_Data!A3425</f>
        <v>0</v>
      </c>
      <c r="B3426">
        <f>+ROUND(Get_Data!B3425,5)</f>
        <v>0</v>
      </c>
      <c r="C3426">
        <f>+ROUND(Get_Data!C3425,5)</f>
        <v>0</v>
      </c>
      <c r="D3426" s="4" t="str">
        <f t="shared" si="401"/>
        <v/>
      </c>
      <c r="E3426" s="22">
        <f t="shared" ca="1" si="402"/>
        <v>0</v>
      </c>
      <c r="F3426" s="23">
        <f t="shared" ca="1" si="403"/>
        <v>0</v>
      </c>
      <c r="G3426" s="10">
        <f t="shared" ca="1" si="404"/>
        <v>0</v>
      </c>
      <c r="H3426" s="12">
        <f t="shared" ca="1" si="405"/>
        <v>0</v>
      </c>
      <c r="I3426" s="11">
        <f t="shared" ca="1" si="406"/>
        <v>0</v>
      </c>
      <c r="J3426" s="11">
        <f t="shared" ca="1" si="407"/>
        <v>-1</v>
      </c>
      <c r="K3426" s="10">
        <f t="shared" ca="1" si="417"/>
        <v>131.24001000000001</v>
      </c>
      <c r="L3426" s="11">
        <f t="shared" ca="1" si="418"/>
        <v>-49.09</v>
      </c>
      <c r="M3426" s="11">
        <f t="shared" ca="1" si="419"/>
        <v>2.6734599999999999</v>
      </c>
      <c r="N3426" s="15">
        <f t="shared" ca="1" si="420"/>
        <v>10</v>
      </c>
      <c r="O3426" s="15">
        <f t="shared" ca="1" si="421"/>
        <v>27</v>
      </c>
      <c r="P3426" s="16">
        <f t="shared" ca="1" si="422"/>
        <v>-13.029899999999998</v>
      </c>
      <c r="Q3426" s="11" t="str">
        <f t="shared" ca="1" si="408"/>
        <v/>
      </c>
      <c r="R3426" s="11" t="str">
        <f t="shared" ca="1" si="409"/>
        <v/>
      </c>
      <c r="S3426" s="61" t="str">
        <f t="shared" ca="1" si="410"/>
        <v/>
      </c>
      <c r="T3426" s="11" t="str">
        <f t="shared" ca="1" si="411"/>
        <v/>
      </c>
      <c r="U3426" s="11" t="str">
        <f t="shared" ca="1" si="412"/>
        <v/>
      </c>
      <c r="V3426" s="18" t="str">
        <f t="shared" ca="1" si="413"/>
        <v/>
      </c>
      <c r="W3426" s="61" t="str">
        <f t="shared" ca="1" si="414"/>
        <v/>
      </c>
      <c r="X3426" s="61">
        <f t="shared" ca="1" si="415"/>
        <v>0</v>
      </c>
      <c r="Y3426" s="64" t="str">
        <f t="shared" ca="1" si="416"/>
        <v/>
      </c>
    </row>
    <row r="3427" spans="1:25">
      <c r="A3427" s="2">
        <f>+Get_Data!A3426</f>
        <v>0</v>
      </c>
      <c r="B3427">
        <f>+ROUND(Get_Data!B3426,5)</f>
        <v>0</v>
      </c>
      <c r="C3427">
        <f>+ROUND(Get_Data!C3426,5)</f>
        <v>0</v>
      </c>
      <c r="D3427" s="4" t="str">
        <f t="shared" si="401"/>
        <v/>
      </c>
      <c r="E3427" s="22">
        <f t="shared" ca="1" si="402"/>
        <v>0</v>
      </c>
      <c r="F3427" s="23">
        <f t="shared" ca="1" si="403"/>
        <v>0</v>
      </c>
      <c r="G3427" s="10">
        <f t="shared" ca="1" si="404"/>
        <v>0</v>
      </c>
      <c r="H3427" s="12">
        <f t="shared" ca="1" si="405"/>
        <v>0</v>
      </c>
      <c r="I3427" s="11">
        <f t="shared" ca="1" si="406"/>
        <v>0</v>
      </c>
      <c r="J3427" s="11">
        <f t="shared" ca="1" si="407"/>
        <v>-1</v>
      </c>
      <c r="K3427" s="10">
        <f t="shared" ca="1" si="417"/>
        <v>131.24001000000001</v>
      </c>
      <c r="L3427" s="11">
        <f t="shared" ca="1" si="418"/>
        <v>-49.09</v>
      </c>
      <c r="M3427" s="11">
        <f t="shared" ca="1" si="419"/>
        <v>2.6734599999999999</v>
      </c>
      <c r="N3427" s="15">
        <f t="shared" ca="1" si="420"/>
        <v>10</v>
      </c>
      <c r="O3427" s="15">
        <f t="shared" ca="1" si="421"/>
        <v>27</v>
      </c>
      <c r="P3427" s="16">
        <f t="shared" ca="1" si="422"/>
        <v>-13.029899999999998</v>
      </c>
      <c r="Q3427" s="11" t="str">
        <f t="shared" ca="1" si="408"/>
        <v/>
      </c>
      <c r="R3427" s="11" t="str">
        <f t="shared" ca="1" si="409"/>
        <v/>
      </c>
      <c r="S3427" s="61" t="str">
        <f t="shared" ca="1" si="410"/>
        <v/>
      </c>
      <c r="T3427" s="11" t="str">
        <f t="shared" ca="1" si="411"/>
        <v/>
      </c>
      <c r="U3427" s="11" t="str">
        <f t="shared" ca="1" si="412"/>
        <v/>
      </c>
      <c r="V3427" s="18" t="str">
        <f t="shared" ca="1" si="413"/>
        <v/>
      </c>
      <c r="W3427" s="61" t="str">
        <f t="shared" ca="1" si="414"/>
        <v/>
      </c>
      <c r="X3427" s="61">
        <f t="shared" ca="1" si="415"/>
        <v>0</v>
      </c>
      <c r="Y3427" s="64" t="str">
        <f t="shared" ca="1" si="416"/>
        <v/>
      </c>
    </row>
    <row r="3428" spans="1:25">
      <c r="A3428" s="2">
        <f>+Get_Data!A3427</f>
        <v>0</v>
      </c>
      <c r="B3428">
        <f>+ROUND(Get_Data!B3427,5)</f>
        <v>0</v>
      </c>
      <c r="C3428">
        <f>+ROUND(Get_Data!C3427,5)</f>
        <v>0</v>
      </c>
      <c r="D3428" s="4" t="str">
        <f t="shared" si="401"/>
        <v/>
      </c>
      <c r="E3428" s="22">
        <f t="shared" ca="1" si="402"/>
        <v>0</v>
      </c>
      <c r="F3428" s="23">
        <f t="shared" ca="1" si="403"/>
        <v>0</v>
      </c>
      <c r="G3428" s="10">
        <f t="shared" ca="1" si="404"/>
        <v>0</v>
      </c>
      <c r="H3428" s="12">
        <f t="shared" ca="1" si="405"/>
        <v>0</v>
      </c>
      <c r="I3428" s="11">
        <f t="shared" ca="1" si="406"/>
        <v>0</v>
      </c>
      <c r="J3428" s="11">
        <f t="shared" ca="1" si="407"/>
        <v>-1</v>
      </c>
      <c r="K3428" s="10">
        <f t="shared" ca="1" si="417"/>
        <v>131.24001000000001</v>
      </c>
      <c r="L3428" s="11">
        <f t="shared" ca="1" si="418"/>
        <v>-49.09</v>
      </c>
      <c r="M3428" s="11">
        <f t="shared" ca="1" si="419"/>
        <v>2.6734599999999999</v>
      </c>
      <c r="N3428" s="15">
        <f t="shared" ca="1" si="420"/>
        <v>10</v>
      </c>
      <c r="O3428" s="15">
        <f t="shared" ca="1" si="421"/>
        <v>27</v>
      </c>
      <c r="P3428" s="16">
        <f t="shared" ca="1" si="422"/>
        <v>-13.029899999999998</v>
      </c>
      <c r="Q3428" s="11" t="str">
        <f t="shared" ca="1" si="408"/>
        <v/>
      </c>
      <c r="R3428" s="11" t="str">
        <f t="shared" ca="1" si="409"/>
        <v/>
      </c>
      <c r="S3428" s="61" t="str">
        <f t="shared" ca="1" si="410"/>
        <v/>
      </c>
      <c r="T3428" s="11" t="str">
        <f t="shared" ca="1" si="411"/>
        <v/>
      </c>
      <c r="U3428" s="11" t="str">
        <f t="shared" ca="1" si="412"/>
        <v/>
      </c>
      <c r="V3428" s="18" t="str">
        <f t="shared" ca="1" si="413"/>
        <v/>
      </c>
      <c r="W3428" s="61" t="str">
        <f t="shared" ca="1" si="414"/>
        <v/>
      </c>
      <c r="X3428" s="61">
        <f t="shared" ca="1" si="415"/>
        <v>0</v>
      </c>
      <c r="Y3428" s="64" t="str">
        <f t="shared" ca="1" si="416"/>
        <v/>
      </c>
    </row>
    <row r="3429" spans="1:25">
      <c r="A3429" s="2">
        <f>+Get_Data!A3428</f>
        <v>0</v>
      </c>
      <c r="B3429">
        <f>+ROUND(Get_Data!B3428,5)</f>
        <v>0</v>
      </c>
      <c r="C3429">
        <f>+ROUND(Get_Data!C3428,5)</f>
        <v>0</v>
      </c>
      <c r="D3429" s="4" t="str">
        <f t="shared" si="401"/>
        <v/>
      </c>
      <c r="E3429" s="22">
        <f t="shared" ca="1" si="402"/>
        <v>0</v>
      </c>
      <c r="F3429" s="23">
        <f t="shared" ca="1" si="403"/>
        <v>0</v>
      </c>
      <c r="G3429" s="10">
        <f t="shared" ca="1" si="404"/>
        <v>0</v>
      </c>
      <c r="H3429" s="12">
        <f t="shared" ca="1" si="405"/>
        <v>0</v>
      </c>
      <c r="I3429" s="11">
        <f t="shared" ca="1" si="406"/>
        <v>0</v>
      </c>
      <c r="J3429" s="11">
        <f t="shared" ca="1" si="407"/>
        <v>-1</v>
      </c>
      <c r="K3429" s="10">
        <f t="shared" ca="1" si="417"/>
        <v>131.24001000000001</v>
      </c>
      <c r="L3429" s="11">
        <f t="shared" ca="1" si="418"/>
        <v>-49.09</v>
      </c>
      <c r="M3429" s="11">
        <f t="shared" ca="1" si="419"/>
        <v>2.6734599999999999</v>
      </c>
      <c r="N3429" s="15">
        <f t="shared" ca="1" si="420"/>
        <v>10</v>
      </c>
      <c r="O3429" s="15">
        <f t="shared" ca="1" si="421"/>
        <v>27</v>
      </c>
      <c r="P3429" s="16">
        <f t="shared" ca="1" si="422"/>
        <v>-13.029899999999998</v>
      </c>
      <c r="Q3429" s="11" t="str">
        <f t="shared" ca="1" si="408"/>
        <v/>
      </c>
      <c r="R3429" s="11" t="str">
        <f t="shared" ca="1" si="409"/>
        <v/>
      </c>
      <c r="S3429" s="61" t="str">
        <f t="shared" ca="1" si="410"/>
        <v/>
      </c>
      <c r="T3429" s="11" t="str">
        <f t="shared" ca="1" si="411"/>
        <v/>
      </c>
      <c r="U3429" s="11" t="str">
        <f t="shared" ca="1" si="412"/>
        <v/>
      </c>
      <c r="V3429" s="18" t="str">
        <f t="shared" ca="1" si="413"/>
        <v/>
      </c>
      <c r="W3429" s="61" t="str">
        <f t="shared" ca="1" si="414"/>
        <v/>
      </c>
      <c r="X3429" s="61">
        <f t="shared" ca="1" si="415"/>
        <v>0</v>
      </c>
      <c r="Y3429" s="64" t="str">
        <f t="shared" ca="1" si="416"/>
        <v/>
      </c>
    </row>
    <row r="3430" spans="1:25">
      <c r="A3430" s="2">
        <f>+Get_Data!A3429</f>
        <v>0</v>
      </c>
      <c r="B3430">
        <f>+ROUND(Get_Data!B3429,5)</f>
        <v>0</v>
      </c>
      <c r="C3430">
        <f>+ROUND(Get_Data!C3429,5)</f>
        <v>0</v>
      </c>
      <c r="D3430" s="4" t="str">
        <f t="shared" si="401"/>
        <v/>
      </c>
      <c r="E3430" s="22">
        <f t="shared" ca="1" si="402"/>
        <v>0</v>
      </c>
      <c r="F3430" s="23">
        <f t="shared" ca="1" si="403"/>
        <v>0</v>
      </c>
      <c r="G3430" s="10">
        <f t="shared" ca="1" si="404"/>
        <v>0</v>
      </c>
      <c r="H3430" s="12">
        <f t="shared" ca="1" si="405"/>
        <v>0</v>
      </c>
      <c r="I3430" s="11">
        <f t="shared" ca="1" si="406"/>
        <v>0</v>
      </c>
      <c r="J3430" s="11">
        <f t="shared" ca="1" si="407"/>
        <v>-1</v>
      </c>
      <c r="K3430" s="10">
        <f t="shared" ca="1" si="417"/>
        <v>131.24001000000001</v>
      </c>
      <c r="L3430" s="11">
        <f t="shared" ca="1" si="418"/>
        <v>-49.09</v>
      </c>
      <c r="M3430" s="11">
        <f t="shared" ca="1" si="419"/>
        <v>2.6734599999999999</v>
      </c>
      <c r="N3430" s="15">
        <f t="shared" ca="1" si="420"/>
        <v>10</v>
      </c>
      <c r="O3430" s="15">
        <f t="shared" ca="1" si="421"/>
        <v>27</v>
      </c>
      <c r="P3430" s="16">
        <f t="shared" ca="1" si="422"/>
        <v>-13.029899999999998</v>
      </c>
      <c r="Q3430" s="11" t="str">
        <f t="shared" ca="1" si="408"/>
        <v/>
      </c>
      <c r="R3430" s="11" t="str">
        <f t="shared" ca="1" si="409"/>
        <v/>
      </c>
      <c r="S3430" s="61" t="str">
        <f t="shared" ca="1" si="410"/>
        <v/>
      </c>
      <c r="T3430" s="11" t="str">
        <f t="shared" ca="1" si="411"/>
        <v/>
      </c>
      <c r="U3430" s="11" t="str">
        <f t="shared" ca="1" si="412"/>
        <v/>
      </c>
      <c r="V3430" s="18" t="str">
        <f t="shared" ca="1" si="413"/>
        <v/>
      </c>
      <c r="W3430" s="61" t="str">
        <f t="shared" ca="1" si="414"/>
        <v/>
      </c>
      <c r="X3430" s="61">
        <f t="shared" ca="1" si="415"/>
        <v>0</v>
      </c>
      <c r="Y3430" s="64" t="str">
        <f t="shared" ca="1" si="416"/>
        <v/>
      </c>
    </row>
    <row r="3431" spans="1:25">
      <c r="A3431" s="2">
        <f>+Get_Data!A3430</f>
        <v>0</v>
      </c>
      <c r="B3431">
        <f>+ROUND(Get_Data!B3430,5)</f>
        <v>0</v>
      </c>
      <c r="C3431">
        <f>+ROUND(Get_Data!C3430,5)</f>
        <v>0</v>
      </c>
      <c r="D3431" s="4" t="str">
        <f t="shared" si="401"/>
        <v/>
      </c>
      <c r="E3431" s="22">
        <f t="shared" ca="1" si="402"/>
        <v>0</v>
      </c>
      <c r="F3431" s="23">
        <f t="shared" ca="1" si="403"/>
        <v>0</v>
      </c>
      <c r="G3431" s="10">
        <f t="shared" ca="1" si="404"/>
        <v>0</v>
      </c>
      <c r="H3431" s="12">
        <f t="shared" ca="1" si="405"/>
        <v>0</v>
      </c>
      <c r="I3431" s="11">
        <f t="shared" ca="1" si="406"/>
        <v>0</v>
      </c>
      <c r="J3431" s="11">
        <f t="shared" ca="1" si="407"/>
        <v>-1</v>
      </c>
      <c r="K3431" s="10">
        <f t="shared" ca="1" si="417"/>
        <v>131.24001000000001</v>
      </c>
      <c r="L3431" s="11">
        <f t="shared" ca="1" si="418"/>
        <v>-49.09</v>
      </c>
      <c r="M3431" s="11">
        <f t="shared" ca="1" si="419"/>
        <v>2.6734599999999999</v>
      </c>
      <c r="N3431" s="15">
        <f t="shared" ca="1" si="420"/>
        <v>10</v>
      </c>
      <c r="O3431" s="15">
        <f t="shared" ca="1" si="421"/>
        <v>27</v>
      </c>
      <c r="P3431" s="16">
        <f t="shared" ca="1" si="422"/>
        <v>-13.029899999999998</v>
      </c>
      <c r="Q3431" s="11" t="str">
        <f t="shared" ca="1" si="408"/>
        <v/>
      </c>
      <c r="R3431" s="11" t="str">
        <f t="shared" ca="1" si="409"/>
        <v/>
      </c>
      <c r="S3431" s="61" t="str">
        <f t="shared" ca="1" si="410"/>
        <v/>
      </c>
      <c r="T3431" s="11" t="str">
        <f t="shared" ca="1" si="411"/>
        <v/>
      </c>
      <c r="U3431" s="11" t="str">
        <f t="shared" ca="1" si="412"/>
        <v/>
      </c>
      <c r="V3431" s="18" t="str">
        <f t="shared" ca="1" si="413"/>
        <v/>
      </c>
      <c r="W3431" s="61" t="str">
        <f t="shared" ca="1" si="414"/>
        <v/>
      </c>
      <c r="X3431" s="61">
        <f t="shared" ca="1" si="415"/>
        <v>0</v>
      </c>
      <c r="Y3431" s="64" t="str">
        <f t="shared" ca="1" si="416"/>
        <v/>
      </c>
    </row>
    <row r="3432" spans="1:25">
      <c r="A3432" s="2">
        <f>+Get_Data!A3431</f>
        <v>0</v>
      </c>
      <c r="B3432">
        <f>+ROUND(Get_Data!B3431,5)</f>
        <v>0</v>
      </c>
      <c r="C3432">
        <f>+ROUND(Get_Data!C3431,5)</f>
        <v>0</v>
      </c>
      <c r="D3432" s="4" t="str">
        <f t="shared" si="401"/>
        <v/>
      </c>
      <c r="E3432" s="22">
        <f t="shared" ca="1" si="402"/>
        <v>0</v>
      </c>
      <c r="F3432" s="23">
        <f t="shared" ca="1" si="403"/>
        <v>0</v>
      </c>
      <c r="G3432" s="10">
        <f t="shared" ca="1" si="404"/>
        <v>0</v>
      </c>
      <c r="H3432" s="12">
        <f t="shared" ca="1" si="405"/>
        <v>0</v>
      </c>
      <c r="I3432" s="11">
        <f t="shared" ca="1" si="406"/>
        <v>0</v>
      </c>
      <c r="J3432" s="11">
        <f t="shared" ca="1" si="407"/>
        <v>-1</v>
      </c>
      <c r="K3432" s="10">
        <f t="shared" ca="1" si="417"/>
        <v>131.24001000000001</v>
      </c>
      <c r="L3432" s="11">
        <f t="shared" ca="1" si="418"/>
        <v>-49.09</v>
      </c>
      <c r="M3432" s="11">
        <f t="shared" ca="1" si="419"/>
        <v>2.6734599999999999</v>
      </c>
      <c r="N3432" s="15">
        <f t="shared" ca="1" si="420"/>
        <v>10</v>
      </c>
      <c r="O3432" s="15">
        <f t="shared" ca="1" si="421"/>
        <v>27</v>
      </c>
      <c r="P3432" s="16">
        <f t="shared" ca="1" si="422"/>
        <v>-13.029899999999998</v>
      </c>
      <c r="Q3432" s="11" t="str">
        <f t="shared" ca="1" si="408"/>
        <v/>
      </c>
      <c r="R3432" s="11" t="str">
        <f t="shared" ca="1" si="409"/>
        <v/>
      </c>
      <c r="S3432" s="61" t="str">
        <f t="shared" ca="1" si="410"/>
        <v/>
      </c>
      <c r="T3432" s="11" t="str">
        <f t="shared" ca="1" si="411"/>
        <v/>
      </c>
      <c r="U3432" s="11" t="str">
        <f t="shared" ca="1" si="412"/>
        <v/>
      </c>
      <c r="V3432" s="18" t="str">
        <f t="shared" ca="1" si="413"/>
        <v/>
      </c>
      <c r="W3432" s="61" t="str">
        <f t="shared" ca="1" si="414"/>
        <v/>
      </c>
      <c r="X3432" s="61">
        <f t="shared" ca="1" si="415"/>
        <v>0</v>
      </c>
      <c r="Y3432" s="64" t="str">
        <f t="shared" ca="1" si="416"/>
        <v/>
      </c>
    </row>
    <row r="3433" spans="1:25">
      <c r="A3433" s="2">
        <f>+Get_Data!A3432</f>
        <v>0</v>
      </c>
      <c r="B3433">
        <f>+ROUND(Get_Data!B3432,5)</f>
        <v>0</v>
      </c>
      <c r="C3433">
        <f>+ROUND(Get_Data!C3432,5)</f>
        <v>0</v>
      </c>
      <c r="D3433" s="4" t="str">
        <f t="shared" si="401"/>
        <v/>
      </c>
      <c r="E3433" s="22">
        <f t="shared" ca="1" si="402"/>
        <v>0</v>
      </c>
      <c r="F3433" s="23">
        <f t="shared" ca="1" si="403"/>
        <v>0</v>
      </c>
      <c r="G3433" s="10">
        <f t="shared" ca="1" si="404"/>
        <v>0</v>
      </c>
      <c r="H3433" s="12">
        <f t="shared" ca="1" si="405"/>
        <v>0</v>
      </c>
      <c r="I3433" s="11">
        <f t="shared" ca="1" si="406"/>
        <v>0</v>
      </c>
      <c r="J3433" s="11">
        <f t="shared" ca="1" si="407"/>
        <v>-1</v>
      </c>
      <c r="K3433" s="10">
        <f t="shared" ca="1" si="417"/>
        <v>131.24001000000001</v>
      </c>
      <c r="L3433" s="11">
        <f t="shared" ca="1" si="418"/>
        <v>-49.09</v>
      </c>
      <c r="M3433" s="11">
        <f t="shared" ca="1" si="419"/>
        <v>2.6734599999999999</v>
      </c>
      <c r="N3433" s="15">
        <f t="shared" ca="1" si="420"/>
        <v>10</v>
      </c>
      <c r="O3433" s="15">
        <f t="shared" ca="1" si="421"/>
        <v>27</v>
      </c>
      <c r="P3433" s="16">
        <f t="shared" ca="1" si="422"/>
        <v>-13.029899999999998</v>
      </c>
      <c r="Q3433" s="11" t="str">
        <f t="shared" ca="1" si="408"/>
        <v/>
      </c>
      <c r="R3433" s="11" t="str">
        <f t="shared" ca="1" si="409"/>
        <v/>
      </c>
      <c r="S3433" s="61" t="str">
        <f t="shared" ca="1" si="410"/>
        <v/>
      </c>
      <c r="T3433" s="11" t="str">
        <f t="shared" ca="1" si="411"/>
        <v/>
      </c>
      <c r="U3433" s="11" t="str">
        <f t="shared" ca="1" si="412"/>
        <v/>
      </c>
      <c r="V3433" s="18" t="str">
        <f t="shared" ca="1" si="413"/>
        <v/>
      </c>
      <c r="W3433" s="61" t="str">
        <f t="shared" ca="1" si="414"/>
        <v/>
      </c>
      <c r="X3433" s="61">
        <f t="shared" ca="1" si="415"/>
        <v>0</v>
      </c>
      <c r="Y3433" s="64" t="str">
        <f t="shared" ca="1" si="416"/>
        <v/>
      </c>
    </row>
    <row r="3434" spans="1:25">
      <c r="A3434" s="2">
        <f>+Get_Data!A3433</f>
        <v>0</v>
      </c>
      <c r="B3434">
        <f>+ROUND(Get_Data!B3433,5)</f>
        <v>0</v>
      </c>
      <c r="C3434">
        <f>+ROUND(Get_Data!C3433,5)</f>
        <v>0</v>
      </c>
      <c r="D3434" s="4" t="str">
        <f t="shared" si="401"/>
        <v/>
      </c>
      <c r="E3434" s="22">
        <f t="shared" ca="1" si="402"/>
        <v>0</v>
      </c>
      <c r="F3434" s="23">
        <f t="shared" ca="1" si="403"/>
        <v>0</v>
      </c>
      <c r="G3434" s="10">
        <f t="shared" ca="1" si="404"/>
        <v>0</v>
      </c>
      <c r="H3434" s="12">
        <f t="shared" ca="1" si="405"/>
        <v>0</v>
      </c>
      <c r="I3434" s="11">
        <f t="shared" ca="1" si="406"/>
        <v>0</v>
      </c>
      <c r="J3434" s="11">
        <f t="shared" ca="1" si="407"/>
        <v>-1</v>
      </c>
      <c r="K3434" s="10">
        <f t="shared" ca="1" si="417"/>
        <v>131.24001000000001</v>
      </c>
      <c r="L3434" s="11">
        <f t="shared" ca="1" si="418"/>
        <v>-49.09</v>
      </c>
      <c r="M3434" s="11">
        <f t="shared" ca="1" si="419"/>
        <v>2.6734599999999999</v>
      </c>
      <c r="N3434" s="15">
        <f t="shared" ca="1" si="420"/>
        <v>10</v>
      </c>
      <c r="O3434" s="15">
        <f t="shared" ca="1" si="421"/>
        <v>27</v>
      </c>
      <c r="P3434" s="16">
        <f t="shared" ca="1" si="422"/>
        <v>-13.029899999999998</v>
      </c>
      <c r="Q3434" s="11" t="str">
        <f t="shared" ca="1" si="408"/>
        <v/>
      </c>
      <c r="R3434" s="11" t="str">
        <f t="shared" ca="1" si="409"/>
        <v/>
      </c>
      <c r="S3434" s="61" t="str">
        <f t="shared" ca="1" si="410"/>
        <v/>
      </c>
      <c r="T3434" s="11" t="str">
        <f t="shared" ca="1" si="411"/>
        <v/>
      </c>
      <c r="U3434" s="11" t="str">
        <f t="shared" ca="1" si="412"/>
        <v/>
      </c>
      <c r="V3434" s="18" t="str">
        <f t="shared" ca="1" si="413"/>
        <v/>
      </c>
      <c r="W3434" s="61" t="str">
        <f t="shared" ca="1" si="414"/>
        <v/>
      </c>
      <c r="X3434" s="61">
        <f t="shared" ca="1" si="415"/>
        <v>0</v>
      </c>
      <c r="Y3434" s="64" t="str">
        <f t="shared" ca="1" si="416"/>
        <v/>
      </c>
    </row>
    <row r="3435" spans="1:25">
      <c r="A3435" s="2">
        <f>+Get_Data!A3434</f>
        <v>0</v>
      </c>
      <c r="B3435">
        <f>+ROUND(Get_Data!B3434,5)</f>
        <v>0</v>
      </c>
      <c r="C3435">
        <f>+ROUND(Get_Data!C3434,5)</f>
        <v>0</v>
      </c>
      <c r="D3435" s="4" t="str">
        <f t="shared" si="401"/>
        <v/>
      </c>
      <c r="E3435" s="22">
        <f t="shared" ca="1" si="402"/>
        <v>0</v>
      </c>
      <c r="F3435" s="23">
        <f t="shared" ca="1" si="403"/>
        <v>0</v>
      </c>
      <c r="G3435" s="10">
        <f t="shared" ca="1" si="404"/>
        <v>0</v>
      </c>
      <c r="H3435" s="12">
        <f t="shared" ca="1" si="405"/>
        <v>0</v>
      </c>
      <c r="I3435" s="11">
        <f t="shared" ca="1" si="406"/>
        <v>0</v>
      </c>
      <c r="J3435" s="11">
        <f t="shared" ca="1" si="407"/>
        <v>-1</v>
      </c>
      <c r="K3435" s="10">
        <f t="shared" ca="1" si="417"/>
        <v>131.24001000000001</v>
      </c>
      <c r="L3435" s="11">
        <f t="shared" ca="1" si="418"/>
        <v>-49.09</v>
      </c>
      <c r="M3435" s="11">
        <f t="shared" ca="1" si="419"/>
        <v>2.6734599999999999</v>
      </c>
      <c r="N3435" s="15">
        <f t="shared" ca="1" si="420"/>
        <v>10</v>
      </c>
      <c r="O3435" s="15">
        <f t="shared" ca="1" si="421"/>
        <v>27</v>
      </c>
      <c r="P3435" s="16">
        <f t="shared" ca="1" si="422"/>
        <v>-13.029899999999998</v>
      </c>
      <c r="Q3435" s="11" t="str">
        <f t="shared" ca="1" si="408"/>
        <v/>
      </c>
      <c r="R3435" s="11" t="str">
        <f t="shared" ca="1" si="409"/>
        <v/>
      </c>
      <c r="S3435" s="61" t="str">
        <f t="shared" ca="1" si="410"/>
        <v/>
      </c>
      <c r="T3435" s="11" t="str">
        <f t="shared" ca="1" si="411"/>
        <v/>
      </c>
      <c r="U3435" s="11" t="str">
        <f t="shared" ca="1" si="412"/>
        <v/>
      </c>
      <c r="V3435" s="18" t="str">
        <f t="shared" ca="1" si="413"/>
        <v/>
      </c>
      <c r="W3435" s="61" t="str">
        <f t="shared" ca="1" si="414"/>
        <v/>
      </c>
      <c r="X3435" s="61">
        <f t="shared" ca="1" si="415"/>
        <v>0</v>
      </c>
      <c r="Y3435" s="64" t="str">
        <f t="shared" ca="1" si="416"/>
        <v/>
      </c>
    </row>
    <row r="3436" spans="1:25">
      <c r="A3436" s="2">
        <f>+Get_Data!A3435</f>
        <v>0</v>
      </c>
      <c r="B3436">
        <f>+ROUND(Get_Data!B3435,5)</f>
        <v>0</v>
      </c>
      <c r="C3436">
        <f>+ROUND(Get_Data!C3435,5)</f>
        <v>0</v>
      </c>
      <c r="D3436" s="4" t="str">
        <f t="shared" si="401"/>
        <v/>
      </c>
      <c r="E3436" s="22">
        <f t="shared" ca="1" si="402"/>
        <v>0</v>
      </c>
      <c r="F3436" s="23">
        <f t="shared" ca="1" si="403"/>
        <v>0</v>
      </c>
      <c r="G3436" s="10">
        <f t="shared" ca="1" si="404"/>
        <v>0</v>
      </c>
      <c r="H3436" s="12">
        <f t="shared" ca="1" si="405"/>
        <v>0</v>
      </c>
      <c r="I3436" s="11">
        <f t="shared" ca="1" si="406"/>
        <v>0</v>
      </c>
      <c r="J3436" s="11">
        <f t="shared" ca="1" si="407"/>
        <v>-1</v>
      </c>
      <c r="K3436" s="10">
        <f t="shared" ca="1" si="417"/>
        <v>131.24001000000001</v>
      </c>
      <c r="L3436" s="11">
        <f t="shared" ca="1" si="418"/>
        <v>-49.09</v>
      </c>
      <c r="M3436" s="11">
        <f t="shared" ca="1" si="419"/>
        <v>2.6734599999999999</v>
      </c>
      <c r="N3436" s="15">
        <f t="shared" ca="1" si="420"/>
        <v>10</v>
      </c>
      <c r="O3436" s="15">
        <f t="shared" ca="1" si="421"/>
        <v>27</v>
      </c>
      <c r="P3436" s="16">
        <f t="shared" ca="1" si="422"/>
        <v>-13.029899999999998</v>
      </c>
      <c r="Q3436" s="11" t="str">
        <f t="shared" ca="1" si="408"/>
        <v/>
      </c>
      <c r="R3436" s="11" t="str">
        <f t="shared" ca="1" si="409"/>
        <v/>
      </c>
      <c r="S3436" s="61" t="str">
        <f t="shared" ca="1" si="410"/>
        <v/>
      </c>
      <c r="T3436" s="11" t="str">
        <f t="shared" ca="1" si="411"/>
        <v/>
      </c>
      <c r="U3436" s="11" t="str">
        <f t="shared" ca="1" si="412"/>
        <v/>
      </c>
      <c r="V3436" s="18" t="str">
        <f t="shared" ca="1" si="413"/>
        <v/>
      </c>
      <c r="W3436" s="61" t="str">
        <f t="shared" ca="1" si="414"/>
        <v/>
      </c>
      <c r="X3436" s="61">
        <f t="shared" ca="1" si="415"/>
        <v>0</v>
      </c>
      <c r="Y3436" s="64" t="str">
        <f t="shared" ca="1" si="416"/>
        <v/>
      </c>
    </row>
    <row r="3437" spans="1:25">
      <c r="A3437" s="2">
        <f>+Get_Data!A3436</f>
        <v>0</v>
      </c>
      <c r="B3437">
        <f>+ROUND(Get_Data!B3436,5)</f>
        <v>0</v>
      </c>
      <c r="C3437">
        <f>+ROUND(Get_Data!C3436,5)</f>
        <v>0</v>
      </c>
      <c r="D3437" s="4" t="str">
        <f t="shared" si="401"/>
        <v/>
      </c>
      <c r="E3437" s="22">
        <f t="shared" ca="1" si="402"/>
        <v>0</v>
      </c>
      <c r="F3437" s="23">
        <f t="shared" ca="1" si="403"/>
        <v>0</v>
      </c>
      <c r="G3437" s="10">
        <f t="shared" ca="1" si="404"/>
        <v>0</v>
      </c>
      <c r="H3437" s="12">
        <f t="shared" ca="1" si="405"/>
        <v>0</v>
      </c>
      <c r="I3437" s="11">
        <f t="shared" ca="1" si="406"/>
        <v>0</v>
      </c>
      <c r="J3437" s="11">
        <f t="shared" ca="1" si="407"/>
        <v>-1</v>
      </c>
      <c r="K3437" s="10">
        <f t="shared" ca="1" si="417"/>
        <v>131.24001000000001</v>
      </c>
      <c r="L3437" s="11">
        <f t="shared" ca="1" si="418"/>
        <v>-49.09</v>
      </c>
      <c r="M3437" s="11">
        <f t="shared" ca="1" si="419"/>
        <v>2.6734599999999999</v>
      </c>
      <c r="N3437" s="15">
        <f t="shared" ca="1" si="420"/>
        <v>10</v>
      </c>
      <c r="O3437" s="15">
        <f t="shared" ca="1" si="421"/>
        <v>27</v>
      </c>
      <c r="P3437" s="16">
        <f t="shared" ca="1" si="422"/>
        <v>-13.029899999999998</v>
      </c>
      <c r="Q3437" s="11" t="str">
        <f t="shared" ca="1" si="408"/>
        <v/>
      </c>
      <c r="R3437" s="11" t="str">
        <f t="shared" ca="1" si="409"/>
        <v/>
      </c>
      <c r="S3437" s="61" t="str">
        <f t="shared" ca="1" si="410"/>
        <v/>
      </c>
      <c r="T3437" s="11" t="str">
        <f t="shared" ca="1" si="411"/>
        <v/>
      </c>
      <c r="U3437" s="11" t="str">
        <f t="shared" ca="1" si="412"/>
        <v/>
      </c>
      <c r="V3437" s="18" t="str">
        <f t="shared" ca="1" si="413"/>
        <v/>
      </c>
      <c r="W3437" s="61" t="str">
        <f t="shared" ca="1" si="414"/>
        <v/>
      </c>
      <c r="X3437" s="61">
        <f t="shared" ca="1" si="415"/>
        <v>0</v>
      </c>
      <c r="Y3437" s="64" t="str">
        <f t="shared" ca="1" si="416"/>
        <v/>
      </c>
    </row>
    <row r="3438" spans="1:25">
      <c r="A3438" s="2">
        <f>+Get_Data!A3437</f>
        <v>0</v>
      </c>
      <c r="B3438">
        <f>+ROUND(Get_Data!B3437,5)</f>
        <v>0</v>
      </c>
      <c r="C3438">
        <f>+ROUND(Get_Data!C3437,5)</f>
        <v>0</v>
      </c>
      <c r="D3438" s="4" t="str">
        <f t="shared" si="401"/>
        <v/>
      </c>
      <c r="E3438" s="22">
        <f t="shared" ca="1" si="402"/>
        <v>0</v>
      </c>
      <c r="F3438" s="23">
        <f t="shared" ca="1" si="403"/>
        <v>0</v>
      </c>
      <c r="G3438" s="10">
        <f t="shared" ca="1" si="404"/>
        <v>0</v>
      </c>
      <c r="H3438" s="12">
        <f t="shared" ca="1" si="405"/>
        <v>0</v>
      </c>
      <c r="I3438" s="11">
        <f t="shared" ca="1" si="406"/>
        <v>0</v>
      </c>
      <c r="J3438" s="11">
        <f t="shared" ca="1" si="407"/>
        <v>-1</v>
      </c>
      <c r="K3438" s="10">
        <f t="shared" ca="1" si="417"/>
        <v>131.24001000000001</v>
      </c>
      <c r="L3438" s="11">
        <f t="shared" ca="1" si="418"/>
        <v>-49.09</v>
      </c>
      <c r="M3438" s="11">
        <f t="shared" ca="1" si="419"/>
        <v>2.6734599999999999</v>
      </c>
      <c r="N3438" s="15">
        <f t="shared" ca="1" si="420"/>
        <v>10</v>
      </c>
      <c r="O3438" s="15">
        <f t="shared" ca="1" si="421"/>
        <v>27</v>
      </c>
      <c r="P3438" s="16">
        <f t="shared" ca="1" si="422"/>
        <v>-13.029899999999998</v>
      </c>
      <c r="Q3438" s="11" t="str">
        <f t="shared" ca="1" si="408"/>
        <v/>
      </c>
      <c r="R3438" s="11" t="str">
        <f t="shared" ca="1" si="409"/>
        <v/>
      </c>
      <c r="S3438" s="61" t="str">
        <f t="shared" ca="1" si="410"/>
        <v/>
      </c>
      <c r="T3438" s="11" t="str">
        <f t="shared" ca="1" si="411"/>
        <v/>
      </c>
      <c r="U3438" s="11" t="str">
        <f t="shared" ca="1" si="412"/>
        <v/>
      </c>
      <c r="V3438" s="18" t="str">
        <f t="shared" ca="1" si="413"/>
        <v/>
      </c>
      <c r="W3438" s="61" t="str">
        <f t="shared" ca="1" si="414"/>
        <v/>
      </c>
      <c r="X3438" s="61">
        <f t="shared" ca="1" si="415"/>
        <v>0</v>
      </c>
      <c r="Y3438" s="64" t="str">
        <f t="shared" ca="1" si="416"/>
        <v/>
      </c>
    </row>
    <row r="3439" spans="1:25">
      <c r="A3439" s="2">
        <f>+Get_Data!A3438</f>
        <v>0</v>
      </c>
      <c r="B3439">
        <f>+ROUND(Get_Data!B3438,5)</f>
        <v>0</v>
      </c>
      <c r="C3439">
        <f>+ROUND(Get_Data!C3438,5)</f>
        <v>0</v>
      </c>
      <c r="D3439" s="4" t="str">
        <f t="shared" si="401"/>
        <v/>
      </c>
      <c r="E3439" s="22">
        <f t="shared" ca="1" si="402"/>
        <v>0</v>
      </c>
      <c r="F3439" s="23">
        <f t="shared" ca="1" si="403"/>
        <v>0</v>
      </c>
      <c r="G3439" s="10">
        <f t="shared" ca="1" si="404"/>
        <v>0</v>
      </c>
      <c r="H3439" s="12">
        <f t="shared" ca="1" si="405"/>
        <v>0</v>
      </c>
      <c r="I3439" s="11">
        <f t="shared" ca="1" si="406"/>
        <v>0</v>
      </c>
      <c r="J3439" s="11">
        <f t="shared" ca="1" si="407"/>
        <v>-1</v>
      </c>
      <c r="K3439" s="10">
        <f t="shared" ca="1" si="417"/>
        <v>131.24001000000001</v>
      </c>
      <c r="L3439" s="11">
        <f t="shared" ca="1" si="418"/>
        <v>-49.09</v>
      </c>
      <c r="M3439" s="11">
        <f t="shared" ca="1" si="419"/>
        <v>2.6734599999999999</v>
      </c>
      <c r="N3439" s="15">
        <f t="shared" ca="1" si="420"/>
        <v>10</v>
      </c>
      <c r="O3439" s="15">
        <f t="shared" ca="1" si="421"/>
        <v>27</v>
      </c>
      <c r="P3439" s="16">
        <f t="shared" ca="1" si="422"/>
        <v>-13.029899999999998</v>
      </c>
      <c r="Q3439" s="11" t="str">
        <f t="shared" ca="1" si="408"/>
        <v/>
      </c>
      <c r="R3439" s="11" t="str">
        <f t="shared" ca="1" si="409"/>
        <v/>
      </c>
      <c r="S3439" s="61" t="str">
        <f t="shared" ca="1" si="410"/>
        <v/>
      </c>
      <c r="T3439" s="11" t="str">
        <f t="shared" ca="1" si="411"/>
        <v/>
      </c>
      <c r="U3439" s="11" t="str">
        <f t="shared" ca="1" si="412"/>
        <v/>
      </c>
      <c r="V3439" s="18" t="str">
        <f t="shared" ca="1" si="413"/>
        <v/>
      </c>
      <c r="W3439" s="61" t="str">
        <f t="shared" ca="1" si="414"/>
        <v/>
      </c>
      <c r="X3439" s="61">
        <f t="shared" ca="1" si="415"/>
        <v>0</v>
      </c>
      <c r="Y3439" s="64" t="str">
        <f t="shared" ca="1" si="416"/>
        <v/>
      </c>
    </row>
    <row r="3440" spans="1:25">
      <c r="A3440" s="2">
        <f>+Get_Data!A3439</f>
        <v>0</v>
      </c>
      <c r="B3440">
        <f>+ROUND(Get_Data!B3439,5)</f>
        <v>0</v>
      </c>
      <c r="C3440">
        <f>+ROUND(Get_Data!C3439,5)</f>
        <v>0</v>
      </c>
      <c r="D3440" s="4" t="str">
        <f t="shared" si="401"/>
        <v/>
      </c>
      <c r="E3440" s="22">
        <f t="shared" ca="1" si="402"/>
        <v>0</v>
      </c>
      <c r="F3440" s="23">
        <f t="shared" ca="1" si="403"/>
        <v>0</v>
      </c>
      <c r="G3440" s="10">
        <f t="shared" ca="1" si="404"/>
        <v>0</v>
      </c>
      <c r="H3440" s="12">
        <f t="shared" ca="1" si="405"/>
        <v>0</v>
      </c>
      <c r="I3440" s="11">
        <f t="shared" ca="1" si="406"/>
        <v>0</v>
      </c>
      <c r="J3440" s="11">
        <f t="shared" ca="1" si="407"/>
        <v>-1</v>
      </c>
      <c r="K3440" s="10">
        <f t="shared" ca="1" si="417"/>
        <v>131.24001000000001</v>
      </c>
      <c r="L3440" s="11">
        <f t="shared" ca="1" si="418"/>
        <v>-49.09</v>
      </c>
      <c r="M3440" s="11">
        <f t="shared" ca="1" si="419"/>
        <v>2.6734599999999999</v>
      </c>
      <c r="N3440" s="15">
        <f t="shared" ca="1" si="420"/>
        <v>10</v>
      </c>
      <c r="O3440" s="15">
        <f t="shared" ca="1" si="421"/>
        <v>27</v>
      </c>
      <c r="P3440" s="16">
        <f t="shared" ca="1" si="422"/>
        <v>-13.029899999999998</v>
      </c>
      <c r="Q3440" s="11" t="str">
        <f t="shared" ca="1" si="408"/>
        <v/>
      </c>
      <c r="R3440" s="11" t="str">
        <f t="shared" ca="1" si="409"/>
        <v/>
      </c>
      <c r="S3440" s="61" t="str">
        <f t="shared" ca="1" si="410"/>
        <v/>
      </c>
      <c r="T3440" s="11" t="str">
        <f t="shared" ca="1" si="411"/>
        <v/>
      </c>
      <c r="U3440" s="11" t="str">
        <f t="shared" ca="1" si="412"/>
        <v/>
      </c>
      <c r="V3440" s="18" t="str">
        <f t="shared" ca="1" si="413"/>
        <v/>
      </c>
      <c r="W3440" s="61" t="str">
        <f t="shared" ca="1" si="414"/>
        <v/>
      </c>
      <c r="X3440" s="61">
        <f t="shared" ca="1" si="415"/>
        <v>0</v>
      </c>
      <c r="Y3440" s="64" t="str">
        <f t="shared" ca="1" si="416"/>
        <v/>
      </c>
    </row>
    <row r="3441" spans="1:25">
      <c r="A3441" s="2">
        <f>+Get_Data!A3440</f>
        <v>0</v>
      </c>
      <c r="B3441">
        <f>+ROUND(Get_Data!B3440,5)</f>
        <v>0</v>
      </c>
      <c r="C3441">
        <f>+ROUND(Get_Data!C3440,5)</f>
        <v>0</v>
      </c>
      <c r="D3441" s="4" t="str">
        <f t="shared" si="401"/>
        <v/>
      </c>
      <c r="E3441" s="22">
        <f t="shared" ca="1" si="402"/>
        <v>0</v>
      </c>
      <c r="F3441" s="23">
        <f t="shared" ca="1" si="403"/>
        <v>0</v>
      </c>
      <c r="G3441" s="10">
        <f t="shared" ca="1" si="404"/>
        <v>0</v>
      </c>
      <c r="H3441" s="12">
        <f t="shared" ca="1" si="405"/>
        <v>0</v>
      </c>
      <c r="I3441" s="11">
        <f t="shared" ca="1" si="406"/>
        <v>0</v>
      </c>
      <c r="J3441" s="11">
        <f t="shared" ca="1" si="407"/>
        <v>-1</v>
      </c>
      <c r="K3441" s="10">
        <f t="shared" ca="1" si="417"/>
        <v>131.24001000000001</v>
      </c>
      <c r="L3441" s="11">
        <f t="shared" ca="1" si="418"/>
        <v>-49.09</v>
      </c>
      <c r="M3441" s="11">
        <f t="shared" ca="1" si="419"/>
        <v>2.6734599999999999</v>
      </c>
      <c r="N3441" s="15">
        <f t="shared" ca="1" si="420"/>
        <v>10</v>
      </c>
      <c r="O3441" s="15">
        <f t="shared" ca="1" si="421"/>
        <v>27</v>
      </c>
      <c r="P3441" s="16">
        <f t="shared" ca="1" si="422"/>
        <v>-13.029899999999998</v>
      </c>
      <c r="Q3441" s="11" t="str">
        <f t="shared" ca="1" si="408"/>
        <v/>
      </c>
      <c r="R3441" s="11" t="str">
        <f t="shared" ca="1" si="409"/>
        <v/>
      </c>
      <c r="S3441" s="61" t="str">
        <f t="shared" ca="1" si="410"/>
        <v/>
      </c>
      <c r="T3441" s="11" t="str">
        <f t="shared" ca="1" si="411"/>
        <v/>
      </c>
      <c r="U3441" s="11" t="str">
        <f t="shared" ca="1" si="412"/>
        <v/>
      </c>
      <c r="V3441" s="18" t="str">
        <f t="shared" ca="1" si="413"/>
        <v/>
      </c>
      <c r="W3441" s="61" t="str">
        <f t="shared" ca="1" si="414"/>
        <v/>
      </c>
      <c r="X3441" s="61">
        <f t="shared" ca="1" si="415"/>
        <v>0</v>
      </c>
      <c r="Y3441" s="64" t="str">
        <f t="shared" ca="1" si="416"/>
        <v/>
      </c>
    </row>
    <row r="3442" spans="1:25">
      <c r="A3442" s="2">
        <f>+Get_Data!A3441</f>
        <v>0</v>
      </c>
      <c r="B3442">
        <f>+ROUND(Get_Data!B3441,5)</f>
        <v>0</v>
      </c>
      <c r="C3442">
        <f>+ROUND(Get_Data!C3441,5)</f>
        <v>0</v>
      </c>
      <c r="D3442" s="4" t="str">
        <f t="shared" ref="D3442:D3505" si="423">IFERROR(ROUND(B3442/C3442,5),"")</f>
        <v/>
      </c>
      <c r="E3442" s="22">
        <f t="shared" ca="1" si="402"/>
        <v>0</v>
      </c>
      <c r="F3442" s="23">
        <f t="shared" ca="1" si="403"/>
        <v>0</v>
      </c>
      <c r="G3442" s="10">
        <f t="shared" ca="1" si="404"/>
        <v>0</v>
      </c>
      <c r="H3442" s="12">
        <f t="shared" ca="1" si="405"/>
        <v>0</v>
      </c>
      <c r="I3442" s="11">
        <f t="shared" ca="1" si="406"/>
        <v>0</v>
      </c>
      <c r="J3442" s="11">
        <f t="shared" ca="1" si="407"/>
        <v>-1</v>
      </c>
      <c r="K3442" s="10">
        <f t="shared" ca="1" si="417"/>
        <v>131.24001000000001</v>
      </c>
      <c r="L3442" s="11">
        <f t="shared" ca="1" si="418"/>
        <v>-49.09</v>
      </c>
      <c r="M3442" s="11">
        <f t="shared" ca="1" si="419"/>
        <v>2.6734599999999999</v>
      </c>
      <c r="N3442" s="15">
        <f t="shared" ca="1" si="420"/>
        <v>10</v>
      </c>
      <c r="O3442" s="15">
        <f t="shared" ca="1" si="421"/>
        <v>27</v>
      </c>
      <c r="P3442" s="16">
        <f t="shared" ca="1" si="422"/>
        <v>-13.029899999999998</v>
      </c>
      <c r="Q3442" s="11" t="str">
        <f t="shared" ca="1" si="408"/>
        <v/>
      </c>
      <c r="R3442" s="11" t="str">
        <f t="shared" ca="1" si="409"/>
        <v/>
      </c>
      <c r="S3442" s="61" t="str">
        <f t="shared" ca="1" si="410"/>
        <v/>
      </c>
      <c r="T3442" s="11" t="str">
        <f t="shared" ca="1" si="411"/>
        <v/>
      </c>
      <c r="U3442" s="11" t="str">
        <f t="shared" ca="1" si="412"/>
        <v/>
      </c>
      <c r="V3442" s="18" t="str">
        <f t="shared" ca="1" si="413"/>
        <v/>
      </c>
      <c r="W3442" s="61" t="str">
        <f t="shared" ca="1" si="414"/>
        <v/>
      </c>
      <c r="X3442" s="61">
        <f t="shared" ca="1" si="415"/>
        <v>0</v>
      </c>
      <c r="Y3442" s="64" t="str">
        <f t="shared" ca="1" si="416"/>
        <v/>
      </c>
    </row>
    <row r="3443" spans="1:25">
      <c r="A3443" s="2">
        <f>+Get_Data!A3442</f>
        <v>0</v>
      </c>
      <c r="B3443">
        <f>+ROUND(Get_Data!B3442,5)</f>
        <v>0</v>
      </c>
      <c r="C3443">
        <f>+ROUND(Get_Data!C3442,5)</f>
        <v>0</v>
      </c>
      <c r="D3443" s="4" t="str">
        <f t="shared" si="423"/>
        <v/>
      </c>
      <c r="E3443" s="22">
        <f t="shared" ca="1" si="402"/>
        <v>0</v>
      </c>
      <c r="F3443" s="23">
        <f t="shared" ca="1" si="403"/>
        <v>0</v>
      </c>
      <c r="G3443" s="10">
        <f t="shared" ca="1" si="404"/>
        <v>0</v>
      </c>
      <c r="H3443" s="12">
        <f t="shared" ca="1" si="405"/>
        <v>0</v>
      </c>
      <c r="I3443" s="11">
        <f t="shared" ca="1" si="406"/>
        <v>0</v>
      </c>
      <c r="J3443" s="11">
        <f t="shared" ca="1" si="407"/>
        <v>-1</v>
      </c>
      <c r="K3443" s="10">
        <f t="shared" ca="1" si="417"/>
        <v>131.24001000000001</v>
      </c>
      <c r="L3443" s="11">
        <f t="shared" ca="1" si="418"/>
        <v>-49.09</v>
      </c>
      <c r="M3443" s="11">
        <f t="shared" ca="1" si="419"/>
        <v>2.6734599999999999</v>
      </c>
      <c r="N3443" s="15">
        <f t="shared" ca="1" si="420"/>
        <v>10</v>
      </c>
      <c r="O3443" s="15">
        <f t="shared" ca="1" si="421"/>
        <v>27</v>
      </c>
      <c r="P3443" s="16">
        <f t="shared" ca="1" si="422"/>
        <v>-13.029899999999998</v>
      </c>
      <c r="Q3443" s="11" t="str">
        <f t="shared" ca="1" si="408"/>
        <v/>
      </c>
      <c r="R3443" s="11" t="str">
        <f t="shared" ca="1" si="409"/>
        <v/>
      </c>
      <c r="S3443" s="61" t="str">
        <f t="shared" ca="1" si="410"/>
        <v/>
      </c>
      <c r="T3443" s="11" t="str">
        <f t="shared" ca="1" si="411"/>
        <v/>
      </c>
      <c r="U3443" s="11" t="str">
        <f t="shared" ca="1" si="412"/>
        <v/>
      </c>
      <c r="V3443" s="18" t="str">
        <f t="shared" ca="1" si="413"/>
        <v/>
      </c>
      <c r="W3443" s="61" t="str">
        <f t="shared" ca="1" si="414"/>
        <v/>
      </c>
      <c r="X3443" s="61">
        <f t="shared" ca="1" si="415"/>
        <v>0</v>
      </c>
      <c r="Y3443" s="64" t="str">
        <f t="shared" ca="1" si="416"/>
        <v/>
      </c>
    </row>
    <row r="3444" spans="1:25">
      <c r="A3444" s="2">
        <f>+Get_Data!A3443</f>
        <v>0</v>
      </c>
      <c r="B3444">
        <f>+ROUND(Get_Data!B3443,5)</f>
        <v>0</v>
      </c>
      <c r="C3444">
        <f>+ROUND(Get_Data!C3443,5)</f>
        <v>0</v>
      </c>
      <c r="D3444" s="4" t="str">
        <f t="shared" si="423"/>
        <v/>
      </c>
      <c r="E3444" s="22">
        <f t="shared" ca="1" si="402"/>
        <v>0</v>
      </c>
      <c r="F3444" s="23">
        <f t="shared" ca="1" si="403"/>
        <v>0</v>
      </c>
      <c r="G3444" s="10">
        <f t="shared" ca="1" si="404"/>
        <v>0</v>
      </c>
      <c r="H3444" s="12">
        <f t="shared" ca="1" si="405"/>
        <v>0</v>
      </c>
      <c r="I3444" s="11">
        <f t="shared" ca="1" si="406"/>
        <v>0</v>
      </c>
      <c r="J3444" s="11">
        <f t="shared" ca="1" si="407"/>
        <v>-1</v>
      </c>
      <c r="K3444" s="10">
        <f t="shared" ca="1" si="417"/>
        <v>131.24001000000001</v>
      </c>
      <c r="L3444" s="11">
        <f t="shared" ca="1" si="418"/>
        <v>-49.09</v>
      </c>
      <c r="M3444" s="11">
        <f t="shared" ca="1" si="419"/>
        <v>2.6734599999999999</v>
      </c>
      <c r="N3444" s="15">
        <f t="shared" ca="1" si="420"/>
        <v>10</v>
      </c>
      <c r="O3444" s="15">
        <f t="shared" ca="1" si="421"/>
        <v>27</v>
      </c>
      <c r="P3444" s="16">
        <f t="shared" ca="1" si="422"/>
        <v>-13.029899999999998</v>
      </c>
      <c r="Q3444" s="11" t="str">
        <f t="shared" ca="1" si="408"/>
        <v/>
      </c>
      <c r="R3444" s="11" t="str">
        <f t="shared" ca="1" si="409"/>
        <v/>
      </c>
      <c r="S3444" s="61" t="str">
        <f t="shared" ca="1" si="410"/>
        <v/>
      </c>
      <c r="T3444" s="11" t="str">
        <f t="shared" ca="1" si="411"/>
        <v/>
      </c>
      <c r="U3444" s="11" t="str">
        <f t="shared" ca="1" si="412"/>
        <v/>
      </c>
      <c r="V3444" s="18" t="str">
        <f t="shared" ca="1" si="413"/>
        <v/>
      </c>
      <c r="W3444" s="61" t="str">
        <f t="shared" ca="1" si="414"/>
        <v/>
      </c>
      <c r="X3444" s="61">
        <f t="shared" ca="1" si="415"/>
        <v>0</v>
      </c>
      <c r="Y3444" s="64" t="str">
        <f t="shared" ca="1" si="416"/>
        <v/>
      </c>
    </row>
    <row r="3445" spans="1:25">
      <c r="A3445" s="2">
        <f>+Get_Data!A3444</f>
        <v>0</v>
      </c>
      <c r="B3445">
        <f>+ROUND(Get_Data!B3444,5)</f>
        <v>0</v>
      </c>
      <c r="C3445">
        <f>+ROUND(Get_Data!C3444,5)</f>
        <v>0</v>
      </c>
      <c r="D3445" s="4" t="str">
        <f t="shared" si="423"/>
        <v/>
      </c>
      <c r="E3445" s="22">
        <f t="shared" ca="1" si="402"/>
        <v>0</v>
      </c>
      <c r="F3445" s="23">
        <f t="shared" ca="1" si="403"/>
        <v>0</v>
      </c>
      <c r="G3445" s="10">
        <f t="shared" ca="1" si="404"/>
        <v>0</v>
      </c>
      <c r="H3445" s="12">
        <f t="shared" ca="1" si="405"/>
        <v>0</v>
      </c>
      <c r="I3445" s="11">
        <f t="shared" ca="1" si="406"/>
        <v>0</v>
      </c>
      <c r="J3445" s="11">
        <f t="shared" ca="1" si="407"/>
        <v>-1</v>
      </c>
      <c r="K3445" s="10">
        <f t="shared" ca="1" si="417"/>
        <v>131.24001000000001</v>
      </c>
      <c r="L3445" s="11">
        <f t="shared" ca="1" si="418"/>
        <v>-49.09</v>
      </c>
      <c r="M3445" s="11">
        <f t="shared" ca="1" si="419"/>
        <v>2.6734599999999999</v>
      </c>
      <c r="N3445" s="15">
        <f t="shared" ca="1" si="420"/>
        <v>10</v>
      </c>
      <c r="O3445" s="15">
        <f t="shared" ca="1" si="421"/>
        <v>27</v>
      </c>
      <c r="P3445" s="16">
        <f t="shared" ca="1" si="422"/>
        <v>-13.029899999999998</v>
      </c>
      <c r="Q3445" s="11" t="str">
        <f t="shared" ca="1" si="408"/>
        <v/>
      </c>
      <c r="R3445" s="11" t="str">
        <f t="shared" ca="1" si="409"/>
        <v/>
      </c>
      <c r="S3445" s="61" t="str">
        <f t="shared" ca="1" si="410"/>
        <v/>
      </c>
      <c r="T3445" s="11" t="str">
        <f t="shared" ca="1" si="411"/>
        <v/>
      </c>
      <c r="U3445" s="11" t="str">
        <f t="shared" ca="1" si="412"/>
        <v/>
      </c>
      <c r="V3445" s="18" t="str">
        <f t="shared" ca="1" si="413"/>
        <v/>
      </c>
      <c r="W3445" s="61" t="str">
        <f t="shared" ca="1" si="414"/>
        <v/>
      </c>
      <c r="X3445" s="61">
        <f t="shared" ca="1" si="415"/>
        <v>0</v>
      </c>
      <c r="Y3445" s="64" t="str">
        <f t="shared" ca="1" si="416"/>
        <v/>
      </c>
    </row>
    <row r="3446" spans="1:25">
      <c r="A3446" s="2">
        <f>+Get_Data!A3445</f>
        <v>0</v>
      </c>
      <c r="B3446">
        <f>+ROUND(Get_Data!B3445,5)</f>
        <v>0</v>
      </c>
      <c r="C3446">
        <f>+ROUND(Get_Data!C3445,5)</f>
        <v>0</v>
      </c>
      <c r="D3446" s="4" t="str">
        <f t="shared" si="423"/>
        <v/>
      </c>
      <c r="E3446" s="22">
        <f t="shared" ca="1" si="402"/>
        <v>0</v>
      </c>
      <c r="F3446" s="23">
        <f t="shared" ca="1" si="403"/>
        <v>0</v>
      </c>
      <c r="G3446" s="10">
        <f t="shared" ca="1" si="404"/>
        <v>0</v>
      </c>
      <c r="H3446" s="12">
        <f t="shared" ca="1" si="405"/>
        <v>0</v>
      </c>
      <c r="I3446" s="11">
        <f t="shared" ca="1" si="406"/>
        <v>0</v>
      </c>
      <c r="J3446" s="11">
        <f t="shared" ca="1" si="407"/>
        <v>-1</v>
      </c>
      <c r="K3446" s="10">
        <f t="shared" ca="1" si="417"/>
        <v>131.24001000000001</v>
      </c>
      <c r="L3446" s="11">
        <f t="shared" ca="1" si="418"/>
        <v>-49.09</v>
      </c>
      <c r="M3446" s="11">
        <f t="shared" ca="1" si="419"/>
        <v>2.6734599999999999</v>
      </c>
      <c r="N3446" s="15">
        <f t="shared" ca="1" si="420"/>
        <v>10</v>
      </c>
      <c r="O3446" s="15">
        <f t="shared" ca="1" si="421"/>
        <v>27</v>
      </c>
      <c r="P3446" s="16">
        <f t="shared" ca="1" si="422"/>
        <v>-13.029899999999998</v>
      </c>
      <c r="Q3446" s="11" t="str">
        <f t="shared" ca="1" si="408"/>
        <v/>
      </c>
      <c r="R3446" s="11" t="str">
        <f t="shared" ca="1" si="409"/>
        <v/>
      </c>
      <c r="S3446" s="61" t="str">
        <f t="shared" ca="1" si="410"/>
        <v/>
      </c>
      <c r="T3446" s="11" t="str">
        <f t="shared" ca="1" si="411"/>
        <v/>
      </c>
      <c r="U3446" s="11" t="str">
        <f t="shared" ca="1" si="412"/>
        <v/>
      </c>
      <c r="V3446" s="18" t="str">
        <f t="shared" ca="1" si="413"/>
        <v/>
      </c>
      <c r="W3446" s="61" t="str">
        <f t="shared" ca="1" si="414"/>
        <v/>
      </c>
      <c r="X3446" s="61">
        <f t="shared" ca="1" si="415"/>
        <v>0</v>
      </c>
      <c r="Y3446" s="64" t="str">
        <f t="shared" ca="1" si="416"/>
        <v/>
      </c>
    </row>
    <row r="3447" spans="1:25">
      <c r="A3447" s="2">
        <f>+Get_Data!A3446</f>
        <v>0</v>
      </c>
      <c r="B3447">
        <f>+ROUND(Get_Data!B3446,5)</f>
        <v>0</v>
      </c>
      <c r="C3447">
        <f>+ROUND(Get_Data!C3446,5)</f>
        <v>0</v>
      </c>
      <c r="D3447" s="4" t="str">
        <f t="shared" si="423"/>
        <v/>
      </c>
      <c r="E3447" s="22">
        <f t="shared" ca="1" si="402"/>
        <v>0</v>
      </c>
      <c r="F3447" s="23">
        <f t="shared" ca="1" si="403"/>
        <v>0</v>
      </c>
      <c r="G3447" s="10">
        <f t="shared" ca="1" si="404"/>
        <v>0</v>
      </c>
      <c r="H3447" s="12">
        <f t="shared" ca="1" si="405"/>
        <v>0</v>
      </c>
      <c r="I3447" s="11">
        <f t="shared" ca="1" si="406"/>
        <v>0</v>
      </c>
      <c r="J3447" s="11">
        <f t="shared" ca="1" si="407"/>
        <v>-1</v>
      </c>
      <c r="K3447" s="10">
        <f t="shared" ca="1" si="417"/>
        <v>131.24001000000001</v>
      </c>
      <c r="L3447" s="11">
        <f t="shared" ca="1" si="418"/>
        <v>-49.09</v>
      </c>
      <c r="M3447" s="11">
        <f t="shared" ca="1" si="419"/>
        <v>2.6734599999999999</v>
      </c>
      <c r="N3447" s="15">
        <f t="shared" ca="1" si="420"/>
        <v>10</v>
      </c>
      <c r="O3447" s="15">
        <f t="shared" ca="1" si="421"/>
        <v>27</v>
      </c>
      <c r="P3447" s="16">
        <f t="shared" ca="1" si="422"/>
        <v>-13.029899999999998</v>
      </c>
      <c r="Q3447" s="11" t="str">
        <f t="shared" ca="1" si="408"/>
        <v/>
      </c>
      <c r="R3447" s="11" t="str">
        <f t="shared" ca="1" si="409"/>
        <v/>
      </c>
      <c r="S3447" s="61" t="str">
        <f t="shared" ca="1" si="410"/>
        <v/>
      </c>
      <c r="T3447" s="11" t="str">
        <f t="shared" ca="1" si="411"/>
        <v/>
      </c>
      <c r="U3447" s="11" t="str">
        <f t="shared" ca="1" si="412"/>
        <v/>
      </c>
      <c r="V3447" s="18" t="str">
        <f t="shared" ca="1" si="413"/>
        <v/>
      </c>
      <c r="W3447" s="61" t="str">
        <f t="shared" ca="1" si="414"/>
        <v/>
      </c>
      <c r="X3447" s="61">
        <f t="shared" ca="1" si="415"/>
        <v>0</v>
      </c>
      <c r="Y3447" s="64" t="str">
        <f t="shared" ca="1" si="416"/>
        <v/>
      </c>
    </row>
    <row r="3448" spans="1:25">
      <c r="A3448" s="2">
        <f>+Get_Data!A3447</f>
        <v>0</v>
      </c>
      <c r="B3448">
        <f>+ROUND(Get_Data!B3447,5)</f>
        <v>0</v>
      </c>
      <c r="C3448">
        <f>+ROUND(Get_Data!C3447,5)</f>
        <v>0</v>
      </c>
      <c r="D3448" s="4" t="str">
        <f t="shared" si="423"/>
        <v/>
      </c>
      <c r="E3448" s="22">
        <f t="shared" ca="1" si="402"/>
        <v>0</v>
      </c>
      <c r="F3448" s="23">
        <f t="shared" ca="1" si="403"/>
        <v>0</v>
      </c>
      <c r="G3448" s="10">
        <f t="shared" ca="1" si="404"/>
        <v>0</v>
      </c>
      <c r="H3448" s="12">
        <f t="shared" ca="1" si="405"/>
        <v>0</v>
      </c>
      <c r="I3448" s="11">
        <f t="shared" ca="1" si="406"/>
        <v>0</v>
      </c>
      <c r="J3448" s="11">
        <f t="shared" ca="1" si="407"/>
        <v>-1</v>
      </c>
      <c r="K3448" s="10">
        <f t="shared" ca="1" si="417"/>
        <v>131.24001000000001</v>
      </c>
      <c r="L3448" s="11">
        <f t="shared" ca="1" si="418"/>
        <v>-49.09</v>
      </c>
      <c r="M3448" s="11">
        <f t="shared" ca="1" si="419"/>
        <v>2.6734599999999999</v>
      </c>
      <c r="N3448" s="15">
        <f t="shared" ca="1" si="420"/>
        <v>10</v>
      </c>
      <c r="O3448" s="15">
        <f t="shared" ca="1" si="421"/>
        <v>27</v>
      </c>
      <c r="P3448" s="16">
        <f t="shared" ca="1" si="422"/>
        <v>-13.029899999999998</v>
      </c>
      <c r="Q3448" s="11" t="str">
        <f t="shared" ca="1" si="408"/>
        <v/>
      </c>
      <c r="R3448" s="11" t="str">
        <f t="shared" ca="1" si="409"/>
        <v/>
      </c>
      <c r="S3448" s="61" t="str">
        <f t="shared" ca="1" si="410"/>
        <v/>
      </c>
      <c r="T3448" s="11" t="str">
        <f t="shared" ca="1" si="411"/>
        <v/>
      </c>
      <c r="U3448" s="11" t="str">
        <f t="shared" ca="1" si="412"/>
        <v/>
      </c>
      <c r="V3448" s="18" t="str">
        <f t="shared" ca="1" si="413"/>
        <v/>
      </c>
      <c r="W3448" s="61" t="str">
        <f t="shared" ca="1" si="414"/>
        <v/>
      </c>
      <c r="X3448" s="61">
        <f t="shared" ca="1" si="415"/>
        <v>0</v>
      </c>
      <c r="Y3448" s="64" t="str">
        <f t="shared" ca="1" si="416"/>
        <v/>
      </c>
    </row>
    <row r="3449" spans="1:25">
      <c r="A3449" s="2">
        <f>+Get_Data!A3448</f>
        <v>0</v>
      </c>
      <c r="B3449">
        <f>+ROUND(Get_Data!B3448,5)</f>
        <v>0</v>
      </c>
      <c r="C3449">
        <f>+ROUND(Get_Data!C3448,5)</f>
        <v>0</v>
      </c>
      <c r="D3449" s="4" t="str">
        <f t="shared" si="423"/>
        <v/>
      </c>
      <c r="E3449" s="22">
        <f t="shared" ca="1" si="402"/>
        <v>0</v>
      </c>
      <c r="F3449" s="23">
        <f t="shared" ca="1" si="403"/>
        <v>0</v>
      </c>
      <c r="G3449" s="10">
        <f t="shared" ca="1" si="404"/>
        <v>0</v>
      </c>
      <c r="H3449" s="12">
        <f t="shared" ca="1" si="405"/>
        <v>0</v>
      </c>
      <c r="I3449" s="11">
        <f t="shared" ca="1" si="406"/>
        <v>0</v>
      </c>
      <c r="J3449" s="11">
        <f t="shared" ca="1" si="407"/>
        <v>-1</v>
      </c>
      <c r="K3449" s="10">
        <f t="shared" ca="1" si="417"/>
        <v>131.24001000000001</v>
      </c>
      <c r="L3449" s="11">
        <f t="shared" ca="1" si="418"/>
        <v>-49.09</v>
      </c>
      <c r="M3449" s="11">
        <f t="shared" ca="1" si="419"/>
        <v>2.6734599999999999</v>
      </c>
      <c r="N3449" s="15">
        <f t="shared" ca="1" si="420"/>
        <v>10</v>
      </c>
      <c r="O3449" s="15">
        <f t="shared" ca="1" si="421"/>
        <v>27</v>
      </c>
      <c r="P3449" s="16">
        <f t="shared" ca="1" si="422"/>
        <v>-13.029899999999998</v>
      </c>
      <c r="Q3449" s="11" t="str">
        <f t="shared" ca="1" si="408"/>
        <v/>
      </c>
      <c r="R3449" s="11" t="str">
        <f t="shared" ca="1" si="409"/>
        <v/>
      </c>
      <c r="S3449" s="61" t="str">
        <f t="shared" ca="1" si="410"/>
        <v/>
      </c>
      <c r="T3449" s="11" t="str">
        <f t="shared" ca="1" si="411"/>
        <v/>
      </c>
      <c r="U3449" s="11" t="str">
        <f t="shared" ca="1" si="412"/>
        <v/>
      </c>
      <c r="V3449" s="18" t="str">
        <f t="shared" ca="1" si="413"/>
        <v/>
      </c>
      <c r="W3449" s="61" t="str">
        <f t="shared" ca="1" si="414"/>
        <v/>
      </c>
      <c r="X3449" s="61">
        <f t="shared" ca="1" si="415"/>
        <v>0</v>
      </c>
      <c r="Y3449" s="64" t="str">
        <f t="shared" ca="1" si="416"/>
        <v/>
      </c>
    </row>
    <row r="3450" spans="1:25">
      <c r="A3450" s="2">
        <f>+Get_Data!A3449</f>
        <v>0</v>
      </c>
      <c r="B3450">
        <f>+ROUND(Get_Data!B3449,5)</f>
        <v>0</v>
      </c>
      <c r="C3450">
        <f>+ROUND(Get_Data!C3449,5)</f>
        <v>0</v>
      </c>
      <c r="D3450" s="4" t="str">
        <f t="shared" si="423"/>
        <v/>
      </c>
      <c r="E3450" s="22">
        <f t="shared" ca="1" si="402"/>
        <v>0</v>
      </c>
      <c r="F3450" s="23">
        <f t="shared" ca="1" si="403"/>
        <v>0</v>
      </c>
      <c r="G3450" s="10">
        <f t="shared" ca="1" si="404"/>
        <v>0</v>
      </c>
      <c r="H3450" s="12">
        <f t="shared" ca="1" si="405"/>
        <v>0</v>
      </c>
      <c r="I3450" s="11">
        <f t="shared" ca="1" si="406"/>
        <v>0</v>
      </c>
      <c r="J3450" s="11">
        <f t="shared" ca="1" si="407"/>
        <v>-1</v>
      </c>
      <c r="K3450" s="10">
        <f t="shared" ca="1" si="417"/>
        <v>131.24001000000001</v>
      </c>
      <c r="L3450" s="11">
        <f t="shared" ca="1" si="418"/>
        <v>-49.09</v>
      </c>
      <c r="M3450" s="11">
        <f t="shared" ca="1" si="419"/>
        <v>2.6734599999999999</v>
      </c>
      <c r="N3450" s="15">
        <f t="shared" ca="1" si="420"/>
        <v>10</v>
      </c>
      <c r="O3450" s="15">
        <f t="shared" ca="1" si="421"/>
        <v>27</v>
      </c>
      <c r="P3450" s="16">
        <f t="shared" ca="1" si="422"/>
        <v>-13.029899999999998</v>
      </c>
      <c r="Q3450" s="11" t="str">
        <f t="shared" ca="1" si="408"/>
        <v/>
      </c>
      <c r="R3450" s="11" t="str">
        <f t="shared" ca="1" si="409"/>
        <v/>
      </c>
      <c r="S3450" s="61" t="str">
        <f t="shared" ca="1" si="410"/>
        <v/>
      </c>
      <c r="T3450" s="11" t="str">
        <f t="shared" ca="1" si="411"/>
        <v/>
      </c>
      <c r="U3450" s="11" t="str">
        <f t="shared" ca="1" si="412"/>
        <v/>
      </c>
      <c r="V3450" s="18" t="str">
        <f t="shared" ca="1" si="413"/>
        <v/>
      </c>
      <c r="W3450" s="61" t="str">
        <f t="shared" ca="1" si="414"/>
        <v/>
      </c>
      <c r="X3450" s="61">
        <f t="shared" ca="1" si="415"/>
        <v>0</v>
      </c>
      <c r="Y3450" s="64" t="str">
        <f t="shared" ca="1" si="416"/>
        <v/>
      </c>
    </row>
    <row r="3451" spans="1:25">
      <c r="A3451" s="2">
        <f>+Get_Data!A3450</f>
        <v>0</v>
      </c>
      <c r="B3451">
        <f>+ROUND(Get_Data!B3450,5)</f>
        <v>0</v>
      </c>
      <c r="C3451">
        <f>+ROUND(Get_Data!C3450,5)</f>
        <v>0</v>
      </c>
      <c r="D3451" s="4" t="str">
        <f t="shared" si="423"/>
        <v/>
      </c>
      <c r="E3451" s="22">
        <f t="shared" ca="1" si="402"/>
        <v>0</v>
      </c>
      <c r="F3451" s="23">
        <f t="shared" ca="1" si="403"/>
        <v>0</v>
      </c>
      <c r="G3451" s="10">
        <f t="shared" ca="1" si="404"/>
        <v>0</v>
      </c>
      <c r="H3451" s="12">
        <f t="shared" ca="1" si="405"/>
        <v>0</v>
      </c>
      <c r="I3451" s="11">
        <f t="shared" ca="1" si="406"/>
        <v>0</v>
      </c>
      <c r="J3451" s="11">
        <f t="shared" ca="1" si="407"/>
        <v>-1</v>
      </c>
      <c r="K3451" s="10">
        <f t="shared" ca="1" si="417"/>
        <v>131.24001000000001</v>
      </c>
      <c r="L3451" s="11">
        <f t="shared" ca="1" si="418"/>
        <v>-49.09</v>
      </c>
      <c r="M3451" s="11">
        <f t="shared" ca="1" si="419"/>
        <v>2.6734599999999999</v>
      </c>
      <c r="N3451" s="15">
        <f t="shared" ca="1" si="420"/>
        <v>10</v>
      </c>
      <c r="O3451" s="15">
        <f t="shared" ca="1" si="421"/>
        <v>27</v>
      </c>
      <c r="P3451" s="16">
        <f t="shared" ca="1" si="422"/>
        <v>-13.029899999999998</v>
      </c>
      <c r="Q3451" s="11" t="str">
        <f t="shared" ca="1" si="408"/>
        <v/>
      </c>
      <c r="R3451" s="11" t="str">
        <f t="shared" ca="1" si="409"/>
        <v/>
      </c>
      <c r="S3451" s="61" t="str">
        <f t="shared" ca="1" si="410"/>
        <v/>
      </c>
      <c r="T3451" s="11" t="str">
        <f t="shared" ca="1" si="411"/>
        <v/>
      </c>
      <c r="U3451" s="11" t="str">
        <f t="shared" ca="1" si="412"/>
        <v/>
      </c>
      <c r="V3451" s="18" t="str">
        <f t="shared" ca="1" si="413"/>
        <v/>
      </c>
      <c r="W3451" s="61" t="str">
        <f t="shared" ca="1" si="414"/>
        <v/>
      </c>
      <c r="X3451" s="61">
        <f t="shared" ca="1" si="415"/>
        <v>0</v>
      </c>
      <c r="Y3451" s="64" t="str">
        <f t="shared" ca="1" si="416"/>
        <v/>
      </c>
    </row>
    <row r="3452" spans="1:25">
      <c r="A3452" s="2">
        <f>+Get_Data!A3451</f>
        <v>0</v>
      </c>
      <c r="B3452">
        <f>+ROUND(Get_Data!B3451,5)</f>
        <v>0</v>
      </c>
      <c r="C3452">
        <f>+ROUND(Get_Data!C3451,5)</f>
        <v>0</v>
      </c>
      <c r="D3452" s="4" t="str">
        <f t="shared" si="423"/>
        <v/>
      </c>
      <c r="E3452" s="22">
        <f t="shared" ca="1" si="402"/>
        <v>0</v>
      </c>
      <c r="F3452" s="23">
        <f t="shared" ca="1" si="403"/>
        <v>0</v>
      </c>
      <c r="G3452" s="10">
        <f t="shared" ca="1" si="404"/>
        <v>0</v>
      </c>
      <c r="H3452" s="12">
        <f t="shared" ca="1" si="405"/>
        <v>0</v>
      </c>
      <c r="I3452" s="11">
        <f t="shared" ca="1" si="406"/>
        <v>0</v>
      </c>
      <c r="J3452" s="11">
        <f t="shared" ca="1" si="407"/>
        <v>-1</v>
      </c>
      <c r="K3452" s="10">
        <f t="shared" ca="1" si="417"/>
        <v>131.24001000000001</v>
      </c>
      <c r="L3452" s="11">
        <f t="shared" ca="1" si="418"/>
        <v>-49.09</v>
      </c>
      <c r="M3452" s="11">
        <f t="shared" ca="1" si="419"/>
        <v>2.6734599999999999</v>
      </c>
      <c r="N3452" s="15">
        <f t="shared" ca="1" si="420"/>
        <v>10</v>
      </c>
      <c r="O3452" s="15">
        <f t="shared" ca="1" si="421"/>
        <v>27</v>
      </c>
      <c r="P3452" s="16">
        <f t="shared" ca="1" si="422"/>
        <v>-13.029899999999998</v>
      </c>
      <c r="Q3452" s="11" t="str">
        <f t="shared" ca="1" si="408"/>
        <v/>
      </c>
      <c r="R3452" s="11" t="str">
        <f t="shared" ca="1" si="409"/>
        <v/>
      </c>
      <c r="S3452" s="61" t="str">
        <f t="shared" ca="1" si="410"/>
        <v/>
      </c>
      <c r="T3452" s="11" t="str">
        <f t="shared" ca="1" si="411"/>
        <v/>
      </c>
      <c r="U3452" s="11" t="str">
        <f t="shared" ca="1" si="412"/>
        <v/>
      </c>
      <c r="V3452" s="18" t="str">
        <f t="shared" ca="1" si="413"/>
        <v/>
      </c>
      <c r="W3452" s="61" t="str">
        <f t="shared" ca="1" si="414"/>
        <v/>
      </c>
      <c r="X3452" s="61">
        <f t="shared" ca="1" si="415"/>
        <v>0</v>
      </c>
      <c r="Y3452" s="64" t="str">
        <f t="shared" ca="1" si="416"/>
        <v/>
      </c>
    </row>
    <row r="3453" spans="1:25">
      <c r="A3453" s="2">
        <f>+Get_Data!A3452</f>
        <v>0</v>
      </c>
      <c r="B3453">
        <f>+ROUND(Get_Data!B3452,5)</f>
        <v>0</v>
      </c>
      <c r="C3453">
        <f>+ROUND(Get_Data!C3452,5)</f>
        <v>0</v>
      </c>
      <c r="D3453" s="4" t="str">
        <f t="shared" si="423"/>
        <v/>
      </c>
      <c r="E3453" s="22">
        <f t="shared" ca="1" si="402"/>
        <v>0</v>
      </c>
      <c r="F3453" s="23">
        <f t="shared" ca="1" si="403"/>
        <v>0</v>
      </c>
      <c r="G3453" s="10">
        <f t="shared" ca="1" si="404"/>
        <v>0</v>
      </c>
      <c r="H3453" s="12">
        <f t="shared" ca="1" si="405"/>
        <v>0</v>
      </c>
      <c r="I3453" s="11">
        <f t="shared" ca="1" si="406"/>
        <v>0</v>
      </c>
      <c r="J3453" s="11">
        <f t="shared" ca="1" si="407"/>
        <v>-1</v>
      </c>
      <c r="K3453" s="10">
        <f t="shared" ca="1" si="417"/>
        <v>131.24001000000001</v>
      </c>
      <c r="L3453" s="11">
        <f t="shared" ca="1" si="418"/>
        <v>-49.09</v>
      </c>
      <c r="M3453" s="11">
        <f t="shared" ca="1" si="419"/>
        <v>2.6734599999999999</v>
      </c>
      <c r="N3453" s="15">
        <f t="shared" ca="1" si="420"/>
        <v>10</v>
      </c>
      <c r="O3453" s="15">
        <f t="shared" ca="1" si="421"/>
        <v>27</v>
      </c>
      <c r="P3453" s="16">
        <f t="shared" ca="1" si="422"/>
        <v>-13.029899999999998</v>
      </c>
      <c r="Q3453" s="11" t="str">
        <f t="shared" ca="1" si="408"/>
        <v/>
      </c>
      <c r="R3453" s="11" t="str">
        <f t="shared" ca="1" si="409"/>
        <v/>
      </c>
      <c r="S3453" s="61" t="str">
        <f t="shared" ca="1" si="410"/>
        <v/>
      </c>
      <c r="T3453" s="11" t="str">
        <f t="shared" ca="1" si="411"/>
        <v/>
      </c>
      <c r="U3453" s="11" t="str">
        <f t="shared" ca="1" si="412"/>
        <v/>
      </c>
      <c r="V3453" s="18" t="str">
        <f t="shared" ca="1" si="413"/>
        <v/>
      </c>
      <c r="W3453" s="61" t="str">
        <f t="shared" ca="1" si="414"/>
        <v/>
      </c>
      <c r="X3453" s="61">
        <f t="shared" ca="1" si="415"/>
        <v>0</v>
      </c>
      <c r="Y3453" s="64" t="str">
        <f t="shared" ca="1" si="416"/>
        <v/>
      </c>
    </row>
    <row r="3454" spans="1:25">
      <c r="A3454" s="2">
        <f>+Get_Data!A3453</f>
        <v>0</v>
      </c>
      <c r="B3454">
        <f>+ROUND(Get_Data!B3453,5)</f>
        <v>0</v>
      </c>
      <c r="C3454">
        <f>+ROUND(Get_Data!C3453,5)</f>
        <v>0</v>
      </c>
      <c r="D3454" s="4" t="str">
        <f t="shared" si="423"/>
        <v/>
      </c>
      <c r="E3454" s="22">
        <f t="shared" ca="1" si="402"/>
        <v>0</v>
      </c>
      <c r="F3454" s="23">
        <f t="shared" ca="1" si="403"/>
        <v>0</v>
      </c>
      <c r="G3454" s="10">
        <f t="shared" ca="1" si="404"/>
        <v>0</v>
      </c>
      <c r="H3454" s="12">
        <f t="shared" ca="1" si="405"/>
        <v>0</v>
      </c>
      <c r="I3454" s="11">
        <f t="shared" ca="1" si="406"/>
        <v>0</v>
      </c>
      <c r="J3454" s="11">
        <f t="shared" ca="1" si="407"/>
        <v>-1</v>
      </c>
      <c r="K3454" s="10">
        <f t="shared" ca="1" si="417"/>
        <v>131.24001000000001</v>
      </c>
      <c r="L3454" s="11">
        <f t="shared" ca="1" si="418"/>
        <v>-49.09</v>
      </c>
      <c r="M3454" s="11">
        <f t="shared" ca="1" si="419"/>
        <v>2.6734599999999999</v>
      </c>
      <c r="N3454" s="15">
        <f t="shared" ca="1" si="420"/>
        <v>10</v>
      </c>
      <c r="O3454" s="15">
        <f t="shared" ca="1" si="421"/>
        <v>27</v>
      </c>
      <c r="P3454" s="16">
        <f t="shared" ca="1" si="422"/>
        <v>-13.029899999999998</v>
      </c>
      <c r="Q3454" s="11" t="str">
        <f t="shared" ca="1" si="408"/>
        <v/>
      </c>
      <c r="R3454" s="11" t="str">
        <f t="shared" ca="1" si="409"/>
        <v/>
      </c>
      <c r="S3454" s="61" t="str">
        <f t="shared" ca="1" si="410"/>
        <v/>
      </c>
      <c r="T3454" s="11" t="str">
        <f t="shared" ca="1" si="411"/>
        <v/>
      </c>
      <c r="U3454" s="11" t="str">
        <f t="shared" ca="1" si="412"/>
        <v/>
      </c>
      <c r="V3454" s="18" t="str">
        <f t="shared" ca="1" si="413"/>
        <v/>
      </c>
      <c r="W3454" s="61" t="str">
        <f t="shared" ca="1" si="414"/>
        <v/>
      </c>
      <c r="X3454" s="61">
        <f t="shared" ca="1" si="415"/>
        <v>0</v>
      </c>
      <c r="Y3454" s="64" t="str">
        <f t="shared" ca="1" si="416"/>
        <v/>
      </c>
    </row>
    <row r="3455" spans="1:25">
      <c r="A3455" s="2">
        <f>+Get_Data!A3454</f>
        <v>0</v>
      </c>
      <c r="B3455">
        <f>+ROUND(Get_Data!B3454,5)</f>
        <v>0</v>
      </c>
      <c r="C3455">
        <f>+ROUND(Get_Data!C3454,5)</f>
        <v>0</v>
      </c>
      <c r="D3455" s="4" t="str">
        <f t="shared" si="423"/>
        <v/>
      </c>
      <c r="E3455" s="22">
        <f t="shared" ca="1" si="402"/>
        <v>0</v>
      </c>
      <c r="F3455" s="23">
        <f t="shared" ca="1" si="403"/>
        <v>0</v>
      </c>
      <c r="G3455" s="10">
        <f t="shared" ca="1" si="404"/>
        <v>0</v>
      </c>
      <c r="H3455" s="12">
        <f t="shared" ca="1" si="405"/>
        <v>0</v>
      </c>
      <c r="I3455" s="11">
        <f t="shared" ca="1" si="406"/>
        <v>0</v>
      </c>
      <c r="J3455" s="11">
        <f t="shared" ca="1" si="407"/>
        <v>-1</v>
      </c>
      <c r="K3455" s="10">
        <f t="shared" ca="1" si="417"/>
        <v>131.24001000000001</v>
      </c>
      <c r="L3455" s="11">
        <f t="shared" ca="1" si="418"/>
        <v>-49.09</v>
      </c>
      <c r="M3455" s="11">
        <f t="shared" ca="1" si="419"/>
        <v>2.6734599999999999</v>
      </c>
      <c r="N3455" s="15">
        <f t="shared" ca="1" si="420"/>
        <v>10</v>
      </c>
      <c r="O3455" s="15">
        <f t="shared" ca="1" si="421"/>
        <v>27</v>
      </c>
      <c r="P3455" s="16">
        <f t="shared" ca="1" si="422"/>
        <v>-13.029899999999998</v>
      </c>
      <c r="Q3455" s="11" t="str">
        <f t="shared" ca="1" si="408"/>
        <v/>
      </c>
      <c r="R3455" s="11" t="str">
        <f t="shared" ca="1" si="409"/>
        <v/>
      </c>
      <c r="S3455" s="61" t="str">
        <f t="shared" ca="1" si="410"/>
        <v/>
      </c>
      <c r="T3455" s="11" t="str">
        <f t="shared" ca="1" si="411"/>
        <v/>
      </c>
      <c r="U3455" s="11" t="str">
        <f t="shared" ca="1" si="412"/>
        <v/>
      </c>
      <c r="V3455" s="18" t="str">
        <f t="shared" ca="1" si="413"/>
        <v/>
      </c>
      <c r="W3455" s="61" t="str">
        <f t="shared" ca="1" si="414"/>
        <v/>
      </c>
      <c r="X3455" s="61">
        <f t="shared" ca="1" si="415"/>
        <v>0</v>
      </c>
      <c r="Y3455" s="64" t="str">
        <f t="shared" ca="1" si="416"/>
        <v/>
      </c>
    </row>
    <row r="3456" spans="1:25">
      <c r="A3456" s="2">
        <f>+Get_Data!A3455</f>
        <v>0</v>
      </c>
      <c r="B3456">
        <f>+ROUND(Get_Data!B3455,5)</f>
        <v>0</v>
      </c>
      <c r="C3456">
        <f>+ROUND(Get_Data!C3455,5)</f>
        <v>0</v>
      </c>
      <c r="D3456" s="4" t="str">
        <f t="shared" si="423"/>
        <v/>
      </c>
      <c r="E3456" s="22">
        <f t="shared" ca="1" si="402"/>
        <v>0</v>
      </c>
      <c r="F3456" s="23">
        <f t="shared" ca="1" si="403"/>
        <v>0</v>
      </c>
      <c r="G3456" s="10">
        <f t="shared" ca="1" si="404"/>
        <v>0</v>
      </c>
      <c r="H3456" s="12">
        <f t="shared" ca="1" si="405"/>
        <v>0</v>
      </c>
      <c r="I3456" s="11">
        <f t="shared" ca="1" si="406"/>
        <v>0</v>
      </c>
      <c r="J3456" s="11">
        <f t="shared" ca="1" si="407"/>
        <v>-1</v>
      </c>
      <c r="K3456" s="10">
        <f t="shared" ca="1" si="417"/>
        <v>131.24001000000001</v>
      </c>
      <c r="L3456" s="11">
        <f t="shared" ca="1" si="418"/>
        <v>-49.09</v>
      </c>
      <c r="M3456" s="11">
        <f t="shared" ca="1" si="419"/>
        <v>2.6734599999999999</v>
      </c>
      <c r="N3456" s="15">
        <f t="shared" ca="1" si="420"/>
        <v>10</v>
      </c>
      <c r="O3456" s="15">
        <f t="shared" ca="1" si="421"/>
        <v>27</v>
      </c>
      <c r="P3456" s="16">
        <f t="shared" ca="1" si="422"/>
        <v>-13.029899999999998</v>
      </c>
      <c r="Q3456" s="11" t="str">
        <f t="shared" ca="1" si="408"/>
        <v/>
      </c>
      <c r="R3456" s="11" t="str">
        <f t="shared" ca="1" si="409"/>
        <v/>
      </c>
      <c r="S3456" s="61" t="str">
        <f t="shared" ca="1" si="410"/>
        <v/>
      </c>
      <c r="T3456" s="11" t="str">
        <f t="shared" ca="1" si="411"/>
        <v/>
      </c>
      <c r="U3456" s="11" t="str">
        <f t="shared" ca="1" si="412"/>
        <v/>
      </c>
      <c r="V3456" s="18" t="str">
        <f t="shared" ca="1" si="413"/>
        <v/>
      </c>
      <c r="W3456" s="61" t="str">
        <f t="shared" ca="1" si="414"/>
        <v/>
      </c>
      <c r="X3456" s="61">
        <f t="shared" ca="1" si="415"/>
        <v>0</v>
      </c>
      <c r="Y3456" s="64" t="str">
        <f t="shared" ca="1" si="416"/>
        <v/>
      </c>
    </row>
    <row r="3457" spans="1:25">
      <c r="A3457" s="2">
        <f>+Get_Data!A3456</f>
        <v>0</v>
      </c>
      <c r="B3457">
        <f>+ROUND(Get_Data!B3456,5)</f>
        <v>0</v>
      </c>
      <c r="C3457">
        <f>+ROUND(Get_Data!C3456,5)</f>
        <v>0</v>
      </c>
      <c r="D3457" s="4" t="str">
        <f t="shared" si="423"/>
        <v/>
      </c>
      <c r="E3457" s="22">
        <f t="shared" ca="1" si="402"/>
        <v>0</v>
      </c>
      <c r="F3457" s="23">
        <f t="shared" ca="1" si="403"/>
        <v>0</v>
      </c>
      <c r="G3457" s="10">
        <f t="shared" ca="1" si="404"/>
        <v>0</v>
      </c>
      <c r="H3457" s="12">
        <f t="shared" ca="1" si="405"/>
        <v>0</v>
      </c>
      <c r="I3457" s="11">
        <f t="shared" ca="1" si="406"/>
        <v>0</v>
      </c>
      <c r="J3457" s="11">
        <f t="shared" ca="1" si="407"/>
        <v>-1</v>
      </c>
      <c r="K3457" s="10">
        <f t="shared" ca="1" si="417"/>
        <v>131.24001000000001</v>
      </c>
      <c r="L3457" s="11">
        <f t="shared" ca="1" si="418"/>
        <v>-49.09</v>
      </c>
      <c r="M3457" s="11">
        <f t="shared" ca="1" si="419"/>
        <v>2.6734599999999999</v>
      </c>
      <c r="N3457" s="15">
        <f t="shared" ca="1" si="420"/>
        <v>10</v>
      </c>
      <c r="O3457" s="15">
        <f t="shared" ca="1" si="421"/>
        <v>27</v>
      </c>
      <c r="P3457" s="16">
        <f t="shared" ca="1" si="422"/>
        <v>-13.029899999999998</v>
      </c>
      <c r="Q3457" s="11" t="str">
        <f t="shared" ca="1" si="408"/>
        <v/>
      </c>
      <c r="R3457" s="11" t="str">
        <f t="shared" ca="1" si="409"/>
        <v/>
      </c>
      <c r="S3457" s="61" t="str">
        <f t="shared" ca="1" si="410"/>
        <v/>
      </c>
      <c r="T3457" s="11" t="str">
        <f t="shared" ca="1" si="411"/>
        <v/>
      </c>
      <c r="U3457" s="11" t="str">
        <f t="shared" ca="1" si="412"/>
        <v/>
      </c>
      <c r="V3457" s="18" t="str">
        <f t="shared" ca="1" si="413"/>
        <v/>
      </c>
      <c r="W3457" s="61" t="str">
        <f t="shared" ca="1" si="414"/>
        <v/>
      </c>
      <c r="X3457" s="61">
        <f t="shared" ca="1" si="415"/>
        <v>0</v>
      </c>
      <c r="Y3457" s="64" t="str">
        <f t="shared" ca="1" si="416"/>
        <v/>
      </c>
    </row>
    <row r="3458" spans="1:25">
      <c r="A3458" s="2">
        <f>+Get_Data!A3457</f>
        <v>0</v>
      </c>
      <c r="B3458">
        <f>+ROUND(Get_Data!B3457,5)</f>
        <v>0</v>
      </c>
      <c r="C3458">
        <f>+ROUND(Get_Data!C3457,5)</f>
        <v>0</v>
      </c>
      <c r="D3458" s="4" t="str">
        <f t="shared" si="423"/>
        <v/>
      </c>
      <c r="E3458" s="22">
        <f t="shared" ca="1" si="402"/>
        <v>0</v>
      </c>
      <c r="F3458" s="23">
        <f t="shared" ca="1" si="403"/>
        <v>0</v>
      </c>
      <c r="G3458" s="10">
        <f t="shared" ca="1" si="404"/>
        <v>0</v>
      </c>
      <c r="H3458" s="12">
        <f t="shared" ca="1" si="405"/>
        <v>0</v>
      </c>
      <c r="I3458" s="11">
        <f t="shared" ca="1" si="406"/>
        <v>0</v>
      </c>
      <c r="J3458" s="11">
        <f t="shared" ca="1" si="407"/>
        <v>-1</v>
      </c>
      <c r="K3458" s="10">
        <f t="shared" ca="1" si="417"/>
        <v>131.24001000000001</v>
      </c>
      <c r="L3458" s="11">
        <f t="shared" ca="1" si="418"/>
        <v>-49.09</v>
      </c>
      <c r="M3458" s="11">
        <f t="shared" ca="1" si="419"/>
        <v>2.6734599999999999</v>
      </c>
      <c r="N3458" s="15">
        <f t="shared" ca="1" si="420"/>
        <v>10</v>
      </c>
      <c r="O3458" s="15">
        <f t="shared" ca="1" si="421"/>
        <v>27</v>
      </c>
      <c r="P3458" s="16">
        <f t="shared" ca="1" si="422"/>
        <v>-13.029899999999998</v>
      </c>
      <c r="Q3458" s="11" t="str">
        <f t="shared" ca="1" si="408"/>
        <v/>
      </c>
      <c r="R3458" s="11" t="str">
        <f t="shared" ca="1" si="409"/>
        <v/>
      </c>
      <c r="S3458" s="61" t="str">
        <f t="shared" ca="1" si="410"/>
        <v/>
      </c>
      <c r="T3458" s="11" t="str">
        <f t="shared" ca="1" si="411"/>
        <v/>
      </c>
      <c r="U3458" s="11" t="str">
        <f t="shared" ca="1" si="412"/>
        <v/>
      </c>
      <c r="V3458" s="18" t="str">
        <f t="shared" ca="1" si="413"/>
        <v/>
      </c>
      <c r="W3458" s="61" t="str">
        <f t="shared" ca="1" si="414"/>
        <v/>
      </c>
      <c r="X3458" s="61">
        <f t="shared" ca="1" si="415"/>
        <v>0</v>
      </c>
      <c r="Y3458" s="64" t="str">
        <f t="shared" ca="1" si="416"/>
        <v/>
      </c>
    </row>
    <row r="3459" spans="1:25">
      <c r="A3459" s="2">
        <f>+Get_Data!A3458</f>
        <v>0</v>
      </c>
      <c r="B3459">
        <f>+ROUND(Get_Data!B3458,5)</f>
        <v>0</v>
      </c>
      <c r="C3459">
        <f>+ROUND(Get_Data!C3458,5)</f>
        <v>0</v>
      </c>
      <c r="D3459" s="4" t="str">
        <f t="shared" si="423"/>
        <v/>
      </c>
      <c r="E3459" s="22">
        <f t="shared" ca="1" si="402"/>
        <v>0</v>
      </c>
      <c r="F3459" s="23">
        <f t="shared" ca="1" si="403"/>
        <v>0</v>
      </c>
      <c r="G3459" s="10">
        <f t="shared" ca="1" si="404"/>
        <v>0</v>
      </c>
      <c r="H3459" s="12">
        <f t="shared" ca="1" si="405"/>
        <v>0</v>
      </c>
      <c r="I3459" s="11">
        <f t="shared" ca="1" si="406"/>
        <v>0</v>
      </c>
      <c r="J3459" s="11">
        <f t="shared" ca="1" si="407"/>
        <v>-1</v>
      </c>
      <c r="K3459" s="10">
        <f t="shared" ca="1" si="417"/>
        <v>131.24001000000001</v>
      </c>
      <c r="L3459" s="11">
        <f t="shared" ca="1" si="418"/>
        <v>-49.09</v>
      </c>
      <c r="M3459" s="11">
        <f t="shared" ca="1" si="419"/>
        <v>2.6734599999999999</v>
      </c>
      <c r="N3459" s="15">
        <f t="shared" ca="1" si="420"/>
        <v>10</v>
      </c>
      <c r="O3459" s="15">
        <f t="shared" ca="1" si="421"/>
        <v>27</v>
      </c>
      <c r="P3459" s="16">
        <f t="shared" ca="1" si="422"/>
        <v>-13.029899999999998</v>
      </c>
      <c r="Q3459" s="11" t="str">
        <f t="shared" ca="1" si="408"/>
        <v/>
      </c>
      <c r="R3459" s="11" t="str">
        <f t="shared" ca="1" si="409"/>
        <v/>
      </c>
      <c r="S3459" s="61" t="str">
        <f t="shared" ca="1" si="410"/>
        <v/>
      </c>
      <c r="T3459" s="11" t="str">
        <f t="shared" ca="1" si="411"/>
        <v/>
      </c>
      <c r="U3459" s="11" t="str">
        <f t="shared" ca="1" si="412"/>
        <v/>
      </c>
      <c r="V3459" s="18" t="str">
        <f t="shared" ca="1" si="413"/>
        <v/>
      </c>
      <c r="W3459" s="61" t="str">
        <f t="shared" ca="1" si="414"/>
        <v/>
      </c>
      <c r="X3459" s="61">
        <f t="shared" ca="1" si="415"/>
        <v>0</v>
      </c>
      <c r="Y3459" s="64" t="str">
        <f t="shared" ca="1" si="416"/>
        <v/>
      </c>
    </row>
    <row r="3460" spans="1:25">
      <c r="A3460" s="2">
        <f>+Get_Data!A3459</f>
        <v>0</v>
      </c>
      <c r="B3460">
        <f>+ROUND(Get_Data!B3459,5)</f>
        <v>0</v>
      </c>
      <c r="C3460">
        <f>+ROUND(Get_Data!C3459,5)</f>
        <v>0</v>
      </c>
      <c r="D3460" s="4" t="str">
        <f t="shared" si="423"/>
        <v/>
      </c>
      <c r="E3460" s="22">
        <f t="shared" ca="1" si="402"/>
        <v>0</v>
      </c>
      <c r="F3460" s="23">
        <f t="shared" ca="1" si="403"/>
        <v>0</v>
      </c>
      <c r="G3460" s="10">
        <f t="shared" ca="1" si="404"/>
        <v>0</v>
      </c>
      <c r="H3460" s="12">
        <f t="shared" ca="1" si="405"/>
        <v>0</v>
      </c>
      <c r="I3460" s="11">
        <f t="shared" ca="1" si="406"/>
        <v>0</v>
      </c>
      <c r="J3460" s="11">
        <f t="shared" ca="1" si="407"/>
        <v>-1</v>
      </c>
      <c r="K3460" s="10">
        <f t="shared" ca="1" si="417"/>
        <v>131.24001000000001</v>
      </c>
      <c r="L3460" s="11">
        <f t="shared" ca="1" si="418"/>
        <v>-49.09</v>
      </c>
      <c r="M3460" s="11">
        <f t="shared" ca="1" si="419"/>
        <v>2.6734599999999999</v>
      </c>
      <c r="N3460" s="15">
        <f t="shared" ca="1" si="420"/>
        <v>10</v>
      </c>
      <c r="O3460" s="15">
        <f t="shared" ca="1" si="421"/>
        <v>27</v>
      </c>
      <c r="P3460" s="16">
        <f t="shared" ca="1" si="422"/>
        <v>-13.029899999999998</v>
      </c>
      <c r="Q3460" s="11" t="str">
        <f t="shared" ca="1" si="408"/>
        <v/>
      </c>
      <c r="R3460" s="11" t="str">
        <f t="shared" ca="1" si="409"/>
        <v/>
      </c>
      <c r="S3460" s="61" t="str">
        <f t="shared" ca="1" si="410"/>
        <v/>
      </c>
      <c r="T3460" s="11" t="str">
        <f t="shared" ca="1" si="411"/>
        <v/>
      </c>
      <c r="U3460" s="11" t="str">
        <f t="shared" ca="1" si="412"/>
        <v/>
      </c>
      <c r="V3460" s="18" t="str">
        <f t="shared" ca="1" si="413"/>
        <v/>
      </c>
      <c r="W3460" s="61" t="str">
        <f t="shared" ca="1" si="414"/>
        <v/>
      </c>
      <c r="X3460" s="61">
        <f t="shared" ca="1" si="415"/>
        <v>0</v>
      </c>
      <c r="Y3460" s="64" t="str">
        <f t="shared" ca="1" si="416"/>
        <v/>
      </c>
    </row>
    <row r="3461" spans="1:25">
      <c r="A3461" s="2">
        <f>+Get_Data!A3460</f>
        <v>0</v>
      </c>
      <c r="B3461">
        <f>+ROUND(Get_Data!B3460,5)</f>
        <v>0</v>
      </c>
      <c r="C3461">
        <f>+ROUND(Get_Data!C3460,5)</f>
        <v>0</v>
      </c>
      <c r="D3461" s="4" t="str">
        <f t="shared" si="423"/>
        <v/>
      </c>
      <c r="E3461" s="22">
        <f t="shared" ref="E3461:E3524" ca="1" si="424">+MAX(OFFSET(D3461,-$G$2+1,,$G$2))</f>
        <v>0</v>
      </c>
      <c r="F3461" s="23">
        <f t="shared" ref="F3461:F3524" ca="1" si="425">+MIN(OFFSET(D3461,-$G$2+1,,$G$2))</f>
        <v>0</v>
      </c>
      <c r="G3461" s="10">
        <f t="shared" ref="G3461:G3524" ca="1" si="426">+IF(E3461=D3461,1,0)</f>
        <v>0</v>
      </c>
      <c r="H3461" s="12">
        <f t="shared" ref="H3461:H3524" ca="1" si="427">+IF(F3461=D3461,1,0)</f>
        <v>0</v>
      </c>
      <c r="I3461" s="11">
        <f t="shared" ref="I3461:I3524" ca="1" si="428">+G3461-H3461</f>
        <v>0</v>
      </c>
      <c r="J3461" s="11">
        <f t="shared" ca="1" si="407"/>
        <v>-1</v>
      </c>
      <c r="K3461" s="10">
        <f t="shared" ca="1" si="417"/>
        <v>131.24001000000001</v>
      </c>
      <c r="L3461" s="11">
        <f t="shared" ca="1" si="418"/>
        <v>-49.09</v>
      </c>
      <c r="M3461" s="11">
        <f t="shared" ca="1" si="419"/>
        <v>2.6734599999999999</v>
      </c>
      <c r="N3461" s="15">
        <f t="shared" ca="1" si="420"/>
        <v>10</v>
      </c>
      <c r="O3461" s="15">
        <f t="shared" ca="1" si="421"/>
        <v>27</v>
      </c>
      <c r="P3461" s="16">
        <f t="shared" ca="1" si="422"/>
        <v>-13.029899999999998</v>
      </c>
      <c r="Q3461" s="11" t="str">
        <f t="shared" ca="1" si="408"/>
        <v/>
      </c>
      <c r="R3461" s="11" t="str">
        <f t="shared" ca="1" si="409"/>
        <v/>
      </c>
      <c r="S3461" s="61" t="str">
        <f t="shared" ca="1" si="410"/>
        <v/>
      </c>
      <c r="T3461" s="11" t="str">
        <f t="shared" ca="1" si="411"/>
        <v/>
      </c>
      <c r="U3461" s="11" t="str">
        <f t="shared" ca="1" si="412"/>
        <v/>
      </c>
      <c r="V3461" s="18" t="str">
        <f t="shared" ca="1" si="413"/>
        <v/>
      </c>
      <c r="W3461" s="61" t="str">
        <f t="shared" ca="1" si="414"/>
        <v/>
      </c>
      <c r="X3461" s="61">
        <f t="shared" ca="1" si="415"/>
        <v>0</v>
      </c>
      <c r="Y3461" s="64" t="str">
        <f t="shared" ca="1" si="416"/>
        <v/>
      </c>
    </row>
    <row r="3462" spans="1:25">
      <c r="A3462" s="2">
        <f>+Get_Data!A3461</f>
        <v>0</v>
      </c>
      <c r="B3462">
        <f>+ROUND(Get_Data!B3461,5)</f>
        <v>0</v>
      </c>
      <c r="C3462">
        <f>+ROUND(Get_Data!C3461,5)</f>
        <v>0</v>
      </c>
      <c r="D3462" s="4" t="str">
        <f t="shared" si="423"/>
        <v/>
      </c>
      <c r="E3462" s="22">
        <f t="shared" ca="1" si="424"/>
        <v>0</v>
      </c>
      <c r="F3462" s="23">
        <f t="shared" ca="1" si="425"/>
        <v>0</v>
      </c>
      <c r="G3462" s="10">
        <f t="shared" ca="1" si="426"/>
        <v>0</v>
      </c>
      <c r="H3462" s="12">
        <f t="shared" ca="1" si="427"/>
        <v>0</v>
      </c>
      <c r="I3462" s="11">
        <f t="shared" ca="1" si="428"/>
        <v>0</v>
      </c>
      <c r="J3462" s="11">
        <f t="shared" ref="J3462:J3525" ca="1" si="429">+IF(AND(ABS(J3461)=2,ABS(I3462)=1),0,J3461+I3462)</f>
        <v>-1</v>
      </c>
      <c r="K3462" s="10">
        <f t="shared" ca="1" si="417"/>
        <v>131.24001000000001</v>
      </c>
      <c r="L3462" s="11">
        <f t="shared" ca="1" si="418"/>
        <v>-49.09</v>
      </c>
      <c r="M3462" s="11">
        <f t="shared" ca="1" si="419"/>
        <v>2.6734599999999999</v>
      </c>
      <c r="N3462" s="15">
        <f t="shared" ca="1" si="420"/>
        <v>10</v>
      </c>
      <c r="O3462" s="15">
        <f t="shared" ca="1" si="421"/>
        <v>27</v>
      </c>
      <c r="P3462" s="16">
        <f t="shared" ca="1" si="422"/>
        <v>-13.029899999999998</v>
      </c>
      <c r="Q3462" s="11" t="str">
        <f t="shared" ca="1" si="408"/>
        <v/>
      </c>
      <c r="R3462" s="11" t="str">
        <f t="shared" ca="1" si="409"/>
        <v/>
      </c>
      <c r="S3462" s="61" t="str">
        <f t="shared" ca="1" si="410"/>
        <v/>
      </c>
      <c r="T3462" s="11" t="str">
        <f t="shared" ca="1" si="411"/>
        <v/>
      </c>
      <c r="U3462" s="11" t="str">
        <f t="shared" ca="1" si="412"/>
        <v/>
      </c>
      <c r="V3462" s="18" t="str">
        <f t="shared" ca="1" si="413"/>
        <v/>
      </c>
      <c r="W3462" s="61" t="str">
        <f t="shared" ca="1" si="414"/>
        <v/>
      </c>
      <c r="X3462" s="61">
        <f t="shared" ca="1" si="415"/>
        <v>0</v>
      </c>
      <c r="Y3462" s="64" t="str">
        <f t="shared" ca="1" si="416"/>
        <v/>
      </c>
    </row>
    <row r="3463" spans="1:25">
      <c r="A3463" s="2">
        <f>+Get_Data!A3462</f>
        <v>0</v>
      </c>
      <c r="B3463">
        <f>+ROUND(Get_Data!B3462,5)</f>
        <v>0</v>
      </c>
      <c r="C3463">
        <f>+ROUND(Get_Data!C3462,5)</f>
        <v>0</v>
      </c>
      <c r="D3463" s="4" t="str">
        <f t="shared" si="423"/>
        <v/>
      </c>
      <c r="E3463" s="22">
        <f t="shared" ca="1" si="424"/>
        <v>0</v>
      </c>
      <c r="F3463" s="23">
        <f t="shared" ca="1" si="425"/>
        <v>0</v>
      </c>
      <c r="G3463" s="10">
        <f t="shared" ca="1" si="426"/>
        <v>0</v>
      </c>
      <c r="H3463" s="12">
        <f t="shared" ca="1" si="427"/>
        <v>0</v>
      </c>
      <c r="I3463" s="11">
        <f t="shared" ca="1" si="428"/>
        <v>0</v>
      </c>
      <c r="J3463" s="11">
        <f t="shared" ca="1" si="429"/>
        <v>-1</v>
      </c>
      <c r="K3463" s="10">
        <f t="shared" ca="1" si="417"/>
        <v>131.24001000000001</v>
      </c>
      <c r="L3463" s="11">
        <f t="shared" ca="1" si="418"/>
        <v>-49.09</v>
      </c>
      <c r="M3463" s="11">
        <f t="shared" ca="1" si="419"/>
        <v>2.6734599999999999</v>
      </c>
      <c r="N3463" s="15">
        <f t="shared" ca="1" si="420"/>
        <v>10</v>
      </c>
      <c r="O3463" s="15">
        <f t="shared" ca="1" si="421"/>
        <v>27</v>
      </c>
      <c r="P3463" s="16">
        <f t="shared" ca="1" si="422"/>
        <v>-13.029899999999998</v>
      </c>
      <c r="Q3463" s="11" t="str">
        <f t="shared" ca="1" si="408"/>
        <v/>
      </c>
      <c r="R3463" s="11" t="str">
        <f t="shared" ca="1" si="409"/>
        <v/>
      </c>
      <c r="S3463" s="61" t="str">
        <f t="shared" ca="1" si="410"/>
        <v/>
      </c>
      <c r="T3463" s="11" t="str">
        <f t="shared" ca="1" si="411"/>
        <v/>
      </c>
      <c r="U3463" s="11" t="str">
        <f t="shared" ca="1" si="412"/>
        <v/>
      </c>
      <c r="V3463" s="18" t="str">
        <f t="shared" ca="1" si="413"/>
        <v/>
      </c>
      <c r="W3463" s="61" t="str">
        <f t="shared" ca="1" si="414"/>
        <v/>
      </c>
      <c r="X3463" s="61">
        <f t="shared" ca="1" si="415"/>
        <v>0</v>
      </c>
      <c r="Y3463" s="64" t="str">
        <f t="shared" ca="1" si="416"/>
        <v/>
      </c>
    </row>
    <row r="3464" spans="1:25">
      <c r="A3464" s="2">
        <f>+Get_Data!A3463</f>
        <v>0</v>
      </c>
      <c r="B3464">
        <f>+ROUND(Get_Data!B3463,5)</f>
        <v>0</v>
      </c>
      <c r="C3464">
        <f>+ROUND(Get_Data!C3463,5)</f>
        <v>0</v>
      </c>
      <c r="D3464" s="4" t="str">
        <f t="shared" si="423"/>
        <v/>
      </c>
      <c r="E3464" s="22">
        <f t="shared" ca="1" si="424"/>
        <v>0</v>
      </c>
      <c r="F3464" s="23">
        <f t="shared" ca="1" si="425"/>
        <v>0</v>
      </c>
      <c r="G3464" s="10">
        <f t="shared" ca="1" si="426"/>
        <v>0</v>
      </c>
      <c r="H3464" s="12">
        <f t="shared" ca="1" si="427"/>
        <v>0</v>
      </c>
      <c r="I3464" s="11">
        <f t="shared" ca="1" si="428"/>
        <v>0</v>
      </c>
      <c r="J3464" s="11">
        <f t="shared" ca="1" si="429"/>
        <v>-1</v>
      </c>
      <c r="K3464" s="10">
        <f t="shared" ca="1" si="417"/>
        <v>131.24001000000001</v>
      </c>
      <c r="L3464" s="11">
        <f t="shared" ca="1" si="418"/>
        <v>-49.09</v>
      </c>
      <c r="M3464" s="11">
        <f t="shared" ca="1" si="419"/>
        <v>2.6734599999999999</v>
      </c>
      <c r="N3464" s="15">
        <f t="shared" ca="1" si="420"/>
        <v>10</v>
      </c>
      <c r="O3464" s="15">
        <f t="shared" ca="1" si="421"/>
        <v>27</v>
      </c>
      <c r="P3464" s="16">
        <f t="shared" ca="1" si="422"/>
        <v>-13.029899999999998</v>
      </c>
      <c r="Q3464" s="11" t="str">
        <f t="shared" ca="1" si="408"/>
        <v/>
      </c>
      <c r="R3464" s="11" t="str">
        <f t="shared" ca="1" si="409"/>
        <v/>
      </c>
      <c r="S3464" s="61" t="str">
        <f t="shared" ca="1" si="410"/>
        <v/>
      </c>
      <c r="T3464" s="11" t="str">
        <f t="shared" ca="1" si="411"/>
        <v/>
      </c>
      <c r="U3464" s="11" t="str">
        <f t="shared" ca="1" si="412"/>
        <v/>
      </c>
      <c r="V3464" s="18" t="str">
        <f t="shared" ca="1" si="413"/>
        <v/>
      </c>
      <c r="W3464" s="61" t="str">
        <f t="shared" ca="1" si="414"/>
        <v/>
      </c>
      <c r="X3464" s="61">
        <f t="shared" ca="1" si="415"/>
        <v>0</v>
      </c>
      <c r="Y3464" s="64" t="str">
        <f t="shared" ca="1" si="416"/>
        <v/>
      </c>
    </row>
    <row r="3465" spans="1:25">
      <c r="A3465" s="2">
        <f>+Get_Data!A3464</f>
        <v>0</v>
      </c>
      <c r="B3465">
        <f>+ROUND(Get_Data!B3464,5)</f>
        <v>0</v>
      </c>
      <c r="C3465">
        <f>+ROUND(Get_Data!C3464,5)</f>
        <v>0</v>
      </c>
      <c r="D3465" s="4" t="str">
        <f t="shared" si="423"/>
        <v/>
      </c>
      <c r="E3465" s="22">
        <f t="shared" ca="1" si="424"/>
        <v>0</v>
      </c>
      <c r="F3465" s="23">
        <f t="shared" ca="1" si="425"/>
        <v>0</v>
      </c>
      <c r="G3465" s="10">
        <f t="shared" ca="1" si="426"/>
        <v>0</v>
      </c>
      <c r="H3465" s="12">
        <f t="shared" ca="1" si="427"/>
        <v>0</v>
      </c>
      <c r="I3465" s="11">
        <f t="shared" ca="1" si="428"/>
        <v>0</v>
      </c>
      <c r="J3465" s="11">
        <f t="shared" ca="1" si="429"/>
        <v>-1</v>
      </c>
      <c r="K3465" s="10">
        <f t="shared" ca="1" si="417"/>
        <v>131.24001000000001</v>
      </c>
      <c r="L3465" s="11">
        <f t="shared" ca="1" si="418"/>
        <v>-49.09</v>
      </c>
      <c r="M3465" s="11">
        <f t="shared" ca="1" si="419"/>
        <v>2.6734599999999999</v>
      </c>
      <c r="N3465" s="15">
        <f t="shared" ca="1" si="420"/>
        <v>10</v>
      </c>
      <c r="O3465" s="15">
        <f t="shared" ca="1" si="421"/>
        <v>27</v>
      </c>
      <c r="P3465" s="16">
        <f t="shared" ca="1" si="422"/>
        <v>-13.029899999999998</v>
      </c>
      <c r="Q3465" s="11" t="str">
        <f t="shared" ca="1" si="408"/>
        <v/>
      </c>
      <c r="R3465" s="11" t="str">
        <f t="shared" ca="1" si="409"/>
        <v/>
      </c>
      <c r="S3465" s="61" t="str">
        <f t="shared" ca="1" si="410"/>
        <v/>
      </c>
      <c r="T3465" s="11" t="str">
        <f t="shared" ca="1" si="411"/>
        <v/>
      </c>
      <c r="U3465" s="11" t="str">
        <f t="shared" ca="1" si="412"/>
        <v/>
      </c>
      <c r="V3465" s="18" t="str">
        <f t="shared" ca="1" si="413"/>
        <v/>
      </c>
      <c r="W3465" s="61" t="str">
        <f t="shared" ca="1" si="414"/>
        <v/>
      </c>
      <c r="X3465" s="61">
        <f t="shared" ca="1" si="415"/>
        <v>0</v>
      </c>
      <c r="Y3465" s="64" t="str">
        <f t="shared" ca="1" si="416"/>
        <v/>
      </c>
    </row>
    <row r="3466" spans="1:25">
      <c r="A3466" s="2">
        <f>+Get_Data!A3465</f>
        <v>0</v>
      </c>
      <c r="B3466">
        <f>+ROUND(Get_Data!B3465,5)</f>
        <v>0</v>
      </c>
      <c r="C3466">
        <f>+ROUND(Get_Data!C3465,5)</f>
        <v>0</v>
      </c>
      <c r="D3466" s="4" t="str">
        <f t="shared" si="423"/>
        <v/>
      </c>
      <c r="E3466" s="22">
        <f t="shared" ca="1" si="424"/>
        <v>0</v>
      </c>
      <c r="F3466" s="23">
        <f t="shared" ca="1" si="425"/>
        <v>0</v>
      </c>
      <c r="G3466" s="10">
        <f t="shared" ca="1" si="426"/>
        <v>0</v>
      </c>
      <c r="H3466" s="12">
        <f t="shared" ca="1" si="427"/>
        <v>0</v>
      </c>
      <c r="I3466" s="11">
        <f t="shared" ca="1" si="428"/>
        <v>0</v>
      </c>
      <c r="J3466" s="11">
        <f t="shared" ca="1" si="429"/>
        <v>-1</v>
      </c>
      <c r="K3466" s="10">
        <f t="shared" ca="1" si="417"/>
        <v>131.24001000000001</v>
      </c>
      <c r="L3466" s="11">
        <f t="shared" ca="1" si="418"/>
        <v>-49.09</v>
      </c>
      <c r="M3466" s="11">
        <f t="shared" ca="1" si="419"/>
        <v>2.6734599999999999</v>
      </c>
      <c r="N3466" s="15">
        <f t="shared" ca="1" si="420"/>
        <v>10</v>
      </c>
      <c r="O3466" s="15">
        <f t="shared" ca="1" si="421"/>
        <v>27</v>
      </c>
      <c r="P3466" s="16">
        <f t="shared" ca="1" si="422"/>
        <v>-13.029899999999998</v>
      </c>
      <c r="Q3466" s="11" t="str">
        <f t="shared" ca="1" si="408"/>
        <v/>
      </c>
      <c r="R3466" s="11" t="str">
        <f t="shared" ca="1" si="409"/>
        <v/>
      </c>
      <c r="S3466" s="61" t="str">
        <f t="shared" ca="1" si="410"/>
        <v/>
      </c>
      <c r="T3466" s="11" t="str">
        <f t="shared" ca="1" si="411"/>
        <v/>
      </c>
      <c r="U3466" s="11" t="str">
        <f t="shared" ca="1" si="412"/>
        <v/>
      </c>
      <c r="V3466" s="18" t="str">
        <f t="shared" ca="1" si="413"/>
        <v/>
      </c>
      <c r="W3466" s="61" t="str">
        <f t="shared" ca="1" si="414"/>
        <v/>
      </c>
      <c r="X3466" s="61">
        <f t="shared" ca="1" si="415"/>
        <v>0</v>
      </c>
      <c r="Y3466" s="64" t="str">
        <f t="shared" ca="1" si="416"/>
        <v/>
      </c>
    </row>
    <row r="3467" spans="1:25">
      <c r="A3467" s="2">
        <f>+Get_Data!A3466</f>
        <v>0</v>
      </c>
      <c r="B3467">
        <f>+ROUND(Get_Data!B3466,5)</f>
        <v>0</v>
      </c>
      <c r="C3467">
        <f>+ROUND(Get_Data!C3466,5)</f>
        <v>0</v>
      </c>
      <c r="D3467" s="4" t="str">
        <f t="shared" si="423"/>
        <v/>
      </c>
      <c r="E3467" s="22">
        <f t="shared" ca="1" si="424"/>
        <v>0</v>
      </c>
      <c r="F3467" s="23">
        <f t="shared" ca="1" si="425"/>
        <v>0</v>
      </c>
      <c r="G3467" s="10">
        <f t="shared" ca="1" si="426"/>
        <v>0</v>
      </c>
      <c r="H3467" s="12">
        <f t="shared" ca="1" si="427"/>
        <v>0</v>
      </c>
      <c r="I3467" s="11">
        <f t="shared" ca="1" si="428"/>
        <v>0</v>
      </c>
      <c r="J3467" s="11">
        <f t="shared" ca="1" si="429"/>
        <v>-1</v>
      </c>
      <c r="K3467" s="10">
        <f t="shared" ca="1" si="417"/>
        <v>131.24001000000001</v>
      </c>
      <c r="L3467" s="11">
        <f t="shared" ca="1" si="418"/>
        <v>-49.09</v>
      </c>
      <c r="M3467" s="11">
        <f t="shared" ca="1" si="419"/>
        <v>2.6734599999999999</v>
      </c>
      <c r="N3467" s="15">
        <f t="shared" ca="1" si="420"/>
        <v>10</v>
      </c>
      <c r="O3467" s="15">
        <f t="shared" ca="1" si="421"/>
        <v>27</v>
      </c>
      <c r="P3467" s="16">
        <f t="shared" ca="1" si="422"/>
        <v>-13.029899999999998</v>
      </c>
      <c r="Q3467" s="11" t="str">
        <f t="shared" ca="1" si="408"/>
        <v/>
      </c>
      <c r="R3467" s="11" t="str">
        <f t="shared" ca="1" si="409"/>
        <v/>
      </c>
      <c r="S3467" s="61" t="str">
        <f t="shared" ca="1" si="410"/>
        <v/>
      </c>
      <c r="T3467" s="11" t="str">
        <f t="shared" ca="1" si="411"/>
        <v/>
      </c>
      <c r="U3467" s="11" t="str">
        <f t="shared" ca="1" si="412"/>
        <v/>
      </c>
      <c r="V3467" s="18" t="str">
        <f t="shared" ca="1" si="413"/>
        <v/>
      </c>
      <c r="W3467" s="61" t="str">
        <f t="shared" ca="1" si="414"/>
        <v/>
      </c>
      <c r="X3467" s="61">
        <f t="shared" ca="1" si="415"/>
        <v>0</v>
      </c>
      <c r="Y3467" s="64" t="str">
        <f t="shared" ca="1" si="416"/>
        <v/>
      </c>
    </row>
    <row r="3468" spans="1:25">
      <c r="A3468" s="2">
        <f>+Get_Data!A3467</f>
        <v>0</v>
      </c>
      <c r="B3468">
        <f>+ROUND(Get_Data!B3467,5)</f>
        <v>0</v>
      </c>
      <c r="C3468">
        <f>+ROUND(Get_Data!C3467,5)</f>
        <v>0</v>
      </c>
      <c r="D3468" s="4" t="str">
        <f t="shared" si="423"/>
        <v/>
      </c>
      <c r="E3468" s="22">
        <f t="shared" ca="1" si="424"/>
        <v>0</v>
      </c>
      <c r="F3468" s="23">
        <f t="shared" ca="1" si="425"/>
        <v>0</v>
      </c>
      <c r="G3468" s="10">
        <f t="shared" ca="1" si="426"/>
        <v>0</v>
      </c>
      <c r="H3468" s="12">
        <f t="shared" ca="1" si="427"/>
        <v>0</v>
      </c>
      <c r="I3468" s="11">
        <f t="shared" ca="1" si="428"/>
        <v>0</v>
      </c>
      <c r="J3468" s="11">
        <f t="shared" ca="1" si="429"/>
        <v>-1</v>
      </c>
      <c r="K3468" s="10">
        <f t="shared" ca="1" si="417"/>
        <v>131.24001000000001</v>
      </c>
      <c r="L3468" s="11">
        <f t="shared" ca="1" si="418"/>
        <v>-49.09</v>
      </c>
      <c r="M3468" s="11">
        <f t="shared" ca="1" si="419"/>
        <v>2.6734599999999999</v>
      </c>
      <c r="N3468" s="15">
        <f t="shared" ca="1" si="420"/>
        <v>10</v>
      </c>
      <c r="O3468" s="15">
        <f t="shared" ca="1" si="421"/>
        <v>27</v>
      </c>
      <c r="P3468" s="16">
        <f t="shared" ca="1" si="422"/>
        <v>-13.029899999999998</v>
      </c>
      <c r="Q3468" s="11" t="str">
        <f t="shared" ca="1" si="408"/>
        <v/>
      </c>
      <c r="R3468" s="11" t="str">
        <f t="shared" ca="1" si="409"/>
        <v/>
      </c>
      <c r="S3468" s="61" t="str">
        <f t="shared" ca="1" si="410"/>
        <v/>
      </c>
      <c r="T3468" s="11" t="str">
        <f t="shared" ca="1" si="411"/>
        <v/>
      </c>
      <c r="U3468" s="11" t="str">
        <f t="shared" ca="1" si="412"/>
        <v/>
      </c>
      <c r="V3468" s="18" t="str">
        <f t="shared" ca="1" si="413"/>
        <v/>
      </c>
      <c r="W3468" s="61" t="str">
        <f t="shared" ca="1" si="414"/>
        <v/>
      </c>
      <c r="X3468" s="61">
        <f t="shared" ca="1" si="415"/>
        <v>0</v>
      </c>
      <c r="Y3468" s="64" t="str">
        <f t="shared" ca="1" si="416"/>
        <v/>
      </c>
    </row>
    <row r="3469" spans="1:25">
      <c r="A3469" s="2">
        <f>+Get_Data!A3468</f>
        <v>0</v>
      </c>
      <c r="B3469">
        <f>+ROUND(Get_Data!B3468,5)</f>
        <v>0</v>
      </c>
      <c r="C3469">
        <f>+ROUND(Get_Data!C3468,5)</f>
        <v>0</v>
      </c>
      <c r="D3469" s="4" t="str">
        <f t="shared" si="423"/>
        <v/>
      </c>
      <c r="E3469" s="22">
        <f t="shared" ca="1" si="424"/>
        <v>0</v>
      </c>
      <c r="F3469" s="23">
        <f t="shared" ca="1" si="425"/>
        <v>0</v>
      </c>
      <c r="G3469" s="10">
        <f t="shared" ca="1" si="426"/>
        <v>0</v>
      </c>
      <c r="H3469" s="12">
        <f t="shared" ca="1" si="427"/>
        <v>0</v>
      </c>
      <c r="I3469" s="11">
        <f t="shared" ca="1" si="428"/>
        <v>0</v>
      </c>
      <c r="J3469" s="11">
        <f t="shared" ca="1" si="429"/>
        <v>-1</v>
      </c>
      <c r="K3469" s="10">
        <f t="shared" ca="1" si="417"/>
        <v>131.24001000000001</v>
      </c>
      <c r="L3469" s="11">
        <f t="shared" ca="1" si="418"/>
        <v>-49.09</v>
      </c>
      <c r="M3469" s="11">
        <f t="shared" ca="1" si="419"/>
        <v>2.6734599999999999</v>
      </c>
      <c r="N3469" s="15">
        <f t="shared" ca="1" si="420"/>
        <v>10</v>
      </c>
      <c r="O3469" s="15">
        <f t="shared" ca="1" si="421"/>
        <v>27</v>
      </c>
      <c r="P3469" s="16">
        <f t="shared" ca="1" si="422"/>
        <v>-13.029899999999998</v>
      </c>
      <c r="Q3469" s="11" t="str">
        <f t="shared" ca="1" si="408"/>
        <v/>
      </c>
      <c r="R3469" s="11" t="str">
        <f t="shared" ca="1" si="409"/>
        <v/>
      </c>
      <c r="S3469" s="61" t="str">
        <f t="shared" ca="1" si="410"/>
        <v/>
      </c>
      <c r="T3469" s="11" t="str">
        <f t="shared" ca="1" si="411"/>
        <v/>
      </c>
      <c r="U3469" s="11" t="str">
        <f t="shared" ca="1" si="412"/>
        <v/>
      </c>
      <c r="V3469" s="18" t="str">
        <f t="shared" ca="1" si="413"/>
        <v/>
      </c>
      <c r="W3469" s="61" t="str">
        <f t="shared" ca="1" si="414"/>
        <v/>
      </c>
      <c r="X3469" s="61">
        <f t="shared" ca="1" si="415"/>
        <v>0</v>
      </c>
      <c r="Y3469" s="64" t="str">
        <f t="shared" ca="1" si="416"/>
        <v/>
      </c>
    </row>
    <row r="3470" spans="1:25">
      <c r="A3470" s="2">
        <f>+Get_Data!A3469</f>
        <v>0</v>
      </c>
      <c r="B3470">
        <f>+ROUND(Get_Data!B3469,5)</f>
        <v>0</v>
      </c>
      <c r="C3470">
        <f>+ROUND(Get_Data!C3469,5)</f>
        <v>0</v>
      </c>
      <c r="D3470" s="4" t="str">
        <f t="shared" si="423"/>
        <v/>
      </c>
      <c r="E3470" s="22">
        <f t="shared" ca="1" si="424"/>
        <v>0</v>
      </c>
      <c r="F3470" s="23">
        <f t="shared" ca="1" si="425"/>
        <v>0</v>
      </c>
      <c r="G3470" s="10">
        <f t="shared" ca="1" si="426"/>
        <v>0</v>
      </c>
      <c r="H3470" s="12">
        <f t="shared" ca="1" si="427"/>
        <v>0</v>
      </c>
      <c r="I3470" s="11">
        <f t="shared" ca="1" si="428"/>
        <v>0</v>
      </c>
      <c r="J3470" s="11">
        <f t="shared" ca="1" si="429"/>
        <v>-1</v>
      </c>
      <c r="K3470" s="10">
        <f t="shared" ca="1" si="417"/>
        <v>131.24001000000001</v>
      </c>
      <c r="L3470" s="11">
        <f t="shared" ca="1" si="418"/>
        <v>-49.09</v>
      </c>
      <c r="M3470" s="11">
        <f t="shared" ca="1" si="419"/>
        <v>2.6734599999999999</v>
      </c>
      <c r="N3470" s="15">
        <f t="shared" ca="1" si="420"/>
        <v>10</v>
      </c>
      <c r="O3470" s="15">
        <f t="shared" ca="1" si="421"/>
        <v>27</v>
      </c>
      <c r="P3470" s="16">
        <f t="shared" ca="1" si="422"/>
        <v>-13.029899999999998</v>
      </c>
      <c r="Q3470" s="11" t="str">
        <f t="shared" ca="1" si="408"/>
        <v/>
      </c>
      <c r="R3470" s="11" t="str">
        <f t="shared" ca="1" si="409"/>
        <v/>
      </c>
      <c r="S3470" s="61" t="str">
        <f t="shared" ca="1" si="410"/>
        <v/>
      </c>
      <c r="T3470" s="11" t="str">
        <f t="shared" ca="1" si="411"/>
        <v/>
      </c>
      <c r="U3470" s="11" t="str">
        <f t="shared" ca="1" si="412"/>
        <v/>
      </c>
      <c r="V3470" s="18" t="str">
        <f t="shared" ca="1" si="413"/>
        <v/>
      </c>
      <c r="W3470" s="61" t="str">
        <f t="shared" ca="1" si="414"/>
        <v/>
      </c>
      <c r="X3470" s="61">
        <f t="shared" ca="1" si="415"/>
        <v>0</v>
      </c>
      <c r="Y3470" s="64" t="str">
        <f t="shared" ca="1" si="416"/>
        <v/>
      </c>
    </row>
    <row r="3471" spans="1:25">
      <c r="A3471" s="2">
        <f>+Get_Data!A3470</f>
        <v>0</v>
      </c>
      <c r="B3471">
        <f>+ROUND(Get_Data!B3470,5)</f>
        <v>0</v>
      </c>
      <c r="C3471">
        <f>+ROUND(Get_Data!C3470,5)</f>
        <v>0</v>
      </c>
      <c r="D3471" s="4" t="str">
        <f t="shared" si="423"/>
        <v/>
      </c>
      <c r="E3471" s="22">
        <f t="shared" ca="1" si="424"/>
        <v>0</v>
      </c>
      <c r="F3471" s="23">
        <f t="shared" ca="1" si="425"/>
        <v>0</v>
      </c>
      <c r="G3471" s="10">
        <f t="shared" ca="1" si="426"/>
        <v>0</v>
      </c>
      <c r="H3471" s="12">
        <f t="shared" ca="1" si="427"/>
        <v>0</v>
      </c>
      <c r="I3471" s="11">
        <f t="shared" ca="1" si="428"/>
        <v>0</v>
      </c>
      <c r="J3471" s="11">
        <f t="shared" ca="1" si="429"/>
        <v>-1</v>
      </c>
      <c r="K3471" s="10">
        <f t="shared" ca="1" si="417"/>
        <v>131.24001000000001</v>
      </c>
      <c r="L3471" s="11">
        <f t="shared" ca="1" si="418"/>
        <v>-49.09</v>
      </c>
      <c r="M3471" s="11">
        <f t="shared" ca="1" si="419"/>
        <v>2.6734599999999999</v>
      </c>
      <c r="N3471" s="15">
        <f t="shared" ca="1" si="420"/>
        <v>10</v>
      </c>
      <c r="O3471" s="15">
        <f t="shared" ca="1" si="421"/>
        <v>27</v>
      </c>
      <c r="P3471" s="16">
        <f t="shared" ca="1" si="422"/>
        <v>-13.029899999999998</v>
      </c>
      <c r="Q3471" s="11" t="str">
        <f t="shared" ca="1" si="408"/>
        <v/>
      </c>
      <c r="R3471" s="11" t="str">
        <f t="shared" ca="1" si="409"/>
        <v/>
      </c>
      <c r="S3471" s="61" t="str">
        <f t="shared" ca="1" si="410"/>
        <v/>
      </c>
      <c r="T3471" s="11" t="str">
        <f t="shared" ca="1" si="411"/>
        <v/>
      </c>
      <c r="U3471" s="11" t="str">
        <f t="shared" ca="1" si="412"/>
        <v/>
      </c>
      <c r="V3471" s="18" t="str">
        <f t="shared" ca="1" si="413"/>
        <v/>
      </c>
      <c r="W3471" s="61" t="str">
        <f t="shared" ca="1" si="414"/>
        <v/>
      </c>
      <c r="X3471" s="61">
        <f t="shared" ca="1" si="415"/>
        <v>0</v>
      </c>
      <c r="Y3471" s="64" t="str">
        <f t="shared" ca="1" si="416"/>
        <v/>
      </c>
    </row>
    <row r="3472" spans="1:25">
      <c r="A3472" s="2">
        <f>+Get_Data!A3471</f>
        <v>0</v>
      </c>
      <c r="B3472">
        <f>+ROUND(Get_Data!B3471,5)</f>
        <v>0</v>
      </c>
      <c r="C3472">
        <f>+ROUND(Get_Data!C3471,5)</f>
        <v>0</v>
      </c>
      <c r="D3472" s="4" t="str">
        <f t="shared" si="423"/>
        <v/>
      </c>
      <c r="E3472" s="22">
        <f t="shared" ca="1" si="424"/>
        <v>0</v>
      </c>
      <c r="F3472" s="23">
        <f t="shared" ca="1" si="425"/>
        <v>0</v>
      </c>
      <c r="G3472" s="10">
        <f t="shared" ca="1" si="426"/>
        <v>0</v>
      </c>
      <c r="H3472" s="12">
        <f t="shared" ca="1" si="427"/>
        <v>0</v>
      </c>
      <c r="I3472" s="11">
        <f t="shared" ca="1" si="428"/>
        <v>0</v>
      </c>
      <c r="J3472" s="11">
        <f t="shared" ca="1" si="429"/>
        <v>-1</v>
      </c>
      <c r="K3472" s="10">
        <f t="shared" ca="1" si="417"/>
        <v>131.24001000000001</v>
      </c>
      <c r="L3472" s="11">
        <f t="shared" ca="1" si="418"/>
        <v>-49.09</v>
      </c>
      <c r="M3472" s="11">
        <f t="shared" ca="1" si="419"/>
        <v>2.6734599999999999</v>
      </c>
      <c r="N3472" s="15">
        <f t="shared" ca="1" si="420"/>
        <v>10</v>
      </c>
      <c r="O3472" s="15">
        <f t="shared" ca="1" si="421"/>
        <v>27</v>
      </c>
      <c r="P3472" s="16">
        <f t="shared" ca="1" si="422"/>
        <v>-13.029899999999998</v>
      </c>
      <c r="Q3472" s="11" t="str">
        <f t="shared" ca="1" si="408"/>
        <v/>
      </c>
      <c r="R3472" s="11" t="str">
        <f t="shared" ca="1" si="409"/>
        <v/>
      </c>
      <c r="S3472" s="61" t="str">
        <f t="shared" ca="1" si="410"/>
        <v/>
      </c>
      <c r="T3472" s="11" t="str">
        <f t="shared" ca="1" si="411"/>
        <v/>
      </c>
      <c r="U3472" s="11" t="str">
        <f t="shared" ca="1" si="412"/>
        <v/>
      </c>
      <c r="V3472" s="18" t="str">
        <f t="shared" ca="1" si="413"/>
        <v/>
      </c>
      <c r="W3472" s="61" t="str">
        <f t="shared" ca="1" si="414"/>
        <v/>
      </c>
      <c r="X3472" s="61">
        <f t="shared" ca="1" si="415"/>
        <v>0</v>
      </c>
      <c r="Y3472" s="64" t="str">
        <f t="shared" ca="1" si="416"/>
        <v/>
      </c>
    </row>
    <row r="3473" spans="1:25">
      <c r="A3473" s="2">
        <f>+Get_Data!A3472</f>
        <v>0</v>
      </c>
      <c r="B3473">
        <f>+ROUND(Get_Data!B3472,5)</f>
        <v>0</v>
      </c>
      <c r="C3473">
        <f>+ROUND(Get_Data!C3472,5)</f>
        <v>0</v>
      </c>
      <c r="D3473" s="4" t="str">
        <f t="shared" si="423"/>
        <v/>
      </c>
      <c r="E3473" s="22">
        <f t="shared" ca="1" si="424"/>
        <v>0</v>
      </c>
      <c r="F3473" s="23">
        <f t="shared" ca="1" si="425"/>
        <v>0</v>
      </c>
      <c r="G3473" s="10">
        <f t="shared" ca="1" si="426"/>
        <v>0</v>
      </c>
      <c r="H3473" s="12">
        <f t="shared" ca="1" si="427"/>
        <v>0</v>
      </c>
      <c r="I3473" s="11">
        <f t="shared" ca="1" si="428"/>
        <v>0</v>
      </c>
      <c r="J3473" s="11">
        <f t="shared" ca="1" si="429"/>
        <v>-1</v>
      </c>
      <c r="K3473" s="10">
        <f t="shared" ca="1" si="417"/>
        <v>131.24001000000001</v>
      </c>
      <c r="L3473" s="11">
        <f t="shared" ca="1" si="418"/>
        <v>-49.09</v>
      </c>
      <c r="M3473" s="11">
        <f t="shared" ca="1" si="419"/>
        <v>2.6734599999999999</v>
      </c>
      <c r="N3473" s="15">
        <f t="shared" ca="1" si="420"/>
        <v>10</v>
      </c>
      <c r="O3473" s="15">
        <f t="shared" ca="1" si="421"/>
        <v>27</v>
      </c>
      <c r="P3473" s="16">
        <f t="shared" ca="1" si="422"/>
        <v>-13.029899999999998</v>
      </c>
      <c r="Q3473" s="11" t="str">
        <f t="shared" ca="1" si="408"/>
        <v/>
      </c>
      <c r="R3473" s="11" t="str">
        <f t="shared" ca="1" si="409"/>
        <v/>
      </c>
      <c r="S3473" s="61" t="str">
        <f t="shared" ca="1" si="410"/>
        <v/>
      </c>
      <c r="T3473" s="11" t="str">
        <f t="shared" ca="1" si="411"/>
        <v/>
      </c>
      <c r="U3473" s="11" t="str">
        <f t="shared" ca="1" si="412"/>
        <v/>
      </c>
      <c r="V3473" s="18" t="str">
        <f t="shared" ca="1" si="413"/>
        <v/>
      </c>
      <c r="W3473" s="61" t="str">
        <f t="shared" ca="1" si="414"/>
        <v/>
      </c>
      <c r="X3473" s="61">
        <f t="shared" ca="1" si="415"/>
        <v>0</v>
      </c>
      <c r="Y3473" s="64" t="str">
        <f t="shared" ca="1" si="416"/>
        <v/>
      </c>
    </row>
    <row r="3474" spans="1:25">
      <c r="A3474" s="2">
        <f>+Get_Data!A3473</f>
        <v>0</v>
      </c>
      <c r="B3474">
        <f>+ROUND(Get_Data!B3473,5)</f>
        <v>0</v>
      </c>
      <c r="C3474">
        <f>+ROUND(Get_Data!C3473,5)</f>
        <v>0</v>
      </c>
      <c r="D3474" s="4" t="str">
        <f t="shared" si="423"/>
        <v/>
      </c>
      <c r="E3474" s="22">
        <f t="shared" ca="1" si="424"/>
        <v>0</v>
      </c>
      <c r="F3474" s="23">
        <f t="shared" ca="1" si="425"/>
        <v>0</v>
      </c>
      <c r="G3474" s="10">
        <f t="shared" ca="1" si="426"/>
        <v>0</v>
      </c>
      <c r="H3474" s="12">
        <f t="shared" ca="1" si="427"/>
        <v>0</v>
      </c>
      <c r="I3474" s="11">
        <f t="shared" ca="1" si="428"/>
        <v>0</v>
      </c>
      <c r="J3474" s="11">
        <f t="shared" ca="1" si="429"/>
        <v>-1</v>
      </c>
      <c r="K3474" s="10">
        <f t="shared" ca="1" si="417"/>
        <v>131.24001000000001</v>
      </c>
      <c r="L3474" s="11">
        <f t="shared" ca="1" si="418"/>
        <v>-49.09</v>
      </c>
      <c r="M3474" s="11">
        <f t="shared" ca="1" si="419"/>
        <v>2.6734599999999999</v>
      </c>
      <c r="N3474" s="15">
        <f t="shared" ca="1" si="420"/>
        <v>10</v>
      </c>
      <c r="O3474" s="15">
        <f t="shared" ca="1" si="421"/>
        <v>27</v>
      </c>
      <c r="P3474" s="16">
        <f t="shared" ca="1" si="422"/>
        <v>-13.029899999999998</v>
      </c>
      <c r="Q3474" s="11" t="str">
        <f t="shared" ca="1" si="408"/>
        <v/>
      </c>
      <c r="R3474" s="11" t="str">
        <f t="shared" ca="1" si="409"/>
        <v/>
      </c>
      <c r="S3474" s="61" t="str">
        <f t="shared" ca="1" si="410"/>
        <v/>
      </c>
      <c r="T3474" s="11" t="str">
        <f t="shared" ca="1" si="411"/>
        <v/>
      </c>
      <c r="U3474" s="11" t="str">
        <f t="shared" ca="1" si="412"/>
        <v/>
      </c>
      <c r="V3474" s="18" t="str">
        <f t="shared" ca="1" si="413"/>
        <v/>
      </c>
      <c r="W3474" s="61" t="str">
        <f t="shared" ca="1" si="414"/>
        <v/>
      </c>
      <c r="X3474" s="61">
        <f t="shared" ca="1" si="415"/>
        <v>0</v>
      </c>
      <c r="Y3474" s="64" t="str">
        <f t="shared" ca="1" si="416"/>
        <v/>
      </c>
    </row>
    <row r="3475" spans="1:25">
      <c r="A3475" s="2">
        <f>+Get_Data!A3474</f>
        <v>0</v>
      </c>
      <c r="B3475">
        <f>+ROUND(Get_Data!B3474,5)</f>
        <v>0</v>
      </c>
      <c r="C3475">
        <f>+ROUND(Get_Data!C3474,5)</f>
        <v>0</v>
      </c>
      <c r="D3475" s="4" t="str">
        <f t="shared" si="423"/>
        <v/>
      </c>
      <c r="E3475" s="22">
        <f t="shared" ca="1" si="424"/>
        <v>0</v>
      </c>
      <c r="F3475" s="23">
        <f t="shared" ca="1" si="425"/>
        <v>0</v>
      </c>
      <c r="G3475" s="10">
        <f t="shared" ca="1" si="426"/>
        <v>0</v>
      </c>
      <c r="H3475" s="12">
        <f t="shared" ca="1" si="427"/>
        <v>0</v>
      </c>
      <c r="I3475" s="11">
        <f t="shared" ca="1" si="428"/>
        <v>0</v>
      </c>
      <c r="J3475" s="11">
        <f t="shared" ca="1" si="429"/>
        <v>-1</v>
      </c>
      <c r="K3475" s="10">
        <f t="shared" ca="1" si="417"/>
        <v>131.24001000000001</v>
      </c>
      <c r="L3475" s="11">
        <f t="shared" ca="1" si="418"/>
        <v>-49.09</v>
      </c>
      <c r="M3475" s="11">
        <f t="shared" ca="1" si="419"/>
        <v>2.6734599999999999</v>
      </c>
      <c r="N3475" s="15">
        <f t="shared" ca="1" si="420"/>
        <v>10</v>
      </c>
      <c r="O3475" s="15">
        <f t="shared" ca="1" si="421"/>
        <v>27</v>
      </c>
      <c r="P3475" s="16">
        <f t="shared" ca="1" si="422"/>
        <v>-13.029899999999998</v>
      </c>
      <c r="Q3475" s="11" t="str">
        <f t="shared" ref="Q3475:Q3538" ca="1" si="430">+IF(ISNUMBER(T3475),B3475,"")</f>
        <v/>
      </c>
      <c r="R3475" s="11" t="str">
        <f t="shared" ref="R3475:R3538" ca="1" si="431">+IF(ISNUMBER(U3475),C3475,"")</f>
        <v/>
      </c>
      <c r="S3475" s="61" t="str">
        <f t="shared" ref="S3475:S3538" ca="1" si="432">+IF(ISNUMBER(T3475),D3475,"")</f>
        <v/>
      </c>
      <c r="T3475" s="11" t="str">
        <f t="shared" ref="T3475:T3538" ca="1" si="433">+IF(AND(ISNUMBER(N3474),NOT(ISNUMBER(N3475))),N3474,"")</f>
        <v/>
      </c>
      <c r="U3475" s="11" t="str">
        <f t="shared" ref="U3475:U3538" ca="1" si="434">+IF(AND(ISNUMBER(O3474),NOT(ISNUMBER(O3475))),O3474,"")</f>
        <v/>
      </c>
      <c r="V3475" s="18" t="str">
        <f t="shared" ref="V3475:V3538" ca="1" si="435">+IFERROR(T3475*(K3474-Q3475),"")</f>
        <v/>
      </c>
      <c r="W3475" s="61" t="str">
        <f t="shared" ref="W3475:W3538" ca="1" si="436">+IFERROR(U3475*(L3474+R3475),"")</f>
        <v/>
      </c>
      <c r="X3475" s="61">
        <f t="shared" ref="X3475:X3538" ca="1" si="437">+IFERROR(SUM(V3475:W3475),"")</f>
        <v>0</v>
      </c>
      <c r="Y3475" s="64" t="str">
        <f t="shared" ref="Y3475:Y3538" ca="1" si="438">IFERROR(+X3475/ABS(R3475*U3475),"")</f>
        <v/>
      </c>
    </row>
    <row r="3476" spans="1:25">
      <c r="A3476" s="2">
        <f>+Get_Data!A3475</f>
        <v>0</v>
      </c>
      <c r="B3476">
        <f>+ROUND(Get_Data!B3475,5)</f>
        <v>0</v>
      </c>
      <c r="C3476">
        <f>+ROUND(Get_Data!C3475,5)</f>
        <v>0</v>
      </c>
      <c r="D3476" s="4" t="str">
        <f t="shared" si="423"/>
        <v/>
      </c>
      <c r="E3476" s="22">
        <f t="shared" ca="1" si="424"/>
        <v>0</v>
      </c>
      <c r="F3476" s="23">
        <f t="shared" ca="1" si="425"/>
        <v>0</v>
      </c>
      <c r="G3476" s="10">
        <f t="shared" ca="1" si="426"/>
        <v>0</v>
      </c>
      <c r="H3476" s="12">
        <f t="shared" ca="1" si="427"/>
        <v>0</v>
      </c>
      <c r="I3476" s="11">
        <f t="shared" ca="1" si="428"/>
        <v>0</v>
      </c>
      <c r="J3476" s="11">
        <f t="shared" ca="1" si="429"/>
        <v>-1</v>
      </c>
      <c r="K3476" s="10">
        <f t="shared" ca="1" si="417"/>
        <v>131.24001000000001</v>
      </c>
      <c r="L3476" s="11">
        <f t="shared" ca="1" si="418"/>
        <v>-49.09</v>
      </c>
      <c r="M3476" s="11">
        <f t="shared" ca="1" si="419"/>
        <v>2.6734599999999999</v>
      </c>
      <c r="N3476" s="15">
        <f t="shared" ca="1" si="420"/>
        <v>10</v>
      </c>
      <c r="O3476" s="15">
        <f t="shared" ca="1" si="421"/>
        <v>27</v>
      </c>
      <c r="P3476" s="16">
        <f t="shared" ca="1" si="422"/>
        <v>-13.029899999999998</v>
      </c>
      <c r="Q3476" s="11" t="str">
        <f t="shared" ca="1" si="430"/>
        <v/>
      </c>
      <c r="R3476" s="11" t="str">
        <f t="shared" ca="1" si="431"/>
        <v/>
      </c>
      <c r="S3476" s="61" t="str">
        <f t="shared" ca="1" si="432"/>
        <v/>
      </c>
      <c r="T3476" s="11" t="str">
        <f t="shared" ca="1" si="433"/>
        <v/>
      </c>
      <c r="U3476" s="11" t="str">
        <f t="shared" ca="1" si="434"/>
        <v/>
      </c>
      <c r="V3476" s="18" t="str">
        <f t="shared" ca="1" si="435"/>
        <v/>
      </c>
      <c r="W3476" s="61" t="str">
        <f t="shared" ca="1" si="436"/>
        <v/>
      </c>
      <c r="X3476" s="61">
        <f t="shared" ca="1" si="437"/>
        <v>0</v>
      </c>
      <c r="Y3476" s="64" t="str">
        <f t="shared" ca="1" si="438"/>
        <v/>
      </c>
    </row>
    <row r="3477" spans="1:25">
      <c r="A3477" s="2">
        <f>+Get_Data!A3476</f>
        <v>0</v>
      </c>
      <c r="B3477">
        <f>+ROUND(Get_Data!B3476,5)</f>
        <v>0</v>
      </c>
      <c r="C3477">
        <f>+ROUND(Get_Data!C3476,5)</f>
        <v>0</v>
      </c>
      <c r="D3477" s="4" t="str">
        <f t="shared" si="423"/>
        <v/>
      </c>
      <c r="E3477" s="22">
        <f t="shared" ca="1" si="424"/>
        <v>0</v>
      </c>
      <c r="F3477" s="23">
        <f t="shared" ca="1" si="425"/>
        <v>0</v>
      </c>
      <c r="G3477" s="10">
        <f t="shared" ca="1" si="426"/>
        <v>0</v>
      </c>
      <c r="H3477" s="12">
        <f t="shared" ca="1" si="427"/>
        <v>0</v>
      </c>
      <c r="I3477" s="11">
        <f t="shared" ca="1" si="428"/>
        <v>0</v>
      </c>
      <c r="J3477" s="11">
        <f t="shared" ca="1" si="429"/>
        <v>-1</v>
      </c>
      <c r="K3477" s="10">
        <f t="shared" ca="1" si="417"/>
        <v>131.24001000000001</v>
      </c>
      <c r="L3477" s="11">
        <f t="shared" ca="1" si="418"/>
        <v>-49.09</v>
      </c>
      <c r="M3477" s="11">
        <f t="shared" ca="1" si="419"/>
        <v>2.6734599999999999</v>
      </c>
      <c r="N3477" s="15">
        <f t="shared" ca="1" si="420"/>
        <v>10</v>
      </c>
      <c r="O3477" s="15">
        <f t="shared" ca="1" si="421"/>
        <v>27</v>
      </c>
      <c r="P3477" s="16">
        <f t="shared" ca="1" si="422"/>
        <v>-13.029899999999998</v>
      </c>
      <c r="Q3477" s="11" t="str">
        <f t="shared" ca="1" si="430"/>
        <v/>
      </c>
      <c r="R3477" s="11" t="str">
        <f t="shared" ca="1" si="431"/>
        <v/>
      </c>
      <c r="S3477" s="61" t="str">
        <f t="shared" ca="1" si="432"/>
        <v/>
      </c>
      <c r="T3477" s="11" t="str">
        <f t="shared" ca="1" si="433"/>
        <v/>
      </c>
      <c r="U3477" s="11" t="str">
        <f t="shared" ca="1" si="434"/>
        <v/>
      </c>
      <c r="V3477" s="18" t="str">
        <f t="shared" ca="1" si="435"/>
        <v/>
      </c>
      <c r="W3477" s="61" t="str">
        <f t="shared" ca="1" si="436"/>
        <v/>
      </c>
      <c r="X3477" s="61">
        <f t="shared" ca="1" si="437"/>
        <v>0</v>
      </c>
      <c r="Y3477" s="64" t="str">
        <f t="shared" ca="1" si="438"/>
        <v/>
      </c>
    </row>
    <row r="3478" spans="1:25">
      <c r="A3478" s="2">
        <f>+Get_Data!A3477</f>
        <v>0</v>
      </c>
      <c r="B3478">
        <f>+ROUND(Get_Data!B3477,5)</f>
        <v>0</v>
      </c>
      <c r="C3478">
        <f>+ROUND(Get_Data!C3477,5)</f>
        <v>0</v>
      </c>
      <c r="D3478" s="4" t="str">
        <f t="shared" si="423"/>
        <v/>
      </c>
      <c r="E3478" s="22">
        <f t="shared" ca="1" si="424"/>
        <v>0</v>
      </c>
      <c r="F3478" s="23">
        <f t="shared" ca="1" si="425"/>
        <v>0</v>
      </c>
      <c r="G3478" s="10">
        <f t="shared" ca="1" si="426"/>
        <v>0</v>
      </c>
      <c r="H3478" s="12">
        <f t="shared" ca="1" si="427"/>
        <v>0</v>
      </c>
      <c r="I3478" s="11">
        <f t="shared" ca="1" si="428"/>
        <v>0</v>
      </c>
      <c r="J3478" s="11">
        <f t="shared" ca="1" si="429"/>
        <v>-1</v>
      </c>
      <c r="K3478" s="10">
        <f t="shared" ca="1" si="417"/>
        <v>131.24001000000001</v>
      </c>
      <c r="L3478" s="11">
        <f t="shared" ca="1" si="418"/>
        <v>-49.09</v>
      </c>
      <c r="M3478" s="11">
        <f t="shared" ca="1" si="419"/>
        <v>2.6734599999999999</v>
      </c>
      <c r="N3478" s="15">
        <f t="shared" ca="1" si="420"/>
        <v>10</v>
      </c>
      <c r="O3478" s="15">
        <f t="shared" ca="1" si="421"/>
        <v>27</v>
      </c>
      <c r="P3478" s="16">
        <f t="shared" ca="1" si="422"/>
        <v>-13.029899999999998</v>
      </c>
      <c r="Q3478" s="11" t="str">
        <f t="shared" ca="1" si="430"/>
        <v/>
      </c>
      <c r="R3478" s="11" t="str">
        <f t="shared" ca="1" si="431"/>
        <v/>
      </c>
      <c r="S3478" s="61" t="str">
        <f t="shared" ca="1" si="432"/>
        <v/>
      </c>
      <c r="T3478" s="11" t="str">
        <f t="shared" ca="1" si="433"/>
        <v/>
      </c>
      <c r="U3478" s="11" t="str">
        <f t="shared" ca="1" si="434"/>
        <v/>
      </c>
      <c r="V3478" s="18" t="str">
        <f t="shared" ca="1" si="435"/>
        <v/>
      </c>
      <c r="W3478" s="61" t="str">
        <f t="shared" ca="1" si="436"/>
        <v/>
      </c>
      <c r="X3478" s="61">
        <f t="shared" ca="1" si="437"/>
        <v>0</v>
      </c>
      <c r="Y3478" s="64" t="str">
        <f t="shared" ca="1" si="438"/>
        <v/>
      </c>
    </row>
    <row r="3479" spans="1:25">
      <c r="A3479" s="2">
        <f>+Get_Data!A3478</f>
        <v>0</v>
      </c>
      <c r="B3479">
        <f>+ROUND(Get_Data!B3478,5)</f>
        <v>0</v>
      </c>
      <c r="C3479">
        <f>+ROUND(Get_Data!C3478,5)</f>
        <v>0</v>
      </c>
      <c r="D3479" s="4" t="str">
        <f t="shared" si="423"/>
        <v/>
      </c>
      <c r="E3479" s="22">
        <f t="shared" ca="1" si="424"/>
        <v>0</v>
      </c>
      <c r="F3479" s="23">
        <f t="shared" ca="1" si="425"/>
        <v>0</v>
      </c>
      <c r="G3479" s="10">
        <f t="shared" ca="1" si="426"/>
        <v>0</v>
      </c>
      <c r="H3479" s="12">
        <f t="shared" ca="1" si="427"/>
        <v>0</v>
      </c>
      <c r="I3479" s="11">
        <f t="shared" ca="1" si="428"/>
        <v>0</v>
      </c>
      <c r="J3479" s="11">
        <f t="shared" ca="1" si="429"/>
        <v>-1</v>
      </c>
      <c r="K3479" s="10">
        <f t="shared" ca="1" si="417"/>
        <v>131.24001000000001</v>
      </c>
      <c r="L3479" s="11">
        <f t="shared" ca="1" si="418"/>
        <v>-49.09</v>
      </c>
      <c r="M3479" s="11">
        <f t="shared" ca="1" si="419"/>
        <v>2.6734599999999999</v>
      </c>
      <c r="N3479" s="15">
        <f t="shared" ca="1" si="420"/>
        <v>10</v>
      </c>
      <c r="O3479" s="15">
        <f t="shared" ca="1" si="421"/>
        <v>27</v>
      </c>
      <c r="P3479" s="16">
        <f t="shared" ca="1" si="422"/>
        <v>-13.029899999999998</v>
      </c>
      <c r="Q3479" s="11" t="str">
        <f t="shared" ca="1" si="430"/>
        <v/>
      </c>
      <c r="R3479" s="11" t="str">
        <f t="shared" ca="1" si="431"/>
        <v/>
      </c>
      <c r="S3479" s="61" t="str">
        <f t="shared" ca="1" si="432"/>
        <v/>
      </c>
      <c r="T3479" s="11" t="str">
        <f t="shared" ca="1" si="433"/>
        <v/>
      </c>
      <c r="U3479" s="11" t="str">
        <f t="shared" ca="1" si="434"/>
        <v/>
      </c>
      <c r="V3479" s="18" t="str">
        <f t="shared" ca="1" si="435"/>
        <v/>
      </c>
      <c r="W3479" s="61" t="str">
        <f t="shared" ca="1" si="436"/>
        <v/>
      </c>
      <c r="X3479" s="61">
        <f t="shared" ca="1" si="437"/>
        <v>0</v>
      </c>
      <c r="Y3479" s="64" t="str">
        <f t="shared" ca="1" si="438"/>
        <v/>
      </c>
    </row>
    <row r="3480" spans="1:25">
      <c r="A3480" s="2">
        <f>+Get_Data!A3479</f>
        <v>0</v>
      </c>
      <c r="B3480">
        <f>+ROUND(Get_Data!B3479,5)</f>
        <v>0</v>
      </c>
      <c r="C3480">
        <f>+ROUND(Get_Data!C3479,5)</f>
        <v>0</v>
      </c>
      <c r="D3480" s="4" t="str">
        <f t="shared" si="423"/>
        <v/>
      </c>
      <c r="E3480" s="22">
        <f t="shared" ca="1" si="424"/>
        <v>0</v>
      </c>
      <c r="F3480" s="23">
        <f t="shared" ca="1" si="425"/>
        <v>0</v>
      </c>
      <c r="G3480" s="10">
        <f t="shared" ca="1" si="426"/>
        <v>0</v>
      </c>
      <c r="H3480" s="12">
        <f t="shared" ca="1" si="427"/>
        <v>0</v>
      </c>
      <c r="I3480" s="11">
        <f t="shared" ca="1" si="428"/>
        <v>0</v>
      </c>
      <c r="J3480" s="11">
        <f t="shared" ca="1" si="429"/>
        <v>-1</v>
      </c>
      <c r="K3480" s="10">
        <f t="shared" ca="1" si="417"/>
        <v>131.24001000000001</v>
      </c>
      <c r="L3480" s="11">
        <f t="shared" ca="1" si="418"/>
        <v>-49.09</v>
      </c>
      <c r="M3480" s="11">
        <f t="shared" ca="1" si="419"/>
        <v>2.6734599999999999</v>
      </c>
      <c r="N3480" s="15">
        <f t="shared" ca="1" si="420"/>
        <v>10</v>
      </c>
      <c r="O3480" s="15">
        <f t="shared" ca="1" si="421"/>
        <v>27</v>
      </c>
      <c r="P3480" s="16">
        <f t="shared" ca="1" si="422"/>
        <v>-13.029899999999998</v>
      </c>
      <c r="Q3480" s="11" t="str">
        <f t="shared" ca="1" si="430"/>
        <v/>
      </c>
      <c r="R3480" s="11" t="str">
        <f t="shared" ca="1" si="431"/>
        <v/>
      </c>
      <c r="S3480" s="61" t="str">
        <f t="shared" ca="1" si="432"/>
        <v/>
      </c>
      <c r="T3480" s="11" t="str">
        <f t="shared" ca="1" si="433"/>
        <v/>
      </c>
      <c r="U3480" s="11" t="str">
        <f t="shared" ca="1" si="434"/>
        <v/>
      </c>
      <c r="V3480" s="18" t="str">
        <f t="shared" ca="1" si="435"/>
        <v/>
      </c>
      <c r="W3480" s="61" t="str">
        <f t="shared" ca="1" si="436"/>
        <v/>
      </c>
      <c r="X3480" s="61">
        <f t="shared" ca="1" si="437"/>
        <v>0</v>
      </c>
      <c r="Y3480" s="64" t="str">
        <f t="shared" ca="1" si="438"/>
        <v/>
      </c>
    </row>
    <row r="3481" spans="1:25">
      <c r="A3481" s="2">
        <f>+Get_Data!A3480</f>
        <v>0</v>
      </c>
      <c r="B3481">
        <f>+ROUND(Get_Data!B3480,5)</f>
        <v>0</v>
      </c>
      <c r="C3481">
        <f>+ROUND(Get_Data!C3480,5)</f>
        <v>0</v>
      </c>
      <c r="D3481" s="4" t="str">
        <f t="shared" si="423"/>
        <v/>
      </c>
      <c r="E3481" s="22">
        <f t="shared" ca="1" si="424"/>
        <v>0</v>
      </c>
      <c r="F3481" s="23">
        <f t="shared" ca="1" si="425"/>
        <v>0</v>
      </c>
      <c r="G3481" s="10">
        <f t="shared" ca="1" si="426"/>
        <v>0</v>
      </c>
      <c r="H3481" s="12">
        <f t="shared" ca="1" si="427"/>
        <v>0</v>
      </c>
      <c r="I3481" s="11">
        <f t="shared" ca="1" si="428"/>
        <v>0</v>
      </c>
      <c r="J3481" s="11">
        <f t="shared" ca="1" si="429"/>
        <v>-1</v>
      </c>
      <c r="K3481" s="10">
        <f t="shared" ca="1" si="417"/>
        <v>131.24001000000001</v>
      </c>
      <c r="L3481" s="11">
        <f t="shared" ca="1" si="418"/>
        <v>-49.09</v>
      </c>
      <c r="M3481" s="11">
        <f t="shared" ca="1" si="419"/>
        <v>2.6734599999999999</v>
      </c>
      <c r="N3481" s="15">
        <f t="shared" ca="1" si="420"/>
        <v>10</v>
      </c>
      <c r="O3481" s="15">
        <f t="shared" ca="1" si="421"/>
        <v>27</v>
      </c>
      <c r="P3481" s="16">
        <f t="shared" ca="1" si="422"/>
        <v>-13.029899999999998</v>
      </c>
      <c r="Q3481" s="11" t="str">
        <f t="shared" ca="1" si="430"/>
        <v/>
      </c>
      <c r="R3481" s="11" t="str">
        <f t="shared" ca="1" si="431"/>
        <v/>
      </c>
      <c r="S3481" s="61" t="str">
        <f t="shared" ca="1" si="432"/>
        <v/>
      </c>
      <c r="T3481" s="11" t="str">
        <f t="shared" ca="1" si="433"/>
        <v/>
      </c>
      <c r="U3481" s="11" t="str">
        <f t="shared" ca="1" si="434"/>
        <v/>
      </c>
      <c r="V3481" s="18" t="str">
        <f t="shared" ca="1" si="435"/>
        <v/>
      </c>
      <c r="W3481" s="61" t="str">
        <f t="shared" ca="1" si="436"/>
        <v/>
      </c>
      <c r="X3481" s="61">
        <f t="shared" ca="1" si="437"/>
        <v>0</v>
      </c>
      <c r="Y3481" s="64" t="str">
        <f t="shared" ca="1" si="438"/>
        <v/>
      </c>
    </row>
    <row r="3482" spans="1:25">
      <c r="A3482" s="2">
        <f>+Get_Data!A3481</f>
        <v>0</v>
      </c>
      <c r="B3482">
        <f>+ROUND(Get_Data!B3481,5)</f>
        <v>0</v>
      </c>
      <c r="C3482">
        <f>+ROUND(Get_Data!C3481,5)</f>
        <v>0</v>
      </c>
      <c r="D3482" s="4" t="str">
        <f t="shared" si="423"/>
        <v/>
      </c>
      <c r="E3482" s="22">
        <f t="shared" ca="1" si="424"/>
        <v>0</v>
      </c>
      <c r="F3482" s="23">
        <f t="shared" ca="1" si="425"/>
        <v>0</v>
      </c>
      <c r="G3482" s="10">
        <f t="shared" ca="1" si="426"/>
        <v>0</v>
      </c>
      <c r="H3482" s="12">
        <f t="shared" ca="1" si="427"/>
        <v>0</v>
      </c>
      <c r="I3482" s="11">
        <f t="shared" ca="1" si="428"/>
        <v>0</v>
      </c>
      <c r="J3482" s="11">
        <f t="shared" ca="1" si="429"/>
        <v>-1</v>
      </c>
      <c r="K3482" s="10">
        <f t="shared" ref="K3482:K3545" ca="1" si="439">+IF($J3481=0,"",IF(AND(ABS($J3481)=1,ABS($I3481)=1),-$J3481*B3482,K3481))</f>
        <v>131.24001000000001</v>
      </c>
      <c r="L3482" s="11">
        <f t="shared" ref="L3482:L3545" ca="1" si="440">+IF($J3481=0,"",IF(AND(ABS($J3481)=1,ABS($I3481)=1),$J3481*C3482,L3481))</f>
        <v>-49.09</v>
      </c>
      <c r="M3482" s="11">
        <f t="shared" ref="M3482:M3545" ca="1" si="441">+IF($J3481=0,"",IF(AND(ABS($J3481)=1,ABS($I3481)=1),D3482,M3481))</f>
        <v>2.6734599999999999</v>
      </c>
      <c r="N3482" s="15">
        <f t="shared" ref="N3482:N3545" ca="1" si="442">+IF(ISNUMBER(K3482),stocks,"")</f>
        <v>10</v>
      </c>
      <c r="O3482" s="15">
        <f t="shared" ref="O3482:O3545" ca="1" si="443">+IFERROR(ROUND(N3482*M3482,0),"")</f>
        <v>27</v>
      </c>
      <c r="P3482" s="16">
        <f t="shared" ref="P3482:P3545" ca="1" si="444">IFERROR(+N3482*K3482+O3482*L3482,"")</f>
        <v>-13.029899999999998</v>
      </c>
      <c r="Q3482" s="11" t="str">
        <f t="shared" ca="1" si="430"/>
        <v/>
      </c>
      <c r="R3482" s="11" t="str">
        <f t="shared" ca="1" si="431"/>
        <v/>
      </c>
      <c r="S3482" s="61" t="str">
        <f t="shared" ca="1" si="432"/>
        <v/>
      </c>
      <c r="T3482" s="11" t="str">
        <f t="shared" ca="1" si="433"/>
        <v/>
      </c>
      <c r="U3482" s="11" t="str">
        <f t="shared" ca="1" si="434"/>
        <v/>
      </c>
      <c r="V3482" s="18" t="str">
        <f t="shared" ca="1" si="435"/>
        <v/>
      </c>
      <c r="W3482" s="61" t="str">
        <f t="shared" ca="1" si="436"/>
        <v/>
      </c>
      <c r="X3482" s="61">
        <f t="shared" ca="1" si="437"/>
        <v>0</v>
      </c>
      <c r="Y3482" s="64" t="str">
        <f t="shared" ca="1" si="438"/>
        <v/>
      </c>
    </row>
    <row r="3483" spans="1:25">
      <c r="A3483" s="2">
        <f>+Get_Data!A3482</f>
        <v>0</v>
      </c>
      <c r="B3483">
        <f>+ROUND(Get_Data!B3482,5)</f>
        <v>0</v>
      </c>
      <c r="C3483">
        <f>+ROUND(Get_Data!C3482,5)</f>
        <v>0</v>
      </c>
      <c r="D3483" s="4" t="str">
        <f t="shared" si="423"/>
        <v/>
      </c>
      <c r="E3483" s="22">
        <f t="shared" ca="1" si="424"/>
        <v>0</v>
      </c>
      <c r="F3483" s="23">
        <f t="shared" ca="1" si="425"/>
        <v>0</v>
      </c>
      <c r="G3483" s="10">
        <f t="shared" ca="1" si="426"/>
        <v>0</v>
      </c>
      <c r="H3483" s="12">
        <f t="shared" ca="1" si="427"/>
        <v>0</v>
      </c>
      <c r="I3483" s="11">
        <f t="shared" ca="1" si="428"/>
        <v>0</v>
      </c>
      <c r="J3483" s="11">
        <f t="shared" ca="1" si="429"/>
        <v>-1</v>
      </c>
      <c r="K3483" s="10">
        <f t="shared" ca="1" si="439"/>
        <v>131.24001000000001</v>
      </c>
      <c r="L3483" s="11">
        <f t="shared" ca="1" si="440"/>
        <v>-49.09</v>
      </c>
      <c r="M3483" s="11">
        <f t="shared" ca="1" si="441"/>
        <v>2.6734599999999999</v>
      </c>
      <c r="N3483" s="15">
        <f t="shared" ca="1" si="442"/>
        <v>10</v>
      </c>
      <c r="O3483" s="15">
        <f t="shared" ca="1" si="443"/>
        <v>27</v>
      </c>
      <c r="P3483" s="16">
        <f t="shared" ca="1" si="444"/>
        <v>-13.029899999999998</v>
      </c>
      <c r="Q3483" s="11" t="str">
        <f t="shared" ca="1" si="430"/>
        <v/>
      </c>
      <c r="R3483" s="11" t="str">
        <f t="shared" ca="1" si="431"/>
        <v/>
      </c>
      <c r="S3483" s="61" t="str">
        <f t="shared" ca="1" si="432"/>
        <v/>
      </c>
      <c r="T3483" s="11" t="str">
        <f t="shared" ca="1" si="433"/>
        <v/>
      </c>
      <c r="U3483" s="11" t="str">
        <f t="shared" ca="1" si="434"/>
        <v/>
      </c>
      <c r="V3483" s="18" t="str">
        <f t="shared" ca="1" si="435"/>
        <v/>
      </c>
      <c r="W3483" s="61" t="str">
        <f t="shared" ca="1" si="436"/>
        <v/>
      </c>
      <c r="X3483" s="61">
        <f t="shared" ca="1" si="437"/>
        <v>0</v>
      </c>
      <c r="Y3483" s="64" t="str">
        <f t="shared" ca="1" si="438"/>
        <v/>
      </c>
    </row>
    <row r="3484" spans="1:25">
      <c r="A3484" s="2">
        <f>+Get_Data!A3483</f>
        <v>0</v>
      </c>
      <c r="B3484">
        <f>+ROUND(Get_Data!B3483,5)</f>
        <v>0</v>
      </c>
      <c r="C3484">
        <f>+ROUND(Get_Data!C3483,5)</f>
        <v>0</v>
      </c>
      <c r="D3484" s="4" t="str">
        <f t="shared" si="423"/>
        <v/>
      </c>
      <c r="E3484" s="22">
        <f t="shared" ca="1" si="424"/>
        <v>0</v>
      </c>
      <c r="F3484" s="23">
        <f t="shared" ca="1" si="425"/>
        <v>0</v>
      </c>
      <c r="G3484" s="10">
        <f t="shared" ca="1" si="426"/>
        <v>0</v>
      </c>
      <c r="H3484" s="12">
        <f t="shared" ca="1" si="427"/>
        <v>0</v>
      </c>
      <c r="I3484" s="11">
        <f t="shared" ca="1" si="428"/>
        <v>0</v>
      </c>
      <c r="J3484" s="11">
        <f t="shared" ca="1" si="429"/>
        <v>-1</v>
      </c>
      <c r="K3484" s="10">
        <f t="shared" ca="1" si="439"/>
        <v>131.24001000000001</v>
      </c>
      <c r="L3484" s="11">
        <f t="shared" ca="1" si="440"/>
        <v>-49.09</v>
      </c>
      <c r="M3484" s="11">
        <f t="shared" ca="1" si="441"/>
        <v>2.6734599999999999</v>
      </c>
      <c r="N3484" s="15">
        <f t="shared" ca="1" si="442"/>
        <v>10</v>
      </c>
      <c r="O3484" s="15">
        <f t="shared" ca="1" si="443"/>
        <v>27</v>
      </c>
      <c r="P3484" s="16">
        <f t="shared" ca="1" si="444"/>
        <v>-13.029899999999998</v>
      </c>
      <c r="Q3484" s="11" t="str">
        <f t="shared" ca="1" si="430"/>
        <v/>
      </c>
      <c r="R3484" s="11" t="str">
        <f t="shared" ca="1" si="431"/>
        <v/>
      </c>
      <c r="S3484" s="61" t="str">
        <f t="shared" ca="1" si="432"/>
        <v/>
      </c>
      <c r="T3484" s="11" t="str">
        <f t="shared" ca="1" si="433"/>
        <v/>
      </c>
      <c r="U3484" s="11" t="str">
        <f t="shared" ca="1" si="434"/>
        <v/>
      </c>
      <c r="V3484" s="18" t="str">
        <f t="shared" ca="1" si="435"/>
        <v/>
      </c>
      <c r="W3484" s="61" t="str">
        <f t="shared" ca="1" si="436"/>
        <v/>
      </c>
      <c r="X3484" s="61">
        <f t="shared" ca="1" si="437"/>
        <v>0</v>
      </c>
      <c r="Y3484" s="64" t="str">
        <f t="shared" ca="1" si="438"/>
        <v/>
      </c>
    </row>
    <row r="3485" spans="1:25">
      <c r="A3485" s="2">
        <f>+Get_Data!A3484</f>
        <v>0</v>
      </c>
      <c r="B3485">
        <f>+ROUND(Get_Data!B3484,5)</f>
        <v>0</v>
      </c>
      <c r="C3485">
        <f>+ROUND(Get_Data!C3484,5)</f>
        <v>0</v>
      </c>
      <c r="D3485" s="4" t="str">
        <f t="shared" si="423"/>
        <v/>
      </c>
      <c r="E3485" s="22">
        <f t="shared" ca="1" si="424"/>
        <v>0</v>
      </c>
      <c r="F3485" s="23">
        <f t="shared" ca="1" si="425"/>
        <v>0</v>
      </c>
      <c r="G3485" s="10">
        <f t="shared" ca="1" si="426"/>
        <v>0</v>
      </c>
      <c r="H3485" s="12">
        <f t="shared" ca="1" si="427"/>
        <v>0</v>
      </c>
      <c r="I3485" s="11">
        <f t="shared" ca="1" si="428"/>
        <v>0</v>
      </c>
      <c r="J3485" s="11">
        <f t="shared" ca="1" si="429"/>
        <v>-1</v>
      </c>
      <c r="K3485" s="10">
        <f t="shared" ca="1" si="439"/>
        <v>131.24001000000001</v>
      </c>
      <c r="L3485" s="11">
        <f t="shared" ca="1" si="440"/>
        <v>-49.09</v>
      </c>
      <c r="M3485" s="11">
        <f t="shared" ca="1" si="441"/>
        <v>2.6734599999999999</v>
      </c>
      <c r="N3485" s="15">
        <f t="shared" ca="1" si="442"/>
        <v>10</v>
      </c>
      <c r="O3485" s="15">
        <f t="shared" ca="1" si="443"/>
        <v>27</v>
      </c>
      <c r="P3485" s="16">
        <f t="shared" ca="1" si="444"/>
        <v>-13.029899999999998</v>
      </c>
      <c r="Q3485" s="11" t="str">
        <f t="shared" ca="1" si="430"/>
        <v/>
      </c>
      <c r="R3485" s="11" t="str">
        <f t="shared" ca="1" si="431"/>
        <v/>
      </c>
      <c r="S3485" s="61" t="str">
        <f t="shared" ca="1" si="432"/>
        <v/>
      </c>
      <c r="T3485" s="11" t="str">
        <f t="shared" ca="1" si="433"/>
        <v/>
      </c>
      <c r="U3485" s="11" t="str">
        <f t="shared" ca="1" si="434"/>
        <v/>
      </c>
      <c r="V3485" s="18" t="str">
        <f t="shared" ca="1" si="435"/>
        <v/>
      </c>
      <c r="W3485" s="61" t="str">
        <f t="shared" ca="1" si="436"/>
        <v/>
      </c>
      <c r="X3485" s="61">
        <f t="shared" ca="1" si="437"/>
        <v>0</v>
      </c>
      <c r="Y3485" s="64" t="str">
        <f t="shared" ca="1" si="438"/>
        <v/>
      </c>
    </row>
    <row r="3486" spans="1:25">
      <c r="A3486" s="2">
        <f>+Get_Data!A3485</f>
        <v>0</v>
      </c>
      <c r="B3486">
        <f>+ROUND(Get_Data!B3485,5)</f>
        <v>0</v>
      </c>
      <c r="C3486">
        <f>+ROUND(Get_Data!C3485,5)</f>
        <v>0</v>
      </c>
      <c r="D3486" s="4" t="str">
        <f t="shared" si="423"/>
        <v/>
      </c>
      <c r="E3486" s="22">
        <f t="shared" ca="1" si="424"/>
        <v>0</v>
      </c>
      <c r="F3486" s="23">
        <f t="shared" ca="1" si="425"/>
        <v>0</v>
      </c>
      <c r="G3486" s="10">
        <f t="shared" ca="1" si="426"/>
        <v>0</v>
      </c>
      <c r="H3486" s="12">
        <f t="shared" ca="1" si="427"/>
        <v>0</v>
      </c>
      <c r="I3486" s="11">
        <f t="shared" ca="1" si="428"/>
        <v>0</v>
      </c>
      <c r="J3486" s="11">
        <f t="shared" ca="1" si="429"/>
        <v>-1</v>
      </c>
      <c r="K3486" s="10">
        <f t="shared" ca="1" si="439"/>
        <v>131.24001000000001</v>
      </c>
      <c r="L3486" s="11">
        <f t="shared" ca="1" si="440"/>
        <v>-49.09</v>
      </c>
      <c r="M3486" s="11">
        <f t="shared" ca="1" si="441"/>
        <v>2.6734599999999999</v>
      </c>
      <c r="N3486" s="15">
        <f t="shared" ca="1" si="442"/>
        <v>10</v>
      </c>
      <c r="O3486" s="15">
        <f t="shared" ca="1" si="443"/>
        <v>27</v>
      </c>
      <c r="P3486" s="16">
        <f t="shared" ca="1" si="444"/>
        <v>-13.029899999999998</v>
      </c>
      <c r="Q3486" s="11" t="str">
        <f t="shared" ca="1" si="430"/>
        <v/>
      </c>
      <c r="R3486" s="11" t="str">
        <f t="shared" ca="1" si="431"/>
        <v/>
      </c>
      <c r="S3486" s="61" t="str">
        <f t="shared" ca="1" si="432"/>
        <v/>
      </c>
      <c r="T3486" s="11" t="str">
        <f t="shared" ca="1" si="433"/>
        <v/>
      </c>
      <c r="U3486" s="11" t="str">
        <f t="shared" ca="1" si="434"/>
        <v/>
      </c>
      <c r="V3486" s="18" t="str">
        <f t="shared" ca="1" si="435"/>
        <v/>
      </c>
      <c r="W3486" s="61" t="str">
        <f t="shared" ca="1" si="436"/>
        <v/>
      </c>
      <c r="X3486" s="61">
        <f t="shared" ca="1" si="437"/>
        <v>0</v>
      </c>
      <c r="Y3486" s="64" t="str">
        <f t="shared" ca="1" si="438"/>
        <v/>
      </c>
    </row>
    <row r="3487" spans="1:25">
      <c r="A3487" s="2">
        <f>+Get_Data!A3486</f>
        <v>0</v>
      </c>
      <c r="B3487">
        <f>+ROUND(Get_Data!B3486,5)</f>
        <v>0</v>
      </c>
      <c r="C3487">
        <f>+ROUND(Get_Data!C3486,5)</f>
        <v>0</v>
      </c>
      <c r="D3487" s="4" t="str">
        <f t="shared" si="423"/>
        <v/>
      </c>
      <c r="E3487" s="22">
        <f t="shared" ca="1" si="424"/>
        <v>0</v>
      </c>
      <c r="F3487" s="23">
        <f t="shared" ca="1" si="425"/>
        <v>0</v>
      </c>
      <c r="G3487" s="10">
        <f t="shared" ca="1" si="426"/>
        <v>0</v>
      </c>
      <c r="H3487" s="12">
        <f t="shared" ca="1" si="427"/>
        <v>0</v>
      </c>
      <c r="I3487" s="11">
        <f t="shared" ca="1" si="428"/>
        <v>0</v>
      </c>
      <c r="J3487" s="11">
        <f t="shared" ca="1" si="429"/>
        <v>-1</v>
      </c>
      <c r="K3487" s="10">
        <f t="shared" ca="1" si="439"/>
        <v>131.24001000000001</v>
      </c>
      <c r="L3487" s="11">
        <f t="shared" ca="1" si="440"/>
        <v>-49.09</v>
      </c>
      <c r="M3487" s="11">
        <f t="shared" ca="1" si="441"/>
        <v>2.6734599999999999</v>
      </c>
      <c r="N3487" s="15">
        <f t="shared" ca="1" si="442"/>
        <v>10</v>
      </c>
      <c r="O3487" s="15">
        <f t="shared" ca="1" si="443"/>
        <v>27</v>
      </c>
      <c r="P3487" s="16">
        <f t="shared" ca="1" si="444"/>
        <v>-13.029899999999998</v>
      </c>
      <c r="Q3487" s="11" t="str">
        <f t="shared" ca="1" si="430"/>
        <v/>
      </c>
      <c r="R3487" s="11" t="str">
        <f t="shared" ca="1" si="431"/>
        <v/>
      </c>
      <c r="S3487" s="61" t="str">
        <f t="shared" ca="1" si="432"/>
        <v/>
      </c>
      <c r="T3487" s="11" t="str">
        <f t="shared" ca="1" si="433"/>
        <v/>
      </c>
      <c r="U3487" s="11" t="str">
        <f t="shared" ca="1" si="434"/>
        <v/>
      </c>
      <c r="V3487" s="18" t="str">
        <f t="shared" ca="1" si="435"/>
        <v/>
      </c>
      <c r="W3487" s="61" t="str">
        <f t="shared" ca="1" si="436"/>
        <v/>
      </c>
      <c r="X3487" s="61">
        <f t="shared" ca="1" si="437"/>
        <v>0</v>
      </c>
      <c r="Y3487" s="64" t="str">
        <f t="shared" ca="1" si="438"/>
        <v/>
      </c>
    </row>
    <row r="3488" spans="1:25">
      <c r="A3488" s="2">
        <f>+Get_Data!A3487</f>
        <v>0</v>
      </c>
      <c r="B3488">
        <f>+ROUND(Get_Data!B3487,5)</f>
        <v>0</v>
      </c>
      <c r="C3488">
        <f>+ROUND(Get_Data!C3487,5)</f>
        <v>0</v>
      </c>
      <c r="D3488" s="4" t="str">
        <f t="shared" si="423"/>
        <v/>
      </c>
      <c r="E3488" s="22">
        <f t="shared" ca="1" si="424"/>
        <v>0</v>
      </c>
      <c r="F3488" s="23">
        <f t="shared" ca="1" si="425"/>
        <v>0</v>
      </c>
      <c r="G3488" s="10">
        <f t="shared" ca="1" si="426"/>
        <v>0</v>
      </c>
      <c r="H3488" s="12">
        <f t="shared" ca="1" si="427"/>
        <v>0</v>
      </c>
      <c r="I3488" s="11">
        <f t="shared" ca="1" si="428"/>
        <v>0</v>
      </c>
      <c r="J3488" s="11">
        <f t="shared" ca="1" si="429"/>
        <v>-1</v>
      </c>
      <c r="K3488" s="10">
        <f t="shared" ca="1" si="439"/>
        <v>131.24001000000001</v>
      </c>
      <c r="L3488" s="11">
        <f t="shared" ca="1" si="440"/>
        <v>-49.09</v>
      </c>
      <c r="M3488" s="11">
        <f t="shared" ca="1" si="441"/>
        <v>2.6734599999999999</v>
      </c>
      <c r="N3488" s="15">
        <f t="shared" ca="1" si="442"/>
        <v>10</v>
      </c>
      <c r="O3488" s="15">
        <f t="shared" ca="1" si="443"/>
        <v>27</v>
      </c>
      <c r="P3488" s="16">
        <f t="shared" ca="1" si="444"/>
        <v>-13.029899999999998</v>
      </c>
      <c r="Q3488" s="11" t="str">
        <f t="shared" ca="1" si="430"/>
        <v/>
      </c>
      <c r="R3488" s="11" t="str">
        <f t="shared" ca="1" si="431"/>
        <v/>
      </c>
      <c r="S3488" s="61" t="str">
        <f t="shared" ca="1" si="432"/>
        <v/>
      </c>
      <c r="T3488" s="11" t="str">
        <f t="shared" ca="1" si="433"/>
        <v/>
      </c>
      <c r="U3488" s="11" t="str">
        <f t="shared" ca="1" si="434"/>
        <v/>
      </c>
      <c r="V3488" s="18" t="str">
        <f t="shared" ca="1" si="435"/>
        <v/>
      </c>
      <c r="W3488" s="61" t="str">
        <f t="shared" ca="1" si="436"/>
        <v/>
      </c>
      <c r="X3488" s="61">
        <f t="shared" ca="1" si="437"/>
        <v>0</v>
      </c>
      <c r="Y3488" s="64" t="str">
        <f t="shared" ca="1" si="438"/>
        <v/>
      </c>
    </row>
    <row r="3489" spans="1:25">
      <c r="A3489" s="2">
        <f>+Get_Data!A3488</f>
        <v>0</v>
      </c>
      <c r="B3489">
        <f>+ROUND(Get_Data!B3488,5)</f>
        <v>0</v>
      </c>
      <c r="C3489">
        <f>+ROUND(Get_Data!C3488,5)</f>
        <v>0</v>
      </c>
      <c r="D3489" s="4" t="str">
        <f t="shared" si="423"/>
        <v/>
      </c>
      <c r="E3489" s="22">
        <f t="shared" ca="1" si="424"/>
        <v>0</v>
      </c>
      <c r="F3489" s="23">
        <f t="shared" ca="1" si="425"/>
        <v>0</v>
      </c>
      <c r="G3489" s="10">
        <f t="shared" ca="1" si="426"/>
        <v>0</v>
      </c>
      <c r="H3489" s="12">
        <f t="shared" ca="1" si="427"/>
        <v>0</v>
      </c>
      <c r="I3489" s="11">
        <f t="shared" ca="1" si="428"/>
        <v>0</v>
      </c>
      <c r="J3489" s="11">
        <f t="shared" ca="1" si="429"/>
        <v>-1</v>
      </c>
      <c r="K3489" s="10">
        <f t="shared" ca="1" si="439"/>
        <v>131.24001000000001</v>
      </c>
      <c r="L3489" s="11">
        <f t="shared" ca="1" si="440"/>
        <v>-49.09</v>
      </c>
      <c r="M3489" s="11">
        <f t="shared" ca="1" si="441"/>
        <v>2.6734599999999999</v>
      </c>
      <c r="N3489" s="15">
        <f t="shared" ca="1" si="442"/>
        <v>10</v>
      </c>
      <c r="O3489" s="15">
        <f t="shared" ca="1" si="443"/>
        <v>27</v>
      </c>
      <c r="P3489" s="16">
        <f t="shared" ca="1" si="444"/>
        <v>-13.029899999999998</v>
      </c>
      <c r="Q3489" s="11" t="str">
        <f t="shared" ca="1" si="430"/>
        <v/>
      </c>
      <c r="R3489" s="11" t="str">
        <f t="shared" ca="1" si="431"/>
        <v/>
      </c>
      <c r="S3489" s="61" t="str">
        <f t="shared" ca="1" si="432"/>
        <v/>
      </c>
      <c r="T3489" s="11" t="str">
        <f t="shared" ca="1" si="433"/>
        <v/>
      </c>
      <c r="U3489" s="11" t="str">
        <f t="shared" ca="1" si="434"/>
        <v/>
      </c>
      <c r="V3489" s="18" t="str">
        <f t="shared" ca="1" si="435"/>
        <v/>
      </c>
      <c r="W3489" s="61" t="str">
        <f t="shared" ca="1" si="436"/>
        <v/>
      </c>
      <c r="X3489" s="61">
        <f t="shared" ca="1" si="437"/>
        <v>0</v>
      </c>
      <c r="Y3489" s="64" t="str">
        <f t="shared" ca="1" si="438"/>
        <v/>
      </c>
    </row>
    <row r="3490" spans="1:25">
      <c r="A3490" s="2">
        <f>+Get_Data!A3489</f>
        <v>0</v>
      </c>
      <c r="B3490">
        <f>+ROUND(Get_Data!B3489,5)</f>
        <v>0</v>
      </c>
      <c r="C3490">
        <f>+ROUND(Get_Data!C3489,5)</f>
        <v>0</v>
      </c>
      <c r="D3490" s="4" t="str">
        <f t="shared" si="423"/>
        <v/>
      </c>
      <c r="E3490" s="22">
        <f t="shared" ca="1" si="424"/>
        <v>0</v>
      </c>
      <c r="F3490" s="23">
        <f t="shared" ca="1" si="425"/>
        <v>0</v>
      </c>
      <c r="G3490" s="10">
        <f t="shared" ca="1" si="426"/>
        <v>0</v>
      </c>
      <c r="H3490" s="12">
        <f t="shared" ca="1" si="427"/>
        <v>0</v>
      </c>
      <c r="I3490" s="11">
        <f t="shared" ca="1" si="428"/>
        <v>0</v>
      </c>
      <c r="J3490" s="11">
        <f t="shared" ca="1" si="429"/>
        <v>-1</v>
      </c>
      <c r="K3490" s="10">
        <f t="shared" ca="1" si="439"/>
        <v>131.24001000000001</v>
      </c>
      <c r="L3490" s="11">
        <f t="shared" ca="1" si="440"/>
        <v>-49.09</v>
      </c>
      <c r="M3490" s="11">
        <f t="shared" ca="1" si="441"/>
        <v>2.6734599999999999</v>
      </c>
      <c r="N3490" s="15">
        <f t="shared" ca="1" si="442"/>
        <v>10</v>
      </c>
      <c r="O3490" s="15">
        <f t="shared" ca="1" si="443"/>
        <v>27</v>
      </c>
      <c r="P3490" s="16">
        <f t="shared" ca="1" si="444"/>
        <v>-13.029899999999998</v>
      </c>
      <c r="Q3490" s="11" t="str">
        <f t="shared" ca="1" si="430"/>
        <v/>
      </c>
      <c r="R3490" s="11" t="str">
        <f t="shared" ca="1" si="431"/>
        <v/>
      </c>
      <c r="S3490" s="61" t="str">
        <f t="shared" ca="1" si="432"/>
        <v/>
      </c>
      <c r="T3490" s="11" t="str">
        <f t="shared" ca="1" si="433"/>
        <v/>
      </c>
      <c r="U3490" s="11" t="str">
        <f t="shared" ca="1" si="434"/>
        <v/>
      </c>
      <c r="V3490" s="18" t="str">
        <f t="shared" ca="1" si="435"/>
        <v/>
      </c>
      <c r="W3490" s="61" t="str">
        <f t="shared" ca="1" si="436"/>
        <v/>
      </c>
      <c r="X3490" s="61">
        <f t="shared" ca="1" si="437"/>
        <v>0</v>
      </c>
      <c r="Y3490" s="64" t="str">
        <f t="shared" ca="1" si="438"/>
        <v/>
      </c>
    </row>
    <row r="3491" spans="1:25">
      <c r="A3491" s="2">
        <f>+Get_Data!A3490</f>
        <v>0</v>
      </c>
      <c r="B3491">
        <f>+ROUND(Get_Data!B3490,5)</f>
        <v>0</v>
      </c>
      <c r="C3491">
        <f>+ROUND(Get_Data!C3490,5)</f>
        <v>0</v>
      </c>
      <c r="D3491" s="4" t="str">
        <f t="shared" si="423"/>
        <v/>
      </c>
      <c r="E3491" s="22">
        <f t="shared" ca="1" si="424"/>
        <v>0</v>
      </c>
      <c r="F3491" s="23">
        <f t="shared" ca="1" si="425"/>
        <v>0</v>
      </c>
      <c r="G3491" s="10">
        <f t="shared" ca="1" si="426"/>
        <v>0</v>
      </c>
      <c r="H3491" s="12">
        <f t="shared" ca="1" si="427"/>
        <v>0</v>
      </c>
      <c r="I3491" s="11">
        <f t="shared" ca="1" si="428"/>
        <v>0</v>
      </c>
      <c r="J3491" s="11">
        <f t="shared" ca="1" si="429"/>
        <v>-1</v>
      </c>
      <c r="K3491" s="10">
        <f t="shared" ca="1" si="439"/>
        <v>131.24001000000001</v>
      </c>
      <c r="L3491" s="11">
        <f t="shared" ca="1" si="440"/>
        <v>-49.09</v>
      </c>
      <c r="M3491" s="11">
        <f t="shared" ca="1" si="441"/>
        <v>2.6734599999999999</v>
      </c>
      <c r="N3491" s="15">
        <f t="shared" ca="1" si="442"/>
        <v>10</v>
      </c>
      <c r="O3491" s="15">
        <f t="shared" ca="1" si="443"/>
        <v>27</v>
      </c>
      <c r="P3491" s="16">
        <f t="shared" ca="1" si="444"/>
        <v>-13.029899999999998</v>
      </c>
      <c r="Q3491" s="11" t="str">
        <f t="shared" ca="1" si="430"/>
        <v/>
      </c>
      <c r="R3491" s="11" t="str">
        <f t="shared" ca="1" si="431"/>
        <v/>
      </c>
      <c r="S3491" s="61" t="str">
        <f t="shared" ca="1" si="432"/>
        <v/>
      </c>
      <c r="T3491" s="11" t="str">
        <f t="shared" ca="1" si="433"/>
        <v/>
      </c>
      <c r="U3491" s="11" t="str">
        <f t="shared" ca="1" si="434"/>
        <v/>
      </c>
      <c r="V3491" s="18" t="str">
        <f t="shared" ca="1" si="435"/>
        <v/>
      </c>
      <c r="W3491" s="61" t="str">
        <f t="shared" ca="1" si="436"/>
        <v/>
      </c>
      <c r="X3491" s="61">
        <f t="shared" ca="1" si="437"/>
        <v>0</v>
      </c>
      <c r="Y3491" s="64" t="str">
        <f t="shared" ca="1" si="438"/>
        <v/>
      </c>
    </row>
    <row r="3492" spans="1:25">
      <c r="A3492" s="2">
        <f>+Get_Data!A3491</f>
        <v>0</v>
      </c>
      <c r="B3492">
        <f>+ROUND(Get_Data!B3491,5)</f>
        <v>0</v>
      </c>
      <c r="C3492">
        <f>+ROUND(Get_Data!C3491,5)</f>
        <v>0</v>
      </c>
      <c r="D3492" s="4" t="str">
        <f t="shared" si="423"/>
        <v/>
      </c>
      <c r="E3492" s="22">
        <f t="shared" ca="1" si="424"/>
        <v>0</v>
      </c>
      <c r="F3492" s="23">
        <f t="shared" ca="1" si="425"/>
        <v>0</v>
      </c>
      <c r="G3492" s="10">
        <f t="shared" ca="1" si="426"/>
        <v>0</v>
      </c>
      <c r="H3492" s="12">
        <f t="shared" ca="1" si="427"/>
        <v>0</v>
      </c>
      <c r="I3492" s="11">
        <f t="shared" ca="1" si="428"/>
        <v>0</v>
      </c>
      <c r="J3492" s="11">
        <f t="shared" ca="1" si="429"/>
        <v>-1</v>
      </c>
      <c r="K3492" s="10">
        <f t="shared" ca="1" si="439"/>
        <v>131.24001000000001</v>
      </c>
      <c r="L3492" s="11">
        <f t="shared" ca="1" si="440"/>
        <v>-49.09</v>
      </c>
      <c r="M3492" s="11">
        <f t="shared" ca="1" si="441"/>
        <v>2.6734599999999999</v>
      </c>
      <c r="N3492" s="15">
        <f t="shared" ca="1" si="442"/>
        <v>10</v>
      </c>
      <c r="O3492" s="15">
        <f t="shared" ca="1" si="443"/>
        <v>27</v>
      </c>
      <c r="P3492" s="16">
        <f t="shared" ca="1" si="444"/>
        <v>-13.029899999999998</v>
      </c>
      <c r="Q3492" s="11" t="str">
        <f t="shared" ca="1" si="430"/>
        <v/>
      </c>
      <c r="R3492" s="11" t="str">
        <f t="shared" ca="1" si="431"/>
        <v/>
      </c>
      <c r="S3492" s="61" t="str">
        <f t="shared" ca="1" si="432"/>
        <v/>
      </c>
      <c r="T3492" s="11" t="str">
        <f t="shared" ca="1" si="433"/>
        <v/>
      </c>
      <c r="U3492" s="11" t="str">
        <f t="shared" ca="1" si="434"/>
        <v/>
      </c>
      <c r="V3492" s="18" t="str">
        <f t="shared" ca="1" si="435"/>
        <v/>
      </c>
      <c r="W3492" s="61" t="str">
        <f t="shared" ca="1" si="436"/>
        <v/>
      </c>
      <c r="X3492" s="61">
        <f t="shared" ca="1" si="437"/>
        <v>0</v>
      </c>
      <c r="Y3492" s="64" t="str">
        <f t="shared" ca="1" si="438"/>
        <v/>
      </c>
    </row>
    <row r="3493" spans="1:25">
      <c r="A3493" s="2">
        <f>+Get_Data!A3492</f>
        <v>0</v>
      </c>
      <c r="B3493">
        <f>+ROUND(Get_Data!B3492,5)</f>
        <v>0</v>
      </c>
      <c r="C3493">
        <f>+ROUND(Get_Data!C3492,5)</f>
        <v>0</v>
      </c>
      <c r="D3493" s="4" t="str">
        <f t="shared" si="423"/>
        <v/>
      </c>
      <c r="E3493" s="22">
        <f t="shared" ca="1" si="424"/>
        <v>0</v>
      </c>
      <c r="F3493" s="23">
        <f t="shared" ca="1" si="425"/>
        <v>0</v>
      </c>
      <c r="G3493" s="10">
        <f t="shared" ca="1" si="426"/>
        <v>0</v>
      </c>
      <c r="H3493" s="12">
        <f t="shared" ca="1" si="427"/>
        <v>0</v>
      </c>
      <c r="I3493" s="11">
        <f t="shared" ca="1" si="428"/>
        <v>0</v>
      </c>
      <c r="J3493" s="11">
        <f t="shared" ca="1" si="429"/>
        <v>-1</v>
      </c>
      <c r="K3493" s="10">
        <f t="shared" ca="1" si="439"/>
        <v>131.24001000000001</v>
      </c>
      <c r="L3493" s="11">
        <f t="shared" ca="1" si="440"/>
        <v>-49.09</v>
      </c>
      <c r="M3493" s="11">
        <f t="shared" ca="1" si="441"/>
        <v>2.6734599999999999</v>
      </c>
      <c r="N3493" s="15">
        <f t="shared" ca="1" si="442"/>
        <v>10</v>
      </c>
      <c r="O3493" s="15">
        <f t="shared" ca="1" si="443"/>
        <v>27</v>
      </c>
      <c r="P3493" s="16">
        <f t="shared" ca="1" si="444"/>
        <v>-13.029899999999998</v>
      </c>
      <c r="Q3493" s="11" t="str">
        <f t="shared" ca="1" si="430"/>
        <v/>
      </c>
      <c r="R3493" s="11" t="str">
        <f t="shared" ca="1" si="431"/>
        <v/>
      </c>
      <c r="S3493" s="61" t="str">
        <f t="shared" ca="1" si="432"/>
        <v/>
      </c>
      <c r="T3493" s="11" t="str">
        <f t="shared" ca="1" si="433"/>
        <v/>
      </c>
      <c r="U3493" s="11" t="str">
        <f t="shared" ca="1" si="434"/>
        <v/>
      </c>
      <c r="V3493" s="18" t="str">
        <f t="shared" ca="1" si="435"/>
        <v/>
      </c>
      <c r="W3493" s="61" t="str">
        <f t="shared" ca="1" si="436"/>
        <v/>
      </c>
      <c r="X3493" s="61">
        <f t="shared" ca="1" si="437"/>
        <v>0</v>
      </c>
      <c r="Y3493" s="64" t="str">
        <f t="shared" ca="1" si="438"/>
        <v/>
      </c>
    </row>
    <row r="3494" spans="1:25">
      <c r="A3494" s="2">
        <f>+Get_Data!A3493</f>
        <v>0</v>
      </c>
      <c r="B3494">
        <f>+ROUND(Get_Data!B3493,5)</f>
        <v>0</v>
      </c>
      <c r="C3494">
        <f>+ROUND(Get_Data!C3493,5)</f>
        <v>0</v>
      </c>
      <c r="D3494" s="4" t="str">
        <f t="shared" si="423"/>
        <v/>
      </c>
      <c r="E3494" s="22">
        <f t="shared" ca="1" si="424"/>
        <v>0</v>
      </c>
      <c r="F3494" s="23">
        <f t="shared" ca="1" si="425"/>
        <v>0</v>
      </c>
      <c r="G3494" s="10">
        <f t="shared" ca="1" si="426"/>
        <v>0</v>
      </c>
      <c r="H3494" s="12">
        <f t="shared" ca="1" si="427"/>
        <v>0</v>
      </c>
      <c r="I3494" s="11">
        <f t="shared" ca="1" si="428"/>
        <v>0</v>
      </c>
      <c r="J3494" s="11">
        <f t="shared" ca="1" si="429"/>
        <v>-1</v>
      </c>
      <c r="K3494" s="10">
        <f t="shared" ca="1" si="439"/>
        <v>131.24001000000001</v>
      </c>
      <c r="L3494" s="11">
        <f t="shared" ca="1" si="440"/>
        <v>-49.09</v>
      </c>
      <c r="M3494" s="11">
        <f t="shared" ca="1" si="441"/>
        <v>2.6734599999999999</v>
      </c>
      <c r="N3494" s="15">
        <f t="shared" ca="1" si="442"/>
        <v>10</v>
      </c>
      <c r="O3494" s="15">
        <f t="shared" ca="1" si="443"/>
        <v>27</v>
      </c>
      <c r="P3494" s="16">
        <f t="shared" ca="1" si="444"/>
        <v>-13.029899999999998</v>
      </c>
      <c r="Q3494" s="11" t="str">
        <f t="shared" ca="1" si="430"/>
        <v/>
      </c>
      <c r="R3494" s="11" t="str">
        <f t="shared" ca="1" si="431"/>
        <v/>
      </c>
      <c r="S3494" s="61" t="str">
        <f t="shared" ca="1" si="432"/>
        <v/>
      </c>
      <c r="T3494" s="11" t="str">
        <f t="shared" ca="1" si="433"/>
        <v/>
      </c>
      <c r="U3494" s="11" t="str">
        <f t="shared" ca="1" si="434"/>
        <v/>
      </c>
      <c r="V3494" s="18" t="str">
        <f t="shared" ca="1" si="435"/>
        <v/>
      </c>
      <c r="W3494" s="61" t="str">
        <f t="shared" ca="1" si="436"/>
        <v/>
      </c>
      <c r="X3494" s="61">
        <f t="shared" ca="1" si="437"/>
        <v>0</v>
      </c>
      <c r="Y3494" s="64" t="str">
        <f t="shared" ca="1" si="438"/>
        <v/>
      </c>
    </row>
    <row r="3495" spans="1:25">
      <c r="A3495" s="2">
        <f>+Get_Data!A3494</f>
        <v>0</v>
      </c>
      <c r="B3495">
        <f>+ROUND(Get_Data!B3494,5)</f>
        <v>0</v>
      </c>
      <c r="C3495">
        <f>+ROUND(Get_Data!C3494,5)</f>
        <v>0</v>
      </c>
      <c r="D3495" s="4" t="str">
        <f t="shared" si="423"/>
        <v/>
      </c>
      <c r="E3495" s="22">
        <f t="shared" ca="1" si="424"/>
        <v>0</v>
      </c>
      <c r="F3495" s="23">
        <f t="shared" ca="1" si="425"/>
        <v>0</v>
      </c>
      <c r="G3495" s="10">
        <f t="shared" ca="1" si="426"/>
        <v>0</v>
      </c>
      <c r="H3495" s="12">
        <f t="shared" ca="1" si="427"/>
        <v>0</v>
      </c>
      <c r="I3495" s="11">
        <f t="shared" ca="1" si="428"/>
        <v>0</v>
      </c>
      <c r="J3495" s="11">
        <f t="shared" ca="1" si="429"/>
        <v>-1</v>
      </c>
      <c r="K3495" s="10">
        <f t="shared" ca="1" si="439"/>
        <v>131.24001000000001</v>
      </c>
      <c r="L3495" s="11">
        <f t="shared" ca="1" si="440"/>
        <v>-49.09</v>
      </c>
      <c r="M3495" s="11">
        <f t="shared" ca="1" si="441"/>
        <v>2.6734599999999999</v>
      </c>
      <c r="N3495" s="15">
        <f t="shared" ca="1" si="442"/>
        <v>10</v>
      </c>
      <c r="O3495" s="15">
        <f t="shared" ca="1" si="443"/>
        <v>27</v>
      </c>
      <c r="P3495" s="16">
        <f t="shared" ca="1" si="444"/>
        <v>-13.029899999999998</v>
      </c>
      <c r="Q3495" s="11" t="str">
        <f t="shared" ca="1" si="430"/>
        <v/>
      </c>
      <c r="R3495" s="11" t="str">
        <f t="shared" ca="1" si="431"/>
        <v/>
      </c>
      <c r="S3495" s="61" t="str">
        <f t="shared" ca="1" si="432"/>
        <v/>
      </c>
      <c r="T3495" s="11" t="str">
        <f t="shared" ca="1" si="433"/>
        <v/>
      </c>
      <c r="U3495" s="11" t="str">
        <f t="shared" ca="1" si="434"/>
        <v/>
      </c>
      <c r="V3495" s="18" t="str">
        <f t="shared" ca="1" si="435"/>
        <v/>
      </c>
      <c r="W3495" s="61" t="str">
        <f t="shared" ca="1" si="436"/>
        <v/>
      </c>
      <c r="X3495" s="61">
        <f t="shared" ca="1" si="437"/>
        <v>0</v>
      </c>
      <c r="Y3495" s="64" t="str">
        <f t="shared" ca="1" si="438"/>
        <v/>
      </c>
    </row>
    <row r="3496" spans="1:25">
      <c r="A3496" s="2">
        <f>+Get_Data!A3495</f>
        <v>0</v>
      </c>
      <c r="B3496">
        <f>+ROUND(Get_Data!B3495,5)</f>
        <v>0</v>
      </c>
      <c r="C3496">
        <f>+ROUND(Get_Data!C3495,5)</f>
        <v>0</v>
      </c>
      <c r="D3496" s="4" t="str">
        <f t="shared" si="423"/>
        <v/>
      </c>
      <c r="E3496" s="22">
        <f t="shared" ca="1" si="424"/>
        <v>0</v>
      </c>
      <c r="F3496" s="23">
        <f t="shared" ca="1" si="425"/>
        <v>0</v>
      </c>
      <c r="G3496" s="10">
        <f t="shared" ca="1" si="426"/>
        <v>0</v>
      </c>
      <c r="H3496" s="12">
        <f t="shared" ca="1" si="427"/>
        <v>0</v>
      </c>
      <c r="I3496" s="11">
        <f t="shared" ca="1" si="428"/>
        <v>0</v>
      </c>
      <c r="J3496" s="11">
        <f t="shared" ca="1" si="429"/>
        <v>-1</v>
      </c>
      <c r="K3496" s="10">
        <f t="shared" ca="1" si="439"/>
        <v>131.24001000000001</v>
      </c>
      <c r="L3496" s="11">
        <f t="shared" ca="1" si="440"/>
        <v>-49.09</v>
      </c>
      <c r="M3496" s="11">
        <f t="shared" ca="1" si="441"/>
        <v>2.6734599999999999</v>
      </c>
      <c r="N3496" s="15">
        <f t="shared" ca="1" si="442"/>
        <v>10</v>
      </c>
      <c r="O3496" s="15">
        <f t="shared" ca="1" si="443"/>
        <v>27</v>
      </c>
      <c r="P3496" s="16">
        <f t="shared" ca="1" si="444"/>
        <v>-13.029899999999998</v>
      </c>
      <c r="Q3496" s="11" t="str">
        <f t="shared" ca="1" si="430"/>
        <v/>
      </c>
      <c r="R3496" s="11" t="str">
        <f t="shared" ca="1" si="431"/>
        <v/>
      </c>
      <c r="S3496" s="61" t="str">
        <f t="shared" ca="1" si="432"/>
        <v/>
      </c>
      <c r="T3496" s="11" t="str">
        <f t="shared" ca="1" si="433"/>
        <v/>
      </c>
      <c r="U3496" s="11" t="str">
        <f t="shared" ca="1" si="434"/>
        <v/>
      </c>
      <c r="V3496" s="18" t="str">
        <f t="shared" ca="1" si="435"/>
        <v/>
      </c>
      <c r="W3496" s="61" t="str">
        <f t="shared" ca="1" si="436"/>
        <v/>
      </c>
      <c r="X3496" s="61">
        <f t="shared" ca="1" si="437"/>
        <v>0</v>
      </c>
      <c r="Y3496" s="64" t="str">
        <f t="shared" ca="1" si="438"/>
        <v/>
      </c>
    </row>
    <row r="3497" spans="1:25">
      <c r="A3497" s="2">
        <f>+Get_Data!A3496</f>
        <v>0</v>
      </c>
      <c r="B3497">
        <f>+ROUND(Get_Data!B3496,5)</f>
        <v>0</v>
      </c>
      <c r="C3497">
        <f>+ROUND(Get_Data!C3496,5)</f>
        <v>0</v>
      </c>
      <c r="D3497" s="4" t="str">
        <f t="shared" si="423"/>
        <v/>
      </c>
      <c r="E3497" s="22">
        <f t="shared" ca="1" si="424"/>
        <v>0</v>
      </c>
      <c r="F3497" s="23">
        <f t="shared" ca="1" si="425"/>
        <v>0</v>
      </c>
      <c r="G3497" s="10">
        <f t="shared" ca="1" si="426"/>
        <v>0</v>
      </c>
      <c r="H3497" s="12">
        <f t="shared" ca="1" si="427"/>
        <v>0</v>
      </c>
      <c r="I3497" s="11">
        <f t="shared" ca="1" si="428"/>
        <v>0</v>
      </c>
      <c r="J3497" s="11">
        <f t="shared" ca="1" si="429"/>
        <v>-1</v>
      </c>
      <c r="K3497" s="10">
        <f t="shared" ca="1" si="439"/>
        <v>131.24001000000001</v>
      </c>
      <c r="L3497" s="11">
        <f t="shared" ca="1" si="440"/>
        <v>-49.09</v>
      </c>
      <c r="M3497" s="11">
        <f t="shared" ca="1" si="441"/>
        <v>2.6734599999999999</v>
      </c>
      <c r="N3497" s="15">
        <f t="shared" ca="1" si="442"/>
        <v>10</v>
      </c>
      <c r="O3497" s="15">
        <f t="shared" ca="1" si="443"/>
        <v>27</v>
      </c>
      <c r="P3497" s="16">
        <f t="shared" ca="1" si="444"/>
        <v>-13.029899999999998</v>
      </c>
      <c r="Q3497" s="11" t="str">
        <f t="shared" ca="1" si="430"/>
        <v/>
      </c>
      <c r="R3497" s="11" t="str">
        <f t="shared" ca="1" si="431"/>
        <v/>
      </c>
      <c r="S3497" s="61" t="str">
        <f t="shared" ca="1" si="432"/>
        <v/>
      </c>
      <c r="T3497" s="11" t="str">
        <f t="shared" ca="1" si="433"/>
        <v/>
      </c>
      <c r="U3497" s="11" t="str">
        <f t="shared" ca="1" si="434"/>
        <v/>
      </c>
      <c r="V3497" s="18" t="str">
        <f t="shared" ca="1" si="435"/>
        <v/>
      </c>
      <c r="W3497" s="61" t="str">
        <f t="shared" ca="1" si="436"/>
        <v/>
      </c>
      <c r="X3497" s="61">
        <f t="shared" ca="1" si="437"/>
        <v>0</v>
      </c>
      <c r="Y3497" s="64" t="str">
        <f t="shared" ca="1" si="438"/>
        <v/>
      </c>
    </row>
    <row r="3498" spans="1:25">
      <c r="A3498" s="2">
        <f>+Get_Data!A3497</f>
        <v>0</v>
      </c>
      <c r="B3498">
        <f>+ROUND(Get_Data!B3497,5)</f>
        <v>0</v>
      </c>
      <c r="C3498">
        <f>+ROUND(Get_Data!C3497,5)</f>
        <v>0</v>
      </c>
      <c r="D3498" s="4" t="str">
        <f t="shared" si="423"/>
        <v/>
      </c>
      <c r="E3498" s="22">
        <f t="shared" ca="1" si="424"/>
        <v>0</v>
      </c>
      <c r="F3498" s="23">
        <f t="shared" ca="1" si="425"/>
        <v>0</v>
      </c>
      <c r="G3498" s="10">
        <f t="shared" ca="1" si="426"/>
        <v>0</v>
      </c>
      <c r="H3498" s="12">
        <f t="shared" ca="1" si="427"/>
        <v>0</v>
      </c>
      <c r="I3498" s="11">
        <f t="shared" ca="1" si="428"/>
        <v>0</v>
      </c>
      <c r="J3498" s="11">
        <f t="shared" ca="1" si="429"/>
        <v>-1</v>
      </c>
      <c r="K3498" s="10">
        <f t="shared" ca="1" si="439"/>
        <v>131.24001000000001</v>
      </c>
      <c r="L3498" s="11">
        <f t="shared" ca="1" si="440"/>
        <v>-49.09</v>
      </c>
      <c r="M3498" s="11">
        <f t="shared" ca="1" si="441"/>
        <v>2.6734599999999999</v>
      </c>
      <c r="N3498" s="15">
        <f t="shared" ca="1" si="442"/>
        <v>10</v>
      </c>
      <c r="O3498" s="15">
        <f t="shared" ca="1" si="443"/>
        <v>27</v>
      </c>
      <c r="P3498" s="16">
        <f t="shared" ca="1" si="444"/>
        <v>-13.029899999999998</v>
      </c>
      <c r="Q3498" s="11" t="str">
        <f t="shared" ca="1" si="430"/>
        <v/>
      </c>
      <c r="R3498" s="11" t="str">
        <f t="shared" ca="1" si="431"/>
        <v/>
      </c>
      <c r="S3498" s="61" t="str">
        <f t="shared" ca="1" si="432"/>
        <v/>
      </c>
      <c r="T3498" s="11" t="str">
        <f t="shared" ca="1" si="433"/>
        <v/>
      </c>
      <c r="U3498" s="11" t="str">
        <f t="shared" ca="1" si="434"/>
        <v/>
      </c>
      <c r="V3498" s="18" t="str">
        <f t="shared" ca="1" si="435"/>
        <v/>
      </c>
      <c r="W3498" s="61" t="str">
        <f t="shared" ca="1" si="436"/>
        <v/>
      </c>
      <c r="X3498" s="61">
        <f t="shared" ca="1" si="437"/>
        <v>0</v>
      </c>
      <c r="Y3498" s="64" t="str">
        <f t="shared" ca="1" si="438"/>
        <v/>
      </c>
    </row>
    <row r="3499" spans="1:25">
      <c r="A3499" s="2">
        <f>+Get_Data!A3498</f>
        <v>0</v>
      </c>
      <c r="B3499">
        <f>+ROUND(Get_Data!B3498,5)</f>
        <v>0</v>
      </c>
      <c r="C3499">
        <f>+ROUND(Get_Data!C3498,5)</f>
        <v>0</v>
      </c>
      <c r="D3499" s="4" t="str">
        <f t="shared" si="423"/>
        <v/>
      </c>
      <c r="E3499" s="22">
        <f t="shared" ca="1" si="424"/>
        <v>0</v>
      </c>
      <c r="F3499" s="23">
        <f t="shared" ca="1" si="425"/>
        <v>0</v>
      </c>
      <c r="G3499" s="10">
        <f t="shared" ca="1" si="426"/>
        <v>0</v>
      </c>
      <c r="H3499" s="12">
        <f t="shared" ca="1" si="427"/>
        <v>0</v>
      </c>
      <c r="I3499" s="11">
        <f t="shared" ca="1" si="428"/>
        <v>0</v>
      </c>
      <c r="J3499" s="11">
        <f t="shared" ca="1" si="429"/>
        <v>-1</v>
      </c>
      <c r="K3499" s="10">
        <f t="shared" ca="1" si="439"/>
        <v>131.24001000000001</v>
      </c>
      <c r="L3499" s="11">
        <f t="shared" ca="1" si="440"/>
        <v>-49.09</v>
      </c>
      <c r="M3499" s="11">
        <f t="shared" ca="1" si="441"/>
        <v>2.6734599999999999</v>
      </c>
      <c r="N3499" s="15">
        <f t="shared" ca="1" si="442"/>
        <v>10</v>
      </c>
      <c r="O3499" s="15">
        <f t="shared" ca="1" si="443"/>
        <v>27</v>
      </c>
      <c r="P3499" s="16">
        <f t="shared" ca="1" si="444"/>
        <v>-13.029899999999998</v>
      </c>
      <c r="Q3499" s="11" t="str">
        <f t="shared" ca="1" si="430"/>
        <v/>
      </c>
      <c r="R3499" s="11" t="str">
        <f t="shared" ca="1" si="431"/>
        <v/>
      </c>
      <c r="S3499" s="61" t="str">
        <f t="shared" ca="1" si="432"/>
        <v/>
      </c>
      <c r="T3499" s="11" t="str">
        <f t="shared" ca="1" si="433"/>
        <v/>
      </c>
      <c r="U3499" s="11" t="str">
        <f t="shared" ca="1" si="434"/>
        <v/>
      </c>
      <c r="V3499" s="18" t="str">
        <f t="shared" ca="1" si="435"/>
        <v/>
      </c>
      <c r="W3499" s="61" t="str">
        <f t="shared" ca="1" si="436"/>
        <v/>
      </c>
      <c r="X3499" s="61">
        <f t="shared" ca="1" si="437"/>
        <v>0</v>
      </c>
      <c r="Y3499" s="64" t="str">
        <f t="shared" ca="1" si="438"/>
        <v/>
      </c>
    </row>
    <row r="3500" spans="1:25">
      <c r="A3500" s="2">
        <f>+Get_Data!A3499</f>
        <v>0</v>
      </c>
      <c r="B3500">
        <f>+ROUND(Get_Data!B3499,5)</f>
        <v>0</v>
      </c>
      <c r="C3500">
        <f>+ROUND(Get_Data!C3499,5)</f>
        <v>0</v>
      </c>
      <c r="D3500" s="4" t="str">
        <f t="shared" si="423"/>
        <v/>
      </c>
      <c r="E3500" s="22">
        <f t="shared" ca="1" si="424"/>
        <v>0</v>
      </c>
      <c r="F3500" s="23">
        <f t="shared" ca="1" si="425"/>
        <v>0</v>
      </c>
      <c r="G3500" s="10">
        <f t="shared" ca="1" si="426"/>
        <v>0</v>
      </c>
      <c r="H3500" s="12">
        <f t="shared" ca="1" si="427"/>
        <v>0</v>
      </c>
      <c r="I3500" s="11">
        <f t="shared" ca="1" si="428"/>
        <v>0</v>
      </c>
      <c r="J3500" s="11">
        <f t="shared" ca="1" si="429"/>
        <v>-1</v>
      </c>
      <c r="K3500" s="10">
        <f t="shared" ca="1" si="439"/>
        <v>131.24001000000001</v>
      </c>
      <c r="L3500" s="11">
        <f t="shared" ca="1" si="440"/>
        <v>-49.09</v>
      </c>
      <c r="M3500" s="11">
        <f t="shared" ca="1" si="441"/>
        <v>2.6734599999999999</v>
      </c>
      <c r="N3500" s="15">
        <f t="shared" ca="1" si="442"/>
        <v>10</v>
      </c>
      <c r="O3500" s="15">
        <f t="shared" ca="1" si="443"/>
        <v>27</v>
      </c>
      <c r="P3500" s="16">
        <f t="shared" ca="1" si="444"/>
        <v>-13.029899999999998</v>
      </c>
      <c r="Q3500" s="11" t="str">
        <f t="shared" ca="1" si="430"/>
        <v/>
      </c>
      <c r="R3500" s="11" t="str">
        <f t="shared" ca="1" si="431"/>
        <v/>
      </c>
      <c r="S3500" s="61" t="str">
        <f t="shared" ca="1" si="432"/>
        <v/>
      </c>
      <c r="T3500" s="11" t="str">
        <f t="shared" ca="1" si="433"/>
        <v/>
      </c>
      <c r="U3500" s="11" t="str">
        <f t="shared" ca="1" si="434"/>
        <v/>
      </c>
      <c r="V3500" s="18" t="str">
        <f t="shared" ca="1" si="435"/>
        <v/>
      </c>
      <c r="W3500" s="61" t="str">
        <f t="shared" ca="1" si="436"/>
        <v/>
      </c>
      <c r="X3500" s="61">
        <f t="shared" ca="1" si="437"/>
        <v>0</v>
      </c>
      <c r="Y3500" s="64" t="str">
        <f t="shared" ca="1" si="438"/>
        <v/>
      </c>
    </row>
    <row r="3501" spans="1:25">
      <c r="A3501" s="2">
        <f>+Get_Data!A3500</f>
        <v>0</v>
      </c>
      <c r="B3501">
        <f>+ROUND(Get_Data!B3500,5)</f>
        <v>0</v>
      </c>
      <c r="C3501">
        <f>+ROUND(Get_Data!C3500,5)</f>
        <v>0</v>
      </c>
      <c r="D3501" s="4" t="str">
        <f t="shared" si="423"/>
        <v/>
      </c>
      <c r="E3501" s="22">
        <f t="shared" ca="1" si="424"/>
        <v>0</v>
      </c>
      <c r="F3501" s="23">
        <f t="shared" ca="1" si="425"/>
        <v>0</v>
      </c>
      <c r="G3501" s="10">
        <f t="shared" ca="1" si="426"/>
        <v>0</v>
      </c>
      <c r="H3501" s="12">
        <f t="shared" ca="1" si="427"/>
        <v>0</v>
      </c>
      <c r="I3501" s="11">
        <f t="shared" ca="1" si="428"/>
        <v>0</v>
      </c>
      <c r="J3501" s="11">
        <f t="shared" ca="1" si="429"/>
        <v>-1</v>
      </c>
      <c r="K3501" s="10">
        <f t="shared" ca="1" si="439"/>
        <v>131.24001000000001</v>
      </c>
      <c r="L3501" s="11">
        <f t="shared" ca="1" si="440"/>
        <v>-49.09</v>
      </c>
      <c r="M3501" s="11">
        <f t="shared" ca="1" si="441"/>
        <v>2.6734599999999999</v>
      </c>
      <c r="N3501" s="15">
        <f t="shared" ca="1" si="442"/>
        <v>10</v>
      </c>
      <c r="O3501" s="15">
        <f t="shared" ca="1" si="443"/>
        <v>27</v>
      </c>
      <c r="P3501" s="16">
        <f t="shared" ca="1" si="444"/>
        <v>-13.029899999999998</v>
      </c>
      <c r="Q3501" s="11" t="str">
        <f t="shared" ca="1" si="430"/>
        <v/>
      </c>
      <c r="R3501" s="11" t="str">
        <f t="shared" ca="1" si="431"/>
        <v/>
      </c>
      <c r="S3501" s="61" t="str">
        <f t="shared" ca="1" si="432"/>
        <v/>
      </c>
      <c r="T3501" s="11" t="str">
        <f t="shared" ca="1" si="433"/>
        <v/>
      </c>
      <c r="U3501" s="11" t="str">
        <f t="shared" ca="1" si="434"/>
        <v/>
      </c>
      <c r="V3501" s="18" t="str">
        <f t="shared" ca="1" si="435"/>
        <v/>
      </c>
      <c r="W3501" s="61" t="str">
        <f t="shared" ca="1" si="436"/>
        <v/>
      </c>
      <c r="X3501" s="61">
        <f t="shared" ca="1" si="437"/>
        <v>0</v>
      </c>
      <c r="Y3501" s="64" t="str">
        <f t="shared" ca="1" si="438"/>
        <v/>
      </c>
    </row>
    <row r="3502" spans="1:25">
      <c r="A3502" s="2">
        <f>+Get_Data!A3501</f>
        <v>0</v>
      </c>
      <c r="B3502">
        <f>+ROUND(Get_Data!B3501,5)</f>
        <v>0</v>
      </c>
      <c r="C3502">
        <f>+ROUND(Get_Data!C3501,5)</f>
        <v>0</v>
      </c>
      <c r="D3502" s="4" t="str">
        <f t="shared" si="423"/>
        <v/>
      </c>
      <c r="E3502" s="22">
        <f t="shared" ca="1" si="424"/>
        <v>0</v>
      </c>
      <c r="F3502" s="23">
        <f t="shared" ca="1" si="425"/>
        <v>0</v>
      </c>
      <c r="G3502" s="10">
        <f t="shared" ca="1" si="426"/>
        <v>0</v>
      </c>
      <c r="H3502" s="12">
        <f t="shared" ca="1" si="427"/>
        <v>0</v>
      </c>
      <c r="I3502" s="11">
        <f t="shared" ca="1" si="428"/>
        <v>0</v>
      </c>
      <c r="J3502" s="11">
        <f t="shared" ca="1" si="429"/>
        <v>-1</v>
      </c>
      <c r="K3502" s="10">
        <f t="shared" ca="1" si="439"/>
        <v>131.24001000000001</v>
      </c>
      <c r="L3502" s="11">
        <f t="shared" ca="1" si="440"/>
        <v>-49.09</v>
      </c>
      <c r="M3502" s="11">
        <f t="shared" ca="1" si="441"/>
        <v>2.6734599999999999</v>
      </c>
      <c r="N3502" s="15">
        <f t="shared" ca="1" si="442"/>
        <v>10</v>
      </c>
      <c r="O3502" s="15">
        <f t="shared" ca="1" si="443"/>
        <v>27</v>
      </c>
      <c r="P3502" s="16">
        <f t="shared" ca="1" si="444"/>
        <v>-13.029899999999998</v>
      </c>
      <c r="Q3502" s="11" t="str">
        <f t="shared" ca="1" si="430"/>
        <v/>
      </c>
      <c r="R3502" s="11" t="str">
        <f t="shared" ca="1" si="431"/>
        <v/>
      </c>
      <c r="S3502" s="61" t="str">
        <f t="shared" ca="1" si="432"/>
        <v/>
      </c>
      <c r="T3502" s="11" t="str">
        <f t="shared" ca="1" si="433"/>
        <v/>
      </c>
      <c r="U3502" s="11" t="str">
        <f t="shared" ca="1" si="434"/>
        <v/>
      </c>
      <c r="V3502" s="18" t="str">
        <f t="shared" ca="1" si="435"/>
        <v/>
      </c>
      <c r="W3502" s="61" t="str">
        <f t="shared" ca="1" si="436"/>
        <v/>
      </c>
      <c r="X3502" s="61">
        <f t="shared" ca="1" si="437"/>
        <v>0</v>
      </c>
      <c r="Y3502" s="64" t="str">
        <f t="shared" ca="1" si="438"/>
        <v/>
      </c>
    </row>
    <row r="3503" spans="1:25">
      <c r="A3503" s="2">
        <f>+Get_Data!A3502</f>
        <v>0</v>
      </c>
      <c r="B3503">
        <f>+ROUND(Get_Data!B3502,5)</f>
        <v>0</v>
      </c>
      <c r="C3503">
        <f>+ROUND(Get_Data!C3502,5)</f>
        <v>0</v>
      </c>
      <c r="D3503" s="4" t="str">
        <f t="shared" si="423"/>
        <v/>
      </c>
      <c r="E3503" s="22">
        <f t="shared" ca="1" si="424"/>
        <v>0</v>
      </c>
      <c r="F3503" s="23">
        <f t="shared" ca="1" si="425"/>
        <v>0</v>
      </c>
      <c r="G3503" s="10">
        <f t="shared" ca="1" si="426"/>
        <v>0</v>
      </c>
      <c r="H3503" s="12">
        <f t="shared" ca="1" si="427"/>
        <v>0</v>
      </c>
      <c r="I3503" s="11">
        <f t="shared" ca="1" si="428"/>
        <v>0</v>
      </c>
      <c r="J3503" s="11">
        <f t="shared" ca="1" si="429"/>
        <v>-1</v>
      </c>
      <c r="K3503" s="10">
        <f t="shared" ca="1" si="439"/>
        <v>131.24001000000001</v>
      </c>
      <c r="L3503" s="11">
        <f t="shared" ca="1" si="440"/>
        <v>-49.09</v>
      </c>
      <c r="M3503" s="11">
        <f t="shared" ca="1" si="441"/>
        <v>2.6734599999999999</v>
      </c>
      <c r="N3503" s="15">
        <f t="shared" ca="1" si="442"/>
        <v>10</v>
      </c>
      <c r="O3503" s="15">
        <f t="shared" ca="1" si="443"/>
        <v>27</v>
      </c>
      <c r="P3503" s="16">
        <f t="shared" ca="1" si="444"/>
        <v>-13.029899999999998</v>
      </c>
      <c r="Q3503" s="11" t="str">
        <f t="shared" ca="1" si="430"/>
        <v/>
      </c>
      <c r="R3503" s="11" t="str">
        <f t="shared" ca="1" si="431"/>
        <v/>
      </c>
      <c r="S3503" s="61" t="str">
        <f t="shared" ca="1" si="432"/>
        <v/>
      </c>
      <c r="T3503" s="11" t="str">
        <f t="shared" ca="1" si="433"/>
        <v/>
      </c>
      <c r="U3503" s="11" t="str">
        <f t="shared" ca="1" si="434"/>
        <v/>
      </c>
      <c r="V3503" s="18" t="str">
        <f t="shared" ca="1" si="435"/>
        <v/>
      </c>
      <c r="W3503" s="61" t="str">
        <f t="shared" ca="1" si="436"/>
        <v/>
      </c>
      <c r="X3503" s="61">
        <f t="shared" ca="1" si="437"/>
        <v>0</v>
      </c>
      <c r="Y3503" s="64" t="str">
        <f t="shared" ca="1" si="438"/>
        <v/>
      </c>
    </row>
    <row r="3504" spans="1:25">
      <c r="A3504" s="2">
        <f>+Get_Data!A3503</f>
        <v>0</v>
      </c>
      <c r="B3504">
        <f>+ROUND(Get_Data!B3503,5)</f>
        <v>0</v>
      </c>
      <c r="C3504">
        <f>+ROUND(Get_Data!C3503,5)</f>
        <v>0</v>
      </c>
      <c r="D3504" s="4" t="str">
        <f t="shared" si="423"/>
        <v/>
      </c>
      <c r="E3504" s="22">
        <f t="shared" ca="1" si="424"/>
        <v>0</v>
      </c>
      <c r="F3504" s="23">
        <f t="shared" ca="1" si="425"/>
        <v>0</v>
      </c>
      <c r="G3504" s="10">
        <f t="shared" ca="1" si="426"/>
        <v>0</v>
      </c>
      <c r="H3504" s="12">
        <f t="shared" ca="1" si="427"/>
        <v>0</v>
      </c>
      <c r="I3504" s="11">
        <f t="shared" ca="1" si="428"/>
        <v>0</v>
      </c>
      <c r="J3504" s="11">
        <f t="shared" ca="1" si="429"/>
        <v>-1</v>
      </c>
      <c r="K3504" s="10">
        <f t="shared" ca="1" si="439"/>
        <v>131.24001000000001</v>
      </c>
      <c r="L3504" s="11">
        <f t="shared" ca="1" si="440"/>
        <v>-49.09</v>
      </c>
      <c r="M3504" s="11">
        <f t="shared" ca="1" si="441"/>
        <v>2.6734599999999999</v>
      </c>
      <c r="N3504" s="15">
        <f t="shared" ca="1" si="442"/>
        <v>10</v>
      </c>
      <c r="O3504" s="15">
        <f t="shared" ca="1" si="443"/>
        <v>27</v>
      </c>
      <c r="P3504" s="16">
        <f t="shared" ca="1" si="444"/>
        <v>-13.029899999999998</v>
      </c>
      <c r="Q3504" s="11" t="str">
        <f t="shared" ca="1" si="430"/>
        <v/>
      </c>
      <c r="R3504" s="11" t="str">
        <f t="shared" ca="1" si="431"/>
        <v/>
      </c>
      <c r="S3504" s="61" t="str">
        <f t="shared" ca="1" si="432"/>
        <v/>
      </c>
      <c r="T3504" s="11" t="str">
        <f t="shared" ca="1" si="433"/>
        <v/>
      </c>
      <c r="U3504" s="11" t="str">
        <f t="shared" ca="1" si="434"/>
        <v/>
      </c>
      <c r="V3504" s="18" t="str">
        <f t="shared" ca="1" si="435"/>
        <v/>
      </c>
      <c r="W3504" s="61" t="str">
        <f t="shared" ca="1" si="436"/>
        <v/>
      </c>
      <c r="X3504" s="61">
        <f t="shared" ca="1" si="437"/>
        <v>0</v>
      </c>
      <c r="Y3504" s="64" t="str">
        <f t="shared" ca="1" si="438"/>
        <v/>
      </c>
    </row>
    <row r="3505" spans="1:25">
      <c r="A3505" s="2">
        <f>+Get_Data!A3504</f>
        <v>0</v>
      </c>
      <c r="B3505">
        <f>+ROUND(Get_Data!B3504,5)</f>
        <v>0</v>
      </c>
      <c r="C3505">
        <f>+ROUND(Get_Data!C3504,5)</f>
        <v>0</v>
      </c>
      <c r="D3505" s="4" t="str">
        <f t="shared" si="423"/>
        <v/>
      </c>
      <c r="E3505" s="22">
        <f t="shared" ca="1" si="424"/>
        <v>0</v>
      </c>
      <c r="F3505" s="23">
        <f t="shared" ca="1" si="425"/>
        <v>0</v>
      </c>
      <c r="G3505" s="10">
        <f t="shared" ca="1" si="426"/>
        <v>0</v>
      </c>
      <c r="H3505" s="12">
        <f t="shared" ca="1" si="427"/>
        <v>0</v>
      </c>
      <c r="I3505" s="11">
        <f t="shared" ca="1" si="428"/>
        <v>0</v>
      </c>
      <c r="J3505" s="11">
        <f t="shared" ca="1" si="429"/>
        <v>-1</v>
      </c>
      <c r="K3505" s="10">
        <f t="shared" ca="1" si="439"/>
        <v>131.24001000000001</v>
      </c>
      <c r="L3505" s="11">
        <f t="shared" ca="1" si="440"/>
        <v>-49.09</v>
      </c>
      <c r="M3505" s="11">
        <f t="shared" ca="1" si="441"/>
        <v>2.6734599999999999</v>
      </c>
      <c r="N3505" s="15">
        <f t="shared" ca="1" si="442"/>
        <v>10</v>
      </c>
      <c r="O3505" s="15">
        <f t="shared" ca="1" si="443"/>
        <v>27</v>
      </c>
      <c r="P3505" s="16">
        <f t="shared" ca="1" si="444"/>
        <v>-13.029899999999998</v>
      </c>
      <c r="Q3505" s="11" t="str">
        <f t="shared" ca="1" si="430"/>
        <v/>
      </c>
      <c r="R3505" s="11" t="str">
        <f t="shared" ca="1" si="431"/>
        <v/>
      </c>
      <c r="S3505" s="61" t="str">
        <f t="shared" ca="1" si="432"/>
        <v/>
      </c>
      <c r="T3505" s="11" t="str">
        <f t="shared" ca="1" si="433"/>
        <v/>
      </c>
      <c r="U3505" s="11" t="str">
        <f t="shared" ca="1" si="434"/>
        <v/>
      </c>
      <c r="V3505" s="18" t="str">
        <f t="shared" ca="1" si="435"/>
        <v/>
      </c>
      <c r="W3505" s="61" t="str">
        <f t="shared" ca="1" si="436"/>
        <v/>
      </c>
      <c r="X3505" s="61">
        <f t="shared" ca="1" si="437"/>
        <v>0</v>
      </c>
      <c r="Y3505" s="64" t="str">
        <f t="shared" ca="1" si="438"/>
        <v/>
      </c>
    </row>
    <row r="3506" spans="1:25">
      <c r="A3506" s="2">
        <f>+Get_Data!A3505</f>
        <v>0</v>
      </c>
      <c r="B3506">
        <f>+ROUND(Get_Data!B3505,5)</f>
        <v>0</v>
      </c>
      <c r="C3506">
        <f>+ROUND(Get_Data!C3505,5)</f>
        <v>0</v>
      </c>
      <c r="D3506" s="4" t="str">
        <f t="shared" ref="D3506:D3569" si="445">IFERROR(ROUND(B3506/C3506,5),"")</f>
        <v/>
      </c>
      <c r="E3506" s="22">
        <f t="shared" ca="1" si="424"/>
        <v>0</v>
      </c>
      <c r="F3506" s="23">
        <f t="shared" ca="1" si="425"/>
        <v>0</v>
      </c>
      <c r="G3506" s="10">
        <f t="shared" ca="1" si="426"/>
        <v>0</v>
      </c>
      <c r="H3506" s="12">
        <f t="shared" ca="1" si="427"/>
        <v>0</v>
      </c>
      <c r="I3506" s="11">
        <f t="shared" ca="1" si="428"/>
        <v>0</v>
      </c>
      <c r="J3506" s="11">
        <f t="shared" ca="1" si="429"/>
        <v>-1</v>
      </c>
      <c r="K3506" s="10">
        <f t="shared" ca="1" si="439"/>
        <v>131.24001000000001</v>
      </c>
      <c r="L3506" s="11">
        <f t="shared" ca="1" si="440"/>
        <v>-49.09</v>
      </c>
      <c r="M3506" s="11">
        <f t="shared" ca="1" si="441"/>
        <v>2.6734599999999999</v>
      </c>
      <c r="N3506" s="15">
        <f t="shared" ca="1" si="442"/>
        <v>10</v>
      </c>
      <c r="O3506" s="15">
        <f t="shared" ca="1" si="443"/>
        <v>27</v>
      </c>
      <c r="P3506" s="16">
        <f t="shared" ca="1" si="444"/>
        <v>-13.029899999999998</v>
      </c>
      <c r="Q3506" s="11" t="str">
        <f t="shared" ca="1" si="430"/>
        <v/>
      </c>
      <c r="R3506" s="11" t="str">
        <f t="shared" ca="1" si="431"/>
        <v/>
      </c>
      <c r="S3506" s="61" t="str">
        <f t="shared" ca="1" si="432"/>
        <v/>
      </c>
      <c r="T3506" s="11" t="str">
        <f t="shared" ca="1" si="433"/>
        <v/>
      </c>
      <c r="U3506" s="11" t="str">
        <f t="shared" ca="1" si="434"/>
        <v/>
      </c>
      <c r="V3506" s="18" t="str">
        <f t="shared" ca="1" si="435"/>
        <v/>
      </c>
      <c r="W3506" s="61" t="str">
        <f t="shared" ca="1" si="436"/>
        <v/>
      </c>
      <c r="X3506" s="61">
        <f t="shared" ca="1" si="437"/>
        <v>0</v>
      </c>
      <c r="Y3506" s="64" t="str">
        <f t="shared" ca="1" si="438"/>
        <v/>
      </c>
    </row>
    <row r="3507" spans="1:25">
      <c r="A3507" s="2">
        <f>+Get_Data!A3506</f>
        <v>0</v>
      </c>
      <c r="B3507">
        <f>+ROUND(Get_Data!B3506,5)</f>
        <v>0</v>
      </c>
      <c r="C3507">
        <f>+ROUND(Get_Data!C3506,5)</f>
        <v>0</v>
      </c>
      <c r="D3507" s="4" t="str">
        <f t="shared" si="445"/>
        <v/>
      </c>
      <c r="E3507" s="22">
        <f t="shared" ca="1" si="424"/>
        <v>0</v>
      </c>
      <c r="F3507" s="23">
        <f t="shared" ca="1" si="425"/>
        <v>0</v>
      </c>
      <c r="G3507" s="10">
        <f t="shared" ca="1" si="426"/>
        <v>0</v>
      </c>
      <c r="H3507" s="12">
        <f t="shared" ca="1" si="427"/>
        <v>0</v>
      </c>
      <c r="I3507" s="11">
        <f t="shared" ca="1" si="428"/>
        <v>0</v>
      </c>
      <c r="J3507" s="11">
        <f t="shared" ca="1" si="429"/>
        <v>-1</v>
      </c>
      <c r="K3507" s="10">
        <f t="shared" ca="1" si="439"/>
        <v>131.24001000000001</v>
      </c>
      <c r="L3507" s="11">
        <f t="shared" ca="1" si="440"/>
        <v>-49.09</v>
      </c>
      <c r="M3507" s="11">
        <f t="shared" ca="1" si="441"/>
        <v>2.6734599999999999</v>
      </c>
      <c r="N3507" s="15">
        <f t="shared" ca="1" si="442"/>
        <v>10</v>
      </c>
      <c r="O3507" s="15">
        <f t="shared" ca="1" si="443"/>
        <v>27</v>
      </c>
      <c r="P3507" s="16">
        <f t="shared" ca="1" si="444"/>
        <v>-13.029899999999998</v>
      </c>
      <c r="Q3507" s="11" t="str">
        <f t="shared" ca="1" si="430"/>
        <v/>
      </c>
      <c r="R3507" s="11" t="str">
        <f t="shared" ca="1" si="431"/>
        <v/>
      </c>
      <c r="S3507" s="61" t="str">
        <f t="shared" ca="1" si="432"/>
        <v/>
      </c>
      <c r="T3507" s="11" t="str">
        <f t="shared" ca="1" si="433"/>
        <v/>
      </c>
      <c r="U3507" s="11" t="str">
        <f t="shared" ca="1" si="434"/>
        <v/>
      </c>
      <c r="V3507" s="18" t="str">
        <f t="shared" ca="1" si="435"/>
        <v/>
      </c>
      <c r="W3507" s="61" t="str">
        <f t="shared" ca="1" si="436"/>
        <v/>
      </c>
      <c r="X3507" s="61">
        <f t="shared" ca="1" si="437"/>
        <v>0</v>
      </c>
      <c r="Y3507" s="64" t="str">
        <f t="shared" ca="1" si="438"/>
        <v/>
      </c>
    </row>
    <row r="3508" spans="1:25">
      <c r="A3508" s="2">
        <f>+Get_Data!A3507</f>
        <v>0</v>
      </c>
      <c r="B3508">
        <f>+ROUND(Get_Data!B3507,5)</f>
        <v>0</v>
      </c>
      <c r="C3508">
        <f>+ROUND(Get_Data!C3507,5)</f>
        <v>0</v>
      </c>
      <c r="D3508" s="4" t="str">
        <f t="shared" si="445"/>
        <v/>
      </c>
      <c r="E3508" s="22">
        <f t="shared" ca="1" si="424"/>
        <v>0</v>
      </c>
      <c r="F3508" s="23">
        <f t="shared" ca="1" si="425"/>
        <v>0</v>
      </c>
      <c r="G3508" s="10">
        <f t="shared" ca="1" si="426"/>
        <v>0</v>
      </c>
      <c r="H3508" s="12">
        <f t="shared" ca="1" si="427"/>
        <v>0</v>
      </c>
      <c r="I3508" s="11">
        <f t="shared" ca="1" si="428"/>
        <v>0</v>
      </c>
      <c r="J3508" s="11">
        <f t="shared" ca="1" si="429"/>
        <v>-1</v>
      </c>
      <c r="K3508" s="10">
        <f t="shared" ca="1" si="439"/>
        <v>131.24001000000001</v>
      </c>
      <c r="L3508" s="11">
        <f t="shared" ca="1" si="440"/>
        <v>-49.09</v>
      </c>
      <c r="M3508" s="11">
        <f t="shared" ca="1" si="441"/>
        <v>2.6734599999999999</v>
      </c>
      <c r="N3508" s="15">
        <f t="shared" ca="1" si="442"/>
        <v>10</v>
      </c>
      <c r="O3508" s="15">
        <f t="shared" ca="1" si="443"/>
        <v>27</v>
      </c>
      <c r="P3508" s="16">
        <f t="shared" ca="1" si="444"/>
        <v>-13.029899999999998</v>
      </c>
      <c r="Q3508" s="11" t="str">
        <f t="shared" ca="1" si="430"/>
        <v/>
      </c>
      <c r="R3508" s="11" t="str">
        <f t="shared" ca="1" si="431"/>
        <v/>
      </c>
      <c r="S3508" s="61" t="str">
        <f t="shared" ca="1" si="432"/>
        <v/>
      </c>
      <c r="T3508" s="11" t="str">
        <f t="shared" ca="1" si="433"/>
        <v/>
      </c>
      <c r="U3508" s="11" t="str">
        <f t="shared" ca="1" si="434"/>
        <v/>
      </c>
      <c r="V3508" s="18" t="str">
        <f t="shared" ca="1" si="435"/>
        <v/>
      </c>
      <c r="W3508" s="61" t="str">
        <f t="shared" ca="1" si="436"/>
        <v/>
      </c>
      <c r="X3508" s="61">
        <f t="shared" ca="1" si="437"/>
        <v>0</v>
      </c>
      <c r="Y3508" s="64" t="str">
        <f t="shared" ca="1" si="438"/>
        <v/>
      </c>
    </row>
    <row r="3509" spans="1:25">
      <c r="A3509" s="2">
        <f>+Get_Data!A3508</f>
        <v>0</v>
      </c>
      <c r="B3509">
        <f>+ROUND(Get_Data!B3508,5)</f>
        <v>0</v>
      </c>
      <c r="C3509">
        <f>+ROUND(Get_Data!C3508,5)</f>
        <v>0</v>
      </c>
      <c r="D3509" s="4" t="str">
        <f t="shared" si="445"/>
        <v/>
      </c>
      <c r="E3509" s="22">
        <f t="shared" ca="1" si="424"/>
        <v>0</v>
      </c>
      <c r="F3509" s="23">
        <f t="shared" ca="1" si="425"/>
        <v>0</v>
      </c>
      <c r="G3509" s="10">
        <f t="shared" ca="1" si="426"/>
        <v>0</v>
      </c>
      <c r="H3509" s="12">
        <f t="shared" ca="1" si="427"/>
        <v>0</v>
      </c>
      <c r="I3509" s="11">
        <f t="shared" ca="1" si="428"/>
        <v>0</v>
      </c>
      <c r="J3509" s="11">
        <f t="shared" ca="1" si="429"/>
        <v>-1</v>
      </c>
      <c r="K3509" s="10">
        <f t="shared" ca="1" si="439"/>
        <v>131.24001000000001</v>
      </c>
      <c r="L3509" s="11">
        <f t="shared" ca="1" si="440"/>
        <v>-49.09</v>
      </c>
      <c r="M3509" s="11">
        <f t="shared" ca="1" si="441"/>
        <v>2.6734599999999999</v>
      </c>
      <c r="N3509" s="15">
        <f t="shared" ca="1" si="442"/>
        <v>10</v>
      </c>
      <c r="O3509" s="15">
        <f t="shared" ca="1" si="443"/>
        <v>27</v>
      </c>
      <c r="P3509" s="16">
        <f t="shared" ca="1" si="444"/>
        <v>-13.029899999999998</v>
      </c>
      <c r="Q3509" s="11" t="str">
        <f t="shared" ca="1" si="430"/>
        <v/>
      </c>
      <c r="R3509" s="11" t="str">
        <f t="shared" ca="1" si="431"/>
        <v/>
      </c>
      <c r="S3509" s="61" t="str">
        <f t="shared" ca="1" si="432"/>
        <v/>
      </c>
      <c r="T3509" s="11" t="str">
        <f t="shared" ca="1" si="433"/>
        <v/>
      </c>
      <c r="U3509" s="11" t="str">
        <f t="shared" ca="1" si="434"/>
        <v/>
      </c>
      <c r="V3509" s="18" t="str">
        <f t="shared" ca="1" si="435"/>
        <v/>
      </c>
      <c r="W3509" s="61" t="str">
        <f t="shared" ca="1" si="436"/>
        <v/>
      </c>
      <c r="X3509" s="61">
        <f t="shared" ca="1" si="437"/>
        <v>0</v>
      </c>
      <c r="Y3509" s="64" t="str">
        <f t="shared" ca="1" si="438"/>
        <v/>
      </c>
    </row>
    <row r="3510" spans="1:25">
      <c r="A3510" s="2">
        <f>+Get_Data!A3509</f>
        <v>0</v>
      </c>
      <c r="B3510">
        <f>+ROUND(Get_Data!B3509,5)</f>
        <v>0</v>
      </c>
      <c r="C3510">
        <f>+ROUND(Get_Data!C3509,5)</f>
        <v>0</v>
      </c>
      <c r="D3510" s="4" t="str">
        <f t="shared" si="445"/>
        <v/>
      </c>
      <c r="E3510" s="22">
        <f t="shared" ca="1" si="424"/>
        <v>0</v>
      </c>
      <c r="F3510" s="23">
        <f t="shared" ca="1" si="425"/>
        <v>0</v>
      </c>
      <c r="G3510" s="10">
        <f t="shared" ca="1" si="426"/>
        <v>0</v>
      </c>
      <c r="H3510" s="12">
        <f t="shared" ca="1" si="427"/>
        <v>0</v>
      </c>
      <c r="I3510" s="11">
        <f t="shared" ca="1" si="428"/>
        <v>0</v>
      </c>
      <c r="J3510" s="11">
        <f t="shared" ca="1" si="429"/>
        <v>-1</v>
      </c>
      <c r="K3510" s="10">
        <f t="shared" ca="1" si="439"/>
        <v>131.24001000000001</v>
      </c>
      <c r="L3510" s="11">
        <f t="shared" ca="1" si="440"/>
        <v>-49.09</v>
      </c>
      <c r="M3510" s="11">
        <f t="shared" ca="1" si="441"/>
        <v>2.6734599999999999</v>
      </c>
      <c r="N3510" s="15">
        <f t="shared" ca="1" si="442"/>
        <v>10</v>
      </c>
      <c r="O3510" s="15">
        <f t="shared" ca="1" si="443"/>
        <v>27</v>
      </c>
      <c r="P3510" s="16">
        <f t="shared" ca="1" si="444"/>
        <v>-13.029899999999998</v>
      </c>
      <c r="Q3510" s="11" t="str">
        <f t="shared" ca="1" si="430"/>
        <v/>
      </c>
      <c r="R3510" s="11" t="str">
        <f t="shared" ca="1" si="431"/>
        <v/>
      </c>
      <c r="S3510" s="61" t="str">
        <f t="shared" ca="1" si="432"/>
        <v/>
      </c>
      <c r="T3510" s="11" t="str">
        <f t="shared" ca="1" si="433"/>
        <v/>
      </c>
      <c r="U3510" s="11" t="str">
        <f t="shared" ca="1" si="434"/>
        <v/>
      </c>
      <c r="V3510" s="18" t="str">
        <f t="shared" ca="1" si="435"/>
        <v/>
      </c>
      <c r="W3510" s="61" t="str">
        <f t="shared" ca="1" si="436"/>
        <v/>
      </c>
      <c r="X3510" s="61">
        <f t="shared" ca="1" si="437"/>
        <v>0</v>
      </c>
      <c r="Y3510" s="64" t="str">
        <f t="shared" ca="1" si="438"/>
        <v/>
      </c>
    </row>
    <row r="3511" spans="1:25">
      <c r="A3511" s="2">
        <f>+Get_Data!A3510</f>
        <v>0</v>
      </c>
      <c r="B3511">
        <f>+ROUND(Get_Data!B3510,5)</f>
        <v>0</v>
      </c>
      <c r="C3511">
        <f>+ROUND(Get_Data!C3510,5)</f>
        <v>0</v>
      </c>
      <c r="D3511" s="4" t="str">
        <f t="shared" si="445"/>
        <v/>
      </c>
      <c r="E3511" s="22">
        <f t="shared" ca="1" si="424"/>
        <v>0</v>
      </c>
      <c r="F3511" s="23">
        <f t="shared" ca="1" si="425"/>
        <v>0</v>
      </c>
      <c r="G3511" s="10">
        <f t="shared" ca="1" si="426"/>
        <v>0</v>
      </c>
      <c r="H3511" s="12">
        <f t="shared" ca="1" si="427"/>
        <v>0</v>
      </c>
      <c r="I3511" s="11">
        <f t="shared" ca="1" si="428"/>
        <v>0</v>
      </c>
      <c r="J3511" s="11">
        <f t="shared" ca="1" si="429"/>
        <v>-1</v>
      </c>
      <c r="K3511" s="10">
        <f t="shared" ca="1" si="439"/>
        <v>131.24001000000001</v>
      </c>
      <c r="L3511" s="11">
        <f t="shared" ca="1" si="440"/>
        <v>-49.09</v>
      </c>
      <c r="M3511" s="11">
        <f t="shared" ca="1" si="441"/>
        <v>2.6734599999999999</v>
      </c>
      <c r="N3511" s="15">
        <f t="shared" ca="1" si="442"/>
        <v>10</v>
      </c>
      <c r="O3511" s="15">
        <f t="shared" ca="1" si="443"/>
        <v>27</v>
      </c>
      <c r="P3511" s="16">
        <f t="shared" ca="1" si="444"/>
        <v>-13.029899999999998</v>
      </c>
      <c r="Q3511" s="11" t="str">
        <f t="shared" ca="1" si="430"/>
        <v/>
      </c>
      <c r="R3511" s="11" t="str">
        <f t="shared" ca="1" si="431"/>
        <v/>
      </c>
      <c r="S3511" s="61" t="str">
        <f t="shared" ca="1" si="432"/>
        <v/>
      </c>
      <c r="T3511" s="11" t="str">
        <f t="shared" ca="1" si="433"/>
        <v/>
      </c>
      <c r="U3511" s="11" t="str">
        <f t="shared" ca="1" si="434"/>
        <v/>
      </c>
      <c r="V3511" s="18" t="str">
        <f t="shared" ca="1" si="435"/>
        <v/>
      </c>
      <c r="W3511" s="61" t="str">
        <f t="shared" ca="1" si="436"/>
        <v/>
      </c>
      <c r="X3511" s="61">
        <f t="shared" ca="1" si="437"/>
        <v>0</v>
      </c>
      <c r="Y3511" s="64" t="str">
        <f t="shared" ca="1" si="438"/>
        <v/>
      </c>
    </row>
    <row r="3512" spans="1:25">
      <c r="A3512" s="2">
        <f>+Get_Data!A3511</f>
        <v>0</v>
      </c>
      <c r="B3512">
        <f>+ROUND(Get_Data!B3511,5)</f>
        <v>0</v>
      </c>
      <c r="C3512">
        <f>+ROUND(Get_Data!C3511,5)</f>
        <v>0</v>
      </c>
      <c r="D3512" s="4" t="str">
        <f t="shared" si="445"/>
        <v/>
      </c>
      <c r="E3512" s="22">
        <f t="shared" ca="1" si="424"/>
        <v>0</v>
      </c>
      <c r="F3512" s="23">
        <f t="shared" ca="1" si="425"/>
        <v>0</v>
      </c>
      <c r="G3512" s="10">
        <f t="shared" ca="1" si="426"/>
        <v>0</v>
      </c>
      <c r="H3512" s="12">
        <f t="shared" ca="1" si="427"/>
        <v>0</v>
      </c>
      <c r="I3512" s="11">
        <f t="shared" ca="1" si="428"/>
        <v>0</v>
      </c>
      <c r="J3512" s="11">
        <f t="shared" ca="1" si="429"/>
        <v>-1</v>
      </c>
      <c r="K3512" s="10">
        <f t="shared" ca="1" si="439"/>
        <v>131.24001000000001</v>
      </c>
      <c r="L3512" s="11">
        <f t="shared" ca="1" si="440"/>
        <v>-49.09</v>
      </c>
      <c r="M3512" s="11">
        <f t="shared" ca="1" si="441"/>
        <v>2.6734599999999999</v>
      </c>
      <c r="N3512" s="15">
        <f t="shared" ca="1" si="442"/>
        <v>10</v>
      </c>
      <c r="O3512" s="15">
        <f t="shared" ca="1" si="443"/>
        <v>27</v>
      </c>
      <c r="P3512" s="16">
        <f t="shared" ca="1" si="444"/>
        <v>-13.029899999999998</v>
      </c>
      <c r="Q3512" s="11" t="str">
        <f t="shared" ca="1" si="430"/>
        <v/>
      </c>
      <c r="R3512" s="11" t="str">
        <f t="shared" ca="1" si="431"/>
        <v/>
      </c>
      <c r="S3512" s="61" t="str">
        <f t="shared" ca="1" si="432"/>
        <v/>
      </c>
      <c r="T3512" s="11" t="str">
        <f t="shared" ca="1" si="433"/>
        <v/>
      </c>
      <c r="U3512" s="11" t="str">
        <f t="shared" ca="1" si="434"/>
        <v/>
      </c>
      <c r="V3512" s="18" t="str">
        <f t="shared" ca="1" si="435"/>
        <v/>
      </c>
      <c r="W3512" s="61" t="str">
        <f t="shared" ca="1" si="436"/>
        <v/>
      </c>
      <c r="X3512" s="61">
        <f t="shared" ca="1" si="437"/>
        <v>0</v>
      </c>
      <c r="Y3512" s="64" t="str">
        <f t="shared" ca="1" si="438"/>
        <v/>
      </c>
    </row>
    <row r="3513" spans="1:25">
      <c r="A3513" s="2">
        <f>+Get_Data!A3512</f>
        <v>0</v>
      </c>
      <c r="B3513">
        <f>+ROUND(Get_Data!B3512,5)</f>
        <v>0</v>
      </c>
      <c r="C3513">
        <f>+ROUND(Get_Data!C3512,5)</f>
        <v>0</v>
      </c>
      <c r="D3513" s="4" t="str">
        <f t="shared" si="445"/>
        <v/>
      </c>
      <c r="E3513" s="22">
        <f t="shared" ca="1" si="424"/>
        <v>0</v>
      </c>
      <c r="F3513" s="23">
        <f t="shared" ca="1" si="425"/>
        <v>0</v>
      </c>
      <c r="G3513" s="10">
        <f t="shared" ca="1" si="426"/>
        <v>0</v>
      </c>
      <c r="H3513" s="12">
        <f t="shared" ca="1" si="427"/>
        <v>0</v>
      </c>
      <c r="I3513" s="11">
        <f t="shared" ca="1" si="428"/>
        <v>0</v>
      </c>
      <c r="J3513" s="11">
        <f t="shared" ca="1" si="429"/>
        <v>-1</v>
      </c>
      <c r="K3513" s="10">
        <f t="shared" ca="1" si="439"/>
        <v>131.24001000000001</v>
      </c>
      <c r="L3513" s="11">
        <f t="shared" ca="1" si="440"/>
        <v>-49.09</v>
      </c>
      <c r="M3513" s="11">
        <f t="shared" ca="1" si="441"/>
        <v>2.6734599999999999</v>
      </c>
      <c r="N3513" s="15">
        <f t="shared" ca="1" si="442"/>
        <v>10</v>
      </c>
      <c r="O3513" s="15">
        <f t="shared" ca="1" si="443"/>
        <v>27</v>
      </c>
      <c r="P3513" s="16">
        <f t="shared" ca="1" si="444"/>
        <v>-13.029899999999998</v>
      </c>
      <c r="Q3513" s="11" t="str">
        <f t="shared" ca="1" si="430"/>
        <v/>
      </c>
      <c r="R3513" s="11" t="str">
        <f t="shared" ca="1" si="431"/>
        <v/>
      </c>
      <c r="S3513" s="61" t="str">
        <f t="shared" ca="1" si="432"/>
        <v/>
      </c>
      <c r="T3513" s="11" t="str">
        <f t="shared" ca="1" si="433"/>
        <v/>
      </c>
      <c r="U3513" s="11" t="str">
        <f t="shared" ca="1" si="434"/>
        <v/>
      </c>
      <c r="V3513" s="18" t="str">
        <f t="shared" ca="1" si="435"/>
        <v/>
      </c>
      <c r="W3513" s="61" t="str">
        <f t="shared" ca="1" si="436"/>
        <v/>
      </c>
      <c r="X3513" s="61">
        <f t="shared" ca="1" si="437"/>
        <v>0</v>
      </c>
      <c r="Y3513" s="64" t="str">
        <f t="shared" ca="1" si="438"/>
        <v/>
      </c>
    </row>
    <row r="3514" spans="1:25">
      <c r="A3514" s="2">
        <f>+Get_Data!A3513</f>
        <v>0</v>
      </c>
      <c r="B3514">
        <f>+ROUND(Get_Data!B3513,5)</f>
        <v>0</v>
      </c>
      <c r="C3514">
        <f>+ROUND(Get_Data!C3513,5)</f>
        <v>0</v>
      </c>
      <c r="D3514" s="4" t="str">
        <f t="shared" si="445"/>
        <v/>
      </c>
      <c r="E3514" s="22">
        <f t="shared" ca="1" si="424"/>
        <v>0</v>
      </c>
      <c r="F3514" s="23">
        <f t="shared" ca="1" si="425"/>
        <v>0</v>
      </c>
      <c r="G3514" s="10">
        <f t="shared" ca="1" si="426"/>
        <v>0</v>
      </c>
      <c r="H3514" s="12">
        <f t="shared" ca="1" si="427"/>
        <v>0</v>
      </c>
      <c r="I3514" s="11">
        <f t="shared" ca="1" si="428"/>
        <v>0</v>
      </c>
      <c r="J3514" s="11">
        <f t="shared" ca="1" si="429"/>
        <v>-1</v>
      </c>
      <c r="K3514" s="10">
        <f t="shared" ca="1" si="439"/>
        <v>131.24001000000001</v>
      </c>
      <c r="L3514" s="11">
        <f t="shared" ca="1" si="440"/>
        <v>-49.09</v>
      </c>
      <c r="M3514" s="11">
        <f t="shared" ca="1" si="441"/>
        <v>2.6734599999999999</v>
      </c>
      <c r="N3514" s="15">
        <f t="shared" ca="1" si="442"/>
        <v>10</v>
      </c>
      <c r="O3514" s="15">
        <f t="shared" ca="1" si="443"/>
        <v>27</v>
      </c>
      <c r="P3514" s="16">
        <f t="shared" ca="1" si="444"/>
        <v>-13.029899999999998</v>
      </c>
      <c r="Q3514" s="11" t="str">
        <f t="shared" ca="1" si="430"/>
        <v/>
      </c>
      <c r="R3514" s="11" t="str">
        <f t="shared" ca="1" si="431"/>
        <v/>
      </c>
      <c r="S3514" s="61" t="str">
        <f t="shared" ca="1" si="432"/>
        <v/>
      </c>
      <c r="T3514" s="11" t="str">
        <f t="shared" ca="1" si="433"/>
        <v/>
      </c>
      <c r="U3514" s="11" t="str">
        <f t="shared" ca="1" si="434"/>
        <v/>
      </c>
      <c r="V3514" s="18" t="str">
        <f t="shared" ca="1" si="435"/>
        <v/>
      </c>
      <c r="W3514" s="61" t="str">
        <f t="shared" ca="1" si="436"/>
        <v/>
      </c>
      <c r="X3514" s="61">
        <f t="shared" ca="1" si="437"/>
        <v>0</v>
      </c>
      <c r="Y3514" s="64" t="str">
        <f t="shared" ca="1" si="438"/>
        <v/>
      </c>
    </row>
    <row r="3515" spans="1:25">
      <c r="A3515" s="2">
        <f>+Get_Data!A3514</f>
        <v>0</v>
      </c>
      <c r="B3515">
        <f>+ROUND(Get_Data!B3514,5)</f>
        <v>0</v>
      </c>
      <c r="C3515">
        <f>+ROUND(Get_Data!C3514,5)</f>
        <v>0</v>
      </c>
      <c r="D3515" s="4" t="str">
        <f t="shared" si="445"/>
        <v/>
      </c>
      <c r="E3515" s="22">
        <f t="shared" ca="1" si="424"/>
        <v>0</v>
      </c>
      <c r="F3515" s="23">
        <f t="shared" ca="1" si="425"/>
        <v>0</v>
      </c>
      <c r="G3515" s="10">
        <f t="shared" ca="1" si="426"/>
        <v>0</v>
      </c>
      <c r="H3515" s="12">
        <f t="shared" ca="1" si="427"/>
        <v>0</v>
      </c>
      <c r="I3515" s="11">
        <f t="shared" ca="1" si="428"/>
        <v>0</v>
      </c>
      <c r="J3515" s="11">
        <f t="shared" ca="1" si="429"/>
        <v>-1</v>
      </c>
      <c r="K3515" s="10">
        <f t="shared" ca="1" si="439"/>
        <v>131.24001000000001</v>
      </c>
      <c r="L3515" s="11">
        <f t="shared" ca="1" si="440"/>
        <v>-49.09</v>
      </c>
      <c r="M3515" s="11">
        <f t="shared" ca="1" si="441"/>
        <v>2.6734599999999999</v>
      </c>
      <c r="N3515" s="15">
        <f t="shared" ca="1" si="442"/>
        <v>10</v>
      </c>
      <c r="O3515" s="15">
        <f t="shared" ca="1" si="443"/>
        <v>27</v>
      </c>
      <c r="P3515" s="16">
        <f t="shared" ca="1" si="444"/>
        <v>-13.029899999999998</v>
      </c>
      <c r="Q3515" s="11" t="str">
        <f t="shared" ca="1" si="430"/>
        <v/>
      </c>
      <c r="R3515" s="11" t="str">
        <f t="shared" ca="1" si="431"/>
        <v/>
      </c>
      <c r="S3515" s="61" t="str">
        <f t="shared" ca="1" si="432"/>
        <v/>
      </c>
      <c r="T3515" s="11" t="str">
        <f t="shared" ca="1" si="433"/>
        <v/>
      </c>
      <c r="U3515" s="11" t="str">
        <f t="shared" ca="1" si="434"/>
        <v/>
      </c>
      <c r="V3515" s="18" t="str">
        <f t="shared" ca="1" si="435"/>
        <v/>
      </c>
      <c r="W3515" s="61" t="str">
        <f t="shared" ca="1" si="436"/>
        <v/>
      </c>
      <c r="X3515" s="61">
        <f t="shared" ca="1" si="437"/>
        <v>0</v>
      </c>
      <c r="Y3515" s="64" t="str">
        <f t="shared" ca="1" si="438"/>
        <v/>
      </c>
    </row>
    <row r="3516" spans="1:25">
      <c r="A3516" s="2">
        <f>+Get_Data!A3515</f>
        <v>0</v>
      </c>
      <c r="B3516">
        <f>+ROUND(Get_Data!B3515,5)</f>
        <v>0</v>
      </c>
      <c r="C3516">
        <f>+ROUND(Get_Data!C3515,5)</f>
        <v>0</v>
      </c>
      <c r="D3516" s="4" t="str">
        <f t="shared" si="445"/>
        <v/>
      </c>
      <c r="E3516" s="22">
        <f t="shared" ca="1" si="424"/>
        <v>0</v>
      </c>
      <c r="F3516" s="23">
        <f t="shared" ca="1" si="425"/>
        <v>0</v>
      </c>
      <c r="G3516" s="10">
        <f t="shared" ca="1" si="426"/>
        <v>0</v>
      </c>
      <c r="H3516" s="12">
        <f t="shared" ca="1" si="427"/>
        <v>0</v>
      </c>
      <c r="I3516" s="11">
        <f t="shared" ca="1" si="428"/>
        <v>0</v>
      </c>
      <c r="J3516" s="11">
        <f t="shared" ca="1" si="429"/>
        <v>-1</v>
      </c>
      <c r="K3516" s="10">
        <f t="shared" ca="1" si="439"/>
        <v>131.24001000000001</v>
      </c>
      <c r="L3516" s="11">
        <f t="shared" ca="1" si="440"/>
        <v>-49.09</v>
      </c>
      <c r="M3516" s="11">
        <f t="shared" ca="1" si="441"/>
        <v>2.6734599999999999</v>
      </c>
      <c r="N3516" s="15">
        <f t="shared" ca="1" si="442"/>
        <v>10</v>
      </c>
      <c r="O3516" s="15">
        <f t="shared" ca="1" si="443"/>
        <v>27</v>
      </c>
      <c r="P3516" s="16">
        <f t="shared" ca="1" si="444"/>
        <v>-13.029899999999998</v>
      </c>
      <c r="Q3516" s="11" t="str">
        <f t="shared" ca="1" si="430"/>
        <v/>
      </c>
      <c r="R3516" s="11" t="str">
        <f t="shared" ca="1" si="431"/>
        <v/>
      </c>
      <c r="S3516" s="61" t="str">
        <f t="shared" ca="1" si="432"/>
        <v/>
      </c>
      <c r="T3516" s="11" t="str">
        <f t="shared" ca="1" si="433"/>
        <v/>
      </c>
      <c r="U3516" s="11" t="str">
        <f t="shared" ca="1" si="434"/>
        <v/>
      </c>
      <c r="V3516" s="18" t="str">
        <f t="shared" ca="1" si="435"/>
        <v/>
      </c>
      <c r="W3516" s="61" t="str">
        <f t="shared" ca="1" si="436"/>
        <v/>
      </c>
      <c r="X3516" s="61">
        <f t="shared" ca="1" si="437"/>
        <v>0</v>
      </c>
      <c r="Y3516" s="64" t="str">
        <f t="shared" ca="1" si="438"/>
        <v/>
      </c>
    </row>
    <row r="3517" spans="1:25">
      <c r="A3517" s="2">
        <f>+Get_Data!A3516</f>
        <v>0</v>
      </c>
      <c r="B3517">
        <f>+ROUND(Get_Data!B3516,5)</f>
        <v>0</v>
      </c>
      <c r="C3517">
        <f>+ROUND(Get_Data!C3516,5)</f>
        <v>0</v>
      </c>
      <c r="D3517" s="4" t="str">
        <f t="shared" si="445"/>
        <v/>
      </c>
      <c r="E3517" s="22">
        <f t="shared" ca="1" si="424"/>
        <v>0</v>
      </c>
      <c r="F3517" s="23">
        <f t="shared" ca="1" si="425"/>
        <v>0</v>
      </c>
      <c r="G3517" s="10">
        <f t="shared" ca="1" si="426"/>
        <v>0</v>
      </c>
      <c r="H3517" s="12">
        <f t="shared" ca="1" si="427"/>
        <v>0</v>
      </c>
      <c r="I3517" s="11">
        <f t="shared" ca="1" si="428"/>
        <v>0</v>
      </c>
      <c r="J3517" s="11">
        <f t="shared" ca="1" si="429"/>
        <v>-1</v>
      </c>
      <c r="K3517" s="10">
        <f t="shared" ca="1" si="439"/>
        <v>131.24001000000001</v>
      </c>
      <c r="L3517" s="11">
        <f t="shared" ca="1" si="440"/>
        <v>-49.09</v>
      </c>
      <c r="M3517" s="11">
        <f t="shared" ca="1" si="441"/>
        <v>2.6734599999999999</v>
      </c>
      <c r="N3517" s="15">
        <f t="shared" ca="1" si="442"/>
        <v>10</v>
      </c>
      <c r="O3517" s="15">
        <f t="shared" ca="1" si="443"/>
        <v>27</v>
      </c>
      <c r="P3517" s="16">
        <f t="shared" ca="1" si="444"/>
        <v>-13.029899999999998</v>
      </c>
      <c r="Q3517" s="11" t="str">
        <f t="shared" ca="1" si="430"/>
        <v/>
      </c>
      <c r="R3517" s="11" t="str">
        <f t="shared" ca="1" si="431"/>
        <v/>
      </c>
      <c r="S3517" s="61" t="str">
        <f t="shared" ca="1" si="432"/>
        <v/>
      </c>
      <c r="T3517" s="11" t="str">
        <f t="shared" ca="1" si="433"/>
        <v/>
      </c>
      <c r="U3517" s="11" t="str">
        <f t="shared" ca="1" si="434"/>
        <v/>
      </c>
      <c r="V3517" s="18" t="str">
        <f t="shared" ca="1" si="435"/>
        <v/>
      </c>
      <c r="W3517" s="61" t="str">
        <f t="shared" ca="1" si="436"/>
        <v/>
      </c>
      <c r="X3517" s="61">
        <f t="shared" ca="1" si="437"/>
        <v>0</v>
      </c>
      <c r="Y3517" s="64" t="str">
        <f t="shared" ca="1" si="438"/>
        <v/>
      </c>
    </row>
    <row r="3518" spans="1:25">
      <c r="A3518" s="2">
        <f>+Get_Data!A3517</f>
        <v>0</v>
      </c>
      <c r="B3518">
        <f>+ROUND(Get_Data!B3517,5)</f>
        <v>0</v>
      </c>
      <c r="C3518">
        <f>+ROUND(Get_Data!C3517,5)</f>
        <v>0</v>
      </c>
      <c r="D3518" s="4" t="str">
        <f t="shared" si="445"/>
        <v/>
      </c>
      <c r="E3518" s="22">
        <f t="shared" ca="1" si="424"/>
        <v>0</v>
      </c>
      <c r="F3518" s="23">
        <f t="shared" ca="1" si="425"/>
        <v>0</v>
      </c>
      <c r="G3518" s="10">
        <f t="shared" ca="1" si="426"/>
        <v>0</v>
      </c>
      <c r="H3518" s="12">
        <f t="shared" ca="1" si="427"/>
        <v>0</v>
      </c>
      <c r="I3518" s="11">
        <f t="shared" ca="1" si="428"/>
        <v>0</v>
      </c>
      <c r="J3518" s="11">
        <f t="shared" ca="1" si="429"/>
        <v>-1</v>
      </c>
      <c r="K3518" s="10">
        <f t="shared" ca="1" si="439"/>
        <v>131.24001000000001</v>
      </c>
      <c r="L3518" s="11">
        <f t="shared" ca="1" si="440"/>
        <v>-49.09</v>
      </c>
      <c r="M3518" s="11">
        <f t="shared" ca="1" si="441"/>
        <v>2.6734599999999999</v>
      </c>
      <c r="N3518" s="15">
        <f t="shared" ca="1" si="442"/>
        <v>10</v>
      </c>
      <c r="O3518" s="15">
        <f t="shared" ca="1" si="443"/>
        <v>27</v>
      </c>
      <c r="P3518" s="16">
        <f t="shared" ca="1" si="444"/>
        <v>-13.029899999999998</v>
      </c>
      <c r="Q3518" s="11" t="str">
        <f t="shared" ca="1" si="430"/>
        <v/>
      </c>
      <c r="R3518" s="11" t="str">
        <f t="shared" ca="1" si="431"/>
        <v/>
      </c>
      <c r="S3518" s="61" t="str">
        <f t="shared" ca="1" si="432"/>
        <v/>
      </c>
      <c r="T3518" s="11" t="str">
        <f t="shared" ca="1" si="433"/>
        <v/>
      </c>
      <c r="U3518" s="11" t="str">
        <f t="shared" ca="1" si="434"/>
        <v/>
      </c>
      <c r="V3518" s="18" t="str">
        <f t="shared" ca="1" si="435"/>
        <v/>
      </c>
      <c r="W3518" s="61" t="str">
        <f t="shared" ca="1" si="436"/>
        <v/>
      </c>
      <c r="X3518" s="61">
        <f t="shared" ca="1" si="437"/>
        <v>0</v>
      </c>
      <c r="Y3518" s="64" t="str">
        <f t="shared" ca="1" si="438"/>
        <v/>
      </c>
    </row>
    <row r="3519" spans="1:25">
      <c r="A3519" s="2">
        <f>+Get_Data!A3518</f>
        <v>0</v>
      </c>
      <c r="B3519">
        <f>+ROUND(Get_Data!B3518,5)</f>
        <v>0</v>
      </c>
      <c r="C3519">
        <f>+ROUND(Get_Data!C3518,5)</f>
        <v>0</v>
      </c>
      <c r="D3519" s="4" t="str">
        <f t="shared" si="445"/>
        <v/>
      </c>
      <c r="E3519" s="22">
        <f t="shared" ca="1" si="424"/>
        <v>0</v>
      </c>
      <c r="F3519" s="23">
        <f t="shared" ca="1" si="425"/>
        <v>0</v>
      </c>
      <c r="G3519" s="10">
        <f t="shared" ca="1" si="426"/>
        <v>0</v>
      </c>
      <c r="H3519" s="12">
        <f t="shared" ca="1" si="427"/>
        <v>0</v>
      </c>
      <c r="I3519" s="11">
        <f t="shared" ca="1" si="428"/>
        <v>0</v>
      </c>
      <c r="J3519" s="11">
        <f t="shared" ca="1" si="429"/>
        <v>-1</v>
      </c>
      <c r="K3519" s="10">
        <f t="shared" ca="1" si="439"/>
        <v>131.24001000000001</v>
      </c>
      <c r="L3519" s="11">
        <f t="shared" ca="1" si="440"/>
        <v>-49.09</v>
      </c>
      <c r="M3519" s="11">
        <f t="shared" ca="1" si="441"/>
        <v>2.6734599999999999</v>
      </c>
      <c r="N3519" s="15">
        <f t="shared" ca="1" si="442"/>
        <v>10</v>
      </c>
      <c r="O3519" s="15">
        <f t="shared" ca="1" si="443"/>
        <v>27</v>
      </c>
      <c r="P3519" s="16">
        <f t="shared" ca="1" si="444"/>
        <v>-13.029899999999998</v>
      </c>
      <c r="Q3519" s="11" t="str">
        <f t="shared" ca="1" si="430"/>
        <v/>
      </c>
      <c r="R3519" s="11" t="str">
        <f t="shared" ca="1" si="431"/>
        <v/>
      </c>
      <c r="S3519" s="61" t="str">
        <f t="shared" ca="1" si="432"/>
        <v/>
      </c>
      <c r="T3519" s="11" t="str">
        <f t="shared" ca="1" si="433"/>
        <v/>
      </c>
      <c r="U3519" s="11" t="str">
        <f t="shared" ca="1" si="434"/>
        <v/>
      </c>
      <c r="V3519" s="18" t="str">
        <f t="shared" ca="1" si="435"/>
        <v/>
      </c>
      <c r="W3519" s="61" t="str">
        <f t="shared" ca="1" si="436"/>
        <v/>
      </c>
      <c r="X3519" s="61">
        <f t="shared" ca="1" si="437"/>
        <v>0</v>
      </c>
      <c r="Y3519" s="64" t="str">
        <f t="shared" ca="1" si="438"/>
        <v/>
      </c>
    </row>
    <row r="3520" spans="1:25">
      <c r="A3520" s="2">
        <f>+Get_Data!A3519</f>
        <v>0</v>
      </c>
      <c r="B3520">
        <f>+ROUND(Get_Data!B3519,5)</f>
        <v>0</v>
      </c>
      <c r="C3520">
        <f>+ROUND(Get_Data!C3519,5)</f>
        <v>0</v>
      </c>
      <c r="D3520" s="4" t="str">
        <f t="shared" si="445"/>
        <v/>
      </c>
      <c r="E3520" s="22">
        <f t="shared" ca="1" si="424"/>
        <v>0</v>
      </c>
      <c r="F3520" s="23">
        <f t="shared" ca="1" si="425"/>
        <v>0</v>
      </c>
      <c r="G3520" s="10">
        <f t="shared" ca="1" si="426"/>
        <v>0</v>
      </c>
      <c r="H3520" s="12">
        <f t="shared" ca="1" si="427"/>
        <v>0</v>
      </c>
      <c r="I3520" s="11">
        <f t="shared" ca="1" si="428"/>
        <v>0</v>
      </c>
      <c r="J3520" s="11">
        <f t="shared" ca="1" si="429"/>
        <v>-1</v>
      </c>
      <c r="K3520" s="10">
        <f t="shared" ca="1" si="439"/>
        <v>131.24001000000001</v>
      </c>
      <c r="L3520" s="11">
        <f t="shared" ca="1" si="440"/>
        <v>-49.09</v>
      </c>
      <c r="M3520" s="11">
        <f t="shared" ca="1" si="441"/>
        <v>2.6734599999999999</v>
      </c>
      <c r="N3520" s="15">
        <f t="shared" ca="1" si="442"/>
        <v>10</v>
      </c>
      <c r="O3520" s="15">
        <f t="shared" ca="1" si="443"/>
        <v>27</v>
      </c>
      <c r="P3520" s="16">
        <f t="shared" ca="1" si="444"/>
        <v>-13.029899999999998</v>
      </c>
      <c r="Q3520" s="11" t="str">
        <f t="shared" ca="1" si="430"/>
        <v/>
      </c>
      <c r="R3520" s="11" t="str">
        <f t="shared" ca="1" si="431"/>
        <v/>
      </c>
      <c r="S3520" s="61" t="str">
        <f t="shared" ca="1" si="432"/>
        <v/>
      </c>
      <c r="T3520" s="11" t="str">
        <f t="shared" ca="1" si="433"/>
        <v/>
      </c>
      <c r="U3520" s="11" t="str">
        <f t="shared" ca="1" si="434"/>
        <v/>
      </c>
      <c r="V3520" s="18" t="str">
        <f t="shared" ca="1" si="435"/>
        <v/>
      </c>
      <c r="W3520" s="61" t="str">
        <f t="shared" ca="1" si="436"/>
        <v/>
      </c>
      <c r="X3520" s="61">
        <f t="shared" ca="1" si="437"/>
        <v>0</v>
      </c>
      <c r="Y3520" s="64" t="str">
        <f t="shared" ca="1" si="438"/>
        <v/>
      </c>
    </row>
    <row r="3521" spans="1:25">
      <c r="A3521" s="2">
        <f>+Get_Data!A3520</f>
        <v>0</v>
      </c>
      <c r="B3521">
        <f>+ROUND(Get_Data!B3520,5)</f>
        <v>0</v>
      </c>
      <c r="C3521">
        <f>+ROUND(Get_Data!C3520,5)</f>
        <v>0</v>
      </c>
      <c r="D3521" s="4" t="str">
        <f t="shared" si="445"/>
        <v/>
      </c>
      <c r="E3521" s="22">
        <f t="shared" ca="1" si="424"/>
        <v>0</v>
      </c>
      <c r="F3521" s="23">
        <f t="shared" ca="1" si="425"/>
        <v>0</v>
      </c>
      <c r="G3521" s="10">
        <f t="shared" ca="1" si="426"/>
        <v>0</v>
      </c>
      <c r="H3521" s="12">
        <f t="shared" ca="1" si="427"/>
        <v>0</v>
      </c>
      <c r="I3521" s="11">
        <f t="shared" ca="1" si="428"/>
        <v>0</v>
      </c>
      <c r="J3521" s="11">
        <f t="shared" ca="1" si="429"/>
        <v>-1</v>
      </c>
      <c r="K3521" s="10">
        <f t="shared" ca="1" si="439"/>
        <v>131.24001000000001</v>
      </c>
      <c r="L3521" s="11">
        <f t="shared" ca="1" si="440"/>
        <v>-49.09</v>
      </c>
      <c r="M3521" s="11">
        <f t="shared" ca="1" si="441"/>
        <v>2.6734599999999999</v>
      </c>
      <c r="N3521" s="15">
        <f t="shared" ca="1" si="442"/>
        <v>10</v>
      </c>
      <c r="O3521" s="15">
        <f t="shared" ca="1" si="443"/>
        <v>27</v>
      </c>
      <c r="P3521" s="16">
        <f t="shared" ca="1" si="444"/>
        <v>-13.029899999999998</v>
      </c>
      <c r="Q3521" s="11" t="str">
        <f t="shared" ca="1" si="430"/>
        <v/>
      </c>
      <c r="R3521" s="11" t="str">
        <f t="shared" ca="1" si="431"/>
        <v/>
      </c>
      <c r="S3521" s="61" t="str">
        <f t="shared" ca="1" si="432"/>
        <v/>
      </c>
      <c r="T3521" s="11" t="str">
        <f t="shared" ca="1" si="433"/>
        <v/>
      </c>
      <c r="U3521" s="11" t="str">
        <f t="shared" ca="1" si="434"/>
        <v/>
      </c>
      <c r="V3521" s="18" t="str">
        <f t="shared" ca="1" si="435"/>
        <v/>
      </c>
      <c r="W3521" s="61" t="str">
        <f t="shared" ca="1" si="436"/>
        <v/>
      </c>
      <c r="X3521" s="61">
        <f t="shared" ca="1" si="437"/>
        <v>0</v>
      </c>
      <c r="Y3521" s="64" t="str">
        <f t="shared" ca="1" si="438"/>
        <v/>
      </c>
    </row>
    <row r="3522" spans="1:25">
      <c r="A3522" s="2">
        <f>+Get_Data!A3521</f>
        <v>0</v>
      </c>
      <c r="B3522">
        <f>+ROUND(Get_Data!B3521,5)</f>
        <v>0</v>
      </c>
      <c r="C3522">
        <f>+ROUND(Get_Data!C3521,5)</f>
        <v>0</v>
      </c>
      <c r="D3522" s="4" t="str">
        <f t="shared" si="445"/>
        <v/>
      </c>
      <c r="E3522" s="22">
        <f t="shared" ca="1" si="424"/>
        <v>0</v>
      </c>
      <c r="F3522" s="23">
        <f t="shared" ca="1" si="425"/>
        <v>0</v>
      </c>
      <c r="G3522" s="10">
        <f t="shared" ca="1" si="426"/>
        <v>0</v>
      </c>
      <c r="H3522" s="12">
        <f t="shared" ca="1" si="427"/>
        <v>0</v>
      </c>
      <c r="I3522" s="11">
        <f t="shared" ca="1" si="428"/>
        <v>0</v>
      </c>
      <c r="J3522" s="11">
        <f t="shared" ca="1" si="429"/>
        <v>-1</v>
      </c>
      <c r="K3522" s="10">
        <f t="shared" ca="1" si="439"/>
        <v>131.24001000000001</v>
      </c>
      <c r="L3522" s="11">
        <f t="shared" ca="1" si="440"/>
        <v>-49.09</v>
      </c>
      <c r="M3522" s="11">
        <f t="shared" ca="1" si="441"/>
        <v>2.6734599999999999</v>
      </c>
      <c r="N3522" s="15">
        <f t="shared" ca="1" si="442"/>
        <v>10</v>
      </c>
      <c r="O3522" s="15">
        <f t="shared" ca="1" si="443"/>
        <v>27</v>
      </c>
      <c r="P3522" s="16">
        <f t="shared" ca="1" si="444"/>
        <v>-13.029899999999998</v>
      </c>
      <c r="Q3522" s="11" t="str">
        <f t="shared" ca="1" si="430"/>
        <v/>
      </c>
      <c r="R3522" s="11" t="str">
        <f t="shared" ca="1" si="431"/>
        <v/>
      </c>
      <c r="S3522" s="61" t="str">
        <f t="shared" ca="1" si="432"/>
        <v/>
      </c>
      <c r="T3522" s="11" t="str">
        <f t="shared" ca="1" si="433"/>
        <v/>
      </c>
      <c r="U3522" s="11" t="str">
        <f t="shared" ca="1" si="434"/>
        <v/>
      </c>
      <c r="V3522" s="18" t="str">
        <f t="shared" ca="1" si="435"/>
        <v/>
      </c>
      <c r="W3522" s="61" t="str">
        <f t="shared" ca="1" si="436"/>
        <v/>
      </c>
      <c r="X3522" s="61">
        <f t="shared" ca="1" si="437"/>
        <v>0</v>
      </c>
      <c r="Y3522" s="64" t="str">
        <f t="shared" ca="1" si="438"/>
        <v/>
      </c>
    </row>
    <row r="3523" spans="1:25">
      <c r="A3523" s="2">
        <f>+Get_Data!A3522</f>
        <v>0</v>
      </c>
      <c r="B3523">
        <f>+ROUND(Get_Data!B3522,5)</f>
        <v>0</v>
      </c>
      <c r="C3523">
        <f>+ROUND(Get_Data!C3522,5)</f>
        <v>0</v>
      </c>
      <c r="D3523" s="4" t="str">
        <f t="shared" si="445"/>
        <v/>
      </c>
      <c r="E3523" s="22">
        <f t="shared" ca="1" si="424"/>
        <v>0</v>
      </c>
      <c r="F3523" s="23">
        <f t="shared" ca="1" si="425"/>
        <v>0</v>
      </c>
      <c r="G3523" s="10">
        <f t="shared" ca="1" si="426"/>
        <v>0</v>
      </c>
      <c r="H3523" s="12">
        <f t="shared" ca="1" si="427"/>
        <v>0</v>
      </c>
      <c r="I3523" s="11">
        <f t="shared" ca="1" si="428"/>
        <v>0</v>
      </c>
      <c r="J3523" s="11">
        <f t="shared" ca="1" si="429"/>
        <v>-1</v>
      </c>
      <c r="K3523" s="10">
        <f t="shared" ca="1" si="439"/>
        <v>131.24001000000001</v>
      </c>
      <c r="L3523" s="11">
        <f t="shared" ca="1" si="440"/>
        <v>-49.09</v>
      </c>
      <c r="M3523" s="11">
        <f t="shared" ca="1" si="441"/>
        <v>2.6734599999999999</v>
      </c>
      <c r="N3523" s="15">
        <f t="shared" ca="1" si="442"/>
        <v>10</v>
      </c>
      <c r="O3523" s="15">
        <f t="shared" ca="1" si="443"/>
        <v>27</v>
      </c>
      <c r="P3523" s="16">
        <f t="shared" ca="1" si="444"/>
        <v>-13.029899999999998</v>
      </c>
      <c r="Q3523" s="11" t="str">
        <f t="shared" ca="1" si="430"/>
        <v/>
      </c>
      <c r="R3523" s="11" t="str">
        <f t="shared" ca="1" si="431"/>
        <v/>
      </c>
      <c r="S3523" s="61" t="str">
        <f t="shared" ca="1" si="432"/>
        <v/>
      </c>
      <c r="T3523" s="11" t="str">
        <f t="shared" ca="1" si="433"/>
        <v/>
      </c>
      <c r="U3523" s="11" t="str">
        <f t="shared" ca="1" si="434"/>
        <v/>
      </c>
      <c r="V3523" s="18" t="str">
        <f t="shared" ca="1" si="435"/>
        <v/>
      </c>
      <c r="W3523" s="61" t="str">
        <f t="shared" ca="1" si="436"/>
        <v/>
      </c>
      <c r="X3523" s="61">
        <f t="shared" ca="1" si="437"/>
        <v>0</v>
      </c>
      <c r="Y3523" s="64" t="str">
        <f t="shared" ca="1" si="438"/>
        <v/>
      </c>
    </row>
    <row r="3524" spans="1:25">
      <c r="A3524" s="2">
        <f>+Get_Data!A3523</f>
        <v>0</v>
      </c>
      <c r="B3524">
        <f>+ROUND(Get_Data!B3523,5)</f>
        <v>0</v>
      </c>
      <c r="C3524">
        <f>+ROUND(Get_Data!C3523,5)</f>
        <v>0</v>
      </c>
      <c r="D3524" s="4" t="str">
        <f t="shared" si="445"/>
        <v/>
      </c>
      <c r="E3524" s="22">
        <f t="shared" ca="1" si="424"/>
        <v>0</v>
      </c>
      <c r="F3524" s="23">
        <f t="shared" ca="1" si="425"/>
        <v>0</v>
      </c>
      <c r="G3524" s="10">
        <f t="shared" ca="1" si="426"/>
        <v>0</v>
      </c>
      <c r="H3524" s="12">
        <f t="shared" ca="1" si="427"/>
        <v>0</v>
      </c>
      <c r="I3524" s="11">
        <f t="shared" ca="1" si="428"/>
        <v>0</v>
      </c>
      <c r="J3524" s="11">
        <f t="shared" ca="1" si="429"/>
        <v>-1</v>
      </c>
      <c r="K3524" s="10">
        <f t="shared" ca="1" si="439"/>
        <v>131.24001000000001</v>
      </c>
      <c r="L3524" s="11">
        <f t="shared" ca="1" si="440"/>
        <v>-49.09</v>
      </c>
      <c r="M3524" s="11">
        <f t="shared" ca="1" si="441"/>
        <v>2.6734599999999999</v>
      </c>
      <c r="N3524" s="15">
        <f t="shared" ca="1" si="442"/>
        <v>10</v>
      </c>
      <c r="O3524" s="15">
        <f t="shared" ca="1" si="443"/>
        <v>27</v>
      </c>
      <c r="P3524" s="16">
        <f t="shared" ca="1" si="444"/>
        <v>-13.029899999999998</v>
      </c>
      <c r="Q3524" s="11" t="str">
        <f t="shared" ca="1" si="430"/>
        <v/>
      </c>
      <c r="R3524" s="11" t="str">
        <f t="shared" ca="1" si="431"/>
        <v/>
      </c>
      <c r="S3524" s="61" t="str">
        <f t="shared" ca="1" si="432"/>
        <v/>
      </c>
      <c r="T3524" s="11" t="str">
        <f t="shared" ca="1" si="433"/>
        <v/>
      </c>
      <c r="U3524" s="11" t="str">
        <f t="shared" ca="1" si="434"/>
        <v/>
      </c>
      <c r="V3524" s="18" t="str">
        <f t="shared" ca="1" si="435"/>
        <v/>
      </c>
      <c r="W3524" s="61" t="str">
        <f t="shared" ca="1" si="436"/>
        <v/>
      </c>
      <c r="X3524" s="61">
        <f t="shared" ca="1" si="437"/>
        <v>0</v>
      </c>
      <c r="Y3524" s="64" t="str">
        <f t="shared" ca="1" si="438"/>
        <v/>
      </c>
    </row>
    <row r="3525" spans="1:25">
      <c r="A3525" s="2">
        <f>+Get_Data!A3524</f>
        <v>0</v>
      </c>
      <c r="B3525">
        <f>+ROUND(Get_Data!B3524,5)</f>
        <v>0</v>
      </c>
      <c r="C3525">
        <f>+ROUND(Get_Data!C3524,5)</f>
        <v>0</v>
      </c>
      <c r="D3525" s="4" t="str">
        <f t="shared" si="445"/>
        <v/>
      </c>
      <c r="E3525" s="22">
        <f t="shared" ref="E3525:E3574" ca="1" si="446">+MAX(OFFSET(D3525,-$G$2+1,,$G$2))</f>
        <v>0</v>
      </c>
      <c r="F3525" s="23">
        <f t="shared" ref="F3525:F3574" ca="1" si="447">+MIN(OFFSET(D3525,-$G$2+1,,$G$2))</f>
        <v>0</v>
      </c>
      <c r="G3525" s="10">
        <f t="shared" ref="G3525:G3574" ca="1" si="448">+IF(E3525=D3525,1,0)</f>
        <v>0</v>
      </c>
      <c r="H3525" s="12">
        <f t="shared" ref="H3525:H3574" ca="1" si="449">+IF(F3525=D3525,1,0)</f>
        <v>0</v>
      </c>
      <c r="I3525" s="11">
        <f t="shared" ref="I3525:I3574" ca="1" si="450">+G3525-H3525</f>
        <v>0</v>
      </c>
      <c r="J3525" s="11">
        <f t="shared" ca="1" si="429"/>
        <v>-1</v>
      </c>
      <c r="K3525" s="10">
        <f t="shared" ca="1" si="439"/>
        <v>131.24001000000001</v>
      </c>
      <c r="L3525" s="11">
        <f t="shared" ca="1" si="440"/>
        <v>-49.09</v>
      </c>
      <c r="M3525" s="11">
        <f t="shared" ca="1" si="441"/>
        <v>2.6734599999999999</v>
      </c>
      <c r="N3525" s="15">
        <f t="shared" ca="1" si="442"/>
        <v>10</v>
      </c>
      <c r="O3525" s="15">
        <f t="shared" ca="1" si="443"/>
        <v>27</v>
      </c>
      <c r="P3525" s="16">
        <f t="shared" ca="1" si="444"/>
        <v>-13.029899999999998</v>
      </c>
      <c r="Q3525" s="11" t="str">
        <f t="shared" ca="1" si="430"/>
        <v/>
      </c>
      <c r="R3525" s="11" t="str">
        <f t="shared" ca="1" si="431"/>
        <v/>
      </c>
      <c r="S3525" s="61" t="str">
        <f t="shared" ca="1" si="432"/>
        <v/>
      </c>
      <c r="T3525" s="11" t="str">
        <f t="shared" ca="1" si="433"/>
        <v/>
      </c>
      <c r="U3525" s="11" t="str">
        <f t="shared" ca="1" si="434"/>
        <v/>
      </c>
      <c r="V3525" s="18" t="str">
        <f t="shared" ca="1" si="435"/>
        <v/>
      </c>
      <c r="W3525" s="61" t="str">
        <f t="shared" ca="1" si="436"/>
        <v/>
      </c>
      <c r="X3525" s="61">
        <f t="shared" ca="1" si="437"/>
        <v>0</v>
      </c>
      <c r="Y3525" s="64" t="str">
        <f t="shared" ca="1" si="438"/>
        <v/>
      </c>
    </row>
    <row r="3526" spans="1:25">
      <c r="A3526" s="2">
        <f>+Get_Data!A3525</f>
        <v>0</v>
      </c>
      <c r="B3526">
        <f>+ROUND(Get_Data!B3525,5)</f>
        <v>0</v>
      </c>
      <c r="C3526">
        <f>+ROUND(Get_Data!C3525,5)</f>
        <v>0</v>
      </c>
      <c r="D3526" s="4" t="str">
        <f t="shared" si="445"/>
        <v/>
      </c>
      <c r="E3526" s="22">
        <f t="shared" ca="1" si="446"/>
        <v>0</v>
      </c>
      <c r="F3526" s="23">
        <f t="shared" ca="1" si="447"/>
        <v>0</v>
      </c>
      <c r="G3526" s="10">
        <f t="shared" ca="1" si="448"/>
        <v>0</v>
      </c>
      <c r="H3526" s="12">
        <f t="shared" ca="1" si="449"/>
        <v>0</v>
      </c>
      <c r="I3526" s="11">
        <f t="shared" ca="1" si="450"/>
        <v>0</v>
      </c>
      <c r="J3526" s="11">
        <f t="shared" ref="J3526:J3574" ca="1" si="451">+IF(AND(ABS(J3525)=2,ABS(I3526)=1),0,J3525+I3526)</f>
        <v>-1</v>
      </c>
      <c r="K3526" s="10">
        <f t="shared" ca="1" si="439"/>
        <v>131.24001000000001</v>
      </c>
      <c r="L3526" s="11">
        <f t="shared" ca="1" si="440"/>
        <v>-49.09</v>
      </c>
      <c r="M3526" s="11">
        <f t="shared" ca="1" si="441"/>
        <v>2.6734599999999999</v>
      </c>
      <c r="N3526" s="15">
        <f t="shared" ca="1" si="442"/>
        <v>10</v>
      </c>
      <c r="O3526" s="15">
        <f t="shared" ca="1" si="443"/>
        <v>27</v>
      </c>
      <c r="P3526" s="16">
        <f t="shared" ca="1" si="444"/>
        <v>-13.029899999999998</v>
      </c>
      <c r="Q3526" s="11" t="str">
        <f t="shared" ca="1" si="430"/>
        <v/>
      </c>
      <c r="R3526" s="11" t="str">
        <f t="shared" ca="1" si="431"/>
        <v/>
      </c>
      <c r="S3526" s="61" t="str">
        <f t="shared" ca="1" si="432"/>
        <v/>
      </c>
      <c r="T3526" s="11" t="str">
        <f t="shared" ca="1" si="433"/>
        <v/>
      </c>
      <c r="U3526" s="11" t="str">
        <f t="shared" ca="1" si="434"/>
        <v/>
      </c>
      <c r="V3526" s="18" t="str">
        <f t="shared" ca="1" si="435"/>
        <v/>
      </c>
      <c r="W3526" s="61" t="str">
        <f t="shared" ca="1" si="436"/>
        <v/>
      </c>
      <c r="X3526" s="61">
        <f t="shared" ca="1" si="437"/>
        <v>0</v>
      </c>
      <c r="Y3526" s="64" t="str">
        <f t="shared" ca="1" si="438"/>
        <v/>
      </c>
    </row>
    <row r="3527" spans="1:25">
      <c r="A3527" s="2">
        <f>+Get_Data!A3526</f>
        <v>0</v>
      </c>
      <c r="B3527">
        <f>+ROUND(Get_Data!B3526,5)</f>
        <v>0</v>
      </c>
      <c r="C3527">
        <f>+ROUND(Get_Data!C3526,5)</f>
        <v>0</v>
      </c>
      <c r="D3527" s="4" t="str">
        <f t="shared" si="445"/>
        <v/>
      </c>
      <c r="E3527" s="22">
        <f t="shared" ca="1" si="446"/>
        <v>0</v>
      </c>
      <c r="F3527" s="23">
        <f t="shared" ca="1" si="447"/>
        <v>0</v>
      </c>
      <c r="G3527" s="10">
        <f t="shared" ca="1" si="448"/>
        <v>0</v>
      </c>
      <c r="H3527" s="12">
        <f t="shared" ca="1" si="449"/>
        <v>0</v>
      </c>
      <c r="I3527" s="11">
        <f t="shared" ca="1" si="450"/>
        <v>0</v>
      </c>
      <c r="J3527" s="11">
        <f t="shared" ca="1" si="451"/>
        <v>-1</v>
      </c>
      <c r="K3527" s="10">
        <f t="shared" ca="1" si="439"/>
        <v>131.24001000000001</v>
      </c>
      <c r="L3527" s="11">
        <f t="shared" ca="1" si="440"/>
        <v>-49.09</v>
      </c>
      <c r="M3527" s="11">
        <f t="shared" ca="1" si="441"/>
        <v>2.6734599999999999</v>
      </c>
      <c r="N3527" s="15">
        <f t="shared" ca="1" si="442"/>
        <v>10</v>
      </c>
      <c r="O3527" s="15">
        <f t="shared" ca="1" si="443"/>
        <v>27</v>
      </c>
      <c r="P3527" s="16">
        <f t="shared" ca="1" si="444"/>
        <v>-13.029899999999998</v>
      </c>
      <c r="Q3527" s="11" t="str">
        <f t="shared" ca="1" si="430"/>
        <v/>
      </c>
      <c r="R3527" s="11" t="str">
        <f t="shared" ca="1" si="431"/>
        <v/>
      </c>
      <c r="S3527" s="61" t="str">
        <f t="shared" ca="1" si="432"/>
        <v/>
      </c>
      <c r="T3527" s="11" t="str">
        <f t="shared" ca="1" si="433"/>
        <v/>
      </c>
      <c r="U3527" s="11" t="str">
        <f t="shared" ca="1" si="434"/>
        <v/>
      </c>
      <c r="V3527" s="18" t="str">
        <f t="shared" ca="1" si="435"/>
        <v/>
      </c>
      <c r="W3527" s="61" t="str">
        <f t="shared" ca="1" si="436"/>
        <v/>
      </c>
      <c r="X3527" s="61">
        <f t="shared" ca="1" si="437"/>
        <v>0</v>
      </c>
      <c r="Y3527" s="64" t="str">
        <f t="shared" ca="1" si="438"/>
        <v/>
      </c>
    </row>
    <row r="3528" spans="1:25">
      <c r="A3528" s="2">
        <f>+Get_Data!A3527</f>
        <v>0</v>
      </c>
      <c r="B3528">
        <f>+ROUND(Get_Data!B3527,5)</f>
        <v>0</v>
      </c>
      <c r="C3528">
        <f>+ROUND(Get_Data!C3527,5)</f>
        <v>0</v>
      </c>
      <c r="D3528" s="4" t="str">
        <f t="shared" si="445"/>
        <v/>
      </c>
      <c r="E3528" s="22">
        <f t="shared" ca="1" si="446"/>
        <v>0</v>
      </c>
      <c r="F3528" s="23">
        <f t="shared" ca="1" si="447"/>
        <v>0</v>
      </c>
      <c r="G3528" s="10">
        <f t="shared" ca="1" si="448"/>
        <v>0</v>
      </c>
      <c r="H3528" s="12">
        <f t="shared" ca="1" si="449"/>
        <v>0</v>
      </c>
      <c r="I3528" s="11">
        <f t="shared" ca="1" si="450"/>
        <v>0</v>
      </c>
      <c r="J3528" s="11">
        <f t="shared" ca="1" si="451"/>
        <v>-1</v>
      </c>
      <c r="K3528" s="10">
        <f t="shared" ca="1" si="439"/>
        <v>131.24001000000001</v>
      </c>
      <c r="L3528" s="11">
        <f t="shared" ca="1" si="440"/>
        <v>-49.09</v>
      </c>
      <c r="M3528" s="11">
        <f t="shared" ca="1" si="441"/>
        <v>2.6734599999999999</v>
      </c>
      <c r="N3528" s="15">
        <f t="shared" ca="1" si="442"/>
        <v>10</v>
      </c>
      <c r="O3528" s="15">
        <f t="shared" ca="1" si="443"/>
        <v>27</v>
      </c>
      <c r="P3528" s="16">
        <f t="shared" ca="1" si="444"/>
        <v>-13.029899999999998</v>
      </c>
      <c r="Q3528" s="11" t="str">
        <f t="shared" ca="1" si="430"/>
        <v/>
      </c>
      <c r="R3528" s="11" t="str">
        <f t="shared" ca="1" si="431"/>
        <v/>
      </c>
      <c r="S3528" s="61" t="str">
        <f t="shared" ca="1" si="432"/>
        <v/>
      </c>
      <c r="T3528" s="11" t="str">
        <f t="shared" ca="1" si="433"/>
        <v/>
      </c>
      <c r="U3528" s="11" t="str">
        <f t="shared" ca="1" si="434"/>
        <v/>
      </c>
      <c r="V3528" s="18" t="str">
        <f t="shared" ca="1" si="435"/>
        <v/>
      </c>
      <c r="W3528" s="61" t="str">
        <f t="shared" ca="1" si="436"/>
        <v/>
      </c>
      <c r="X3528" s="61">
        <f t="shared" ca="1" si="437"/>
        <v>0</v>
      </c>
      <c r="Y3528" s="64" t="str">
        <f t="shared" ca="1" si="438"/>
        <v/>
      </c>
    </row>
    <row r="3529" spans="1:25">
      <c r="A3529" s="2">
        <f>+Get_Data!A3528</f>
        <v>0</v>
      </c>
      <c r="B3529">
        <f>+ROUND(Get_Data!B3528,5)</f>
        <v>0</v>
      </c>
      <c r="C3529">
        <f>+ROUND(Get_Data!C3528,5)</f>
        <v>0</v>
      </c>
      <c r="D3529" s="4" t="str">
        <f t="shared" si="445"/>
        <v/>
      </c>
      <c r="E3529" s="22">
        <f t="shared" ca="1" si="446"/>
        <v>0</v>
      </c>
      <c r="F3529" s="23">
        <f t="shared" ca="1" si="447"/>
        <v>0</v>
      </c>
      <c r="G3529" s="10">
        <f t="shared" ca="1" si="448"/>
        <v>0</v>
      </c>
      <c r="H3529" s="12">
        <f t="shared" ca="1" si="449"/>
        <v>0</v>
      </c>
      <c r="I3529" s="11">
        <f t="shared" ca="1" si="450"/>
        <v>0</v>
      </c>
      <c r="J3529" s="11">
        <f t="shared" ca="1" si="451"/>
        <v>-1</v>
      </c>
      <c r="K3529" s="10">
        <f t="shared" ca="1" si="439"/>
        <v>131.24001000000001</v>
      </c>
      <c r="L3529" s="11">
        <f t="shared" ca="1" si="440"/>
        <v>-49.09</v>
      </c>
      <c r="M3529" s="11">
        <f t="shared" ca="1" si="441"/>
        <v>2.6734599999999999</v>
      </c>
      <c r="N3529" s="15">
        <f t="shared" ca="1" si="442"/>
        <v>10</v>
      </c>
      <c r="O3529" s="15">
        <f t="shared" ca="1" si="443"/>
        <v>27</v>
      </c>
      <c r="P3529" s="16">
        <f t="shared" ca="1" si="444"/>
        <v>-13.029899999999998</v>
      </c>
      <c r="Q3529" s="11" t="str">
        <f t="shared" ca="1" si="430"/>
        <v/>
      </c>
      <c r="R3529" s="11" t="str">
        <f t="shared" ca="1" si="431"/>
        <v/>
      </c>
      <c r="S3529" s="61" t="str">
        <f t="shared" ca="1" si="432"/>
        <v/>
      </c>
      <c r="T3529" s="11" t="str">
        <f t="shared" ca="1" si="433"/>
        <v/>
      </c>
      <c r="U3529" s="11" t="str">
        <f t="shared" ca="1" si="434"/>
        <v/>
      </c>
      <c r="V3529" s="18" t="str">
        <f t="shared" ca="1" si="435"/>
        <v/>
      </c>
      <c r="W3529" s="61" t="str">
        <f t="shared" ca="1" si="436"/>
        <v/>
      </c>
      <c r="X3529" s="61">
        <f t="shared" ca="1" si="437"/>
        <v>0</v>
      </c>
      <c r="Y3529" s="64" t="str">
        <f t="shared" ca="1" si="438"/>
        <v/>
      </c>
    </row>
    <row r="3530" spans="1:25">
      <c r="A3530" s="2">
        <f>+Get_Data!A3529</f>
        <v>0</v>
      </c>
      <c r="B3530">
        <f>+ROUND(Get_Data!B3529,5)</f>
        <v>0</v>
      </c>
      <c r="C3530">
        <f>+ROUND(Get_Data!C3529,5)</f>
        <v>0</v>
      </c>
      <c r="D3530" s="4" t="str">
        <f t="shared" si="445"/>
        <v/>
      </c>
      <c r="E3530" s="22">
        <f t="shared" ca="1" si="446"/>
        <v>0</v>
      </c>
      <c r="F3530" s="23">
        <f t="shared" ca="1" si="447"/>
        <v>0</v>
      </c>
      <c r="G3530" s="10">
        <f t="shared" ca="1" si="448"/>
        <v>0</v>
      </c>
      <c r="H3530" s="12">
        <f t="shared" ca="1" si="449"/>
        <v>0</v>
      </c>
      <c r="I3530" s="11">
        <f t="shared" ca="1" si="450"/>
        <v>0</v>
      </c>
      <c r="J3530" s="11">
        <f t="shared" ca="1" si="451"/>
        <v>-1</v>
      </c>
      <c r="K3530" s="10">
        <f t="shared" ca="1" si="439"/>
        <v>131.24001000000001</v>
      </c>
      <c r="L3530" s="11">
        <f t="shared" ca="1" si="440"/>
        <v>-49.09</v>
      </c>
      <c r="M3530" s="11">
        <f t="shared" ca="1" si="441"/>
        <v>2.6734599999999999</v>
      </c>
      <c r="N3530" s="15">
        <f t="shared" ca="1" si="442"/>
        <v>10</v>
      </c>
      <c r="O3530" s="15">
        <f t="shared" ca="1" si="443"/>
        <v>27</v>
      </c>
      <c r="P3530" s="16">
        <f t="shared" ca="1" si="444"/>
        <v>-13.029899999999998</v>
      </c>
      <c r="Q3530" s="11" t="str">
        <f t="shared" ca="1" si="430"/>
        <v/>
      </c>
      <c r="R3530" s="11" t="str">
        <f t="shared" ca="1" si="431"/>
        <v/>
      </c>
      <c r="S3530" s="61" t="str">
        <f t="shared" ca="1" si="432"/>
        <v/>
      </c>
      <c r="T3530" s="11" t="str">
        <f t="shared" ca="1" si="433"/>
        <v/>
      </c>
      <c r="U3530" s="11" t="str">
        <f t="shared" ca="1" si="434"/>
        <v/>
      </c>
      <c r="V3530" s="18" t="str">
        <f t="shared" ca="1" si="435"/>
        <v/>
      </c>
      <c r="W3530" s="61" t="str">
        <f t="shared" ca="1" si="436"/>
        <v/>
      </c>
      <c r="X3530" s="61">
        <f t="shared" ca="1" si="437"/>
        <v>0</v>
      </c>
      <c r="Y3530" s="64" t="str">
        <f t="shared" ca="1" si="438"/>
        <v/>
      </c>
    </row>
    <row r="3531" spans="1:25">
      <c r="A3531" s="2">
        <f>+Get_Data!A3530</f>
        <v>0</v>
      </c>
      <c r="B3531">
        <f>+ROUND(Get_Data!B3530,5)</f>
        <v>0</v>
      </c>
      <c r="C3531">
        <f>+ROUND(Get_Data!C3530,5)</f>
        <v>0</v>
      </c>
      <c r="D3531" s="4" t="str">
        <f t="shared" si="445"/>
        <v/>
      </c>
      <c r="E3531" s="22">
        <f t="shared" ca="1" si="446"/>
        <v>0</v>
      </c>
      <c r="F3531" s="23">
        <f t="shared" ca="1" si="447"/>
        <v>0</v>
      </c>
      <c r="G3531" s="10">
        <f t="shared" ca="1" si="448"/>
        <v>0</v>
      </c>
      <c r="H3531" s="12">
        <f t="shared" ca="1" si="449"/>
        <v>0</v>
      </c>
      <c r="I3531" s="11">
        <f t="shared" ca="1" si="450"/>
        <v>0</v>
      </c>
      <c r="J3531" s="11">
        <f t="shared" ca="1" si="451"/>
        <v>-1</v>
      </c>
      <c r="K3531" s="10">
        <f t="shared" ca="1" si="439"/>
        <v>131.24001000000001</v>
      </c>
      <c r="L3531" s="11">
        <f t="shared" ca="1" si="440"/>
        <v>-49.09</v>
      </c>
      <c r="M3531" s="11">
        <f t="shared" ca="1" si="441"/>
        <v>2.6734599999999999</v>
      </c>
      <c r="N3531" s="15">
        <f t="shared" ca="1" si="442"/>
        <v>10</v>
      </c>
      <c r="O3531" s="15">
        <f t="shared" ca="1" si="443"/>
        <v>27</v>
      </c>
      <c r="P3531" s="16">
        <f t="shared" ca="1" si="444"/>
        <v>-13.029899999999998</v>
      </c>
      <c r="Q3531" s="11" t="str">
        <f t="shared" ca="1" si="430"/>
        <v/>
      </c>
      <c r="R3531" s="11" t="str">
        <f t="shared" ca="1" si="431"/>
        <v/>
      </c>
      <c r="S3531" s="61" t="str">
        <f t="shared" ca="1" si="432"/>
        <v/>
      </c>
      <c r="T3531" s="11" t="str">
        <f t="shared" ca="1" si="433"/>
        <v/>
      </c>
      <c r="U3531" s="11" t="str">
        <f t="shared" ca="1" si="434"/>
        <v/>
      </c>
      <c r="V3531" s="18" t="str">
        <f t="shared" ca="1" si="435"/>
        <v/>
      </c>
      <c r="W3531" s="61" t="str">
        <f t="shared" ca="1" si="436"/>
        <v/>
      </c>
      <c r="X3531" s="61">
        <f t="shared" ca="1" si="437"/>
        <v>0</v>
      </c>
      <c r="Y3531" s="64" t="str">
        <f t="shared" ca="1" si="438"/>
        <v/>
      </c>
    </row>
    <row r="3532" spans="1:25">
      <c r="A3532" s="2">
        <f>+Get_Data!A3531</f>
        <v>0</v>
      </c>
      <c r="B3532">
        <f>+ROUND(Get_Data!B3531,5)</f>
        <v>0</v>
      </c>
      <c r="C3532">
        <f>+ROUND(Get_Data!C3531,5)</f>
        <v>0</v>
      </c>
      <c r="D3532" s="4" t="str">
        <f t="shared" si="445"/>
        <v/>
      </c>
      <c r="E3532" s="22">
        <f t="shared" ca="1" si="446"/>
        <v>0</v>
      </c>
      <c r="F3532" s="23">
        <f t="shared" ca="1" si="447"/>
        <v>0</v>
      </c>
      <c r="G3532" s="10">
        <f t="shared" ca="1" si="448"/>
        <v>0</v>
      </c>
      <c r="H3532" s="12">
        <f t="shared" ca="1" si="449"/>
        <v>0</v>
      </c>
      <c r="I3532" s="11">
        <f t="shared" ca="1" si="450"/>
        <v>0</v>
      </c>
      <c r="J3532" s="11">
        <f t="shared" ca="1" si="451"/>
        <v>-1</v>
      </c>
      <c r="K3532" s="10">
        <f t="shared" ca="1" si="439"/>
        <v>131.24001000000001</v>
      </c>
      <c r="L3532" s="11">
        <f t="shared" ca="1" si="440"/>
        <v>-49.09</v>
      </c>
      <c r="M3532" s="11">
        <f t="shared" ca="1" si="441"/>
        <v>2.6734599999999999</v>
      </c>
      <c r="N3532" s="15">
        <f t="shared" ca="1" si="442"/>
        <v>10</v>
      </c>
      <c r="O3532" s="15">
        <f t="shared" ca="1" si="443"/>
        <v>27</v>
      </c>
      <c r="P3532" s="16">
        <f t="shared" ca="1" si="444"/>
        <v>-13.029899999999998</v>
      </c>
      <c r="Q3532" s="11" t="str">
        <f t="shared" ca="1" si="430"/>
        <v/>
      </c>
      <c r="R3532" s="11" t="str">
        <f t="shared" ca="1" si="431"/>
        <v/>
      </c>
      <c r="S3532" s="61" t="str">
        <f t="shared" ca="1" si="432"/>
        <v/>
      </c>
      <c r="T3532" s="11" t="str">
        <f t="shared" ca="1" si="433"/>
        <v/>
      </c>
      <c r="U3532" s="11" t="str">
        <f t="shared" ca="1" si="434"/>
        <v/>
      </c>
      <c r="V3532" s="18" t="str">
        <f t="shared" ca="1" si="435"/>
        <v/>
      </c>
      <c r="W3532" s="61" t="str">
        <f t="shared" ca="1" si="436"/>
        <v/>
      </c>
      <c r="X3532" s="61">
        <f t="shared" ca="1" si="437"/>
        <v>0</v>
      </c>
      <c r="Y3532" s="64" t="str">
        <f t="shared" ca="1" si="438"/>
        <v/>
      </c>
    </row>
    <row r="3533" spans="1:25">
      <c r="A3533" s="2">
        <f>+Get_Data!A3532</f>
        <v>0</v>
      </c>
      <c r="B3533">
        <f>+ROUND(Get_Data!B3532,5)</f>
        <v>0</v>
      </c>
      <c r="C3533">
        <f>+ROUND(Get_Data!C3532,5)</f>
        <v>0</v>
      </c>
      <c r="D3533" s="4" t="str">
        <f t="shared" si="445"/>
        <v/>
      </c>
      <c r="E3533" s="22">
        <f t="shared" ca="1" si="446"/>
        <v>0</v>
      </c>
      <c r="F3533" s="23">
        <f t="shared" ca="1" si="447"/>
        <v>0</v>
      </c>
      <c r="G3533" s="10">
        <f t="shared" ca="1" si="448"/>
        <v>0</v>
      </c>
      <c r="H3533" s="12">
        <f t="shared" ca="1" si="449"/>
        <v>0</v>
      </c>
      <c r="I3533" s="11">
        <f t="shared" ca="1" si="450"/>
        <v>0</v>
      </c>
      <c r="J3533" s="11">
        <f t="shared" ca="1" si="451"/>
        <v>-1</v>
      </c>
      <c r="K3533" s="10">
        <f t="shared" ca="1" si="439"/>
        <v>131.24001000000001</v>
      </c>
      <c r="L3533" s="11">
        <f t="shared" ca="1" si="440"/>
        <v>-49.09</v>
      </c>
      <c r="M3533" s="11">
        <f t="shared" ca="1" si="441"/>
        <v>2.6734599999999999</v>
      </c>
      <c r="N3533" s="15">
        <f t="shared" ca="1" si="442"/>
        <v>10</v>
      </c>
      <c r="O3533" s="15">
        <f t="shared" ca="1" si="443"/>
        <v>27</v>
      </c>
      <c r="P3533" s="16">
        <f t="shared" ca="1" si="444"/>
        <v>-13.029899999999998</v>
      </c>
      <c r="Q3533" s="11" t="str">
        <f t="shared" ca="1" si="430"/>
        <v/>
      </c>
      <c r="R3533" s="11" t="str">
        <f t="shared" ca="1" si="431"/>
        <v/>
      </c>
      <c r="S3533" s="61" t="str">
        <f t="shared" ca="1" si="432"/>
        <v/>
      </c>
      <c r="T3533" s="11" t="str">
        <f t="shared" ca="1" si="433"/>
        <v/>
      </c>
      <c r="U3533" s="11" t="str">
        <f t="shared" ca="1" si="434"/>
        <v/>
      </c>
      <c r="V3533" s="18" t="str">
        <f t="shared" ca="1" si="435"/>
        <v/>
      </c>
      <c r="W3533" s="61" t="str">
        <f t="shared" ca="1" si="436"/>
        <v/>
      </c>
      <c r="X3533" s="61">
        <f t="shared" ca="1" si="437"/>
        <v>0</v>
      </c>
      <c r="Y3533" s="64" t="str">
        <f t="shared" ca="1" si="438"/>
        <v/>
      </c>
    </row>
    <row r="3534" spans="1:25">
      <c r="A3534" s="2">
        <f>+Get_Data!A3533</f>
        <v>0</v>
      </c>
      <c r="B3534">
        <f>+ROUND(Get_Data!B3533,5)</f>
        <v>0</v>
      </c>
      <c r="C3534">
        <f>+ROUND(Get_Data!C3533,5)</f>
        <v>0</v>
      </c>
      <c r="D3534" s="4" t="str">
        <f t="shared" si="445"/>
        <v/>
      </c>
      <c r="E3534" s="22">
        <f t="shared" ca="1" si="446"/>
        <v>0</v>
      </c>
      <c r="F3534" s="23">
        <f t="shared" ca="1" si="447"/>
        <v>0</v>
      </c>
      <c r="G3534" s="10">
        <f t="shared" ca="1" si="448"/>
        <v>0</v>
      </c>
      <c r="H3534" s="12">
        <f t="shared" ca="1" si="449"/>
        <v>0</v>
      </c>
      <c r="I3534" s="11">
        <f t="shared" ca="1" si="450"/>
        <v>0</v>
      </c>
      <c r="J3534" s="11">
        <f t="shared" ca="1" si="451"/>
        <v>-1</v>
      </c>
      <c r="K3534" s="10">
        <f t="shared" ca="1" si="439"/>
        <v>131.24001000000001</v>
      </c>
      <c r="L3534" s="11">
        <f t="shared" ca="1" si="440"/>
        <v>-49.09</v>
      </c>
      <c r="M3534" s="11">
        <f t="shared" ca="1" si="441"/>
        <v>2.6734599999999999</v>
      </c>
      <c r="N3534" s="15">
        <f t="shared" ca="1" si="442"/>
        <v>10</v>
      </c>
      <c r="O3534" s="15">
        <f t="shared" ca="1" si="443"/>
        <v>27</v>
      </c>
      <c r="P3534" s="16">
        <f t="shared" ca="1" si="444"/>
        <v>-13.029899999999998</v>
      </c>
      <c r="Q3534" s="11" t="str">
        <f t="shared" ca="1" si="430"/>
        <v/>
      </c>
      <c r="R3534" s="11" t="str">
        <f t="shared" ca="1" si="431"/>
        <v/>
      </c>
      <c r="S3534" s="61" t="str">
        <f t="shared" ca="1" si="432"/>
        <v/>
      </c>
      <c r="T3534" s="11" t="str">
        <f t="shared" ca="1" si="433"/>
        <v/>
      </c>
      <c r="U3534" s="11" t="str">
        <f t="shared" ca="1" si="434"/>
        <v/>
      </c>
      <c r="V3534" s="18" t="str">
        <f t="shared" ca="1" si="435"/>
        <v/>
      </c>
      <c r="W3534" s="61" t="str">
        <f t="shared" ca="1" si="436"/>
        <v/>
      </c>
      <c r="X3534" s="61">
        <f t="shared" ca="1" si="437"/>
        <v>0</v>
      </c>
      <c r="Y3534" s="64" t="str">
        <f t="shared" ca="1" si="438"/>
        <v/>
      </c>
    </row>
    <row r="3535" spans="1:25">
      <c r="A3535" s="2">
        <f>+Get_Data!A3534</f>
        <v>0</v>
      </c>
      <c r="B3535">
        <f>+ROUND(Get_Data!B3534,5)</f>
        <v>0</v>
      </c>
      <c r="C3535">
        <f>+ROUND(Get_Data!C3534,5)</f>
        <v>0</v>
      </c>
      <c r="D3535" s="4" t="str">
        <f t="shared" si="445"/>
        <v/>
      </c>
      <c r="E3535" s="22">
        <f t="shared" ca="1" si="446"/>
        <v>0</v>
      </c>
      <c r="F3535" s="23">
        <f t="shared" ca="1" si="447"/>
        <v>0</v>
      </c>
      <c r="G3535" s="10">
        <f t="shared" ca="1" si="448"/>
        <v>0</v>
      </c>
      <c r="H3535" s="12">
        <f t="shared" ca="1" si="449"/>
        <v>0</v>
      </c>
      <c r="I3535" s="11">
        <f t="shared" ca="1" si="450"/>
        <v>0</v>
      </c>
      <c r="J3535" s="11">
        <f t="shared" ca="1" si="451"/>
        <v>-1</v>
      </c>
      <c r="K3535" s="10">
        <f t="shared" ca="1" si="439"/>
        <v>131.24001000000001</v>
      </c>
      <c r="L3535" s="11">
        <f t="shared" ca="1" si="440"/>
        <v>-49.09</v>
      </c>
      <c r="M3535" s="11">
        <f t="shared" ca="1" si="441"/>
        <v>2.6734599999999999</v>
      </c>
      <c r="N3535" s="15">
        <f t="shared" ca="1" si="442"/>
        <v>10</v>
      </c>
      <c r="O3535" s="15">
        <f t="shared" ca="1" si="443"/>
        <v>27</v>
      </c>
      <c r="P3535" s="16">
        <f t="shared" ca="1" si="444"/>
        <v>-13.029899999999998</v>
      </c>
      <c r="Q3535" s="11" t="str">
        <f t="shared" ca="1" si="430"/>
        <v/>
      </c>
      <c r="R3535" s="11" t="str">
        <f t="shared" ca="1" si="431"/>
        <v/>
      </c>
      <c r="S3535" s="61" t="str">
        <f t="shared" ca="1" si="432"/>
        <v/>
      </c>
      <c r="T3535" s="11" t="str">
        <f t="shared" ca="1" si="433"/>
        <v/>
      </c>
      <c r="U3535" s="11" t="str">
        <f t="shared" ca="1" si="434"/>
        <v/>
      </c>
      <c r="V3535" s="18" t="str">
        <f t="shared" ca="1" si="435"/>
        <v/>
      </c>
      <c r="W3535" s="61" t="str">
        <f t="shared" ca="1" si="436"/>
        <v/>
      </c>
      <c r="X3535" s="61">
        <f t="shared" ca="1" si="437"/>
        <v>0</v>
      </c>
      <c r="Y3535" s="64" t="str">
        <f t="shared" ca="1" si="438"/>
        <v/>
      </c>
    </row>
    <row r="3536" spans="1:25">
      <c r="A3536" s="2">
        <f>+Get_Data!A3535</f>
        <v>0</v>
      </c>
      <c r="B3536">
        <f>+ROUND(Get_Data!B3535,5)</f>
        <v>0</v>
      </c>
      <c r="C3536">
        <f>+ROUND(Get_Data!C3535,5)</f>
        <v>0</v>
      </c>
      <c r="D3536" s="4" t="str">
        <f t="shared" si="445"/>
        <v/>
      </c>
      <c r="E3536" s="22">
        <f t="shared" ca="1" si="446"/>
        <v>0</v>
      </c>
      <c r="F3536" s="23">
        <f t="shared" ca="1" si="447"/>
        <v>0</v>
      </c>
      <c r="G3536" s="10">
        <f t="shared" ca="1" si="448"/>
        <v>0</v>
      </c>
      <c r="H3536" s="12">
        <f t="shared" ca="1" si="449"/>
        <v>0</v>
      </c>
      <c r="I3536" s="11">
        <f t="shared" ca="1" si="450"/>
        <v>0</v>
      </c>
      <c r="J3536" s="11">
        <f t="shared" ca="1" si="451"/>
        <v>-1</v>
      </c>
      <c r="K3536" s="10">
        <f t="shared" ca="1" si="439"/>
        <v>131.24001000000001</v>
      </c>
      <c r="L3536" s="11">
        <f t="shared" ca="1" si="440"/>
        <v>-49.09</v>
      </c>
      <c r="M3536" s="11">
        <f t="shared" ca="1" si="441"/>
        <v>2.6734599999999999</v>
      </c>
      <c r="N3536" s="15">
        <f t="shared" ca="1" si="442"/>
        <v>10</v>
      </c>
      <c r="O3536" s="15">
        <f t="shared" ca="1" si="443"/>
        <v>27</v>
      </c>
      <c r="P3536" s="16">
        <f t="shared" ca="1" si="444"/>
        <v>-13.029899999999998</v>
      </c>
      <c r="Q3536" s="11" t="str">
        <f t="shared" ca="1" si="430"/>
        <v/>
      </c>
      <c r="R3536" s="11" t="str">
        <f t="shared" ca="1" si="431"/>
        <v/>
      </c>
      <c r="S3536" s="61" t="str">
        <f t="shared" ca="1" si="432"/>
        <v/>
      </c>
      <c r="T3536" s="11" t="str">
        <f t="shared" ca="1" si="433"/>
        <v/>
      </c>
      <c r="U3536" s="11" t="str">
        <f t="shared" ca="1" si="434"/>
        <v/>
      </c>
      <c r="V3536" s="18" t="str">
        <f t="shared" ca="1" si="435"/>
        <v/>
      </c>
      <c r="W3536" s="61" t="str">
        <f t="shared" ca="1" si="436"/>
        <v/>
      </c>
      <c r="X3536" s="61">
        <f t="shared" ca="1" si="437"/>
        <v>0</v>
      </c>
      <c r="Y3536" s="64" t="str">
        <f t="shared" ca="1" si="438"/>
        <v/>
      </c>
    </row>
    <row r="3537" spans="1:25">
      <c r="A3537" s="2">
        <f>+Get_Data!A3536</f>
        <v>0</v>
      </c>
      <c r="B3537">
        <f>+ROUND(Get_Data!B3536,5)</f>
        <v>0</v>
      </c>
      <c r="C3537">
        <f>+ROUND(Get_Data!C3536,5)</f>
        <v>0</v>
      </c>
      <c r="D3537" s="4" t="str">
        <f t="shared" si="445"/>
        <v/>
      </c>
      <c r="E3537" s="22">
        <f t="shared" ca="1" si="446"/>
        <v>0</v>
      </c>
      <c r="F3537" s="23">
        <f t="shared" ca="1" si="447"/>
        <v>0</v>
      </c>
      <c r="G3537" s="10">
        <f t="shared" ca="1" si="448"/>
        <v>0</v>
      </c>
      <c r="H3537" s="12">
        <f t="shared" ca="1" si="449"/>
        <v>0</v>
      </c>
      <c r="I3537" s="11">
        <f t="shared" ca="1" si="450"/>
        <v>0</v>
      </c>
      <c r="J3537" s="11">
        <f t="shared" ca="1" si="451"/>
        <v>-1</v>
      </c>
      <c r="K3537" s="10">
        <f t="shared" ca="1" si="439"/>
        <v>131.24001000000001</v>
      </c>
      <c r="L3537" s="11">
        <f t="shared" ca="1" si="440"/>
        <v>-49.09</v>
      </c>
      <c r="M3537" s="11">
        <f t="shared" ca="1" si="441"/>
        <v>2.6734599999999999</v>
      </c>
      <c r="N3537" s="15">
        <f t="shared" ca="1" si="442"/>
        <v>10</v>
      </c>
      <c r="O3537" s="15">
        <f t="shared" ca="1" si="443"/>
        <v>27</v>
      </c>
      <c r="P3537" s="16">
        <f t="shared" ca="1" si="444"/>
        <v>-13.029899999999998</v>
      </c>
      <c r="Q3537" s="11" t="str">
        <f t="shared" ca="1" si="430"/>
        <v/>
      </c>
      <c r="R3537" s="11" t="str">
        <f t="shared" ca="1" si="431"/>
        <v/>
      </c>
      <c r="S3537" s="61" t="str">
        <f t="shared" ca="1" si="432"/>
        <v/>
      </c>
      <c r="T3537" s="11" t="str">
        <f t="shared" ca="1" si="433"/>
        <v/>
      </c>
      <c r="U3537" s="11" t="str">
        <f t="shared" ca="1" si="434"/>
        <v/>
      </c>
      <c r="V3537" s="18" t="str">
        <f t="shared" ca="1" si="435"/>
        <v/>
      </c>
      <c r="W3537" s="61" t="str">
        <f t="shared" ca="1" si="436"/>
        <v/>
      </c>
      <c r="X3537" s="61">
        <f t="shared" ca="1" si="437"/>
        <v>0</v>
      </c>
      <c r="Y3537" s="64" t="str">
        <f t="shared" ca="1" si="438"/>
        <v/>
      </c>
    </row>
    <row r="3538" spans="1:25">
      <c r="A3538" s="2">
        <f>+Get_Data!A3537</f>
        <v>0</v>
      </c>
      <c r="B3538">
        <f>+ROUND(Get_Data!B3537,5)</f>
        <v>0</v>
      </c>
      <c r="C3538">
        <f>+ROUND(Get_Data!C3537,5)</f>
        <v>0</v>
      </c>
      <c r="D3538" s="4" t="str">
        <f t="shared" si="445"/>
        <v/>
      </c>
      <c r="E3538" s="22">
        <f t="shared" ca="1" si="446"/>
        <v>0</v>
      </c>
      <c r="F3538" s="23">
        <f t="shared" ca="1" si="447"/>
        <v>0</v>
      </c>
      <c r="G3538" s="10">
        <f t="shared" ca="1" si="448"/>
        <v>0</v>
      </c>
      <c r="H3538" s="12">
        <f t="shared" ca="1" si="449"/>
        <v>0</v>
      </c>
      <c r="I3538" s="11">
        <f t="shared" ca="1" si="450"/>
        <v>0</v>
      </c>
      <c r="J3538" s="11">
        <f t="shared" ca="1" si="451"/>
        <v>-1</v>
      </c>
      <c r="K3538" s="10">
        <f t="shared" ca="1" si="439"/>
        <v>131.24001000000001</v>
      </c>
      <c r="L3538" s="11">
        <f t="shared" ca="1" si="440"/>
        <v>-49.09</v>
      </c>
      <c r="M3538" s="11">
        <f t="shared" ca="1" si="441"/>
        <v>2.6734599999999999</v>
      </c>
      <c r="N3538" s="15">
        <f t="shared" ca="1" si="442"/>
        <v>10</v>
      </c>
      <c r="O3538" s="15">
        <f t="shared" ca="1" si="443"/>
        <v>27</v>
      </c>
      <c r="P3538" s="16">
        <f t="shared" ca="1" si="444"/>
        <v>-13.029899999999998</v>
      </c>
      <c r="Q3538" s="11" t="str">
        <f t="shared" ca="1" si="430"/>
        <v/>
      </c>
      <c r="R3538" s="11" t="str">
        <f t="shared" ca="1" si="431"/>
        <v/>
      </c>
      <c r="S3538" s="61" t="str">
        <f t="shared" ca="1" si="432"/>
        <v/>
      </c>
      <c r="T3538" s="11" t="str">
        <f t="shared" ca="1" si="433"/>
        <v/>
      </c>
      <c r="U3538" s="11" t="str">
        <f t="shared" ca="1" si="434"/>
        <v/>
      </c>
      <c r="V3538" s="18" t="str">
        <f t="shared" ca="1" si="435"/>
        <v/>
      </c>
      <c r="W3538" s="61" t="str">
        <f t="shared" ca="1" si="436"/>
        <v/>
      </c>
      <c r="X3538" s="61">
        <f t="shared" ca="1" si="437"/>
        <v>0</v>
      </c>
      <c r="Y3538" s="64" t="str">
        <f t="shared" ca="1" si="438"/>
        <v/>
      </c>
    </row>
    <row r="3539" spans="1:25">
      <c r="A3539" s="2">
        <f>+Get_Data!A3538</f>
        <v>0</v>
      </c>
      <c r="B3539">
        <f>+ROUND(Get_Data!B3538,5)</f>
        <v>0</v>
      </c>
      <c r="C3539">
        <f>+ROUND(Get_Data!C3538,5)</f>
        <v>0</v>
      </c>
      <c r="D3539" s="4" t="str">
        <f t="shared" si="445"/>
        <v/>
      </c>
      <c r="E3539" s="22">
        <f t="shared" ca="1" si="446"/>
        <v>0</v>
      </c>
      <c r="F3539" s="23">
        <f t="shared" ca="1" si="447"/>
        <v>0</v>
      </c>
      <c r="G3539" s="10">
        <f t="shared" ca="1" si="448"/>
        <v>0</v>
      </c>
      <c r="H3539" s="12">
        <f t="shared" ca="1" si="449"/>
        <v>0</v>
      </c>
      <c r="I3539" s="11">
        <f t="shared" ca="1" si="450"/>
        <v>0</v>
      </c>
      <c r="J3539" s="11">
        <f t="shared" ca="1" si="451"/>
        <v>-1</v>
      </c>
      <c r="K3539" s="10">
        <f t="shared" ca="1" si="439"/>
        <v>131.24001000000001</v>
      </c>
      <c r="L3539" s="11">
        <f t="shared" ca="1" si="440"/>
        <v>-49.09</v>
      </c>
      <c r="M3539" s="11">
        <f t="shared" ca="1" si="441"/>
        <v>2.6734599999999999</v>
      </c>
      <c r="N3539" s="15">
        <f t="shared" ca="1" si="442"/>
        <v>10</v>
      </c>
      <c r="O3539" s="15">
        <f t="shared" ca="1" si="443"/>
        <v>27</v>
      </c>
      <c r="P3539" s="16">
        <f t="shared" ca="1" si="444"/>
        <v>-13.029899999999998</v>
      </c>
      <c r="Q3539" s="11" t="str">
        <f t="shared" ref="Q3539:Q3574" ca="1" si="452">+IF(ISNUMBER(T3539),B3539,"")</f>
        <v/>
      </c>
      <c r="R3539" s="11" t="str">
        <f t="shared" ref="R3539:R3574" ca="1" si="453">+IF(ISNUMBER(U3539),C3539,"")</f>
        <v/>
      </c>
      <c r="S3539" s="61" t="str">
        <f t="shared" ref="S3539:S3574" ca="1" si="454">+IF(ISNUMBER(T3539),D3539,"")</f>
        <v/>
      </c>
      <c r="T3539" s="11" t="str">
        <f t="shared" ref="T3539:T3574" ca="1" si="455">+IF(AND(ISNUMBER(N3538),NOT(ISNUMBER(N3539))),N3538,"")</f>
        <v/>
      </c>
      <c r="U3539" s="11" t="str">
        <f t="shared" ref="U3539:U3574" ca="1" si="456">+IF(AND(ISNUMBER(O3538),NOT(ISNUMBER(O3539))),O3538,"")</f>
        <v/>
      </c>
      <c r="V3539" s="18" t="str">
        <f t="shared" ref="V3539:V3574" ca="1" si="457">+IFERROR(T3539*(K3538-Q3539),"")</f>
        <v/>
      </c>
      <c r="W3539" s="61" t="str">
        <f t="shared" ref="W3539:W3574" ca="1" si="458">+IFERROR(U3539*(L3538+R3539),"")</f>
        <v/>
      </c>
      <c r="X3539" s="61">
        <f t="shared" ref="X3539:X3574" ca="1" si="459">+IFERROR(SUM(V3539:W3539),"")</f>
        <v>0</v>
      </c>
      <c r="Y3539" s="64" t="str">
        <f t="shared" ref="Y3539:Y3574" ca="1" si="460">IFERROR(+X3539/ABS(R3539*U3539),"")</f>
        <v/>
      </c>
    </row>
    <row r="3540" spans="1:25">
      <c r="A3540" s="2">
        <f>+Get_Data!A3539</f>
        <v>0</v>
      </c>
      <c r="B3540">
        <f>+ROUND(Get_Data!B3539,5)</f>
        <v>0</v>
      </c>
      <c r="C3540">
        <f>+ROUND(Get_Data!C3539,5)</f>
        <v>0</v>
      </c>
      <c r="D3540" s="4" t="str">
        <f t="shared" si="445"/>
        <v/>
      </c>
      <c r="E3540" s="22">
        <f t="shared" ca="1" si="446"/>
        <v>0</v>
      </c>
      <c r="F3540" s="23">
        <f t="shared" ca="1" si="447"/>
        <v>0</v>
      </c>
      <c r="G3540" s="10">
        <f t="shared" ca="1" si="448"/>
        <v>0</v>
      </c>
      <c r="H3540" s="12">
        <f t="shared" ca="1" si="449"/>
        <v>0</v>
      </c>
      <c r="I3540" s="11">
        <f t="shared" ca="1" si="450"/>
        <v>0</v>
      </c>
      <c r="J3540" s="11">
        <f t="shared" ca="1" si="451"/>
        <v>-1</v>
      </c>
      <c r="K3540" s="10">
        <f t="shared" ca="1" si="439"/>
        <v>131.24001000000001</v>
      </c>
      <c r="L3540" s="11">
        <f t="shared" ca="1" si="440"/>
        <v>-49.09</v>
      </c>
      <c r="M3540" s="11">
        <f t="shared" ca="1" si="441"/>
        <v>2.6734599999999999</v>
      </c>
      <c r="N3540" s="15">
        <f t="shared" ca="1" si="442"/>
        <v>10</v>
      </c>
      <c r="O3540" s="15">
        <f t="shared" ca="1" si="443"/>
        <v>27</v>
      </c>
      <c r="P3540" s="16">
        <f t="shared" ca="1" si="444"/>
        <v>-13.029899999999998</v>
      </c>
      <c r="Q3540" s="11" t="str">
        <f t="shared" ca="1" si="452"/>
        <v/>
      </c>
      <c r="R3540" s="11" t="str">
        <f t="shared" ca="1" si="453"/>
        <v/>
      </c>
      <c r="S3540" s="61" t="str">
        <f t="shared" ca="1" si="454"/>
        <v/>
      </c>
      <c r="T3540" s="11" t="str">
        <f t="shared" ca="1" si="455"/>
        <v/>
      </c>
      <c r="U3540" s="11" t="str">
        <f t="shared" ca="1" si="456"/>
        <v/>
      </c>
      <c r="V3540" s="18" t="str">
        <f t="shared" ca="1" si="457"/>
        <v/>
      </c>
      <c r="W3540" s="61" t="str">
        <f t="shared" ca="1" si="458"/>
        <v/>
      </c>
      <c r="X3540" s="61">
        <f t="shared" ca="1" si="459"/>
        <v>0</v>
      </c>
      <c r="Y3540" s="64" t="str">
        <f t="shared" ca="1" si="460"/>
        <v/>
      </c>
    </row>
    <row r="3541" spans="1:25">
      <c r="A3541" s="2">
        <f>+Get_Data!A3540</f>
        <v>0</v>
      </c>
      <c r="B3541">
        <f>+ROUND(Get_Data!B3540,5)</f>
        <v>0</v>
      </c>
      <c r="C3541">
        <f>+ROUND(Get_Data!C3540,5)</f>
        <v>0</v>
      </c>
      <c r="D3541" s="4" t="str">
        <f t="shared" si="445"/>
        <v/>
      </c>
      <c r="E3541" s="22">
        <f t="shared" ca="1" si="446"/>
        <v>0</v>
      </c>
      <c r="F3541" s="23">
        <f t="shared" ca="1" si="447"/>
        <v>0</v>
      </c>
      <c r="G3541" s="10">
        <f t="shared" ca="1" si="448"/>
        <v>0</v>
      </c>
      <c r="H3541" s="12">
        <f t="shared" ca="1" si="449"/>
        <v>0</v>
      </c>
      <c r="I3541" s="11">
        <f t="shared" ca="1" si="450"/>
        <v>0</v>
      </c>
      <c r="J3541" s="11">
        <f t="shared" ca="1" si="451"/>
        <v>-1</v>
      </c>
      <c r="K3541" s="10">
        <f t="shared" ca="1" si="439"/>
        <v>131.24001000000001</v>
      </c>
      <c r="L3541" s="11">
        <f t="shared" ca="1" si="440"/>
        <v>-49.09</v>
      </c>
      <c r="M3541" s="11">
        <f t="shared" ca="1" si="441"/>
        <v>2.6734599999999999</v>
      </c>
      <c r="N3541" s="15">
        <f t="shared" ca="1" si="442"/>
        <v>10</v>
      </c>
      <c r="O3541" s="15">
        <f t="shared" ca="1" si="443"/>
        <v>27</v>
      </c>
      <c r="P3541" s="16">
        <f t="shared" ca="1" si="444"/>
        <v>-13.029899999999998</v>
      </c>
      <c r="Q3541" s="11" t="str">
        <f t="shared" ca="1" si="452"/>
        <v/>
      </c>
      <c r="R3541" s="11" t="str">
        <f t="shared" ca="1" si="453"/>
        <v/>
      </c>
      <c r="S3541" s="61" t="str">
        <f t="shared" ca="1" si="454"/>
        <v/>
      </c>
      <c r="T3541" s="11" t="str">
        <f t="shared" ca="1" si="455"/>
        <v/>
      </c>
      <c r="U3541" s="11" t="str">
        <f t="shared" ca="1" si="456"/>
        <v/>
      </c>
      <c r="V3541" s="18" t="str">
        <f t="shared" ca="1" si="457"/>
        <v/>
      </c>
      <c r="W3541" s="61" t="str">
        <f t="shared" ca="1" si="458"/>
        <v/>
      </c>
      <c r="X3541" s="61">
        <f t="shared" ca="1" si="459"/>
        <v>0</v>
      </c>
      <c r="Y3541" s="64" t="str">
        <f t="shared" ca="1" si="460"/>
        <v/>
      </c>
    </row>
    <row r="3542" spans="1:25">
      <c r="A3542" s="2">
        <f>+Get_Data!A3541</f>
        <v>0</v>
      </c>
      <c r="B3542">
        <f>+ROUND(Get_Data!B3541,5)</f>
        <v>0</v>
      </c>
      <c r="C3542">
        <f>+ROUND(Get_Data!C3541,5)</f>
        <v>0</v>
      </c>
      <c r="D3542" s="4" t="str">
        <f t="shared" si="445"/>
        <v/>
      </c>
      <c r="E3542" s="22">
        <f t="shared" ca="1" si="446"/>
        <v>0</v>
      </c>
      <c r="F3542" s="23">
        <f t="shared" ca="1" si="447"/>
        <v>0</v>
      </c>
      <c r="G3542" s="10">
        <f t="shared" ca="1" si="448"/>
        <v>0</v>
      </c>
      <c r="H3542" s="12">
        <f t="shared" ca="1" si="449"/>
        <v>0</v>
      </c>
      <c r="I3542" s="11">
        <f t="shared" ca="1" si="450"/>
        <v>0</v>
      </c>
      <c r="J3542" s="11">
        <f t="shared" ca="1" si="451"/>
        <v>-1</v>
      </c>
      <c r="K3542" s="10">
        <f t="shared" ca="1" si="439"/>
        <v>131.24001000000001</v>
      </c>
      <c r="L3542" s="11">
        <f t="shared" ca="1" si="440"/>
        <v>-49.09</v>
      </c>
      <c r="M3542" s="11">
        <f t="shared" ca="1" si="441"/>
        <v>2.6734599999999999</v>
      </c>
      <c r="N3542" s="15">
        <f t="shared" ca="1" si="442"/>
        <v>10</v>
      </c>
      <c r="O3542" s="15">
        <f t="shared" ca="1" si="443"/>
        <v>27</v>
      </c>
      <c r="P3542" s="16">
        <f t="shared" ca="1" si="444"/>
        <v>-13.029899999999998</v>
      </c>
      <c r="Q3542" s="11" t="str">
        <f t="shared" ca="1" si="452"/>
        <v/>
      </c>
      <c r="R3542" s="11" t="str">
        <f t="shared" ca="1" si="453"/>
        <v/>
      </c>
      <c r="S3542" s="61" t="str">
        <f t="shared" ca="1" si="454"/>
        <v/>
      </c>
      <c r="T3542" s="11" t="str">
        <f t="shared" ca="1" si="455"/>
        <v/>
      </c>
      <c r="U3542" s="11" t="str">
        <f t="shared" ca="1" si="456"/>
        <v/>
      </c>
      <c r="V3542" s="18" t="str">
        <f t="shared" ca="1" si="457"/>
        <v/>
      </c>
      <c r="W3542" s="61" t="str">
        <f t="shared" ca="1" si="458"/>
        <v/>
      </c>
      <c r="X3542" s="61">
        <f t="shared" ca="1" si="459"/>
        <v>0</v>
      </c>
      <c r="Y3542" s="64" t="str">
        <f t="shared" ca="1" si="460"/>
        <v/>
      </c>
    </row>
    <row r="3543" spans="1:25">
      <c r="A3543" s="2">
        <f>+Get_Data!A3542</f>
        <v>0</v>
      </c>
      <c r="B3543">
        <f>+ROUND(Get_Data!B3542,5)</f>
        <v>0</v>
      </c>
      <c r="C3543">
        <f>+ROUND(Get_Data!C3542,5)</f>
        <v>0</v>
      </c>
      <c r="D3543" s="4" t="str">
        <f t="shared" si="445"/>
        <v/>
      </c>
      <c r="E3543" s="22">
        <f t="shared" ca="1" si="446"/>
        <v>0</v>
      </c>
      <c r="F3543" s="23">
        <f t="shared" ca="1" si="447"/>
        <v>0</v>
      </c>
      <c r="G3543" s="10">
        <f t="shared" ca="1" si="448"/>
        <v>0</v>
      </c>
      <c r="H3543" s="12">
        <f t="shared" ca="1" si="449"/>
        <v>0</v>
      </c>
      <c r="I3543" s="11">
        <f t="shared" ca="1" si="450"/>
        <v>0</v>
      </c>
      <c r="J3543" s="11">
        <f t="shared" ca="1" si="451"/>
        <v>-1</v>
      </c>
      <c r="K3543" s="10">
        <f t="shared" ca="1" si="439"/>
        <v>131.24001000000001</v>
      </c>
      <c r="L3543" s="11">
        <f t="shared" ca="1" si="440"/>
        <v>-49.09</v>
      </c>
      <c r="M3543" s="11">
        <f t="shared" ca="1" si="441"/>
        <v>2.6734599999999999</v>
      </c>
      <c r="N3543" s="15">
        <f t="shared" ca="1" si="442"/>
        <v>10</v>
      </c>
      <c r="O3543" s="15">
        <f t="shared" ca="1" si="443"/>
        <v>27</v>
      </c>
      <c r="P3543" s="16">
        <f t="shared" ca="1" si="444"/>
        <v>-13.029899999999998</v>
      </c>
      <c r="Q3543" s="11" t="str">
        <f t="shared" ca="1" si="452"/>
        <v/>
      </c>
      <c r="R3543" s="11" t="str">
        <f t="shared" ca="1" si="453"/>
        <v/>
      </c>
      <c r="S3543" s="61" t="str">
        <f t="shared" ca="1" si="454"/>
        <v/>
      </c>
      <c r="T3543" s="11" t="str">
        <f t="shared" ca="1" si="455"/>
        <v/>
      </c>
      <c r="U3543" s="11" t="str">
        <f t="shared" ca="1" si="456"/>
        <v/>
      </c>
      <c r="V3543" s="18" t="str">
        <f t="shared" ca="1" si="457"/>
        <v/>
      </c>
      <c r="W3543" s="61" t="str">
        <f t="shared" ca="1" si="458"/>
        <v/>
      </c>
      <c r="X3543" s="61">
        <f t="shared" ca="1" si="459"/>
        <v>0</v>
      </c>
      <c r="Y3543" s="64" t="str">
        <f t="shared" ca="1" si="460"/>
        <v/>
      </c>
    </row>
    <row r="3544" spans="1:25">
      <c r="A3544" s="2">
        <f>+Get_Data!A3543</f>
        <v>0</v>
      </c>
      <c r="B3544">
        <f>+ROUND(Get_Data!B3543,5)</f>
        <v>0</v>
      </c>
      <c r="C3544">
        <f>+ROUND(Get_Data!C3543,5)</f>
        <v>0</v>
      </c>
      <c r="D3544" s="4" t="str">
        <f t="shared" si="445"/>
        <v/>
      </c>
      <c r="E3544" s="22">
        <f t="shared" ca="1" si="446"/>
        <v>0</v>
      </c>
      <c r="F3544" s="23">
        <f t="shared" ca="1" si="447"/>
        <v>0</v>
      </c>
      <c r="G3544" s="10">
        <f t="shared" ca="1" si="448"/>
        <v>0</v>
      </c>
      <c r="H3544" s="12">
        <f t="shared" ca="1" si="449"/>
        <v>0</v>
      </c>
      <c r="I3544" s="11">
        <f t="shared" ca="1" si="450"/>
        <v>0</v>
      </c>
      <c r="J3544" s="11">
        <f t="shared" ca="1" si="451"/>
        <v>-1</v>
      </c>
      <c r="K3544" s="10">
        <f t="shared" ca="1" si="439"/>
        <v>131.24001000000001</v>
      </c>
      <c r="L3544" s="11">
        <f t="shared" ca="1" si="440"/>
        <v>-49.09</v>
      </c>
      <c r="M3544" s="11">
        <f t="shared" ca="1" si="441"/>
        <v>2.6734599999999999</v>
      </c>
      <c r="N3544" s="15">
        <f t="shared" ca="1" si="442"/>
        <v>10</v>
      </c>
      <c r="O3544" s="15">
        <f t="shared" ca="1" si="443"/>
        <v>27</v>
      </c>
      <c r="P3544" s="16">
        <f t="shared" ca="1" si="444"/>
        <v>-13.029899999999998</v>
      </c>
      <c r="Q3544" s="11" t="str">
        <f t="shared" ca="1" si="452"/>
        <v/>
      </c>
      <c r="R3544" s="11" t="str">
        <f t="shared" ca="1" si="453"/>
        <v/>
      </c>
      <c r="S3544" s="61" t="str">
        <f t="shared" ca="1" si="454"/>
        <v/>
      </c>
      <c r="T3544" s="11" t="str">
        <f t="shared" ca="1" si="455"/>
        <v/>
      </c>
      <c r="U3544" s="11" t="str">
        <f t="shared" ca="1" si="456"/>
        <v/>
      </c>
      <c r="V3544" s="18" t="str">
        <f t="shared" ca="1" si="457"/>
        <v/>
      </c>
      <c r="W3544" s="61" t="str">
        <f t="shared" ca="1" si="458"/>
        <v/>
      </c>
      <c r="X3544" s="61">
        <f t="shared" ca="1" si="459"/>
        <v>0</v>
      </c>
      <c r="Y3544" s="64" t="str">
        <f t="shared" ca="1" si="460"/>
        <v/>
      </c>
    </row>
    <row r="3545" spans="1:25">
      <c r="A3545" s="2">
        <f>+Get_Data!A3544</f>
        <v>0</v>
      </c>
      <c r="B3545">
        <f>+ROUND(Get_Data!B3544,5)</f>
        <v>0</v>
      </c>
      <c r="C3545">
        <f>+ROUND(Get_Data!C3544,5)</f>
        <v>0</v>
      </c>
      <c r="D3545" s="4" t="str">
        <f t="shared" si="445"/>
        <v/>
      </c>
      <c r="E3545" s="22">
        <f t="shared" ca="1" si="446"/>
        <v>0</v>
      </c>
      <c r="F3545" s="23">
        <f t="shared" ca="1" si="447"/>
        <v>0</v>
      </c>
      <c r="G3545" s="10">
        <f t="shared" ca="1" si="448"/>
        <v>0</v>
      </c>
      <c r="H3545" s="12">
        <f t="shared" ca="1" si="449"/>
        <v>0</v>
      </c>
      <c r="I3545" s="11">
        <f t="shared" ca="1" si="450"/>
        <v>0</v>
      </c>
      <c r="J3545" s="11">
        <f t="shared" ca="1" si="451"/>
        <v>-1</v>
      </c>
      <c r="K3545" s="10">
        <f t="shared" ca="1" si="439"/>
        <v>131.24001000000001</v>
      </c>
      <c r="L3545" s="11">
        <f t="shared" ca="1" si="440"/>
        <v>-49.09</v>
      </c>
      <c r="M3545" s="11">
        <f t="shared" ca="1" si="441"/>
        <v>2.6734599999999999</v>
      </c>
      <c r="N3545" s="15">
        <f t="shared" ca="1" si="442"/>
        <v>10</v>
      </c>
      <c r="O3545" s="15">
        <f t="shared" ca="1" si="443"/>
        <v>27</v>
      </c>
      <c r="P3545" s="16">
        <f t="shared" ca="1" si="444"/>
        <v>-13.029899999999998</v>
      </c>
      <c r="Q3545" s="11" t="str">
        <f t="shared" ca="1" si="452"/>
        <v/>
      </c>
      <c r="R3545" s="11" t="str">
        <f t="shared" ca="1" si="453"/>
        <v/>
      </c>
      <c r="S3545" s="61" t="str">
        <f t="shared" ca="1" si="454"/>
        <v/>
      </c>
      <c r="T3545" s="11" t="str">
        <f t="shared" ca="1" si="455"/>
        <v/>
      </c>
      <c r="U3545" s="11" t="str">
        <f t="shared" ca="1" si="456"/>
        <v/>
      </c>
      <c r="V3545" s="18" t="str">
        <f t="shared" ca="1" si="457"/>
        <v/>
      </c>
      <c r="W3545" s="61" t="str">
        <f t="shared" ca="1" si="458"/>
        <v/>
      </c>
      <c r="X3545" s="61">
        <f t="shared" ca="1" si="459"/>
        <v>0</v>
      </c>
      <c r="Y3545" s="64" t="str">
        <f t="shared" ca="1" si="460"/>
        <v/>
      </c>
    </row>
    <row r="3546" spans="1:25">
      <c r="A3546" s="2">
        <f>+Get_Data!A3545</f>
        <v>0</v>
      </c>
      <c r="B3546">
        <f>+ROUND(Get_Data!B3545,5)</f>
        <v>0</v>
      </c>
      <c r="C3546">
        <f>+ROUND(Get_Data!C3545,5)</f>
        <v>0</v>
      </c>
      <c r="D3546" s="4" t="str">
        <f t="shared" si="445"/>
        <v/>
      </c>
      <c r="E3546" s="22">
        <f t="shared" ca="1" si="446"/>
        <v>0</v>
      </c>
      <c r="F3546" s="23">
        <f t="shared" ca="1" si="447"/>
        <v>0</v>
      </c>
      <c r="G3546" s="10">
        <f t="shared" ca="1" si="448"/>
        <v>0</v>
      </c>
      <c r="H3546" s="12">
        <f t="shared" ca="1" si="449"/>
        <v>0</v>
      </c>
      <c r="I3546" s="11">
        <f t="shared" ca="1" si="450"/>
        <v>0</v>
      </c>
      <c r="J3546" s="11">
        <f t="shared" ca="1" si="451"/>
        <v>-1</v>
      </c>
      <c r="K3546" s="10">
        <f t="shared" ref="K3546:K3574" ca="1" si="461">+IF($J3545=0,"",IF(AND(ABS($J3545)=1,ABS($I3545)=1),-$J3545*B3546,K3545))</f>
        <v>131.24001000000001</v>
      </c>
      <c r="L3546" s="11">
        <f t="shared" ref="L3546:L3574" ca="1" si="462">+IF($J3545=0,"",IF(AND(ABS($J3545)=1,ABS($I3545)=1),$J3545*C3546,L3545))</f>
        <v>-49.09</v>
      </c>
      <c r="M3546" s="11">
        <f t="shared" ref="M3546:M3574" ca="1" si="463">+IF($J3545=0,"",IF(AND(ABS($J3545)=1,ABS($I3545)=1),D3546,M3545))</f>
        <v>2.6734599999999999</v>
      </c>
      <c r="N3546" s="15">
        <f t="shared" ref="N3546:N3574" ca="1" si="464">+IF(ISNUMBER(K3546),stocks,"")</f>
        <v>10</v>
      </c>
      <c r="O3546" s="15">
        <f t="shared" ref="O3546:O3574" ca="1" si="465">+IFERROR(ROUND(N3546*M3546,0),"")</f>
        <v>27</v>
      </c>
      <c r="P3546" s="16">
        <f t="shared" ref="P3546:P3574" ca="1" si="466">IFERROR(+N3546*K3546+O3546*L3546,"")</f>
        <v>-13.029899999999998</v>
      </c>
      <c r="Q3546" s="11" t="str">
        <f t="shared" ca="1" si="452"/>
        <v/>
      </c>
      <c r="R3546" s="11" t="str">
        <f t="shared" ca="1" si="453"/>
        <v/>
      </c>
      <c r="S3546" s="61" t="str">
        <f t="shared" ca="1" si="454"/>
        <v/>
      </c>
      <c r="T3546" s="11" t="str">
        <f t="shared" ca="1" si="455"/>
        <v/>
      </c>
      <c r="U3546" s="11" t="str">
        <f t="shared" ca="1" si="456"/>
        <v/>
      </c>
      <c r="V3546" s="18" t="str">
        <f t="shared" ca="1" si="457"/>
        <v/>
      </c>
      <c r="W3546" s="61" t="str">
        <f t="shared" ca="1" si="458"/>
        <v/>
      </c>
      <c r="X3546" s="61">
        <f t="shared" ca="1" si="459"/>
        <v>0</v>
      </c>
      <c r="Y3546" s="64" t="str">
        <f t="shared" ca="1" si="460"/>
        <v/>
      </c>
    </row>
    <row r="3547" spans="1:25">
      <c r="A3547" s="2">
        <f>+Get_Data!A3546</f>
        <v>0</v>
      </c>
      <c r="B3547">
        <f>+ROUND(Get_Data!B3546,5)</f>
        <v>0</v>
      </c>
      <c r="C3547">
        <f>+ROUND(Get_Data!C3546,5)</f>
        <v>0</v>
      </c>
      <c r="D3547" s="4" t="str">
        <f t="shared" si="445"/>
        <v/>
      </c>
      <c r="E3547" s="22">
        <f t="shared" ca="1" si="446"/>
        <v>0</v>
      </c>
      <c r="F3547" s="23">
        <f t="shared" ca="1" si="447"/>
        <v>0</v>
      </c>
      <c r="G3547" s="10">
        <f t="shared" ca="1" si="448"/>
        <v>0</v>
      </c>
      <c r="H3547" s="12">
        <f t="shared" ca="1" si="449"/>
        <v>0</v>
      </c>
      <c r="I3547" s="11">
        <f t="shared" ca="1" si="450"/>
        <v>0</v>
      </c>
      <c r="J3547" s="11">
        <f t="shared" ca="1" si="451"/>
        <v>-1</v>
      </c>
      <c r="K3547" s="10">
        <f t="shared" ca="1" si="461"/>
        <v>131.24001000000001</v>
      </c>
      <c r="L3547" s="11">
        <f t="shared" ca="1" si="462"/>
        <v>-49.09</v>
      </c>
      <c r="M3547" s="11">
        <f t="shared" ca="1" si="463"/>
        <v>2.6734599999999999</v>
      </c>
      <c r="N3547" s="15">
        <f t="shared" ca="1" si="464"/>
        <v>10</v>
      </c>
      <c r="O3547" s="15">
        <f t="shared" ca="1" si="465"/>
        <v>27</v>
      </c>
      <c r="P3547" s="16">
        <f t="shared" ca="1" si="466"/>
        <v>-13.029899999999998</v>
      </c>
      <c r="Q3547" s="11" t="str">
        <f t="shared" ca="1" si="452"/>
        <v/>
      </c>
      <c r="R3547" s="11" t="str">
        <f t="shared" ca="1" si="453"/>
        <v/>
      </c>
      <c r="S3547" s="61" t="str">
        <f t="shared" ca="1" si="454"/>
        <v/>
      </c>
      <c r="T3547" s="11" t="str">
        <f t="shared" ca="1" si="455"/>
        <v/>
      </c>
      <c r="U3547" s="11" t="str">
        <f t="shared" ca="1" si="456"/>
        <v/>
      </c>
      <c r="V3547" s="18" t="str">
        <f t="shared" ca="1" si="457"/>
        <v/>
      </c>
      <c r="W3547" s="61" t="str">
        <f t="shared" ca="1" si="458"/>
        <v/>
      </c>
      <c r="X3547" s="61">
        <f t="shared" ca="1" si="459"/>
        <v>0</v>
      </c>
      <c r="Y3547" s="64" t="str">
        <f t="shared" ca="1" si="460"/>
        <v/>
      </c>
    </row>
    <row r="3548" spans="1:25">
      <c r="A3548" s="2">
        <f>+Get_Data!A3547</f>
        <v>0</v>
      </c>
      <c r="B3548">
        <f>+ROUND(Get_Data!B3547,5)</f>
        <v>0</v>
      </c>
      <c r="C3548">
        <f>+ROUND(Get_Data!C3547,5)</f>
        <v>0</v>
      </c>
      <c r="D3548" s="4" t="str">
        <f t="shared" si="445"/>
        <v/>
      </c>
      <c r="E3548" s="22">
        <f t="shared" ca="1" si="446"/>
        <v>0</v>
      </c>
      <c r="F3548" s="23">
        <f t="shared" ca="1" si="447"/>
        <v>0</v>
      </c>
      <c r="G3548" s="10">
        <f t="shared" ca="1" si="448"/>
        <v>0</v>
      </c>
      <c r="H3548" s="12">
        <f t="shared" ca="1" si="449"/>
        <v>0</v>
      </c>
      <c r="I3548" s="11">
        <f t="shared" ca="1" si="450"/>
        <v>0</v>
      </c>
      <c r="J3548" s="11">
        <f t="shared" ca="1" si="451"/>
        <v>-1</v>
      </c>
      <c r="K3548" s="10">
        <f t="shared" ca="1" si="461"/>
        <v>131.24001000000001</v>
      </c>
      <c r="L3548" s="11">
        <f t="shared" ca="1" si="462"/>
        <v>-49.09</v>
      </c>
      <c r="M3548" s="11">
        <f t="shared" ca="1" si="463"/>
        <v>2.6734599999999999</v>
      </c>
      <c r="N3548" s="15">
        <f t="shared" ca="1" si="464"/>
        <v>10</v>
      </c>
      <c r="O3548" s="15">
        <f t="shared" ca="1" si="465"/>
        <v>27</v>
      </c>
      <c r="P3548" s="16">
        <f t="shared" ca="1" si="466"/>
        <v>-13.029899999999998</v>
      </c>
      <c r="Q3548" s="11" t="str">
        <f t="shared" ca="1" si="452"/>
        <v/>
      </c>
      <c r="R3548" s="11" t="str">
        <f t="shared" ca="1" si="453"/>
        <v/>
      </c>
      <c r="S3548" s="61" t="str">
        <f t="shared" ca="1" si="454"/>
        <v/>
      </c>
      <c r="T3548" s="11" t="str">
        <f t="shared" ca="1" si="455"/>
        <v/>
      </c>
      <c r="U3548" s="11" t="str">
        <f t="shared" ca="1" si="456"/>
        <v/>
      </c>
      <c r="V3548" s="18" t="str">
        <f t="shared" ca="1" si="457"/>
        <v/>
      </c>
      <c r="W3548" s="61" t="str">
        <f t="shared" ca="1" si="458"/>
        <v/>
      </c>
      <c r="X3548" s="61">
        <f t="shared" ca="1" si="459"/>
        <v>0</v>
      </c>
      <c r="Y3548" s="64" t="str">
        <f t="shared" ca="1" si="460"/>
        <v/>
      </c>
    </row>
    <row r="3549" spans="1:25">
      <c r="A3549" s="2">
        <f>+Get_Data!A3548</f>
        <v>0</v>
      </c>
      <c r="B3549">
        <f>+ROUND(Get_Data!B3548,5)</f>
        <v>0</v>
      </c>
      <c r="C3549">
        <f>+ROUND(Get_Data!C3548,5)</f>
        <v>0</v>
      </c>
      <c r="D3549" s="4" t="str">
        <f t="shared" si="445"/>
        <v/>
      </c>
      <c r="E3549" s="22">
        <f t="shared" ca="1" si="446"/>
        <v>0</v>
      </c>
      <c r="F3549" s="23">
        <f t="shared" ca="1" si="447"/>
        <v>0</v>
      </c>
      <c r="G3549" s="10">
        <f t="shared" ca="1" si="448"/>
        <v>0</v>
      </c>
      <c r="H3549" s="12">
        <f t="shared" ca="1" si="449"/>
        <v>0</v>
      </c>
      <c r="I3549" s="11">
        <f t="shared" ca="1" si="450"/>
        <v>0</v>
      </c>
      <c r="J3549" s="11">
        <f t="shared" ca="1" si="451"/>
        <v>-1</v>
      </c>
      <c r="K3549" s="10">
        <f t="shared" ca="1" si="461"/>
        <v>131.24001000000001</v>
      </c>
      <c r="L3549" s="11">
        <f t="shared" ca="1" si="462"/>
        <v>-49.09</v>
      </c>
      <c r="M3549" s="11">
        <f t="shared" ca="1" si="463"/>
        <v>2.6734599999999999</v>
      </c>
      <c r="N3549" s="15">
        <f t="shared" ca="1" si="464"/>
        <v>10</v>
      </c>
      <c r="O3549" s="15">
        <f t="shared" ca="1" si="465"/>
        <v>27</v>
      </c>
      <c r="P3549" s="16">
        <f t="shared" ca="1" si="466"/>
        <v>-13.029899999999998</v>
      </c>
      <c r="Q3549" s="11" t="str">
        <f t="shared" ca="1" si="452"/>
        <v/>
      </c>
      <c r="R3549" s="11" t="str">
        <f t="shared" ca="1" si="453"/>
        <v/>
      </c>
      <c r="S3549" s="61" t="str">
        <f t="shared" ca="1" si="454"/>
        <v/>
      </c>
      <c r="T3549" s="11" t="str">
        <f t="shared" ca="1" si="455"/>
        <v/>
      </c>
      <c r="U3549" s="11" t="str">
        <f t="shared" ca="1" si="456"/>
        <v/>
      </c>
      <c r="V3549" s="18" t="str">
        <f t="shared" ca="1" si="457"/>
        <v/>
      </c>
      <c r="W3549" s="61" t="str">
        <f t="shared" ca="1" si="458"/>
        <v/>
      </c>
      <c r="X3549" s="61">
        <f t="shared" ca="1" si="459"/>
        <v>0</v>
      </c>
      <c r="Y3549" s="64" t="str">
        <f t="shared" ca="1" si="460"/>
        <v/>
      </c>
    </row>
    <row r="3550" spans="1:25">
      <c r="A3550" s="2">
        <f>+Get_Data!A3549</f>
        <v>0</v>
      </c>
      <c r="B3550">
        <f>+ROUND(Get_Data!B3549,5)</f>
        <v>0</v>
      </c>
      <c r="C3550">
        <f>+ROUND(Get_Data!C3549,5)</f>
        <v>0</v>
      </c>
      <c r="D3550" s="4" t="str">
        <f t="shared" si="445"/>
        <v/>
      </c>
      <c r="E3550" s="22">
        <f t="shared" ca="1" si="446"/>
        <v>0</v>
      </c>
      <c r="F3550" s="23">
        <f t="shared" ca="1" si="447"/>
        <v>0</v>
      </c>
      <c r="G3550" s="10">
        <f t="shared" ca="1" si="448"/>
        <v>0</v>
      </c>
      <c r="H3550" s="12">
        <f t="shared" ca="1" si="449"/>
        <v>0</v>
      </c>
      <c r="I3550" s="11">
        <f t="shared" ca="1" si="450"/>
        <v>0</v>
      </c>
      <c r="J3550" s="11">
        <f t="shared" ca="1" si="451"/>
        <v>-1</v>
      </c>
      <c r="K3550" s="10">
        <f t="shared" ca="1" si="461"/>
        <v>131.24001000000001</v>
      </c>
      <c r="L3550" s="11">
        <f t="shared" ca="1" si="462"/>
        <v>-49.09</v>
      </c>
      <c r="M3550" s="11">
        <f t="shared" ca="1" si="463"/>
        <v>2.6734599999999999</v>
      </c>
      <c r="N3550" s="15">
        <f t="shared" ca="1" si="464"/>
        <v>10</v>
      </c>
      <c r="O3550" s="15">
        <f t="shared" ca="1" si="465"/>
        <v>27</v>
      </c>
      <c r="P3550" s="16">
        <f t="shared" ca="1" si="466"/>
        <v>-13.029899999999998</v>
      </c>
      <c r="Q3550" s="11" t="str">
        <f t="shared" ca="1" si="452"/>
        <v/>
      </c>
      <c r="R3550" s="11" t="str">
        <f t="shared" ca="1" si="453"/>
        <v/>
      </c>
      <c r="S3550" s="61" t="str">
        <f t="shared" ca="1" si="454"/>
        <v/>
      </c>
      <c r="T3550" s="11" t="str">
        <f t="shared" ca="1" si="455"/>
        <v/>
      </c>
      <c r="U3550" s="11" t="str">
        <f t="shared" ca="1" si="456"/>
        <v/>
      </c>
      <c r="V3550" s="18" t="str">
        <f t="shared" ca="1" si="457"/>
        <v/>
      </c>
      <c r="W3550" s="61" t="str">
        <f t="shared" ca="1" si="458"/>
        <v/>
      </c>
      <c r="X3550" s="61">
        <f t="shared" ca="1" si="459"/>
        <v>0</v>
      </c>
      <c r="Y3550" s="64" t="str">
        <f t="shared" ca="1" si="460"/>
        <v/>
      </c>
    </row>
    <row r="3551" spans="1:25">
      <c r="A3551" s="2">
        <f>+Get_Data!A3550</f>
        <v>0</v>
      </c>
      <c r="B3551">
        <f>+ROUND(Get_Data!B3550,5)</f>
        <v>0</v>
      </c>
      <c r="C3551">
        <f>+ROUND(Get_Data!C3550,5)</f>
        <v>0</v>
      </c>
      <c r="D3551" s="4" t="str">
        <f t="shared" si="445"/>
        <v/>
      </c>
      <c r="E3551" s="22">
        <f t="shared" ca="1" si="446"/>
        <v>0</v>
      </c>
      <c r="F3551" s="23">
        <f t="shared" ca="1" si="447"/>
        <v>0</v>
      </c>
      <c r="G3551" s="10">
        <f t="shared" ca="1" si="448"/>
        <v>0</v>
      </c>
      <c r="H3551" s="12">
        <f t="shared" ca="1" si="449"/>
        <v>0</v>
      </c>
      <c r="I3551" s="11">
        <f t="shared" ca="1" si="450"/>
        <v>0</v>
      </c>
      <c r="J3551" s="11">
        <f t="shared" ca="1" si="451"/>
        <v>-1</v>
      </c>
      <c r="K3551" s="10">
        <f t="shared" ca="1" si="461"/>
        <v>131.24001000000001</v>
      </c>
      <c r="L3551" s="11">
        <f t="shared" ca="1" si="462"/>
        <v>-49.09</v>
      </c>
      <c r="M3551" s="11">
        <f t="shared" ca="1" si="463"/>
        <v>2.6734599999999999</v>
      </c>
      <c r="N3551" s="15">
        <f t="shared" ca="1" si="464"/>
        <v>10</v>
      </c>
      <c r="O3551" s="15">
        <f t="shared" ca="1" si="465"/>
        <v>27</v>
      </c>
      <c r="P3551" s="16">
        <f t="shared" ca="1" si="466"/>
        <v>-13.029899999999998</v>
      </c>
      <c r="Q3551" s="11" t="str">
        <f t="shared" ca="1" si="452"/>
        <v/>
      </c>
      <c r="R3551" s="11" t="str">
        <f t="shared" ca="1" si="453"/>
        <v/>
      </c>
      <c r="S3551" s="61" t="str">
        <f t="shared" ca="1" si="454"/>
        <v/>
      </c>
      <c r="T3551" s="11" t="str">
        <f t="shared" ca="1" si="455"/>
        <v/>
      </c>
      <c r="U3551" s="11" t="str">
        <f t="shared" ca="1" si="456"/>
        <v/>
      </c>
      <c r="V3551" s="18" t="str">
        <f t="shared" ca="1" si="457"/>
        <v/>
      </c>
      <c r="W3551" s="61" t="str">
        <f t="shared" ca="1" si="458"/>
        <v/>
      </c>
      <c r="X3551" s="61">
        <f t="shared" ca="1" si="459"/>
        <v>0</v>
      </c>
      <c r="Y3551" s="64" t="str">
        <f t="shared" ca="1" si="460"/>
        <v/>
      </c>
    </row>
    <row r="3552" spans="1:25">
      <c r="A3552" s="2">
        <f>+Get_Data!A3551</f>
        <v>0</v>
      </c>
      <c r="B3552">
        <f>+ROUND(Get_Data!B3551,5)</f>
        <v>0</v>
      </c>
      <c r="C3552">
        <f>+ROUND(Get_Data!C3551,5)</f>
        <v>0</v>
      </c>
      <c r="D3552" s="4" t="str">
        <f t="shared" si="445"/>
        <v/>
      </c>
      <c r="E3552" s="22">
        <f t="shared" ca="1" si="446"/>
        <v>0</v>
      </c>
      <c r="F3552" s="23">
        <f t="shared" ca="1" si="447"/>
        <v>0</v>
      </c>
      <c r="G3552" s="10">
        <f t="shared" ca="1" si="448"/>
        <v>0</v>
      </c>
      <c r="H3552" s="12">
        <f t="shared" ca="1" si="449"/>
        <v>0</v>
      </c>
      <c r="I3552" s="11">
        <f t="shared" ca="1" si="450"/>
        <v>0</v>
      </c>
      <c r="J3552" s="11">
        <f t="shared" ca="1" si="451"/>
        <v>-1</v>
      </c>
      <c r="K3552" s="10">
        <f t="shared" ca="1" si="461"/>
        <v>131.24001000000001</v>
      </c>
      <c r="L3552" s="11">
        <f t="shared" ca="1" si="462"/>
        <v>-49.09</v>
      </c>
      <c r="M3552" s="11">
        <f t="shared" ca="1" si="463"/>
        <v>2.6734599999999999</v>
      </c>
      <c r="N3552" s="15">
        <f t="shared" ca="1" si="464"/>
        <v>10</v>
      </c>
      <c r="O3552" s="15">
        <f t="shared" ca="1" si="465"/>
        <v>27</v>
      </c>
      <c r="P3552" s="16">
        <f t="shared" ca="1" si="466"/>
        <v>-13.029899999999998</v>
      </c>
      <c r="Q3552" s="11" t="str">
        <f t="shared" ca="1" si="452"/>
        <v/>
      </c>
      <c r="R3552" s="11" t="str">
        <f t="shared" ca="1" si="453"/>
        <v/>
      </c>
      <c r="S3552" s="61" t="str">
        <f t="shared" ca="1" si="454"/>
        <v/>
      </c>
      <c r="T3552" s="11" t="str">
        <f t="shared" ca="1" si="455"/>
        <v/>
      </c>
      <c r="U3552" s="11" t="str">
        <f t="shared" ca="1" si="456"/>
        <v/>
      </c>
      <c r="V3552" s="18" t="str">
        <f t="shared" ca="1" si="457"/>
        <v/>
      </c>
      <c r="W3552" s="61" t="str">
        <f t="shared" ca="1" si="458"/>
        <v/>
      </c>
      <c r="X3552" s="61">
        <f t="shared" ca="1" si="459"/>
        <v>0</v>
      </c>
      <c r="Y3552" s="64" t="str">
        <f t="shared" ca="1" si="460"/>
        <v/>
      </c>
    </row>
    <row r="3553" spans="1:25">
      <c r="A3553" s="2">
        <f>+Get_Data!A3552</f>
        <v>0</v>
      </c>
      <c r="B3553">
        <f>+ROUND(Get_Data!B3552,5)</f>
        <v>0</v>
      </c>
      <c r="C3553">
        <f>+ROUND(Get_Data!C3552,5)</f>
        <v>0</v>
      </c>
      <c r="D3553" s="4" t="str">
        <f t="shared" si="445"/>
        <v/>
      </c>
      <c r="E3553" s="22">
        <f t="shared" ca="1" si="446"/>
        <v>0</v>
      </c>
      <c r="F3553" s="23">
        <f t="shared" ca="1" si="447"/>
        <v>0</v>
      </c>
      <c r="G3553" s="10">
        <f t="shared" ca="1" si="448"/>
        <v>0</v>
      </c>
      <c r="H3553" s="12">
        <f t="shared" ca="1" si="449"/>
        <v>0</v>
      </c>
      <c r="I3553" s="11">
        <f t="shared" ca="1" si="450"/>
        <v>0</v>
      </c>
      <c r="J3553" s="11">
        <f t="shared" ca="1" si="451"/>
        <v>-1</v>
      </c>
      <c r="K3553" s="10">
        <f t="shared" ca="1" si="461"/>
        <v>131.24001000000001</v>
      </c>
      <c r="L3553" s="11">
        <f t="shared" ca="1" si="462"/>
        <v>-49.09</v>
      </c>
      <c r="M3553" s="11">
        <f t="shared" ca="1" si="463"/>
        <v>2.6734599999999999</v>
      </c>
      <c r="N3553" s="15">
        <f t="shared" ca="1" si="464"/>
        <v>10</v>
      </c>
      <c r="O3553" s="15">
        <f t="shared" ca="1" si="465"/>
        <v>27</v>
      </c>
      <c r="P3553" s="16">
        <f t="shared" ca="1" si="466"/>
        <v>-13.029899999999998</v>
      </c>
      <c r="Q3553" s="11" t="str">
        <f t="shared" ca="1" si="452"/>
        <v/>
      </c>
      <c r="R3553" s="11" t="str">
        <f t="shared" ca="1" si="453"/>
        <v/>
      </c>
      <c r="S3553" s="61" t="str">
        <f t="shared" ca="1" si="454"/>
        <v/>
      </c>
      <c r="T3553" s="11" t="str">
        <f t="shared" ca="1" si="455"/>
        <v/>
      </c>
      <c r="U3553" s="11" t="str">
        <f t="shared" ca="1" si="456"/>
        <v/>
      </c>
      <c r="V3553" s="18" t="str">
        <f t="shared" ca="1" si="457"/>
        <v/>
      </c>
      <c r="W3553" s="61" t="str">
        <f t="shared" ca="1" si="458"/>
        <v/>
      </c>
      <c r="X3553" s="61">
        <f t="shared" ca="1" si="459"/>
        <v>0</v>
      </c>
      <c r="Y3553" s="64" t="str">
        <f t="shared" ca="1" si="460"/>
        <v/>
      </c>
    </row>
    <row r="3554" spans="1:25">
      <c r="A3554" s="2">
        <f>+Get_Data!A3553</f>
        <v>0</v>
      </c>
      <c r="B3554">
        <f>+ROUND(Get_Data!B3553,5)</f>
        <v>0</v>
      </c>
      <c r="C3554">
        <f>+ROUND(Get_Data!C3553,5)</f>
        <v>0</v>
      </c>
      <c r="D3554" s="4" t="str">
        <f t="shared" si="445"/>
        <v/>
      </c>
      <c r="E3554" s="22">
        <f t="shared" ca="1" si="446"/>
        <v>0</v>
      </c>
      <c r="F3554" s="23">
        <f t="shared" ca="1" si="447"/>
        <v>0</v>
      </c>
      <c r="G3554" s="10">
        <f t="shared" ca="1" si="448"/>
        <v>0</v>
      </c>
      <c r="H3554" s="12">
        <f t="shared" ca="1" si="449"/>
        <v>0</v>
      </c>
      <c r="I3554" s="11">
        <f t="shared" ca="1" si="450"/>
        <v>0</v>
      </c>
      <c r="J3554" s="11">
        <f t="shared" ca="1" si="451"/>
        <v>-1</v>
      </c>
      <c r="K3554" s="10">
        <f t="shared" ca="1" si="461"/>
        <v>131.24001000000001</v>
      </c>
      <c r="L3554" s="11">
        <f t="shared" ca="1" si="462"/>
        <v>-49.09</v>
      </c>
      <c r="M3554" s="11">
        <f t="shared" ca="1" si="463"/>
        <v>2.6734599999999999</v>
      </c>
      <c r="N3554" s="15">
        <f t="shared" ca="1" si="464"/>
        <v>10</v>
      </c>
      <c r="O3554" s="15">
        <f t="shared" ca="1" si="465"/>
        <v>27</v>
      </c>
      <c r="P3554" s="16">
        <f t="shared" ca="1" si="466"/>
        <v>-13.029899999999998</v>
      </c>
      <c r="Q3554" s="11" t="str">
        <f t="shared" ca="1" si="452"/>
        <v/>
      </c>
      <c r="R3554" s="11" t="str">
        <f t="shared" ca="1" si="453"/>
        <v/>
      </c>
      <c r="S3554" s="61" t="str">
        <f t="shared" ca="1" si="454"/>
        <v/>
      </c>
      <c r="T3554" s="11" t="str">
        <f t="shared" ca="1" si="455"/>
        <v/>
      </c>
      <c r="U3554" s="11" t="str">
        <f t="shared" ca="1" si="456"/>
        <v/>
      </c>
      <c r="V3554" s="18" t="str">
        <f t="shared" ca="1" si="457"/>
        <v/>
      </c>
      <c r="W3554" s="61" t="str">
        <f t="shared" ca="1" si="458"/>
        <v/>
      </c>
      <c r="X3554" s="61">
        <f t="shared" ca="1" si="459"/>
        <v>0</v>
      </c>
      <c r="Y3554" s="64" t="str">
        <f t="shared" ca="1" si="460"/>
        <v/>
      </c>
    </row>
    <row r="3555" spans="1:25">
      <c r="A3555" s="2">
        <f>+Get_Data!A3554</f>
        <v>0</v>
      </c>
      <c r="B3555">
        <f>+ROUND(Get_Data!B3554,5)</f>
        <v>0</v>
      </c>
      <c r="C3555">
        <f>+ROUND(Get_Data!C3554,5)</f>
        <v>0</v>
      </c>
      <c r="D3555" s="4" t="str">
        <f t="shared" si="445"/>
        <v/>
      </c>
      <c r="E3555" s="22">
        <f t="shared" ca="1" si="446"/>
        <v>0</v>
      </c>
      <c r="F3555" s="23">
        <f t="shared" ca="1" si="447"/>
        <v>0</v>
      </c>
      <c r="G3555" s="10">
        <f t="shared" ca="1" si="448"/>
        <v>0</v>
      </c>
      <c r="H3555" s="12">
        <f t="shared" ca="1" si="449"/>
        <v>0</v>
      </c>
      <c r="I3555" s="11">
        <f t="shared" ca="1" si="450"/>
        <v>0</v>
      </c>
      <c r="J3555" s="11">
        <f t="shared" ca="1" si="451"/>
        <v>-1</v>
      </c>
      <c r="K3555" s="10">
        <f t="shared" ca="1" si="461"/>
        <v>131.24001000000001</v>
      </c>
      <c r="L3555" s="11">
        <f t="shared" ca="1" si="462"/>
        <v>-49.09</v>
      </c>
      <c r="M3555" s="11">
        <f t="shared" ca="1" si="463"/>
        <v>2.6734599999999999</v>
      </c>
      <c r="N3555" s="15">
        <f t="shared" ca="1" si="464"/>
        <v>10</v>
      </c>
      <c r="O3555" s="15">
        <f t="shared" ca="1" si="465"/>
        <v>27</v>
      </c>
      <c r="P3555" s="16">
        <f t="shared" ca="1" si="466"/>
        <v>-13.029899999999998</v>
      </c>
      <c r="Q3555" s="11" t="str">
        <f t="shared" ca="1" si="452"/>
        <v/>
      </c>
      <c r="R3555" s="11" t="str">
        <f t="shared" ca="1" si="453"/>
        <v/>
      </c>
      <c r="S3555" s="61" t="str">
        <f t="shared" ca="1" si="454"/>
        <v/>
      </c>
      <c r="T3555" s="11" t="str">
        <f t="shared" ca="1" si="455"/>
        <v/>
      </c>
      <c r="U3555" s="11" t="str">
        <f t="shared" ca="1" si="456"/>
        <v/>
      </c>
      <c r="V3555" s="18" t="str">
        <f t="shared" ca="1" si="457"/>
        <v/>
      </c>
      <c r="W3555" s="61" t="str">
        <f t="shared" ca="1" si="458"/>
        <v/>
      </c>
      <c r="X3555" s="61">
        <f t="shared" ca="1" si="459"/>
        <v>0</v>
      </c>
      <c r="Y3555" s="64" t="str">
        <f t="shared" ca="1" si="460"/>
        <v/>
      </c>
    </row>
    <row r="3556" spans="1:25">
      <c r="A3556" s="2">
        <f>+Get_Data!A3555</f>
        <v>0</v>
      </c>
      <c r="B3556">
        <f>+ROUND(Get_Data!B3555,5)</f>
        <v>0</v>
      </c>
      <c r="C3556">
        <f>+ROUND(Get_Data!C3555,5)</f>
        <v>0</v>
      </c>
      <c r="D3556" s="4" t="str">
        <f t="shared" si="445"/>
        <v/>
      </c>
      <c r="E3556" s="22">
        <f t="shared" ca="1" si="446"/>
        <v>0</v>
      </c>
      <c r="F3556" s="23">
        <f t="shared" ca="1" si="447"/>
        <v>0</v>
      </c>
      <c r="G3556" s="10">
        <f t="shared" ca="1" si="448"/>
        <v>0</v>
      </c>
      <c r="H3556" s="12">
        <f t="shared" ca="1" si="449"/>
        <v>0</v>
      </c>
      <c r="I3556" s="11">
        <f t="shared" ca="1" si="450"/>
        <v>0</v>
      </c>
      <c r="J3556" s="11">
        <f t="shared" ca="1" si="451"/>
        <v>-1</v>
      </c>
      <c r="K3556" s="10">
        <f t="shared" ca="1" si="461"/>
        <v>131.24001000000001</v>
      </c>
      <c r="L3556" s="11">
        <f t="shared" ca="1" si="462"/>
        <v>-49.09</v>
      </c>
      <c r="M3556" s="11">
        <f t="shared" ca="1" si="463"/>
        <v>2.6734599999999999</v>
      </c>
      <c r="N3556" s="15">
        <f t="shared" ca="1" si="464"/>
        <v>10</v>
      </c>
      <c r="O3556" s="15">
        <f t="shared" ca="1" si="465"/>
        <v>27</v>
      </c>
      <c r="P3556" s="16">
        <f t="shared" ca="1" si="466"/>
        <v>-13.029899999999998</v>
      </c>
      <c r="Q3556" s="11" t="str">
        <f t="shared" ca="1" si="452"/>
        <v/>
      </c>
      <c r="R3556" s="11" t="str">
        <f t="shared" ca="1" si="453"/>
        <v/>
      </c>
      <c r="S3556" s="61" t="str">
        <f t="shared" ca="1" si="454"/>
        <v/>
      </c>
      <c r="T3556" s="11" t="str">
        <f t="shared" ca="1" si="455"/>
        <v/>
      </c>
      <c r="U3556" s="11" t="str">
        <f t="shared" ca="1" si="456"/>
        <v/>
      </c>
      <c r="V3556" s="18" t="str">
        <f t="shared" ca="1" si="457"/>
        <v/>
      </c>
      <c r="W3556" s="61" t="str">
        <f t="shared" ca="1" si="458"/>
        <v/>
      </c>
      <c r="X3556" s="61">
        <f t="shared" ca="1" si="459"/>
        <v>0</v>
      </c>
      <c r="Y3556" s="64" t="str">
        <f t="shared" ca="1" si="460"/>
        <v/>
      </c>
    </row>
    <row r="3557" spans="1:25">
      <c r="A3557" s="2">
        <f>+Get_Data!A3556</f>
        <v>0</v>
      </c>
      <c r="B3557">
        <f>+ROUND(Get_Data!B3556,5)</f>
        <v>0</v>
      </c>
      <c r="C3557">
        <f>+ROUND(Get_Data!C3556,5)</f>
        <v>0</v>
      </c>
      <c r="D3557" s="4" t="str">
        <f t="shared" si="445"/>
        <v/>
      </c>
      <c r="E3557" s="22">
        <f t="shared" ca="1" si="446"/>
        <v>0</v>
      </c>
      <c r="F3557" s="23">
        <f t="shared" ca="1" si="447"/>
        <v>0</v>
      </c>
      <c r="G3557" s="10">
        <f t="shared" ca="1" si="448"/>
        <v>0</v>
      </c>
      <c r="H3557" s="12">
        <f t="shared" ca="1" si="449"/>
        <v>0</v>
      </c>
      <c r="I3557" s="11">
        <f t="shared" ca="1" si="450"/>
        <v>0</v>
      </c>
      <c r="J3557" s="11">
        <f t="shared" ca="1" si="451"/>
        <v>-1</v>
      </c>
      <c r="K3557" s="10">
        <f t="shared" ca="1" si="461"/>
        <v>131.24001000000001</v>
      </c>
      <c r="L3557" s="11">
        <f t="shared" ca="1" si="462"/>
        <v>-49.09</v>
      </c>
      <c r="M3557" s="11">
        <f t="shared" ca="1" si="463"/>
        <v>2.6734599999999999</v>
      </c>
      <c r="N3557" s="15">
        <f t="shared" ca="1" si="464"/>
        <v>10</v>
      </c>
      <c r="O3557" s="15">
        <f t="shared" ca="1" si="465"/>
        <v>27</v>
      </c>
      <c r="P3557" s="16">
        <f t="shared" ca="1" si="466"/>
        <v>-13.029899999999998</v>
      </c>
      <c r="Q3557" s="11" t="str">
        <f t="shared" ca="1" si="452"/>
        <v/>
      </c>
      <c r="R3557" s="11" t="str">
        <f t="shared" ca="1" si="453"/>
        <v/>
      </c>
      <c r="S3557" s="61" t="str">
        <f t="shared" ca="1" si="454"/>
        <v/>
      </c>
      <c r="T3557" s="11" t="str">
        <f t="shared" ca="1" si="455"/>
        <v/>
      </c>
      <c r="U3557" s="11" t="str">
        <f t="shared" ca="1" si="456"/>
        <v/>
      </c>
      <c r="V3557" s="18" t="str">
        <f t="shared" ca="1" si="457"/>
        <v/>
      </c>
      <c r="W3557" s="61" t="str">
        <f t="shared" ca="1" si="458"/>
        <v/>
      </c>
      <c r="X3557" s="61">
        <f t="shared" ca="1" si="459"/>
        <v>0</v>
      </c>
      <c r="Y3557" s="64" t="str">
        <f t="shared" ca="1" si="460"/>
        <v/>
      </c>
    </row>
    <row r="3558" spans="1:25">
      <c r="A3558" s="2">
        <f>+Get_Data!A3557</f>
        <v>0</v>
      </c>
      <c r="B3558">
        <f>+ROUND(Get_Data!B3557,5)</f>
        <v>0</v>
      </c>
      <c r="C3558">
        <f>+ROUND(Get_Data!C3557,5)</f>
        <v>0</v>
      </c>
      <c r="D3558" s="4" t="str">
        <f t="shared" si="445"/>
        <v/>
      </c>
      <c r="E3558" s="22">
        <f t="shared" ca="1" si="446"/>
        <v>0</v>
      </c>
      <c r="F3558" s="23">
        <f t="shared" ca="1" si="447"/>
        <v>0</v>
      </c>
      <c r="G3558" s="10">
        <f t="shared" ca="1" si="448"/>
        <v>0</v>
      </c>
      <c r="H3558" s="12">
        <f t="shared" ca="1" si="449"/>
        <v>0</v>
      </c>
      <c r="I3558" s="11">
        <f t="shared" ca="1" si="450"/>
        <v>0</v>
      </c>
      <c r="J3558" s="11">
        <f t="shared" ca="1" si="451"/>
        <v>-1</v>
      </c>
      <c r="K3558" s="10">
        <f t="shared" ca="1" si="461"/>
        <v>131.24001000000001</v>
      </c>
      <c r="L3558" s="11">
        <f t="shared" ca="1" si="462"/>
        <v>-49.09</v>
      </c>
      <c r="M3558" s="11">
        <f t="shared" ca="1" si="463"/>
        <v>2.6734599999999999</v>
      </c>
      <c r="N3558" s="15">
        <f t="shared" ca="1" si="464"/>
        <v>10</v>
      </c>
      <c r="O3558" s="15">
        <f t="shared" ca="1" si="465"/>
        <v>27</v>
      </c>
      <c r="P3558" s="16">
        <f t="shared" ca="1" si="466"/>
        <v>-13.029899999999998</v>
      </c>
      <c r="Q3558" s="11" t="str">
        <f t="shared" ca="1" si="452"/>
        <v/>
      </c>
      <c r="R3558" s="11" t="str">
        <f t="shared" ca="1" si="453"/>
        <v/>
      </c>
      <c r="S3558" s="61" t="str">
        <f t="shared" ca="1" si="454"/>
        <v/>
      </c>
      <c r="T3558" s="11" t="str">
        <f t="shared" ca="1" si="455"/>
        <v/>
      </c>
      <c r="U3558" s="11" t="str">
        <f t="shared" ca="1" si="456"/>
        <v/>
      </c>
      <c r="V3558" s="18" t="str">
        <f t="shared" ca="1" si="457"/>
        <v/>
      </c>
      <c r="W3558" s="61" t="str">
        <f t="shared" ca="1" si="458"/>
        <v/>
      </c>
      <c r="X3558" s="61">
        <f t="shared" ca="1" si="459"/>
        <v>0</v>
      </c>
      <c r="Y3558" s="64" t="str">
        <f t="shared" ca="1" si="460"/>
        <v/>
      </c>
    </row>
    <row r="3559" spans="1:25">
      <c r="A3559" s="2">
        <f>+Get_Data!A3558</f>
        <v>0</v>
      </c>
      <c r="B3559">
        <f>+ROUND(Get_Data!B3558,5)</f>
        <v>0</v>
      </c>
      <c r="C3559">
        <f>+ROUND(Get_Data!C3558,5)</f>
        <v>0</v>
      </c>
      <c r="D3559" s="4" t="str">
        <f t="shared" si="445"/>
        <v/>
      </c>
      <c r="E3559" s="22">
        <f t="shared" ca="1" si="446"/>
        <v>0</v>
      </c>
      <c r="F3559" s="23">
        <f t="shared" ca="1" si="447"/>
        <v>0</v>
      </c>
      <c r="G3559" s="10">
        <f t="shared" ca="1" si="448"/>
        <v>0</v>
      </c>
      <c r="H3559" s="12">
        <f t="shared" ca="1" si="449"/>
        <v>0</v>
      </c>
      <c r="I3559" s="11">
        <f t="shared" ca="1" si="450"/>
        <v>0</v>
      </c>
      <c r="J3559" s="11">
        <f t="shared" ca="1" si="451"/>
        <v>-1</v>
      </c>
      <c r="K3559" s="10">
        <f t="shared" ca="1" si="461"/>
        <v>131.24001000000001</v>
      </c>
      <c r="L3559" s="11">
        <f t="shared" ca="1" si="462"/>
        <v>-49.09</v>
      </c>
      <c r="M3559" s="11">
        <f t="shared" ca="1" si="463"/>
        <v>2.6734599999999999</v>
      </c>
      <c r="N3559" s="15">
        <f t="shared" ca="1" si="464"/>
        <v>10</v>
      </c>
      <c r="O3559" s="15">
        <f t="shared" ca="1" si="465"/>
        <v>27</v>
      </c>
      <c r="P3559" s="16">
        <f t="shared" ca="1" si="466"/>
        <v>-13.029899999999998</v>
      </c>
      <c r="Q3559" s="11" t="str">
        <f t="shared" ca="1" si="452"/>
        <v/>
      </c>
      <c r="R3559" s="11" t="str">
        <f t="shared" ca="1" si="453"/>
        <v/>
      </c>
      <c r="S3559" s="61" t="str">
        <f t="shared" ca="1" si="454"/>
        <v/>
      </c>
      <c r="T3559" s="11" t="str">
        <f t="shared" ca="1" si="455"/>
        <v/>
      </c>
      <c r="U3559" s="11" t="str">
        <f t="shared" ca="1" si="456"/>
        <v/>
      </c>
      <c r="V3559" s="18" t="str">
        <f t="shared" ca="1" si="457"/>
        <v/>
      </c>
      <c r="W3559" s="61" t="str">
        <f t="shared" ca="1" si="458"/>
        <v/>
      </c>
      <c r="X3559" s="61">
        <f t="shared" ca="1" si="459"/>
        <v>0</v>
      </c>
      <c r="Y3559" s="64" t="str">
        <f t="shared" ca="1" si="460"/>
        <v/>
      </c>
    </row>
    <row r="3560" spans="1:25">
      <c r="A3560" s="2">
        <f>+Get_Data!A3559</f>
        <v>0</v>
      </c>
      <c r="B3560">
        <f>+ROUND(Get_Data!B3559,5)</f>
        <v>0</v>
      </c>
      <c r="C3560">
        <f>+ROUND(Get_Data!C3559,5)</f>
        <v>0</v>
      </c>
      <c r="D3560" s="4" t="str">
        <f t="shared" si="445"/>
        <v/>
      </c>
      <c r="E3560" s="22">
        <f t="shared" ca="1" si="446"/>
        <v>0</v>
      </c>
      <c r="F3560" s="23">
        <f t="shared" ca="1" si="447"/>
        <v>0</v>
      </c>
      <c r="G3560" s="10">
        <f t="shared" ca="1" si="448"/>
        <v>0</v>
      </c>
      <c r="H3560" s="12">
        <f t="shared" ca="1" si="449"/>
        <v>0</v>
      </c>
      <c r="I3560" s="11">
        <f t="shared" ca="1" si="450"/>
        <v>0</v>
      </c>
      <c r="J3560" s="11">
        <f t="shared" ca="1" si="451"/>
        <v>-1</v>
      </c>
      <c r="K3560" s="10">
        <f t="shared" ca="1" si="461"/>
        <v>131.24001000000001</v>
      </c>
      <c r="L3560" s="11">
        <f t="shared" ca="1" si="462"/>
        <v>-49.09</v>
      </c>
      <c r="M3560" s="11">
        <f t="shared" ca="1" si="463"/>
        <v>2.6734599999999999</v>
      </c>
      <c r="N3560" s="15">
        <f t="shared" ca="1" si="464"/>
        <v>10</v>
      </c>
      <c r="O3560" s="15">
        <f t="shared" ca="1" si="465"/>
        <v>27</v>
      </c>
      <c r="P3560" s="16">
        <f t="shared" ca="1" si="466"/>
        <v>-13.029899999999998</v>
      </c>
      <c r="Q3560" s="11" t="str">
        <f t="shared" ca="1" si="452"/>
        <v/>
      </c>
      <c r="R3560" s="11" t="str">
        <f t="shared" ca="1" si="453"/>
        <v/>
      </c>
      <c r="S3560" s="61" t="str">
        <f t="shared" ca="1" si="454"/>
        <v/>
      </c>
      <c r="T3560" s="11" t="str">
        <f t="shared" ca="1" si="455"/>
        <v/>
      </c>
      <c r="U3560" s="11" t="str">
        <f t="shared" ca="1" si="456"/>
        <v/>
      </c>
      <c r="V3560" s="18" t="str">
        <f t="shared" ca="1" si="457"/>
        <v/>
      </c>
      <c r="W3560" s="61" t="str">
        <f t="shared" ca="1" si="458"/>
        <v/>
      </c>
      <c r="X3560" s="61">
        <f t="shared" ca="1" si="459"/>
        <v>0</v>
      </c>
      <c r="Y3560" s="64" t="str">
        <f t="shared" ca="1" si="460"/>
        <v/>
      </c>
    </row>
    <row r="3561" spans="1:25">
      <c r="A3561" s="2">
        <f>+Get_Data!A3560</f>
        <v>0</v>
      </c>
      <c r="B3561">
        <f>+ROUND(Get_Data!B3560,5)</f>
        <v>0</v>
      </c>
      <c r="C3561">
        <f>+ROUND(Get_Data!C3560,5)</f>
        <v>0</v>
      </c>
      <c r="D3561" s="4" t="str">
        <f t="shared" si="445"/>
        <v/>
      </c>
      <c r="E3561" s="22">
        <f t="shared" ca="1" si="446"/>
        <v>0</v>
      </c>
      <c r="F3561" s="23">
        <f t="shared" ca="1" si="447"/>
        <v>0</v>
      </c>
      <c r="G3561" s="10">
        <f t="shared" ca="1" si="448"/>
        <v>0</v>
      </c>
      <c r="H3561" s="12">
        <f t="shared" ca="1" si="449"/>
        <v>0</v>
      </c>
      <c r="I3561" s="11">
        <f t="shared" ca="1" si="450"/>
        <v>0</v>
      </c>
      <c r="J3561" s="11">
        <f t="shared" ca="1" si="451"/>
        <v>-1</v>
      </c>
      <c r="K3561" s="10">
        <f t="shared" ca="1" si="461"/>
        <v>131.24001000000001</v>
      </c>
      <c r="L3561" s="11">
        <f t="shared" ca="1" si="462"/>
        <v>-49.09</v>
      </c>
      <c r="M3561" s="11">
        <f t="shared" ca="1" si="463"/>
        <v>2.6734599999999999</v>
      </c>
      <c r="N3561" s="15">
        <f t="shared" ca="1" si="464"/>
        <v>10</v>
      </c>
      <c r="O3561" s="15">
        <f t="shared" ca="1" si="465"/>
        <v>27</v>
      </c>
      <c r="P3561" s="16">
        <f t="shared" ca="1" si="466"/>
        <v>-13.029899999999998</v>
      </c>
      <c r="Q3561" s="11" t="str">
        <f t="shared" ca="1" si="452"/>
        <v/>
      </c>
      <c r="R3561" s="11" t="str">
        <f t="shared" ca="1" si="453"/>
        <v/>
      </c>
      <c r="S3561" s="61" t="str">
        <f t="shared" ca="1" si="454"/>
        <v/>
      </c>
      <c r="T3561" s="11" t="str">
        <f t="shared" ca="1" si="455"/>
        <v/>
      </c>
      <c r="U3561" s="11" t="str">
        <f t="shared" ca="1" si="456"/>
        <v/>
      </c>
      <c r="V3561" s="18" t="str">
        <f t="shared" ca="1" si="457"/>
        <v/>
      </c>
      <c r="W3561" s="61" t="str">
        <f t="shared" ca="1" si="458"/>
        <v/>
      </c>
      <c r="X3561" s="61">
        <f t="shared" ca="1" si="459"/>
        <v>0</v>
      </c>
      <c r="Y3561" s="64" t="str">
        <f t="shared" ca="1" si="460"/>
        <v/>
      </c>
    </row>
    <row r="3562" spans="1:25">
      <c r="A3562" s="2">
        <f>+Get_Data!A3561</f>
        <v>0</v>
      </c>
      <c r="B3562">
        <f>+ROUND(Get_Data!B3561,5)</f>
        <v>0</v>
      </c>
      <c r="C3562">
        <f>+ROUND(Get_Data!C3561,5)</f>
        <v>0</v>
      </c>
      <c r="D3562" s="4" t="str">
        <f t="shared" si="445"/>
        <v/>
      </c>
      <c r="E3562" s="22">
        <f t="shared" ca="1" si="446"/>
        <v>0</v>
      </c>
      <c r="F3562" s="23">
        <f t="shared" ca="1" si="447"/>
        <v>0</v>
      </c>
      <c r="G3562" s="10">
        <f t="shared" ca="1" si="448"/>
        <v>0</v>
      </c>
      <c r="H3562" s="12">
        <f t="shared" ca="1" si="449"/>
        <v>0</v>
      </c>
      <c r="I3562" s="11">
        <f t="shared" ca="1" si="450"/>
        <v>0</v>
      </c>
      <c r="J3562" s="11">
        <f t="shared" ca="1" si="451"/>
        <v>-1</v>
      </c>
      <c r="K3562" s="10">
        <f t="shared" ca="1" si="461"/>
        <v>131.24001000000001</v>
      </c>
      <c r="L3562" s="11">
        <f t="shared" ca="1" si="462"/>
        <v>-49.09</v>
      </c>
      <c r="M3562" s="11">
        <f t="shared" ca="1" si="463"/>
        <v>2.6734599999999999</v>
      </c>
      <c r="N3562" s="15">
        <f t="shared" ca="1" si="464"/>
        <v>10</v>
      </c>
      <c r="O3562" s="15">
        <f t="shared" ca="1" si="465"/>
        <v>27</v>
      </c>
      <c r="P3562" s="16">
        <f t="shared" ca="1" si="466"/>
        <v>-13.029899999999998</v>
      </c>
      <c r="Q3562" s="11" t="str">
        <f t="shared" ca="1" si="452"/>
        <v/>
      </c>
      <c r="R3562" s="11" t="str">
        <f t="shared" ca="1" si="453"/>
        <v/>
      </c>
      <c r="S3562" s="61" t="str">
        <f t="shared" ca="1" si="454"/>
        <v/>
      </c>
      <c r="T3562" s="11" t="str">
        <f t="shared" ca="1" si="455"/>
        <v/>
      </c>
      <c r="U3562" s="11" t="str">
        <f t="shared" ca="1" si="456"/>
        <v/>
      </c>
      <c r="V3562" s="18" t="str">
        <f t="shared" ca="1" si="457"/>
        <v/>
      </c>
      <c r="W3562" s="61" t="str">
        <f t="shared" ca="1" si="458"/>
        <v/>
      </c>
      <c r="X3562" s="61">
        <f t="shared" ca="1" si="459"/>
        <v>0</v>
      </c>
      <c r="Y3562" s="64" t="str">
        <f t="shared" ca="1" si="460"/>
        <v/>
      </c>
    </row>
    <row r="3563" spans="1:25">
      <c r="A3563" s="2">
        <f>+Get_Data!A3562</f>
        <v>0</v>
      </c>
      <c r="B3563">
        <f>+ROUND(Get_Data!B3562,5)</f>
        <v>0</v>
      </c>
      <c r="C3563">
        <f>+ROUND(Get_Data!C3562,5)</f>
        <v>0</v>
      </c>
      <c r="D3563" s="4" t="str">
        <f t="shared" si="445"/>
        <v/>
      </c>
      <c r="E3563" s="22">
        <f t="shared" ca="1" si="446"/>
        <v>0</v>
      </c>
      <c r="F3563" s="23">
        <f t="shared" ca="1" si="447"/>
        <v>0</v>
      </c>
      <c r="G3563" s="10">
        <f t="shared" ca="1" si="448"/>
        <v>0</v>
      </c>
      <c r="H3563" s="12">
        <f t="shared" ca="1" si="449"/>
        <v>0</v>
      </c>
      <c r="I3563" s="11">
        <f t="shared" ca="1" si="450"/>
        <v>0</v>
      </c>
      <c r="J3563" s="11">
        <f t="shared" ca="1" si="451"/>
        <v>-1</v>
      </c>
      <c r="K3563" s="10">
        <f t="shared" ca="1" si="461"/>
        <v>131.24001000000001</v>
      </c>
      <c r="L3563" s="11">
        <f t="shared" ca="1" si="462"/>
        <v>-49.09</v>
      </c>
      <c r="M3563" s="11">
        <f t="shared" ca="1" si="463"/>
        <v>2.6734599999999999</v>
      </c>
      <c r="N3563" s="15">
        <f t="shared" ca="1" si="464"/>
        <v>10</v>
      </c>
      <c r="O3563" s="15">
        <f t="shared" ca="1" si="465"/>
        <v>27</v>
      </c>
      <c r="P3563" s="16">
        <f t="shared" ca="1" si="466"/>
        <v>-13.029899999999998</v>
      </c>
      <c r="Q3563" s="11" t="str">
        <f t="shared" ca="1" si="452"/>
        <v/>
      </c>
      <c r="R3563" s="11" t="str">
        <f t="shared" ca="1" si="453"/>
        <v/>
      </c>
      <c r="S3563" s="61" t="str">
        <f t="shared" ca="1" si="454"/>
        <v/>
      </c>
      <c r="T3563" s="11" t="str">
        <f t="shared" ca="1" si="455"/>
        <v/>
      </c>
      <c r="U3563" s="11" t="str">
        <f t="shared" ca="1" si="456"/>
        <v/>
      </c>
      <c r="V3563" s="18" t="str">
        <f t="shared" ca="1" si="457"/>
        <v/>
      </c>
      <c r="W3563" s="61" t="str">
        <f t="shared" ca="1" si="458"/>
        <v/>
      </c>
      <c r="X3563" s="61">
        <f t="shared" ca="1" si="459"/>
        <v>0</v>
      </c>
      <c r="Y3563" s="64" t="str">
        <f t="shared" ca="1" si="460"/>
        <v/>
      </c>
    </row>
    <row r="3564" spans="1:25">
      <c r="A3564" s="2">
        <f>+Get_Data!A3563</f>
        <v>0</v>
      </c>
      <c r="B3564">
        <f>+ROUND(Get_Data!B3563,5)</f>
        <v>0</v>
      </c>
      <c r="C3564">
        <f>+ROUND(Get_Data!C3563,5)</f>
        <v>0</v>
      </c>
      <c r="D3564" s="4" t="str">
        <f t="shared" si="445"/>
        <v/>
      </c>
      <c r="E3564" s="22">
        <f t="shared" ca="1" si="446"/>
        <v>0</v>
      </c>
      <c r="F3564" s="23">
        <f t="shared" ca="1" si="447"/>
        <v>0</v>
      </c>
      <c r="G3564" s="10">
        <f t="shared" ca="1" si="448"/>
        <v>0</v>
      </c>
      <c r="H3564" s="12">
        <f t="shared" ca="1" si="449"/>
        <v>0</v>
      </c>
      <c r="I3564" s="11">
        <f t="shared" ca="1" si="450"/>
        <v>0</v>
      </c>
      <c r="J3564" s="11">
        <f t="shared" ca="1" si="451"/>
        <v>-1</v>
      </c>
      <c r="K3564" s="10">
        <f t="shared" ca="1" si="461"/>
        <v>131.24001000000001</v>
      </c>
      <c r="L3564" s="11">
        <f t="shared" ca="1" si="462"/>
        <v>-49.09</v>
      </c>
      <c r="M3564" s="11">
        <f t="shared" ca="1" si="463"/>
        <v>2.6734599999999999</v>
      </c>
      <c r="N3564" s="15">
        <f t="shared" ca="1" si="464"/>
        <v>10</v>
      </c>
      <c r="O3564" s="15">
        <f t="shared" ca="1" si="465"/>
        <v>27</v>
      </c>
      <c r="P3564" s="16">
        <f t="shared" ca="1" si="466"/>
        <v>-13.029899999999998</v>
      </c>
      <c r="Q3564" s="11" t="str">
        <f t="shared" ca="1" si="452"/>
        <v/>
      </c>
      <c r="R3564" s="11" t="str">
        <f t="shared" ca="1" si="453"/>
        <v/>
      </c>
      <c r="S3564" s="61" t="str">
        <f t="shared" ca="1" si="454"/>
        <v/>
      </c>
      <c r="T3564" s="11" t="str">
        <f t="shared" ca="1" si="455"/>
        <v/>
      </c>
      <c r="U3564" s="11" t="str">
        <f t="shared" ca="1" si="456"/>
        <v/>
      </c>
      <c r="V3564" s="18" t="str">
        <f t="shared" ca="1" si="457"/>
        <v/>
      </c>
      <c r="W3564" s="61" t="str">
        <f t="shared" ca="1" si="458"/>
        <v/>
      </c>
      <c r="X3564" s="61">
        <f t="shared" ca="1" si="459"/>
        <v>0</v>
      </c>
      <c r="Y3564" s="64" t="str">
        <f t="shared" ca="1" si="460"/>
        <v/>
      </c>
    </row>
    <row r="3565" spans="1:25">
      <c r="A3565" s="2">
        <f>+Get_Data!A3564</f>
        <v>0</v>
      </c>
      <c r="B3565">
        <f>+ROUND(Get_Data!B3564,5)</f>
        <v>0</v>
      </c>
      <c r="C3565">
        <f>+ROUND(Get_Data!C3564,5)</f>
        <v>0</v>
      </c>
      <c r="D3565" s="4" t="str">
        <f t="shared" si="445"/>
        <v/>
      </c>
      <c r="E3565" s="22">
        <f t="shared" ca="1" si="446"/>
        <v>0</v>
      </c>
      <c r="F3565" s="23">
        <f t="shared" ca="1" si="447"/>
        <v>0</v>
      </c>
      <c r="G3565" s="10">
        <f t="shared" ca="1" si="448"/>
        <v>0</v>
      </c>
      <c r="H3565" s="12">
        <f t="shared" ca="1" si="449"/>
        <v>0</v>
      </c>
      <c r="I3565" s="11">
        <f t="shared" ca="1" si="450"/>
        <v>0</v>
      </c>
      <c r="J3565" s="11">
        <f t="shared" ca="1" si="451"/>
        <v>-1</v>
      </c>
      <c r="K3565" s="10">
        <f t="shared" ca="1" si="461"/>
        <v>131.24001000000001</v>
      </c>
      <c r="L3565" s="11">
        <f t="shared" ca="1" si="462"/>
        <v>-49.09</v>
      </c>
      <c r="M3565" s="11">
        <f t="shared" ca="1" si="463"/>
        <v>2.6734599999999999</v>
      </c>
      <c r="N3565" s="15">
        <f t="shared" ca="1" si="464"/>
        <v>10</v>
      </c>
      <c r="O3565" s="15">
        <f t="shared" ca="1" si="465"/>
        <v>27</v>
      </c>
      <c r="P3565" s="16">
        <f t="shared" ca="1" si="466"/>
        <v>-13.029899999999998</v>
      </c>
      <c r="Q3565" s="11" t="str">
        <f t="shared" ca="1" si="452"/>
        <v/>
      </c>
      <c r="R3565" s="11" t="str">
        <f t="shared" ca="1" si="453"/>
        <v/>
      </c>
      <c r="S3565" s="61" t="str">
        <f t="shared" ca="1" si="454"/>
        <v/>
      </c>
      <c r="T3565" s="11" t="str">
        <f t="shared" ca="1" si="455"/>
        <v/>
      </c>
      <c r="U3565" s="11" t="str">
        <f t="shared" ca="1" si="456"/>
        <v/>
      </c>
      <c r="V3565" s="18" t="str">
        <f t="shared" ca="1" si="457"/>
        <v/>
      </c>
      <c r="W3565" s="61" t="str">
        <f t="shared" ca="1" si="458"/>
        <v/>
      </c>
      <c r="X3565" s="61">
        <f t="shared" ca="1" si="459"/>
        <v>0</v>
      </c>
      <c r="Y3565" s="64" t="str">
        <f t="shared" ca="1" si="460"/>
        <v/>
      </c>
    </row>
    <row r="3566" spans="1:25">
      <c r="A3566" s="2">
        <f>+Get_Data!A3565</f>
        <v>0</v>
      </c>
      <c r="B3566">
        <f>+ROUND(Get_Data!B3565,5)</f>
        <v>0</v>
      </c>
      <c r="C3566">
        <f>+ROUND(Get_Data!C3565,5)</f>
        <v>0</v>
      </c>
      <c r="D3566" s="4" t="str">
        <f t="shared" si="445"/>
        <v/>
      </c>
      <c r="E3566" s="22">
        <f t="shared" ca="1" si="446"/>
        <v>0</v>
      </c>
      <c r="F3566" s="23">
        <f t="shared" ca="1" si="447"/>
        <v>0</v>
      </c>
      <c r="G3566" s="10">
        <f t="shared" ca="1" si="448"/>
        <v>0</v>
      </c>
      <c r="H3566" s="12">
        <f t="shared" ca="1" si="449"/>
        <v>0</v>
      </c>
      <c r="I3566" s="11">
        <f t="shared" ca="1" si="450"/>
        <v>0</v>
      </c>
      <c r="J3566" s="11">
        <f t="shared" ca="1" si="451"/>
        <v>-1</v>
      </c>
      <c r="K3566" s="10">
        <f t="shared" ca="1" si="461"/>
        <v>131.24001000000001</v>
      </c>
      <c r="L3566" s="11">
        <f t="shared" ca="1" si="462"/>
        <v>-49.09</v>
      </c>
      <c r="M3566" s="11">
        <f t="shared" ca="1" si="463"/>
        <v>2.6734599999999999</v>
      </c>
      <c r="N3566" s="15">
        <f t="shared" ca="1" si="464"/>
        <v>10</v>
      </c>
      <c r="O3566" s="15">
        <f t="shared" ca="1" si="465"/>
        <v>27</v>
      </c>
      <c r="P3566" s="16">
        <f t="shared" ca="1" si="466"/>
        <v>-13.029899999999998</v>
      </c>
      <c r="Q3566" s="11" t="str">
        <f t="shared" ca="1" si="452"/>
        <v/>
      </c>
      <c r="R3566" s="11" t="str">
        <f t="shared" ca="1" si="453"/>
        <v/>
      </c>
      <c r="S3566" s="61" t="str">
        <f t="shared" ca="1" si="454"/>
        <v/>
      </c>
      <c r="T3566" s="11" t="str">
        <f t="shared" ca="1" si="455"/>
        <v/>
      </c>
      <c r="U3566" s="11" t="str">
        <f t="shared" ca="1" si="456"/>
        <v/>
      </c>
      <c r="V3566" s="18" t="str">
        <f t="shared" ca="1" si="457"/>
        <v/>
      </c>
      <c r="W3566" s="61" t="str">
        <f t="shared" ca="1" si="458"/>
        <v/>
      </c>
      <c r="X3566" s="61">
        <f t="shared" ca="1" si="459"/>
        <v>0</v>
      </c>
      <c r="Y3566" s="64" t="str">
        <f t="shared" ca="1" si="460"/>
        <v/>
      </c>
    </row>
    <row r="3567" spans="1:25">
      <c r="A3567" s="2">
        <f>+Get_Data!A3566</f>
        <v>0</v>
      </c>
      <c r="B3567">
        <f>+ROUND(Get_Data!B3566,5)</f>
        <v>0</v>
      </c>
      <c r="C3567">
        <f>+ROUND(Get_Data!C3566,5)</f>
        <v>0</v>
      </c>
      <c r="D3567" s="4" t="str">
        <f t="shared" si="445"/>
        <v/>
      </c>
      <c r="E3567" s="22">
        <f t="shared" ca="1" si="446"/>
        <v>0</v>
      </c>
      <c r="F3567" s="23">
        <f t="shared" ca="1" si="447"/>
        <v>0</v>
      </c>
      <c r="G3567" s="10">
        <f t="shared" ca="1" si="448"/>
        <v>0</v>
      </c>
      <c r="H3567" s="12">
        <f t="shared" ca="1" si="449"/>
        <v>0</v>
      </c>
      <c r="I3567" s="11">
        <f t="shared" ca="1" si="450"/>
        <v>0</v>
      </c>
      <c r="J3567" s="11">
        <f t="shared" ca="1" si="451"/>
        <v>-1</v>
      </c>
      <c r="K3567" s="10">
        <f t="shared" ca="1" si="461"/>
        <v>131.24001000000001</v>
      </c>
      <c r="L3567" s="11">
        <f t="shared" ca="1" si="462"/>
        <v>-49.09</v>
      </c>
      <c r="M3567" s="11">
        <f t="shared" ca="1" si="463"/>
        <v>2.6734599999999999</v>
      </c>
      <c r="N3567" s="15">
        <f t="shared" ca="1" si="464"/>
        <v>10</v>
      </c>
      <c r="O3567" s="15">
        <f t="shared" ca="1" si="465"/>
        <v>27</v>
      </c>
      <c r="P3567" s="16">
        <f t="shared" ca="1" si="466"/>
        <v>-13.029899999999998</v>
      </c>
      <c r="Q3567" s="11" t="str">
        <f t="shared" ca="1" si="452"/>
        <v/>
      </c>
      <c r="R3567" s="11" t="str">
        <f t="shared" ca="1" si="453"/>
        <v/>
      </c>
      <c r="S3567" s="61" t="str">
        <f t="shared" ca="1" si="454"/>
        <v/>
      </c>
      <c r="T3567" s="11" t="str">
        <f t="shared" ca="1" si="455"/>
        <v/>
      </c>
      <c r="U3567" s="11" t="str">
        <f t="shared" ca="1" si="456"/>
        <v/>
      </c>
      <c r="V3567" s="18" t="str">
        <f t="shared" ca="1" si="457"/>
        <v/>
      </c>
      <c r="W3567" s="61" t="str">
        <f t="shared" ca="1" si="458"/>
        <v/>
      </c>
      <c r="X3567" s="61">
        <f t="shared" ca="1" si="459"/>
        <v>0</v>
      </c>
      <c r="Y3567" s="64" t="str">
        <f t="shared" ca="1" si="460"/>
        <v/>
      </c>
    </row>
    <row r="3568" spans="1:25">
      <c r="A3568" s="2">
        <f>+Get_Data!A3567</f>
        <v>0</v>
      </c>
      <c r="B3568">
        <f>+ROUND(Get_Data!B3567,5)</f>
        <v>0</v>
      </c>
      <c r="C3568">
        <f>+ROUND(Get_Data!C3567,5)</f>
        <v>0</v>
      </c>
      <c r="D3568" s="4" t="str">
        <f t="shared" si="445"/>
        <v/>
      </c>
      <c r="E3568" s="22">
        <f t="shared" ca="1" si="446"/>
        <v>0</v>
      </c>
      <c r="F3568" s="23">
        <f t="shared" ca="1" si="447"/>
        <v>0</v>
      </c>
      <c r="G3568" s="10">
        <f t="shared" ca="1" si="448"/>
        <v>0</v>
      </c>
      <c r="H3568" s="12">
        <f t="shared" ca="1" si="449"/>
        <v>0</v>
      </c>
      <c r="I3568" s="11">
        <f t="shared" ca="1" si="450"/>
        <v>0</v>
      </c>
      <c r="J3568" s="11">
        <f t="shared" ca="1" si="451"/>
        <v>-1</v>
      </c>
      <c r="K3568" s="10">
        <f t="shared" ca="1" si="461"/>
        <v>131.24001000000001</v>
      </c>
      <c r="L3568" s="11">
        <f t="shared" ca="1" si="462"/>
        <v>-49.09</v>
      </c>
      <c r="M3568" s="11">
        <f t="shared" ca="1" si="463"/>
        <v>2.6734599999999999</v>
      </c>
      <c r="N3568" s="15">
        <f t="shared" ca="1" si="464"/>
        <v>10</v>
      </c>
      <c r="O3568" s="15">
        <f t="shared" ca="1" si="465"/>
        <v>27</v>
      </c>
      <c r="P3568" s="16">
        <f t="shared" ca="1" si="466"/>
        <v>-13.029899999999998</v>
      </c>
      <c r="Q3568" s="11" t="str">
        <f t="shared" ca="1" si="452"/>
        <v/>
      </c>
      <c r="R3568" s="11" t="str">
        <f t="shared" ca="1" si="453"/>
        <v/>
      </c>
      <c r="S3568" s="61" t="str">
        <f t="shared" ca="1" si="454"/>
        <v/>
      </c>
      <c r="T3568" s="11" t="str">
        <f t="shared" ca="1" si="455"/>
        <v/>
      </c>
      <c r="U3568" s="11" t="str">
        <f t="shared" ca="1" si="456"/>
        <v/>
      </c>
      <c r="V3568" s="18" t="str">
        <f t="shared" ca="1" si="457"/>
        <v/>
      </c>
      <c r="W3568" s="61" t="str">
        <f t="shared" ca="1" si="458"/>
        <v/>
      </c>
      <c r="X3568" s="61">
        <f t="shared" ca="1" si="459"/>
        <v>0</v>
      </c>
      <c r="Y3568" s="64" t="str">
        <f t="shared" ca="1" si="460"/>
        <v/>
      </c>
    </row>
    <row r="3569" spans="1:25">
      <c r="A3569" s="2">
        <f>+Get_Data!A3568</f>
        <v>0</v>
      </c>
      <c r="B3569">
        <f>+ROUND(Get_Data!B3568,5)</f>
        <v>0</v>
      </c>
      <c r="C3569">
        <f>+ROUND(Get_Data!C3568,5)</f>
        <v>0</v>
      </c>
      <c r="D3569" s="4" t="str">
        <f t="shared" si="445"/>
        <v/>
      </c>
      <c r="E3569" s="22">
        <f t="shared" ca="1" si="446"/>
        <v>0</v>
      </c>
      <c r="F3569" s="23">
        <f t="shared" ca="1" si="447"/>
        <v>0</v>
      </c>
      <c r="G3569" s="10">
        <f t="shared" ca="1" si="448"/>
        <v>0</v>
      </c>
      <c r="H3569" s="12">
        <f t="shared" ca="1" si="449"/>
        <v>0</v>
      </c>
      <c r="I3569" s="11">
        <f t="shared" ca="1" si="450"/>
        <v>0</v>
      </c>
      <c r="J3569" s="11">
        <f t="shared" ca="1" si="451"/>
        <v>-1</v>
      </c>
      <c r="K3569" s="10">
        <f t="shared" ca="1" si="461"/>
        <v>131.24001000000001</v>
      </c>
      <c r="L3569" s="11">
        <f t="shared" ca="1" si="462"/>
        <v>-49.09</v>
      </c>
      <c r="M3569" s="11">
        <f t="shared" ca="1" si="463"/>
        <v>2.6734599999999999</v>
      </c>
      <c r="N3569" s="15">
        <f t="shared" ca="1" si="464"/>
        <v>10</v>
      </c>
      <c r="O3569" s="15">
        <f t="shared" ca="1" si="465"/>
        <v>27</v>
      </c>
      <c r="P3569" s="16">
        <f t="shared" ca="1" si="466"/>
        <v>-13.029899999999998</v>
      </c>
      <c r="Q3569" s="11" t="str">
        <f t="shared" ca="1" si="452"/>
        <v/>
      </c>
      <c r="R3569" s="11" t="str">
        <f t="shared" ca="1" si="453"/>
        <v/>
      </c>
      <c r="S3569" s="61" t="str">
        <f t="shared" ca="1" si="454"/>
        <v/>
      </c>
      <c r="T3569" s="11" t="str">
        <f t="shared" ca="1" si="455"/>
        <v/>
      </c>
      <c r="U3569" s="11" t="str">
        <f t="shared" ca="1" si="456"/>
        <v/>
      </c>
      <c r="V3569" s="18" t="str">
        <f t="shared" ca="1" si="457"/>
        <v/>
      </c>
      <c r="W3569" s="61" t="str">
        <f t="shared" ca="1" si="458"/>
        <v/>
      </c>
      <c r="X3569" s="61">
        <f t="shared" ca="1" si="459"/>
        <v>0</v>
      </c>
      <c r="Y3569" s="64" t="str">
        <f t="shared" ca="1" si="460"/>
        <v/>
      </c>
    </row>
    <row r="3570" spans="1:25">
      <c r="A3570" s="2">
        <f>+Get_Data!A3569</f>
        <v>0</v>
      </c>
      <c r="B3570">
        <f>+ROUND(Get_Data!B3569,5)</f>
        <v>0</v>
      </c>
      <c r="C3570">
        <f>+ROUND(Get_Data!C3569,5)</f>
        <v>0</v>
      </c>
      <c r="D3570" s="4" t="str">
        <f t="shared" ref="D3570:D3574" si="467">IFERROR(ROUND(B3570/C3570,5),"")</f>
        <v/>
      </c>
      <c r="E3570" s="22">
        <f t="shared" ca="1" si="446"/>
        <v>0</v>
      </c>
      <c r="F3570" s="23">
        <f t="shared" ca="1" si="447"/>
        <v>0</v>
      </c>
      <c r="G3570" s="10">
        <f t="shared" ca="1" si="448"/>
        <v>0</v>
      </c>
      <c r="H3570" s="12">
        <f t="shared" ca="1" si="449"/>
        <v>0</v>
      </c>
      <c r="I3570" s="11">
        <f t="shared" ca="1" si="450"/>
        <v>0</v>
      </c>
      <c r="J3570" s="11">
        <f t="shared" ca="1" si="451"/>
        <v>-1</v>
      </c>
      <c r="K3570" s="10">
        <f t="shared" ca="1" si="461"/>
        <v>131.24001000000001</v>
      </c>
      <c r="L3570" s="11">
        <f t="shared" ca="1" si="462"/>
        <v>-49.09</v>
      </c>
      <c r="M3570" s="11">
        <f t="shared" ca="1" si="463"/>
        <v>2.6734599999999999</v>
      </c>
      <c r="N3570" s="15">
        <f t="shared" ca="1" si="464"/>
        <v>10</v>
      </c>
      <c r="O3570" s="15">
        <f t="shared" ca="1" si="465"/>
        <v>27</v>
      </c>
      <c r="P3570" s="16">
        <f t="shared" ca="1" si="466"/>
        <v>-13.029899999999998</v>
      </c>
      <c r="Q3570" s="11" t="str">
        <f t="shared" ca="1" si="452"/>
        <v/>
      </c>
      <c r="R3570" s="11" t="str">
        <f t="shared" ca="1" si="453"/>
        <v/>
      </c>
      <c r="S3570" s="61" t="str">
        <f t="shared" ca="1" si="454"/>
        <v/>
      </c>
      <c r="T3570" s="11" t="str">
        <f t="shared" ca="1" si="455"/>
        <v/>
      </c>
      <c r="U3570" s="11" t="str">
        <f t="shared" ca="1" si="456"/>
        <v/>
      </c>
      <c r="V3570" s="18" t="str">
        <f t="shared" ca="1" si="457"/>
        <v/>
      </c>
      <c r="W3570" s="61" t="str">
        <f t="shared" ca="1" si="458"/>
        <v/>
      </c>
      <c r="X3570" s="61">
        <f t="shared" ca="1" si="459"/>
        <v>0</v>
      </c>
      <c r="Y3570" s="64" t="str">
        <f t="shared" ca="1" si="460"/>
        <v/>
      </c>
    </row>
    <row r="3571" spans="1:25">
      <c r="A3571" s="2">
        <f>+Get_Data!A3570</f>
        <v>0</v>
      </c>
      <c r="B3571">
        <f>+ROUND(Get_Data!B3570,5)</f>
        <v>0</v>
      </c>
      <c r="C3571">
        <f>+ROUND(Get_Data!C3570,5)</f>
        <v>0</v>
      </c>
      <c r="D3571" s="4" t="str">
        <f t="shared" si="467"/>
        <v/>
      </c>
      <c r="E3571" s="22">
        <f t="shared" ca="1" si="446"/>
        <v>0</v>
      </c>
      <c r="F3571" s="23">
        <f t="shared" ca="1" si="447"/>
        <v>0</v>
      </c>
      <c r="G3571" s="10">
        <f t="shared" ca="1" si="448"/>
        <v>0</v>
      </c>
      <c r="H3571" s="12">
        <f t="shared" ca="1" si="449"/>
        <v>0</v>
      </c>
      <c r="I3571" s="11">
        <f t="shared" ca="1" si="450"/>
        <v>0</v>
      </c>
      <c r="J3571" s="11">
        <f t="shared" ca="1" si="451"/>
        <v>-1</v>
      </c>
      <c r="K3571" s="10">
        <f t="shared" ca="1" si="461"/>
        <v>131.24001000000001</v>
      </c>
      <c r="L3571" s="11">
        <f t="shared" ca="1" si="462"/>
        <v>-49.09</v>
      </c>
      <c r="M3571" s="11">
        <f t="shared" ca="1" si="463"/>
        <v>2.6734599999999999</v>
      </c>
      <c r="N3571" s="15">
        <f t="shared" ca="1" si="464"/>
        <v>10</v>
      </c>
      <c r="O3571" s="15">
        <f t="shared" ca="1" si="465"/>
        <v>27</v>
      </c>
      <c r="P3571" s="16">
        <f t="shared" ca="1" si="466"/>
        <v>-13.029899999999998</v>
      </c>
      <c r="Q3571" s="11" t="str">
        <f t="shared" ca="1" si="452"/>
        <v/>
      </c>
      <c r="R3571" s="11" t="str">
        <f t="shared" ca="1" si="453"/>
        <v/>
      </c>
      <c r="S3571" s="61" t="str">
        <f t="shared" ca="1" si="454"/>
        <v/>
      </c>
      <c r="T3571" s="11" t="str">
        <f t="shared" ca="1" si="455"/>
        <v/>
      </c>
      <c r="U3571" s="11" t="str">
        <f t="shared" ca="1" si="456"/>
        <v/>
      </c>
      <c r="V3571" s="18" t="str">
        <f t="shared" ca="1" si="457"/>
        <v/>
      </c>
      <c r="W3571" s="61" t="str">
        <f t="shared" ca="1" si="458"/>
        <v/>
      </c>
      <c r="X3571" s="61">
        <f t="shared" ca="1" si="459"/>
        <v>0</v>
      </c>
      <c r="Y3571" s="64" t="str">
        <f t="shared" ca="1" si="460"/>
        <v/>
      </c>
    </row>
    <row r="3572" spans="1:25">
      <c r="A3572" s="2">
        <f>+Get_Data!A3571</f>
        <v>0</v>
      </c>
      <c r="B3572">
        <f>+ROUND(Get_Data!B3571,5)</f>
        <v>0</v>
      </c>
      <c r="C3572">
        <f>+ROUND(Get_Data!C3571,5)</f>
        <v>0</v>
      </c>
      <c r="D3572" s="4" t="str">
        <f t="shared" si="467"/>
        <v/>
      </c>
      <c r="E3572" s="22">
        <f t="shared" ca="1" si="446"/>
        <v>0</v>
      </c>
      <c r="F3572" s="23">
        <f t="shared" ca="1" si="447"/>
        <v>0</v>
      </c>
      <c r="G3572" s="10">
        <f t="shared" ca="1" si="448"/>
        <v>0</v>
      </c>
      <c r="H3572" s="12">
        <f t="shared" ca="1" si="449"/>
        <v>0</v>
      </c>
      <c r="I3572" s="11">
        <f t="shared" ca="1" si="450"/>
        <v>0</v>
      </c>
      <c r="J3572" s="11">
        <f t="shared" ca="1" si="451"/>
        <v>-1</v>
      </c>
      <c r="K3572" s="10">
        <f t="shared" ca="1" si="461"/>
        <v>131.24001000000001</v>
      </c>
      <c r="L3572" s="11">
        <f t="shared" ca="1" si="462"/>
        <v>-49.09</v>
      </c>
      <c r="M3572" s="11">
        <f t="shared" ca="1" si="463"/>
        <v>2.6734599999999999</v>
      </c>
      <c r="N3572" s="15">
        <f t="shared" ca="1" si="464"/>
        <v>10</v>
      </c>
      <c r="O3572" s="15">
        <f t="shared" ca="1" si="465"/>
        <v>27</v>
      </c>
      <c r="P3572" s="16">
        <f t="shared" ca="1" si="466"/>
        <v>-13.029899999999998</v>
      </c>
      <c r="Q3572" s="11" t="str">
        <f t="shared" ca="1" si="452"/>
        <v/>
      </c>
      <c r="R3572" s="11" t="str">
        <f t="shared" ca="1" si="453"/>
        <v/>
      </c>
      <c r="S3572" s="61" t="str">
        <f t="shared" ca="1" si="454"/>
        <v/>
      </c>
      <c r="T3572" s="11" t="str">
        <f t="shared" ca="1" si="455"/>
        <v/>
      </c>
      <c r="U3572" s="11" t="str">
        <f t="shared" ca="1" si="456"/>
        <v/>
      </c>
      <c r="V3572" s="18" t="str">
        <f t="shared" ca="1" si="457"/>
        <v/>
      </c>
      <c r="W3572" s="61" t="str">
        <f t="shared" ca="1" si="458"/>
        <v/>
      </c>
      <c r="X3572" s="61">
        <f t="shared" ca="1" si="459"/>
        <v>0</v>
      </c>
      <c r="Y3572" s="64" t="str">
        <f t="shared" ca="1" si="460"/>
        <v/>
      </c>
    </row>
    <row r="3573" spans="1:25">
      <c r="A3573" s="2">
        <f>+Get_Data!A3572</f>
        <v>0</v>
      </c>
      <c r="B3573">
        <f>+ROUND(Get_Data!B3572,5)</f>
        <v>0</v>
      </c>
      <c r="C3573">
        <f>+ROUND(Get_Data!C3572,5)</f>
        <v>0</v>
      </c>
      <c r="D3573" s="4" t="str">
        <f t="shared" si="467"/>
        <v/>
      </c>
      <c r="E3573" s="22">
        <f t="shared" ca="1" si="446"/>
        <v>0</v>
      </c>
      <c r="F3573" s="23">
        <f t="shared" ca="1" si="447"/>
        <v>0</v>
      </c>
      <c r="G3573" s="10">
        <f t="shared" ca="1" si="448"/>
        <v>0</v>
      </c>
      <c r="H3573" s="12">
        <f t="shared" ca="1" si="449"/>
        <v>0</v>
      </c>
      <c r="I3573" s="11">
        <f t="shared" ca="1" si="450"/>
        <v>0</v>
      </c>
      <c r="J3573" s="11">
        <f t="shared" ca="1" si="451"/>
        <v>-1</v>
      </c>
      <c r="K3573" s="10">
        <f t="shared" ca="1" si="461"/>
        <v>131.24001000000001</v>
      </c>
      <c r="L3573" s="11">
        <f t="shared" ca="1" si="462"/>
        <v>-49.09</v>
      </c>
      <c r="M3573" s="11">
        <f t="shared" ca="1" si="463"/>
        <v>2.6734599999999999</v>
      </c>
      <c r="N3573" s="15">
        <f t="shared" ca="1" si="464"/>
        <v>10</v>
      </c>
      <c r="O3573" s="15">
        <f t="shared" ca="1" si="465"/>
        <v>27</v>
      </c>
      <c r="P3573" s="16">
        <f t="shared" ca="1" si="466"/>
        <v>-13.029899999999998</v>
      </c>
      <c r="Q3573" s="11" t="str">
        <f t="shared" ca="1" si="452"/>
        <v/>
      </c>
      <c r="R3573" s="11" t="str">
        <f t="shared" ca="1" si="453"/>
        <v/>
      </c>
      <c r="S3573" s="61" t="str">
        <f t="shared" ca="1" si="454"/>
        <v/>
      </c>
      <c r="T3573" s="11" t="str">
        <f t="shared" ca="1" si="455"/>
        <v/>
      </c>
      <c r="U3573" s="11" t="str">
        <f t="shared" ca="1" si="456"/>
        <v/>
      </c>
      <c r="V3573" s="18" t="str">
        <f t="shared" ca="1" si="457"/>
        <v/>
      </c>
      <c r="W3573" s="61" t="str">
        <f t="shared" ca="1" si="458"/>
        <v/>
      </c>
      <c r="X3573" s="61">
        <f t="shared" ca="1" si="459"/>
        <v>0</v>
      </c>
      <c r="Y3573" s="64" t="str">
        <f t="shared" ca="1" si="460"/>
        <v/>
      </c>
    </row>
    <row r="3574" spans="1:25">
      <c r="A3574" s="2">
        <f>+Get_Data!A3573</f>
        <v>0</v>
      </c>
      <c r="B3574">
        <f>+ROUND(Get_Data!B3573,5)</f>
        <v>0</v>
      </c>
      <c r="C3574">
        <f>+ROUND(Get_Data!C3573,5)</f>
        <v>0</v>
      </c>
      <c r="D3574" s="4" t="str">
        <f t="shared" si="467"/>
        <v/>
      </c>
      <c r="E3574" s="22">
        <f t="shared" ca="1" si="446"/>
        <v>0</v>
      </c>
      <c r="F3574" s="23">
        <f t="shared" ca="1" si="447"/>
        <v>0</v>
      </c>
      <c r="G3574" s="10">
        <f t="shared" ca="1" si="448"/>
        <v>0</v>
      </c>
      <c r="H3574" s="12">
        <f t="shared" ca="1" si="449"/>
        <v>0</v>
      </c>
      <c r="I3574" s="11">
        <f t="shared" ca="1" si="450"/>
        <v>0</v>
      </c>
      <c r="J3574" s="11">
        <f t="shared" ca="1" si="451"/>
        <v>-1</v>
      </c>
      <c r="K3574" s="10">
        <f t="shared" ca="1" si="461"/>
        <v>131.24001000000001</v>
      </c>
      <c r="L3574" s="11">
        <f t="shared" ca="1" si="462"/>
        <v>-49.09</v>
      </c>
      <c r="M3574" s="11">
        <f t="shared" ca="1" si="463"/>
        <v>2.6734599999999999</v>
      </c>
      <c r="N3574" s="15">
        <f t="shared" ca="1" si="464"/>
        <v>10</v>
      </c>
      <c r="O3574" s="15">
        <f t="shared" ca="1" si="465"/>
        <v>27</v>
      </c>
      <c r="P3574" s="16">
        <f t="shared" ca="1" si="466"/>
        <v>-13.029899999999998</v>
      </c>
      <c r="Q3574" s="11" t="str">
        <f t="shared" ca="1" si="452"/>
        <v/>
      </c>
      <c r="R3574" s="11" t="str">
        <f t="shared" ca="1" si="453"/>
        <v/>
      </c>
      <c r="S3574" s="61" t="str">
        <f t="shared" ca="1" si="454"/>
        <v/>
      </c>
      <c r="T3574" s="11" t="str">
        <f t="shared" ca="1" si="455"/>
        <v/>
      </c>
      <c r="U3574" s="11" t="str">
        <f t="shared" ca="1" si="456"/>
        <v/>
      </c>
      <c r="V3574" s="18" t="str">
        <f t="shared" ca="1" si="457"/>
        <v/>
      </c>
      <c r="W3574" s="61" t="str">
        <f t="shared" ca="1" si="458"/>
        <v/>
      </c>
      <c r="X3574" s="61">
        <f t="shared" ca="1" si="459"/>
        <v>0</v>
      </c>
      <c r="Y3574" s="64" t="str">
        <f t="shared" ca="1" si="460"/>
        <v/>
      </c>
    </row>
    <row r="3575" spans="1:25" s="37" customFormat="1">
      <c r="E3575" s="38"/>
      <c r="F3575" s="39"/>
      <c r="G3575" s="38"/>
      <c r="H3575" s="39"/>
      <c r="I3575" s="40"/>
      <c r="J3575" s="40"/>
      <c r="K3575" s="38"/>
      <c r="L3575" s="40"/>
      <c r="M3575" s="40"/>
      <c r="N3575" s="40"/>
      <c r="O3575" s="40"/>
      <c r="P3575" s="39"/>
      <c r="Q3575" s="40"/>
      <c r="R3575" s="40"/>
      <c r="S3575" s="40"/>
      <c r="V3575" s="38"/>
      <c r="W3575" s="40"/>
      <c r="X3575" s="40"/>
      <c r="Y3575" s="65"/>
    </row>
    <row r="3576" spans="1:25" s="37" customFormat="1">
      <c r="E3576" s="38"/>
      <c r="F3576" s="39"/>
      <c r="G3576" s="38"/>
      <c r="H3576" s="39"/>
      <c r="I3576" s="40"/>
      <c r="J3576" s="40"/>
      <c r="K3576" s="38"/>
      <c r="L3576" s="40"/>
      <c r="M3576" s="40"/>
      <c r="N3576" s="40"/>
      <c r="O3576" s="40"/>
      <c r="P3576" s="39"/>
      <c r="Q3576" s="40"/>
      <c r="R3576" s="40"/>
      <c r="S3576" s="40"/>
      <c r="V3576" s="38"/>
      <c r="W3576" s="40"/>
      <c r="X3576" s="40"/>
      <c r="Y3576" s="65"/>
    </row>
    <row r="3577" spans="1:25" s="37" customFormat="1">
      <c r="E3577" s="38"/>
      <c r="F3577" s="39"/>
      <c r="G3577" s="38"/>
      <c r="H3577" s="39"/>
      <c r="I3577" s="40"/>
      <c r="J3577" s="40"/>
      <c r="K3577" s="38"/>
      <c r="L3577" s="40"/>
      <c r="M3577" s="40"/>
      <c r="N3577" s="40"/>
      <c r="O3577" s="40"/>
      <c r="P3577" s="39"/>
      <c r="Q3577" s="40"/>
      <c r="R3577" s="40"/>
      <c r="S3577" s="40"/>
      <c r="V3577" s="38"/>
      <c r="W3577" s="40"/>
      <c r="X3577" s="40"/>
      <c r="Y3577" s="65"/>
    </row>
  </sheetData>
  <mergeCells count="4">
    <mergeCell ref="T2371:U2371"/>
    <mergeCell ref="V2370:X2370"/>
    <mergeCell ref="K2370:L2370"/>
    <mergeCell ref="N2371:O2371"/>
  </mergeCells>
  <conditionalFormatting sqref="A3:A1048576">
    <cfRule type="expression" dxfId="0" priority="1">
      <formula>$A3&lt;$G$1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Get_Data</vt:lpstr>
      <vt:lpstr>Ratio Analysis</vt:lpstr>
      <vt:lpstr>Since 2016</vt:lpstr>
      <vt:lpstr>stocks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Filipe Pessoa Jorge</dc:creator>
  <cp:lastModifiedBy>Filipe Pessoa Jorge</cp:lastModifiedBy>
  <dcterms:created xsi:type="dcterms:W3CDTF">2020-10-15T03:41:48Z</dcterms:created>
  <dcterms:modified xsi:type="dcterms:W3CDTF">2020-10-20T01:26:16Z</dcterms:modified>
</cp:coreProperties>
</file>